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chris_davidson_fws_gov/Documents/Documents/5 Listing and Recovery (LIST)/Endangered and Threatened Species/Species Reference Files/Winged Mapleleaf/Saline River/Population Estimates/"/>
    </mc:Choice>
  </mc:AlternateContent>
  <xr:revisionPtr revIDLastSave="57" documentId="11_BF99DC7EC9E7EFF18417FCBB8C3BAA9C2C3986CF" xr6:coauthVersionLast="47" xr6:coauthVersionMax="47" xr10:uidLastSave="{3A98AB12-FA59-4B9F-841B-1C3DFC518124}"/>
  <bookViews>
    <workbookView xWindow="31155" yWindow="1815" windowWidth="21600" windowHeight="12585" tabRatio="909" xr2:uid="{00000000-000D-0000-FFFF-FFFF00000000}"/>
  </bookViews>
  <sheets>
    <sheet name="Davidson &amp; Clem 2002,2004" sheetId="2" r:id="rId1"/>
    <sheet name="SRB70 13AUG08" sheetId="4" r:id="rId2"/>
    <sheet name="SRB71 14AUG08" sheetId="5" r:id="rId3"/>
    <sheet name="SRB141 Harris 2005" sheetId="6" r:id="rId4"/>
    <sheet name="SRB145 Harris 2005" sheetId="7" r:id="rId5"/>
    <sheet name="SRB146 Harris 2005" sheetId="8" r:id="rId6"/>
    <sheet name="SRB152 Harris 2005" sheetId="9" r:id="rId7"/>
    <sheet name="SRB141 2010 Original Defined" sheetId="10" r:id="rId8"/>
    <sheet name="SRB141 2010 Redefined" sheetId="11" r:id="rId9"/>
    <sheet name="SRB141 2010 Pop Est" sheetId="12" r:id="rId10"/>
    <sheet name="SRB145 2011 Original Defined" sheetId="13" r:id="rId11"/>
    <sheet name="SRB145 2011 REDEFINED" sheetId="14" r:id="rId12"/>
    <sheet name="SRB146 2011 Redefined" sheetId="15" r:id="rId13"/>
    <sheet name="SRB152 2011 Redefined" sheetId="16" r:id="rId14"/>
    <sheet name="SRB71 2011" sheetId="17" r:id="rId15"/>
    <sheet name="SRB70 2011" sheetId="19" r:id="rId16"/>
    <sheet name="SRB147 2011 REDEFINED" sheetId="18" r:id="rId17"/>
    <sheet name="SRB159B Redefined" sheetId="22" r:id="rId18"/>
    <sheet name="SRB159A 2011" sheetId="23" r:id="rId19"/>
    <sheet name="SRB159A 2022" sheetId="40" r:id="rId20"/>
    <sheet name="SRB143 - 2012" sheetId="24" r:id="rId21"/>
    <sheet name="SRB153 - 2012" sheetId="25" r:id="rId22"/>
    <sheet name=" SRB155 - 2012" sheetId="26" r:id="rId23"/>
    <sheet name="SRB157 - 2012" sheetId="27" r:id="rId24"/>
    <sheet name="SRB158 - 2012" sheetId="28" r:id="rId25"/>
    <sheet name="SRB158 - 2022" sheetId="39" r:id="rId26"/>
    <sheet name="SRB99 - 2015" sheetId="30" r:id="rId27"/>
    <sheet name="SRB125 - 2015" sheetId="31" r:id="rId28"/>
    <sheet name="SRB131 - 2015" sheetId="32" r:id="rId29"/>
    <sheet name="SRB85 - 2015" sheetId="33" r:id="rId30"/>
    <sheet name="SRB77 - 2015" sheetId="34" r:id="rId31"/>
    <sheet name="SRB79 - 2015" sheetId="35" r:id="rId32"/>
    <sheet name="SRB56 - 2015" sheetId="36" r:id="rId33"/>
    <sheet name="Summary Stats" sheetId="20" r:id="rId34"/>
    <sheet name="P. riddellii" sheetId="38" r:id="rId35"/>
    <sheet name="PopEst" sheetId="37" r:id="rId36"/>
    <sheet name="Population Size" sheetId="21" r:id="rId37"/>
    <sheet name="Size Data" sheetId="29" r:id="rId38"/>
  </sheets>
  <definedNames>
    <definedName name="_xlnm.Print_Titles" localSheetId="0">'Davidson &amp; Clem 2002,2004'!$A:$A,'Davidson &amp; Clem 2002,2004'!$1:$1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1" i="40" l="1"/>
  <c r="AA30" i="40"/>
  <c r="AA29" i="40"/>
  <c r="AA28" i="40"/>
  <c r="AA27" i="40"/>
  <c r="AA26" i="40"/>
  <c r="AA25" i="40"/>
  <c r="AA24" i="40"/>
  <c r="AA23" i="40"/>
  <c r="AA22" i="40"/>
  <c r="AA21" i="40"/>
  <c r="AA20" i="40"/>
  <c r="AA19" i="40"/>
  <c r="AA18" i="40"/>
  <c r="AA17" i="40"/>
  <c r="AA16" i="40"/>
  <c r="AA15" i="40"/>
  <c r="AA14" i="40"/>
  <c r="AA13" i="40"/>
  <c r="AA12" i="40"/>
  <c r="AA11" i="40"/>
  <c r="AA10" i="40"/>
  <c r="AA9" i="40"/>
  <c r="AA8" i="40"/>
  <c r="AA7" i="40"/>
  <c r="AA6" i="40"/>
  <c r="AA5" i="40"/>
  <c r="AA4" i="40"/>
  <c r="AA3" i="40"/>
  <c r="AB5" i="39"/>
  <c r="AB22" i="39"/>
  <c r="AB33" i="39"/>
  <c r="AB32" i="39"/>
  <c r="AB31" i="39"/>
  <c r="AB30" i="39"/>
  <c r="AB29" i="39"/>
  <c r="AB28" i="39"/>
  <c r="AB27" i="39"/>
  <c r="AB26" i="39"/>
  <c r="AB25" i="39"/>
  <c r="AB24" i="39"/>
  <c r="AB23" i="39"/>
  <c r="AB21" i="39"/>
  <c r="AB20" i="39"/>
  <c r="AB19" i="39"/>
  <c r="AB18" i="39"/>
  <c r="AB17" i="39"/>
  <c r="AB16" i="39"/>
  <c r="AB15" i="39"/>
  <c r="AB14" i="39"/>
  <c r="AB13" i="39"/>
  <c r="AB12" i="39"/>
  <c r="AB11" i="39"/>
  <c r="AB10" i="39"/>
  <c r="AB9" i="39"/>
  <c r="AB8" i="39"/>
  <c r="AB7" i="39"/>
  <c r="AB6" i="39"/>
  <c r="AB4" i="39"/>
  <c r="AB3" i="39"/>
  <c r="AB35" i="39" l="1"/>
  <c r="AA33" i="40"/>
  <c r="FC106" i="20"/>
  <c r="FC105" i="20"/>
  <c r="FC104" i="20"/>
  <c r="FC103" i="20"/>
  <c r="FC102" i="20"/>
  <c r="FC101" i="20"/>
  <c r="FC76" i="20"/>
  <c r="FC75" i="20"/>
  <c r="FC74" i="20"/>
  <c r="FC73" i="20"/>
  <c r="FC72" i="20"/>
  <c r="FC71" i="20"/>
  <c r="EW133" i="20"/>
  <c r="EW132" i="20"/>
  <c r="EW131" i="20"/>
  <c r="EW130" i="20"/>
  <c r="EW129" i="20"/>
  <c r="EW128" i="20"/>
  <c r="EW106" i="20"/>
  <c r="EW105" i="20"/>
  <c r="EW104" i="20"/>
  <c r="EW103" i="20"/>
  <c r="EW102" i="20"/>
  <c r="EW101" i="20"/>
  <c r="EW76" i="20"/>
  <c r="EW75" i="20"/>
  <c r="EW74" i="20"/>
  <c r="EW73" i="20"/>
  <c r="EW72" i="20"/>
  <c r="EW71" i="20"/>
  <c r="EQ76" i="20"/>
  <c r="EQ75" i="20"/>
  <c r="EQ74" i="20"/>
  <c r="EQ73" i="20"/>
  <c r="EQ72" i="20"/>
  <c r="EQ71" i="20"/>
  <c r="EK106" i="20"/>
  <c r="EK105" i="20"/>
  <c r="EK104" i="20"/>
  <c r="EK103" i="20"/>
  <c r="EK102" i="20"/>
  <c r="EK101" i="20"/>
  <c r="EK76" i="20"/>
  <c r="EK75" i="20"/>
  <c r="EK74" i="20"/>
  <c r="EK73" i="20"/>
  <c r="EK72" i="20"/>
  <c r="EK71" i="20"/>
  <c r="EE76" i="20"/>
  <c r="EE75" i="20"/>
  <c r="EE74" i="20"/>
  <c r="EE73" i="20"/>
  <c r="EE72" i="20"/>
  <c r="EE71" i="20"/>
  <c r="DZ76" i="20"/>
  <c r="DZ75" i="20"/>
  <c r="DZ74" i="20"/>
  <c r="DZ73" i="20"/>
  <c r="DZ72" i="20"/>
  <c r="DZ71" i="20"/>
  <c r="DT105" i="20"/>
  <c r="DT104" i="20"/>
  <c r="DT103" i="20"/>
  <c r="DT102" i="20"/>
  <c r="DT101" i="20"/>
  <c r="DT100" i="20"/>
  <c r="DT76" i="20"/>
  <c r="DT75" i="20"/>
  <c r="DT74" i="20"/>
  <c r="DT73" i="20"/>
  <c r="DT72" i="20"/>
  <c r="DT71" i="20"/>
  <c r="O55" i="38" l="1"/>
  <c r="N55" i="38"/>
  <c r="O54" i="38"/>
  <c r="M55" i="38"/>
  <c r="K55" i="38"/>
  <c r="K54" i="38"/>
  <c r="J55" i="38"/>
  <c r="J54" i="38"/>
  <c r="H55" i="38"/>
  <c r="H54" i="38"/>
  <c r="C55" i="38"/>
  <c r="C54" i="38"/>
  <c r="X55" i="38"/>
  <c r="W55" i="38"/>
  <c r="V55" i="38"/>
  <c r="U55" i="38"/>
  <c r="T55" i="38"/>
  <c r="S55" i="38"/>
  <c r="R55" i="38"/>
  <c r="Q55" i="38"/>
  <c r="P55" i="38"/>
  <c r="G55" i="38"/>
  <c r="F55" i="38"/>
  <c r="E55" i="38"/>
  <c r="D55" i="38"/>
  <c r="B55" i="38"/>
  <c r="X54" i="38"/>
  <c r="W54" i="38"/>
  <c r="V54" i="38"/>
  <c r="U54" i="38"/>
  <c r="T54" i="38"/>
  <c r="S54" i="38"/>
  <c r="R54" i="38"/>
  <c r="Q54" i="38"/>
  <c r="P54" i="38"/>
  <c r="N54" i="38"/>
  <c r="M54" i="38"/>
  <c r="G54" i="38"/>
  <c r="F54" i="38"/>
  <c r="E54" i="38"/>
  <c r="D54" i="38"/>
  <c r="B54" i="38"/>
  <c r="F3" i="37"/>
  <c r="F5" i="37" s="1"/>
  <c r="G3" i="37" l="1"/>
  <c r="I3" i="37"/>
  <c r="I5" i="37" l="1"/>
  <c r="J3" i="37" s="1"/>
  <c r="H3" i="37"/>
  <c r="H5" i="37" s="1"/>
  <c r="D7" i="37" s="1"/>
  <c r="G5" i="37"/>
  <c r="J5" i="37" l="1"/>
  <c r="K3" i="37"/>
  <c r="K5" i="37" s="1"/>
  <c r="D8" i="37" s="1"/>
  <c r="B11" i="37" s="1"/>
  <c r="E14" i="37" s="1"/>
  <c r="E13" i="37"/>
  <c r="B14" i="37" l="1"/>
  <c r="B13" i="37"/>
  <c r="FC9" i="20" l="1"/>
  <c r="FC8" i="20"/>
  <c r="FC7" i="20"/>
  <c r="FC6" i="20"/>
  <c r="FC5" i="20"/>
  <c r="FC4" i="20"/>
  <c r="EW9" i="20"/>
  <c r="EW8" i="20"/>
  <c r="EW7" i="20"/>
  <c r="EW6" i="20"/>
  <c r="EW5" i="20"/>
  <c r="EW4" i="20"/>
  <c r="EQ9" i="20"/>
  <c r="EQ8" i="20"/>
  <c r="EQ7" i="20"/>
  <c r="EQ6" i="20"/>
  <c r="EQ5" i="20"/>
  <c r="EQ4" i="20"/>
  <c r="EK9" i="20"/>
  <c r="EK8" i="20"/>
  <c r="EK7" i="20"/>
  <c r="EK6" i="20"/>
  <c r="EK5" i="20"/>
  <c r="EK4" i="20"/>
  <c r="EE4" i="20"/>
  <c r="EE5" i="20"/>
  <c r="EE6" i="20"/>
  <c r="EE7" i="20"/>
  <c r="EE8" i="20"/>
  <c r="EE9" i="20"/>
  <c r="DZ9" i="20"/>
  <c r="DZ8" i="20"/>
  <c r="DZ7" i="20"/>
  <c r="DZ6" i="20"/>
  <c r="DZ5" i="20"/>
  <c r="DZ4" i="20"/>
  <c r="DT9" i="20"/>
  <c r="DT8" i="20"/>
  <c r="DT7" i="20"/>
  <c r="DT6" i="20"/>
  <c r="DT5" i="20"/>
  <c r="DT4" i="20"/>
  <c r="DH9" i="20"/>
  <c r="DB9" i="20"/>
  <c r="DN9" i="20"/>
  <c r="AA44" i="36" l="1"/>
  <c r="AA43" i="36"/>
  <c r="AA42" i="36"/>
  <c r="AA39" i="36"/>
  <c r="AA37" i="36"/>
  <c r="AA34" i="36"/>
  <c r="AA32" i="36"/>
  <c r="AA30" i="36"/>
  <c r="AA29" i="36"/>
  <c r="AA28" i="36"/>
  <c r="AA27" i="36"/>
  <c r="AA26" i="36"/>
  <c r="AA25" i="36"/>
  <c r="AA24" i="36"/>
  <c r="AA23" i="36"/>
  <c r="AA22" i="36"/>
  <c r="AA21" i="36"/>
  <c r="AA20" i="36"/>
  <c r="AA17" i="36"/>
  <c r="AA14" i="36"/>
  <c r="AA13" i="36"/>
  <c r="AA12" i="36"/>
  <c r="AA11" i="36"/>
  <c r="AA10" i="36"/>
  <c r="AA9" i="36"/>
  <c r="AA8" i="36"/>
  <c r="AA7" i="36"/>
  <c r="AA6" i="36"/>
  <c r="AA5" i="36"/>
  <c r="AA4" i="36"/>
  <c r="AA3" i="36"/>
  <c r="Z46" i="36"/>
  <c r="Y46" i="36"/>
  <c r="X46" i="36"/>
  <c r="W46" i="36"/>
  <c r="V46" i="36"/>
  <c r="U46" i="36"/>
  <c r="T46" i="36"/>
  <c r="S46" i="36"/>
  <c r="R46" i="36"/>
  <c r="Q46" i="36"/>
  <c r="P46" i="36"/>
  <c r="O46" i="36"/>
  <c r="N46" i="36"/>
  <c r="K46" i="36"/>
  <c r="M46" i="36"/>
  <c r="L46" i="36"/>
  <c r="J46" i="36"/>
  <c r="I46" i="36"/>
  <c r="H46" i="36"/>
  <c r="G46" i="36"/>
  <c r="F46" i="36"/>
  <c r="E46" i="36"/>
  <c r="D46" i="36"/>
  <c r="C46" i="36"/>
  <c r="B46" i="36"/>
  <c r="AA46" i="36" l="1"/>
  <c r="AB46" i="36"/>
  <c r="AB34" i="36"/>
  <c r="AB42" i="36"/>
  <c r="AB27" i="36"/>
  <c r="AB23" i="36"/>
  <c r="AB14" i="36"/>
  <c r="AB28" i="36"/>
  <c r="AB24" i="36"/>
  <c r="AB17" i="36"/>
  <c r="AB32" i="36"/>
  <c r="AB6" i="36"/>
  <c r="AB10" i="36"/>
  <c r="AB26" i="36"/>
  <c r="AB30" i="36"/>
  <c r="AB39" i="36"/>
  <c r="AB3" i="36"/>
  <c r="AB7" i="36"/>
  <c r="AB4" i="36"/>
  <c r="AB8" i="36"/>
  <c r="AB12" i="36"/>
  <c r="AB20" i="36"/>
  <c r="AB5" i="36"/>
  <c r="AB9" i="36"/>
  <c r="AB13" i="36"/>
  <c r="AB21" i="36"/>
  <c r="AB25" i="36"/>
  <c r="AB29" i="36"/>
  <c r="AB37" i="36"/>
  <c r="AB44" i="36"/>
  <c r="R44" i="35"/>
  <c r="R42" i="35"/>
  <c r="R39" i="35"/>
  <c r="R37" i="35"/>
  <c r="R35" i="35"/>
  <c r="R34" i="35"/>
  <c r="R33" i="35"/>
  <c r="R32" i="35"/>
  <c r="R30" i="35"/>
  <c r="R29" i="35"/>
  <c r="R28" i="35"/>
  <c r="R27" i="35"/>
  <c r="R26" i="35"/>
  <c r="R24" i="35"/>
  <c r="R23" i="35"/>
  <c r="R21" i="35"/>
  <c r="R20" i="35"/>
  <c r="R18" i="35"/>
  <c r="R17" i="35"/>
  <c r="R13" i="35"/>
  <c r="R12" i="35"/>
  <c r="R10" i="35"/>
  <c r="R9" i="35"/>
  <c r="R8" i="35"/>
  <c r="R7" i="35"/>
  <c r="R6" i="35"/>
  <c r="R5" i="35"/>
  <c r="R3" i="35"/>
  <c r="Q46" i="35"/>
  <c r="P46" i="35"/>
  <c r="O46" i="35"/>
  <c r="N46" i="35"/>
  <c r="M46" i="35"/>
  <c r="L46" i="35"/>
  <c r="K46" i="35"/>
  <c r="J46" i="35"/>
  <c r="I46" i="35"/>
  <c r="H46" i="35"/>
  <c r="G46" i="35"/>
  <c r="F46" i="35"/>
  <c r="E46" i="35"/>
  <c r="D46" i="35"/>
  <c r="C46" i="35"/>
  <c r="B46" i="35"/>
  <c r="K44" i="34"/>
  <c r="K37" i="34"/>
  <c r="K34" i="34"/>
  <c r="K30" i="34"/>
  <c r="K28" i="34"/>
  <c r="K27" i="34"/>
  <c r="K26" i="34"/>
  <c r="K25" i="34"/>
  <c r="K24" i="34"/>
  <c r="K23" i="34"/>
  <c r="K22" i="34"/>
  <c r="K21" i="34"/>
  <c r="K20" i="34"/>
  <c r="K13" i="34"/>
  <c r="K12" i="34"/>
  <c r="K10" i="34"/>
  <c r="K9" i="34"/>
  <c r="K8" i="34"/>
  <c r="K7" i="34"/>
  <c r="K6" i="34"/>
  <c r="K5" i="34"/>
  <c r="K4" i="34"/>
  <c r="K3" i="34"/>
  <c r="J46" i="34"/>
  <c r="I46" i="34"/>
  <c r="H46" i="34"/>
  <c r="G46" i="34"/>
  <c r="F46" i="34"/>
  <c r="E46" i="34"/>
  <c r="D46" i="34"/>
  <c r="C46" i="34"/>
  <c r="B46" i="34"/>
  <c r="AA45" i="33"/>
  <c r="AA44" i="33"/>
  <c r="AA43" i="33"/>
  <c r="AA42" i="33"/>
  <c r="AA39" i="33"/>
  <c r="AA37" i="33"/>
  <c r="AA35" i="33"/>
  <c r="AA34" i="33"/>
  <c r="AA33" i="33"/>
  <c r="AA32" i="33"/>
  <c r="AA30" i="33"/>
  <c r="AA28" i="33"/>
  <c r="AA27" i="33"/>
  <c r="AA26" i="33"/>
  <c r="AA24" i="33"/>
  <c r="AA23" i="33"/>
  <c r="AA22" i="33"/>
  <c r="AA21" i="33"/>
  <c r="AA13" i="33"/>
  <c r="AA10" i="33"/>
  <c r="AA9" i="33"/>
  <c r="AA8" i="33"/>
  <c r="AA7" i="33"/>
  <c r="AA6" i="33"/>
  <c r="AA5" i="33"/>
  <c r="AA4" i="33"/>
  <c r="AA3" i="33"/>
  <c r="Z46" i="33"/>
  <c r="Y46" i="33"/>
  <c r="X46" i="33"/>
  <c r="W46" i="33"/>
  <c r="V46" i="33"/>
  <c r="U46" i="33"/>
  <c r="T46" i="33"/>
  <c r="S46" i="33"/>
  <c r="R46" i="33"/>
  <c r="Q46" i="33"/>
  <c r="P46" i="33"/>
  <c r="O46" i="33"/>
  <c r="N46" i="33"/>
  <c r="M46" i="33"/>
  <c r="L46" i="33"/>
  <c r="K46" i="33"/>
  <c r="J46" i="33"/>
  <c r="I46" i="33"/>
  <c r="H46" i="33"/>
  <c r="G46" i="33"/>
  <c r="F46" i="33"/>
  <c r="E46" i="33"/>
  <c r="D46" i="33"/>
  <c r="C46" i="33"/>
  <c r="B46" i="33"/>
  <c r="K46" i="34" l="1"/>
  <c r="L24" i="34" s="1"/>
  <c r="L7" i="34"/>
  <c r="L26" i="34"/>
  <c r="L9" i="34"/>
  <c r="L28" i="34"/>
  <c r="AB13" i="33"/>
  <c r="AB35" i="33"/>
  <c r="L12" i="34"/>
  <c r="L34" i="34"/>
  <c r="L20" i="34"/>
  <c r="AA46" i="33"/>
  <c r="AB46" i="33" s="1"/>
  <c r="AB24" i="33"/>
  <c r="AB43" i="33"/>
  <c r="L3" i="34"/>
  <c r="L22" i="34"/>
  <c r="AB26" i="33"/>
  <c r="AB32" i="33"/>
  <c r="AB37" i="33"/>
  <c r="AB44" i="33"/>
  <c r="L37" i="34"/>
  <c r="L23" i="34"/>
  <c r="L13" i="34"/>
  <c r="L8" i="34"/>
  <c r="L4" i="34"/>
  <c r="L46" i="34"/>
  <c r="L30" i="34"/>
  <c r="L25" i="34"/>
  <c r="L21" i="34"/>
  <c r="L10" i="34"/>
  <c r="L6" i="34"/>
  <c r="R46" i="35"/>
  <c r="S20" i="35" s="1"/>
  <c r="I44" i="32"/>
  <c r="I37" i="32"/>
  <c r="I34" i="32"/>
  <c r="I32" i="32"/>
  <c r="I30" i="32"/>
  <c r="I28" i="32"/>
  <c r="I27" i="32"/>
  <c r="I26" i="32"/>
  <c r="I24" i="32"/>
  <c r="I23" i="32"/>
  <c r="I10" i="32"/>
  <c r="I9" i="32"/>
  <c r="I8" i="32"/>
  <c r="I7" i="32"/>
  <c r="I6" i="32"/>
  <c r="I5" i="32"/>
  <c r="I3" i="32"/>
  <c r="H46" i="32"/>
  <c r="G46" i="32"/>
  <c r="F46" i="32"/>
  <c r="E46" i="32"/>
  <c r="D46" i="32"/>
  <c r="C46" i="32"/>
  <c r="B46" i="32"/>
  <c r="L44" i="31"/>
  <c r="L42" i="31"/>
  <c r="L39" i="31"/>
  <c r="L37" i="31"/>
  <c r="L34" i="31"/>
  <c r="L30" i="31"/>
  <c r="L28" i="31"/>
  <c r="L27" i="31"/>
  <c r="L26" i="31"/>
  <c r="L24" i="31"/>
  <c r="L22" i="31"/>
  <c r="L15" i="31"/>
  <c r="L10" i="31"/>
  <c r="L8" i="31"/>
  <c r="L7" i="31"/>
  <c r="L6" i="31"/>
  <c r="L5" i="31"/>
  <c r="L3" i="31"/>
  <c r="K46" i="31"/>
  <c r="J46" i="31"/>
  <c r="I46" i="31"/>
  <c r="H46" i="31"/>
  <c r="G46" i="31"/>
  <c r="F46" i="31"/>
  <c r="E46" i="31"/>
  <c r="D46" i="31"/>
  <c r="C46" i="31"/>
  <c r="B46" i="31"/>
  <c r="I46" i="32" l="1"/>
  <c r="AB3" i="33"/>
  <c r="L5" i="34"/>
  <c r="L27" i="34"/>
  <c r="L44" i="34"/>
  <c r="AB42" i="33"/>
  <c r="AB21" i="33"/>
  <c r="AB45" i="33"/>
  <c r="AB33" i="33"/>
  <c r="AB9" i="33"/>
  <c r="J24" i="32"/>
  <c r="AB27" i="33"/>
  <c r="AB34" i="33"/>
  <c r="AB23" i="33"/>
  <c r="S33" i="35"/>
  <c r="AB5" i="33"/>
  <c r="AB10" i="33"/>
  <c r="S28" i="35"/>
  <c r="AB39" i="33"/>
  <c r="AB28" i="33"/>
  <c r="AB6" i="33"/>
  <c r="S9" i="35"/>
  <c r="AB22" i="33"/>
  <c r="AB8" i="33"/>
  <c r="J30" i="32"/>
  <c r="S26" i="35"/>
  <c r="S5" i="35"/>
  <c r="AB30" i="33"/>
  <c r="AB4" i="33"/>
  <c r="L46" i="31"/>
  <c r="M44" i="31" s="1"/>
  <c r="AB7" i="33"/>
  <c r="M27" i="31"/>
  <c r="J42" i="32"/>
  <c r="J15" i="32"/>
  <c r="J4" i="32"/>
  <c r="J44" i="32"/>
  <c r="J7" i="32"/>
  <c r="J46" i="32"/>
  <c r="J8" i="32"/>
  <c r="J13" i="32"/>
  <c r="J3" i="32"/>
  <c r="J5" i="32"/>
  <c r="J9" i="32"/>
  <c r="J26" i="32"/>
  <c r="J32" i="32"/>
  <c r="J6" i="32"/>
  <c r="J10" i="32"/>
  <c r="J27" i="32"/>
  <c r="J34" i="32"/>
  <c r="M12" i="31"/>
  <c r="M46" i="31"/>
  <c r="M7" i="31"/>
  <c r="J23" i="32"/>
  <c r="J28" i="32"/>
  <c r="J37" i="32"/>
  <c r="S46" i="35"/>
  <c r="S37" i="35"/>
  <c r="S32" i="35"/>
  <c r="S27" i="35"/>
  <c r="S21" i="35"/>
  <c r="S13" i="35"/>
  <c r="S8" i="35"/>
  <c r="S4" i="35"/>
  <c r="S35" i="35"/>
  <c r="S42" i="35"/>
  <c r="S34" i="35"/>
  <c r="S29" i="35"/>
  <c r="S24" i="35"/>
  <c r="S18" i="35"/>
  <c r="S10" i="35"/>
  <c r="S6" i="35"/>
  <c r="S44" i="35"/>
  <c r="S12" i="35"/>
  <c r="S23" i="35"/>
  <c r="S3" i="35"/>
  <c r="S30" i="35"/>
  <c r="S7" i="35"/>
  <c r="S39" i="35"/>
  <c r="S17" i="35"/>
  <c r="V44" i="30"/>
  <c r="V42" i="30"/>
  <c r="V39" i="30"/>
  <c r="V37" i="30"/>
  <c r="V34" i="30"/>
  <c r="V33" i="30"/>
  <c r="V32" i="30"/>
  <c r="V30" i="30"/>
  <c r="V29" i="30"/>
  <c r="V28" i="30"/>
  <c r="V27" i="30"/>
  <c r="V26" i="30"/>
  <c r="V25" i="30"/>
  <c r="V24" i="30"/>
  <c r="V23" i="30"/>
  <c r="V21" i="30"/>
  <c r="V15" i="30"/>
  <c r="V13" i="30"/>
  <c r="V10" i="30"/>
  <c r="V9" i="30"/>
  <c r="V8" i="30"/>
  <c r="V7" i="30"/>
  <c r="V6" i="30"/>
  <c r="V5" i="30"/>
  <c r="V4" i="30"/>
  <c r="V3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B46" i="30"/>
  <c r="M37" i="31" l="1"/>
  <c r="M15" i="31"/>
  <c r="M28" i="31"/>
  <c r="M34" i="31"/>
  <c r="M23" i="31"/>
  <c r="M3" i="31"/>
  <c r="M22" i="31"/>
  <c r="M5" i="31"/>
  <c r="M26" i="31"/>
  <c r="M6" i="31"/>
  <c r="M42" i="31"/>
  <c r="M30" i="31"/>
  <c r="V46" i="30"/>
  <c r="W15" i="30" s="1"/>
  <c r="M24" i="31"/>
  <c r="M10" i="31"/>
  <c r="M8" i="31"/>
  <c r="M39" i="31"/>
  <c r="W5" i="30"/>
  <c r="W9" i="30"/>
  <c r="W6" i="30"/>
  <c r="W39" i="30"/>
  <c r="W17" i="30"/>
  <c r="W30" i="30"/>
  <c r="W21" i="30"/>
  <c r="W44" i="30"/>
  <c r="W29" i="30"/>
  <c r="W25" i="30"/>
  <c r="W37" i="30"/>
  <c r="W7" i="30"/>
  <c r="W13" i="30"/>
  <c r="W24" i="30"/>
  <c r="W28" i="30"/>
  <c r="W33" i="30"/>
  <c r="W42" i="30"/>
  <c r="J15" i="20"/>
  <c r="J9" i="20"/>
  <c r="J8" i="20"/>
  <c r="J7" i="20"/>
  <c r="J6" i="20"/>
  <c r="J5" i="20"/>
  <c r="J4" i="20"/>
  <c r="J20" i="20"/>
  <c r="J19" i="20"/>
  <c r="J18" i="20"/>
  <c r="J17" i="20"/>
  <c r="J16" i="20"/>
  <c r="D7" i="20"/>
  <c r="AT9" i="20"/>
  <c r="AT8" i="20"/>
  <c r="AT7" i="20"/>
  <c r="AT6" i="20"/>
  <c r="AT5" i="20"/>
  <c r="AT4" i="20"/>
  <c r="AN8" i="20"/>
  <c r="AN6" i="20"/>
  <c r="AN5" i="20"/>
  <c r="AN4" i="20"/>
  <c r="AH9" i="20"/>
  <c r="AH8" i="20"/>
  <c r="AH7" i="20"/>
  <c r="AH6" i="20"/>
  <c r="AH5" i="20"/>
  <c r="AH4" i="20"/>
  <c r="D130" i="20"/>
  <c r="D129" i="20"/>
  <c r="D128" i="20"/>
  <c r="D127" i="20"/>
  <c r="D126" i="20"/>
  <c r="D125" i="20"/>
  <c r="D102" i="20"/>
  <c r="D101" i="20"/>
  <c r="D100" i="20"/>
  <c r="D99" i="20"/>
  <c r="D98" i="20"/>
  <c r="D97" i="20"/>
  <c r="J109" i="20"/>
  <c r="J108" i="20"/>
  <c r="J107" i="20"/>
  <c r="J106" i="20"/>
  <c r="J105" i="20"/>
  <c r="J104" i="20"/>
  <c r="J93" i="20"/>
  <c r="J92" i="20"/>
  <c r="J91" i="20"/>
  <c r="J90" i="20"/>
  <c r="J89" i="20"/>
  <c r="J88" i="20"/>
  <c r="J75" i="20"/>
  <c r="J74" i="20"/>
  <c r="J73" i="20"/>
  <c r="J72" i="20"/>
  <c r="J71" i="20"/>
  <c r="J70" i="20"/>
  <c r="W3" i="30" l="1"/>
  <c r="W32" i="30"/>
  <c r="W20" i="30"/>
  <c r="W27" i="30"/>
  <c r="W34" i="30"/>
  <c r="W23" i="30"/>
  <c r="W8" i="30"/>
  <c r="W26" i="30"/>
  <c r="W10" i="30"/>
  <c r="D75" i="20"/>
  <c r="D73" i="20"/>
  <c r="D74" i="20"/>
  <c r="D72" i="20"/>
  <c r="D71" i="20"/>
  <c r="D70" i="20"/>
  <c r="AA44" i="28"/>
  <c r="AA43" i="28"/>
  <c r="AA42" i="28"/>
  <c r="AA41" i="28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25" i="28"/>
  <c r="AA24" i="28"/>
  <c r="AA23" i="28"/>
  <c r="AA22" i="28"/>
  <c r="AA21" i="28"/>
  <c r="AA20" i="28"/>
  <c r="AA19" i="28"/>
  <c r="AA18" i="28"/>
  <c r="AA17" i="28"/>
  <c r="AA16" i="28"/>
  <c r="AA15" i="28"/>
  <c r="AA14" i="28"/>
  <c r="AA13" i="28"/>
  <c r="AA12" i="28"/>
  <c r="AA11" i="28"/>
  <c r="AA10" i="28"/>
  <c r="AA9" i="28"/>
  <c r="AA8" i="28"/>
  <c r="AA7" i="28"/>
  <c r="AA6" i="28"/>
  <c r="AA4" i="28"/>
  <c r="AA5" i="28"/>
  <c r="AA3" i="28"/>
  <c r="D9" i="20"/>
  <c r="D8" i="20"/>
  <c r="D6" i="20"/>
  <c r="D5" i="20"/>
  <c r="D4" i="20"/>
  <c r="P4" i="20"/>
  <c r="V4" i="20"/>
  <c r="Z46" i="28"/>
  <c r="Y46" i="28"/>
  <c r="X46" i="28"/>
  <c r="W46" i="28"/>
  <c r="V46" i="28"/>
  <c r="U46" i="28"/>
  <c r="T46" i="28"/>
  <c r="S46" i="28"/>
  <c r="R46" i="28"/>
  <c r="Q46" i="28"/>
  <c r="P46" i="28"/>
  <c r="O46" i="28"/>
  <c r="N46" i="28"/>
  <c r="M46" i="28"/>
  <c r="L46" i="28"/>
  <c r="K46" i="28"/>
  <c r="J46" i="28"/>
  <c r="I46" i="28"/>
  <c r="H46" i="28"/>
  <c r="G46" i="28"/>
  <c r="F46" i="28"/>
  <c r="E46" i="28"/>
  <c r="D46" i="28"/>
  <c r="C46" i="28"/>
  <c r="B46" i="28"/>
  <c r="W46" i="30" l="1"/>
  <c r="AA46" i="28"/>
  <c r="AB130" i="20"/>
  <c r="AB129" i="20"/>
  <c r="AB128" i="20"/>
  <c r="AB127" i="20"/>
  <c r="AB126" i="20"/>
  <c r="AB125" i="20"/>
  <c r="AB103" i="20"/>
  <c r="AB102" i="20"/>
  <c r="AB101" i="20"/>
  <c r="AB100" i="20"/>
  <c r="AB99" i="20"/>
  <c r="AB98" i="20"/>
  <c r="V126" i="20"/>
  <c r="V127" i="20"/>
  <c r="V128" i="20"/>
  <c r="V129" i="20"/>
  <c r="V130" i="20"/>
  <c r="V131" i="20"/>
  <c r="V103" i="20"/>
  <c r="V102" i="20"/>
  <c r="V101" i="20"/>
  <c r="V100" i="20"/>
  <c r="V99" i="20"/>
  <c r="V98" i="20"/>
  <c r="P98" i="20"/>
  <c r="P99" i="20"/>
  <c r="P100" i="20"/>
  <c r="P101" i="20"/>
  <c r="P102" i="20"/>
  <c r="P103" i="20"/>
  <c r="AB70" i="20"/>
  <c r="AB71" i="20"/>
  <c r="AB72" i="20"/>
  <c r="AB73" i="20"/>
  <c r="AB74" i="20"/>
  <c r="AB75" i="20"/>
  <c r="V75" i="20"/>
  <c r="V74" i="20"/>
  <c r="V73" i="20"/>
  <c r="V72" i="20"/>
  <c r="V71" i="20"/>
  <c r="V70" i="20"/>
  <c r="P71" i="20"/>
  <c r="P72" i="20"/>
  <c r="P73" i="20"/>
  <c r="P74" i="20"/>
  <c r="P75" i="20"/>
  <c r="P76" i="20"/>
  <c r="P9" i="20" l="1"/>
  <c r="P8" i="20"/>
  <c r="P7" i="20"/>
  <c r="V9" i="20"/>
  <c r="V8" i="20"/>
  <c r="V7" i="20"/>
  <c r="AB9" i="20"/>
  <c r="AB8" i="20"/>
  <c r="AB7" i="20"/>
  <c r="AB6" i="20"/>
  <c r="V6" i="20"/>
  <c r="P6" i="20"/>
  <c r="P5" i="20"/>
  <c r="V5" i="20"/>
  <c r="AB5" i="20"/>
  <c r="AB4" i="20"/>
  <c r="O46" i="27"/>
  <c r="H46" i="27"/>
  <c r="B46" i="27"/>
  <c r="C46" i="27"/>
  <c r="E46" i="27"/>
  <c r="D46" i="27"/>
  <c r="F46" i="27"/>
  <c r="G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25" i="27"/>
  <c r="AA24" i="27"/>
  <c r="AA23" i="27"/>
  <c r="AA22" i="27"/>
  <c r="AA21" i="27"/>
  <c r="AA20" i="27"/>
  <c r="AA19" i="27"/>
  <c r="AA18" i="27"/>
  <c r="AA17" i="27"/>
  <c r="AA16" i="27"/>
  <c r="AA15" i="27"/>
  <c r="AA14" i="27"/>
  <c r="AA13" i="27"/>
  <c r="AA12" i="27"/>
  <c r="AA11" i="27"/>
  <c r="AA10" i="27"/>
  <c r="AA9" i="27"/>
  <c r="AA8" i="27"/>
  <c r="AA7" i="27"/>
  <c r="AA6" i="27"/>
  <c r="AA5" i="27"/>
  <c r="AA4" i="27"/>
  <c r="AA3" i="27"/>
  <c r="AC44" i="26"/>
  <c r="AC43" i="26"/>
  <c r="AC42" i="26"/>
  <c r="AC41" i="26"/>
  <c r="AC40" i="26"/>
  <c r="AC39" i="26"/>
  <c r="AC38" i="26"/>
  <c r="AC37" i="26"/>
  <c r="AC36" i="26"/>
  <c r="AC35" i="26"/>
  <c r="AC34" i="26"/>
  <c r="AC33" i="26"/>
  <c r="AC32" i="26"/>
  <c r="AC31" i="26"/>
  <c r="AC30" i="26"/>
  <c r="AC29" i="26"/>
  <c r="AC28" i="26"/>
  <c r="AC27" i="26"/>
  <c r="AC26" i="26"/>
  <c r="AC25" i="26"/>
  <c r="AC24" i="26"/>
  <c r="AC23" i="26"/>
  <c r="AC22" i="26"/>
  <c r="AC21" i="26"/>
  <c r="AC20" i="26"/>
  <c r="AC19" i="26"/>
  <c r="AC18" i="26"/>
  <c r="AC17" i="26"/>
  <c r="AC16" i="26"/>
  <c r="AC15" i="26"/>
  <c r="AC14" i="26"/>
  <c r="AC13" i="26"/>
  <c r="AC12" i="26"/>
  <c r="AC11" i="26"/>
  <c r="AC10" i="26"/>
  <c r="AC9" i="26"/>
  <c r="AC8" i="26"/>
  <c r="AC7" i="26"/>
  <c r="AC6" i="26"/>
  <c r="AC5" i="26"/>
  <c r="AC4" i="26"/>
  <c r="AC3" i="26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AA5" i="25"/>
  <c r="AA4" i="25"/>
  <c r="AA3" i="25"/>
  <c r="R43" i="24"/>
  <c r="R42" i="24"/>
  <c r="R41" i="24"/>
  <c r="R40" i="24"/>
  <c r="R39" i="24"/>
  <c r="R38" i="24"/>
  <c r="R35" i="24"/>
  <c r="R37" i="24"/>
  <c r="R36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0" i="24"/>
  <c r="R21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R4" i="24"/>
  <c r="R3" i="24"/>
  <c r="AA46" i="27" l="1"/>
  <c r="AB10" i="27" s="1"/>
  <c r="AC45" i="26"/>
  <c r="AD7" i="26" s="1"/>
  <c r="Z46" i="27"/>
  <c r="Y46" i="27"/>
  <c r="X46" i="27"/>
  <c r="W46" i="27"/>
  <c r="V46" i="27"/>
  <c r="U46" i="27"/>
  <c r="T46" i="27"/>
  <c r="S46" i="27"/>
  <c r="R46" i="27"/>
  <c r="Q46" i="27"/>
  <c r="P46" i="27"/>
  <c r="N46" i="27"/>
  <c r="M46" i="27"/>
  <c r="L46" i="27"/>
  <c r="K46" i="27"/>
  <c r="J46" i="27"/>
  <c r="I46" i="27"/>
  <c r="AD39" i="26" l="1"/>
  <c r="AD3" i="26"/>
  <c r="AD21" i="26"/>
  <c r="AD5" i="26"/>
  <c r="AD20" i="26"/>
  <c r="AD35" i="26"/>
  <c r="AB7" i="27"/>
  <c r="AB15" i="27"/>
  <c r="AB6" i="27"/>
  <c r="AB25" i="27"/>
  <c r="AB23" i="27"/>
  <c r="AB31" i="27"/>
  <c r="AB42" i="27"/>
  <c r="AB45" i="27"/>
  <c r="AB13" i="27"/>
  <c r="AB12" i="27"/>
  <c r="AB30" i="27"/>
  <c r="AB38" i="27"/>
  <c r="AB33" i="27"/>
  <c r="AB24" i="27"/>
  <c r="AB21" i="27"/>
  <c r="AB44" i="27"/>
  <c r="AB9" i="27"/>
  <c r="AB5" i="27"/>
  <c r="AB34" i="27"/>
  <c r="AB8" i="27"/>
  <c r="AB37" i="27"/>
  <c r="AB14" i="27"/>
  <c r="AB39" i="27"/>
  <c r="AB41" i="27"/>
  <c r="AB3" i="27"/>
  <c r="AB29" i="27"/>
  <c r="AB11" i="27"/>
  <c r="AB17" i="27"/>
  <c r="AB19" i="27"/>
  <c r="AB40" i="27"/>
  <c r="AB32" i="27"/>
  <c r="AB28" i="27"/>
  <c r="AB22" i="27"/>
  <c r="AB43" i="27"/>
  <c r="AB4" i="27"/>
  <c r="AB18" i="27"/>
  <c r="AB26" i="27"/>
  <c r="AB27" i="27"/>
  <c r="AB36" i="27"/>
  <c r="AB35" i="27"/>
  <c r="AB20" i="27"/>
  <c r="AB16" i="27"/>
  <c r="AD41" i="26"/>
  <c r="AD44" i="26"/>
  <c r="AD40" i="26"/>
  <c r="AD30" i="26"/>
  <c r="AD22" i="26"/>
  <c r="AD14" i="26"/>
  <c r="AD10" i="26"/>
  <c r="AD37" i="26"/>
  <c r="AD36" i="26"/>
  <c r="AD34" i="26"/>
  <c r="AD26" i="26"/>
  <c r="AD18" i="26"/>
  <c r="AD6" i="26"/>
  <c r="AD28" i="26"/>
  <c r="AD33" i="26"/>
  <c r="AD27" i="26"/>
  <c r="AD38" i="26"/>
  <c r="AD16" i="26"/>
  <c r="AD19" i="26"/>
  <c r="AD29" i="26"/>
  <c r="AD13" i="26"/>
  <c r="AD32" i="26"/>
  <c r="AD4" i="26"/>
  <c r="AD23" i="26"/>
  <c r="AD42" i="26"/>
  <c r="AD31" i="26"/>
  <c r="AD17" i="26"/>
  <c r="AD12" i="26"/>
  <c r="AD8" i="26"/>
  <c r="AD11" i="26"/>
  <c r="AD25" i="26"/>
  <c r="AD9" i="26"/>
  <c r="AD24" i="26"/>
  <c r="AD43" i="26"/>
  <c r="AD1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Z44" i="25"/>
  <c r="Y44" i="25"/>
  <c r="X44" i="25"/>
  <c r="W44" i="25"/>
  <c r="V44" i="25"/>
  <c r="U44" i="25"/>
  <c r="T44" i="25"/>
  <c r="S44" i="25"/>
  <c r="R44" i="25"/>
  <c r="L44" i="25"/>
  <c r="G44" i="24"/>
  <c r="G44" i="25"/>
  <c r="B44" i="25"/>
  <c r="Q44" i="25"/>
  <c r="P44" i="25"/>
  <c r="O44" i="25"/>
  <c r="N44" i="25"/>
  <c r="M44" i="25"/>
  <c r="K44" i="25"/>
  <c r="J44" i="25"/>
  <c r="I44" i="25"/>
  <c r="H44" i="25"/>
  <c r="F44" i="25"/>
  <c r="E44" i="25"/>
  <c r="D44" i="25"/>
  <c r="C44" i="25"/>
  <c r="Q44" i="24"/>
  <c r="P44" i="24"/>
  <c r="O44" i="24"/>
  <c r="N44" i="24"/>
  <c r="M44" i="24"/>
  <c r="K44" i="24"/>
  <c r="J44" i="24"/>
  <c r="I44" i="24"/>
  <c r="H44" i="24"/>
  <c r="F44" i="24"/>
  <c r="E44" i="24"/>
  <c r="D44" i="24"/>
  <c r="C44" i="24"/>
  <c r="AB46" i="27" l="1"/>
  <c r="AD45" i="26"/>
  <c r="R44" i="24"/>
  <c r="AA44" i="25"/>
  <c r="AB12" i="25" s="1"/>
  <c r="DN105" i="20"/>
  <c r="DN104" i="20"/>
  <c r="DN103" i="20"/>
  <c r="DN76" i="20"/>
  <c r="DN75" i="20"/>
  <c r="DN74" i="20"/>
  <c r="DN73" i="20"/>
  <c r="DN71" i="20"/>
  <c r="DN5" i="20"/>
  <c r="DN4" i="20"/>
  <c r="DN7" i="20"/>
  <c r="DN134" i="20"/>
  <c r="DN133" i="20"/>
  <c r="DN131" i="20"/>
  <c r="DN130" i="20"/>
  <c r="DN129" i="20"/>
  <c r="DN102" i="20"/>
  <c r="DN101" i="20"/>
  <c r="DN100" i="20"/>
  <c r="DN72" i="20"/>
  <c r="DN8" i="20"/>
  <c r="DN6" i="20"/>
  <c r="DH7" i="20"/>
  <c r="DH4" i="20"/>
  <c r="DH90" i="20"/>
  <c r="DH89" i="20"/>
  <c r="DH88" i="20"/>
  <c r="DH87" i="20"/>
  <c r="DH85" i="20"/>
  <c r="DH76" i="20"/>
  <c r="DH75" i="20"/>
  <c r="DH74" i="20"/>
  <c r="DH104" i="20"/>
  <c r="DH103" i="20"/>
  <c r="DH101" i="20"/>
  <c r="DH100" i="20"/>
  <c r="DH99" i="20"/>
  <c r="DH86" i="20"/>
  <c r="DH73" i="20"/>
  <c r="DH72" i="20"/>
  <c r="DH71" i="20"/>
  <c r="DH8" i="20"/>
  <c r="DH6" i="20"/>
  <c r="DH5" i="20"/>
  <c r="DB88" i="20"/>
  <c r="DB104" i="20"/>
  <c r="DB103" i="20"/>
  <c r="DB101" i="20"/>
  <c r="DB100" i="20"/>
  <c r="DB99" i="20"/>
  <c r="DB90" i="20"/>
  <c r="DB89" i="20"/>
  <c r="DB87" i="20"/>
  <c r="DB86" i="20"/>
  <c r="DB85" i="20"/>
  <c r="DB73" i="20"/>
  <c r="DB72" i="20"/>
  <c r="DB71" i="20"/>
  <c r="DB76" i="20"/>
  <c r="DB75" i="20"/>
  <c r="DB74" i="20"/>
  <c r="DB8" i="20"/>
  <c r="DB7" i="20"/>
  <c r="DB6" i="20"/>
  <c r="DB5" i="20"/>
  <c r="DB4" i="20"/>
  <c r="CV173" i="20"/>
  <c r="CV172" i="20"/>
  <c r="CV171" i="20"/>
  <c r="CV170" i="20"/>
  <c r="CV169" i="20"/>
  <c r="CV168" i="20"/>
  <c r="CV134" i="20"/>
  <c r="CV133" i="20"/>
  <c r="CV132" i="20"/>
  <c r="CV131" i="20"/>
  <c r="CV130" i="20"/>
  <c r="CV129" i="20"/>
  <c r="CV85" i="20"/>
  <c r="CV84" i="20"/>
  <c r="CV83" i="20"/>
  <c r="CV82" i="20"/>
  <c r="CV91" i="20"/>
  <c r="CV95" i="20"/>
  <c r="CV94" i="20"/>
  <c r="CV93" i="20"/>
  <c r="CV92" i="20"/>
  <c r="CV90" i="20"/>
  <c r="CV9" i="20"/>
  <c r="CV163" i="20"/>
  <c r="CV162" i="20"/>
  <c r="CV161" i="20"/>
  <c r="CV160" i="20"/>
  <c r="CV159" i="20"/>
  <c r="CV158" i="20"/>
  <c r="CV154" i="20"/>
  <c r="CV153" i="20"/>
  <c r="CV152" i="20"/>
  <c r="CV151" i="20"/>
  <c r="CV150" i="20"/>
  <c r="CV149" i="20"/>
  <c r="CV124" i="20"/>
  <c r="CV123" i="20"/>
  <c r="CV122" i="20"/>
  <c r="CV121" i="20"/>
  <c r="CV120" i="20"/>
  <c r="CV119" i="20"/>
  <c r="CV115" i="20"/>
  <c r="CV114" i="20"/>
  <c r="CV113" i="20"/>
  <c r="CV112" i="20"/>
  <c r="CV111" i="20"/>
  <c r="CV110" i="20"/>
  <c r="CV81" i="20"/>
  <c r="CV80" i="20"/>
  <c r="CV76" i="20"/>
  <c r="CV75" i="20"/>
  <c r="CV74" i="20"/>
  <c r="CV73" i="20"/>
  <c r="CV72" i="20"/>
  <c r="CV71" i="20"/>
  <c r="CV29" i="20"/>
  <c r="CV28" i="20"/>
  <c r="CV27" i="20"/>
  <c r="CV26" i="20"/>
  <c r="CV25" i="20"/>
  <c r="CV24" i="20"/>
  <c r="CV19" i="20"/>
  <c r="CV17" i="20"/>
  <c r="CV15" i="20"/>
  <c r="CV8" i="20"/>
  <c r="CV4" i="20"/>
  <c r="F3" i="21"/>
  <c r="CP171" i="20"/>
  <c r="CP170" i="20"/>
  <c r="CP169" i="20"/>
  <c r="CP168" i="20"/>
  <c r="CP167" i="20"/>
  <c r="CP166" i="20"/>
  <c r="CP146" i="20"/>
  <c r="CP145" i="20"/>
  <c r="CP144" i="20"/>
  <c r="CP143" i="20"/>
  <c r="CP142" i="20"/>
  <c r="CP141" i="20"/>
  <c r="CP136" i="20"/>
  <c r="CP135" i="20"/>
  <c r="CP134" i="20"/>
  <c r="CP133" i="20"/>
  <c r="CP132" i="20"/>
  <c r="CP131" i="20"/>
  <c r="CP111" i="20"/>
  <c r="CP110" i="20"/>
  <c r="CP109" i="20"/>
  <c r="CP108" i="20"/>
  <c r="CP107" i="20"/>
  <c r="CP106" i="20"/>
  <c r="CP101" i="20"/>
  <c r="CP100" i="20"/>
  <c r="CP99" i="20"/>
  <c r="CP98" i="20"/>
  <c r="CP97" i="20"/>
  <c r="CP96" i="20"/>
  <c r="CP76" i="20"/>
  <c r="CP75" i="20"/>
  <c r="CP74" i="20"/>
  <c r="CP73" i="20"/>
  <c r="CP72" i="20"/>
  <c r="CP71" i="20"/>
  <c r="CP34" i="20"/>
  <c r="CP33" i="20"/>
  <c r="CP32" i="20"/>
  <c r="CP31" i="20"/>
  <c r="CP30" i="20"/>
  <c r="CP29" i="20"/>
  <c r="CP9" i="20"/>
  <c r="CP8" i="20"/>
  <c r="CP7" i="20"/>
  <c r="CP6" i="20"/>
  <c r="CP5" i="20"/>
  <c r="CP4" i="20"/>
  <c r="CJ136" i="20"/>
  <c r="CJ135" i="20"/>
  <c r="CJ134" i="20"/>
  <c r="CJ133" i="20"/>
  <c r="CJ132" i="20"/>
  <c r="CJ131" i="20"/>
  <c r="CJ106" i="20"/>
  <c r="CJ105" i="20"/>
  <c r="CJ104" i="20"/>
  <c r="CJ103" i="20"/>
  <c r="CJ102" i="20"/>
  <c r="CJ101" i="20"/>
  <c r="CJ76" i="20"/>
  <c r="CJ75" i="20"/>
  <c r="CJ74" i="20"/>
  <c r="CJ73" i="20"/>
  <c r="CJ72" i="20"/>
  <c r="CJ71" i="20"/>
  <c r="CJ9" i="20"/>
  <c r="CJ8" i="20"/>
  <c r="CJ7" i="20"/>
  <c r="CJ6" i="20"/>
  <c r="CJ5" i="20"/>
  <c r="CJ4" i="20"/>
  <c r="AN9" i="20"/>
  <c r="AN7" i="20"/>
  <c r="AB30" i="25" l="1"/>
  <c r="AB11" i="25"/>
  <c r="AB19" i="25"/>
  <c r="AB27" i="25"/>
  <c r="AB35" i="25"/>
  <c r="AB43" i="25"/>
  <c r="AB44" i="25"/>
  <c r="AB3" i="25"/>
  <c r="AB4" i="25"/>
  <c r="AB13" i="25"/>
  <c r="AB29" i="25"/>
  <c r="AB6" i="25"/>
  <c r="AB14" i="25"/>
  <c r="AB22" i="25"/>
  <c r="AB32" i="25"/>
  <c r="AB7" i="25"/>
  <c r="AB15" i="25"/>
  <c r="AB23" i="25"/>
  <c r="AB31" i="25"/>
  <c r="AB39" i="25"/>
  <c r="AB8" i="25"/>
  <c r="AB16" i="25"/>
  <c r="AB24" i="25"/>
  <c r="AB34" i="25"/>
  <c r="AB20" i="25"/>
  <c r="AB28" i="25"/>
  <c r="AB5" i="25"/>
  <c r="AB21" i="25"/>
  <c r="AB37" i="25"/>
  <c r="S43" i="24"/>
  <c r="S39" i="24"/>
  <c r="S31" i="24"/>
  <c r="S23" i="24"/>
  <c r="S11" i="24"/>
  <c r="S3" i="24"/>
  <c r="S30" i="24"/>
  <c r="S18" i="24"/>
  <c r="S10" i="24"/>
  <c r="S44" i="24"/>
  <c r="S27" i="24"/>
  <c r="S19" i="24"/>
  <c r="S15" i="24"/>
  <c r="S7" i="24"/>
  <c r="S42" i="24"/>
  <c r="S38" i="24"/>
  <c r="S34" i="24"/>
  <c r="S26" i="24"/>
  <c r="S22" i="24"/>
  <c r="S14" i="24"/>
  <c r="S6" i="24"/>
  <c r="S20" i="24"/>
  <c r="S25" i="24"/>
  <c r="S8" i="24"/>
  <c r="S24" i="24"/>
  <c r="S40" i="24"/>
  <c r="S5" i="24"/>
  <c r="S41" i="24"/>
  <c r="S9" i="24"/>
  <c r="S16" i="24"/>
  <c r="S17" i="24"/>
  <c r="S4" i="24"/>
  <c r="S37" i="24"/>
  <c r="S33" i="24"/>
  <c r="S29" i="24"/>
  <c r="S12" i="24"/>
  <c r="S28" i="24"/>
  <c r="S36" i="24"/>
  <c r="S35" i="24"/>
  <c r="S32" i="24"/>
  <c r="S13" i="24"/>
  <c r="S21" i="24"/>
  <c r="AB9" i="25"/>
  <c r="AB17" i="25"/>
  <c r="AB25" i="25"/>
  <c r="AB33" i="25"/>
  <c r="AB41" i="25"/>
  <c r="AB10" i="25"/>
  <c r="AB18" i="25"/>
  <c r="AB26" i="25"/>
  <c r="AB38" i="25"/>
  <c r="AB42" i="25"/>
  <c r="AB36" i="25"/>
  <c r="AB40" i="25"/>
  <c r="CV6" i="20"/>
  <c r="CV14" i="20"/>
  <c r="CV16" i="20"/>
  <c r="CV18" i="20"/>
  <c r="CV5" i="20"/>
  <c r="CV7" i="20"/>
  <c r="F8" i="21"/>
  <c r="G3" i="21"/>
  <c r="CD136" i="20"/>
  <c r="CD135" i="20"/>
  <c r="CD134" i="20"/>
  <c r="CD133" i="20"/>
  <c r="CD132" i="20"/>
  <c r="CD131" i="20"/>
  <c r="CD106" i="20"/>
  <c r="CD105" i="20"/>
  <c r="CD104" i="20"/>
  <c r="CD103" i="20"/>
  <c r="CD102" i="20"/>
  <c r="CD101" i="20"/>
  <c r="CD76" i="20"/>
  <c r="CD75" i="20"/>
  <c r="CD74" i="20"/>
  <c r="CD73" i="20"/>
  <c r="CD72" i="20"/>
  <c r="CD71" i="20"/>
  <c r="BX136" i="20"/>
  <c r="BX135" i="20"/>
  <c r="BX134" i="20"/>
  <c r="BX133" i="20"/>
  <c r="BX132" i="20"/>
  <c r="BX131" i="20"/>
  <c r="BX106" i="20"/>
  <c r="BX105" i="20"/>
  <c r="BX104" i="20"/>
  <c r="BX103" i="20"/>
  <c r="BX102" i="20"/>
  <c r="BX101" i="20"/>
  <c r="BX76" i="20"/>
  <c r="BX75" i="20"/>
  <c r="BX74" i="20"/>
  <c r="BX73" i="20"/>
  <c r="BX72" i="20"/>
  <c r="BX71" i="20"/>
  <c r="BR182" i="20"/>
  <c r="BR181" i="20"/>
  <c r="BR180" i="20"/>
  <c r="BR179" i="20"/>
  <c r="BR178" i="20"/>
  <c r="BR177" i="20"/>
  <c r="BR154" i="20"/>
  <c r="BR153" i="20"/>
  <c r="BR152" i="20"/>
  <c r="BR151" i="20"/>
  <c r="BR150" i="20"/>
  <c r="BR149" i="20"/>
  <c r="BR143" i="20"/>
  <c r="BR142" i="20"/>
  <c r="BR141" i="20"/>
  <c r="BR140" i="20"/>
  <c r="BR139" i="20"/>
  <c r="BR138" i="20"/>
  <c r="BR115" i="20"/>
  <c r="BR114" i="20"/>
  <c r="BR113" i="20"/>
  <c r="BR112" i="20"/>
  <c r="BR111" i="20"/>
  <c r="BR110" i="20"/>
  <c r="BR104" i="20"/>
  <c r="BR103" i="20"/>
  <c r="BR102" i="20"/>
  <c r="BR101" i="20"/>
  <c r="BR100" i="20"/>
  <c r="BR99" i="20"/>
  <c r="BR76" i="20"/>
  <c r="BR75" i="20"/>
  <c r="BR74" i="20"/>
  <c r="BR73" i="20"/>
  <c r="BR72" i="20"/>
  <c r="BR71" i="20"/>
  <c r="BL239" i="20"/>
  <c r="BL238" i="20"/>
  <c r="BL237" i="20"/>
  <c r="BL236" i="20"/>
  <c r="BL235" i="20"/>
  <c r="BL234" i="20"/>
  <c r="BL230" i="20"/>
  <c r="BL229" i="20"/>
  <c r="BL228" i="20"/>
  <c r="BL227" i="20"/>
  <c r="BL226" i="20"/>
  <c r="BL225" i="20"/>
  <c r="BL212" i="20"/>
  <c r="BL211" i="20"/>
  <c r="BL210" i="20"/>
  <c r="BL209" i="20"/>
  <c r="BL208" i="20"/>
  <c r="BL207" i="20"/>
  <c r="BL203" i="20"/>
  <c r="BL202" i="20"/>
  <c r="BL201" i="20"/>
  <c r="BL200" i="20"/>
  <c r="BL199" i="20"/>
  <c r="BL198" i="20"/>
  <c r="BL176" i="20"/>
  <c r="BL175" i="20"/>
  <c r="BL174" i="20"/>
  <c r="BL173" i="20"/>
  <c r="BL172" i="20"/>
  <c r="BL171" i="20"/>
  <c r="BL167" i="20"/>
  <c r="BL166" i="20"/>
  <c r="BL165" i="20"/>
  <c r="BL164" i="20"/>
  <c r="BL163" i="20"/>
  <c r="BL162" i="20"/>
  <c r="BL149" i="20"/>
  <c r="BL148" i="20"/>
  <c r="BL147" i="20"/>
  <c r="BL146" i="20"/>
  <c r="BL145" i="20"/>
  <c r="BL144" i="20"/>
  <c r="BL140" i="20"/>
  <c r="BL139" i="20"/>
  <c r="BL138" i="20"/>
  <c r="BL137" i="20"/>
  <c r="BL136" i="20"/>
  <c r="BL135" i="20"/>
  <c r="BL113" i="20"/>
  <c r="BL112" i="20"/>
  <c r="BL111" i="20"/>
  <c r="BL110" i="20"/>
  <c r="BL109" i="20"/>
  <c r="BL108" i="20"/>
  <c r="BL103" i="20"/>
  <c r="BL102" i="20"/>
  <c r="BL101" i="20"/>
  <c r="BL100" i="20"/>
  <c r="BL99" i="20"/>
  <c r="BL98" i="20"/>
  <c r="BL85" i="20"/>
  <c r="BL84" i="20"/>
  <c r="BL83" i="20"/>
  <c r="BL82" i="20"/>
  <c r="BL81" i="20"/>
  <c r="BL80" i="20"/>
  <c r="BL76" i="20"/>
  <c r="BL75" i="20"/>
  <c r="BL74" i="20"/>
  <c r="BL73" i="20"/>
  <c r="BL72" i="20"/>
  <c r="BL71" i="20"/>
  <c r="AZ159" i="20"/>
  <c r="AZ158" i="20"/>
  <c r="AZ157" i="20"/>
  <c r="AZ156" i="20"/>
  <c r="AZ155" i="20"/>
  <c r="AZ154" i="20"/>
  <c r="AZ142" i="20"/>
  <c r="AZ141" i="20"/>
  <c r="AZ140" i="20"/>
  <c r="AZ139" i="20"/>
  <c r="AZ138" i="20"/>
  <c r="AZ137" i="20"/>
  <c r="AZ126" i="20"/>
  <c r="AZ125" i="20"/>
  <c r="AZ124" i="20"/>
  <c r="AZ123" i="20"/>
  <c r="AZ122" i="20"/>
  <c r="AZ121" i="20"/>
  <c r="AZ109" i="20"/>
  <c r="AZ108" i="20"/>
  <c r="AZ107" i="20"/>
  <c r="AZ106" i="20"/>
  <c r="AZ105" i="20"/>
  <c r="AZ104" i="20"/>
  <c r="AZ93" i="20"/>
  <c r="AZ92" i="20"/>
  <c r="AZ91" i="20"/>
  <c r="AZ90" i="20"/>
  <c r="AZ89" i="20"/>
  <c r="AZ88" i="20"/>
  <c r="AZ76" i="20"/>
  <c r="AZ75" i="20"/>
  <c r="AZ74" i="20"/>
  <c r="AZ73" i="20"/>
  <c r="AZ72" i="20"/>
  <c r="AZ71" i="20"/>
  <c r="AN135" i="20"/>
  <c r="AN134" i="20"/>
  <c r="AN133" i="20"/>
  <c r="AN132" i="20"/>
  <c r="AN131" i="20"/>
  <c r="AN130" i="20"/>
  <c r="AN105" i="20"/>
  <c r="AN104" i="20"/>
  <c r="AN103" i="20"/>
  <c r="AN102" i="20"/>
  <c r="AN101" i="20"/>
  <c r="AN100" i="20"/>
  <c r="AN76" i="20"/>
  <c r="AN75" i="20"/>
  <c r="AN74" i="20"/>
  <c r="AN73" i="20"/>
  <c r="AN72" i="20"/>
  <c r="AN71" i="20"/>
  <c r="AH108" i="20"/>
  <c r="AH107" i="20"/>
  <c r="AH106" i="20"/>
  <c r="AH105" i="20"/>
  <c r="AH104" i="20"/>
  <c r="AH103" i="20"/>
  <c r="AH92" i="20"/>
  <c r="AH91" i="20"/>
  <c r="AH90" i="20"/>
  <c r="AH88" i="20"/>
  <c r="AH87" i="20"/>
  <c r="AH76" i="20"/>
  <c r="AH75" i="20"/>
  <c r="AH74" i="20"/>
  <c r="AH73" i="20"/>
  <c r="AH72" i="20"/>
  <c r="AH71" i="20"/>
  <c r="H3" i="21" l="1"/>
  <c r="H8" i="21" s="1"/>
  <c r="D10" i="21" s="1"/>
  <c r="E16" i="21" s="1"/>
  <c r="G8" i="21"/>
  <c r="H44" i="17"/>
  <c r="G44" i="17"/>
  <c r="I44" i="17"/>
  <c r="J44" i="17"/>
  <c r="K44" i="17"/>
  <c r="L44" i="17"/>
  <c r="M44" i="17"/>
  <c r="N44" i="17"/>
  <c r="Y5" i="17"/>
  <c r="Y4" i="17"/>
  <c r="Y3" i="17"/>
  <c r="CD4" i="20"/>
  <c r="CD8" i="20" l="1"/>
  <c r="CD9" i="20"/>
  <c r="CD7" i="20"/>
  <c r="CD6" i="20"/>
  <c r="CD5" i="20"/>
  <c r="BX9" i="20"/>
  <c r="BX8" i="20" l="1"/>
  <c r="BX7" i="20"/>
  <c r="BX6" i="20"/>
  <c r="BX5" i="20"/>
  <c r="BX4" i="20"/>
  <c r="BR37" i="20"/>
  <c r="BR36" i="20"/>
  <c r="BR35" i="20"/>
  <c r="BR34" i="20"/>
  <c r="BR33" i="20"/>
  <c r="BR32" i="20"/>
  <c r="BR9" i="20"/>
  <c r="BR8" i="20"/>
  <c r="BR7" i="20"/>
  <c r="BR6" i="20"/>
  <c r="BR5" i="20"/>
  <c r="BR4" i="20"/>
  <c r="S44" i="22"/>
  <c r="R44" i="22"/>
  <c r="P44" i="22"/>
  <c r="Q44" i="22"/>
  <c r="BL43" i="20" l="1"/>
  <c r="BL45" i="20"/>
  <c r="BL44" i="20"/>
  <c r="BL42" i="20"/>
  <c r="BL41" i="20"/>
  <c r="BL40" i="20"/>
  <c r="BL36" i="20"/>
  <c r="BL35" i="20"/>
  <c r="BL34" i="20"/>
  <c r="BL33" i="20"/>
  <c r="BL32" i="20"/>
  <c r="BL31" i="20"/>
  <c r="BL18" i="20"/>
  <c r="BL17" i="20"/>
  <c r="BL16" i="20"/>
  <c r="BL15" i="20"/>
  <c r="BL14" i="20"/>
  <c r="BL13" i="20"/>
  <c r="BL9" i="20"/>
  <c r="BL8" i="20"/>
  <c r="BL7" i="20"/>
  <c r="BL6" i="20"/>
  <c r="BL5" i="20"/>
  <c r="BL4" i="20"/>
  <c r="BF157" i="20"/>
  <c r="BF156" i="20"/>
  <c r="BF155" i="20"/>
  <c r="BF154" i="20"/>
  <c r="BF153" i="20"/>
  <c r="BF152" i="20"/>
  <c r="BF121" i="20"/>
  <c r="BF120" i="20"/>
  <c r="BF119" i="20"/>
  <c r="BF118" i="20"/>
  <c r="BF117" i="20"/>
  <c r="BF116" i="20"/>
  <c r="BF112" i="20"/>
  <c r="BF111" i="20"/>
  <c r="BF110" i="20"/>
  <c r="BF109" i="20"/>
  <c r="BF108" i="20"/>
  <c r="BF107" i="20"/>
  <c r="BF85" i="20"/>
  <c r="BF84" i="20"/>
  <c r="BF83" i="20"/>
  <c r="BF82" i="20"/>
  <c r="BF81" i="20"/>
  <c r="BF80" i="20"/>
  <c r="BF76" i="20"/>
  <c r="BF75" i="20"/>
  <c r="BF74" i="20"/>
  <c r="BF73" i="20"/>
  <c r="BF72" i="20"/>
  <c r="BF71" i="20"/>
  <c r="BF18" i="20"/>
  <c r="BF17" i="20"/>
  <c r="BF16" i="20"/>
  <c r="BF15" i="20"/>
  <c r="BF14" i="20"/>
  <c r="BF13" i="20"/>
  <c r="BF9" i="20"/>
  <c r="BF8" i="20"/>
  <c r="BF7" i="20"/>
  <c r="BF6" i="20"/>
  <c r="BF5" i="20"/>
  <c r="BF4" i="20"/>
  <c r="AH3" i="23" l="1"/>
  <c r="AH4" i="23"/>
  <c r="AH5" i="23"/>
  <c r="AH6" i="23"/>
  <c r="AH7" i="23"/>
  <c r="AH8" i="23"/>
  <c r="AH9" i="23"/>
  <c r="AH10" i="23"/>
  <c r="AH11" i="23"/>
  <c r="AH12" i="23"/>
  <c r="AH13" i="23"/>
  <c r="AH14" i="23"/>
  <c r="AH15" i="23"/>
  <c r="AH16" i="23"/>
  <c r="AH17" i="23"/>
  <c r="AH18" i="23"/>
  <c r="AH19" i="23"/>
  <c r="AH20" i="23"/>
  <c r="AH21" i="23"/>
  <c r="AH22" i="23"/>
  <c r="AH23" i="23"/>
  <c r="AH24" i="23"/>
  <c r="AH25" i="23"/>
  <c r="AH26" i="23"/>
  <c r="AH27" i="23"/>
  <c r="AH28" i="23"/>
  <c r="AH29" i="23"/>
  <c r="AH30" i="23"/>
  <c r="AH31" i="23"/>
  <c r="AH32" i="23"/>
  <c r="AH33" i="23"/>
  <c r="AH34" i="23"/>
  <c r="AH35" i="23"/>
  <c r="AH36" i="23"/>
  <c r="AH37" i="23"/>
  <c r="AH38" i="23"/>
  <c r="AH39" i="23"/>
  <c r="AH40" i="23"/>
  <c r="AH41" i="23"/>
  <c r="AH42" i="23"/>
  <c r="AH43" i="23"/>
  <c r="AD44" i="23"/>
  <c r="AE44" i="23"/>
  <c r="AF44" i="23"/>
  <c r="AG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I44" i="23"/>
  <c r="AC44" i="23" l="1"/>
  <c r="H44" i="23"/>
  <c r="G44" i="23"/>
  <c r="F44" i="23"/>
  <c r="E44" i="23"/>
  <c r="D44" i="23"/>
  <c r="C44" i="23"/>
  <c r="AL44" i="22"/>
  <c r="AM44" i="22"/>
  <c r="AN44" i="22"/>
  <c r="AO44" i="22"/>
  <c r="AP44" i="22"/>
  <c r="AQ44" i="22"/>
  <c r="AR44" i="22"/>
  <c r="AS44" i="22"/>
  <c r="AT44" i="22"/>
  <c r="AU44" i="22"/>
  <c r="AV44" i="22"/>
  <c r="AW44" i="22"/>
  <c r="AX44" i="22"/>
  <c r="AY44" i="22"/>
  <c r="AZ44" i="22"/>
  <c r="AE44" i="22"/>
  <c r="AF44" i="22"/>
  <c r="AG44" i="22"/>
  <c r="AH44" i="22"/>
  <c r="AI44" i="22"/>
  <c r="AJ44" i="22"/>
  <c r="AK44" i="22"/>
  <c r="AD44" i="22"/>
  <c r="AH44" i="23" l="1"/>
  <c r="AI44" i="23" s="1"/>
  <c r="AA44" i="22"/>
  <c r="AB44" i="22"/>
  <c r="Z44" i="22"/>
  <c r="AI40" i="23" l="1"/>
  <c r="AI36" i="23"/>
  <c r="AI32" i="23"/>
  <c r="AI28" i="23"/>
  <c r="AI24" i="23"/>
  <c r="AI20" i="23"/>
  <c r="AI16" i="23"/>
  <c r="AI12" i="23"/>
  <c r="AI8" i="23"/>
  <c r="AI4" i="23"/>
  <c r="AI29" i="23"/>
  <c r="AI25" i="23"/>
  <c r="AI21" i="23"/>
  <c r="AI17" i="23"/>
  <c r="AI13" i="23"/>
  <c r="AI9" i="23"/>
  <c r="AI5" i="23"/>
  <c r="AI43" i="23"/>
  <c r="AI39" i="23"/>
  <c r="AI35" i="23"/>
  <c r="AI41" i="23"/>
  <c r="AI37" i="23"/>
  <c r="AI33" i="23"/>
  <c r="AI42" i="23"/>
  <c r="AI38" i="23"/>
  <c r="AI34" i="23"/>
  <c r="AI30" i="23"/>
  <c r="AI26" i="23"/>
  <c r="AI22" i="23"/>
  <c r="AI18" i="23"/>
  <c r="AI14" i="23"/>
  <c r="AI10" i="23"/>
  <c r="AI6" i="23"/>
  <c r="AI31" i="23"/>
  <c r="AI27" i="23"/>
  <c r="AI23" i="23"/>
  <c r="AI19" i="23"/>
  <c r="AI15" i="23"/>
  <c r="AI11" i="23"/>
  <c r="AI7" i="23"/>
  <c r="AI3" i="23"/>
  <c r="N44" i="22"/>
  <c r="O44" i="22"/>
  <c r="K44" i="22"/>
  <c r="L44" i="22"/>
  <c r="M44" i="22"/>
  <c r="T44" i="22"/>
  <c r="U44" i="22"/>
  <c r="V44" i="22"/>
  <c r="W44" i="22"/>
  <c r="X44" i="22"/>
  <c r="J44" i="22"/>
  <c r="BA42" i="22"/>
  <c r="E44" i="22"/>
  <c r="D44" i="22"/>
  <c r="F44" i="22"/>
  <c r="G44" i="22"/>
  <c r="H44" i="22"/>
  <c r="C44" i="22"/>
  <c r="BA44" i="22" l="1"/>
  <c r="BA25" i="22"/>
  <c r="BA19" i="22"/>
  <c r="BA12" i="22"/>
  <c r="BA9" i="22"/>
  <c r="BA6" i="22"/>
  <c r="BA5" i="22"/>
  <c r="BA7" i="22"/>
  <c r="BA8" i="22"/>
  <c r="BA10" i="22"/>
  <c r="BA11" i="22"/>
  <c r="BA13" i="22"/>
  <c r="BA14" i="22"/>
  <c r="BA15" i="22"/>
  <c r="BA16" i="22"/>
  <c r="BA17" i="22"/>
  <c r="BA18" i="22"/>
  <c r="BA20" i="22"/>
  <c r="BA21" i="22"/>
  <c r="BA22" i="22"/>
  <c r="BA23" i="22"/>
  <c r="BA24" i="22"/>
  <c r="BA26" i="22"/>
  <c r="BA27" i="22"/>
  <c r="BA28" i="22"/>
  <c r="BA29" i="22"/>
  <c r="BA30" i="22"/>
  <c r="BA31" i="22"/>
  <c r="BA32" i="22"/>
  <c r="BA33" i="22"/>
  <c r="BA34" i="22"/>
  <c r="BA35" i="22"/>
  <c r="BA36" i="22"/>
  <c r="BA37" i="22"/>
  <c r="BA38" i="22"/>
  <c r="BA39" i="22"/>
  <c r="BA40" i="22"/>
  <c r="BA41" i="22"/>
  <c r="BA43" i="22"/>
  <c r="BA4" i="22"/>
  <c r="BA3" i="22"/>
  <c r="N44" i="18" l="1"/>
  <c r="M44" i="18"/>
  <c r="C44" i="18"/>
  <c r="B44" i="18"/>
  <c r="AH89" i="20"/>
  <c r="BF148" i="20"/>
  <c r="BF147" i="20"/>
  <c r="BF146" i="20"/>
  <c r="BF145" i="20"/>
  <c r="BF144" i="20"/>
  <c r="BF143" i="20"/>
  <c r="AZ21" i="20"/>
  <c r="AZ6" i="20"/>
  <c r="AZ5" i="20"/>
  <c r="AZ4" i="20"/>
  <c r="AT104" i="20"/>
  <c r="AT103" i="20"/>
  <c r="AT102" i="20"/>
  <c r="AT101" i="20"/>
  <c r="AT87" i="20"/>
  <c r="AT100" i="20"/>
  <c r="AT99" i="20"/>
  <c r="AT90" i="20"/>
  <c r="AT89" i="20"/>
  <c r="AT88" i="20"/>
  <c r="AT86" i="20"/>
  <c r="AT85" i="20"/>
  <c r="AT76" i="20"/>
  <c r="AT75" i="20"/>
  <c r="AT74" i="20"/>
  <c r="AT73" i="20"/>
  <c r="AT72" i="20"/>
  <c r="AT71" i="20"/>
  <c r="AZ26" i="20" l="1"/>
  <c r="AZ25" i="20"/>
  <c r="AZ24" i="20"/>
  <c r="AZ23" i="20"/>
  <c r="AZ22" i="20"/>
  <c r="AZ9" i="20"/>
  <c r="AZ8" i="20"/>
  <c r="AZ7" i="20"/>
  <c r="D44" i="19"/>
  <c r="E44" i="19"/>
  <c r="I3" i="21" l="1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3" i="15"/>
  <c r="I8" i="21" l="1"/>
  <c r="L44" i="15"/>
  <c r="K44" i="15"/>
  <c r="J44" i="15"/>
  <c r="I44" i="15"/>
  <c r="H44" i="15"/>
  <c r="G44" i="15"/>
  <c r="F44" i="15"/>
  <c r="E44" i="15"/>
  <c r="D44" i="15"/>
  <c r="C44" i="15"/>
  <c r="B44" i="15"/>
  <c r="J3" i="21" l="1"/>
  <c r="K3" i="21" s="1"/>
  <c r="M44" i="15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AA38" i="19"/>
  <c r="AA39" i="19"/>
  <c r="AA40" i="19"/>
  <c r="AA41" i="19"/>
  <c r="AA42" i="19"/>
  <c r="AA43" i="19"/>
  <c r="AA7" i="19"/>
  <c r="AA6" i="19"/>
  <c r="AA5" i="19"/>
  <c r="AA4" i="19"/>
  <c r="AA3" i="19"/>
  <c r="Z44" i="19"/>
  <c r="K8" i="21" l="1"/>
  <c r="D11" i="21" s="1"/>
  <c r="B14" i="21" s="1"/>
  <c r="J8" i="21"/>
  <c r="N44" i="15"/>
  <c r="N3" i="15"/>
  <c r="N41" i="15"/>
  <c r="N37" i="15"/>
  <c r="N33" i="15"/>
  <c r="N29" i="15"/>
  <c r="N25" i="15"/>
  <c r="N21" i="15"/>
  <c r="N17" i="15"/>
  <c r="N13" i="15"/>
  <c r="N9" i="15"/>
  <c r="N5" i="15"/>
  <c r="N8" i="15"/>
  <c r="N42" i="15"/>
  <c r="N38" i="15"/>
  <c r="N34" i="15"/>
  <c r="N30" i="15"/>
  <c r="N26" i="15"/>
  <c r="N22" i="15"/>
  <c r="N18" i="15"/>
  <c r="N14" i="15"/>
  <c r="N10" i="15"/>
  <c r="N43" i="15"/>
  <c r="N39" i="15"/>
  <c r="N35" i="15"/>
  <c r="N31" i="15"/>
  <c r="N27" i="15"/>
  <c r="N23" i="15"/>
  <c r="N19" i="15"/>
  <c r="N15" i="15"/>
  <c r="N11" i="15"/>
  <c r="N7" i="15"/>
  <c r="N4" i="15"/>
  <c r="N40" i="15"/>
  <c r="N36" i="15"/>
  <c r="N32" i="15"/>
  <c r="N28" i="15"/>
  <c r="N24" i="15"/>
  <c r="N20" i="15"/>
  <c r="N16" i="15"/>
  <c r="N12" i="15"/>
  <c r="N6" i="15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C44" i="19"/>
  <c r="B44" i="19"/>
  <c r="E17" i="21" l="1"/>
  <c r="B17" i="21"/>
  <c r="B16" i="21"/>
  <c r="AA44" i="19"/>
  <c r="AB44" i="19" s="1"/>
  <c r="T44" i="18"/>
  <c r="U44" i="18"/>
  <c r="V44" i="18"/>
  <c r="W44" i="18"/>
  <c r="X44" i="18"/>
  <c r="Y44" i="18"/>
  <c r="Z44" i="18"/>
  <c r="AA44" i="18"/>
  <c r="AB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" i="18"/>
  <c r="AB3" i="18"/>
  <c r="AB32" i="19" l="1"/>
  <c r="AB40" i="19"/>
  <c r="AB24" i="19"/>
  <c r="AB16" i="19"/>
  <c r="AB4" i="19"/>
  <c r="AB29" i="19"/>
  <c r="AB3" i="19"/>
  <c r="AB36" i="19"/>
  <c r="AB28" i="19"/>
  <c r="AB20" i="19"/>
  <c r="AB12" i="19"/>
  <c r="AB37" i="19"/>
  <c r="AB21" i="19"/>
  <c r="AB8" i="19"/>
  <c r="AB41" i="19"/>
  <c r="AB33" i="19"/>
  <c r="AB25" i="19"/>
  <c r="AB17" i="19"/>
  <c r="AB13" i="19"/>
  <c r="AB9" i="19"/>
  <c r="AB42" i="19"/>
  <c r="AB38" i="19"/>
  <c r="AB34" i="19"/>
  <c r="AB30" i="19"/>
  <c r="AB26" i="19"/>
  <c r="AB22" i="19"/>
  <c r="AB18" i="19"/>
  <c r="AB14" i="19"/>
  <c r="AB10" i="19"/>
  <c r="AB6" i="19"/>
  <c r="AB43" i="19"/>
  <c r="AB39" i="19"/>
  <c r="AB35" i="19"/>
  <c r="AB31" i="19"/>
  <c r="AB27" i="19"/>
  <c r="AB23" i="19"/>
  <c r="AB19" i="19"/>
  <c r="AB15" i="19"/>
  <c r="AB11" i="19"/>
  <c r="AB7" i="19"/>
  <c r="AB5" i="19"/>
  <c r="AB44" i="18"/>
  <c r="S44" i="18"/>
  <c r="R44" i="18"/>
  <c r="Q44" i="18"/>
  <c r="P44" i="18"/>
  <c r="O44" i="18"/>
  <c r="L44" i="18"/>
  <c r="K44" i="18"/>
  <c r="J44" i="18"/>
  <c r="I44" i="18"/>
  <c r="H44" i="18"/>
  <c r="G44" i="18"/>
  <c r="F44" i="18"/>
  <c r="D44" i="18"/>
  <c r="AC5" i="18" l="1"/>
  <c r="AC7" i="18"/>
  <c r="AC9" i="18"/>
  <c r="AC11" i="18"/>
  <c r="AC13" i="18"/>
  <c r="AC15" i="18"/>
  <c r="AC17" i="18"/>
  <c r="AC19" i="18"/>
  <c r="AC21" i="18"/>
  <c r="AC25" i="18"/>
  <c r="AC27" i="18"/>
  <c r="AC29" i="18"/>
  <c r="AC31" i="18"/>
  <c r="AC33" i="18"/>
  <c r="AC35" i="18"/>
  <c r="AC37" i="18"/>
  <c r="AC39" i="18"/>
  <c r="AC41" i="18"/>
  <c r="AC43" i="18"/>
  <c r="AC3" i="18"/>
  <c r="AC6" i="18"/>
  <c r="AC8" i="18"/>
  <c r="AC10" i="18"/>
  <c r="AC12" i="18"/>
  <c r="AC14" i="18"/>
  <c r="AC16" i="18"/>
  <c r="AC18" i="18"/>
  <c r="AC20" i="18"/>
  <c r="AC22" i="18"/>
  <c r="AC24" i="18"/>
  <c r="AC26" i="18"/>
  <c r="AC28" i="18"/>
  <c r="AC30" i="18"/>
  <c r="AC32" i="18"/>
  <c r="AC34" i="18"/>
  <c r="AC36" i="18"/>
  <c r="AC38" i="18"/>
  <c r="AC40" i="18"/>
  <c r="AC42" i="18"/>
  <c r="AC4" i="18"/>
  <c r="AC23" i="18"/>
  <c r="Y16" i="17"/>
  <c r="Y17" i="17"/>
  <c r="Y18" i="17"/>
  <c r="Y19" i="17"/>
  <c r="Y20" i="17"/>
  <c r="X44" i="17"/>
  <c r="W44" i="17"/>
  <c r="V44" i="17"/>
  <c r="U44" i="17"/>
  <c r="T44" i="17"/>
  <c r="S44" i="17"/>
  <c r="R44" i="17"/>
  <c r="Q44" i="17"/>
  <c r="P44" i="17"/>
  <c r="O44" i="17"/>
  <c r="F44" i="17"/>
  <c r="E44" i="17"/>
  <c r="D44" i="17"/>
  <c r="C44" i="17"/>
  <c r="B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15" i="17"/>
  <c r="Y14" i="17"/>
  <c r="Y13" i="17"/>
  <c r="Y12" i="17"/>
  <c r="Y11" i="17"/>
  <c r="Y10" i="17"/>
  <c r="Y9" i="17"/>
  <c r="Y8" i="17"/>
  <c r="Y7" i="17"/>
  <c r="Y6" i="17"/>
  <c r="AA38" i="16"/>
  <c r="AA39" i="16"/>
  <c r="AA40" i="16"/>
  <c r="AA15" i="16"/>
  <c r="AA14" i="16"/>
  <c r="AA13" i="16"/>
  <c r="AA12" i="16"/>
  <c r="AA8" i="16"/>
  <c r="AA6" i="16"/>
  <c r="AA5" i="16"/>
  <c r="AA4" i="16"/>
  <c r="AA3" i="16"/>
  <c r="U43" i="16"/>
  <c r="V43" i="16"/>
  <c r="W43" i="16"/>
  <c r="X43" i="16"/>
  <c r="Y43" i="16"/>
  <c r="Z43" i="16"/>
  <c r="Y44" i="17" l="1"/>
  <c r="AC44" i="18"/>
  <c r="AA7" i="16"/>
  <c r="AA9" i="16"/>
  <c r="AA10" i="16"/>
  <c r="AA11" i="16"/>
  <c r="AA16" i="16"/>
  <c r="AA17" i="16"/>
  <c r="AA18" i="16"/>
  <c r="AA19" i="16"/>
  <c r="AA20" i="16"/>
  <c r="AA21" i="16"/>
  <c r="AA22" i="16"/>
  <c r="AA23" i="16"/>
  <c r="AA24" i="16"/>
  <c r="AA25" i="16"/>
  <c r="AA26" i="16"/>
  <c r="AA27" i="16"/>
  <c r="AA28" i="16"/>
  <c r="AA29" i="16"/>
  <c r="AA30" i="16"/>
  <c r="AA31" i="16"/>
  <c r="AA32" i="16"/>
  <c r="AA33" i="16"/>
  <c r="AA34" i="16"/>
  <c r="AA35" i="16"/>
  <c r="AA36" i="16"/>
  <c r="AA37" i="16"/>
  <c r="AA41" i="16"/>
  <c r="AA42" i="16"/>
  <c r="L43" i="16"/>
  <c r="M43" i="16"/>
  <c r="N43" i="16"/>
  <c r="O43" i="16"/>
  <c r="P43" i="16"/>
  <c r="Q43" i="16"/>
  <c r="R43" i="16"/>
  <c r="S43" i="16"/>
  <c r="T43" i="16"/>
  <c r="K43" i="16"/>
  <c r="J43" i="16"/>
  <c r="I43" i="16"/>
  <c r="H43" i="16"/>
  <c r="F43" i="16"/>
  <c r="E43" i="16"/>
  <c r="D43" i="16"/>
  <c r="C43" i="16"/>
  <c r="B43" i="16"/>
  <c r="G43" i="16"/>
  <c r="Z44" i="17" l="1"/>
  <c r="Z17" i="17"/>
  <c r="Z19" i="17"/>
  <c r="Z21" i="17"/>
  <c r="Z23" i="17"/>
  <c r="Z16" i="17"/>
  <c r="Z18" i="17"/>
  <c r="Z20" i="17"/>
  <c r="Z22" i="17"/>
  <c r="Z24" i="17"/>
  <c r="Z42" i="17"/>
  <c r="Z38" i="17"/>
  <c r="Z3" i="17"/>
  <c r="Z40" i="17"/>
  <c r="Z32" i="17"/>
  <c r="Z36" i="17"/>
  <c r="Z28" i="17"/>
  <c r="Z13" i="17"/>
  <c r="Z34" i="17"/>
  <c r="Z30" i="17"/>
  <c r="Z26" i="17"/>
  <c r="Z9" i="17"/>
  <c r="Z15" i="17"/>
  <c r="Z11" i="17"/>
  <c r="Z5" i="17"/>
  <c r="Z41" i="17"/>
  <c r="Z33" i="17"/>
  <c r="Z7" i="17"/>
  <c r="Z43" i="17"/>
  <c r="Z39" i="17"/>
  <c r="Z25" i="17"/>
  <c r="Z37" i="17"/>
  <c r="Z29" i="17"/>
  <c r="Z35" i="17"/>
  <c r="Z31" i="17"/>
  <c r="Z27" i="17"/>
  <c r="Z12" i="17"/>
  <c r="Z8" i="17"/>
  <c r="Z14" i="17"/>
  <c r="Z10" i="17"/>
  <c r="Z6" i="17"/>
  <c r="Z4" i="17"/>
  <c r="AA43" i="16"/>
  <c r="AA39" i="14"/>
  <c r="AA40" i="14"/>
  <c r="AA41" i="14"/>
  <c r="Z42" i="14"/>
  <c r="Y42" i="14"/>
  <c r="T42" i="14"/>
  <c r="U42" i="14"/>
  <c r="V42" i="14"/>
  <c r="W42" i="14"/>
  <c r="X42" i="14"/>
  <c r="S42" i="14"/>
  <c r="R42" i="14"/>
  <c r="Q42" i="14"/>
  <c r="O42" i="14"/>
  <c r="N42" i="14"/>
  <c r="M42" i="14"/>
  <c r="L42" i="14"/>
  <c r="D42" i="14"/>
  <c r="C42" i="14"/>
  <c r="B42" i="14"/>
  <c r="AA22" i="14"/>
  <c r="AA14" i="14"/>
  <c r="AA3" i="14"/>
  <c r="K42" i="14"/>
  <c r="AA5" i="14"/>
  <c r="AA4" i="14"/>
  <c r="AA6" i="14"/>
  <c r="AA7" i="14"/>
  <c r="AA8" i="14"/>
  <c r="AA9" i="14"/>
  <c r="AA10" i="14"/>
  <c r="AA11" i="14"/>
  <c r="AA12" i="14"/>
  <c r="AA13" i="14"/>
  <c r="AA15" i="14"/>
  <c r="AA16" i="14"/>
  <c r="AA17" i="14"/>
  <c r="AA18" i="14"/>
  <c r="AA19" i="14"/>
  <c r="AA20" i="14"/>
  <c r="AA21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G42" i="14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8" i="13"/>
  <c r="L9" i="13"/>
  <c r="AB43" i="16" l="1"/>
  <c r="AB40" i="16"/>
  <c r="AB39" i="16"/>
  <c r="AB38" i="16"/>
  <c r="AB3" i="16"/>
  <c r="J42" i="14"/>
  <c r="I42" i="14"/>
  <c r="H42" i="14"/>
  <c r="F42" i="14"/>
  <c r="E42" i="14"/>
  <c r="AB42" i="16" l="1"/>
  <c r="AB28" i="16"/>
  <c r="AB30" i="16"/>
  <c r="AB29" i="16"/>
  <c r="AB31" i="16"/>
  <c r="AB41" i="16"/>
  <c r="AB36" i="16"/>
  <c r="AB34" i="16"/>
  <c r="AB25" i="16"/>
  <c r="AB21" i="16"/>
  <c r="AB17" i="16"/>
  <c r="AB13" i="16"/>
  <c r="AB9" i="16"/>
  <c r="AB5" i="16"/>
  <c r="AB35" i="16"/>
  <c r="AB26" i="16"/>
  <c r="AB22" i="16"/>
  <c r="AB18" i="16"/>
  <c r="AB14" i="16"/>
  <c r="AB10" i="16"/>
  <c r="AB6" i="16"/>
  <c r="AB32" i="16"/>
  <c r="AB27" i="16"/>
  <c r="AB23" i="16"/>
  <c r="AB19" i="16"/>
  <c r="AB15" i="16"/>
  <c r="AB11" i="16"/>
  <c r="AB7" i="16"/>
  <c r="AB37" i="16"/>
  <c r="AB33" i="16"/>
  <c r="AB24" i="16"/>
  <c r="AB20" i="16"/>
  <c r="AB16" i="16"/>
  <c r="AB12" i="16"/>
  <c r="AB8" i="16"/>
  <c r="AB4" i="16"/>
  <c r="AA42" i="14"/>
  <c r="K40" i="13"/>
  <c r="J40" i="13"/>
  <c r="I40" i="13"/>
  <c r="H40" i="13"/>
  <c r="G40" i="13"/>
  <c r="F40" i="13"/>
  <c r="E40" i="13"/>
  <c r="D40" i="13"/>
  <c r="C40" i="13"/>
  <c r="B40" i="13"/>
  <c r="L39" i="13"/>
  <c r="L38" i="13"/>
  <c r="L37" i="13"/>
  <c r="L12" i="13"/>
  <c r="L11" i="13"/>
  <c r="L10" i="13"/>
  <c r="L7" i="13"/>
  <c r="L6" i="13"/>
  <c r="L5" i="13"/>
  <c r="L4" i="13"/>
  <c r="L3" i="13"/>
  <c r="AC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AB6" i="11"/>
  <c r="AB5" i="11"/>
  <c r="AB4" i="11"/>
  <c r="AB3" i="11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B31" i="10"/>
  <c r="AB30" i="10"/>
  <c r="AB29" i="10"/>
  <c r="AB28" i="10"/>
  <c r="AB27" i="10"/>
  <c r="AB26" i="10"/>
  <c r="AB25" i="10"/>
  <c r="AB24" i="10"/>
  <c r="AB23" i="10"/>
  <c r="AB22" i="10"/>
  <c r="AB21" i="10"/>
  <c r="AB20" i="10"/>
  <c r="AB19" i="10"/>
  <c r="AB18" i="10"/>
  <c r="AB17" i="10"/>
  <c r="AB16" i="10"/>
  <c r="AB15" i="10"/>
  <c r="AB14" i="10"/>
  <c r="AB13" i="10"/>
  <c r="AB12" i="10"/>
  <c r="AB11" i="10"/>
  <c r="AB10" i="10"/>
  <c r="AB9" i="10"/>
  <c r="AB8" i="10"/>
  <c r="AB7" i="10"/>
  <c r="AB6" i="10"/>
  <c r="AB5" i="10"/>
  <c r="AB4" i="10"/>
  <c r="AB3" i="10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17" i="9"/>
  <c r="AA16" i="9"/>
  <c r="AA15" i="9"/>
  <c r="AA14" i="9"/>
  <c r="AA13" i="9"/>
  <c r="AA12" i="9"/>
  <c r="AA11" i="9"/>
  <c r="AA10" i="9"/>
  <c r="AA9" i="9"/>
  <c r="AA8" i="9"/>
  <c r="AA7" i="9"/>
  <c r="AA6" i="9"/>
  <c r="AA5" i="9"/>
  <c r="AA4" i="9"/>
  <c r="AA3" i="9"/>
  <c r="L36" i="8"/>
  <c r="K36" i="8"/>
  <c r="J36" i="8"/>
  <c r="I36" i="8"/>
  <c r="H36" i="8"/>
  <c r="G36" i="8"/>
  <c r="F36" i="8"/>
  <c r="E36" i="8"/>
  <c r="D36" i="8"/>
  <c r="C36" i="8"/>
  <c r="B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K33" i="7"/>
  <c r="J33" i="7"/>
  <c r="I33" i="7"/>
  <c r="H33" i="7"/>
  <c r="G33" i="7"/>
  <c r="F33" i="7"/>
  <c r="E33" i="7"/>
  <c r="D33" i="7"/>
  <c r="C33" i="7"/>
  <c r="B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AC36" i="6"/>
  <c r="AB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" i="6"/>
  <c r="AD35" i="5"/>
  <c r="AC35" i="5"/>
  <c r="AB35" i="5"/>
  <c r="AA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G33" i="5"/>
  <c r="Y33" i="5"/>
  <c r="AG32" i="5"/>
  <c r="Y32" i="5"/>
  <c r="AH32" i="5" s="1"/>
  <c r="AG31" i="5"/>
  <c r="Y31" i="5"/>
  <c r="AH31" i="5" s="1"/>
  <c r="AG30" i="5"/>
  <c r="Y30" i="5"/>
  <c r="AH30" i="5" s="1"/>
  <c r="AG29" i="5"/>
  <c r="Y29" i="5"/>
  <c r="AH29" i="5" s="1"/>
  <c r="AG28" i="5"/>
  <c r="Y28" i="5"/>
  <c r="AG27" i="5"/>
  <c r="Y27" i="5"/>
  <c r="AG26" i="5"/>
  <c r="Y26" i="5"/>
  <c r="AH26" i="5" s="1"/>
  <c r="AG25" i="5"/>
  <c r="Y25" i="5"/>
  <c r="AH25" i="5" s="1"/>
  <c r="AG24" i="5"/>
  <c r="Y24" i="5"/>
  <c r="AH24" i="5" s="1"/>
  <c r="AG23" i="5"/>
  <c r="Y23" i="5"/>
  <c r="AH23" i="5" s="1"/>
  <c r="AG22" i="5"/>
  <c r="Y22" i="5"/>
  <c r="AG21" i="5"/>
  <c r="Y21" i="5"/>
  <c r="AG20" i="5"/>
  <c r="Y20" i="5"/>
  <c r="AH20" i="5" s="1"/>
  <c r="AG19" i="5"/>
  <c r="Y19" i="5"/>
  <c r="AH19" i="5" s="1"/>
  <c r="AG18" i="5"/>
  <c r="Y18" i="5"/>
  <c r="AH18" i="5" s="1"/>
  <c r="AG17" i="5"/>
  <c r="Y17" i="5"/>
  <c r="AH17" i="5" s="1"/>
  <c r="AG16" i="5"/>
  <c r="Y16" i="5"/>
  <c r="AG15" i="5"/>
  <c r="Y15" i="5"/>
  <c r="AG14" i="5"/>
  <c r="Y14" i="5"/>
  <c r="AH14" i="5" s="1"/>
  <c r="AG13" i="5"/>
  <c r="Y13" i="5"/>
  <c r="AH13" i="5" s="1"/>
  <c r="AG12" i="5"/>
  <c r="Y12" i="5"/>
  <c r="AH12" i="5" s="1"/>
  <c r="AG11" i="5"/>
  <c r="Y11" i="5"/>
  <c r="AH11" i="5" s="1"/>
  <c r="AG10" i="5"/>
  <c r="Y10" i="5"/>
  <c r="AG9" i="5"/>
  <c r="Y9" i="5"/>
  <c r="AG8" i="5"/>
  <c r="Y8" i="5"/>
  <c r="AH8" i="5" s="1"/>
  <c r="AG7" i="5"/>
  <c r="Y7" i="5"/>
  <c r="AH7" i="5" s="1"/>
  <c r="AG6" i="5"/>
  <c r="Y6" i="5"/>
  <c r="AH6" i="5" s="1"/>
  <c r="AG5" i="5"/>
  <c r="Y5" i="5"/>
  <c r="AH5" i="5" s="1"/>
  <c r="AG4" i="5"/>
  <c r="Y4" i="5"/>
  <c r="AG3" i="5"/>
  <c r="Y3" i="5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HZ30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EL46" i="2"/>
  <c r="EM46" i="2"/>
  <c r="EN46" i="2"/>
  <c r="EO46" i="2"/>
  <c r="EP46" i="2"/>
  <c r="EQ46" i="2"/>
  <c r="ER46" i="2"/>
  <c r="ES46" i="2"/>
  <c r="ET46" i="2"/>
  <c r="EU46" i="2"/>
  <c r="EV46" i="2"/>
  <c r="EW46" i="2"/>
  <c r="EX46" i="2"/>
  <c r="EY46" i="2"/>
  <c r="EZ46" i="2"/>
  <c r="FA46" i="2"/>
  <c r="FB46" i="2"/>
  <c r="FC46" i="2"/>
  <c r="FD46" i="2"/>
  <c r="FE46" i="2"/>
  <c r="FF46" i="2"/>
  <c r="FG46" i="2"/>
  <c r="FH46" i="2"/>
  <c r="FI46" i="2"/>
  <c r="FJ46" i="2"/>
  <c r="FK46" i="2"/>
  <c r="FL46" i="2"/>
  <c r="FM46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GY46" i="2"/>
  <c r="GZ46" i="2"/>
  <c r="HA46" i="2"/>
  <c r="HB46" i="2"/>
  <c r="HC46" i="2"/>
  <c r="HD46" i="2"/>
  <c r="HE46" i="2"/>
  <c r="HF46" i="2"/>
  <c r="HG46" i="2"/>
  <c r="HH46" i="2"/>
  <c r="HI46" i="2"/>
  <c r="HJ46" i="2"/>
  <c r="HK46" i="2"/>
  <c r="HL46" i="2"/>
  <c r="HM46" i="2"/>
  <c r="HO46" i="2"/>
  <c r="HP46" i="2"/>
  <c r="HQ46" i="2"/>
  <c r="HR46" i="2"/>
  <c r="HS46" i="2"/>
  <c r="HT46" i="2"/>
  <c r="HU46" i="2"/>
  <c r="HV46" i="2"/>
  <c r="HW46" i="2"/>
  <c r="HZ43" i="2"/>
  <c r="HZ42" i="2"/>
  <c r="HZ41" i="2"/>
  <c r="HZ40" i="2"/>
  <c r="HZ39" i="2"/>
  <c r="HZ38" i="2"/>
  <c r="HZ37" i="2"/>
  <c r="HZ36" i="2"/>
  <c r="HZ35" i="2"/>
  <c r="HZ34" i="2"/>
  <c r="HZ33" i="2"/>
  <c r="HZ32" i="2"/>
  <c r="HZ31" i="2"/>
  <c r="HZ29" i="2"/>
  <c r="HZ28" i="2"/>
  <c r="HZ27" i="2"/>
  <c r="HZ26" i="2"/>
  <c r="HZ25" i="2"/>
  <c r="HZ24" i="2"/>
  <c r="HZ23" i="2"/>
  <c r="HZ22" i="2"/>
  <c r="HZ21" i="2"/>
  <c r="HZ20" i="2"/>
  <c r="HZ19" i="2"/>
  <c r="HZ18" i="2"/>
  <c r="HZ17" i="2"/>
  <c r="HZ16" i="2"/>
  <c r="HZ15" i="2"/>
  <c r="HZ14" i="2"/>
  <c r="HZ13" i="2"/>
  <c r="HZ12" i="2"/>
  <c r="HZ11" i="2"/>
  <c r="HZ10" i="2"/>
  <c r="HZ9" i="2"/>
  <c r="HZ8" i="2"/>
  <c r="HZ7" i="2"/>
  <c r="HZ6" i="2"/>
  <c r="HZ5" i="2"/>
  <c r="HZ4" i="2"/>
  <c r="HZ3" i="2"/>
  <c r="HZ49" i="2"/>
  <c r="AH9" i="5" l="1"/>
  <c r="AH15" i="5"/>
  <c r="AH21" i="5"/>
  <c r="AH27" i="5"/>
  <c r="AH33" i="5"/>
  <c r="HZ46" i="2"/>
  <c r="IA17" i="2" s="1"/>
  <c r="IA21" i="2"/>
  <c r="AD33" i="4"/>
  <c r="IA13" i="2"/>
  <c r="AH4" i="5"/>
  <c r="AH10" i="5"/>
  <c r="AH16" i="5"/>
  <c r="AH22" i="5"/>
  <c r="AH28" i="5"/>
  <c r="IA27" i="2"/>
  <c r="IA23" i="2"/>
  <c r="IA19" i="2"/>
  <c r="IA15" i="2"/>
  <c r="IA11" i="2"/>
  <c r="IA7" i="2"/>
  <c r="IA18" i="2"/>
  <c r="IA14" i="2"/>
  <c r="IA10" i="2"/>
  <c r="IA6" i="2"/>
  <c r="IA41" i="2"/>
  <c r="IA37" i="2"/>
  <c r="IA33" i="2"/>
  <c r="IA29" i="2"/>
  <c r="IA34" i="2"/>
  <c r="IA38" i="2"/>
  <c r="IA42" i="2"/>
  <c r="IA5" i="2"/>
  <c r="Y35" i="5"/>
  <c r="AH35" i="5" s="1"/>
  <c r="AB32" i="10"/>
  <c r="AG35" i="5"/>
  <c r="AB41" i="14"/>
  <c r="AB40" i="14"/>
  <c r="AB29" i="14"/>
  <c r="AB31" i="14"/>
  <c r="AB33" i="14"/>
  <c r="AB28" i="14"/>
  <c r="AB30" i="14"/>
  <c r="AB32" i="14"/>
  <c r="AB34" i="14"/>
  <c r="AB15" i="14"/>
  <c r="AB3" i="14"/>
  <c r="AB10" i="14"/>
  <c r="AB9" i="14"/>
  <c r="AB8" i="14"/>
  <c r="AB35" i="14"/>
  <c r="AB37" i="14"/>
  <c r="AB36" i="14"/>
  <c r="AB23" i="14"/>
  <c r="AB13" i="14"/>
  <c r="AB25" i="14"/>
  <c r="AB20" i="14"/>
  <c r="AB14" i="14"/>
  <c r="AB4" i="14"/>
  <c r="AB7" i="14"/>
  <c r="AB39" i="14"/>
  <c r="AB24" i="14"/>
  <c r="AB19" i="14"/>
  <c r="AB42" i="14"/>
  <c r="AB16" i="14"/>
  <c r="AB38" i="14"/>
  <c r="AB27" i="14"/>
  <c r="AB22" i="14"/>
  <c r="AB18" i="14"/>
  <c r="AB11" i="14"/>
  <c r="AB6" i="14"/>
  <c r="AB12" i="14"/>
  <c r="AB26" i="14"/>
  <c r="AB21" i="14"/>
  <c r="AB17" i="14"/>
  <c r="AB5" i="14"/>
  <c r="L40" i="13"/>
  <c r="AB35" i="11"/>
  <c r="AC34" i="4"/>
  <c r="AH3" i="5"/>
  <c r="IA8" i="2" l="1"/>
  <c r="IA36" i="2"/>
  <c r="IA12" i="2"/>
  <c r="IA40" i="2"/>
  <c r="IA31" i="2"/>
  <c r="IA25" i="2"/>
  <c r="IA32" i="2"/>
  <c r="IA26" i="2"/>
  <c r="IA3" i="2"/>
  <c r="IA20" i="2"/>
  <c r="IA39" i="2"/>
  <c r="IA22" i="2"/>
  <c r="IA16" i="2"/>
  <c r="IA30" i="2"/>
  <c r="IA28" i="2"/>
  <c r="IA43" i="2"/>
  <c r="IA9" i="2"/>
  <c r="IA24" i="2"/>
  <c r="IA35" i="2"/>
  <c r="IA4" i="2"/>
  <c r="M13" i="13"/>
  <c r="M15" i="13"/>
  <c r="M17" i="13"/>
  <c r="M19" i="13"/>
  <c r="M21" i="13"/>
  <c r="M23" i="13"/>
  <c r="M25" i="13"/>
  <c r="M27" i="13"/>
  <c r="M29" i="13"/>
  <c r="M31" i="13"/>
  <c r="M33" i="13"/>
  <c r="M35" i="13"/>
  <c r="M14" i="13"/>
  <c r="M16" i="13"/>
  <c r="M18" i="13"/>
  <c r="M20" i="13"/>
  <c r="M22" i="13"/>
  <c r="M24" i="13"/>
  <c r="M26" i="13"/>
  <c r="M28" i="13"/>
  <c r="M30" i="13"/>
  <c r="M32" i="13"/>
  <c r="M34" i="13"/>
  <c r="M8" i="13"/>
  <c r="M9" i="13"/>
  <c r="M10" i="13"/>
  <c r="M4" i="13"/>
  <c r="M6" i="13"/>
  <c r="M11" i="13"/>
  <c r="M37" i="13"/>
  <c r="M39" i="13"/>
  <c r="M3" i="13"/>
  <c r="M5" i="13"/>
  <c r="M7" i="13"/>
  <c r="M12" i="13"/>
  <c r="M36" i="13"/>
  <c r="M38" i="13"/>
  <c r="M40" i="13"/>
  <c r="BB33" i="22"/>
  <c r="BB37" i="22"/>
  <c r="BB30" i="22"/>
  <c r="BB40" i="22"/>
  <c r="BB44" i="22"/>
  <c r="BB27" i="22"/>
  <c r="BB12" i="22"/>
  <c r="BB41" i="22"/>
  <c r="BB19" i="22"/>
  <c r="BB22" i="22"/>
  <c r="BB29" i="22"/>
  <c r="BB4" i="22"/>
  <c r="BB25" i="22"/>
  <c r="BB32" i="22"/>
  <c r="BB35" i="22"/>
  <c r="BB15" i="22"/>
  <c r="BB6" i="22"/>
  <c r="BB20" i="22"/>
  <c r="BB38" i="22"/>
  <c r="BB11" i="22"/>
  <c r="BB26" i="22"/>
  <c r="BB17" i="22"/>
  <c r="BB18" i="22"/>
  <c r="BB8" i="22"/>
  <c r="BB14" i="22"/>
  <c r="BB24" i="22"/>
  <c r="BB3" i="22"/>
  <c r="BB31" i="22"/>
  <c r="BB43" i="22"/>
  <c r="BB7" i="22"/>
  <c r="BB5" i="22"/>
  <c r="BB34" i="22"/>
  <c r="BB42" i="22"/>
  <c r="BB39" i="22"/>
  <c r="BB9" i="22"/>
  <c r="BB28" i="22"/>
  <c r="BB13" i="22"/>
  <c r="BB23" i="22"/>
  <c r="BB16" i="22"/>
  <c r="BB36" i="22"/>
  <c r="BB21" i="22"/>
  <c r="BB10" i="22"/>
  <c r="DH102" i="20"/>
  <c r="DN132" i="20"/>
  <c r="DB102" i="20"/>
</calcChain>
</file>

<file path=xl/sharedStrings.xml><?xml version="1.0" encoding="utf-8"?>
<sst xmlns="http://schemas.openxmlformats.org/spreadsheetml/2006/main" count="7608" uniqueCount="1499">
  <si>
    <t>Scientific Name</t>
  </si>
  <si>
    <t>Actinonaias ligamentina</t>
  </si>
  <si>
    <t>Alasmidonta marginata</t>
  </si>
  <si>
    <t>Amblema plicata</t>
  </si>
  <si>
    <t>Cyprogenia aberti</t>
  </si>
  <si>
    <t>Ellipsaria lineolata</t>
  </si>
  <si>
    <t>Elliptio dilatata</t>
  </si>
  <si>
    <t>Fusconaia flava</t>
  </si>
  <si>
    <r>
      <t xml:space="preserve">Fusconaia/Pleurobema </t>
    </r>
    <r>
      <rPr>
        <sz val="8"/>
        <rFont val="Times New Roman"/>
        <family val="1"/>
      </rPr>
      <t>type</t>
    </r>
  </si>
  <si>
    <t>Lampsilis abrupta</t>
  </si>
  <si>
    <t>Lampsilis cardium</t>
  </si>
  <si>
    <t>Lampsilis hydiana</t>
  </si>
  <si>
    <t>Lampsils powelli</t>
  </si>
  <si>
    <t>Lampsilis teres</t>
  </si>
  <si>
    <t>Lasmigona costata</t>
  </si>
  <si>
    <t>Leptodea fragilis</t>
  </si>
  <si>
    <t>Ligumia recta</t>
  </si>
  <si>
    <t>Megalonaias nervosa</t>
  </si>
  <si>
    <t>Obliquaria reflexa</t>
  </si>
  <si>
    <t>Obovaria jacksoniana</t>
  </si>
  <si>
    <t>Plectomerus dombeyanus</t>
  </si>
  <si>
    <t>Pleurobema pyramidatum</t>
  </si>
  <si>
    <t>Potamilus purpuratus</t>
  </si>
  <si>
    <t>Ptychobranchus occidentalis</t>
  </si>
  <si>
    <t>Pyganodon grandis</t>
  </si>
  <si>
    <t>Quadrula metanevra</t>
  </si>
  <si>
    <t>Quadrula nodulata</t>
  </si>
  <si>
    <t>Quadrula pustulosa</t>
  </si>
  <si>
    <t>Quadrula quadrula</t>
  </si>
  <si>
    <t>Strophitus undulatus</t>
  </si>
  <si>
    <t>Toxolasma lividus</t>
  </si>
  <si>
    <t>Tritogonia verrucosa</t>
  </si>
  <si>
    <t>Truncilla donaciformis</t>
  </si>
  <si>
    <t>Truncilla truncata</t>
  </si>
  <si>
    <t>Utterbackii imbecillis</t>
  </si>
  <si>
    <t>Villosa arkansasensis</t>
  </si>
  <si>
    <t>Villosa lienosa</t>
  </si>
  <si>
    <t>Number of Species</t>
  </si>
  <si>
    <r>
      <t>Area (m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</si>
  <si>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r>
      <t>Approximate Density (#/m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</si>
  <si>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t>Fusconaia ebena</t>
  </si>
  <si>
    <t>WS</t>
  </si>
  <si>
    <t>ND</t>
  </si>
  <si>
    <t>R</t>
  </si>
  <si>
    <t>Number of Live Individuals</t>
  </si>
  <si>
    <t>Number of relicts</t>
  </si>
  <si>
    <t>SRB29</t>
  </si>
  <si>
    <t>SRC36</t>
  </si>
  <si>
    <t>SRC37</t>
  </si>
  <si>
    <t>SRC38</t>
  </si>
  <si>
    <t>SRC39</t>
  </si>
  <si>
    <t>SRB30</t>
  </si>
  <si>
    <t>SRB31</t>
  </si>
  <si>
    <t>SRB32</t>
  </si>
  <si>
    <t>SRB33</t>
  </si>
  <si>
    <t>SRC40</t>
  </si>
  <si>
    <t>SRB34</t>
  </si>
  <si>
    <t>SRB35</t>
  </si>
  <si>
    <t>SRB36</t>
  </si>
  <si>
    <t>SRB37</t>
  </si>
  <si>
    <t>SRC41</t>
  </si>
  <si>
    <t>SRB38</t>
  </si>
  <si>
    <t>SRC42</t>
  </si>
  <si>
    <t>SRB39</t>
  </si>
  <si>
    <t>SRB40</t>
  </si>
  <si>
    <t>SRC43</t>
  </si>
  <si>
    <t>SRC44</t>
  </si>
  <si>
    <t>SRB45</t>
  </si>
  <si>
    <t>SRB41</t>
  </si>
  <si>
    <t>SRB42</t>
  </si>
  <si>
    <t>SRB43</t>
  </si>
  <si>
    <t>SRB44</t>
  </si>
  <si>
    <t>SRB46</t>
  </si>
  <si>
    <t>SRB47</t>
  </si>
  <si>
    <t>SRC45</t>
  </si>
  <si>
    <t>SRB48</t>
  </si>
  <si>
    <t>SRB49</t>
  </si>
  <si>
    <t>SRC46</t>
  </si>
  <si>
    <t>SRB50</t>
  </si>
  <si>
    <t>SRC47</t>
  </si>
  <si>
    <t>SRB51</t>
  </si>
  <si>
    <t>SRB52</t>
  </si>
  <si>
    <t>SRB53</t>
  </si>
  <si>
    <t>SRB54</t>
  </si>
  <si>
    <t>SRB55</t>
  </si>
  <si>
    <t>SRC48</t>
  </si>
  <si>
    <t>SRB56</t>
  </si>
  <si>
    <t>SRB57</t>
  </si>
  <si>
    <t>SRC49</t>
  </si>
  <si>
    <t>SRC50</t>
  </si>
  <si>
    <t>SRB58</t>
  </si>
  <si>
    <t>SRB59</t>
  </si>
  <si>
    <t>SRB60</t>
  </si>
  <si>
    <t>SRC51</t>
  </si>
  <si>
    <t>SRB61</t>
  </si>
  <si>
    <t>SRB62</t>
  </si>
  <si>
    <t>SRB63</t>
  </si>
  <si>
    <t>SRB64</t>
  </si>
  <si>
    <t>SRB65</t>
  </si>
  <si>
    <t>SRB66</t>
  </si>
  <si>
    <t>SRB67</t>
  </si>
  <si>
    <t>SRB68</t>
  </si>
  <si>
    <t>SRB69</t>
  </si>
  <si>
    <t>SRB70</t>
  </si>
  <si>
    <t>SRB71</t>
  </si>
  <si>
    <t>SRB72</t>
  </si>
  <si>
    <t>SRB73</t>
  </si>
  <si>
    <t>SRB74</t>
  </si>
  <si>
    <t>SRB75</t>
  </si>
  <si>
    <t>SRB76</t>
  </si>
  <si>
    <t>SRB77</t>
  </si>
  <si>
    <t>SRB78</t>
  </si>
  <si>
    <t>SRB79</t>
  </si>
  <si>
    <t>SRB80</t>
  </si>
  <si>
    <t>SRB81</t>
  </si>
  <si>
    <t>SRB82</t>
  </si>
  <si>
    <t>SRC52</t>
  </si>
  <si>
    <t>SRB83</t>
  </si>
  <si>
    <t>SRB84</t>
  </si>
  <si>
    <t>SRB85</t>
  </si>
  <si>
    <t>SRB86</t>
  </si>
  <si>
    <t>SRB87</t>
  </si>
  <si>
    <t>SRB88</t>
  </si>
  <si>
    <t>SRB89</t>
  </si>
  <si>
    <t>SRB90</t>
  </si>
  <si>
    <t>SRB91</t>
  </si>
  <si>
    <t>SRB92</t>
  </si>
  <si>
    <t>SRB93</t>
  </si>
  <si>
    <t>SRB94</t>
  </si>
  <si>
    <t>SRB95</t>
  </si>
  <si>
    <t>SRC35</t>
  </si>
  <si>
    <t>SRC1</t>
  </si>
  <si>
    <t>SRC2</t>
  </si>
  <si>
    <t>SRC3</t>
  </si>
  <si>
    <t>SRC4</t>
  </si>
  <si>
    <t>SRC5</t>
  </si>
  <si>
    <t>SRB1</t>
  </si>
  <si>
    <t>SRB2</t>
  </si>
  <si>
    <t>SRC6</t>
  </si>
  <si>
    <t>SRC7</t>
  </si>
  <si>
    <t>SRC8</t>
  </si>
  <si>
    <t>SRB3</t>
  </si>
  <si>
    <t>SRC9</t>
  </si>
  <si>
    <t>SRC10</t>
  </si>
  <si>
    <t>SRB4</t>
  </si>
  <si>
    <t>SRB5</t>
  </si>
  <si>
    <t>SRC11</t>
  </si>
  <si>
    <t>SRC12</t>
  </si>
  <si>
    <t>SRB6</t>
  </si>
  <si>
    <t>SRB7</t>
  </si>
  <si>
    <t>SRC13</t>
  </si>
  <si>
    <t>SRC14</t>
  </si>
  <si>
    <t>SRB8</t>
  </si>
  <si>
    <t>SRC15</t>
  </si>
  <si>
    <t>SRC16</t>
  </si>
  <si>
    <t>SRC17</t>
  </si>
  <si>
    <t>SRB9</t>
  </si>
  <si>
    <t>SRC18</t>
  </si>
  <si>
    <t>SRC19</t>
  </si>
  <si>
    <t>SRC20</t>
  </si>
  <si>
    <t>SRB10</t>
  </si>
  <si>
    <t>SRB11</t>
  </si>
  <si>
    <t>SRC21</t>
  </si>
  <si>
    <t>SRC22</t>
  </si>
  <si>
    <t>SRB12</t>
  </si>
  <si>
    <t>SRC23</t>
  </si>
  <si>
    <t>SRB13</t>
  </si>
  <si>
    <t>SRB14</t>
  </si>
  <si>
    <t>SRC24</t>
  </si>
  <si>
    <t>SRB15</t>
  </si>
  <si>
    <t>SRC25</t>
  </si>
  <si>
    <t>SRB16</t>
  </si>
  <si>
    <t>SRC26</t>
  </si>
  <si>
    <t>SRB17</t>
  </si>
  <si>
    <t>SRB18</t>
  </si>
  <si>
    <t>SRC27</t>
  </si>
  <si>
    <t>SRC28</t>
  </si>
  <si>
    <t>SRB19</t>
  </si>
  <si>
    <t>SRB20</t>
  </si>
  <si>
    <t>SRB21</t>
  </si>
  <si>
    <t>SRB22</t>
  </si>
  <si>
    <t>SRC29</t>
  </si>
  <si>
    <t>SRC30</t>
  </si>
  <si>
    <t>SRB23</t>
  </si>
  <si>
    <t>SRB24</t>
  </si>
  <si>
    <t>SRC31</t>
  </si>
  <si>
    <t>SRC32</t>
  </si>
  <si>
    <t>SRB25</t>
  </si>
  <si>
    <t>SRB26</t>
  </si>
  <si>
    <t>SRC33</t>
  </si>
  <si>
    <t>SRC34</t>
  </si>
  <si>
    <t>SRB27</t>
  </si>
  <si>
    <t>SRB28</t>
  </si>
  <si>
    <t>Obovaria olivaria???</t>
  </si>
  <si>
    <t>Quadrula cylindrica</t>
  </si>
  <si>
    <t>Quadrula fragosa</t>
  </si>
  <si>
    <t>NC</t>
  </si>
  <si>
    <t>Tot Ind.</t>
  </si>
  <si>
    <t>% Tot</t>
  </si>
  <si>
    <t>SRC53</t>
  </si>
  <si>
    <t>Pleurobema rubrum</t>
  </si>
  <si>
    <t>SRC54</t>
  </si>
  <si>
    <t>SRC55</t>
  </si>
  <si>
    <t>SRB96</t>
  </si>
  <si>
    <t>SRB97</t>
  </si>
  <si>
    <t>SRB98</t>
  </si>
  <si>
    <t>SRB99</t>
  </si>
  <si>
    <t>SRB100</t>
  </si>
  <si>
    <t>SRB101</t>
  </si>
  <si>
    <t>SRB102</t>
  </si>
  <si>
    <t>SRC56</t>
  </si>
  <si>
    <t>SRB103</t>
  </si>
  <si>
    <t>SRB104</t>
  </si>
  <si>
    <t>SRB105</t>
  </si>
  <si>
    <t>Quadrula apiculata</t>
  </si>
  <si>
    <t>SRB106</t>
  </si>
  <si>
    <t>SRB107</t>
  </si>
  <si>
    <t>SRB108</t>
  </si>
  <si>
    <t>SRB109</t>
  </si>
  <si>
    <t>SRB110</t>
  </si>
  <si>
    <t>SRB111</t>
  </si>
  <si>
    <t>SRB112</t>
  </si>
  <si>
    <t>SRB113</t>
  </si>
  <si>
    <t>SRB114</t>
  </si>
  <si>
    <t>SRB115</t>
  </si>
  <si>
    <t>SRB116</t>
  </si>
  <si>
    <t>SRB117</t>
  </si>
  <si>
    <t>SRB118</t>
  </si>
  <si>
    <t>SRB119</t>
  </si>
  <si>
    <t>SRC59</t>
  </si>
  <si>
    <t>SRC57</t>
  </si>
  <si>
    <t>SRC58</t>
  </si>
  <si>
    <t>Numerous</t>
  </si>
  <si>
    <t>SRB120</t>
  </si>
  <si>
    <t>SRB121</t>
  </si>
  <si>
    <t>SRB122</t>
  </si>
  <si>
    <t>SRB123</t>
  </si>
  <si>
    <t>SRC60</t>
  </si>
  <si>
    <t>SRC61</t>
  </si>
  <si>
    <t>SRB124</t>
  </si>
  <si>
    <t>SRB125</t>
  </si>
  <si>
    <t>SRB128</t>
  </si>
  <si>
    <t>SRB126</t>
  </si>
  <si>
    <t>SRB127</t>
  </si>
  <si>
    <t>SRB129</t>
  </si>
  <si>
    <t>SRB130</t>
  </si>
  <si>
    <t>SRB131</t>
  </si>
  <si>
    <t>SRB132</t>
  </si>
  <si>
    <t>SRB133</t>
  </si>
  <si>
    <t>SRB134</t>
  </si>
  <si>
    <t>SRB135</t>
  </si>
  <si>
    <t>SRB136</t>
  </si>
  <si>
    <t>SRB137</t>
  </si>
  <si>
    <t>SRB138</t>
  </si>
  <si>
    <t>SRB139</t>
  </si>
  <si>
    <t>SRB140</t>
  </si>
  <si>
    <t>SRB141</t>
  </si>
  <si>
    <t>SRB142</t>
  </si>
  <si>
    <t>SRB143</t>
  </si>
  <si>
    <t>SRB144</t>
  </si>
  <si>
    <t>SRB145</t>
  </si>
  <si>
    <t>SRB146</t>
  </si>
  <si>
    <t>SRB147</t>
  </si>
  <si>
    <t>SRB148</t>
  </si>
  <si>
    <t>SRB149</t>
  </si>
  <si>
    <t>SRB150</t>
  </si>
  <si>
    <t>SRB151</t>
  </si>
  <si>
    <t>SRB152</t>
  </si>
  <si>
    <t>SRB153</t>
  </si>
  <si>
    <t>SRB154</t>
  </si>
  <si>
    <t>SRB155</t>
  </si>
  <si>
    <t>SRB156</t>
  </si>
  <si>
    <t>SRB157</t>
  </si>
  <si>
    <t>SRB158</t>
  </si>
  <si>
    <t>SRB159</t>
  </si>
  <si>
    <t>SRB160</t>
  </si>
  <si>
    <t>SRB161</t>
  </si>
  <si>
    <t>SRB162</t>
  </si>
  <si>
    <t>SRB163</t>
  </si>
  <si>
    <t>SRB164</t>
  </si>
  <si>
    <t>SRB165</t>
  </si>
  <si>
    <t>SRB166</t>
  </si>
  <si>
    <t>SRB167</t>
  </si>
  <si>
    <t>SRB168</t>
  </si>
  <si>
    <t>SRB169</t>
  </si>
  <si>
    <t>NR</t>
  </si>
  <si>
    <t>QUADRAT NUMBER</t>
  </si>
  <si>
    <t>Species</t>
  </si>
  <si>
    <t>7-12</t>
  </si>
  <si>
    <t>8-4</t>
  </si>
  <si>
    <t>29-15</t>
  </si>
  <si>
    <t>43-6</t>
  </si>
  <si>
    <t>68-2</t>
  </si>
  <si>
    <t>74-15</t>
  </si>
  <si>
    <t>77-14</t>
  </si>
  <si>
    <t>79-2</t>
  </si>
  <si>
    <t>80-14</t>
  </si>
  <si>
    <t>81-6</t>
  </si>
  <si>
    <t>83-1</t>
  </si>
  <si>
    <t>86-7</t>
  </si>
  <si>
    <t>97-10</t>
  </si>
  <si>
    <t>105-1</t>
  </si>
  <si>
    <t>105-5</t>
  </si>
  <si>
    <t>108-13</t>
  </si>
  <si>
    <t>123-3</t>
  </si>
  <si>
    <t>123-15</t>
  </si>
  <si>
    <t>137-6</t>
  </si>
  <si>
    <t>141-4</t>
  </si>
  <si>
    <t>143-2</t>
  </si>
  <si>
    <t>145-4</t>
  </si>
  <si>
    <t>151-10</t>
  </si>
  <si>
    <t>154-8</t>
  </si>
  <si>
    <t>162-5</t>
  </si>
  <si>
    <t>164-15</t>
  </si>
  <si>
    <t>A. ligamentina</t>
  </si>
  <si>
    <t>TOTAL</t>
  </si>
  <si>
    <t>A. plicata</t>
  </si>
  <si>
    <t>C. aberti</t>
  </si>
  <si>
    <t>E. dilatata</t>
  </si>
  <si>
    <t>E. lineolata</t>
  </si>
  <si>
    <t>F. ebena</t>
  </si>
  <si>
    <t>F. flava</t>
  </si>
  <si>
    <t>L. abrupta</t>
  </si>
  <si>
    <t>L. cardium</t>
  </si>
  <si>
    <t>L. hydiana</t>
  </si>
  <si>
    <t>L. teres</t>
  </si>
  <si>
    <t>L.fragilis</t>
  </si>
  <si>
    <t>L. recta</t>
  </si>
  <si>
    <t>M. nervosa</t>
  </si>
  <si>
    <t>P. dombeyanus</t>
  </si>
  <si>
    <t>P. rubrum</t>
  </si>
  <si>
    <t>P. sintoxia</t>
  </si>
  <si>
    <t>Pleurobema sp.</t>
  </si>
  <si>
    <t>P. purpuratus</t>
  </si>
  <si>
    <t>P. occidentalis</t>
  </si>
  <si>
    <t>O. reflexa</t>
  </si>
  <si>
    <t>O. jacksoniana</t>
  </si>
  <si>
    <t>Q. cylindrica</t>
  </si>
  <si>
    <t>Q. fragosa</t>
  </si>
  <si>
    <t>Q. metanevra</t>
  </si>
  <si>
    <t>Q. pustulosa</t>
  </si>
  <si>
    <t>S. undulatus</t>
  </si>
  <si>
    <t>T. verrucosa</t>
  </si>
  <si>
    <t>T. truncata</t>
  </si>
  <si>
    <t>Total</t>
  </si>
  <si>
    <r>
      <t>Bed Area</t>
    </r>
    <r>
      <rPr>
        <sz val="10"/>
        <rFont val="Arial"/>
        <family val="2"/>
      </rPr>
      <t>: 2,625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, 175m x 15m</t>
    </r>
  </si>
  <si>
    <r>
      <t>Collectors:</t>
    </r>
    <r>
      <rPr>
        <sz val="10"/>
        <rFont val="Arial"/>
        <family val="2"/>
      </rPr>
      <t xml:space="preserve"> C. Davidson, M. Wine, B. Posey, J. Phillips</t>
    </r>
  </si>
  <si>
    <r>
      <t>NOTE</t>
    </r>
    <r>
      <rPr>
        <sz val="10"/>
        <rFont val="Arial"/>
      </rPr>
      <t xml:space="preserve">: RB = 1, LB = 15 </t>
    </r>
  </si>
  <si>
    <t>9-7</t>
  </si>
  <si>
    <t>24-13</t>
  </si>
  <si>
    <t>38-12</t>
  </si>
  <si>
    <t>50-3</t>
  </si>
  <si>
    <t>61-8</t>
  </si>
  <si>
    <t>66-15</t>
  </si>
  <si>
    <t>67-11</t>
  </si>
  <si>
    <t>68-4</t>
  </si>
  <si>
    <t>69-15</t>
  </si>
  <si>
    <t>90-5</t>
  </si>
  <si>
    <t>77-2</t>
  </si>
  <si>
    <t>88-11</t>
  </si>
  <si>
    <t>102-12</t>
  </si>
  <si>
    <t>103-13</t>
  </si>
  <si>
    <t>105-6</t>
  </si>
  <si>
    <t>115-15</t>
  </si>
  <si>
    <t>125-8</t>
  </si>
  <si>
    <t>158-4</t>
  </si>
  <si>
    <t>160-13</t>
  </si>
  <si>
    <t>160-14</t>
  </si>
  <si>
    <t>15-8</t>
  </si>
  <si>
    <t>29-3</t>
  </si>
  <si>
    <t>57-2</t>
  </si>
  <si>
    <t>59-3</t>
  </si>
  <si>
    <t>STRATUM 2</t>
  </si>
  <si>
    <t>A. marginata</t>
  </si>
  <si>
    <t>Q. nodulata</t>
  </si>
  <si>
    <t>T. donaciformis</t>
  </si>
  <si>
    <t>V. lienosa</t>
  </si>
  <si>
    <t>Sand</t>
  </si>
  <si>
    <t>Woody debris</t>
  </si>
  <si>
    <r>
      <t>Bed Area</t>
    </r>
    <r>
      <rPr>
        <sz val="10"/>
        <rFont val="Arial"/>
        <family val="2"/>
      </rPr>
      <t>: 2,895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, Stratum 1: 165m x 15m, Stratum 2: 60m x 8m</t>
    </r>
  </si>
  <si>
    <r>
      <t>NOTE 1:</t>
    </r>
    <r>
      <rPr>
        <sz val="10"/>
        <rFont val="Arial"/>
        <family val="2"/>
      </rPr>
      <t xml:space="preserve"> Small concentration of shells in thalweg on LBFDS just upstream of delineated bed, 2-3 m wide extending u/s ~60+ m w/30-50 mussels/m</t>
    </r>
    <r>
      <rPr>
        <vertAlign val="superscript"/>
        <sz val="10"/>
        <rFont val="Arial"/>
        <family val="2"/>
      </rPr>
      <t>2</t>
    </r>
  </si>
  <si>
    <r>
      <t>NOTE 2:</t>
    </r>
    <r>
      <rPr>
        <sz val="10"/>
        <rFont val="Arial"/>
      </rPr>
      <t xml:space="preserve"> RB = 1, LB = 15 or 8 depending on stratum</t>
    </r>
  </si>
  <si>
    <t>2008</t>
  </si>
  <si>
    <t>2002</t>
  </si>
  <si>
    <t>2008 Total</t>
  </si>
  <si>
    <t>2010</t>
  </si>
  <si>
    <t>Quadrat</t>
  </si>
  <si>
    <t>n = 28</t>
  </si>
  <si>
    <t>5-29</t>
  </si>
  <si>
    <t>7-30</t>
  </si>
  <si>
    <t>11-31</t>
  </si>
  <si>
    <t>15-56</t>
  </si>
  <si>
    <t>40-35</t>
  </si>
  <si>
    <t>41-30</t>
  </si>
  <si>
    <t>43-64</t>
  </si>
  <si>
    <t>56-5</t>
  </si>
  <si>
    <t>56-6</t>
  </si>
  <si>
    <t>57-64</t>
  </si>
  <si>
    <t>62-34</t>
  </si>
  <si>
    <t>72-11</t>
  </si>
  <si>
    <t>83-56</t>
  </si>
  <si>
    <t>90-21</t>
  </si>
  <si>
    <t>91-26</t>
  </si>
  <si>
    <t>94-59</t>
  </si>
  <si>
    <t>106-57</t>
  </si>
  <si>
    <t>109-2</t>
  </si>
  <si>
    <t>127-41</t>
  </si>
  <si>
    <t>129-42</t>
  </si>
  <si>
    <t>129-49</t>
  </si>
  <si>
    <t>130-5</t>
  </si>
  <si>
    <t>130-13</t>
  </si>
  <si>
    <t>131-57</t>
  </si>
  <si>
    <t>134-44</t>
  </si>
  <si>
    <t>5-4</t>
  </si>
  <si>
    <t>14-1</t>
  </si>
  <si>
    <t>34-5</t>
  </si>
  <si>
    <t>% Total</t>
  </si>
  <si>
    <t>22.08</t>
  </si>
  <si>
    <t>1.68</t>
  </si>
  <si>
    <t>1.05</t>
  </si>
  <si>
    <t>0.96</t>
  </si>
  <si>
    <t>0.29</t>
  </si>
  <si>
    <t>4.60</t>
  </si>
  <si>
    <t>0.05</t>
  </si>
  <si>
    <t>0.77</t>
  </si>
  <si>
    <t>0.24</t>
  </si>
  <si>
    <t>0.62</t>
  </si>
  <si>
    <t>Lasmigona complanata</t>
  </si>
  <si>
    <t>0.19</t>
  </si>
  <si>
    <t>0.53</t>
  </si>
  <si>
    <t>1.34</t>
  </si>
  <si>
    <t>6.51</t>
  </si>
  <si>
    <t>12.16</t>
  </si>
  <si>
    <t>12.21</t>
  </si>
  <si>
    <t>0.34</t>
  </si>
  <si>
    <t>Pleurobema sintoxia</t>
  </si>
  <si>
    <t>0.72</t>
  </si>
  <si>
    <t>0.38</t>
  </si>
  <si>
    <t>1.29</t>
  </si>
  <si>
    <t>0.81</t>
  </si>
  <si>
    <t>16.86</t>
  </si>
  <si>
    <t>0.57</t>
  </si>
  <si>
    <t>Toxolasma parvus</t>
  </si>
  <si>
    <t>6.08</t>
  </si>
  <si>
    <t>2.11</t>
  </si>
  <si>
    <t>Utterbackia imbecillis</t>
  </si>
  <si>
    <t>0.10</t>
  </si>
  <si>
    <t>100.01</t>
  </si>
  <si>
    <t>Quadrats</t>
  </si>
  <si>
    <t>n=10</t>
  </si>
  <si>
    <t>6-5</t>
  </si>
  <si>
    <t>17-5</t>
  </si>
  <si>
    <t>30-3</t>
  </si>
  <si>
    <t>35-2</t>
  </si>
  <si>
    <t>45-4</t>
  </si>
  <si>
    <t>110-4</t>
  </si>
  <si>
    <t>124-3</t>
  </si>
  <si>
    <t>130-1</t>
  </si>
  <si>
    <t>131-3</t>
  </si>
  <si>
    <t>158-1</t>
  </si>
  <si>
    <t>% TOTAL</t>
  </si>
  <si>
    <t>5.61</t>
  </si>
  <si>
    <t>8.22</t>
  </si>
  <si>
    <t>2.00</t>
  </si>
  <si>
    <t>3.01</t>
  </si>
  <si>
    <t>10.62</t>
  </si>
  <si>
    <t>9.23</t>
  </si>
  <si>
    <t>0.40</t>
  </si>
  <si>
    <t>1.00</t>
  </si>
  <si>
    <t>Lampsilis siliquoidea</t>
  </si>
  <si>
    <t>0.20</t>
  </si>
  <si>
    <t>1.20</t>
  </si>
  <si>
    <t>1.40</t>
  </si>
  <si>
    <t>17.03</t>
  </si>
  <si>
    <t>2.61</t>
  </si>
  <si>
    <t>1.60</t>
  </si>
  <si>
    <t>0.60</t>
  </si>
  <si>
    <t>0.80</t>
  </si>
  <si>
    <t>20.44</t>
  </si>
  <si>
    <t>2.20</t>
  </si>
  <si>
    <t>4.21</t>
  </si>
  <si>
    <t>99.97</t>
  </si>
  <si>
    <t>n=11</t>
  </si>
  <si>
    <t>1-4</t>
  </si>
  <si>
    <t>7-3</t>
  </si>
  <si>
    <t>15-2</t>
  </si>
  <si>
    <t>29-5</t>
  </si>
  <si>
    <t>33-3</t>
  </si>
  <si>
    <t>36-4</t>
  </si>
  <si>
    <t>37-3</t>
  </si>
  <si>
    <t>46-2</t>
  </si>
  <si>
    <t>60-5</t>
  </si>
  <si>
    <t>63-5</t>
  </si>
  <si>
    <t>71-1</t>
  </si>
  <si>
    <t>3.50</t>
  </si>
  <si>
    <t>4.07</t>
  </si>
  <si>
    <t>4.50</t>
  </si>
  <si>
    <t>15.70</t>
  </si>
  <si>
    <t>Fusconia ebena</t>
  </si>
  <si>
    <t>0.14</t>
  </si>
  <si>
    <t>14.06</t>
  </si>
  <si>
    <t>0.21</t>
  </si>
  <si>
    <t>1.07</t>
  </si>
  <si>
    <t>Lampsilis ornata</t>
  </si>
  <si>
    <t>0.93</t>
  </si>
  <si>
    <t>0.07</t>
  </si>
  <si>
    <t>0.50</t>
  </si>
  <si>
    <t>1.50</t>
  </si>
  <si>
    <t>12.49</t>
  </si>
  <si>
    <t>0.79</t>
  </si>
  <si>
    <t>0.64</t>
  </si>
  <si>
    <t>0.43</t>
  </si>
  <si>
    <t>0.71</t>
  </si>
  <si>
    <t>6.92</t>
  </si>
  <si>
    <t>18.49</t>
  </si>
  <si>
    <t>1.28</t>
  </si>
  <si>
    <t>99.98</t>
  </si>
  <si>
    <t>n=25</t>
  </si>
  <si>
    <t>34-6</t>
  </si>
  <si>
    <t>49-5</t>
  </si>
  <si>
    <t>56-1</t>
  </si>
  <si>
    <t>74-2</t>
  </si>
  <si>
    <t>87-2</t>
  </si>
  <si>
    <t>97-2</t>
  </si>
  <si>
    <t>129-6</t>
  </si>
  <si>
    <t>130-2</t>
  </si>
  <si>
    <t>135-6</t>
  </si>
  <si>
    <t>150-1</t>
  </si>
  <si>
    <t>163-2</t>
  </si>
  <si>
    <t>164-3</t>
  </si>
  <si>
    <t>170-3</t>
  </si>
  <si>
    <t>190-3</t>
  </si>
  <si>
    <t>206-2</t>
  </si>
  <si>
    <t>210-1</t>
  </si>
  <si>
    <t>227-6</t>
  </si>
  <si>
    <t>230-2</t>
  </si>
  <si>
    <t>250-1</t>
  </si>
  <si>
    <t>305-5</t>
  </si>
  <si>
    <t>319-2</t>
  </si>
  <si>
    <t>320-2</t>
  </si>
  <si>
    <t>359-6</t>
  </si>
  <si>
    <t>368-4</t>
  </si>
  <si>
    <t>435-2</t>
  </si>
  <si>
    <t>3.90</t>
  </si>
  <si>
    <t>9.00</t>
  </si>
  <si>
    <t>0.70</t>
  </si>
  <si>
    <t>0.27</t>
  </si>
  <si>
    <t>1.52</t>
  </si>
  <si>
    <t>0.98</t>
  </si>
  <si>
    <t>5.09</t>
  </si>
  <si>
    <t>2-13</t>
  </si>
  <si>
    <t>6-15</t>
  </si>
  <si>
    <t>12-13</t>
  </si>
  <si>
    <t>21-30</t>
  </si>
  <si>
    <t>35-3</t>
  </si>
  <si>
    <t>41-61</t>
  </si>
  <si>
    <t>54-17</t>
  </si>
  <si>
    <t>58-65</t>
  </si>
  <si>
    <t>61-59</t>
  </si>
  <si>
    <t>63-58</t>
  </si>
  <si>
    <t>77-62</t>
  </si>
  <si>
    <t>79-15</t>
  </si>
  <si>
    <t>81-35</t>
  </si>
  <si>
    <t>100-31</t>
  </si>
  <si>
    <t>100-49</t>
  </si>
  <si>
    <t>109-21</t>
  </si>
  <si>
    <t>111-10</t>
  </si>
  <si>
    <t>114-37</t>
  </si>
  <si>
    <t>115-06</t>
  </si>
  <si>
    <t>123-44</t>
  </si>
  <si>
    <t>127-40</t>
  </si>
  <si>
    <t>127-63</t>
  </si>
  <si>
    <t>129-24</t>
  </si>
  <si>
    <t>136-65</t>
  </si>
  <si>
    <t>139-34</t>
  </si>
  <si>
    <t>4.0</t>
  </si>
  <si>
    <t>25.9</t>
  </si>
  <si>
    <t>1.6</t>
  </si>
  <si>
    <t>2.2</t>
  </si>
  <si>
    <t>0.3</t>
  </si>
  <si>
    <t>0.2</t>
  </si>
  <si>
    <t>3.6</t>
  </si>
  <si>
    <t>0.6</t>
  </si>
  <si>
    <t>5.1</t>
  </si>
  <si>
    <t>9.6</t>
  </si>
  <si>
    <t>3.3</t>
  </si>
  <si>
    <t>Pleurobema riddellii</t>
  </si>
  <si>
    <t>1.1</t>
  </si>
  <si>
    <t>1.7</t>
  </si>
  <si>
    <t>30.3</t>
  </si>
  <si>
    <t>2.6</t>
  </si>
  <si>
    <t>3.4</t>
  </si>
  <si>
    <t>100.1</t>
  </si>
  <si>
    <t>I 6-6</t>
  </si>
  <si>
    <t>I 7-5</t>
  </si>
  <si>
    <t>I 17-3</t>
  </si>
  <si>
    <t>II 2-15</t>
  </si>
  <si>
    <t>II 5-13</t>
  </si>
  <si>
    <t>II 10-19</t>
  </si>
  <si>
    <t>II 12-6</t>
  </si>
  <si>
    <t>II 13-6</t>
  </si>
  <si>
    <t>II 20-7</t>
  </si>
  <si>
    <t>III 1-6</t>
  </si>
  <si>
    <t>III 2-36</t>
  </si>
  <si>
    <t>III 4-13</t>
  </si>
  <si>
    <t>III 5-9</t>
  </si>
  <si>
    <t>III 5-22</t>
  </si>
  <si>
    <t>III 6-27</t>
  </si>
  <si>
    <t>III 6-33</t>
  </si>
  <si>
    <t>III 12-10</t>
  </si>
  <si>
    <t>III 13-30</t>
  </si>
  <si>
    <t>III 13-39</t>
  </si>
  <si>
    <t>III 14-24</t>
  </si>
  <si>
    <t>TOTAL %</t>
  </si>
  <si>
    <t>Date</t>
  </si>
  <si>
    <t xml:space="preserve">Bed </t>
  </si>
  <si>
    <t>Area</t>
  </si>
  <si>
    <r>
      <t>n samples   (m</t>
    </r>
    <r>
      <rPr>
        <sz val="11"/>
        <color theme="1"/>
        <rFont val="Arial"/>
        <family val="2"/>
      </rPr>
      <t>²</t>
    </r>
    <r>
      <rPr>
        <sz val="11"/>
        <color theme="1"/>
        <rFont val="Times New Roman"/>
        <family val="1"/>
      </rPr>
      <t xml:space="preserve"> quadrats)</t>
    </r>
  </si>
  <si>
    <r>
      <t>Mean Mussels/m</t>
    </r>
    <r>
      <rPr>
        <sz val="11"/>
        <rFont val="Times New Roman"/>
        <family val="1"/>
      </rPr>
      <t>² (range)</t>
    </r>
  </si>
  <si>
    <r>
      <t xml:space="preserve">Number of            </t>
    </r>
    <r>
      <rPr>
        <i/>
        <sz val="11"/>
        <color theme="1"/>
        <rFont val="Times New Roman"/>
        <family val="1"/>
      </rPr>
      <t>Q</t>
    </r>
    <r>
      <rPr>
        <sz val="11"/>
        <color theme="1"/>
        <rFont val="Times New Roman"/>
        <family val="1"/>
      </rPr>
      <t xml:space="preserve">. </t>
    </r>
    <r>
      <rPr>
        <i/>
        <sz val="11"/>
        <color theme="1"/>
        <rFont val="Times New Roman"/>
        <family val="1"/>
      </rPr>
      <t xml:space="preserve">fragosa </t>
    </r>
    <r>
      <rPr>
        <sz val="11"/>
        <color theme="1"/>
        <rFont val="Times New Roman"/>
        <family val="1"/>
      </rPr>
      <t>sampled</t>
    </r>
  </si>
  <si>
    <r>
      <rPr>
        <i/>
        <sz val="11"/>
        <color theme="1"/>
        <rFont val="Times New Roman"/>
        <family val="1"/>
      </rPr>
      <t>Q</t>
    </r>
    <r>
      <rPr>
        <sz val="11"/>
        <color theme="1"/>
        <rFont val="Times New Roman"/>
        <family val="1"/>
      </rPr>
      <t>.</t>
    </r>
    <r>
      <rPr>
        <i/>
        <sz val="11"/>
        <color theme="1"/>
        <rFont val="Times New Roman"/>
        <family val="1"/>
      </rPr>
      <t xml:space="preserve"> fragosa</t>
    </r>
    <r>
      <rPr>
        <sz val="11"/>
        <color theme="1"/>
        <rFont val="Times New Roman"/>
        <family val="1"/>
      </rPr>
      <t xml:space="preserve"> population estimate</t>
    </r>
  </si>
  <si>
    <t>Total mussels population estimate</t>
  </si>
  <si>
    <t>3-4 June 2005</t>
  </si>
  <si>
    <t>SRB 141 Total</t>
  </si>
  <si>
    <t>9275 m²</t>
  </si>
  <si>
    <t>74.6         (13-190)</t>
  </si>
  <si>
    <r>
      <t xml:space="preserve">9,217 </t>
    </r>
    <r>
      <rPr>
        <sz val="11"/>
        <rFont val="Times New Roman"/>
        <family val="1"/>
      </rPr>
      <t>±</t>
    </r>
    <r>
      <rPr>
        <sz val="11"/>
        <color theme="1"/>
        <rFont val="Times New Roman"/>
        <family val="1"/>
      </rPr>
      <t xml:space="preserve"> 4,114</t>
    </r>
  </si>
  <si>
    <t>683,921 ± 123,290</t>
  </si>
  <si>
    <t>SRB 141 Stratum 1</t>
  </si>
  <si>
    <t>9100 m²</t>
  </si>
  <si>
    <t>73.6        (21-190)</t>
  </si>
  <si>
    <r>
      <t xml:space="preserve">9,100 </t>
    </r>
    <r>
      <rPr>
        <sz val="11"/>
        <rFont val="Times New Roman"/>
        <family val="1"/>
      </rPr>
      <t>±</t>
    </r>
    <r>
      <rPr>
        <sz val="11"/>
        <color theme="1"/>
        <rFont val="Times New Roman"/>
        <family val="1"/>
      </rPr>
      <t xml:space="preserve"> 4,125</t>
    </r>
  </si>
  <si>
    <r>
      <t xml:space="preserve">669,396 </t>
    </r>
    <r>
      <rPr>
        <sz val="11"/>
        <rFont val="Times New Roman"/>
        <family val="1"/>
      </rPr>
      <t>±</t>
    </r>
    <r>
      <rPr>
        <sz val="11"/>
        <color theme="1"/>
        <rFont val="Times New Roman"/>
        <family val="1"/>
      </rPr>
      <t xml:space="preserve"> 123,187</t>
    </r>
  </si>
  <si>
    <t>14 September 2010</t>
  </si>
  <si>
    <t>24.8          (0-160)</t>
  </si>
  <si>
    <r>
      <t xml:space="preserve">3,850 </t>
    </r>
    <r>
      <rPr>
        <sz val="11"/>
        <rFont val="Times New Roman"/>
        <family val="1"/>
      </rPr>
      <t>±</t>
    </r>
    <r>
      <rPr>
        <sz val="11"/>
        <color theme="1"/>
        <rFont val="Times New Roman"/>
        <family val="1"/>
      </rPr>
      <t xml:space="preserve"> 3,213</t>
    </r>
  </si>
  <si>
    <t xml:space="preserve">225,400 ± 141,221 </t>
  </si>
  <si>
    <t>SRB 141 Redefined</t>
  </si>
  <si>
    <t>1500 m²</t>
  </si>
  <si>
    <t>62.0          (2-160)</t>
  </si>
  <si>
    <r>
      <t xml:space="preserve">1,615 </t>
    </r>
    <r>
      <rPr>
        <sz val="11"/>
        <rFont val="Times New Roman"/>
        <family val="1"/>
      </rPr>
      <t>±</t>
    </r>
    <r>
      <rPr>
        <sz val="11"/>
        <color theme="1"/>
        <rFont val="Times New Roman"/>
        <family val="1"/>
      </rPr>
      <t xml:space="preserve"> 693</t>
    </r>
  </si>
  <si>
    <r>
      <t xml:space="preserve">93,000 </t>
    </r>
    <r>
      <rPr>
        <sz val="11"/>
        <rFont val="Times New Roman"/>
        <family val="1"/>
      </rPr>
      <t>±</t>
    </r>
    <r>
      <rPr>
        <sz val="11"/>
        <color theme="1"/>
        <rFont val="Times New Roman"/>
        <family val="1"/>
      </rPr>
      <t xml:space="preserve"> 28,716</t>
    </r>
  </si>
  <si>
    <t>4-1</t>
  </si>
  <si>
    <t xml:space="preserve"> 6-3</t>
  </si>
  <si>
    <t>19-5</t>
  </si>
  <si>
    <t>Pleurobema ridellii</t>
  </si>
  <si>
    <t>Quadrula nobilis</t>
  </si>
  <si>
    <t>70-3</t>
  </si>
  <si>
    <t>80-2</t>
  </si>
  <si>
    <t>90-6</t>
  </si>
  <si>
    <t>133-5</t>
  </si>
  <si>
    <t>164-2</t>
  </si>
  <si>
    <t>13-2</t>
  </si>
  <si>
    <t>74-27</t>
  </si>
  <si>
    <t>92-8</t>
  </si>
  <si>
    <t>26-4</t>
  </si>
  <si>
    <t>103-28</t>
  </si>
  <si>
    <t>111-33</t>
  </si>
  <si>
    <t>126-27</t>
  </si>
  <si>
    <t>129-38</t>
  </si>
  <si>
    <t>220-6</t>
  </si>
  <si>
    <t>201-9</t>
  </si>
  <si>
    <t>181-22</t>
  </si>
  <si>
    <t>193-40</t>
  </si>
  <si>
    <t>142-15</t>
  </si>
  <si>
    <t>152-19</t>
  </si>
  <si>
    <t>II 7-5</t>
  </si>
  <si>
    <t>Stratum II</t>
  </si>
  <si>
    <t>II 74-16</t>
  </si>
  <si>
    <t>II 103-4</t>
  </si>
  <si>
    <t>II 77-8</t>
  </si>
  <si>
    <t>II 107-9</t>
  </si>
  <si>
    <t>II 265-14</t>
  </si>
  <si>
    <t>II 255-2</t>
  </si>
  <si>
    <t>II 127-16</t>
  </si>
  <si>
    <t>II 124-1</t>
  </si>
  <si>
    <t>1-16</t>
  </si>
  <si>
    <t>14-2</t>
  </si>
  <si>
    <t>40-1</t>
  </si>
  <si>
    <t>74-1</t>
  </si>
  <si>
    <t>97-1</t>
  </si>
  <si>
    <t>131-2 (Sampled in the tree-top)</t>
  </si>
  <si>
    <t>149-14</t>
  </si>
  <si>
    <t>160-1</t>
  </si>
  <si>
    <t>180-16</t>
  </si>
  <si>
    <t>205-11</t>
  </si>
  <si>
    <t>225-11</t>
  </si>
  <si>
    <t>248-11</t>
  </si>
  <si>
    <t>260-12</t>
  </si>
  <si>
    <t>264-17</t>
  </si>
  <si>
    <t>271-5</t>
  </si>
  <si>
    <t>276-14</t>
  </si>
  <si>
    <t>289-9</t>
  </si>
  <si>
    <t>298-4</t>
  </si>
  <si>
    <t>328-14</t>
  </si>
  <si>
    <t>332-18</t>
  </si>
  <si>
    <t>447-17</t>
  </si>
  <si>
    <t>454-10</t>
  </si>
  <si>
    <t>390-5</t>
  </si>
  <si>
    <t>420-16</t>
  </si>
  <si>
    <t>432-12</t>
  </si>
  <si>
    <t>161-2</t>
  </si>
  <si>
    <t>163-11</t>
  </si>
  <si>
    <t>123-1</t>
  </si>
  <si>
    <t>125-7</t>
  </si>
  <si>
    <t>142-13</t>
  </si>
  <si>
    <t>10-11</t>
  </si>
  <si>
    <t>13-6</t>
  </si>
  <si>
    <t>2-3</t>
  </si>
  <si>
    <t>3-4</t>
  </si>
  <si>
    <t>29-11</t>
  </si>
  <si>
    <t>34-4</t>
  </si>
  <si>
    <t>45-9</t>
  </si>
  <si>
    <t>48-11</t>
  </si>
  <si>
    <t>60-7</t>
  </si>
  <si>
    <t>62-11</t>
  </si>
  <si>
    <t>18-9</t>
  </si>
  <si>
    <t>3-2</t>
  </si>
  <si>
    <t>4-2</t>
  </si>
  <si>
    <t>26-8</t>
  </si>
  <si>
    <t>56-15</t>
  </si>
  <si>
    <t>62-13</t>
  </si>
  <si>
    <t>91-11</t>
  </si>
  <si>
    <t>92-6</t>
  </si>
  <si>
    <t>111-8</t>
  </si>
  <si>
    <t>126-9</t>
  </si>
  <si>
    <t>131-11</t>
  </si>
  <si>
    <t>129-13</t>
  </si>
  <si>
    <t>135-5</t>
  </si>
  <si>
    <t>136-4</t>
  </si>
  <si>
    <t>141-11</t>
  </si>
  <si>
    <t>142-14</t>
  </si>
  <si>
    <t>152-11</t>
  </si>
  <si>
    <t>143-6</t>
  </si>
  <si>
    <t>159-7</t>
  </si>
  <si>
    <t>166-7</t>
  </si>
  <si>
    <t>153-7</t>
  </si>
  <si>
    <t>91-7</t>
  </si>
  <si>
    <t>96-8</t>
  </si>
  <si>
    <t>109-4</t>
  </si>
  <si>
    <t>122-1</t>
  </si>
  <si>
    <t>132-2</t>
  </si>
  <si>
    <t>133-3</t>
  </si>
  <si>
    <t>141-2</t>
  </si>
  <si>
    <t>12-6</t>
  </si>
  <si>
    <t>29-12</t>
  </si>
  <si>
    <t>41-7</t>
  </si>
  <si>
    <t>41-10</t>
  </si>
  <si>
    <t>46-10</t>
  </si>
  <si>
    <t>49-9</t>
  </si>
  <si>
    <t>71-10</t>
  </si>
  <si>
    <t>71-12</t>
  </si>
  <si>
    <t>72-10</t>
  </si>
  <si>
    <t>150-8</t>
  </si>
  <si>
    <t>170-2</t>
  </si>
  <si>
    <t>172-6</t>
  </si>
  <si>
    <t>154-9</t>
  </si>
  <si>
    <t>6-3</t>
  </si>
  <si>
    <t>8-3</t>
  </si>
  <si>
    <t>30-2</t>
  </si>
  <si>
    <t>32-1</t>
  </si>
  <si>
    <t>31-5</t>
  </si>
  <si>
    <t>56-2</t>
  </si>
  <si>
    <t>70-4</t>
  </si>
  <si>
    <t>73-5</t>
  </si>
  <si>
    <t>75-5</t>
  </si>
  <si>
    <t>Location:</t>
  </si>
  <si>
    <t>Totals</t>
  </si>
  <si>
    <t>Quad #</t>
  </si>
  <si>
    <t>Stats</t>
  </si>
  <si>
    <t>Results</t>
  </si>
  <si>
    <t>Sum</t>
  </si>
  <si>
    <t>min</t>
  </si>
  <si>
    <t>max</t>
  </si>
  <si>
    <t>var</t>
  </si>
  <si>
    <t>mean</t>
  </si>
  <si>
    <t>std</t>
  </si>
  <si>
    <t>Redefined SRB145</t>
  </si>
  <si>
    <t>Input</t>
  </si>
  <si>
    <t>n</t>
  </si>
  <si>
    <t>N</t>
  </si>
  <si>
    <t>y</t>
  </si>
  <si>
    <t>S</t>
  </si>
  <si>
    <t>f</t>
  </si>
  <si>
    <t>g</t>
  </si>
  <si>
    <t>x</t>
  </si>
  <si>
    <t>LU</t>
  </si>
  <si>
    <t>L</t>
  </si>
  <si>
    <t>temp deg</t>
  </si>
  <si>
    <t>Stratum I</t>
  </si>
  <si>
    <t>Stratum 2</t>
  </si>
  <si>
    <t xml:space="preserve"> </t>
  </si>
  <si>
    <t>Total number of shells is:</t>
  </si>
  <si>
    <t>x=</t>
  </si>
  <si>
    <t>n= number of samples taken</t>
  </si>
  <si>
    <t>Eff. Df</t>
  </si>
  <si>
    <t>Eff deg=</t>
  </si>
  <si>
    <t>Input Student's t</t>
  </si>
  <si>
    <t>y=number of mussels for a given stratum</t>
  </si>
  <si>
    <t>S=sample variance for a given stratum</t>
  </si>
  <si>
    <t>Student's t=</t>
  </si>
  <si>
    <t>t=Student's t from table</t>
  </si>
  <si>
    <t>Confidence intervals</t>
  </si>
  <si>
    <t>(x+t) case=</t>
  </si>
  <si>
    <t>x value=:</t>
  </si>
  <si>
    <t>(x-t) case=</t>
  </si>
  <si>
    <t>+/- value=:</t>
  </si>
  <si>
    <t>Community/Population Estimates for Mussel Beds</t>
  </si>
  <si>
    <t>107-9</t>
  </si>
  <si>
    <t>20-7</t>
  </si>
  <si>
    <t>7-5</t>
  </si>
  <si>
    <t>74-16</t>
  </si>
  <si>
    <t>103-4</t>
  </si>
  <si>
    <t>77-8</t>
  </si>
  <si>
    <t>265-14</t>
  </si>
  <si>
    <t>255-2</t>
  </si>
  <si>
    <t>127-16</t>
  </si>
  <si>
    <t>124-1</t>
  </si>
  <si>
    <t xml:space="preserve">Quadrula cylindrica cylindrica </t>
  </si>
  <si>
    <t>Quadrula cylindrica cylindrica</t>
  </si>
  <si>
    <t>Redefined SRB147</t>
  </si>
  <si>
    <t>93-11</t>
  </si>
  <si>
    <t>103-8</t>
  </si>
  <si>
    <t>66-14</t>
  </si>
  <si>
    <t>68-12</t>
  </si>
  <si>
    <t>70-7</t>
  </si>
  <si>
    <t>94-14</t>
  </si>
  <si>
    <t>124-7</t>
  </si>
  <si>
    <t>136-7</t>
  </si>
  <si>
    <t>16-14</t>
  </si>
  <si>
    <t>31-22</t>
  </si>
  <si>
    <t>82-24</t>
  </si>
  <si>
    <t>126-16</t>
  </si>
  <si>
    <t>115-1</t>
  </si>
  <si>
    <t>142-22</t>
  </si>
  <si>
    <t>129-17</t>
  </si>
  <si>
    <t>211-3</t>
  </si>
  <si>
    <t>223-15</t>
  </si>
  <si>
    <t>229-20</t>
  </si>
  <si>
    <t>243-16</t>
  </si>
  <si>
    <t>287-5</t>
  </si>
  <si>
    <t>Stratum III</t>
  </si>
  <si>
    <t>8-12</t>
  </si>
  <si>
    <t>30-11</t>
  </si>
  <si>
    <t>31-8</t>
  </si>
  <si>
    <t>180-12</t>
  </si>
  <si>
    <t>149-5</t>
  </si>
  <si>
    <t>161-26</t>
  </si>
  <si>
    <t>Stratum IV</t>
  </si>
  <si>
    <t>74-12</t>
  </si>
  <si>
    <t>97-6</t>
  </si>
  <si>
    <t>131-19</t>
  </si>
  <si>
    <t>148-18</t>
  </si>
  <si>
    <t>40-18</t>
  </si>
  <si>
    <t>48-23</t>
  </si>
  <si>
    <t>1-10</t>
  </si>
  <si>
    <t>137-11</t>
  </si>
  <si>
    <t>164-1</t>
  </si>
  <si>
    <t>205-8</t>
  </si>
  <si>
    <t>225-14</t>
  </si>
  <si>
    <t>248-5</t>
  </si>
  <si>
    <t>260-25</t>
  </si>
  <si>
    <t>291-22</t>
  </si>
  <si>
    <t>298-17</t>
  </si>
  <si>
    <t>264-13</t>
  </si>
  <si>
    <t>271-11</t>
  </si>
  <si>
    <t>276-16</t>
  </si>
  <si>
    <t>289-4</t>
  </si>
  <si>
    <t>13-1</t>
  </si>
  <si>
    <t>16-4</t>
  </si>
  <si>
    <t>24-3</t>
  </si>
  <si>
    <t>12-15</t>
  </si>
  <si>
    <t>28-15</t>
  </si>
  <si>
    <t>31-9</t>
  </si>
  <si>
    <t>58-14</t>
  </si>
  <si>
    <t>63-8</t>
  </si>
  <si>
    <t>69-9</t>
  </si>
  <si>
    <t>79-7</t>
  </si>
  <si>
    <t>91-8</t>
  </si>
  <si>
    <t>82-15</t>
  </si>
  <si>
    <t>93-5</t>
  </si>
  <si>
    <t>103-9</t>
  </si>
  <si>
    <t>108-14</t>
  </si>
  <si>
    <t>112-12</t>
  </si>
  <si>
    <t>118-14</t>
  </si>
  <si>
    <t>200-5</t>
  </si>
  <si>
    <t>201-3</t>
  </si>
  <si>
    <t>183-9</t>
  </si>
  <si>
    <t>192-19</t>
  </si>
  <si>
    <t>165-21</t>
  </si>
  <si>
    <t>181-17</t>
  </si>
  <si>
    <t>1-8</t>
  </si>
  <si>
    <t>7-10</t>
  </si>
  <si>
    <t>9-5</t>
  </si>
  <si>
    <t>23-4</t>
  </si>
  <si>
    <t>29-6</t>
  </si>
  <si>
    <t>Redefined SRB159B</t>
  </si>
  <si>
    <t>SRB159A</t>
  </si>
  <si>
    <t>131-2</t>
  </si>
  <si>
    <t>136-8</t>
  </si>
  <si>
    <t>144-14</t>
  </si>
  <si>
    <t>117-13</t>
  </si>
  <si>
    <t>119-13</t>
  </si>
  <si>
    <t>92-7</t>
  </si>
  <si>
    <t>95-4</t>
  </si>
  <si>
    <t>113-12</t>
  </si>
  <si>
    <t>79-8</t>
  </si>
  <si>
    <t>SRB 146 - Community Estimate</t>
  </si>
  <si>
    <t>SRB 145 - Community Estimate</t>
  </si>
  <si>
    <t>SRB 145 Redefined - Community Estimate</t>
  </si>
  <si>
    <t>SRB 71 - Community Estimate</t>
  </si>
  <si>
    <t>SRB 70 - Community Estimate</t>
  </si>
  <si>
    <t>SRB 159B - Community Estimate</t>
  </si>
  <si>
    <t>SRB 159A - Community Estimate</t>
  </si>
  <si>
    <t>SRB 147 Redefined - Community Estimate</t>
  </si>
  <si>
    <t>Stratum 3</t>
  </si>
  <si>
    <t>Stratum 4</t>
  </si>
  <si>
    <t>2011 Data</t>
  </si>
  <si>
    <t>SRB71 - 2011</t>
  </si>
  <si>
    <t>SRB70 - 2011</t>
  </si>
  <si>
    <t>SRB71 - 2008</t>
  </si>
  <si>
    <t>SRB 70 - 2008 Community Estimate</t>
  </si>
  <si>
    <t>2008 Data</t>
  </si>
  <si>
    <t>SRB 71 - 2008 Community Estimate</t>
  </si>
  <si>
    <t>SRB70 - 2008</t>
  </si>
  <si>
    <t>SII</t>
  </si>
  <si>
    <t>2005 Data</t>
  </si>
  <si>
    <t>SRB 141 - 2005 Community Estimate</t>
  </si>
  <si>
    <t>SRB 145 - 2005 Community Estimate</t>
  </si>
  <si>
    <t>SRB 146 - 2005 Community Estimate</t>
  </si>
  <si>
    <t>SRB 152 - 2005 Community Estimate</t>
  </si>
  <si>
    <t>2010 Data</t>
  </si>
  <si>
    <t>SRB 141 Redefined - 2010 Community Estimate</t>
  </si>
  <si>
    <t>SRB141 Redefined - 2010</t>
  </si>
  <si>
    <t>SIII</t>
  </si>
  <si>
    <t>SRB 152 Redefined - Community Estimate</t>
  </si>
  <si>
    <t>SRB145 - 2005</t>
  </si>
  <si>
    <t>SRB146 - 2005</t>
  </si>
  <si>
    <t>SI Area = 140 x 65 m</t>
  </si>
  <si>
    <t>SII Area = 35 x 5 m</t>
  </si>
  <si>
    <t>4-6</t>
  </si>
  <si>
    <t>6-4</t>
  </si>
  <si>
    <t>8-11</t>
  </si>
  <si>
    <t>11-9</t>
  </si>
  <si>
    <t>19-10</t>
  </si>
  <si>
    <t>27-13</t>
  </si>
  <si>
    <t>30-1</t>
  </si>
  <si>
    <t>34-9</t>
  </si>
  <si>
    <t>41-4</t>
  </si>
  <si>
    <t>15-1</t>
  </si>
  <si>
    <t>4-4</t>
  </si>
  <si>
    <t>10-3</t>
  </si>
  <si>
    <t>51-5</t>
  </si>
  <si>
    <t>61-6</t>
  </si>
  <si>
    <t>86-12</t>
  </si>
  <si>
    <t>92-12</t>
  </si>
  <si>
    <t>120-16</t>
  </si>
  <si>
    <t>102-6</t>
  </si>
  <si>
    <t>104-16</t>
  </si>
  <si>
    <t>132-13</t>
  </si>
  <si>
    <t>133-7</t>
  </si>
  <si>
    <t>144-8</t>
  </si>
  <si>
    <t>151-3</t>
  </si>
  <si>
    <t>156-6</t>
  </si>
  <si>
    <t>193-10</t>
  </si>
  <si>
    <t>53-10</t>
  </si>
  <si>
    <t>51-2</t>
  </si>
  <si>
    <t>8-2</t>
  </si>
  <si>
    <t>18-4</t>
  </si>
  <si>
    <t>10-10</t>
  </si>
  <si>
    <t>27-10</t>
  </si>
  <si>
    <t>19-14</t>
  </si>
  <si>
    <t>37-6</t>
  </si>
  <si>
    <t>24-14</t>
  </si>
  <si>
    <t>62-5</t>
  </si>
  <si>
    <t>76-9</t>
  </si>
  <si>
    <t>179-19</t>
  </si>
  <si>
    <t>192-18</t>
  </si>
  <si>
    <t>243-2</t>
  </si>
  <si>
    <t>305-6</t>
  </si>
  <si>
    <t>228-16</t>
  </si>
  <si>
    <t>246-17</t>
  </si>
  <si>
    <t>176-4</t>
  </si>
  <si>
    <t>207-5</t>
  </si>
  <si>
    <t>2-16</t>
  </si>
  <si>
    <t>3-12</t>
  </si>
  <si>
    <t>10-14</t>
  </si>
  <si>
    <t>29-16</t>
  </si>
  <si>
    <t>34-19</t>
  </si>
  <si>
    <t>60-10</t>
  </si>
  <si>
    <t>79-10</t>
  </si>
  <si>
    <t>117-15</t>
  </si>
  <si>
    <t>119-19</t>
  </si>
  <si>
    <t>125-9</t>
  </si>
  <si>
    <t>167-1</t>
  </si>
  <si>
    <t>Fusconaia subrotunda</t>
  </si>
  <si>
    <t>29-4</t>
  </si>
  <si>
    <t>46-5</t>
  </si>
  <si>
    <t>14-8</t>
  </si>
  <si>
    <t>57-6</t>
  </si>
  <si>
    <t>11-1</t>
  </si>
  <si>
    <t>145-13</t>
  </si>
  <si>
    <t>40-7</t>
  </si>
  <si>
    <t>48-6</t>
  </si>
  <si>
    <t>58-7</t>
  </si>
  <si>
    <t>71-15</t>
  </si>
  <si>
    <t>98-8</t>
  </si>
  <si>
    <t>135-7</t>
  </si>
  <si>
    <t>180-9</t>
  </si>
  <si>
    <t>194-9</t>
  </si>
  <si>
    <t>230-11</t>
  </si>
  <si>
    <t>248-1</t>
  </si>
  <si>
    <t>296-5</t>
  </si>
  <si>
    <t>305-9</t>
  </si>
  <si>
    <t>254-11</t>
  </si>
  <si>
    <t>257-7</t>
  </si>
  <si>
    <t>316-14</t>
  </si>
  <si>
    <t>348-11</t>
  </si>
  <si>
    <t>14-12</t>
  </si>
  <si>
    <t>15-13</t>
  </si>
  <si>
    <t>353-6</t>
  </si>
  <si>
    <t>35-4</t>
  </si>
  <si>
    <t>38-8</t>
  </si>
  <si>
    <t>%TOTAL</t>
  </si>
  <si>
    <t>Quad#</t>
  </si>
  <si>
    <r>
      <t>4-</t>
    </r>
    <r>
      <rPr>
        <sz val="10"/>
        <rFont val="Times New Roman"/>
        <family val="1"/>
      </rPr>
      <t>6</t>
    </r>
  </si>
  <si>
    <t>1-2</t>
  </si>
  <si>
    <t>14-9</t>
  </si>
  <si>
    <t>40-11</t>
  </si>
  <si>
    <t>74-14</t>
  </si>
  <si>
    <t>97-9</t>
  </si>
  <si>
    <t>148-14</t>
  </si>
  <si>
    <t>149-12</t>
  </si>
  <si>
    <t>161-12</t>
  </si>
  <si>
    <t>180-5</t>
  </si>
  <si>
    <t>225-4</t>
  </si>
  <si>
    <t>248-8</t>
  </si>
  <si>
    <t>249-5</t>
  </si>
  <si>
    <t>260-1</t>
  </si>
  <si>
    <t>264-12</t>
  </si>
  <si>
    <t>291-12</t>
  </si>
  <si>
    <t>271-4</t>
  </si>
  <si>
    <t>276-5</t>
  </si>
  <si>
    <t>298-11</t>
  </si>
  <si>
    <t>332-6</t>
  </si>
  <si>
    <t>366-4</t>
  </si>
  <si>
    <t>390-6</t>
  </si>
  <si>
    <r>
      <t>Summary of the</t>
    </r>
    <r>
      <rPr>
        <i/>
        <sz val="10"/>
        <rFont val="Verdana"/>
        <family val="2"/>
      </rPr>
      <t xml:space="preserve"> Quadrula fragosa</t>
    </r>
    <r>
      <rPr>
        <sz val="10"/>
        <rFont val="Arial"/>
      </rPr>
      <t xml:space="preserve"> length, height and width measurements from study sites.                                              </t>
    </r>
    <r>
      <rPr>
        <sz val="9"/>
        <rFont val="Verdana"/>
        <family val="2"/>
      </rPr>
      <t>Regarding quadrant location (e.g. I 67-8), I = stratum, 67 = row with 1 most upstream, and 8= column with 1 most inshore.</t>
    </r>
  </si>
  <si>
    <r>
      <t xml:space="preserve">Summary of the </t>
    </r>
    <r>
      <rPr>
        <i/>
        <sz val="10"/>
        <rFont val="Verdana"/>
        <family val="2"/>
      </rPr>
      <t>Quadrula cylindrica</t>
    </r>
    <r>
      <rPr>
        <sz val="10"/>
        <rFont val="Arial"/>
      </rPr>
      <t xml:space="preserve"> length, height and width measurements from study sites.                                              </t>
    </r>
    <r>
      <rPr>
        <sz val="9"/>
        <rFont val="Verdana"/>
        <family val="2"/>
      </rPr>
      <t>Regarding quadrant location (e.g. I 67-8), I = stratum, 67 = row with 1 most upstream, and 8= column with 1 most inshore.</t>
    </r>
  </si>
  <si>
    <r>
      <t xml:space="preserve">Summary of the </t>
    </r>
    <r>
      <rPr>
        <i/>
        <sz val="10"/>
        <rFont val="Verdana"/>
        <family val="2"/>
      </rPr>
      <t>Lampsilis abrupta</t>
    </r>
    <r>
      <rPr>
        <sz val="10"/>
        <rFont val="Arial"/>
      </rPr>
      <t xml:space="preserve"> length, height and width measurements from study sites.                                              </t>
    </r>
    <r>
      <rPr>
        <sz val="9"/>
        <rFont val="Verdana"/>
        <family val="2"/>
      </rPr>
      <t>Regarding quadrant location (e.g. I 67-8), I = stratum, 67 = row with 1 most upstream, and 8= column with 1 most inshore.</t>
    </r>
  </si>
  <si>
    <t>Bed Location</t>
    <phoneticPr fontId="2" type="noConversion"/>
  </si>
  <si>
    <t>Quadrant Location</t>
    <phoneticPr fontId="2" type="noConversion"/>
  </si>
  <si>
    <t>Length</t>
    <phoneticPr fontId="2" type="noConversion"/>
  </si>
  <si>
    <t>Height</t>
    <phoneticPr fontId="2" type="noConversion"/>
  </si>
  <si>
    <t>Width</t>
    <phoneticPr fontId="2" type="noConversion"/>
  </si>
  <si>
    <t>Quadrant Location</t>
    <phoneticPr fontId="2" type="noConversion"/>
  </si>
  <si>
    <t>40-11</t>
    <phoneticPr fontId="2" type="noConversion"/>
  </si>
  <si>
    <t>1-2</t>
    <phoneticPr fontId="2" type="noConversion"/>
  </si>
  <si>
    <t>74-14</t>
    <phoneticPr fontId="2" type="noConversion"/>
  </si>
  <si>
    <t>148-14</t>
    <phoneticPr fontId="2" type="noConversion"/>
  </si>
  <si>
    <t>225-4</t>
    <phoneticPr fontId="2" type="noConversion"/>
  </si>
  <si>
    <t>248-8</t>
    <phoneticPr fontId="2" type="noConversion"/>
  </si>
  <si>
    <t>332-6</t>
    <phoneticPr fontId="2" type="noConversion"/>
  </si>
  <si>
    <t>298-11</t>
    <phoneticPr fontId="2" type="noConversion"/>
  </si>
  <si>
    <t>6-4</t>
    <phoneticPr fontId="2" type="noConversion"/>
  </si>
  <si>
    <t>30-1</t>
    <phoneticPr fontId="2" type="noConversion"/>
  </si>
  <si>
    <t>102-6</t>
    <phoneticPr fontId="2" type="noConversion"/>
  </si>
  <si>
    <t>8-11</t>
    <phoneticPr fontId="2" type="noConversion"/>
  </si>
  <si>
    <t>144-8</t>
    <phoneticPr fontId="2" type="noConversion"/>
  </si>
  <si>
    <t>NA</t>
    <phoneticPr fontId="2" type="noConversion"/>
  </si>
  <si>
    <t>155-SI</t>
    <phoneticPr fontId="2" type="noConversion"/>
  </si>
  <si>
    <t>305-6</t>
    <phoneticPr fontId="2" type="noConversion"/>
  </si>
  <si>
    <t>151-3</t>
    <phoneticPr fontId="2" type="noConversion"/>
  </si>
  <si>
    <t>246-17</t>
    <phoneticPr fontId="2" type="noConversion"/>
  </si>
  <si>
    <t>9-7</t>
    <phoneticPr fontId="2" type="noConversion"/>
  </si>
  <si>
    <t>34-19</t>
    <phoneticPr fontId="2" type="noConversion"/>
  </si>
  <si>
    <t>79-10</t>
    <phoneticPr fontId="2" type="noConversion"/>
  </si>
  <si>
    <t>24-14</t>
    <phoneticPr fontId="2" type="noConversion"/>
  </si>
  <si>
    <t>136-8</t>
    <phoneticPr fontId="2" type="noConversion"/>
  </si>
  <si>
    <t>11-9</t>
    <phoneticPr fontId="2" type="noConversion"/>
  </si>
  <si>
    <t>37-6</t>
    <phoneticPr fontId="2" type="noConversion"/>
  </si>
  <si>
    <t>58-7</t>
    <phoneticPr fontId="2" type="noConversion"/>
  </si>
  <si>
    <t>9-10</t>
    <phoneticPr fontId="2" type="noConversion"/>
  </si>
  <si>
    <t>2-16</t>
    <phoneticPr fontId="2" type="noConversion"/>
  </si>
  <si>
    <t>71-15</t>
    <phoneticPr fontId="2" type="noConversion"/>
  </si>
  <si>
    <t>27-13</t>
    <phoneticPr fontId="2" type="noConversion"/>
  </si>
  <si>
    <t>155-SI</t>
    <phoneticPr fontId="2" type="noConversion"/>
  </si>
  <si>
    <t>10-14</t>
    <phoneticPr fontId="2" type="noConversion"/>
  </si>
  <si>
    <t>205-11</t>
    <phoneticPr fontId="2" type="noConversion"/>
  </si>
  <si>
    <t>27-13</t>
    <phoneticPr fontId="2" type="noConversion"/>
  </si>
  <si>
    <t>225-11</t>
    <phoneticPr fontId="2" type="noConversion"/>
  </si>
  <si>
    <t>62-5</t>
    <phoneticPr fontId="2" type="noConversion"/>
  </si>
  <si>
    <t>194-9</t>
    <phoneticPr fontId="2" type="noConversion"/>
  </si>
  <si>
    <t>243-2</t>
    <phoneticPr fontId="2" type="noConversion"/>
  </si>
  <si>
    <t>14-12</t>
    <phoneticPr fontId="2" type="noConversion"/>
  </si>
  <si>
    <t>10-14</t>
    <phoneticPr fontId="2" type="noConversion"/>
  </si>
  <si>
    <t>60-10</t>
    <phoneticPr fontId="2" type="noConversion"/>
  </si>
  <si>
    <t>60-10</t>
    <phoneticPr fontId="2" type="noConversion"/>
  </si>
  <si>
    <t>125-9</t>
    <phoneticPr fontId="2" type="noConversion"/>
  </si>
  <si>
    <t>145-13</t>
    <phoneticPr fontId="2" type="noConversion"/>
  </si>
  <si>
    <t>40-7</t>
    <phoneticPr fontId="2" type="noConversion"/>
  </si>
  <si>
    <t>58-7</t>
    <phoneticPr fontId="2" type="noConversion"/>
  </si>
  <si>
    <t>135-7</t>
    <phoneticPr fontId="2" type="noConversion"/>
  </si>
  <si>
    <t>230-11</t>
    <phoneticPr fontId="2" type="noConversion"/>
  </si>
  <si>
    <t>35-4</t>
    <phoneticPr fontId="2" type="noConversion"/>
  </si>
  <si>
    <t>12-6</t>
    <phoneticPr fontId="2" type="noConversion"/>
  </si>
  <si>
    <t>97-1</t>
    <phoneticPr fontId="2" type="noConversion"/>
  </si>
  <si>
    <t>19-5</t>
    <phoneticPr fontId="2" type="noConversion"/>
  </si>
  <si>
    <t>8-3</t>
    <phoneticPr fontId="2" type="noConversion"/>
  </si>
  <si>
    <t>80-2</t>
    <phoneticPr fontId="2" type="noConversion"/>
  </si>
  <si>
    <t>30-3</t>
    <phoneticPr fontId="2" type="noConversion"/>
  </si>
  <si>
    <t>289-9</t>
    <phoneticPr fontId="2" type="noConversion"/>
  </si>
  <si>
    <t>145-SI</t>
    <phoneticPr fontId="2" type="noConversion"/>
  </si>
  <si>
    <t>74-27</t>
    <phoneticPr fontId="2" type="noConversion"/>
  </si>
  <si>
    <t>30-3</t>
    <phoneticPr fontId="2" type="noConversion"/>
  </si>
  <si>
    <t>95-4</t>
    <phoneticPr fontId="2" type="noConversion"/>
  </si>
  <si>
    <t>220-6</t>
    <phoneticPr fontId="2" type="noConversion"/>
  </si>
  <si>
    <t>31-5</t>
    <phoneticPr fontId="2" type="noConversion"/>
  </si>
  <si>
    <t>145-SII</t>
    <phoneticPr fontId="2" type="noConversion"/>
  </si>
  <si>
    <t>74-16</t>
    <phoneticPr fontId="2" type="noConversion"/>
  </si>
  <si>
    <t>124-1</t>
    <phoneticPr fontId="2" type="noConversion"/>
  </si>
  <si>
    <t>70-4</t>
    <phoneticPr fontId="2" type="noConversion"/>
  </si>
  <si>
    <t>10-11</t>
    <phoneticPr fontId="2" type="noConversion"/>
  </si>
  <si>
    <t>149-14</t>
    <phoneticPr fontId="2" type="noConversion"/>
  </si>
  <si>
    <t>73-5</t>
    <phoneticPr fontId="2" type="noConversion"/>
  </si>
  <si>
    <t>180-16</t>
    <phoneticPr fontId="2" type="noConversion"/>
  </si>
  <si>
    <t>3-4</t>
    <phoneticPr fontId="2" type="noConversion"/>
  </si>
  <si>
    <t>75-5</t>
    <phoneticPr fontId="2" type="noConversion"/>
  </si>
  <si>
    <t>34-4</t>
    <phoneticPr fontId="2" type="noConversion"/>
  </si>
  <si>
    <t>390-5</t>
    <phoneticPr fontId="2" type="noConversion"/>
  </si>
  <si>
    <t>19-5</t>
    <phoneticPr fontId="2" type="noConversion"/>
  </si>
  <si>
    <t>420-16</t>
    <phoneticPr fontId="2" type="noConversion"/>
  </si>
  <si>
    <t>147 redefined</t>
    <phoneticPr fontId="2" type="noConversion"/>
  </si>
  <si>
    <t>135-5</t>
    <phoneticPr fontId="2" type="noConversion"/>
  </si>
  <si>
    <t>93-11</t>
    <phoneticPr fontId="2" type="noConversion"/>
  </si>
  <si>
    <t>103-8</t>
    <phoneticPr fontId="2" type="noConversion"/>
  </si>
  <si>
    <t>19-5</t>
    <phoneticPr fontId="2" type="noConversion"/>
  </si>
  <si>
    <t>142-14</t>
    <phoneticPr fontId="2" type="noConversion"/>
  </si>
  <si>
    <t>68-2</t>
    <phoneticPr fontId="2" type="noConversion"/>
  </si>
  <si>
    <t>159-7</t>
    <phoneticPr fontId="2" type="noConversion"/>
  </si>
  <si>
    <t>107-9</t>
    <phoneticPr fontId="2" type="noConversion"/>
  </si>
  <si>
    <t>49-9</t>
    <phoneticPr fontId="2" type="noConversion"/>
  </si>
  <si>
    <t>122-1</t>
    <phoneticPr fontId="2" type="noConversion"/>
  </si>
  <si>
    <t>159A-SI</t>
    <phoneticPr fontId="2" type="noConversion"/>
  </si>
  <si>
    <t>58-14</t>
    <phoneticPr fontId="2" type="noConversion"/>
  </si>
  <si>
    <t>12-15</t>
    <phoneticPr fontId="2" type="noConversion"/>
  </si>
  <si>
    <t>90-6</t>
    <phoneticPr fontId="2" type="noConversion"/>
  </si>
  <si>
    <t>69-9</t>
    <phoneticPr fontId="2" type="noConversion"/>
  </si>
  <si>
    <t>93-5</t>
    <phoneticPr fontId="2" type="noConversion"/>
  </si>
  <si>
    <t>109-2</t>
    <phoneticPr fontId="2" type="noConversion"/>
  </si>
  <si>
    <t>103-9</t>
    <phoneticPr fontId="2" type="noConversion"/>
  </si>
  <si>
    <t>79-7</t>
    <phoneticPr fontId="2" type="noConversion"/>
  </si>
  <si>
    <t>159A-SI</t>
    <phoneticPr fontId="2" type="noConversion"/>
  </si>
  <si>
    <t>112-12</t>
    <phoneticPr fontId="2" type="noConversion"/>
  </si>
  <si>
    <t>159B-SI</t>
    <phoneticPr fontId="2" type="noConversion"/>
  </si>
  <si>
    <t>136-7</t>
    <phoneticPr fontId="2" type="noConversion"/>
  </si>
  <si>
    <t>112-12</t>
    <phoneticPr fontId="2" type="noConversion"/>
  </si>
  <si>
    <t>159B-SII</t>
    <phoneticPr fontId="2" type="noConversion"/>
  </si>
  <si>
    <t>115-1</t>
    <phoneticPr fontId="2" type="noConversion"/>
  </si>
  <si>
    <t>137-11</t>
    <phoneticPr fontId="2" type="noConversion"/>
  </si>
  <si>
    <t>159B-SIV</t>
    <phoneticPr fontId="2" type="noConversion"/>
  </si>
  <si>
    <t>260-25</t>
    <phoneticPr fontId="2" type="noConversion"/>
  </si>
  <si>
    <t>26-4</t>
    <phoneticPr fontId="2" type="noConversion"/>
  </si>
  <si>
    <t>159B-SIV</t>
    <phoneticPr fontId="2" type="noConversion"/>
  </si>
  <si>
    <t>264-13</t>
    <phoneticPr fontId="2" type="noConversion"/>
  </si>
  <si>
    <t>145 redefined</t>
    <phoneticPr fontId="2" type="noConversion"/>
  </si>
  <si>
    <t>103-28</t>
    <phoneticPr fontId="2" type="noConversion"/>
  </si>
  <si>
    <t>129-38</t>
    <phoneticPr fontId="2" type="noConversion"/>
  </si>
  <si>
    <t>164-1</t>
    <phoneticPr fontId="2" type="noConversion"/>
  </si>
  <si>
    <t>145-SI</t>
    <phoneticPr fontId="2" type="noConversion"/>
  </si>
  <si>
    <t>200-5</t>
    <phoneticPr fontId="2" type="noConversion"/>
  </si>
  <si>
    <t>201-9</t>
    <phoneticPr fontId="2" type="noConversion"/>
  </si>
  <si>
    <t>181-17</t>
    <phoneticPr fontId="2" type="noConversion"/>
  </si>
  <si>
    <t>159A-SII</t>
    <phoneticPr fontId="2" type="noConversion"/>
  </si>
  <si>
    <t>23-4</t>
    <phoneticPr fontId="2" type="noConversion"/>
  </si>
  <si>
    <t>20-7</t>
    <phoneticPr fontId="2" type="noConversion"/>
  </si>
  <si>
    <t>31-22</t>
    <phoneticPr fontId="2" type="noConversion"/>
  </si>
  <si>
    <t>126-16</t>
    <phoneticPr fontId="2" type="noConversion"/>
  </si>
  <si>
    <t>265-14</t>
    <phoneticPr fontId="2" type="noConversion"/>
  </si>
  <si>
    <t>129-17</t>
    <phoneticPr fontId="2" type="noConversion"/>
  </si>
  <si>
    <t>255-2</t>
    <phoneticPr fontId="2" type="noConversion"/>
  </si>
  <si>
    <t>40-18</t>
    <phoneticPr fontId="2" type="noConversion"/>
  </si>
  <si>
    <t>137-11</t>
    <phoneticPr fontId="2" type="noConversion"/>
  </si>
  <si>
    <t>127-16</t>
    <phoneticPr fontId="2" type="noConversion"/>
  </si>
  <si>
    <t>1-16</t>
    <phoneticPr fontId="2" type="noConversion"/>
  </si>
  <si>
    <t>74-1</t>
    <phoneticPr fontId="2" type="noConversion"/>
  </si>
  <si>
    <t>180-16</t>
    <phoneticPr fontId="2" type="noConversion"/>
  </si>
  <si>
    <t>260-12</t>
    <phoneticPr fontId="2" type="noConversion"/>
  </si>
  <si>
    <t>264-17</t>
    <phoneticPr fontId="2" type="noConversion"/>
  </si>
  <si>
    <t>276-14</t>
    <phoneticPr fontId="2" type="noConversion"/>
  </si>
  <si>
    <t>161-2</t>
    <phoneticPr fontId="2" type="noConversion"/>
  </si>
  <si>
    <t>125-7</t>
    <phoneticPr fontId="2" type="noConversion"/>
  </si>
  <si>
    <t>111-8</t>
    <phoneticPr fontId="2" type="noConversion"/>
  </si>
  <si>
    <t>129-13</t>
    <phoneticPr fontId="2" type="noConversion"/>
  </si>
  <si>
    <t>136-4</t>
    <phoneticPr fontId="2" type="noConversion"/>
  </si>
  <si>
    <t>152-11</t>
    <phoneticPr fontId="2" type="noConversion"/>
  </si>
  <si>
    <t>143-6</t>
    <phoneticPr fontId="2" type="noConversion"/>
  </si>
  <si>
    <t>96-8</t>
    <phoneticPr fontId="2" type="noConversion"/>
  </si>
  <si>
    <t>132-2</t>
    <phoneticPr fontId="2" type="noConversion"/>
  </si>
  <si>
    <t>150-8</t>
    <phoneticPr fontId="2" type="noConversion"/>
  </si>
  <si>
    <t>154-9</t>
    <phoneticPr fontId="2" type="noConversion"/>
  </si>
  <si>
    <t>16-4</t>
    <phoneticPr fontId="2" type="noConversion"/>
  </si>
  <si>
    <t>28-15</t>
    <phoneticPr fontId="2" type="noConversion"/>
  </si>
  <si>
    <t>31-9</t>
    <phoneticPr fontId="2" type="noConversion"/>
  </si>
  <si>
    <t>108-14</t>
    <phoneticPr fontId="2" type="noConversion"/>
  </si>
  <si>
    <t>201-3</t>
    <phoneticPr fontId="2" type="noConversion"/>
  </si>
  <si>
    <t>183-9</t>
    <phoneticPr fontId="2" type="noConversion"/>
  </si>
  <si>
    <t>159A-SII</t>
    <phoneticPr fontId="2" type="noConversion"/>
  </si>
  <si>
    <t>23-4</t>
    <phoneticPr fontId="2" type="noConversion"/>
  </si>
  <si>
    <t>124-7</t>
    <phoneticPr fontId="2" type="noConversion"/>
  </si>
  <si>
    <t>50-3</t>
    <phoneticPr fontId="2" type="noConversion"/>
  </si>
  <si>
    <t>161-26</t>
    <phoneticPr fontId="2" type="noConversion"/>
  </si>
  <si>
    <t>161-26</t>
    <phoneticPr fontId="2" type="noConversion"/>
  </si>
  <si>
    <t>225-14</t>
    <phoneticPr fontId="2" type="noConversion"/>
  </si>
  <si>
    <t>61-8</t>
    <phoneticPr fontId="2" type="noConversion"/>
  </si>
  <si>
    <t>88-11</t>
    <phoneticPr fontId="2" type="noConversion"/>
  </si>
  <si>
    <t>29-3</t>
    <phoneticPr fontId="2" type="noConversion"/>
  </si>
  <si>
    <t>81-6</t>
    <phoneticPr fontId="2" type="noConversion"/>
  </si>
  <si>
    <t>79-2</t>
    <phoneticPr fontId="2" type="noConversion"/>
  </si>
  <si>
    <t>81-6</t>
    <phoneticPr fontId="2" type="noConversion"/>
  </si>
  <si>
    <t>83-1</t>
    <phoneticPr fontId="2" type="noConversion"/>
  </si>
  <si>
    <t>86-7</t>
    <phoneticPr fontId="2" type="noConversion"/>
  </si>
  <si>
    <t>105-1</t>
    <phoneticPr fontId="2" type="noConversion"/>
  </si>
  <si>
    <t xml:space="preserve">                            Saline River</t>
  </si>
  <si>
    <t xml:space="preserve">                             Saline River</t>
  </si>
  <si>
    <t>Gender</t>
  </si>
  <si>
    <t>F</t>
  </si>
  <si>
    <t>F-gravid</t>
  </si>
  <si>
    <t>NA</t>
  </si>
  <si>
    <t>M</t>
  </si>
  <si>
    <t>Juv-3yr</t>
  </si>
  <si>
    <t>SRB 158 - Community Estimate</t>
  </si>
  <si>
    <t>SRB 143 - Community Estimate</t>
  </si>
  <si>
    <t>SRB 153 - Community Estimate</t>
  </si>
  <si>
    <t>SRB 155  - Community Estimate</t>
  </si>
  <si>
    <t>SRB 157 - Community Estimate</t>
  </si>
  <si>
    <t>N=total area for a given stratum (m2)</t>
  </si>
  <si>
    <t>4-10</t>
  </si>
  <si>
    <t>19-7</t>
  </si>
  <si>
    <t>30-8</t>
  </si>
  <si>
    <t>39-4</t>
  </si>
  <si>
    <t>47-9</t>
  </si>
  <si>
    <t>68-9</t>
  </si>
  <si>
    <t>70-8</t>
  </si>
  <si>
    <t>80-7</t>
  </si>
  <si>
    <t>90-7</t>
  </si>
  <si>
    <t>98-9</t>
  </si>
  <si>
    <t>109-6</t>
  </si>
  <si>
    <t>116-10</t>
  </si>
  <si>
    <t>124-8</t>
  </si>
  <si>
    <t>164-6</t>
  </si>
  <si>
    <t>172-1</t>
  </si>
  <si>
    <t>174-9</t>
  </si>
  <si>
    <t>189-1</t>
  </si>
  <si>
    <t>%Total</t>
  </si>
  <si>
    <t>10-9</t>
  </si>
  <si>
    <t>14-7</t>
  </si>
  <si>
    <t>31-1</t>
  </si>
  <si>
    <t>42-4</t>
  </si>
  <si>
    <t>47-8</t>
  </si>
  <si>
    <t>48-7</t>
  </si>
  <si>
    <t>1</t>
  </si>
  <si>
    <t>59-7</t>
  </si>
  <si>
    <t>78-7</t>
  </si>
  <si>
    <t>102-9</t>
  </si>
  <si>
    <t xml:space="preserve">Total </t>
  </si>
  <si>
    <t xml:space="preserve">% Total </t>
  </si>
  <si>
    <t>15-4</t>
  </si>
  <si>
    <t>19-1</t>
  </si>
  <si>
    <t>20-5</t>
  </si>
  <si>
    <t>69-4</t>
  </si>
  <si>
    <t>85-2</t>
  </si>
  <si>
    <t>113-3</t>
  </si>
  <si>
    <t>1-1</t>
  </si>
  <si>
    <t>16-6</t>
  </si>
  <si>
    <t>40-6</t>
  </si>
  <si>
    <t>48-5</t>
  </si>
  <si>
    <t>49-1</t>
  </si>
  <si>
    <t>49-10</t>
  </si>
  <si>
    <t>74-3</t>
  </si>
  <si>
    <t>97-3</t>
  </si>
  <si>
    <t>131-7</t>
  </si>
  <si>
    <t>148-1</t>
  </si>
  <si>
    <t>149-4</t>
  </si>
  <si>
    <t>161-8</t>
  </si>
  <si>
    <t>163-4</t>
  </si>
  <si>
    <t>180-6</t>
  </si>
  <si>
    <t>189-3</t>
  </si>
  <si>
    <t>205-6</t>
  </si>
  <si>
    <t>225-7</t>
  </si>
  <si>
    <t>229-4</t>
  </si>
  <si>
    <t>234-3</t>
  </si>
  <si>
    <t>248-2</t>
  </si>
  <si>
    <t>249-8</t>
  </si>
  <si>
    <t>260-9</t>
  </si>
  <si>
    <t>264-2</t>
  </si>
  <si>
    <t>271-9</t>
  </si>
  <si>
    <t xml:space="preserve">15-1 </t>
  </si>
  <si>
    <t>19-8</t>
  </si>
  <si>
    <t>64-7</t>
  </si>
  <si>
    <t>69-6</t>
  </si>
  <si>
    <t>84-1</t>
  </si>
  <si>
    <t>99-8</t>
  </si>
  <si>
    <t>11-6</t>
  </si>
  <si>
    <t>25-1</t>
  </si>
  <si>
    <t>27-8</t>
  </si>
  <si>
    <t>38-6</t>
  </si>
  <si>
    <t>51-4</t>
  </si>
  <si>
    <t>60-1</t>
  </si>
  <si>
    <t>75-4</t>
  </si>
  <si>
    <t>86-1</t>
  </si>
  <si>
    <t>120-5</t>
  </si>
  <si>
    <t>127-6</t>
  </si>
  <si>
    <t>132-7</t>
  </si>
  <si>
    <t>133-4</t>
  </si>
  <si>
    <t>140-2</t>
  </si>
  <si>
    <t>144-9</t>
  </si>
  <si>
    <t>157-9</t>
  </si>
  <si>
    <t xml:space="preserve">7-2 </t>
  </si>
  <si>
    <t>13-4</t>
  </si>
  <si>
    <t>79-9</t>
  </si>
  <si>
    <t>98-2</t>
  </si>
  <si>
    <t>123-4</t>
  </si>
  <si>
    <t>136-9</t>
  </si>
  <si>
    <t>176-1</t>
  </si>
  <si>
    <t>190-1</t>
  </si>
  <si>
    <t>201-6</t>
  </si>
  <si>
    <t>219-8</t>
  </si>
  <si>
    <t>222-2</t>
  </si>
  <si>
    <t>222-9</t>
  </si>
  <si>
    <t>236-1</t>
  </si>
  <si>
    <t>273-5</t>
  </si>
  <si>
    <t>298-1</t>
  </si>
  <si>
    <t>310-4</t>
  </si>
  <si>
    <t>360-5</t>
  </si>
  <si>
    <t>361-1</t>
  </si>
  <si>
    <t>422-9</t>
  </si>
  <si>
    <t>475-6</t>
  </si>
  <si>
    <t>SRB99-2015</t>
  </si>
  <si>
    <t>SRB125-2015</t>
  </si>
  <si>
    <t>SRB131-2015</t>
  </si>
  <si>
    <t>SRB85-2015</t>
  </si>
  <si>
    <t>Locatoin:</t>
  </si>
  <si>
    <t>SRB77-2015</t>
  </si>
  <si>
    <t>SRB79-2015</t>
  </si>
  <si>
    <t>SRB56-2015</t>
  </si>
  <si>
    <t>390-4</t>
  </si>
  <si>
    <t>7-2</t>
  </si>
  <si>
    <t>N=total area for a given stratum</t>
  </si>
  <si>
    <t>Here are the values you need, Al!</t>
  </si>
  <si>
    <t>Bed Totals</t>
  </si>
  <si>
    <t>A. wheeleri</t>
  </si>
  <si>
    <t>SRB141 (2010)</t>
  </si>
  <si>
    <t>SRB145 (2011)</t>
  </si>
  <si>
    <t>SRB146 (2011)</t>
  </si>
  <si>
    <t>SRB152 (2011)</t>
  </si>
  <si>
    <t>SRB70 (2011)</t>
  </si>
  <si>
    <t>SRB71 (2011)</t>
  </si>
  <si>
    <t>SRB147 (2011)</t>
  </si>
  <si>
    <t>SRB159B (20XX)</t>
  </si>
  <si>
    <t>SRB159A (20XX)</t>
  </si>
  <si>
    <t>SRB143 (20XX)</t>
  </si>
  <si>
    <t>SRB153 (20XX)</t>
  </si>
  <si>
    <t>SRB155 (20XX)</t>
  </si>
  <si>
    <t>SRB157 (20XX)</t>
  </si>
  <si>
    <t>SRB158 (20XX)</t>
  </si>
  <si>
    <t>SRB99 (20XX)</t>
  </si>
  <si>
    <t>SRB125 (20XX)</t>
  </si>
  <si>
    <t>SRB131 (20XX)</t>
  </si>
  <si>
    <t>SRB85 (20XX)</t>
  </si>
  <si>
    <t>SRB77 (20XX)</t>
  </si>
  <si>
    <t>SRB79 (20XX)</t>
  </si>
  <si>
    <t>SRB56 (20XX)</t>
  </si>
  <si>
    <t>Sum A</t>
  </si>
  <si>
    <t>Var A</t>
  </si>
  <si>
    <t>Samples A</t>
  </si>
  <si>
    <t>PopEst</t>
  </si>
  <si>
    <t>61320±29939</t>
  </si>
  <si>
    <r>
      <t>215</t>
    </r>
    <r>
      <rPr>
        <sz val="10"/>
        <rFont val="Calibri"/>
        <family val="2"/>
      </rPr>
      <t>±</t>
    </r>
    <r>
      <rPr>
        <sz val="10"/>
        <rFont val="Arial"/>
        <family val="2"/>
      </rPr>
      <t>260</t>
    </r>
  </si>
  <si>
    <r>
      <t>68804</t>
    </r>
    <r>
      <rPr>
        <sz val="10"/>
        <rFont val="Calibri"/>
        <family val="2"/>
      </rPr>
      <t>±</t>
    </r>
    <r>
      <rPr>
        <sz val="10"/>
        <rFont val="Arial"/>
        <family val="2"/>
      </rPr>
      <t>38277</t>
    </r>
  </si>
  <si>
    <r>
      <t>3731</t>
    </r>
    <r>
      <rPr>
        <sz val="10"/>
        <rFont val="Calibri"/>
        <family val="2"/>
      </rPr>
      <t>±</t>
    </r>
    <r>
      <rPr>
        <sz val="10"/>
        <rFont val="Arial"/>
        <family val="2"/>
      </rPr>
      <t>1500</t>
    </r>
  </si>
  <si>
    <r>
      <t>91080</t>
    </r>
    <r>
      <rPr>
        <sz val="10"/>
        <rFont val="Calibri"/>
        <family val="2"/>
      </rPr>
      <t>±</t>
    </r>
    <r>
      <rPr>
        <sz val="10"/>
        <rFont val="Arial"/>
        <family val="2"/>
      </rPr>
      <t>35885</t>
    </r>
  </si>
  <si>
    <r>
      <t>28732</t>
    </r>
    <r>
      <rPr>
        <sz val="10"/>
        <rFont val="Calibri"/>
        <family val="2"/>
      </rPr>
      <t>±</t>
    </r>
    <r>
      <rPr>
        <sz val="10"/>
        <rFont val="Arial"/>
        <family val="2"/>
      </rPr>
      <t>9594</t>
    </r>
  </si>
  <si>
    <r>
      <t>8161</t>
    </r>
    <r>
      <rPr>
        <sz val="10"/>
        <rFont val="Calibri"/>
        <family val="2"/>
      </rPr>
      <t>±</t>
    </r>
    <r>
      <rPr>
        <sz val="10"/>
        <rFont val="Arial"/>
        <family val="2"/>
      </rPr>
      <t>4010</t>
    </r>
  </si>
  <si>
    <r>
      <t>333848</t>
    </r>
    <r>
      <rPr>
        <sz val="10"/>
        <rFont val="Calibri"/>
        <family val="2"/>
      </rPr>
      <t>±</t>
    </r>
    <r>
      <rPr>
        <sz val="10"/>
        <rFont val="Arial"/>
        <family val="2"/>
      </rPr>
      <t>99708</t>
    </r>
  </si>
  <si>
    <r>
      <t>120690</t>
    </r>
    <r>
      <rPr>
        <sz val="10"/>
        <rFont val="Calibri"/>
        <family val="2"/>
      </rPr>
      <t>±</t>
    </r>
    <r>
      <rPr>
        <sz val="10"/>
        <rFont val="Arial"/>
        <family val="2"/>
      </rPr>
      <t>47849</t>
    </r>
  </si>
  <si>
    <t>.</t>
  </si>
  <si>
    <r>
      <t>1290</t>
    </r>
    <r>
      <rPr>
        <sz val="10"/>
        <rFont val="Calibri"/>
        <family val="2"/>
      </rPr>
      <t>±</t>
    </r>
    <r>
      <rPr>
        <sz val="10"/>
        <rFont val="Arial"/>
        <family val="2"/>
      </rPr>
      <t>1051</t>
    </r>
  </si>
  <si>
    <r>
      <t>45677</t>
    </r>
    <r>
      <rPr>
        <sz val="10"/>
        <rFont val="Calibri"/>
        <family val="2"/>
      </rPr>
      <t>±</t>
    </r>
    <r>
      <rPr>
        <sz val="10"/>
        <rFont val="Arial"/>
        <family val="2"/>
      </rPr>
      <t>11737</t>
    </r>
  </si>
  <si>
    <r>
      <t>417200</t>
    </r>
    <r>
      <rPr>
        <sz val="10"/>
        <rFont val="Calibri"/>
        <family val="2"/>
      </rPr>
      <t>±</t>
    </r>
    <r>
      <rPr>
        <sz val="10"/>
        <rFont val="Arial"/>
        <family val="2"/>
      </rPr>
      <t>151969</t>
    </r>
  </si>
  <si>
    <r>
      <t>91152</t>
    </r>
    <r>
      <rPr>
        <sz val="10"/>
        <rFont val="Calibri"/>
        <family val="2"/>
      </rPr>
      <t>±</t>
    </r>
    <r>
      <rPr>
        <sz val="10"/>
        <rFont val="Arial"/>
        <family val="2"/>
      </rPr>
      <t>39134</t>
    </r>
  </si>
  <si>
    <r>
      <t>130800</t>
    </r>
    <r>
      <rPr>
        <sz val="10"/>
        <rFont val="Calibri"/>
        <family val="2"/>
      </rPr>
      <t>±</t>
    </r>
    <r>
      <rPr>
        <sz val="10"/>
        <rFont val="Arial"/>
        <family val="2"/>
      </rPr>
      <t>56400</t>
    </r>
  </si>
  <si>
    <t>44400±17308</t>
  </si>
  <si>
    <r>
      <t>4488</t>
    </r>
    <r>
      <rPr>
        <sz val="10"/>
        <rFont val="Calibri"/>
        <family val="2"/>
      </rPr>
      <t>±</t>
    </r>
    <r>
      <rPr>
        <sz val="10"/>
        <rFont val="Arial"/>
        <family val="2"/>
      </rPr>
      <t>3884</t>
    </r>
  </si>
  <si>
    <r>
      <t>7700</t>
    </r>
    <r>
      <rPr>
        <sz val="10"/>
        <rFont val="Calibri"/>
        <family val="2"/>
      </rPr>
      <t>±</t>
    </r>
    <r>
      <rPr>
        <sz val="10"/>
        <rFont val="Arial"/>
        <family val="2"/>
      </rPr>
      <t>1973</t>
    </r>
  </si>
  <si>
    <r>
      <t>34608</t>
    </r>
    <r>
      <rPr>
        <sz val="10"/>
        <rFont val="Calibri"/>
        <family val="2"/>
      </rPr>
      <t>±</t>
    </r>
    <r>
      <rPr>
        <sz val="10"/>
        <rFont val="Arial"/>
        <family val="2"/>
      </rPr>
      <t>8973</t>
    </r>
  </si>
  <si>
    <r>
      <t>11244</t>
    </r>
    <r>
      <rPr>
        <sz val="10"/>
        <rFont val="Calibri"/>
        <family val="2"/>
      </rPr>
      <t>±</t>
    </r>
    <r>
      <rPr>
        <sz val="10"/>
        <rFont val="Arial"/>
        <family val="2"/>
      </rPr>
      <t>4982</t>
    </r>
  </si>
  <si>
    <r>
      <t>31596</t>
    </r>
    <r>
      <rPr>
        <sz val="10"/>
        <rFont val="Calibri"/>
        <family val="2"/>
      </rPr>
      <t>±</t>
    </r>
    <r>
      <rPr>
        <sz val="10"/>
        <rFont val="Arial"/>
        <family val="2"/>
      </rPr>
      <t>10110</t>
    </r>
  </si>
  <si>
    <r>
      <t>60152</t>
    </r>
    <r>
      <rPr>
        <sz val="10"/>
        <rFont val="Calibri"/>
        <family val="2"/>
      </rPr>
      <t>±</t>
    </r>
    <r>
      <rPr>
        <sz val="10"/>
        <rFont val="Arial"/>
        <family val="2"/>
      </rPr>
      <t>31753</t>
    </r>
  </si>
  <si>
    <t>2015 Data</t>
  </si>
  <si>
    <t>SRB 56 - Community Estimate</t>
  </si>
  <si>
    <t>SRB 77 - Community Estimate</t>
  </si>
  <si>
    <t>SRB 79 - Community Estimate</t>
  </si>
  <si>
    <t>SRB 85  - Community Estimate</t>
  </si>
  <si>
    <t>SRB 99 - Community Estimate</t>
  </si>
  <si>
    <t>SRB 125 - Community Estimate</t>
  </si>
  <si>
    <t>SRB 131 - Community Estimate</t>
  </si>
  <si>
    <t>14-3</t>
  </si>
  <si>
    <t>47-4</t>
  </si>
  <si>
    <t>85-6</t>
  </si>
  <si>
    <t>102-2</t>
  </si>
  <si>
    <t>11-2</t>
  </si>
  <si>
    <t>20-9</t>
  </si>
  <si>
    <t>23-13</t>
  </si>
  <si>
    <t>27-9</t>
  </si>
  <si>
    <t>43-1</t>
  </si>
  <si>
    <t>52-8</t>
  </si>
  <si>
    <t>60-3</t>
  </si>
  <si>
    <t>67-10</t>
  </si>
  <si>
    <t>77-15</t>
  </si>
  <si>
    <t>96-7</t>
  </si>
  <si>
    <t>118-18</t>
  </si>
  <si>
    <t>128-8</t>
  </si>
  <si>
    <t>137-17</t>
  </si>
  <si>
    <t>138-3</t>
  </si>
  <si>
    <t>139-9</t>
  </si>
  <si>
    <t>145-7</t>
  </si>
  <si>
    <t>158-7</t>
  </si>
  <si>
    <t>Cyprogenia cf aberti</t>
  </si>
  <si>
    <t>Cyclonaias pustulosa</t>
  </si>
  <si>
    <t>Eurynia dilatata</t>
  </si>
  <si>
    <t>Obovaria arkansasensis</t>
  </si>
  <si>
    <t>Theliderma metanevra</t>
  </si>
  <si>
    <t>Reginaia ebena</t>
  </si>
  <si>
    <t>2-5</t>
  </si>
  <si>
    <t>5-24</t>
  </si>
  <si>
    <t>12-21</t>
  </si>
  <si>
    <t>30-13</t>
  </si>
  <si>
    <t>32-4</t>
  </si>
  <si>
    <t>40-24</t>
  </si>
  <si>
    <t>62-19</t>
  </si>
  <si>
    <t>66-23</t>
  </si>
  <si>
    <t>71-13</t>
  </si>
  <si>
    <t>81-16</t>
  </si>
  <si>
    <t>87-20</t>
  </si>
  <si>
    <t>88-22</t>
  </si>
  <si>
    <t>100-9</t>
  </si>
  <si>
    <t>112-14</t>
  </si>
  <si>
    <t>114-6</t>
  </si>
  <si>
    <t>138-15</t>
  </si>
  <si>
    <t>144-4</t>
  </si>
  <si>
    <t>146-20</t>
  </si>
  <si>
    <t>198-15</t>
  </si>
  <si>
    <t>42-24</t>
  </si>
  <si>
    <t>20-3</t>
  </si>
  <si>
    <t>27-2</t>
  </si>
  <si>
    <t>101-4</t>
  </si>
  <si>
    <t>107-1</t>
  </si>
  <si>
    <t>Cyclonaias nodulata</t>
  </si>
  <si>
    <r>
      <t>Area: 5 x 170 = 850m</t>
    </r>
    <r>
      <rPr>
        <i/>
        <vertAlign val="superscript"/>
        <sz val="10"/>
        <rFont val="Arial"/>
        <family val="2"/>
      </rPr>
      <t>2</t>
    </r>
  </si>
  <si>
    <r>
      <t>Area: 6 x 170 = 1,020m</t>
    </r>
    <r>
      <rPr>
        <i/>
        <vertAlign val="superscript"/>
        <sz val="10"/>
        <rFont val="Arial"/>
        <family val="2"/>
      </rPr>
      <t>2</t>
    </r>
  </si>
  <si>
    <r>
      <t>Area: 6 x 460 = 2,760m</t>
    </r>
    <r>
      <rPr>
        <i/>
        <vertAlign val="superscript"/>
        <sz val="10"/>
        <rFont val="Arial"/>
        <family val="2"/>
      </rPr>
      <t>2</t>
    </r>
  </si>
  <si>
    <t>S1 = 140 x 65 m</t>
  </si>
  <si>
    <t>S2 = 35 x 5 m</t>
  </si>
  <si>
    <t>SI Area = 20 x 10m</t>
  </si>
  <si>
    <t>SII Area = 20 x 20m</t>
  </si>
  <si>
    <t>SIII Area = 20 x 40m</t>
  </si>
  <si>
    <t>Area = 5 x 170 m</t>
  </si>
  <si>
    <t>S1 = 40 x 230 m</t>
  </si>
  <si>
    <t>S2 = 25 x 300 m</t>
  </si>
  <si>
    <t>Area: 6 x 90 = 540 m</t>
  </si>
  <si>
    <r>
      <t>Area: 18 x 460 = 8,280 m</t>
    </r>
    <r>
      <rPr>
        <i/>
        <vertAlign val="superscript"/>
        <sz val="10"/>
        <rFont val="Arial"/>
        <family val="2"/>
      </rPr>
      <t>2</t>
    </r>
  </si>
  <si>
    <t>Area = 15 x 165 m</t>
  </si>
  <si>
    <t>Area = 15 x 175 m</t>
  </si>
  <si>
    <t>S1 = 10 x 30 m</t>
  </si>
  <si>
    <t>S2 = 15 x 170 m</t>
  </si>
  <si>
    <t>S1 = 14 x 145 m</t>
  </si>
  <si>
    <t>S2 = 22 x 290 m</t>
  </si>
  <si>
    <t>S3 = 12 x 95 m</t>
  </si>
  <si>
    <t>S4 = 27 x 300 m</t>
  </si>
  <si>
    <t>S1 = 22 x 205 m</t>
  </si>
  <si>
    <t>S2 = 10 x 35 m</t>
  </si>
  <si>
    <t>Area = 14 x 60 m</t>
  </si>
  <si>
    <t>Area = 16 x 195 m</t>
  </si>
  <si>
    <t>S1 = 20 x 360 m</t>
  </si>
  <si>
    <t>S2 = 8 x 100 m</t>
  </si>
  <si>
    <t>Area = 15 x 360 m</t>
  </si>
  <si>
    <t>Area = 15 x 400 m</t>
  </si>
  <si>
    <t>Area = 10 x 515 m</t>
  </si>
  <si>
    <t>Area = 8 x 100 m</t>
  </si>
  <si>
    <t>Area = 10 x 160 m</t>
  </si>
  <si>
    <t>Area = 10 x 280 m</t>
  </si>
  <si>
    <t>Area = 10 x 200 m</t>
  </si>
  <si>
    <t>Area = 8 x 110 m</t>
  </si>
  <si>
    <t>Area = 5 x 140 m</t>
  </si>
  <si>
    <t>S1 = 8 x 140 m</t>
  </si>
  <si>
    <t>S2 = 18 x 160 m</t>
  </si>
  <si>
    <t>S1 = 25 x 200 m</t>
  </si>
  <si>
    <t>S2 = 8 x 130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</si>
</sst>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2" x14ac:knownFonts="1">
    <font>
      <sz val="10"/>
      <name val="Arial"/>
    </font>
    <font>
      <sz val="8"/>
      <name val="Times New Roman"/>
      <family val="1"/>
    </font>
    <font>
      <i/>
      <sz val="8"/>
      <name val="Times New Roman"/>
      <family val="1"/>
    </font>
    <font>
      <vertAlign val="superscript"/>
      <sz val="8"/>
      <name val="Times New Roman"/>
      <family val="1"/>
    </font>
    <font>
      <b/>
      <sz val="8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2"/>
      <name val="Arial"/>
      <family val="2"/>
    </font>
    <font>
      <sz val="20"/>
      <name val="Arial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1"/>
      <name val="Times New Roman"/>
      <family val="1"/>
    </font>
    <font>
      <i/>
      <sz val="11"/>
      <color theme="1"/>
      <name val="Times New Roman"/>
      <family val="1"/>
    </font>
    <font>
      <sz val="10"/>
      <name val="Times New Roman"/>
    </font>
    <font>
      <sz val="10"/>
      <name val="Times New Roman"/>
      <family val="1"/>
    </font>
    <font>
      <sz val="10"/>
      <color indexed="8"/>
      <name val="Arial"/>
    </font>
    <font>
      <b/>
      <sz val="12"/>
      <name val="Helv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Verdana"/>
      <family val="2"/>
    </font>
    <font>
      <sz val="9"/>
      <name val="Verdana"/>
      <family val="2"/>
    </font>
    <font>
      <sz val="10"/>
      <name val="Verdana"/>
      <family val="2"/>
    </font>
    <font>
      <sz val="10"/>
      <name val="Arial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  <font>
      <i/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5" fillId="0" borderId="0"/>
    <xf numFmtId="0" fontId="17" fillId="0" borderId="0"/>
    <xf numFmtId="9" fontId="27" fillId="0" borderId="0" applyFont="0" applyFill="0" applyBorder="0" applyAlignment="0" applyProtection="0"/>
    <xf numFmtId="0" fontId="28" fillId="8" borderId="12" applyNumberFormat="0" applyAlignment="0" applyProtection="0"/>
    <xf numFmtId="0" fontId="29" fillId="0" borderId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1" fillId="0" borderId="4" xfId="0" applyFont="1" applyBorder="1"/>
    <xf numFmtId="0" fontId="1" fillId="2" borderId="4" xfId="0" applyFont="1" applyFill="1" applyBorder="1"/>
    <xf numFmtId="0" fontId="1" fillId="0" borderId="5" xfId="0" applyFont="1" applyBorder="1"/>
    <xf numFmtId="0" fontId="1" fillId="0" borderId="4" xfId="0" applyFont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1" fillId="0" borderId="7" xfId="0" applyFont="1" applyBorder="1"/>
    <xf numFmtId="0" fontId="1" fillId="2" borderId="7" xfId="0" applyFont="1" applyFill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3" fontId="1" fillId="0" borderId="4" xfId="0" applyNumberFormat="1" applyFont="1" applyBorder="1"/>
    <xf numFmtId="2" fontId="1" fillId="0" borderId="0" xfId="0" applyNumberFormat="1" applyFont="1"/>
    <xf numFmtId="0" fontId="1" fillId="2" borderId="0" xfId="0" applyFont="1" applyFill="1" applyAlignment="1">
      <alignment horizontal="right"/>
    </xf>
    <xf numFmtId="1" fontId="1" fillId="0" borderId="0" xfId="0" applyNumberFormat="1" applyFont="1"/>
    <xf numFmtId="0" fontId="5" fillId="0" borderId="0" xfId="0" applyFont="1"/>
    <xf numFmtId="49" fontId="6" fillId="0" borderId="9" xfId="0" applyNumberFormat="1" applyFont="1" applyBorder="1" applyAlignment="1">
      <alignment horizontal="left"/>
    </xf>
    <xf numFmtId="49" fontId="6" fillId="0" borderId="9" xfId="0" applyNumberFormat="1" applyFont="1" applyBorder="1" applyAlignment="1">
      <alignment horizontal="right"/>
    </xf>
    <xf numFmtId="0" fontId="7" fillId="0" borderId="0" xfId="0" applyFont="1"/>
    <xf numFmtId="0" fontId="6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49" fontId="1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15" fillId="0" borderId="0" xfId="1"/>
    <xf numFmtId="0" fontId="0" fillId="3" borderId="0" xfId="0" applyFill="1"/>
    <xf numFmtId="0" fontId="16" fillId="0" borderId="0" xfId="1" applyFont="1"/>
    <xf numFmtId="0" fontId="16" fillId="0" borderId="0" xfId="0" applyFont="1"/>
    <xf numFmtId="0" fontId="17" fillId="0" borderId="0" xfId="2"/>
    <xf numFmtId="0" fontId="17" fillId="0" borderId="0" xfId="2" applyAlignment="1">
      <alignment horizontal="right"/>
    </xf>
    <xf numFmtId="0" fontId="17" fillId="0" borderId="0" xfId="2" applyAlignment="1">
      <alignment horizontal="left"/>
    </xf>
    <xf numFmtId="2" fontId="17" fillId="0" borderId="0" xfId="2" applyNumberFormat="1"/>
    <xf numFmtId="0" fontId="18" fillId="0" borderId="0" xfId="2" applyFont="1" applyAlignment="1">
      <alignment horizontal="left"/>
    </xf>
    <xf numFmtId="0" fontId="18" fillId="0" borderId="0" xfId="2" applyFont="1"/>
    <xf numFmtId="1" fontId="17" fillId="0" borderId="0" xfId="2" applyNumberFormat="1"/>
    <xf numFmtId="0" fontId="17" fillId="0" borderId="0" xfId="2" quotePrefix="1" applyAlignment="1">
      <alignment horizontal="right"/>
    </xf>
    <xf numFmtId="0" fontId="17" fillId="0" borderId="11" xfId="2" applyBorder="1"/>
    <xf numFmtId="0" fontId="19" fillId="0" borderId="0" xfId="2" applyFont="1"/>
    <xf numFmtId="0" fontId="20" fillId="0" borderId="0" xfId="2" applyFont="1"/>
    <xf numFmtId="0" fontId="17" fillId="3" borderId="0" xfId="2" applyFill="1"/>
    <xf numFmtId="0" fontId="21" fillId="0" borderId="0" xfId="2" applyFont="1"/>
    <xf numFmtId="49" fontId="15" fillId="0" borderId="0" xfId="1" applyNumberFormat="1"/>
    <xf numFmtId="49" fontId="0" fillId="0" borderId="0" xfId="0" applyNumberFormat="1"/>
    <xf numFmtId="49" fontId="16" fillId="0" borderId="0" xfId="0" applyNumberFormat="1" applyFont="1"/>
    <xf numFmtId="0" fontId="0" fillId="4" borderId="0" xfId="0" applyFill="1"/>
    <xf numFmtId="0" fontId="15" fillId="4" borderId="0" xfId="1" applyFill="1"/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7" fillId="0" borderId="0" xfId="0" applyNumberFormat="1" applyFont="1"/>
    <xf numFmtId="49" fontId="16" fillId="4" borderId="0" xfId="0" applyNumberFormat="1" applyFont="1" applyFill="1"/>
    <xf numFmtId="0" fontId="16" fillId="4" borderId="0" xfId="1" applyFont="1" applyFill="1"/>
    <xf numFmtId="49" fontId="7" fillId="0" borderId="0" xfId="0" applyNumberFormat="1" applyFont="1" applyAlignment="1">
      <alignment horizontal="right"/>
    </xf>
    <xf numFmtId="0" fontId="21" fillId="0" borderId="9" xfId="2" applyFont="1" applyBorder="1"/>
    <xf numFmtId="0" fontId="17" fillId="0" borderId="9" xfId="2" applyBorder="1"/>
    <xf numFmtId="0" fontId="17" fillId="3" borderId="9" xfId="2" applyFill="1" applyBorder="1"/>
    <xf numFmtId="49" fontId="6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7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7" fillId="5" borderId="0" xfId="0" applyFont="1" applyFill="1"/>
    <xf numFmtId="10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0" fontId="0" fillId="0" borderId="0" xfId="0" applyNumberFormat="1"/>
    <xf numFmtId="10" fontId="7" fillId="0" borderId="0" xfId="0" applyNumberFormat="1" applyFont="1"/>
    <xf numFmtId="0" fontId="22" fillId="0" borderId="0" xfId="0" applyFont="1"/>
    <xf numFmtId="0" fontId="16" fillId="5" borderId="0" xfId="0" applyFont="1" applyFill="1"/>
    <xf numFmtId="49" fontId="0" fillId="5" borderId="0" xfId="0" applyNumberFormat="1" applyFill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49" fontId="15" fillId="5" borderId="0" xfId="1" applyNumberFormat="1" applyFill="1"/>
    <xf numFmtId="0" fontId="15" fillId="5" borderId="0" xfId="1" applyFill="1"/>
    <xf numFmtId="0" fontId="23" fillId="0" borderId="0" xfId="0" applyFont="1"/>
    <xf numFmtId="0" fontId="26" fillId="0" borderId="0" xfId="0" applyFont="1"/>
    <xf numFmtId="49" fontId="26" fillId="0" borderId="0" xfId="0" applyNumberFormat="1" applyFont="1"/>
    <xf numFmtId="49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2" fontId="26" fillId="0" borderId="0" xfId="0" applyNumberFormat="1" applyFont="1"/>
    <xf numFmtId="0" fontId="0" fillId="7" borderId="0" xfId="0" applyFill="1" applyAlignment="1">
      <alignment horizontal="center"/>
    </xf>
    <xf numFmtId="16" fontId="0" fillId="0" borderId="0" xfId="0" applyNumberFormat="1"/>
    <xf numFmtId="49" fontId="0" fillId="0" borderId="0" xfId="0" applyNumberFormat="1" applyAlignment="1">
      <alignment horizontal="right" vertical="top"/>
    </xf>
    <xf numFmtId="10" fontId="7" fillId="0" borderId="0" xfId="3" applyNumberFormat="1" applyFont="1"/>
    <xf numFmtId="10" fontId="0" fillId="0" borderId="0" xfId="3" applyNumberFormat="1" applyFont="1"/>
    <xf numFmtId="49" fontId="7" fillId="0" borderId="0" xfId="1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28" fillId="8" borderId="0" xfId="4" applyBorder="1"/>
    <xf numFmtId="0" fontId="29" fillId="0" borderId="0" xfId="5"/>
    <xf numFmtId="0" fontId="29" fillId="0" borderId="0" xfId="5" applyAlignment="1">
      <alignment horizontal="right"/>
    </xf>
    <xf numFmtId="0" fontId="29" fillId="0" borderId="0" xfId="5" applyAlignment="1">
      <alignment horizontal="left"/>
    </xf>
    <xf numFmtId="2" fontId="29" fillId="0" borderId="0" xfId="5" applyNumberFormat="1"/>
    <xf numFmtId="0" fontId="18" fillId="0" borderId="0" xfId="5" applyFont="1" applyAlignment="1">
      <alignment horizontal="left"/>
    </xf>
    <xf numFmtId="0" fontId="18" fillId="0" borderId="0" xfId="5" applyFont="1"/>
    <xf numFmtId="1" fontId="29" fillId="0" borderId="0" xfId="5" applyNumberFormat="1"/>
    <xf numFmtId="0" fontId="29" fillId="0" borderId="0" xfId="5" quotePrefix="1" applyAlignment="1">
      <alignment horizontal="right"/>
    </xf>
    <xf numFmtId="0" fontId="29" fillId="0" borderId="11" xfId="5" applyBorder="1"/>
    <xf numFmtId="0" fontId="20" fillId="0" borderId="0" xfId="5" applyFont="1"/>
    <xf numFmtId="0" fontId="5" fillId="0" borderId="0" xfId="0" applyFont="1" applyAlignment="1">
      <alignment horizontal="center"/>
    </xf>
    <xf numFmtId="10" fontId="0" fillId="0" borderId="0" xfId="3" applyNumberFormat="1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 textRotation="90"/>
    </xf>
    <xf numFmtId="0" fontId="10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6" fillId="0" borderId="0" xfId="0" applyFont="1" applyAlignment="1">
      <alignment vertical="center" wrapText="1"/>
    </xf>
    <xf numFmtId="2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/>
    <xf numFmtId="2" fontId="26" fillId="0" borderId="0" xfId="0" applyNumberFormat="1" applyFont="1"/>
    <xf numFmtId="0" fontId="26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wrapText="1"/>
    </xf>
    <xf numFmtId="49" fontId="26" fillId="6" borderId="0" xfId="0" applyNumberFormat="1" applyFont="1" applyFill="1" applyAlignment="1">
      <alignment horizontal="center"/>
    </xf>
    <xf numFmtId="0" fontId="26" fillId="6" borderId="0" xfId="0" applyFont="1" applyFill="1"/>
    <xf numFmtId="0" fontId="26" fillId="0" borderId="0" xfId="0" applyFont="1" applyAlignment="1">
      <alignment horizontal="center" vertical="center" wrapText="1"/>
    </xf>
    <xf numFmtId="2" fontId="26" fillId="0" borderId="0" xfId="0" applyNumberFormat="1" applyFont="1" applyAlignment="1">
      <alignment horizontal="center" vertical="center" wrapText="1"/>
    </xf>
    <xf numFmtId="0" fontId="26" fillId="6" borderId="0" xfId="0" applyFont="1" applyFill="1" applyAlignment="1">
      <alignment horizontal="center" wrapText="1"/>
    </xf>
    <xf numFmtId="2" fontId="26" fillId="0" borderId="0" xfId="0" applyNumberFormat="1" applyFont="1" applyAlignment="1">
      <alignment wrapText="1"/>
    </xf>
  </cellXfs>
  <cellStyles count="6">
    <cellStyle name="Check Cell" xfId="4" builtinId="23"/>
    <cellStyle name="Normal" xfId="0" builtinId="0"/>
    <cellStyle name="Normal_Book2" xfId="1" xr:uid="{00000000-0005-0000-0000-000002000000}"/>
    <cellStyle name="Normal_litt081602pos01" xfId="2" xr:uid="{00000000-0005-0000-0000-000003000000}"/>
    <cellStyle name="Normal_litt081602pos01 2" xfId="5" xr:uid="{00000000-0005-0000-0000-000004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51"/>
  <sheetViews>
    <sheetView tabSelected="1" workbookViewId="0">
      <pane xSplit="1" ySplit="1" topLeftCell="GR2" activePane="bottomRight" state="frozen"/>
      <selection pane="topRight" activeCell="B1" sqref="B1"/>
      <selection pane="bottomLeft" activeCell="A2" sqref="A2"/>
      <selection pane="bottomRight" activeCell="A31" sqref="A31:XFD31"/>
    </sheetView>
  </sheetViews>
  <sheetFormatPr defaultColWidth="8.85546875" defaultRowHeight="11.25" x14ac:dyDescent="0.2"/>
  <cols>
    <col min="1" max="1" width="20.85546875" style="1" bestFit="1" customWidth="1"/>
    <col min="2" max="2" width="5.28515625" style="19" bestFit="1" customWidth="1"/>
    <col min="3" max="6" width="5.28515625" style="12" bestFit="1" customWidth="1"/>
    <col min="7" max="8" width="5.140625" style="12" bestFit="1" customWidth="1"/>
    <col min="9" max="11" width="5.28515625" style="12" bestFit="1" customWidth="1"/>
    <col min="12" max="12" width="5.140625" style="12" bestFit="1" customWidth="1"/>
    <col min="13" max="13" width="5.28515625" style="12" bestFit="1" customWidth="1"/>
    <col min="14" max="14" width="6.140625" style="12" bestFit="1" customWidth="1"/>
    <col min="15" max="16" width="5.140625" style="12" bestFit="1" customWidth="1"/>
    <col min="17" max="18" width="6.140625" style="12" bestFit="1" customWidth="1"/>
    <col min="19" max="20" width="5.140625" style="12" bestFit="1" customWidth="1"/>
    <col min="21" max="22" width="6.140625" style="12" bestFit="1" customWidth="1"/>
    <col min="23" max="23" width="5.140625" style="12" bestFit="1" customWidth="1"/>
    <col min="24" max="26" width="6.140625" style="12" bestFit="1" customWidth="1"/>
    <col min="27" max="27" width="5.140625" style="12" bestFit="1" customWidth="1"/>
    <col min="28" max="30" width="6.140625" style="12" bestFit="1" customWidth="1"/>
    <col min="31" max="32" width="6" style="12" bestFit="1" customWidth="1"/>
    <col min="33" max="34" width="6.140625" style="12" bestFit="1" customWidth="1"/>
    <col min="35" max="35" width="6" style="12" bestFit="1" customWidth="1"/>
    <col min="36" max="36" width="6.140625" style="12" bestFit="1" customWidth="1"/>
    <col min="37" max="38" width="6" style="12" bestFit="1" customWidth="1"/>
    <col min="39" max="39" width="6.140625" style="12" bestFit="1" customWidth="1"/>
    <col min="40" max="40" width="6" style="12" bestFit="1" customWidth="1"/>
    <col min="41" max="41" width="6.140625" style="12" bestFit="1" customWidth="1"/>
    <col min="42" max="42" width="6" style="12" bestFit="1" customWidth="1"/>
    <col min="43" max="43" width="6.140625" style="12" bestFit="1" customWidth="1"/>
    <col min="44" max="45" width="6" style="12" bestFit="1" customWidth="1"/>
    <col min="46" max="47" width="6.140625" style="12" bestFit="1" customWidth="1"/>
    <col min="48" max="51" width="6" style="12" bestFit="1" customWidth="1"/>
    <col min="52" max="53" width="6.140625" style="12" bestFit="1" customWidth="1"/>
    <col min="54" max="55" width="6" style="12" bestFit="1" customWidth="1"/>
    <col min="56" max="57" width="6.140625" style="12" bestFit="1" customWidth="1"/>
    <col min="58" max="59" width="6" style="12" bestFit="1" customWidth="1"/>
    <col min="60" max="61" width="6.140625" style="12" bestFit="1" customWidth="1"/>
    <col min="62" max="64" width="6" style="12" bestFit="1" customWidth="1"/>
    <col min="65" max="69" width="6.140625" style="12" bestFit="1" customWidth="1"/>
    <col min="70" max="73" width="6" style="12" bestFit="1" customWidth="1"/>
    <col min="74" max="74" width="6.140625" style="12" bestFit="1" customWidth="1"/>
    <col min="75" max="78" width="6" style="12" bestFit="1" customWidth="1"/>
    <col min="79" max="79" width="6.140625" style="12" bestFit="1" customWidth="1"/>
    <col min="80" max="80" width="6" style="12" bestFit="1" customWidth="1"/>
    <col min="81" max="81" width="6.140625" style="12" bestFit="1" customWidth="1"/>
    <col min="82" max="83" width="6" style="12" bestFit="1" customWidth="1"/>
    <col min="84" max="85" width="6.140625" style="12" bestFit="1" customWidth="1"/>
    <col min="86" max="92" width="6" style="12" bestFit="1" customWidth="1"/>
    <col min="93" max="93" width="6.140625" style="12" bestFit="1" customWidth="1"/>
    <col min="94" max="95" width="6" style="12" bestFit="1" customWidth="1"/>
    <col min="96" max="96" width="6.140625" style="12" bestFit="1" customWidth="1"/>
    <col min="97" max="97" width="6" style="12" bestFit="1" customWidth="1"/>
    <col min="98" max="98" width="6.140625" style="12" bestFit="1" customWidth="1"/>
    <col min="99" max="103" width="6" style="12" bestFit="1" customWidth="1"/>
    <col min="104" max="104" width="6.140625" style="12" bestFit="1" customWidth="1"/>
    <col min="105" max="106" width="6" style="12" bestFit="1" customWidth="1"/>
    <col min="107" max="108" width="6.140625" style="12" bestFit="1" customWidth="1"/>
    <col min="109" max="111" width="6" style="12" bestFit="1" customWidth="1"/>
    <col min="112" max="112" width="6.140625" style="12" bestFit="1" customWidth="1"/>
    <col min="113" max="134" width="6" style="12" bestFit="1" customWidth="1"/>
    <col min="135" max="135" width="6.140625" style="12" bestFit="1" customWidth="1"/>
    <col min="136" max="147" width="6" style="12" bestFit="1" customWidth="1"/>
    <col min="148" max="148" width="6" style="19" bestFit="1" customWidth="1"/>
    <col min="149" max="151" width="6.140625" style="19" bestFit="1" customWidth="1"/>
    <col min="152" max="155" width="6" style="19" bestFit="1" customWidth="1"/>
    <col min="156" max="158" width="6.85546875" style="1" bestFit="1" customWidth="1"/>
    <col min="159" max="159" width="6" style="1" customWidth="1"/>
    <col min="160" max="162" width="6.85546875" style="1" bestFit="1" customWidth="1"/>
    <col min="163" max="166" width="6.85546875" style="1" customWidth="1"/>
    <col min="167" max="167" width="7.5703125" style="1" bestFit="1" customWidth="1"/>
    <col min="168" max="168" width="6.85546875" style="1" customWidth="1"/>
    <col min="169" max="169" width="7.5703125" style="1" bestFit="1" customWidth="1"/>
    <col min="170" max="174" width="6.85546875" style="1" customWidth="1"/>
    <col min="175" max="175" width="7.5703125" style="1" bestFit="1" customWidth="1"/>
    <col min="176" max="178" width="6.85546875" style="1" customWidth="1"/>
    <col min="179" max="179" width="6" style="1" customWidth="1"/>
    <col min="180" max="183" width="6.85546875" style="1" bestFit="1" customWidth="1"/>
    <col min="184" max="185" width="6" style="1" customWidth="1"/>
    <col min="186" max="198" width="6.85546875" style="1" bestFit="1" customWidth="1"/>
    <col min="199" max="208" width="6.85546875" style="1" customWidth="1"/>
    <col min="209" max="209" width="6.85546875" style="1" bestFit="1" customWidth="1"/>
    <col min="210" max="222" width="6.85546875" style="1" customWidth="1"/>
    <col min="223" max="231" width="6.85546875" style="1" bestFit="1" customWidth="1"/>
    <col min="232" max="232" width="8.85546875" style="1" customWidth="1"/>
    <col min="233" max="233" width="20.85546875" style="1" bestFit="1" customWidth="1"/>
    <col min="234" max="234" width="6.5703125" style="1" bestFit="1" customWidth="1"/>
    <col min="235" max="235" width="6.42578125" style="1" bestFit="1" customWidth="1"/>
    <col min="236" max="16384" width="8.85546875" style="1"/>
  </cols>
  <sheetData>
    <row r="1" spans="1:235" s="9" customFormat="1" ht="10.5" x14ac:dyDescent="0.15">
      <c r="A1" s="10" t="s">
        <v>0</v>
      </c>
      <c r="B1" s="18" t="s">
        <v>131</v>
      </c>
      <c r="C1" s="11" t="s">
        <v>132</v>
      </c>
      <c r="D1" s="11" t="s">
        <v>133</v>
      </c>
      <c r="E1" s="11" t="s">
        <v>134</v>
      </c>
      <c r="F1" s="11" t="s">
        <v>135</v>
      </c>
      <c r="G1" s="11" t="s">
        <v>136</v>
      </c>
      <c r="H1" s="11" t="s">
        <v>137</v>
      </c>
      <c r="I1" s="11" t="s">
        <v>138</v>
      </c>
      <c r="J1" s="11" t="s">
        <v>139</v>
      </c>
      <c r="K1" s="11" t="s">
        <v>140</v>
      </c>
      <c r="L1" s="11" t="s">
        <v>141</v>
      </c>
      <c r="M1" s="11" t="s">
        <v>142</v>
      </c>
      <c r="N1" s="11" t="s">
        <v>143</v>
      </c>
      <c r="O1" s="11" t="s">
        <v>144</v>
      </c>
      <c r="P1" s="11" t="s">
        <v>145</v>
      </c>
      <c r="Q1" s="11" t="s">
        <v>146</v>
      </c>
      <c r="R1" s="11" t="s">
        <v>147</v>
      </c>
      <c r="S1" s="11" t="s">
        <v>148</v>
      </c>
      <c r="T1" s="11" t="s">
        <v>149</v>
      </c>
      <c r="U1" s="11" t="s">
        <v>150</v>
      </c>
      <c r="V1" s="11" t="s">
        <v>151</v>
      </c>
      <c r="W1" s="11" t="s">
        <v>152</v>
      </c>
      <c r="X1" s="11" t="s">
        <v>153</v>
      </c>
      <c r="Y1" s="11" t="s">
        <v>154</v>
      </c>
      <c r="Z1" s="11" t="s">
        <v>155</v>
      </c>
      <c r="AA1" s="11" t="s">
        <v>156</v>
      </c>
      <c r="AB1" s="11" t="s">
        <v>157</v>
      </c>
      <c r="AC1" s="11" t="s">
        <v>158</v>
      </c>
      <c r="AD1" s="11" t="s">
        <v>159</v>
      </c>
      <c r="AE1" s="11" t="s">
        <v>160</v>
      </c>
      <c r="AF1" s="11" t="s">
        <v>161</v>
      </c>
      <c r="AG1" s="11" t="s">
        <v>162</v>
      </c>
      <c r="AH1" s="11" t="s">
        <v>163</v>
      </c>
      <c r="AI1" s="11" t="s">
        <v>164</v>
      </c>
      <c r="AJ1" s="11" t="s">
        <v>165</v>
      </c>
      <c r="AK1" s="11" t="s">
        <v>166</v>
      </c>
      <c r="AL1" s="11" t="s">
        <v>167</v>
      </c>
      <c r="AM1" s="11" t="s">
        <v>168</v>
      </c>
      <c r="AN1" s="11" t="s">
        <v>169</v>
      </c>
      <c r="AO1" s="11" t="s">
        <v>170</v>
      </c>
      <c r="AP1" s="11" t="s">
        <v>171</v>
      </c>
      <c r="AQ1" s="11" t="s">
        <v>172</v>
      </c>
      <c r="AR1" s="11" t="s">
        <v>173</v>
      </c>
      <c r="AS1" s="11" t="s">
        <v>174</v>
      </c>
      <c r="AT1" s="11" t="s">
        <v>175</v>
      </c>
      <c r="AU1" s="11" t="s">
        <v>176</v>
      </c>
      <c r="AV1" s="11" t="s">
        <v>177</v>
      </c>
      <c r="AW1" s="11" t="s">
        <v>178</v>
      </c>
      <c r="AX1" s="11" t="s">
        <v>179</v>
      </c>
      <c r="AY1" s="11" t="s">
        <v>180</v>
      </c>
      <c r="AZ1" s="11" t="s">
        <v>181</v>
      </c>
      <c r="BA1" s="11" t="s">
        <v>182</v>
      </c>
      <c r="BB1" s="11" t="s">
        <v>183</v>
      </c>
      <c r="BC1" s="11" t="s">
        <v>184</v>
      </c>
      <c r="BD1" s="11" t="s">
        <v>185</v>
      </c>
      <c r="BE1" s="11" t="s">
        <v>186</v>
      </c>
      <c r="BF1" s="11" t="s">
        <v>187</v>
      </c>
      <c r="BG1" s="11" t="s">
        <v>188</v>
      </c>
      <c r="BH1" s="11" t="s">
        <v>189</v>
      </c>
      <c r="BI1" s="11" t="s">
        <v>190</v>
      </c>
      <c r="BJ1" s="11" t="s">
        <v>191</v>
      </c>
      <c r="BK1" s="11" t="s">
        <v>192</v>
      </c>
      <c r="BL1" s="11" t="s">
        <v>46</v>
      </c>
      <c r="BM1" s="11" t="s">
        <v>130</v>
      </c>
      <c r="BN1" s="11" t="s">
        <v>47</v>
      </c>
      <c r="BO1" s="11" t="s">
        <v>48</v>
      </c>
      <c r="BP1" s="11" t="s">
        <v>49</v>
      </c>
      <c r="BQ1" s="11" t="s">
        <v>50</v>
      </c>
      <c r="BR1" s="11" t="s">
        <v>51</v>
      </c>
      <c r="BS1" s="11" t="s">
        <v>52</v>
      </c>
      <c r="BT1" s="11" t="s">
        <v>53</v>
      </c>
      <c r="BU1" s="11" t="s">
        <v>54</v>
      </c>
      <c r="BV1" s="11" t="s">
        <v>55</v>
      </c>
      <c r="BW1" s="11" t="s">
        <v>56</v>
      </c>
      <c r="BX1" s="11" t="s">
        <v>57</v>
      </c>
      <c r="BY1" s="11" t="s">
        <v>58</v>
      </c>
      <c r="BZ1" s="11" t="s">
        <v>59</v>
      </c>
      <c r="CA1" s="11" t="s">
        <v>60</v>
      </c>
      <c r="CB1" s="11" t="s">
        <v>61</v>
      </c>
      <c r="CC1" s="11" t="s">
        <v>62</v>
      </c>
      <c r="CD1" s="11" t="s">
        <v>63</v>
      </c>
      <c r="CE1" s="11" t="s">
        <v>64</v>
      </c>
      <c r="CF1" s="11" t="s">
        <v>65</v>
      </c>
      <c r="CG1" s="11" t="s">
        <v>66</v>
      </c>
      <c r="CH1" s="11" t="s">
        <v>68</v>
      </c>
      <c r="CI1" s="11" t="s">
        <v>69</v>
      </c>
      <c r="CJ1" s="11" t="s">
        <v>70</v>
      </c>
      <c r="CK1" s="11" t="s">
        <v>71</v>
      </c>
      <c r="CL1" s="11" t="s">
        <v>67</v>
      </c>
      <c r="CM1" s="11" t="s">
        <v>72</v>
      </c>
      <c r="CN1" s="11" t="s">
        <v>73</v>
      </c>
      <c r="CO1" s="11" t="s">
        <v>74</v>
      </c>
      <c r="CP1" s="11" t="s">
        <v>75</v>
      </c>
      <c r="CQ1" s="11" t="s">
        <v>76</v>
      </c>
      <c r="CR1" s="11" t="s">
        <v>77</v>
      </c>
      <c r="CS1" s="11" t="s">
        <v>78</v>
      </c>
      <c r="CT1" s="11" t="s">
        <v>79</v>
      </c>
      <c r="CU1" s="11" t="s">
        <v>80</v>
      </c>
      <c r="CV1" s="11" t="s">
        <v>81</v>
      </c>
      <c r="CW1" s="11" t="s">
        <v>82</v>
      </c>
      <c r="CX1" s="11" t="s">
        <v>83</v>
      </c>
      <c r="CY1" s="11" t="s">
        <v>84</v>
      </c>
      <c r="CZ1" s="11" t="s">
        <v>85</v>
      </c>
      <c r="DA1" s="11" t="s">
        <v>86</v>
      </c>
      <c r="DB1" s="11" t="s">
        <v>87</v>
      </c>
      <c r="DC1" s="11" t="s">
        <v>88</v>
      </c>
      <c r="DD1" s="11" t="s">
        <v>89</v>
      </c>
      <c r="DE1" s="11" t="s">
        <v>90</v>
      </c>
      <c r="DF1" s="11" t="s">
        <v>91</v>
      </c>
      <c r="DG1" s="11" t="s">
        <v>92</v>
      </c>
      <c r="DH1" s="11" t="s">
        <v>93</v>
      </c>
      <c r="DI1" s="11" t="s">
        <v>94</v>
      </c>
      <c r="DJ1" s="11" t="s">
        <v>95</v>
      </c>
      <c r="DK1" s="11" t="s">
        <v>96</v>
      </c>
      <c r="DL1" s="11" t="s">
        <v>97</v>
      </c>
      <c r="DM1" s="11" t="s">
        <v>98</v>
      </c>
      <c r="DN1" s="11" t="s">
        <v>99</v>
      </c>
      <c r="DO1" s="11" t="s">
        <v>100</v>
      </c>
      <c r="DP1" s="11" t="s">
        <v>101</v>
      </c>
      <c r="DQ1" s="11" t="s">
        <v>102</v>
      </c>
      <c r="DR1" s="11" t="s">
        <v>103</v>
      </c>
      <c r="DS1" s="11" t="s">
        <v>104</v>
      </c>
      <c r="DT1" s="11" t="s">
        <v>105</v>
      </c>
      <c r="DU1" s="11" t="s">
        <v>106</v>
      </c>
      <c r="DV1" s="11" t="s">
        <v>107</v>
      </c>
      <c r="DW1" s="11" t="s">
        <v>108</v>
      </c>
      <c r="DX1" s="11" t="s">
        <v>109</v>
      </c>
      <c r="DY1" s="11" t="s">
        <v>110</v>
      </c>
      <c r="DZ1" s="11" t="s">
        <v>111</v>
      </c>
      <c r="EA1" s="11" t="s">
        <v>112</v>
      </c>
      <c r="EB1" s="11" t="s">
        <v>113</v>
      </c>
      <c r="EC1" s="11" t="s">
        <v>114</v>
      </c>
      <c r="ED1" s="11" t="s">
        <v>115</v>
      </c>
      <c r="EE1" s="11" t="s">
        <v>116</v>
      </c>
      <c r="EF1" s="11" t="s">
        <v>117</v>
      </c>
      <c r="EG1" s="11" t="s">
        <v>118</v>
      </c>
      <c r="EH1" s="11" t="s">
        <v>119</v>
      </c>
      <c r="EI1" s="11" t="s">
        <v>120</v>
      </c>
      <c r="EJ1" s="11" t="s">
        <v>121</v>
      </c>
      <c r="EK1" s="11" t="s">
        <v>122</v>
      </c>
      <c r="EL1" s="11" t="s">
        <v>123</v>
      </c>
      <c r="EM1" s="11" t="s">
        <v>124</v>
      </c>
      <c r="EN1" s="11" t="s">
        <v>125</v>
      </c>
      <c r="EO1" s="11" t="s">
        <v>126</v>
      </c>
      <c r="EP1" s="11" t="s">
        <v>127</v>
      </c>
      <c r="EQ1" s="11" t="s">
        <v>128</v>
      </c>
      <c r="ER1" s="18" t="s">
        <v>129</v>
      </c>
      <c r="ES1" s="18" t="s">
        <v>199</v>
      </c>
      <c r="ET1" s="18" t="s">
        <v>201</v>
      </c>
      <c r="EU1" s="18" t="s">
        <v>202</v>
      </c>
      <c r="EV1" s="18" t="s">
        <v>203</v>
      </c>
      <c r="EW1" s="18" t="s">
        <v>204</v>
      </c>
      <c r="EX1" s="18" t="s">
        <v>205</v>
      </c>
      <c r="EY1" s="18" t="s">
        <v>206</v>
      </c>
      <c r="EZ1" s="9" t="s">
        <v>207</v>
      </c>
      <c r="FA1" s="9" t="s">
        <v>208</v>
      </c>
      <c r="FB1" s="9" t="s">
        <v>209</v>
      </c>
      <c r="FC1" s="9" t="s">
        <v>210</v>
      </c>
      <c r="FD1" s="9" t="s">
        <v>211</v>
      </c>
      <c r="FE1" s="9" t="s">
        <v>212</v>
      </c>
      <c r="FF1" s="9" t="s">
        <v>213</v>
      </c>
      <c r="FG1" s="9" t="s">
        <v>215</v>
      </c>
      <c r="FH1" s="9" t="s">
        <v>216</v>
      </c>
      <c r="FI1" s="9" t="s">
        <v>217</v>
      </c>
      <c r="FJ1" s="9" t="s">
        <v>218</v>
      </c>
      <c r="FK1" s="9" t="s">
        <v>219</v>
      </c>
      <c r="FL1" s="9" t="s">
        <v>220</v>
      </c>
      <c r="FM1" s="9" t="s">
        <v>230</v>
      </c>
      <c r="FN1" s="9" t="s">
        <v>221</v>
      </c>
      <c r="FO1" s="9" t="s">
        <v>231</v>
      </c>
      <c r="FP1" s="9" t="s">
        <v>222</v>
      </c>
      <c r="FQ1" s="9" t="s">
        <v>223</v>
      </c>
      <c r="FR1" s="9" t="s">
        <v>224</v>
      </c>
      <c r="FS1" s="9" t="s">
        <v>225</v>
      </c>
      <c r="FT1" s="9" t="s">
        <v>226</v>
      </c>
      <c r="FU1" s="9" t="s">
        <v>227</v>
      </c>
      <c r="FV1" s="9" t="s">
        <v>228</v>
      </c>
      <c r="FW1" s="9" t="s">
        <v>229</v>
      </c>
      <c r="FX1" s="9" t="s">
        <v>233</v>
      </c>
      <c r="FY1" s="9" t="s">
        <v>234</v>
      </c>
      <c r="FZ1" s="9" t="s">
        <v>235</v>
      </c>
      <c r="GA1" s="9" t="s">
        <v>236</v>
      </c>
      <c r="GB1" s="9" t="s">
        <v>237</v>
      </c>
      <c r="GC1" s="9" t="s">
        <v>238</v>
      </c>
      <c r="GD1" s="9" t="s">
        <v>239</v>
      </c>
      <c r="GE1" s="9" t="s">
        <v>240</v>
      </c>
      <c r="GF1" s="9" t="s">
        <v>242</v>
      </c>
      <c r="GG1" s="9" t="s">
        <v>243</v>
      </c>
      <c r="GH1" s="9" t="s">
        <v>241</v>
      </c>
      <c r="GI1" s="9" t="s">
        <v>244</v>
      </c>
      <c r="GJ1" s="9" t="s">
        <v>245</v>
      </c>
      <c r="GK1" s="9" t="s">
        <v>246</v>
      </c>
      <c r="GL1" s="9" t="s">
        <v>247</v>
      </c>
      <c r="GM1" s="9" t="s">
        <v>248</v>
      </c>
      <c r="GN1" s="9" t="s">
        <v>249</v>
      </c>
      <c r="GO1" s="9" t="s">
        <v>250</v>
      </c>
      <c r="GP1" s="9" t="s">
        <v>251</v>
      </c>
      <c r="GQ1" s="9" t="s">
        <v>252</v>
      </c>
      <c r="GR1" s="9" t="s">
        <v>253</v>
      </c>
      <c r="GS1" s="9" t="s">
        <v>254</v>
      </c>
      <c r="GT1" s="9" t="s">
        <v>255</v>
      </c>
      <c r="GU1" s="9" t="s">
        <v>256</v>
      </c>
      <c r="GV1" s="9" t="s">
        <v>257</v>
      </c>
      <c r="GW1" s="9" t="s">
        <v>258</v>
      </c>
      <c r="GX1" s="9" t="s">
        <v>259</v>
      </c>
      <c r="GY1" s="9" t="s">
        <v>260</v>
      </c>
      <c r="GZ1" s="9" t="s">
        <v>261</v>
      </c>
      <c r="HA1" s="9" t="s">
        <v>262</v>
      </c>
      <c r="HB1" s="9" t="s">
        <v>263</v>
      </c>
      <c r="HC1" s="9" t="s">
        <v>264</v>
      </c>
      <c r="HD1" s="9" t="s">
        <v>265</v>
      </c>
      <c r="HE1" s="9" t="s">
        <v>266</v>
      </c>
      <c r="HF1" s="9" t="s">
        <v>267</v>
      </c>
      <c r="HG1" s="9" t="s">
        <v>268</v>
      </c>
      <c r="HH1" s="9" t="s">
        <v>269</v>
      </c>
      <c r="HI1" s="9" t="s">
        <v>270</v>
      </c>
      <c r="HJ1" s="9" t="s">
        <v>271</v>
      </c>
      <c r="HK1" s="9" t="s">
        <v>272</v>
      </c>
      <c r="HL1" s="9" t="s">
        <v>273</v>
      </c>
      <c r="HM1" s="9" t="s">
        <v>274</v>
      </c>
      <c r="HN1" s="9" t="s">
        <v>275</v>
      </c>
      <c r="HO1" s="9" t="s">
        <v>276</v>
      </c>
      <c r="HP1" s="9" t="s">
        <v>277</v>
      </c>
      <c r="HQ1" s="9" t="s">
        <v>278</v>
      </c>
      <c r="HR1" s="9" t="s">
        <v>279</v>
      </c>
      <c r="HS1" s="9" t="s">
        <v>280</v>
      </c>
      <c r="HT1" s="9" t="s">
        <v>281</v>
      </c>
      <c r="HU1" s="9" t="s">
        <v>282</v>
      </c>
      <c r="HV1" s="9" t="s">
        <v>283</v>
      </c>
      <c r="HW1" s="9" t="s">
        <v>284</v>
      </c>
      <c r="HY1" s="10" t="s">
        <v>0</v>
      </c>
      <c r="HZ1" s="9" t="s">
        <v>197</v>
      </c>
      <c r="IA1" s="9" t="s">
        <v>198</v>
      </c>
    </row>
    <row r="3" spans="1:235" x14ac:dyDescent="0.2">
      <c r="A3" s="2" t="s">
        <v>1</v>
      </c>
      <c r="B3" s="19">
        <v>9</v>
      </c>
      <c r="C3" s="12">
        <v>11</v>
      </c>
      <c r="D3" s="12">
        <v>9</v>
      </c>
      <c r="E3" s="12">
        <v>3</v>
      </c>
      <c r="F3" s="12">
        <v>4</v>
      </c>
      <c r="G3" s="12">
        <v>9</v>
      </c>
      <c r="H3" s="12">
        <v>25</v>
      </c>
      <c r="I3" s="12">
        <v>9</v>
      </c>
      <c r="J3" s="12">
        <v>6</v>
      </c>
      <c r="K3" s="12">
        <v>6</v>
      </c>
      <c r="L3" s="12">
        <v>3</v>
      </c>
      <c r="O3" s="12">
        <v>18</v>
      </c>
      <c r="P3" s="12">
        <v>21</v>
      </c>
      <c r="Q3" s="12">
        <v>3</v>
      </c>
      <c r="R3" s="12">
        <v>21</v>
      </c>
      <c r="S3" s="12">
        <v>95</v>
      </c>
      <c r="T3" s="12">
        <v>12</v>
      </c>
      <c r="U3" s="12">
        <v>15</v>
      </c>
      <c r="V3" s="12">
        <v>13</v>
      </c>
      <c r="W3" s="12">
        <v>18</v>
      </c>
      <c r="X3" s="12">
        <v>4</v>
      </c>
      <c r="Y3" s="12">
        <v>5</v>
      </c>
      <c r="AA3" s="12">
        <v>18</v>
      </c>
      <c r="AB3" s="12">
        <v>7</v>
      </c>
      <c r="AC3" s="12">
        <v>20</v>
      </c>
      <c r="AD3" s="12">
        <v>2</v>
      </c>
      <c r="AE3" s="12">
        <v>10</v>
      </c>
      <c r="AF3" s="12">
        <v>12</v>
      </c>
      <c r="AG3" s="12">
        <v>5</v>
      </c>
      <c r="AH3" s="12">
        <v>7</v>
      </c>
      <c r="AI3" s="12">
        <v>22</v>
      </c>
      <c r="AJ3" s="12">
        <v>8</v>
      </c>
      <c r="AK3" s="12">
        <v>8</v>
      </c>
      <c r="AL3" s="12">
        <v>38</v>
      </c>
      <c r="AM3" s="12">
        <v>6</v>
      </c>
      <c r="AN3" s="12">
        <v>11</v>
      </c>
      <c r="AO3" s="12">
        <v>5</v>
      </c>
      <c r="AP3" s="12">
        <v>14</v>
      </c>
      <c r="AQ3" s="12">
        <v>7</v>
      </c>
      <c r="AR3" s="12">
        <v>6</v>
      </c>
      <c r="AS3" s="12">
        <v>10</v>
      </c>
      <c r="AT3" s="12">
        <v>3</v>
      </c>
      <c r="AU3" s="12">
        <v>10</v>
      </c>
      <c r="AV3" s="12">
        <v>7</v>
      </c>
      <c r="AW3" s="12">
        <v>3</v>
      </c>
      <c r="AX3" s="12">
        <v>7</v>
      </c>
      <c r="AY3" s="12">
        <v>12</v>
      </c>
      <c r="AZ3" s="12">
        <v>5</v>
      </c>
      <c r="BA3" s="12">
        <v>3</v>
      </c>
      <c r="BB3" s="12">
        <v>4</v>
      </c>
      <c r="BC3" s="12">
        <v>4</v>
      </c>
      <c r="BD3" s="12">
        <v>6</v>
      </c>
      <c r="BE3" s="12">
        <v>3</v>
      </c>
      <c r="BF3" s="12">
        <v>13</v>
      </c>
      <c r="BG3" s="12">
        <v>7</v>
      </c>
      <c r="BH3" s="12">
        <v>5</v>
      </c>
      <c r="BI3" s="12">
        <v>6</v>
      </c>
      <c r="BJ3" s="12">
        <v>10</v>
      </c>
      <c r="BK3" s="12">
        <v>1</v>
      </c>
      <c r="BL3" s="12">
        <v>6</v>
      </c>
      <c r="BM3" s="12">
        <v>3</v>
      </c>
      <c r="BN3" s="12">
        <v>7</v>
      </c>
      <c r="BO3" s="12">
        <v>2</v>
      </c>
      <c r="BP3" s="12">
        <v>1</v>
      </c>
      <c r="BQ3" s="12">
        <v>6</v>
      </c>
      <c r="BR3" s="12">
        <v>10</v>
      </c>
      <c r="BS3" s="12">
        <v>16</v>
      </c>
      <c r="BT3" s="12">
        <v>19</v>
      </c>
      <c r="BU3" s="12">
        <v>22</v>
      </c>
      <c r="BV3" s="12">
        <v>4</v>
      </c>
      <c r="BW3" s="12">
        <v>17</v>
      </c>
      <c r="BX3" s="12">
        <v>7</v>
      </c>
      <c r="BY3" s="12">
        <v>1</v>
      </c>
      <c r="BZ3" s="12">
        <v>19</v>
      </c>
      <c r="CA3" s="12">
        <v>10</v>
      </c>
      <c r="CB3" s="12">
        <v>8</v>
      </c>
      <c r="CC3" s="12">
        <v>6</v>
      </c>
      <c r="CD3" s="12">
        <v>14</v>
      </c>
      <c r="CE3" s="12">
        <v>14</v>
      </c>
      <c r="CF3" s="12">
        <v>7</v>
      </c>
      <c r="CG3" s="12">
        <v>2</v>
      </c>
      <c r="CH3" s="12">
        <v>13</v>
      </c>
      <c r="CI3" s="12">
        <v>22</v>
      </c>
      <c r="CJ3" s="12">
        <v>32</v>
      </c>
      <c r="CK3" s="12">
        <v>10</v>
      </c>
      <c r="CL3" s="12">
        <v>11</v>
      </c>
      <c r="CM3" s="12">
        <v>8</v>
      </c>
      <c r="CN3" s="12">
        <v>6</v>
      </c>
      <c r="CO3" s="12">
        <v>5</v>
      </c>
      <c r="CP3" s="12">
        <v>24</v>
      </c>
      <c r="CQ3" s="12">
        <v>14</v>
      </c>
      <c r="CR3" s="12">
        <v>8</v>
      </c>
      <c r="CS3" s="12">
        <v>26</v>
      </c>
      <c r="CT3" s="12">
        <v>10</v>
      </c>
      <c r="CU3" s="12">
        <v>6</v>
      </c>
      <c r="CV3" s="12">
        <v>13</v>
      </c>
      <c r="CW3" s="12">
        <v>11</v>
      </c>
      <c r="CX3" s="12">
        <v>16</v>
      </c>
      <c r="CY3" s="12">
        <v>16</v>
      </c>
      <c r="DA3" s="12">
        <v>22</v>
      </c>
      <c r="DB3" s="12">
        <v>17</v>
      </c>
      <c r="DC3" s="12">
        <v>7</v>
      </c>
      <c r="DD3" s="12">
        <v>3</v>
      </c>
      <c r="DE3" s="12">
        <v>59</v>
      </c>
      <c r="DF3" s="12">
        <v>12</v>
      </c>
      <c r="DG3" s="12">
        <v>15</v>
      </c>
      <c r="DH3" s="12">
        <v>14</v>
      </c>
      <c r="DI3" s="12">
        <v>3</v>
      </c>
      <c r="DJ3" s="12">
        <v>17</v>
      </c>
      <c r="DK3" s="12">
        <v>13</v>
      </c>
      <c r="DL3" s="12">
        <v>5</v>
      </c>
      <c r="DM3" s="12">
        <v>29</v>
      </c>
      <c r="DN3" s="12">
        <v>13</v>
      </c>
      <c r="DO3" s="12">
        <v>13</v>
      </c>
      <c r="DP3" s="12">
        <v>22</v>
      </c>
      <c r="DQ3" s="12">
        <v>8</v>
      </c>
      <c r="DR3" s="12">
        <v>17</v>
      </c>
      <c r="DS3" s="12">
        <v>42</v>
      </c>
      <c r="DT3" s="12">
        <v>16</v>
      </c>
      <c r="DU3" s="12">
        <v>31</v>
      </c>
      <c r="DV3" s="12">
        <v>19</v>
      </c>
      <c r="DW3" s="12">
        <v>11</v>
      </c>
      <c r="DX3" s="12">
        <v>14</v>
      </c>
      <c r="DY3" s="12">
        <v>29</v>
      </c>
      <c r="DZ3" s="12">
        <v>45</v>
      </c>
      <c r="EA3" s="12">
        <v>15</v>
      </c>
      <c r="EB3" s="12">
        <v>20</v>
      </c>
      <c r="EC3" s="12">
        <v>48</v>
      </c>
      <c r="ED3" s="12">
        <v>35</v>
      </c>
      <c r="EE3" s="12">
        <v>13</v>
      </c>
      <c r="EF3" s="12">
        <v>47</v>
      </c>
      <c r="EG3" s="12">
        <v>15</v>
      </c>
      <c r="EH3" s="12">
        <v>37</v>
      </c>
      <c r="EI3" s="12">
        <v>55</v>
      </c>
      <c r="EJ3" s="12">
        <v>62</v>
      </c>
      <c r="EK3" s="12">
        <v>40</v>
      </c>
      <c r="EL3" s="12">
        <v>26</v>
      </c>
      <c r="EM3" s="12">
        <v>23</v>
      </c>
      <c r="EN3" s="12">
        <v>17</v>
      </c>
      <c r="EO3" s="12">
        <v>54</v>
      </c>
      <c r="EP3" s="12">
        <v>35</v>
      </c>
      <c r="EQ3" s="12">
        <v>41</v>
      </c>
      <c r="ER3" s="19">
        <v>35</v>
      </c>
      <c r="ES3" s="19">
        <v>11</v>
      </c>
      <c r="ET3" s="19">
        <v>21</v>
      </c>
      <c r="EU3" s="19">
        <v>12</v>
      </c>
      <c r="EV3" s="19">
        <v>23</v>
      </c>
      <c r="EW3" s="19">
        <v>12</v>
      </c>
      <c r="EX3" s="19">
        <v>10</v>
      </c>
      <c r="EY3" s="19">
        <v>64</v>
      </c>
      <c r="EZ3" s="1">
        <v>19</v>
      </c>
      <c r="FA3" s="1">
        <v>14</v>
      </c>
      <c r="FB3" s="1">
        <v>14</v>
      </c>
      <c r="FC3" s="1">
        <v>15</v>
      </c>
      <c r="FD3" s="1">
        <v>37</v>
      </c>
      <c r="FE3" s="1">
        <v>4</v>
      </c>
      <c r="FF3" s="1">
        <v>16</v>
      </c>
      <c r="FG3" s="1">
        <v>29</v>
      </c>
      <c r="FH3" s="1">
        <v>40</v>
      </c>
      <c r="FI3" s="1">
        <v>16</v>
      </c>
      <c r="FJ3" s="1">
        <v>12</v>
      </c>
      <c r="FK3" s="1">
        <v>32</v>
      </c>
      <c r="FL3" s="1">
        <v>34</v>
      </c>
      <c r="FM3" s="1">
        <v>100</v>
      </c>
      <c r="FN3" s="1">
        <v>17</v>
      </c>
      <c r="FO3" s="1">
        <v>11</v>
      </c>
      <c r="FP3" s="1">
        <v>30</v>
      </c>
      <c r="FQ3" s="1">
        <v>61</v>
      </c>
      <c r="FR3" s="1">
        <v>13</v>
      </c>
      <c r="FS3" s="1">
        <v>30</v>
      </c>
      <c r="FT3" s="1">
        <v>36</v>
      </c>
      <c r="FU3" s="1">
        <v>39</v>
      </c>
      <c r="FV3" s="1">
        <v>13</v>
      </c>
      <c r="FW3" s="1">
        <v>16</v>
      </c>
      <c r="FX3" s="1">
        <v>25</v>
      </c>
      <c r="FY3" s="1">
        <v>16</v>
      </c>
      <c r="FZ3" s="1">
        <v>28</v>
      </c>
      <c r="GA3" s="1">
        <v>14</v>
      </c>
      <c r="GB3" s="1">
        <v>7</v>
      </c>
      <c r="GC3" s="1">
        <v>19</v>
      </c>
      <c r="GD3" s="1">
        <v>15</v>
      </c>
      <c r="GE3" s="1">
        <v>6</v>
      </c>
      <c r="GF3" s="1">
        <v>14</v>
      </c>
      <c r="GG3" s="1">
        <v>13</v>
      </c>
      <c r="GH3" s="1">
        <v>29</v>
      </c>
      <c r="GI3" s="1">
        <v>20</v>
      </c>
      <c r="GJ3" s="1">
        <v>42</v>
      </c>
      <c r="GK3" s="1">
        <v>13</v>
      </c>
      <c r="GL3" s="1">
        <v>24</v>
      </c>
      <c r="GM3" s="1">
        <v>25</v>
      </c>
      <c r="GN3" s="1">
        <v>18</v>
      </c>
      <c r="GO3" s="1">
        <v>25</v>
      </c>
      <c r="GP3" s="1">
        <v>21</v>
      </c>
      <c r="GQ3" s="1">
        <v>29</v>
      </c>
      <c r="GR3" s="1">
        <v>34</v>
      </c>
      <c r="GS3" s="1">
        <v>19</v>
      </c>
      <c r="GT3" s="1">
        <v>23</v>
      </c>
      <c r="GU3" s="1">
        <v>9</v>
      </c>
      <c r="GV3" s="1">
        <v>2</v>
      </c>
      <c r="GW3" s="1">
        <v>6</v>
      </c>
      <c r="GX3" s="1">
        <v>1</v>
      </c>
      <c r="GY3" s="1">
        <v>3</v>
      </c>
      <c r="GZ3" s="1">
        <v>9</v>
      </c>
      <c r="HA3" s="1">
        <v>26</v>
      </c>
      <c r="HB3" s="1">
        <v>2</v>
      </c>
      <c r="HC3" s="1">
        <v>20</v>
      </c>
      <c r="HE3" s="1">
        <v>3</v>
      </c>
      <c r="HF3" s="1">
        <v>2</v>
      </c>
      <c r="HG3" s="1">
        <v>5</v>
      </c>
      <c r="HH3" s="1">
        <v>8</v>
      </c>
      <c r="HI3" s="1">
        <v>9</v>
      </c>
      <c r="HJ3" s="1">
        <v>4</v>
      </c>
      <c r="HK3" s="1">
        <v>10</v>
      </c>
      <c r="HL3" s="1">
        <v>3</v>
      </c>
      <c r="HM3" s="1">
        <v>2</v>
      </c>
      <c r="HO3" s="1">
        <v>2</v>
      </c>
      <c r="HP3" s="1">
        <v>2</v>
      </c>
      <c r="HQ3" s="1">
        <v>3</v>
      </c>
      <c r="HS3" s="1">
        <v>1</v>
      </c>
      <c r="HV3" s="1">
        <v>2</v>
      </c>
      <c r="HW3" s="1">
        <v>2</v>
      </c>
      <c r="HY3" s="2" t="s">
        <v>1</v>
      </c>
      <c r="HZ3" s="1">
        <f t="shared" ref="HZ3:HZ43" si="0">SUM(B3:HW3)</f>
        <v>3626</v>
      </c>
      <c r="IA3" s="24">
        <f>(HZ3/HZ46)*100</f>
        <v>17.013090601980014</v>
      </c>
    </row>
    <row r="4" spans="1:235" s="7" customFormat="1" x14ac:dyDescent="0.2">
      <c r="A4" s="6" t="s">
        <v>2</v>
      </c>
      <c r="B4" s="20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>
        <v>1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>
        <v>1</v>
      </c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>
        <v>1</v>
      </c>
      <c r="EN4" s="13"/>
      <c r="EO4" s="13">
        <v>1</v>
      </c>
      <c r="EP4" s="13">
        <v>1</v>
      </c>
      <c r="EQ4" s="13">
        <v>2</v>
      </c>
      <c r="ER4" s="20"/>
      <c r="ES4" s="20"/>
      <c r="ET4" s="20"/>
      <c r="EU4" s="20"/>
      <c r="EV4" s="20"/>
      <c r="EW4" s="20"/>
      <c r="EX4" s="20"/>
      <c r="EY4" s="20"/>
      <c r="FA4" s="7">
        <v>1</v>
      </c>
      <c r="FK4" s="7">
        <v>1</v>
      </c>
      <c r="FQ4" s="7">
        <v>1</v>
      </c>
      <c r="GI4" s="7">
        <v>1</v>
      </c>
      <c r="HY4" s="6" t="s">
        <v>2</v>
      </c>
      <c r="HZ4" s="1">
        <f t="shared" si="0"/>
        <v>11</v>
      </c>
      <c r="IA4" s="24">
        <f>(HZ4/HZ46)*100</f>
        <v>5.1611692394313333E-2</v>
      </c>
    </row>
    <row r="5" spans="1:235" x14ac:dyDescent="0.2">
      <c r="A5" s="2" t="s">
        <v>3</v>
      </c>
      <c r="B5" s="19">
        <v>2</v>
      </c>
      <c r="D5" s="12">
        <v>3</v>
      </c>
      <c r="F5" s="12">
        <v>3</v>
      </c>
      <c r="G5" s="12">
        <v>4</v>
      </c>
      <c r="H5" s="15" t="s">
        <v>43</v>
      </c>
      <c r="J5" s="12">
        <v>1</v>
      </c>
      <c r="K5" s="15" t="s">
        <v>43</v>
      </c>
      <c r="O5" s="12">
        <v>1</v>
      </c>
      <c r="Q5" s="12">
        <v>1</v>
      </c>
      <c r="R5" s="12">
        <v>2</v>
      </c>
      <c r="V5" s="12">
        <v>1</v>
      </c>
      <c r="W5" s="12">
        <v>1</v>
      </c>
      <c r="Z5" s="12">
        <v>1</v>
      </c>
      <c r="AA5" s="12">
        <v>1</v>
      </c>
      <c r="AB5" s="12">
        <v>1</v>
      </c>
      <c r="AE5" s="12">
        <v>1</v>
      </c>
      <c r="AI5" s="12">
        <v>2</v>
      </c>
      <c r="AK5" s="12">
        <v>1</v>
      </c>
      <c r="AL5" s="12">
        <v>1</v>
      </c>
      <c r="AO5" s="12">
        <v>1</v>
      </c>
      <c r="AP5" s="12">
        <v>2</v>
      </c>
      <c r="AR5" s="12">
        <v>7</v>
      </c>
      <c r="AS5" s="12">
        <v>4</v>
      </c>
      <c r="AU5" s="12">
        <v>15</v>
      </c>
      <c r="AY5" s="12">
        <v>1</v>
      </c>
      <c r="BB5" s="12">
        <v>1</v>
      </c>
      <c r="BC5" s="12">
        <v>1</v>
      </c>
      <c r="BF5" s="12">
        <v>2</v>
      </c>
      <c r="BG5" s="12">
        <v>2</v>
      </c>
      <c r="BI5" s="12">
        <v>4</v>
      </c>
      <c r="BJ5" s="12">
        <v>10</v>
      </c>
      <c r="BK5" s="12">
        <v>2</v>
      </c>
      <c r="BM5" s="12">
        <v>1</v>
      </c>
      <c r="BN5" s="12">
        <v>4</v>
      </c>
      <c r="BO5" s="12">
        <v>4</v>
      </c>
      <c r="BP5" s="12">
        <v>4</v>
      </c>
      <c r="BQ5" s="12">
        <v>1</v>
      </c>
      <c r="BR5" s="12">
        <v>15</v>
      </c>
      <c r="BS5" s="12">
        <v>12</v>
      </c>
      <c r="BT5" s="12">
        <v>5</v>
      </c>
      <c r="BU5" s="12">
        <v>8</v>
      </c>
      <c r="BV5" s="12">
        <v>2</v>
      </c>
      <c r="BY5" s="12">
        <v>2</v>
      </c>
      <c r="BZ5" s="12">
        <v>5</v>
      </c>
      <c r="CB5" s="12">
        <v>2</v>
      </c>
      <c r="CC5" s="12">
        <v>2</v>
      </c>
      <c r="CE5" s="12">
        <v>6</v>
      </c>
      <c r="CF5" s="12">
        <v>1</v>
      </c>
      <c r="CG5" s="12">
        <v>1</v>
      </c>
      <c r="CH5" s="12">
        <v>3</v>
      </c>
      <c r="CI5" s="12">
        <v>4</v>
      </c>
      <c r="CJ5" s="12">
        <v>1</v>
      </c>
      <c r="CK5" s="12">
        <v>2</v>
      </c>
      <c r="CL5" s="12">
        <v>3</v>
      </c>
      <c r="CM5" s="12">
        <v>4</v>
      </c>
      <c r="CN5" s="12">
        <v>2</v>
      </c>
      <c r="CP5" s="12">
        <v>2</v>
      </c>
      <c r="CQ5" s="12">
        <v>2</v>
      </c>
      <c r="CV5" s="12">
        <v>7</v>
      </c>
      <c r="CW5" s="12">
        <v>4</v>
      </c>
      <c r="CX5" s="12">
        <v>3</v>
      </c>
      <c r="CY5" s="12">
        <v>8</v>
      </c>
      <c r="DA5" s="12">
        <v>5</v>
      </c>
      <c r="DB5" s="12">
        <v>10</v>
      </c>
      <c r="DD5" s="12">
        <v>4</v>
      </c>
      <c r="DE5" s="12">
        <v>5</v>
      </c>
      <c r="DF5" s="12">
        <v>2</v>
      </c>
      <c r="DI5" s="12">
        <v>1</v>
      </c>
      <c r="DJ5" s="12">
        <v>1</v>
      </c>
      <c r="DK5" s="12">
        <v>1</v>
      </c>
      <c r="DL5" s="12">
        <v>3</v>
      </c>
      <c r="DN5" s="12">
        <v>2</v>
      </c>
      <c r="DO5" s="12">
        <v>2</v>
      </c>
      <c r="DP5" s="12">
        <v>7</v>
      </c>
      <c r="DQ5" s="12">
        <v>2</v>
      </c>
      <c r="DR5" s="12">
        <v>20</v>
      </c>
      <c r="DS5" s="12">
        <v>14</v>
      </c>
      <c r="DT5" s="12">
        <v>7</v>
      </c>
      <c r="DU5" s="12">
        <v>1</v>
      </c>
      <c r="DV5" s="12">
        <v>1</v>
      </c>
      <c r="DW5" s="12">
        <v>1</v>
      </c>
      <c r="DX5" s="12">
        <v>6</v>
      </c>
      <c r="DY5" s="12">
        <v>12</v>
      </c>
      <c r="DZ5" s="12">
        <v>3</v>
      </c>
      <c r="EA5" s="12">
        <v>2</v>
      </c>
      <c r="EB5" s="12">
        <v>4</v>
      </c>
      <c r="EC5" s="12">
        <v>6</v>
      </c>
      <c r="ED5" s="12">
        <v>17</v>
      </c>
      <c r="EE5" s="12">
        <v>4</v>
      </c>
      <c r="EF5" s="12">
        <v>4</v>
      </c>
      <c r="EG5" s="12">
        <v>1</v>
      </c>
      <c r="EH5" s="12">
        <v>13</v>
      </c>
      <c r="EI5" s="12">
        <v>6</v>
      </c>
      <c r="EJ5" s="12">
        <v>9</v>
      </c>
      <c r="EK5" s="12">
        <v>2</v>
      </c>
      <c r="EL5" s="12">
        <v>4</v>
      </c>
      <c r="EM5" s="12">
        <v>1</v>
      </c>
      <c r="EO5" s="12">
        <v>3</v>
      </c>
      <c r="EP5" s="12">
        <v>5</v>
      </c>
      <c r="ER5" s="19">
        <v>1</v>
      </c>
      <c r="EX5" s="19">
        <v>4</v>
      </c>
      <c r="EY5" s="19">
        <v>1</v>
      </c>
      <c r="EZ5" s="1">
        <v>3</v>
      </c>
      <c r="FA5" s="1">
        <v>7</v>
      </c>
      <c r="FB5" s="1">
        <v>1</v>
      </c>
      <c r="FC5" s="1">
        <v>1</v>
      </c>
      <c r="FD5" s="1">
        <v>5</v>
      </c>
      <c r="FE5" s="1">
        <v>1</v>
      </c>
      <c r="FF5" s="1">
        <v>3</v>
      </c>
      <c r="FG5" s="1">
        <v>1</v>
      </c>
      <c r="FH5" s="1">
        <v>1</v>
      </c>
      <c r="FI5" s="1">
        <v>2</v>
      </c>
      <c r="FJ5" s="1">
        <v>2</v>
      </c>
      <c r="FK5" s="1">
        <v>3</v>
      </c>
      <c r="FL5" s="1">
        <v>3</v>
      </c>
      <c r="FM5" s="1">
        <v>10</v>
      </c>
      <c r="FP5" s="1">
        <v>3</v>
      </c>
      <c r="FQ5" s="1">
        <v>18</v>
      </c>
      <c r="FR5" s="1">
        <v>2</v>
      </c>
      <c r="FS5" s="1">
        <v>14</v>
      </c>
      <c r="FT5" s="1">
        <v>2</v>
      </c>
      <c r="FU5" s="1">
        <v>6</v>
      </c>
      <c r="FW5" s="1">
        <v>3</v>
      </c>
      <c r="FX5" s="1">
        <v>3</v>
      </c>
      <c r="FY5" s="1">
        <v>6</v>
      </c>
      <c r="FZ5" s="1">
        <v>8</v>
      </c>
      <c r="GA5" s="1">
        <v>2</v>
      </c>
      <c r="GC5" s="1">
        <v>1</v>
      </c>
      <c r="GD5" s="1">
        <v>1</v>
      </c>
      <c r="GF5" s="1">
        <v>5</v>
      </c>
      <c r="GG5" s="1">
        <v>8</v>
      </c>
      <c r="GH5" s="1">
        <v>10</v>
      </c>
      <c r="GI5" s="1">
        <v>6</v>
      </c>
      <c r="GJ5" s="1">
        <v>3</v>
      </c>
      <c r="GK5" s="1">
        <v>6</v>
      </c>
      <c r="GL5" s="1">
        <v>3</v>
      </c>
      <c r="GM5" s="1">
        <v>2</v>
      </c>
      <c r="GN5" s="1">
        <v>3</v>
      </c>
      <c r="GO5" s="1">
        <v>3</v>
      </c>
      <c r="GQ5" s="1">
        <v>2</v>
      </c>
      <c r="GS5" s="1">
        <v>1</v>
      </c>
      <c r="GU5" s="1">
        <v>41</v>
      </c>
      <c r="GV5" s="1">
        <v>15</v>
      </c>
      <c r="GW5" s="1">
        <v>11</v>
      </c>
      <c r="GX5" s="1">
        <v>6</v>
      </c>
      <c r="GY5" s="1">
        <v>14</v>
      </c>
      <c r="GZ5" s="1">
        <v>7</v>
      </c>
      <c r="HA5" s="1">
        <v>15</v>
      </c>
      <c r="HB5" s="1">
        <v>13</v>
      </c>
      <c r="HC5" s="1">
        <v>39</v>
      </c>
      <c r="HD5" s="1">
        <v>1</v>
      </c>
      <c r="HE5" s="1">
        <v>5</v>
      </c>
      <c r="HF5" s="1">
        <v>6</v>
      </c>
      <c r="HG5" s="1">
        <v>2</v>
      </c>
      <c r="HH5" s="1">
        <v>3</v>
      </c>
      <c r="HI5" s="1">
        <v>10</v>
      </c>
      <c r="HJ5" s="1">
        <v>10</v>
      </c>
      <c r="HK5" s="1">
        <v>5</v>
      </c>
      <c r="HL5" s="1">
        <v>6</v>
      </c>
      <c r="HM5" s="1">
        <v>16</v>
      </c>
      <c r="HO5" s="1">
        <v>21</v>
      </c>
      <c r="HP5" s="1">
        <v>13</v>
      </c>
      <c r="HQ5" s="1">
        <v>18</v>
      </c>
      <c r="HR5" s="1">
        <v>14</v>
      </c>
      <c r="HS5" s="1">
        <v>11</v>
      </c>
      <c r="HT5" s="1">
        <v>10</v>
      </c>
      <c r="HU5" s="1">
        <v>15</v>
      </c>
      <c r="HV5" s="1">
        <v>9</v>
      </c>
      <c r="HW5" s="1">
        <v>32</v>
      </c>
      <c r="HY5" s="2" t="s">
        <v>3</v>
      </c>
      <c r="HZ5" s="1">
        <f t="shared" si="0"/>
        <v>928</v>
      </c>
      <c r="IA5" s="24">
        <f>(HZ5/HZ46)*100</f>
        <v>4.3541500492657068</v>
      </c>
    </row>
    <row r="6" spans="1:235" s="7" customFormat="1" x14ac:dyDescent="0.2">
      <c r="A6" s="6" t="s">
        <v>4</v>
      </c>
      <c r="B6" s="20"/>
      <c r="C6" s="13"/>
      <c r="D6" s="13">
        <v>1</v>
      </c>
      <c r="E6" s="13"/>
      <c r="F6" s="13"/>
      <c r="G6" s="13"/>
      <c r="H6" s="16" t="s">
        <v>43</v>
      </c>
      <c r="I6" s="16" t="s">
        <v>43</v>
      </c>
      <c r="J6" s="13"/>
      <c r="K6" s="13"/>
      <c r="L6" s="13"/>
      <c r="M6" s="13"/>
      <c r="N6" s="13"/>
      <c r="O6" s="13">
        <v>3</v>
      </c>
      <c r="P6" s="13"/>
      <c r="Q6" s="13"/>
      <c r="R6" s="13"/>
      <c r="S6" s="13">
        <v>2</v>
      </c>
      <c r="T6" s="13">
        <v>1</v>
      </c>
      <c r="U6" s="13">
        <v>2</v>
      </c>
      <c r="V6" s="13">
        <v>3</v>
      </c>
      <c r="W6" s="13">
        <v>2</v>
      </c>
      <c r="X6" s="13"/>
      <c r="Y6" s="13"/>
      <c r="Z6" s="13"/>
      <c r="AA6" s="13"/>
      <c r="AB6" s="13">
        <v>1</v>
      </c>
      <c r="AC6" s="13">
        <v>5</v>
      </c>
      <c r="AD6" s="13"/>
      <c r="AE6" s="13">
        <v>1</v>
      </c>
      <c r="AF6" s="13">
        <v>1</v>
      </c>
      <c r="AG6" s="13">
        <v>1</v>
      </c>
      <c r="AH6" s="13"/>
      <c r="AI6" s="13">
        <v>10</v>
      </c>
      <c r="AJ6" s="13">
        <v>1</v>
      </c>
      <c r="AK6" s="13">
        <v>1</v>
      </c>
      <c r="AL6" s="13">
        <v>6</v>
      </c>
      <c r="AM6" s="13"/>
      <c r="AN6" s="13">
        <v>1</v>
      </c>
      <c r="AO6" s="13">
        <v>1</v>
      </c>
      <c r="AP6" s="13">
        <v>2</v>
      </c>
      <c r="AQ6" s="13">
        <v>2</v>
      </c>
      <c r="AR6" s="13">
        <v>3</v>
      </c>
      <c r="AS6" s="13">
        <v>2</v>
      </c>
      <c r="AT6" s="13">
        <v>1</v>
      </c>
      <c r="AU6" s="13"/>
      <c r="AV6" s="13">
        <v>4</v>
      </c>
      <c r="AW6" s="13"/>
      <c r="AX6" s="13"/>
      <c r="AY6" s="13">
        <v>3</v>
      </c>
      <c r="AZ6" s="13"/>
      <c r="BA6" s="13"/>
      <c r="BB6" s="13"/>
      <c r="BC6" s="13"/>
      <c r="BD6" s="13">
        <v>1</v>
      </c>
      <c r="BE6" s="13"/>
      <c r="BF6" s="13">
        <v>9</v>
      </c>
      <c r="BG6" s="13"/>
      <c r="BH6" s="13"/>
      <c r="BI6" s="13"/>
      <c r="BJ6" s="13">
        <v>1</v>
      </c>
      <c r="BK6" s="13">
        <v>1</v>
      </c>
      <c r="BL6" s="13">
        <v>3</v>
      </c>
      <c r="BM6" s="13">
        <v>1</v>
      </c>
      <c r="BN6" s="13"/>
      <c r="BO6" s="13">
        <v>1</v>
      </c>
      <c r="BP6" s="13"/>
      <c r="BQ6" s="13"/>
      <c r="BR6" s="13">
        <v>3</v>
      </c>
      <c r="BS6" s="13">
        <v>1</v>
      </c>
      <c r="BT6" s="13"/>
      <c r="BU6" s="13">
        <v>3</v>
      </c>
      <c r="BV6" s="13">
        <v>1</v>
      </c>
      <c r="BW6" s="13">
        <v>1</v>
      </c>
      <c r="BX6" s="13">
        <v>2</v>
      </c>
      <c r="BY6" s="13"/>
      <c r="BZ6" s="13">
        <v>1</v>
      </c>
      <c r="CA6" s="13"/>
      <c r="CB6" s="13">
        <v>1</v>
      </c>
      <c r="CC6" s="13">
        <v>1</v>
      </c>
      <c r="CD6" s="13">
        <v>1</v>
      </c>
      <c r="CE6" s="13"/>
      <c r="CF6" s="13">
        <v>1</v>
      </c>
      <c r="CG6" s="13"/>
      <c r="CH6" s="13">
        <v>7</v>
      </c>
      <c r="CI6" s="13">
        <v>2</v>
      </c>
      <c r="CJ6" s="13">
        <v>1</v>
      </c>
      <c r="CK6" s="13"/>
      <c r="CL6" s="13">
        <v>1</v>
      </c>
      <c r="CM6" s="13"/>
      <c r="CN6" s="13"/>
      <c r="CO6" s="13">
        <v>2</v>
      </c>
      <c r="CP6" s="13">
        <v>8</v>
      </c>
      <c r="CQ6" s="13"/>
      <c r="CR6" s="13"/>
      <c r="CS6" s="13">
        <v>4</v>
      </c>
      <c r="CT6" s="13"/>
      <c r="CU6" s="13"/>
      <c r="CV6" s="13">
        <v>1</v>
      </c>
      <c r="CW6" s="13"/>
      <c r="CX6" s="13">
        <v>3</v>
      </c>
      <c r="CY6" s="13"/>
      <c r="CZ6" s="13"/>
      <c r="DA6" s="13">
        <v>1</v>
      </c>
      <c r="DB6" s="13">
        <v>1</v>
      </c>
      <c r="DC6" s="13"/>
      <c r="DD6" s="13"/>
      <c r="DE6" s="13">
        <v>1</v>
      </c>
      <c r="DF6" s="13"/>
      <c r="DG6" s="13">
        <v>1</v>
      </c>
      <c r="DH6" s="13">
        <v>1</v>
      </c>
      <c r="DI6" s="13">
        <v>1</v>
      </c>
      <c r="DJ6" s="13">
        <v>1</v>
      </c>
      <c r="DK6" s="13">
        <v>1</v>
      </c>
      <c r="DL6" s="13"/>
      <c r="DM6" s="13">
        <v>6</v>
      </c>
      <c r="DN6" s="13">
        <v>3</v>
      </c>
      <c r="DO6" s="13">
        <v>3</v>
      </c>
      <c r="DP6" s="13">
        <v>3</v>
      </c>
      <c r="DQ6" s="13"/>
      <c r="DR6" s="13">
        <v>6</v>
      </c>
      <c r="DS6" s="13">
        <v>15</v>
      </c>
      <c r="DT6" s="13">
        <v>10</v>
      </c>
      <c r="DU6" s="13">
        <v>3</v>
      </c>
      <c r="DV6" s="13">
        <v>2</v>
      </c>
      <c r="DW6" s="13"/>
      <c r="DX6" s="13"/>
      <c r="DY6" s="13">
        <v>5</v>
      </c>
      <c r="DZ6" s="13">
        <v>8</v>
      </c>
      <c r="EA6" s="13">
        <v>3</v>
      </c>
      <c r="EB6" s="13">
        <v>3</v>
      </c>
      <c r="EC6" s="13">
        <v>1</v>
      </c>
      <c r="ED6" s="13">
        <v>9</v>
      </c>
      <c r="EE6" s="13">
        <v>1</v>
      </c>
      <c r="EF6" s="13">
        <v>2</v>
      </c>
      <c r="EG6" s="13"/>
      <c r="EH6" s="13">
        <v>3</v>
      </c>
      <c r="EI6" s="13">
        <v>6</v>
      </c>
      <c r="EJ6" s="13">
        <v>4</v>
      </c>
      <c r="EK6" s="13">
        <v>4</v>
      </c>
      <c r="EL6" s="13">
        <v>3</v>
      </c>
      <c r="EM6" s="13"/>
      <c r="EN6" s="13">
        <v>2</v>
      </c>
      <c r="EO6" s="13">
        <v>9</v>
      </c>
      <c r="EP6" s="13">
        <v>3</v>
      </c>
      <c r="EQ6" s="13">
        <v>4</v>
      </c>
      <c r="ER6" s="20">
        <v>3</v>
      </c>
      <c r="ES6" s="20"/>
      <c r="ET6" s="20">
        <v>3</v>
      </c>
      <c r="EU6" s="20">
        <v>5</v>
      </c>
      <c r="EV6" s="20">
        <v>1</v>
      </c>
      <c r="EW6" s="20">
        <v>4</v>
      </c>
      <c r="EX6" s="20">
        <v>2</v>
      </c>
      <c r="EY6" s="20">
        <v>8</v>
      </c>
      <c r="EZ6" s="7">
        <v>2</v>
      </c>
      <c r="FA6" s="7">
        <v>13</v>
      </c>
      <c r="FB6" s="7">
        <v>4</v>
      </c>
      <c r="FC6" s="7">
        <v>1</v>
      </c>
      <c r="FD6" s="7">
        <v>11</v>
      </c>
      <c r="FE6" s="7">
        <v>2</v>
      </c>
      <c r="FF6" s="7">
        <v>5</v>
      </c>
      <c r="FG6" s="7">
        <v>11</v>
      </c>
      <c r="FH6" s="7">
        <v>8</v>
      </c>
      <c r="FI6" s="7">
        <v>5</v>
      </c>
      <c r="FJ6" s="7">
        <v>5</v>
      </c>
      <c r="FK6" s="7">
        <v>20</v>
      </c>
      <c r="FL6" s="7">
        <v>4</v>
      </c>
      <c r="FO6" s="7">
        <v>4</v>
      </c>
      <c r="FP6" s="7">
        <v>3</v>
      </c>
      <c r="FQ6" s="7">
        <v>19</v>
      </c>
      <c r="FR6" s="7">
        <v>1</v>
      </c>
      <c r="FS6" s="7">
        <v>15</v>
      </c>
      <c r="FT6" s="7">
        <v>4</v>
      </c>
      <c r="FU6" s="7">
        <v>9</v>
      </c>
      <c r="FV6" s="7">
        <v>4</v>
      </c>
      <c r="FW6" s="7">
        <v>1</v>
      </c>
      <c r="FX6" s="7">
        <v>10</v>
      </c>
      <c r="FY6" s="7">
        <v>4</v>
      </c>
      <c r="FZ6" s="7">
        <v>4</v>
      </c>
      <c r="GA6" s="7">
        <v>2</v>
      </c>
      <c r="GB6" s="7">
        <v>1</v>
      </c>
      <c r="GC6" s="7">
        <v>1</v>
      </c>
      <c r="GD6" s="7">
        <v>3</v>
      </c>
      <c r="GE6" s="7">
        <v>1</v>
      </c>
      <c r="GF6" s="7">
        <v>5</v>
      </c>
      <c r="GG6" s="7">
        <v>1</v>
      </c>
      <c r="GH6" s="7">
        <v>6</v>
      </c>
      <c r="GJ6" s="7">
        <v>2</v>
      </c>
      <c r="GK6" s="7">
        <v>2</v>
      </c>
      <c r="GL6" s="7">
        <v>4</v>
      </c>
      <c r="GM6" s="7">
        <v>7</v>
      </c>
      <c r="GN6" s="7">
        <v>4</v>
      </c>
      <c r="GP6" s="7">
        <v>3</v>
      </c>
      <c r="GQ6" s="7">
        <v>1</v>
      </c>
      <c r="GR6" s="7">
        <v>3</v>
      </c>
      <c r="GS6" s="7">
        <v>3</v>
      </c>
      <c r="GT6" s="7">
        <v>4</v>
      </c>
      <c r="GU6" s="7">
        <v>5</v>
      </c>
      <c r="GW6" s="7">
        <v>2</v>
      </c>
      <c r="GY6" s="7">
        <v>2</v>
      </c>
      <c r="GZ6" s="7">
        <v>4</v>
      </c>
      <c r="HA6" s="7">
        <v>4</v>
      </c>
      <c r="HB6" s="7">
        <v>1</v>
      </c>
      <c r="HC6" s="7">
        <v>2</v>
      </c>
      <c r="HG6" s="7">
        <v>1</v>
      </c>
      <c r="HJ6" s="7">
        <v>1</v>
      </c>
      <c r="HK6" s="7">
        <v>2</v>
      </c>
      <c r="HL6" s="7">
        <v>1</v>
      </c>
      <c r="HY6" s="6" t="s">
        <v>4</v>
      </c>
      <c r="HZ6" s="1">
        <f t="shared" si="0"/>
        <v>524</v>
      </c>
      <c r="IA6" s="24">
        <f>(HZ6/HZ46)*100</f>
        <v>2.4585933467836529</v>
      </c>
    </row>
    <row r="7" spans="1:235" x14ac:dyDescent="0.2">
      <c r="A7" s="2" t="s">
        <v>5</v>
      </c>
      <c r="BJ7" s="12">
        <v>1</v>
      </c>
      <c r="BR7" s="12">
        <v>1</v>
      </c>
      <c r="BT7" s="12">
        <v>1</v>
      </c>
      <c r="CL7" s="12">
        <v>1</v>
      </c>
      <c r="CP7" s="12">
        <v>1</v>
      </c>
      <c r="DM7" s="12">
        <v>1</v>
      </c>
      <c r="DR7" s="12">
        <v>1</v>
      </c>
      <c r="ED7" s="12">
        <v>3</v>
      </c>
      <c r="EJ7" s="12">
        <v>2</v>
      </c>
      <c r="EO7" s="12">
        <v>1</v>
      </c>
      <c r="ET7" s="19">
        <v>1</v>
      </c>
      <c r="EU7" s="19">
        <v>8</v>
      </c>
      <c r="EV7" s="19">
        <v>1</v>
      </c>
      <c r="EW7" s="19">
        <v>1</v>
      </c>
      <c r="FD7" s="1">
        <v>1</v>
      </c>
      <c r="FE7" s="1">
        <v>1</v>
      </c>
      <c r="FI7" s="1">
        <v>1</v>
      </c>
      <c r="FK7" s="1">
        <v>1</v>
      </c>
      <c r="FN7" s="1">
        <v>1</v>
      </c>
      <c r="FP7" s="1">
        <v>1</v>
      </c>
      <c r="FQ7" s="1">
        <v>4</v>
      </c>
      <c r="FS7" s="1">
        <v>2</v>
      </c>
      <c r="FU7" s="1">
        <v>4</v>
      </c>
      <c r="FY7" s="1">
        <v>1</v>
      </c>
      <c r="GA7" s="1">
        <v>2</v>
      </c>
      <c r="GB7" s="1">
        <v>1</v>
      </c>
      <c r="GE7" s="1">
        <v>1</v>
      </c>
      <c r="GF7" s="1">
        <v>1</v>
      </c>
      <c r="GG7" s="1">
        <v>1</v>
      </c>
      <c r="GH7" s="1">
        <v>4</v>
      </c>
      <c r="GL7" s="1">
        <v>1</v>
      </c>
      <c r="GM7" s="1">
        <v>4</v>
      </c>
      <c r="GN7" s="1">
        <v>2</v>
      </c>
      <c r="GO7" s="1">
        <v>1</v>
      </c>
      <c r="GP7" s="1">
        <v>1</v>
      </c>
      <c r="GQ7" s="1">
        <v>1</v>
      </c>
      <c r="GR7" s="1">
        <v>3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1">
        <v>4</v>
      </c>
      <c r="HB7" s="1">
        <v>1</v>
      </c>
      <c r="HC7" s="1">
        <v>2</v>
      </c>
      <c r="HE7" s="1">
        <v>1</v>
      </c>
      <c r="HF7" s="1">
        <v>1</v>
      </c>
      <c r="HH7" s="1">
        <v>1</v>
      </c>
      <c r="HI7" s="1">
        <v>2</v>
      </c>
      <c r="HP7" s="1">
        <v>4</v>
      </c>
      <c r="HQ7" s="1">
        <v>2</v>
      </c>
      <c r="HS7" s="1">
        <v>3</v>
      </c>
      <c r="HT7" s="1">
        <v>1</v>
      </c>
      <c r="HY7" s="2" t="s">
        <v>5</v>
      </c>
      <c r="HZ7" s="1">
        <f t="shared" si="0"/>
        <v>93</v>
      </c>
      <c r="IA7" s="24">
        <f>(HZ7/HZ46)*100</f>
        <v>0.43635339933373996</v>
      </c>
    </row>
    <row r="8" spans="1:235" s="7" customFormat="1" x14ac:dyDescent="0.2">
      <c r="A8" s="6" t="s">
        <v>6</v>
      </c>
      <c r="B8" s="20">
        <v>1</v>
      </c>
      <c r="C8" s="13">
        <v>4</v>
      </c>
      <c r="D8" s="16" t="s">
        <v>43</v>
      </c>
      <c r="E8" s="13">
        <v>2</v>
      </c>
      <c r="F8" s="13"/>
      <c r="G8" s="13">
        <v>4</v>
      </c>
      <c r="H8" s="13">
        <v>35</v>
      </c>
      <c r="I8" s="13">
        <v>5</v>
      </c>
      <c r="J8" s="13">
        <v>3</v>
      </c>
      <c r="K8" s="13"/>
      <c r="L8" s="13"/>
      <c r="M8" s="13"/>
      <c r="N8" s="13"/>
      <c r="O8" s="13">
        <v>28</v>
      </c>
      <c r="P8" s="13">
        <v>5</v>
      </c>
      <c r="Q8" s="13"/>
      <c r="R8" s="13">
        <v>4</v>
      </c>
      <c r="S8" s="13">
        <v>18</v>
      </c>
      <c r="T8" s="13">
        <v>1</v>
      </c>
      <c r="U8" s="13">
        <v>10</v>
      </c>
      <c r="V8" s="13"/>
      <c r="W8" s="13">
        <v>10</v>
      </c>
      <c r="X8" s="13">
        <v>2</v>
      </c>
      <c r="Y8" s="13">
        <v>1</v>
      </c>
      <c r="Z8" s="13">
        <v>2</v>
      </c>
      <c r="AA8" s="13">
        <v>7</v>
      </c>
      <c r="AB8" s="13">
        <v>2</v>
      </c>
      <c r="AC8" s="13">
        <v>27</v>
      </c>
      <c r="AD8" s="13"/>
      <c r="AE8" s="13">
        <v>3</v>
      </c>
      <c r="AF8" s="13">
        <v>6</v>
      </c>
      <c r="AG8" s="13">
        <v>6</v>
      </c>
      <c r="AH8" s="13">
        <v>8</v>
      </c>
      <c r="AI8" s="13">
        <v>17</v>
      </c>
      <c r="AJ8" s="13">
        <v>8</v>
      </c>
      <c r="AK8" s="13">
        <v>6</v>
      </c>
      <c r="AL8" s="13">
        <v>53</v>
      </c>
      <c r="AM8" s="13">
        <v>8</v>
      </c>
      <c r="AN8" s="13">
        <v>17</v>
      </c>
      <c r="AO8" s="13">
        <v>8</v>
      </c>
      <c r="AP8" s="13">
        <v>5</v>
      </c>
      <c r="AQ8" s="13">
        <v>5</v>
      </c>
      <c r="AR8" s="13"/>
      <c r="AS8" s="13">
        <v>4</v>
      </c>
      <c r="AT8" s="13">
        <v>6</v>
      </c>
      <c r="AU8" s="13">
        <v>15</v>
      </c>
      <c r="AV8" s="13">
        <v>12</v>
      </c>
      <c r="AW8" s="13">
        <v>10</v>
      </c>
      <c r="AX8" s="13">
        <v>9</v>
      </c>
      <c r="AY8" s="13">
        <v>6</v>
      </c>
      <c r="AZ8" s="13">
        <v>2</v>
      </c>
      <c r="BA8" s="13">
        <v>4</v>
      </c>
      <c r="BB8" s="13">
        <v>4</v>
      </c>
      <c r="BC8" s="13">
        <v>14</v>
      </c>
      <c r="BD8" s="13">
        <v>15</v>
      </c>
      <c r="BE8" s="13">
        <v>3</v>
      </c>
      <c r="BF8" s="13">
        <v>9</v>
      </c>
      <c r="BG8" s="13">
        <v>6</v>
      </c>
      <c r="BH8" s="13">
        <v>5</v>
      </c>
      <c r="BI8" s="13">
        <v>2</v>
      </c>
      <c r="BJ8" s="13">
        <v>20</v>
      </c>
      <c r="BK8" s="13">
        <v>8</v>
      </c>
      <c r="BL8" s="13">
        <v>18</v>
      </c>
      <c r="BM8" s="13">
        <v>8</v>
      </c>
      <c r="BN8" s="13">
        <v>16</v>
      </c>
      <c r="BO8" s="13">
        <v>11</v>
      </c>
      <c r="BP8" s="13">
        <v>2</v>
      </c>
      <c r="BQ8" s="13">
        <v>1</v>
      </c>
      <c r="BR8" s="13">
        <v>15</v>
      </c>
      <c r="BS8" s="13">
        <v>29</v>
      </c>
      <c r="BT8" s="13">
        <v>27</v>
      </c>
      <c r="BU8" s="13">
        <v>35</v>
      </c>
      <c r="BV8" s="13">
        <v>10</v>
      </c>
      <c r="BW8" s="13">
        <v>16</v>
      </c>
      <c r="BX8" s="13">
        <v>15</v>
      </c>
      <c r="BY8" s="13">
        <v>5</v>
      </c>
      <c r="BZ8" s="13">
        <v>10</v>
      </c>
      <c r="CA8" s="13">
        <v>15</v>
      </c>
      <c r="CB8" s="13">
        <v>23</v>
      </c>
      <c r="CC8" s="13">
        <v>3</v>
      </c>
      <c r="CD8" s="13">
        <v>9</v>
      </c>
      <c r="CE8" s="13">
        <v>24</v>
      </c>
      <c r="CF8" s="13">
        <v>5</v>
      </c>
      <c r="CG8" s="13">
        <v>14</v>
      </c>
      <c r="CH8" s="13">
        <v>35</v>
      </c>
      <c r="CI8" s="13">
        <v>8</v>
      </c>
      <c r="CJ8" s="13">
        <v>43</v>
      </c>
      <c r="CK8" s="13">
        <v>47</v>
      </c>
      <c r="CL8" s="13">
        <v>35</v>
      </c>
      <c r="CM8" s="13">
        <v>18</v>
      </c>
      <c r="CN8" s="13">
        <v>31</v>
      </c>
      <c r="CO8" s="13">
        <v>13</v>
      </c>
      <c r="CP8" s="13">
        <v>34</v>
      </c>
      <c r="CQ8" s="13">
        <v>22</v>
      </c>
      <c r="CR8" s="13">
        <v>9</v>
      </c>
      <c r="CS8" s="13">
        <v>50</v>
      </c>
      <c r="CT8" s="13">
        <v>16</v>
      </c>
      <c r="CU8" s="13">
        <v>36</v>
      </c>
      <c r="CV8" s="13">
        <v>48</v>
      </c>
      <c r="CW8" s="13">
        <v>29</v>
      </c>
      <c r="CX8" s="13">
        <v>30</v>
      </c>
      <c r="CY8" s="13">
        <v>22</v>
      </c>
      <c r="CZ8" s="13">
        <v>10</v>
      </c>
      <c r="DA8" s="13">
        <v>49</v>
      </c>
      <c r="DB8" s="13">
        <v>34</v>
      </c>
      <c r="DC8" s="13">
        <v>13</v>
      </c>
      <c r="DD8" s="13">
        <v>5</v>
      </c>
      <c r="DE8" s="13">
        <v>85</v>
      </c>
      <c r="DF8" s="13">
        <v>12</v>
      </c>
      <c r="DG8" s="13">
        <v>37</v>
      </c>
      <c r="DH8" s="13">
        <v>17</v>
      </c>
      <c r="DI8" s="13">
        <v>23</v>
      </c>
      <c r="DJ8" s="13">
        <v>63</v>
      </c>
      <c r="DK8" s="13">
        <v>43</v>
      </c>
      <c r="DL8" s="13">
        <v>33</v>
      </c>
      <c r="DM8" s="13">
        <v>74</v>
      </c>
      <c r="DN8" s="13">
        <v>43</v>
      </c>
      <c r="DO8" s="13">
        <v>59</v>
      </c>
      <c r="DP8" s="13">
        <v>45</v>
      </c>
      <c r="DQ8" s="13">
        <v>34</v>
      </c>
      <c r="DR8" s="13">
        <v>32</v>
      </c>
      <c r="DS8" s="13">
        <v>68</v>
      </c>
      <c r="DT8" s="13">
        <v>29</v>
      </c>
      <c r="DU8" s="13">
        <v>40</v>
      </c>
      <c r="DV8" s="13">
        <v>38</v>
      </c>
      <c r="DW8" s="13">
        <v>9</v>
      </c>
      <c r="DX8" s="13">
        <v>20</v>
      </c>
      <c r="DY8" s="13">
        <v>62</v>
      </c>
      <c r="DZ8" s="13">
        <v>46</v>
      </c>
      <c r="EA8" s="13">
        <v>40</v>
      </c>
      <c r="EB8" s="13">
        <v>5</v>
      </c>
      <c r="EC8" s="13">
        <v>87</v>
      </c>
      <c r="ED8" s="13">
        <v>29</v>
      </c>
      <c r="EE8" s="13">
        <v>17</v>
      </c>
      <c r="EF8" s="13">
        <v>64</v>
      </c>
      <c r="EG8" s="13">
        <v>39</v>
      </c>
      <c r="EH8" s="13">
        <v>43</v>
      </c>
      <c r="EI8" s="13">
        <v>45</v>
      </c>
      <c r="EJ8" s="13">
        <v>31</v>
      </c>
      <c r="EK8" s="13">
        <v>55</v>
      </c>
      <c r="EL8" s="13">
        <v>19</v>
      </c>
      <c r="EM8" s="13">
        <v>39</v>
      </c>
      <c r="EN8" s="13">
        <v>90</v>
      </c>
      <c r="EO8" s="13">
        <v>28</v>
      </c>
      <c r="EP8" s="13">
        <v>31</v>
      </c>
      <c r="EQ8" s="13">
        <v>22</v>
      </c>
      <c r="ER8" s="20">
        <v>47</v>
      </c>
      <c r="ES8" s="20">
        <v>23</v>
      </c>
      <c r="ET8" s="20">
        <v>10</v>
      </c>
      <c r="EU8" s="20"/>
      <c r="EV8" s="20">
        <v>33</v>
      </c>
      <c r="EW8" s="20">
        <v>9</v>
      </c>
      <c r="EX8" s="20">
        <v>18</v>
      </c>
      <c r="EY8" s="20">
        <v>99</v>
      </c>
      <c r="EZ8" s="7">
        <v>47</v>
      </c>
      <c r="FA8" s="7">
        <v>21</v>
      </c>
      <c r="FB8" s="7">
        <v>12</v>
      </c>
      <c r="FC8" s="7">
        <v>10</v>
      </c>
      <c r="FD8" s="7">
        <v>62</v>
      </c>
      <c r="FE8" s="7">
        <v>16</v>
      </c>
      <c r="FF8" s="7">
        <v>21</v>
      </c>
      <c r="FG8" s="7">
        <v>27</v>
      </c>
      <c r="FH8" s="7">
        <v>54</v>
      </c>
      <c r="FI8" s="7">
        <v>26</v>
      </c>
      <c r="FJ8" s="7">
        <v>15</v>
      </c>
      <c r="FK8" s="7">
        <v>43</v>
      </c>
      <c r="FL8" s="7">
        <v>13</v>
      </c>
      <c r="FM8" s="7">
        <v>30</v>
      </c>
      <c r="FN8" s="7">
        <v>43</v>
      </c>
      <c r="FO8" s="7">
        <v>20</v>
      </c>
      <c r="FP8" s="7">
        <v>34</v>
      </c>
      <c r="FQ8" s="7">
        <v>65</v>
      </c>
      <c r="FR8" s="7">
        <v>14</v>
      </c>
      <c r="FS8" s="7">
        <v>24</v>
      </c>
      <c r="FT8" s="7">
        <v>47</v>
      </c>
      <c r="FU8" s="7">
        <v>70</v>
      </c>
      <c r="FV8" s="7">
        <v>47</v>
      </c>
      <c r="FW8" s="7">
        <v>21</v>
      </c>
      <c r="FX8" s="7">
        <v>68</v>
      </c>
      <c r="FY8" s="7">
        <v>32</v>
      </c>
      <c r="FZ8" s="7">
        <v>61</v>
      </c>
      <c r="GA8" s="7">
        <v>31</v>
      </c>
      <c r="GB8" s="7">
        <v>14</v>
      </c>
      <c r="GC8" s="7">
        <v>30</v>
      </c>
      <c r="GD8" s="7">
        <v>18</v>
      </c>
      <c r="GE8" s="7">
        <v>49</v>
      </c>
      <c r="GF8" s="7">
        <v>26</v>
      </c>
      <c r="GG8" s="7">
        <v>37</v>
      </c>
      <c r="GH8" s="7">
        <v>42</v>
      </c>
      <c r="GI8" s="7">
        <v>61</v>
      </c>
      <c r="GJ8" s="7">
        <v>82</v>
      </c>
      <c r="GK8" s="7">
        <v>85</v>
      </c>
      <c r="GL8" s="7">
        <v>58</v>
      </c>
      <c r="GM8" s="7">
        <v>56</v>
      </c>
      <c r="GN8" s="7">
        <v>30</v>
      </c>
      <c r="GO8" s="7">
        <v>61</v>
      </c>
      <c r="GP8" s="7">
        <v>42</v>
      </c>
      <c r="GQ8" s="7">
        <v>23</v>
      </c>
      <c r="GR8" s="7">
        <v>29</v>
      </c>
      <c r="GS8" s="7">
        <v>32</v>
      </c>
      <c r="GT8" s="7">
        <v>43</v>
      </c>
      <c r="GU8" s="7">
        <v>1</v>
      </c>
      <c r="GV8" s="7">
        <v>4</v>
      </c>
      <c r="GW8" s="7">
        <v>24</v>
      </c>
      <c r="GY8" s="7">
        <v>13</v>
      </c>
      <c r="GZ8" s="7">
        <v>60</v>
      </c>
      <c r="HA8" s="7">
        <v>76</v>
      </c>
      <c r="HB8" s="7">
        <v>11</v>
      </c>
      <c r="HC8" s="7">
        <v>128</v>
      </c>
      <c r="HD8" s="7">
        <v>15</v>
      </c>
      <c r="HE8" s="7">
        <v>25</v>
      </c>
      <c r="HF8" s="7">
        <v>34</v>
      </c>
      <c r="HG8" s="7">
        <v>102</v>
      </c>
      <c r="HH8" s="7">
        <v>82</v>
      </c>
      <c r="HI8" s="7">
        <v>90</v>
      </c>
      <c r="HJ8" s="7">
        <v>14</v>
      </c>
      <c r="HK8" s="7">
        <v>74</v>
      </c>
      <c r="HL8" s="7">
        <v>44</v>
      </c>
      <c r="HM8" s="7">
        <v>153</v>
      </c>
      <c r="HO8" s="7">
        <v>51</v>
      </c>
      <c r="HP8" s="7">
        <v>68</v>
      </c>
      <c r="HQ8" s="7">
        <v>41</v>
      </c>
      <c r="HR8" s="7">
        <v>18</v>
      </c>
      <c r="HS8" s="7">
        <v>17</v>
      </c>
      <c r="HT8" s="7">
        <v>4</v>
      </c>
      <c r="HU8" s="7">
        <v>16</v>
      </c>
      <c r="HV8" s="7">
        <v>2</v>
      </c>
      <c r="HW8" s="7">
        <v>13</v>
      </c>
      <c r="HY8" s="6" t="s">
        <v>6</v>
      </c>
      <c r="HZ8" s="1">
        <f t="shared" si="0"/>
        <v>6230</v>
      </c>
      <c r="IA8" s="24">
        <f>(HZ8/HZ46)*100</f>
        <v>29.23098578332473</v>
      </c>
    </row>
    <row r="9" spans="1:235" x14ac:dyDescent="0.2">
      <c r="A9" s="2" t="s">
        <v>40</v>
      </c>
      <c r="B9" s="19">
        <v>2</v>
      </c>
      <c r="C9" s="12">
        <v>1</v>
      </c>
      <c r="D9" s="12">
        <v>3</v>
      </c>
      <c r="F9" s="12">
        <v>2</v>
      </c>
      <c r="G9" s="12">
        <v>2</v>
      </c>
      <c r="H9" s="12">
        <v>12</v>
      </c>
      <c r="I9" s="12">
        <v>2</v>
      </c>
      <c r="L9" s="12">
        <v>20</v>
      </c>
      <c r="M9" s="12">
        <v>2</v>
      </c>
      <c r="O9" s="12">
        <v>3</v>
      </c>
      <c r="P9" s="12">
        <v>1</v>
      </c>
      <c r="R9" s="12">
        <v>2</v>
      </c>
      <c r="T9" s="12">
        <v>2</v>
      </c>
      <c r="V9" s="12">
        <v>1</v>
      </c>
      <c r="Z9" s="12">
        <v>1</v>
      </c>
      <c r="AE9" s="12">
        <v>1</v>
      </c>
      <c r="AI9" s="12">
        <v>1</v>
      </c>
      <c r="AJ9" s="12">
        <v>1</v>
      </c>
      <c r="AM9" s="12">
        <v>1</v>
      </c>
      <c r="AU9" s="12">
        <v>5</v>
      </c>
      <c r="AW9" s="12">
        <v>1</v>
      </c>
      <c r="AX9" s="12">
        <v>1</v>
      </c>
      <c r="AY9" s="12">
        <v>3</v>
      </c>
      <c r="BB9" s="12">
        <v>1</v>
      </c>
      <c r="BH9" s="12">
        <v>1</v>
      </c>
      <c r="BU9" s="12">
        <v>1</v>
      </c>
      <c r="BV9" s="12">
        <v>2</v>
      </c>
      <c r="BW9" s="12">
        <v>10</v>
      </c>
      <c r="CA9" s="12">
        <v>1</v>
      </c>
      <c r="CJ9" s="12">
        <v>1</v>
      </c>
      <c r="CL9" s="12">
        <v>2</v>
      </c>
      <c r="CN9" s="12">
        <v>1</v>
      </c>
      <c r="CO9" s="12">
        <v>1</v>
      </c>
      <c r="CP9" s="12">
        <v>2</v>
      </c>
      <c r="CR9" s="12">
        <v>1</v>
      </c>
      <c r="CW9" s="12">
        <v>1</v>
      </c>
      <c r="DB9" s="12">
        <v>2</v>
      </c>
      <c r="DJ9" s="12">
        <v>1</v>
      </c>
      <c r="DM9" s="12">
        <v>3</v>
      </c>
      <c r="DO9" s="12">
        <v>1</v>
      </c>
      <c r="DR9" s="12">
        <v>1</v>
      </c>
      <c r="DV9" s="12">
        <v>1</v>
      </c>
      <c r="EC9" s="12">
        <v>1</v>
      </c>
      <c r="ED9" s="12">
        <v>1</v>
      </c>
      <c r="EK9" s="12">
        <v>1</v>
      </c>
      <c r="EP9" s="12">
        <v>1</v>
      </c>
      <c r="ET9" s="19">
        <v>1</v>
      </c>
      <c r="EW9" s="19">
        <v>1</v>
      </c>
      <c r="EY9" s="19">
        <v>1</v>
      </c>
      <c r="EZ9" s="1">
        <v>1</v>
      </c>
      <c r="FC9" s="1">
        <v>1</v>
      </c>
      <c r="FD9" s="1">
        <v>2</v>
      </c>
      <c r="FF9" s="1">
        <v>4</v>
      </c>
      <c r="FG9" s="1">
        <v>1</v>
      </c>
      <c r="FI9" s="1">
        <v>1</v>
      </c>
      <c r="FJ9" s="1">
        <v>2</v>
      </c>
      <c r="FL9" s="1">
        <v>1</v>
      </c>
      <c r="FM9" s="1">
        <v>1</v>
      </c>
      <c r="FQ9" s="1">
        <v>5</v>
      </c>
      <c r="FS9" s="1">
        <v>1</v>
      </c>
      <c r="FX9" s="1">
        <v>1</v>
      </c>
      <c r="FZ9" s="1">
        <v>1</v>
      </c>
      <c r="GD9" s="1">
        <v>1</v>
      </c>
      <c r="GE9" s="1">
        <v>1</v>
      </c>
      <c r="GF9" s="1">
        <v>1</v>
      </c>
      <c r="GG9" s="1">
        <v>1</v>
      </c>
      <c r="GH9" s="1">
        <v>3</v>
      </c>
      <c r="GJ9" s="1">
        <v>1</v>
      </c>
      <c r="GQ9" s="1">
        <v>3</v>
      </c>
      <c r="GT9" s="1">
        <v>2</v>
      </c>
      <c r="GU9" s="1">
        <v>1</v>
      </c>
      <c r="GX9" s="1">
        <v>1</v>
      </c>
      <c r="HC9" s="1">
        <v>1</v>
      </c>
      <c r="HI9" s="1">
        <v>2</v>
      </c>
      <c r="HK9" s="1">
        <v>1</v>
      </c>
      <c r="HM9" s="1">
        <v>1</v>
      </c>
      <c r="HP9" s="1">
        <v>1</v>
      </c>
      <c r="HQ9" s="1">
        <v>2</v>
      </c>
      <c r="HR9" s="1">
        <v>3</v>
      </c>
      <c r="HS9" s="1">
        <v>1</v>
      </c>
      <c r="HW9" s="1">
        <v>1</v>
      </c>
      <c r="HY9" s="2" t="s">
        <v>40</v>
      </c>
      <c r="HZ9" s="1">
        <f t="shared" si="0"/>
        <v>161</v>
      </c>
      <c r="IA9" s="24">
        <f>(HZ9/HZ46)*100</f>
        <v>0.75540749777131322</v>
      </c>
    </row>
    <row r="10" spans="1:235" s="7" customFormat="1" x14ac:dyDescent="0.2">
      <c r="A10" s="6" t="s">
        <v>7</v>
      </c>
      <c r="B10" s="20"/>
      <c r="C10" s="13"/>
      <c r="D10" s="13">
        <v>4</v>
      </c>
      <c r="E10" s="13">
        <v>2</v>
      </c>
      <c r="F10" s="13"/>
      <c r="G10" s="13">
        <v>11</v>
      </c>
      <c r="H10" s="13">
        <v>45</v>
      </c>
      <c r="I10" s="13">
        <v>7</v>
      </c>
      <c r="J10" s="13">
        <v>4</v>
      </c>
      <c r="K10" s="13">
        <v>1</v>
      </c>
      <c r="L10" s="13">
        <v>10</v>
      </c>
      <c r="M10" s="13">
        <v>3</v>
      </c>
      <c r="N10" s="13"/>
      <c r="O10" s="13">
        <v>5</v>
      </c>
      <c r="P10" s="13">
        <v>10</v>
      </c>
      <c r="Q10" s="13">
        <v>2</v>
      </c>
      <c r="R10" s="13">
        <v>1</v>
      </c>
      <c r="S10" s="13">
        <v>11</v>
      </c>
      <c r="T10" s="13">
        <v>21</v>
      </c>
      <c r="U10" s="13">
        <v>25</v>
      </c>
      <c r="V10" s="13">
        <v>8</v>
      </c>
      <c r="W10" s="13">
        <v>8</v>
      </c>
      <c r="X10" s="13">
        <v>10</v>
      </c>
      <c r="Y10" s="13">
        <v>9</v>
      </c>
      <c r="Z10" s="13">
        <v>1</v>
      </c>
      <c r="AA10" s="13">
        <v>16</v>
      </c>
      <c r="AB10" s="13">
        <v>4</v>
      </c>
      <c r="AC10" s="13">
        <v>12</v>
      </c>
      <c r="AD10" s="13">
        <v>1</v>
      </c>
      <c r="AE10" s="13"/>
      <c r="AF10" s="16" t="s">
        <v>43</v>
      </c>
      <c r="AG10" s="13"/>
      <c r="AH10" s="13">
        <v>1</v>
      </c>
      <c r="AI10" s="13"/>
      <c r="AJ10" s="13"/>
      <c r="AK10" s="13">
        <v>2</v>
      </c>
      <c r="AL10" s="13">
        <v>2</v>
      </c>
      <c r="AM10" s="13"/>
      <c r="AN10" s="13">
        <v>1</v>
      </c>
      <c r="AO10" s="13"/>
      <c r="AP10" s="13"/>
      <c r="AQ10" s="13"/>
      <c r="AR10" s="13"/>
      <c r="AS10" s="13"/>
      <c r="AT10" s="13"/>
      <c r="AU10" s="13"/>
      <c r="AV10" s="13"/>
      <c r="AW10" s="16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>
        <v>10</v>
      </c>
      <c r="BJ10" s="16">
        <v>50</v>
      </c>
      <c r="BK10" s="13">
        <v>12</v>
      </c>
      <c r="BL10" s="13">
        <v>3</v>
      </c>
      <c r="BM10" s="13">
        <v>3</v>
      </c>
      <c r="BN10" s="13">
        <v>3</v>
      </c>
      <c r="BO10" s="13">
        <v>2</v>
      </c>
      <c r="BP10" s="13"/>
      <c r="BQ10" s="13">
        <v>4</v>
      </c>
      <c r="BR10" s="13">
        <v>23</v>
      </c>
      <c r="BS10" s="13">
        <v>17</v>
      </c>
      <c r="BT10" s="13">
        <v>11</v>
      </c>
      <c r="BU10" s="13">
        <v>14</v>
      </c>
      <c r="BV10" s="13">
        <v>4</v>
      </c>
      <c r="BW10" s="13">
        <v>12</v>
      </c>
      <c r="BX10" s="13">
        <v>3</v>
      </c>
      <c r="BY10" s="13"/>
      <c r="BZ10" s="13">
        <v>2</v>
      </c>
      <c r="CA10" s="13"/>
      <c r="CB10" s="13">
        <v>5</v>
      </c>
      <c r="CC10" s="13"/>
      <c r="CD10" s="13">
        <v>1</v>
      </c>
      <c r="CE10" s="13">
        <v>5</v>
      </c>
      <c r="CF10" s="13">
        <v>6</v>
      </c>
      <c r="CG10" s="13"/>
      <c r="CH10" s="13">
        <v>15</v>
      </c>
      <c r="CI10" s="13">
        <v>7</v>
      </c>
      <c r="CJ10" s="13">
        <v>14</v>
      </c>
      <c r="CK10" s="13">
        <v>3</v>
      </c>
      <c r="CL10" s="13">
        <v>12</v>
      </c>
      <c r="CM10" s="13">
        <v>24</v>
      </c>
      <c r="CN10" s="13">
        <v>1</v>
      </c>
      <c r="CO10" s="13">
        <v>9</v>
      </c>
      <c r="CP10" s="13">
        <v>13</v>
      </c>
      <c r="CQ10" s="13">
        <v>10</v>
      </c>
      <c r="CR10" s="13">
        <v>7</v>
      </c>
      <c r="CS10" s="13">
        <v>4</v>
      </c>
      <c r="CT10" s="13"/>
      <c r="CU10" s="13">
        <v>4</v>
      </c>
      <c r="CV10" s="13">
        <v>13</v>
      </c>
      <c r="CW10" s="13">
        <v>18</v>
      </c>
      <c r="CX10" s="13">
        <v>7</v>
      </c>
      <c r="CY10" s="13">
        <v>8</v>
      </c>
      <c r="CZ10" s="13">
        <v>1</v>
      </c>
      <c r="DA10" s="13">
        <v>15</v>
      </c>
      <c r="DB10" s="13">
        <v>12</v>
      </c>
      <c r="DC10" s="13">
        <v>4</v>
      </c>
      <c r="DD10" s="13">
        <v>2</v>
      </c>
      <c r="DE10" s="13">
        <v>22</v>
      </c>
      <c r="DF10" s="13">
        <v>4</v>
      </c>
      <c r="DG10" s="13">
        <v>3</v>
      </c>
      <c r="DH10" s="13"/>
      <c r="DI10" s="13">
        <v>2</v>
      </c>
      <c r="DJ10" s="13">
        <v>3</v>
      </c>
      <c r="DK10" s="13">
        <v>2</v>
      </c>
      <c r="DL10" s="13">
        <v>4</v>
      </c>
      <c r="DM10" s="13">
        <v>10</v>
      </c>
      <c r="DN10" s="13">
        <v>5</v>
      </c>
      <c r="DO10" s="13">
        <v>9</v>
      </c>
      <c r="DP10" s="13">
        <v>6</v>
      </c>
      <c r="DQ10" s="13">
        <v>7</v>
      </c>
      <c r="DR10" s="13">
        <v>20</v>
      </c>
      <c r="DS10" s="13">
        <v>37</v>
      </c>
      <c r="DT10" s="13">
        <v>10</v>
      </c>
      <c r="DU10" s="13">
        <v>3</v>
      </c>
      <c r="DV10" s="13">
        <v>5</v>
      </c>
      <c r="DW10" s="13">
        <v>4</v>
      </c>
      <c r="DX10" s="13">
        <v>5</v>
      </c>
      <c r="DY10" s="13">
        <v>11</v>
      </c>
      <c r="DZ10" s="13">
        <v>11</v>
      </c>
      <c r="EA10" s="13">
        <v>10</v>
      </c>
      <c r="EB10" s="13">
        <v>11</v>
      </c>
      <c r="EC10" s="13">
        <v>5</v>
      </c>
      <c r="ED10" s="13">
        <v>18</v>
      </c>
      <c r="EE10" s="13">
        <v>1</v>
      </c>
      <c r="EF10" s="13">
        <v>9</v>
      </c>
      <c r="EG10" s="13">
        <v>6</v>
      </c>
      <c r="EH10" s="13">
        <v>19</v>
      </c>
      <c r="EI10" s="13">
        <v>9</v>
      </c>
      <c r="EJ10" s="13">
        <v>3</v>
      </c>
      <c r="EK10" s="13">
        <v>1</v>
      </c>
      <c r="EL10" s="13">
        <v>4</v>
      </c>
      <c r="EM10" s="13">
        <v>4</v>
      </c>
      <c r="EN10" s="13">
        <v>2</v>
      </c>
      <c r="EO10" s="13">
        <v>17</v>
      </c>
      <c r="EP10" s="13">
        <v>7</v>
      </c>
      <c r="EQ10" s="13"/>
      <c r="ER10" s="20">
        <v>3</v>
      </c>
      <c r="ES10" s="20"/>
      <c r="ET10" s="20">
        <v>1</v>
      </c>
      <c r="EU10" s="20"/>
      <c r="EV10" s="20"/>
      <c r="EW10" s="20">
        <v>2</v>
      </c>
      <c r="EX10" s="20">
        <v>4</v>
      </c>
      <c r="EY10" s="20">
        <v>1</v>
      </c>
      <c r="EZ10" s="7">
        <v>5</v>
      </c>
      <c r="FA10" s="7">
        <v>14</v>
      </c>
      <c r="FB10" s="7">
        <v>2</v>
      </c>
      <c r="FD10" s="7">
        <v>15</v>
      </c>
      <c r="FE10" s="7">
        <v>5</v>
      </c>
      <c r="FG10" s="7">
        <v>4</v>
      </c>
      <c r="FH10" s="7">
        <v>1</v>
      </c>
      <c r="FI10" s="7">
        <v>7</v>
      </c>
      <c r="FJ10" s="7">
        <v>7</v>
      </c>
      <c r="FK10" s="7">
        <v>9</v>
      </c>
      <c r="FM10" s="7">
        <v>3</v>
      </c>
      <c r="FN10" s="7">
        <v>1</v>
      </c>
      <c r="FO10" s="7">
        <v>2</v>
      </c>
      <c r="FP10" s="7">
        <v>16</v>
      </c>
      <c r="FQ10" s="7">
        <v>25</v>
      </c>
      <c r="FR10" s="7">
        <v>5</v>
      </c>
      <c r="FS10" s="7">
        <v>9</v>
      </c>
      <c r="FT10" s="7">
        <v>5</v>
      </c>
      <c r="FU10" s="7">
        <v>6</v>
      </c>
      <c r="FV10" s="7">
        <v>4</v>
      </c>
      <c r="FX10" s="7">
        <v>8</v>
      </c>
      <c r="FY10" s="7">
        <v>6</v>
      </c>
      <c r="FZ10" s="7">
        <v>1</v>
      </c>
      <c r="GD10" s="7">
        <v>3</v>
      </c>
      <c r="GE10" s="7">
        <v>5</v>
      </c>
      <c r="GF10" s="7">
        <v>4</v>
      </c>
      <c r="GG10" s="7">
        <v>1</v>
      </c>
      <c r="GH10" s="7">
        <v>3</v>
      </c>
      <c r="GI10" s="7">
        <v>5</v>
      </c>
      <c r="GJ10" s="7">
        <v>1</v>
      </c>
      <c r="GK10" s="7">
        <v>1</v>
      </c>
      <c r="GL10" s="7">
        <v>5</v>
      </c>
      <c r="GM10" s="7">
        <v>18</v>
      </c>
      <c r="GN10" s="7">
        <v>3</v>
      </c>
      <c r="GO10" s="7">
        <v>3</v>
      </c>
      <c r="GP10" s="7">
        <v>1</v>
      </c>
      <c r="GQ10" s="7">
        <v>1</v>
      </c>
      <c r="GR10" s="7">
        <v>16</v>
      </c>
      <c r="GS10" s="7">
        <v>4</v>
      </c>
      <c r="GT10" s="7">
        <v>2</v>
      </c>
      <c r="GU10" s="7">
        <v>15</v>
      </c>
      <c r="GV10" s="7">
        <v>12</v>
      </c>
      <c r="GW10" s="7">
        <v>8</v>
      </c>
      <c r="GX10" s="7">
        <v>9</v>
      </c>
      <c r="GY10" s="7">
        <v>12</v>
      </c>
      <c r="GZ10" s="7">
        <v>11</v>
      </c>
      <c r="HA10" s="7">
        <v>15</v>
      </c>
      <c r="HB10" s="7">
        <v>4</v>
      </c>
      <c r="HC10" s="7">
        <v>15</v>
      </c>
      <c r="HD10" s="7">
        <v>1</v>
      </c>
      <c r="HE10" s="7">
        <v>13</v>
      </c>
      <c r="HF10" s="7">
        <v>13</v>
      </c>
      <c r="HG10" s="7">
        <v>6</v>
      </c>
      <c r="HH10" s="7">
        <v>7</v>
      </c>
      <c r="HI10" s="7">
        <v>29</v>
      </c>
      <c r="HJ10" s="7">
        <v>5</v>
      </c>
      <c r="HK10" s="7">
        <v>11</v>
      </c>
      <c r="HL10" s="7">
        <v>15</v>
      </c>
      <c r="HM10" s="7">
        <v>27</v>
      </c>
      <c r="HO10" s="7">
        <v>4</v>
      </c>
      <c r="HP10" s="7">
        <v>8</v>
      </c>
      <c r="HQ10" s="7">
        <v>5</v>
      </c>
      <c r="HR10" s="7">
        <v>4</v>
      </c>
      <c r="HT10" s="7">
        <v>1</v>
      </c>
      <c r="HV10" s="7">
        <v>4</v>
      </c>
      <c r="HW10" s="7">
        <v>2</v>
      </c>
      <c r="HY10" s="6" t="s">
        <v>7</v>
      </c>
      <c r="HZ10" s="1">
        <f t="shared" si="0"/>
        <v>1442</v>
      </c>
      <c r="IA10" s="24">
        <f>(HZ10/HZ46)*100</f>
        <v>6.7658236756908936</v>
      </c>
    </row>
    <row r="11" spans="1:235" x14ac:dyDescent="0.2">
      <c r="A11" s="2" t="s">
        <v>8</v>
      </c>
      <c r="AE11" s="12">
        <v>15</v>
      </c>
      <c r="AF11" s="12">
        <v>30</v>
      </c>
      <c r="AG11" s="12">
        <v>10</v>
      </c>
      <c r="AH11" s="12">
        <v>4</v>
      </c>
      <c r="AI11" s="12">
        <v>20</v>
      </c>
      <c r="AJ11" s="12">
        <v>9</v>
      </c>
      <c r="AK11" s="12">
        <v>8</v>
      </c>
      <c r="AL11" s="12">
        <v>72</v>
      </c>
      <c r="AM11" s="12">
        <v>16</v>
      </c>
      <c r="AN11" s="12">
        <v>32</v>
      </c>
      <c r="AO11" s="12">
        <v>5</v>
      </c>
      <c r="AP11" s="12">
        <v>23</v>
      </c>
      <c r="AQ11" s="12">
        <v>12</v>
      </c>
      <c r="AR11" s="12">
        <v>30</v>
      </c>
      <c r="AS11" s="12">
        <v>27</v>
      </c>
      <c r="AT11" s="12">
        <v>12</v>
      </c>
      <c r="AU11" s="15">
        <v>50</v>
      </c>
      <c r="AV11" s="12">
        <v>11</v>
      </c>
      <c r="AW11" s="15">
        <v>50</v>
      </c>
      <c r="AX11" s="12">
        <v>7</v>
      </c>
      <c r="AY11" s="12">
        <v>7</v>
      </c>
      <c r="AZ11" s="12">
        <v>7</v>
      </c>
      <c r="BA11" s="12">
        <v>5</v>
      </c>
      <c r="BB11" s="12">
        <v>22</v>
      </c>
      <c r="BC11" s="12">
        <v>5</v>
      </c>
      <c r="BD11" s="12">
        <v>9</v>
      </c>
      <c r="BE11" s="12">
        <v>13</v>
      </c>
      <c r="BF11" s="12">
        <v>25</v>
      </c>
      <c r="BG11" s="12">
        <v>6</v>
      </c>
      <c r="BH11" s="12">
        <v>13</v>
      </c>
      <c r="BI11" s="12">
        <v>9</v>
      </c>
      <c r="BJ11" s="15">
        <v>50</v>
      </c>
      <c r="BK11" s="12">
        <v>6</v>
      </c>
      <c r="BL11" s="12">
        <v>7</v>
      </c>
      <c r="BM11" s="12">
        <v>10</v>
      </c>
      <c r="BN11" s="12">
        <v>7</v>
      </c>
      <c r="BO11" s="12">
        <v>2</v>
      </c>
      <c r="BP11" s="12">
        <v>6</v>
      </c>
      <c r="BQ11" s="12">
        <v>2</v>
      </c>
      <c r="BR11" s="12">
        <v>20</v>
      </c>
      <c r="BS11" s="12">
        <v>28</v>
      </c>
      <c r="BT11" s="12">
        <v>18</v>
      </c>
      <c r="BU11" s="12">
        <v>9</v>
      </c>
      <c r="BV11" s="12">
        <v>3</v>
      </c>
      <c r="BW11" s="12">
        <v>1</v>
      </c>
      <c r="BX11" s="12">
        <v>5</v>
      </c>
      <c r="BY11" s="12">
        <v>5</v>
      </c>
      <c r="BZ11" s="12">
        <v>10</v>
      </c>
      <c r="CA11" s="12">
        <v>6</v>
      </c>
      <c r="CB11" s="12">
        <v>9</v>
      </c>
      <c r="CC11" s="12">
        <v>7</v>
      </c>
      <c r="CD11" s="12">
        <v>2</v>
      </c>
      <c r="CE11" s="12">
        <v>9</v>
      </c>
      <c r="CF11" s="12">
        <v>8</v>
      </c>
      <c r="CG11" s="12">
        <v>2</v>
      </c>
      <c r="CH11" s="12">
        <v>8</v>
      </c>
      <c r="CI11" s="12">
        <v>3</v>
      </c>
      <c r="CJ11" s="12">
        <v>19</v>
      </c>
      <c r="CL11" s="12">
        <v>17</v>
      </c>
      <c r="CM11" s="12">
        <v>10</v>
      </c>
      <c r="CN11" s="12">
        <v>3</v>
      </c>
      <c r="CO11" s="12">
        <v>2</v>
      </c>
      <c r="CP11" s="12">
        <v>8</v>
      </c>
      <c r="CQ11" s="12">
        <v>2</v>
      </c>
      <c r="CR11" s="12">
        <v>5</v>
      </c>
      <c r="CS11" s="12">
        <v>6</v>
      </c>
      <c r="CU11" s="12">
        <v>6</v>
      </c>
      <c r="CV11" s="12">
        <v>9</v>
      </c>
      <c r="CW11" s="12">
        <v>8</v>
      </c>
      <c r="CX11" s="12">
        <v>9</v>
      </c>
      <c r="CY11" s="12">
        <v>4</v>
      </c>
      <c r="CZ11" s="12">
        <v>1</v>
      </c>
      <c r="DA11" s="12">
        <v>11</v>
      </c>
      <c r="DB11" s="12">
        <v>7</v>
      </c>
      <c r="DE11" s="12">
        <v>5</v>
      </c>
      <c r="DF11" s="12">
        <v>4</v>
      </c>
      <c r="DH11" s="12">
        <v>1</v>
      </c>
      <c r="DJ11" s="12">
        <v>2</v>
      </c>
      <c r="DK11" s="12">
        <v>2</v>
      </c>
      <c r="DL11" s="12">
        <v>1</v>
      </c>
      <c r="DM11" s="12">
        <v>10</v>
      </c>
      <c r="DN11" s="12">
        <v>3</v>
      </c>
      <c r="DO11" s="12">
        <v>1</v>
      </c>
      <c r="DP11" s="12">
        <v>2</v>
      </c>
      <c r="DQ11" s="12">
        <v>5</v>
      </c>
      <c r="DR11" s="12">
        <v>1</v>
      </c>
      <c r="DS11" s="12">
        <v>13</v>
      </c>
      <c r="DT11" s="12">
        <v>11</v>
      </c>
      <c r="DU11" s="12">
        <v>2</v>
      </c>
      <c r="DV11" s="12">
        <v>4</v>
      </c>
      <c r="DW11" s="12">
        <v>2</v>
      </c>
      <c r="DX11" s="12">
        <v>4</v>
      </c>
      <c r="DY11" s="12">
        <v>3</v>
      </c>
      <c r="DZ11" s="12">
        <v>7</v>
      </c>
      <c r="EA11" s="12">
        <v>1</v>
      </c>
      <c r="EB11" s="12">
        <v>1</v>
      </c>
      <c r="EC11" s="12">
        <v>4</v>
      </c>
      <c r="ED11" s="12">
        <v>9</v>
      </c>
      <c r="EE11" s="12">
        <v>3</v>
      </c>
      <c r="EF11" s="12">
        <v>12</v>
      </c>
      <c r="EG11" s="12">
        <v>2</v>
      </c>
      <c r="EH11" s="12">
        <v>4</v>
      </c>
      <c r="EI11" s="12">
        <v>2</v>
      </c>
      <c r="EJ11" s="12">
        <v>4</v>
      </c>
      <c r="EK11" s="12">
        <v>4</v>
      </c>
      <c r="EL11" s="12">
        <v>3</v>
      </c>
      <c r="EM11" s="12">
        <v>7</v>
      </c>
      <c r="EN11" s="12">
        <v>2</v>
      </c>
      <c r="EO11" s="12">
        <v>11</v>
      </c>
      <c r="EP11" s="12">
        <v>3</v>
      </c>
      <c r="EQ11" s="12">
        <v>2</v>
      </c>
      <c r="ER11" s="19">
        <v>2</v>
      </c>
      <c r="ES11" s="19">
        <v>2</v>
      </c>
      <c r="ET11" s="19">
        <v>5</v>
      </c>
      <c r="EU11" s="19">
        <v>1</v>
      </c>
      <c r="EW11" s="19">
        <v>1</v>
      </c>
      <c r="EX11" s="19">
        <v>10</v>
      </c>
      <c r="EY11" s="19">
        <v>26</v>
      </c>
      <c r="EZ11" s="1">
        <v>10</v>
      </c>
      <c r="FA11" s="1">
        <v>16</v>
      </c>
      <c r="FB11" s="1">
        <v>4</v>
      </c>
      <c r="FC11" s="1">
        <v>2</v>
      </c>
      <c r="FD11" s="1">
        <v>19</v>
      </c>
      <c r="FE11" s="1">
        <v>5</v>
      </c>
      <c r="FF11" s="1">
        <v>5</v>
      </c>
      <c r="FG11" s="1">
        <v>14</v>
      </c>
      <c r="FH11" s="1">
        <v>8</v>
      </c>
      <c r="FI11" s="1">
        <v>16</v>
      </c>
      <c r="FJ11" s="1">
        <v>5</v>
      </c>
      <c r="FK11" s="1">
        <v>10</v>
      </c>
      <c r="FL11" s="1">
        <v>2</v>
      </c>
      <c r="FM11" s="1">
        <v>10</v>
      </c>
      <c r="FN11" s="1">
        <v>6</v>
      </c>
      <c r="FO11" s="1">
        <v>7</v>
      </c>
      <c r="FP11" s="1">
        <v>26</v>
      </c>
      <c r="FQ11" s="1">
        <v>37</v>
      </c>
      <c r="FR11" s="1">
        <v>7</v>
      </c>
      <c r="FS11" s="1">
        <v>8</v>
      </c>
      <c r="FT11" s="1">
        <v>13</v>
      </c>
      <c r="FU11" s="1">
        <v>16</v>
      </c>
      <c r="FV11" s="1">
        <v>7</v>
      </c>
      <c r="FW11" s="1">
        <v>3</v>
      </c>
      <c r="FX11" s="1">
        <v>37</v>
      </c>
      <c r="FY11" s="1">
        <v>17</v>
      </c>
      <c r="FZ11" s="1">
        <v>37</v>
      </c>
      <c r="GA11" s="1">
        <v>5</v>
      </c>
      <c r="GB11" s="1">
        <v>5</v>
      </c>
      <c r="GC11" s="1">
        <v>3</v>
      </c>
      <c r="GD11" s="1">
        <v>8</v>
      </c>
      <c r="GE11" s="1">
        <v>19</v>
      </c>
      <c r="GF11" s="1">
        <v>15</v>
      </c>
      <c r="GG11" s="1">
        <v>9</v>
      </c>
      <c r="GH11" s="1">
        <v>14</v>
      </c>
      <c r="GI11" s="1">
        <v>14</v>
      </c>
      <c r="GJ11" s="1">
        <v>15</v>
      </c>
      <c r="GK11" s="1">
        <v>14</v>
      </c>
      <c r="GL11" s="1">
        <v>26</v>
      </c>
      <c r="GM11" s="1">
        <v>19</v>
      </c>
      <c r="GN11" s="1">
        <v>5</v>
      </c>
      <c r="GO11" s="1">
        <v>10</v>
      </c>
      <c r="GP11" s="1">
        <v>3</v>
      </c>
      <c r="GQ11" s="1">
        <v>7</v>
      </c>
      <c r="GR11" s="1">
        <v>10</v>
      </c>
      <c r="GS11" s="1">
        <v>6</v>
      </c>
      <c r="GT11" s="1">
        <v>5</v>
      </c>
      <c r="GY11" s="1">
        <v>1</v>
      </c>
      <c r="GZ11" s="1">
        <v>4</v>
      </c>
      <c r="HA11" s="1">
        <v>6</v>
      </c>
      <c r="HB11" s="1">
        <v>3</v>
      </c>
      <c r="HC11" s="1">
        <v>18</v>
      </c>
      <c r="HD11" s="1">
        <v>2</v>
      </c>
      <c r="HE11" s="1">
        <v>4</v>
      </c>
      <c r="HF11" s="1">
        <v>6</v>
      </c>
      <c r="HG11" s="1">
        <v>7</v>
      </c>
      <c r="HH11" s="1">
        <v>4</v>
      </c>
      <c r="HI11" s="1">
        <v>16</v>
      </c>
      <c r="HJ11" s="1">
        <v>3</v>
      </c>
      <c r="HK11" s="1">
        <v>6</v>
      </c>
      <c r="HL11" s="1">
        <v>5</v>
      </c>
      <c r="HM11" s="1">
        <v>13</v>
      </c>
      <c r="HO11" s="1">
        <v>4</v>
      </c>
      <c r="HP11" s="1">
        <v>4</v>
      </c>
      <c r="HQ11" s="1">
        <v>5</v>
      </c>
      <c r="HR11" s="1">
        <v>1</v>
      </c>
      <c r="HS11" s="1">
        <v>4</v>
      </c>
      <c r="HT11" s="1">
        <v>1</v>
      </c>
      <c r="HU11" s="1">
        <v>12</v>
      </c>
      <c r="HV11" s="1">
        <v>6</v>
      </c>
      <c r="HW11" s="1">
        <v>16</v>
      </c>
      <c r="HY11" s="2" t="s">
        <v>8</v>
      </c>
      <c r="HZ11" s="1">
        <f t="shared" si="0"/>
        <v>1848</v>
      </c>
      <c r="IA11" s="24">
        <f>(HZ11/HZ46)*100</f>
        <v>8.67076432224464</v>
      </c>
    </row>
    <row r="12" spans="1:235" s="7" customFormat="1" x14ac:dyDescent="0.2">
      <c r="A12" s="6" t="s">
        <v>9</v>
      </c>
      <c r="B12" s="20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>
        <v>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>
        <v>1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>
        <v>1</v>
      </c>
      <c r="BK12" s="13"/>
      <c r="BL12" s="13"/>
      <c r="BM12" s="13"/>
      <c r="BN12" s="13">
        <v>1</v>
      </c>
      <c r="BO12" s="13"/>
      <c r="BP12" s="13"/>
      <c r="BQ12" s="13"/>
      <c r="BR12" s="13"/>
      <c r="BS12" s="13">
        <v>1</v>
      </c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>
        <v>1</v>
      </c>
      <c r="CF12" s="13"/>
      <c r="CG12" s="13"/>
      <c r="CH12" s="13"/>
      <c r="CI12" s="13"/>
      <c r="CJ12" s="13">
        <v>1</v>
      </c>
      <c r="CK12" s="13"/>
      <c r="CL12" s="13">
        <v>1</v>
      </c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>
        <v>1</v>
      </c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>
        <v>1</v>
      </c>
      <c r="DW12" s="13"/>
      <c r="DX12" s="13"/>
      <c r="DY12" s="13"/>
      <c r="DZ12" s="13">
        <v>1</v>
      </c>
      <c r="EA12" s="13"/>
      <c r="EB12" s="13"/>
      <c r="EC12" s="13"/>
      <c r="ED12" s="13">
        <v>1</v>
      </c>
      <c r="EE12" s="13"/>
      <c r="EF12" s="13"/>
      <c r="EG12" s="13"/>
      <c r="EH12" s="13">
        <v>2</v>
      </c>
      <c r="EI12" s="13"/>
      <c r="EJ12" s="13"/>
      <c r="EK12" s="13"/>
      <c r="EL12" s="13"/>
      <c r="EM12" s="13"/>
      <c r="EN12" s="13"/>
      <c r="EO12" s="13"/>
      <c r="EP12" s="13"/>
      <c r="EQ12" s="13"/>
      <c r="ER12" s="20"/>
      <c r="ES12" s="20"/>
      <c r="ET12" s="20"/>
      <c r="EU12" s="20"/>
      <c r="EV12" s="20"/>
      <c r="EW12" s="20"/>
      <c r="EX12" s="20"/>
      <c r="EY12" s="20"/>
      <c r="GH12" s="7">
        <v>1</v>
      </c>
      <c r="GJ12" s="7">
        <v>1</v>
      </c>
      <c r="GU12" s="7">
        <v>3</v>
      </c>
      <c r="GW12" s="7">
        <v>1</v>
      </c>
      <c r="HA12" s="7">
        <v>1</v>
      </c>
      <c r="HC12" s="7">
        <v>1</v>
      </c>
      <c r="HY12" s="6" t="s">
        <v>9</v>
      </c>
      <c r="HZ12" s="1">
        <f t="shared" si="0"/>
        <v>22</v>
      </c>
      <c r="IA12" s="24">
        <f>(HZ12/HZ46)*100</f>
        <v>0.10322338478862667</v>
      </c>
    </row>
    <row r="13" spans="1:235" x14ac:dyDescent="0.2">
      <c r="A13" s="2" t="s">
        <v>10</v>
      </c>
      <c r="H13" s="12">
        <v>6</v>
      </c>
      <c r="I13" s="12">
        <v>6</v>
      </c>
      <c r="J13" s="12">
        <v>1</v>
      </c>
      <c r="K13" s="12">
        <v>1</v>
      </c>
      <c r="M13" s="12">
        <v>2</v>
      </c>
      <c r="O13" s="12">
        <v>3</v>
      </c>
      <c r="P13" s="12">
        <v>2</v>
      </c>
      <c r="Q13" s="12">
        <v>3</v>
      </c>
      <c r="R13" s="12">
        <v>6</v>
      </c>
      <c r="S13" s="12">
        <v>8</v>
      </c>
      <c r="T13" s="12">
        <v>2</v>
      </c>
      <c r="U13" s="12">
        <v>4</v>
      </c>
      <c r="V13" s="12">
        <v>3</v>
      </c>
      <c r="W13" s="12">
        <v>3</v>
      </c>
      <c r="Y13" s="12">
        <v>1</v>
      </c>
      <c r="Z13" s="12">
        <v>3</v>
      </c>
      <c r="AA13" s="12">
        <v>5</v>
      </c>
      <c r="AC13" s="12">
        <v>4</v>
      </c>
      <c r="AE13" s="12">
        <v>1</v>
      </c>
      <c r="AF13" s="12">
        <v>1</v>
      </c>
      <c r="AL13" s="12">
        <v>1</v>
      </c>
      <c r="AM13" s="12">
        <v>1</v>
      </c>
      <c r="AP13" s="12">
        <v>1</v>
      </c>
      <c r="AT13" s="12">
        <v>1</v>
      </c>
      <c r="AV13" s="12">
        <v>1</v>
      </c>
      <c r="AX13" s="12">
        <v>1</v>
      </c>
      <c r="AY13" s="12">
        <v>1</v>
      </c>
      <c r="BC13" s="12">
        <v>1</v>
      </c>
      <c r="BF13" s="12">
        <v>1</v>
      </c>
      <c r="BH13" s="12">
        <v>1</v>
      </c>
      <c r="BJ13" s="12">
        <v>1</v>
      </c>
      <c r="BK13" s="12">
        <v>1</v>
      </c>
      <c r="BP13" s="12">
        <v>1</v>
      </c>
      <c r="BU13" s="12">
        <v>1</v>
      </c>
      <c r="BY13" s="12">
        <v>1</v>
      </c>
      <c r="CG13" s="12">
        <v>1</v>
      </c>
      <c r="CH13" s="12">
        <v>4</v>
      </c>
      <c r="CK13" s="12">
        <v>1</v>
      </c>
      <c r="CN13" s="12">
        <v>1</v>
      </c>
      <c r="CP13" s="12">
        <v>1</v>
      </c>
      <c r="CS13" s="12">
        <v>12</v>
      </c>
      <c r="CT13" s="12">
        <v>2</v>
      </c>
      <c r="CW13" s="12">
        <v>1</v>
      </c>
      <c r="CX13" s="12">
        <v>1</v>
      </c>
      <c r="DA13" s="12">
        <v>1</v>
      </c>
      <c r="DB13" s="12">
        <v>2</v>
      </c>
      <c r="DE13" s="12">
        <v>3</v>
      </c>
      <c r="DH13" s="12">
        <v>1</v>
      </c>
      <c r="DK13" s="12">
        <v>1</v>
      </c>
      <c r="DM13" s="12">
        <v>8</v>
      </c>
      <c r="DN13" s="12">
        <v>1</v>
      </c>
      <c r="DR13" s="12">
        <v>1</v>
      </c>
      <c r="DS13" s="12">
        <v>4</v>
      </c>
      <c r="DT13" s="12">
        <v>1</v>
      </c>
      <c r="DU13" s="12">
        <v>1</v>
      </c>
      <c r="DV13" s="12">
        <v>1</v>
      </c>
      <c r="DW13" s="12">
        <v>3</v>
      </c>
      <c r="DX13" s="12">
        <v>1</v>
      </c>
      <c r="DY13" s="12">
        <v>2</v>
      </c>
      <c r="DZ13" s="12">
        <v>2</v>
      </c>
      <c r="EA13" s="12">
        <v>2</v>
      </c>
      <c r="EB13" s="12">
        <v>2</v>
      </c>
      <c r="EC13" s="12">
        <v>1</v>
      </c>
      <c r="ED13" s="12">
        <v>1</v>
      </c>
      <c r="EE13" s="12">
        <v>1</v>
      </c>
      <c r="EF13" s="12">
        <v>1</v>
      </c>
      <c r="EH13" s="12">
        <v>1</v>
      </c>
      <c r="EI13" s="12">
        <v>2</v>
      </c>
      <c r="EJ13" s="12">
        <v>11</v>
      </c>
      <c r="EK13" s="12">
        <v>3</v>
      </c>
      <c r="EM13" s="12">
        <v>3</v>
      </c>
      <c r="EO13" s="12">
        <v>1</v>
      </c>
      <c r="EP13" s="12">
        <v>1</v>
      </c>
      <c r="EQ13" s="12">
        <v>1</v>
      </c>
      <c r="ER13" s="19">
        <v>2</v>
      </c>
      <c r="ET13" s="19">
        <v>1</v>
      </c>
      <c r="EU13" s="19">
        <v>1</v>
      </c>
      <c r="EV13" s="19">
        <v>3</v>
      </c>
      <c r="EW13" s="19">
        <v>1</v>
      </c>
      <c r="EY13" s="19">
        <v>3</v>
      </c>
      <c r="FA13" s="1">
        <v>1</v>
      </c>
      <c r="FD13" s="1">
        <v>1</v>
      </c>
      <c r="FF13" s="1">
        <v>1</v>
      </c>
      <c r="FG13" s="1">
        <v>2</v>
      </c>
      <c r="FH13" s="1">
        <v>1</v>
      </c>
      <c r="FK13" s="1">
        <v>1</v>
      </c>
      <c r="FM13" s="1">
        <v>1</v>
      </c>
      <c r="FO13" s="1">
        <v>1</v>
      </c>
      <c r="FQ13" s="1">
        <v>2</v>
      </c>
      <c r="FS13" s="1">
        <v>1</v>
      </c>
      <c r="FT13" s="1">
        <v>5</v>
      </c>
      <c r="FU13" s="1">
        <v>9</v>
      </c>
      <c r="FZ13" s="1">
        <v>1</v>
      </c>
      <c r="GA13" s="1">
        <v>1</v>
      </c>
      <c r="GD13" s="1">
        <v>1</v>
      </c>
      <c r="GF13" s="1">
        <v>1</v>
      </c>
      <c r="GG13" s="1">
        <v>1</v>
      </c>
      <c r="GH13" s="1">
        <v>2</v>
      </c>
      <c r="GI13" s="1">
        <v>4</v>
      </c>
      <c r="GJ13" s="1">
        <v>1</v>
      </c>
      <c r="GK13" s="1">
        <v>1</v>
      </c>
      <c r="GL13" s="1">
        <v>1</v>
      </c>
      <c r="GM13" s="1">
        <v>2</v>
      </c>
      <c r="GN13" s="1">
        <v>4</v>
      </c>
      <c r="GR13" s="1">
        <v>2</v>
      </c>
      <c r="GS13" s="1">
        <v>1</v>
      </c>
      <c r="GT13" s="1">
        <v>1</v>
      </c>
      <c r="GU13" s="1">
        <v>3</v>
      </c>
      <c r="GW13" s="1">
        <v>3</v>
      </c>
      <c r="GX13" s="1">
        <v>2</v>
      </c>
      <c r="GY13" s="1">
        <v>1</v>
      </c>
      <c r="GZ13" s="1">
        <v>1</v>
      </c>
      <c r="HA13" s="1">
        <v>10</v>
      </c>
      <c r="HB13" s="1">
        <v>2</v>
      </c>
      <c r="HC13" s="1">
        <v>6</v>
      </c>
      <c r="HD13" s="1">
        <v>1</v>
      </c>
      <c r="HE13" s="1">
        <v>1</v>
      </c>
      <c r="HF13" s="1">
        <v>1</v>
      </c>
      <c r="HG13" s="1">
        <v>2</v>
      </c>
      <c r="HI13" s="1">
        <v>2</v>
      </c>
      <c r="HJ13" s="3" t="s">
        <v>43</v>
      </c>
      <c r="HK13" s="1">
        <v>4</v>
      </c>
      <c r="HL13" s="1">
        <v>2</v>
      </c>
      <c r="HM13" s="1">
        <v>2</v>
      </c>
      <c r="HO13" s="1">
        <v>2</v>
      </c>
      <c r="HP13" s="1">
        <v>2</v>
      </c>
      <c r="HQ13" s="1">
        <v>1</v>
      </c>
      <c r="HV13" s="1">
        <v>1</v>
      </c>
      <c r="HW13" s="1">
        <v>2</v>
      </c>
      <c r="HY13" s="2" t="s">
        <v>10</v>
      </c>
      <c r="HZ13" s="1">
        <f t="shared" si="0"/>
        <v>280</v>
      </c>
      <c r="IA13" s="24">
        <f>(HZ13/HZ46)*100</f>
        <v>1.3137521700370665</v>
      </c>
    </row>
    <row r="14" spans="1:235" s="7" customFormat="1" x14ac:dyDescent="0.2">
      <c r="A14" s="6" t="s">
        <v>11</v>
      </c>
      <c r="B14" s="20"/>
      <c r="C14" s="13"/>
      <c r="D14" s="13"/>
      <c r="E14" s="13"/>
      <c r="F14" s="13"/>
      <c r="G14" s="13"/>
      <c r="H14" s="16" t="s">
        <v>43</v>
      </c>
      <c r="I14" s="16" t="s">
        <v>43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6" t="s">
        <v>43</v>
      </c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>
        <v>1</v>
      </c>
      <c r="DO14" s="13"/>
      <c r="DP14" s="13"/>
      <c r="DQ14" s="13"/>
      <c r="DR14" s="13"/>
      <c r="DS14" s="13"/>
      <c r="DT14" s="13"/>
      <c r="DU14" s="13"/>
      <c r="DV14" s="13"/>
      <c r="DW14" s="13"/>
      <c r="DX14" s="13">
        <v>1</v>
      </c>
      <c r="DY14" s="13"/>
      <c r="DZ14" s="13"/>
      <c r="EA14" s="13"/>
      <c r="EB14" s="13"/>
      <c r="EC14" s="16" t="s">
        <v>43</v>
      </c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20"/>
      <c r="ES14" s="20">
        <v>1</v>
      </c>
      <c r="ET14" s="20"/>
      <c r="EU14" s="20"/>
      <c r="EV14" s="20"/>
      <c r="EW14" s="20"/>
      <c r="EX14" s="20"/>
      <c r="EY14" s="20"/>
      <c r="FK14" s="7">
        <v>1</v>
      </c>
      <c r="FU14" s="25" t="s">
        <v>43</v>
      </c>
      <c r="FV14" s="25" t="s">
        <v>43</v>
      </c>
      <c r="GF14" s="7">
        <v>1</v>
      </c>
      <c r="GU14" s="7">
        <v>1</v>
      </c>
      <c r="HA14" s="7">
        <v>4</v>
      </c>
      <c r="HB14" s="7">
        <v>3</v>
      </c>
      <c r="HF14" s="7">
        <v>1</v>
      </c>
      <c r="HI14" s="7">
        <v>1</v>
      </c>
      <c r="HS14" s="7">
        <v>1</v>
      </c>
      <c r="HY14" s="6" t="s">
        <v>11</v>
      </c>
      <c r="HZ14" s="1">
        <f t="shared" si="0"/>
        <v>16</v>
      </c>
      <c r="IA14" s="24">
        <f>(HZ14/HZ46)*100</f>
        <v>7.5071552573546668E-2</v>
      </c>
    </row>
    <row r="15" spans="1:235" x14ac:dyDescent="0.2">
      <c r="A15" s="2" t="s">
        <v>12</v>
      </c>
      <c r="C15" s="12">
        <v>1</v>
      </c>
      <c r="F15" s="12">
        <v>1</v>
      </c>
      <c r="G15" s="12">
        <v>1</v>
      </c>
      <c r="H15" s="12">
        <v>11</v>
      </c>
      <c r="I15" s="15" t="s">
        <v>43</v>
      </c>
      <c r="K15" s="12">
        <v>1</v>
      </c>
      <c r="O15" s="12">
        <v>1</v>
      </c>
      <c r="V15" s="12">
        <v>1</v>
      </c>
      <c r="AD15" s="12">
        <v>1</v>
      </c>
      <c r="HY15" s="2" t="s">
        <v>12</v>
      </c>
      <c r="HZ15" s="1">
        <f t="shared" si="0"/>
        <v>18</v>
      </c>
      <c r="IA15" s="24">
        <f>(HZ15/HZ46)*100</f>
        <v>8.4455496645239991E-2</v>
      </c>
    </row>
    <row r="16" spans="1:235" s="7" customFormat="1" x14ac:dyDescent="0.2">
      <c r="A16" s="6" t="s">
        <v>13</v>
      </c>
      <c r="B16" s="20"/>
      <c r="C16" s="13"/>
      <c r="D16" s="13"/>
      <c r="E16" s="13"/>
      <c r="F16" s="13"/>
      <c r="G16" s="13"/>
      <c r="H16" s="13"/>
      <c r="I16" s="13"/>
      <c r="J16" s="13"/>
      <c r="K16" s="16" t="s">
        <v>43</v>
      </c>
      <c r="L16" s="13"/>
      <c r="M16" s="13"/>
      <c r="N16" s="13"/>
      <c r="O16" s="13"/>
      <c r="P16" s="13"/>
      <c r="Q16" s="16" t="s">
        <v>43</v>
      </c>
      <c r="R16" s="13"/>
      <c r="S16" s="13">
        <v>1</v>
      </c>
      <c r="T16" s="13"/>
      <c r="U16" s="13"/>
      <c r="V16" s="13"/>
      <c r="W16" s="13">
        <v>1</v>
      </c>
      <c r="X16" s="13"/>
      <c r="Y16" s="13"/>
      <c r="Z16" s="13">
        <v>1</v>
      </c>
      <c r="AA16" s="13">
        <v>1</v>
      </c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>
        <v>1</v>
      </c>
      <c r="BM16" s="13"/>
      <c r="BN16" s="13"/>
      <c r="BO16" s="13"/>
      <c r="BP16" s="13"/>
      <c r="BQ16" s="13"/>
      <c r="BR16" s="13"/>
      <c r="BS16" s="13"/>
      <c r="BT16" s="13"/>
      <c r="BU16" s="13">
        <v>1</v>
      </c>
      <c r="BV16" s="13"/>
      <c r="BW16" s="13"/>
      <c r="BX16" s="13"/>
      <c r="BY16" s="13"/>
      <c r="BZ16" s="13">
        <v>1</v>
      </c>
      <c r="CA16" s="13"/>
      <c r="CB16" s="13"/>
      <c r="CC16" s="13"/>
      <c r="CD16" s="13"/>
      <c r="CE16" s="13">
        <v>1</v>
      </c>
      <c r="CF16" s="13"/>
      <c r="CG16" s="13"/>
      <c r="CH16" s="13">
        <v>1</v>
      </c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>
        <v>1</v>
      </c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>
        <v>1</v>
      </c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>
        <v>1</v>
      </c>
      <c r="DW16" s="13"/>
      <c r="DX16" s="13"/>
      <c r="DY16" s="13"/>
      <c r="DZ16" s="13"/>
      <c r="EA16" s="13">
        <v>1</v>
      </c>
      <c r="EB16" s="13"/>
      <c r="EC16" s="13"/>
      <c r="ED16" s="13"/>
      <c r="EE16" s="13">
        <v>1</v>
      </c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20"/>
      <c r="ES16" s="20"/>
      <c r="ET16" s="20"/>
      <c r="EU16" s="20"/>
      <c r="EV16" s="20"/>
      <c r="EW16" s="20"/>
      <c r="EX16" s="20"/>
      <c r="EY16" s="20"/>
      <c r="EZ16" s="7">
        <v>1</v>
      </c>
      <c r="FS16" s="25" t="s">
        <v>43</v>
      </c>
      <c r="FU16" s="7">
        <v>2</v>
      </c>
      <c r="FX16" s="7">
        <v>1</v>
      </c>
      <c r="GI16" s="7">
        <v>1</v>
      </c>
      <c r="GU16" s="7">
        <v>3</v>
      </c>
      <c r="GV16" s="7">
        <v>1</v>
      </c>
      <c r="GW16" s="7">
        <v>1</v>
      </c>
      <c r="GY16" s="25" t="s">
        <v>43</v>
      </c>
      <c r="HA16" s="7">
        <v>3</v>
      </c>
      <c r="HC16" s="25" t="s">
        <v>43</v>
      </c>
      <c r="HI16" s="25" t="s">
        <v>43</v>
      </c>
      <c r="HY16" s="6" t="s">
        <v>13</v>
      </c>
      <c r="HZ16" s="1">
        <f t="shared" si="0"/>
        <v>27</v>
      </c>
      <c r="IA16" s="24">
        <f>(HZ16/HZ46)*100</f>
        <v>0.12668324496785999</v>
      </c>
    </row>
    <row r="17" spans="1:235" x14ac:dyDescent="0.2">
      <c r="A17" s="2" t="s">
        <v>14</v>
      </c>
      <c r="P17" s="12">
        <v>1</v>
      </c>
      <c r="R17" s="12">
        <v>1</v>
      </c>
      <c r="W17" s="12">
        <v>1</v>
      </c>
      <c r="AV17" s="12">
        <v>1</v>
      </c>
      <c r="DU17" s="12">
        <v>1</v>
      </c>
      <c r="DY17" s="12">
        <v>1</v>
      </c>
      <c r="EE17" s="12">
        <v>1</v>
      </c>
      <c r="EM17" s="12">
        <v>1</v>
      </c>
      <c r="FW17" s="1">
        <v>1</v>
      </c>
      <c r="HY17" s="2" t="s">
        <v>14</v>
      </c>
      <c r="HZ17" s="1">
        <f t="shared" si="0"/>
        <v>9</v>
      </c>
      <c r="IA17" s="24">
        <f>(HZ17/HZ46)*100</f>
        <v>4.2227748322619996E-2</v>
      </c>
    </row>
    <row r="18" spans="1:235" s="7" customFormat="1" x14ac:dyDescent="0.2">
      <c r="A18" s="6" t="s">
        <v>15</v>
      </c>
      <c r="B18" s="20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>
        <v>1</v>
      </c>
      <c r="BB18" s="13"/>
      <c r="BC18" s="13"/>
      <c r="BD18" s="13"/>
      <c r="BE18" s="13"/>
      <c r="BF18" s="13">
        <v>1</v>
      </c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>
        <v>1</v>
      </c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6" t="s">
        <v>43</v>
      </c>
      <c r="DS18" s="13">
        <v>1</v>
      </c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20"/>
      <c r="ES18" s="20"/>
      <c r="ET18" s="20"/>
      <c r="EU18" s="20"/>
      <c r="EV18" s="20">
        <v>1</v>
      </c>
      <c r="EW18" s="20">
        <v>1</v>
      </c>
      <c r="EX18" s="20"/>
      <c r="EY18" s="20"/>
      <c r="FI18" s="7">
        <v>1</v>
      </c>
      <c r="FT18" s="7">
        <v>1</v>
      </c>
      <c r="FU18" s="7">
        <v>1</v>
      </c>
      <c r="FV18" s="7">
        <v>1</v>
      </c>
      <c r="FZ18" s="7">
        <v>1</v>
      </c>
      <c r="GF18" s="7">
        <v>1</v>
      </c>
      <c r="GH18" s="7">
        <v>1</v>
      </c>
      <c r="GI18" s="7">
        <v>1</v>
      </c>
      <c r="GN18" s="7">
        <v>1</v>
      </c>
      <c r="GU18" s="25" t="s">
        <v>43</v>
      </c>
      <c r="HA18" s="7">
        <v>1</v>
      </c>
      <c r="HF18" s="7">
        <v>1</v>
      </c>
      <c r="HI18" s="7">
        <v>1</v>
      </c>
      <c r="HK18" s="7">
        <v>1</v>
      </c>
      <c r="HQ18" s="7">
        <v>1</v>
      </c>
      <c r="HY18" s="6" t="s">
        <v>15</v>
      </c>
      <c r="HZ18" s="1">
        <f t="shared" si="0"/>
        <v>20</v>
      </c>
      <c r="IA18" s="24">
        <f>(HZ18/HZ46)*100</f>
        <v>9.3839440716933328E-2</v>
      </c>
    </row>
    <row r="19" spans="1:235" x14ac:dyDescent="0.2">
      <c r="A19" s="2" t="s">
        <v>16</v>
      </c>
      <c r="H19" s="12">
        <v>2</v>
      </c>
      <c r="I19" s="15" t="s">
        <v>43</v>
      </c>
      <c r="K19" s="15" t="s">
        <v>43</v>
      </c>
      <c r="P19" s="12">
        <v>1</v>
      </c>
      <c r="V19" s="12">
        <v>3</v>
      </c>
      <c r="AA19" s="12">
        <v>2</v>
      </c>
      <c r="AB19" s="12">
        <v>1</v>
      </c>
      <c r="AK19" s="12">
        <v>1</v>
      </c>
      <c r="AL19" s="12">
        <v>1</v>
      </c>
      <c r="AP19" s="12">
        <v>2</v>
      </c>
      <c r="BZ19" s="12">
        <v>2</v>
      </c>
      <c r="CE19" s="12">
        <v>1</v>
      </c>
      <c r="DG19" s="12">
        <v>1</v>
      </c>
      <c r="DH19" s="12">
        <v>1</v>
      </c>
      <c r="DJ19" s="12">
        <v>1</v>
      </c>
      <c r="DM19" s="12">
        <v>1</v>
      </c>
      <c r="DQ19" s="12">
        <v>1</v>
      </c>
      <c r="DY19" s="12">
        <v>2</v>
      </c>
      <c r="DZ19" s="12">
        <v>1</v>
      </c>
      <c r="ED19" s="12">
        <v>2</v>
      </c>
      <c r="EF19" s="15" t="s">
        <v>43</v>
      </c>
      <c r="EH19" s="12">
        <v>2</v>
      </c>
      <c r="EI19" s="12">
        <v>2</v>
      </c>
      <c r="EK19" s="12">
        <v>5</v>
      </c>
      <c r="EL19" s="12">
        <v>1</v>
      </c>
      <c r="EO19" s="12">
        <v>1</v>
      </c>
      <c r="EP19" s="12">
        <v>1</v>
      </c>
      <c r="EQ19" s="12">
        <v>1</v>
      </c>
      <c r="FA19" s="1">
        <v>1</v>
      </c>
      <c r="FC19" s="1">
        <v>1</v>
      </c>
      <c r="FD19" s="1">
        <v>2</v>
      </c>
      <c r="FG19" s="1">
        <v>1</v>
      </c>
      <c r="FM19" s="1">
        <v>1</v>
      </c>
      <c r="FO19" s="3" t="s">
        <v>43</v>
      </c>
      <c r="FQ19" s="3" t="s">
        <v>43</v>
      </c>
      <c r="FS19" s="3" t="s">
        <v>43</v>
      </c>
      <c r="GN19" s="1">
        <v>1</v>
      </c>
      <c r="HR19" s="1">
        <v>1</v>
      </c>
      <c r="HW19" s="1">
        <v>1</v>
      </c>
      <c r="HY19" s="2" t="s">
        <v>16</v>
      </c>
      <c r="HZ19" s="1">
        <f t="shared" si="0"/>
        <v>48</v>
      </c>
      <c r="IA19" s="24">
        <f>(HZ19/HZ46)*100</f>
        <v>0.22521465772063998</v>
      </c>
    </row>
    <row r="20" spans="1:235" s="7" customFormat="1" x14ac:dyDescent="0.2">
      <c r="A20" s="6" t="s">
        <v>17</v>
      </c>
      <c r="B20" s="20">
        <v>1</v>
      </c>
      <c r="C20" s="13"/>
      <c r="D20" s="13">
        <v>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>
        <v>1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>
        <v>1</v>
      </c>
      <c r="BL20" s="13"/>
      <c r="BM20" s="13"/>
      <c r="BN20" s="13"/>
      <c r="BO20" s="13"/>
      <c r="BP20" s="13"/>
      <c r="BQ20" s="13"/>
      <c r="BR20" s="13"/>
      <c r="BS20" s="13">
        <v>1</v>
      </c>
      <c r="BT20" s="13">
        <v>1</v>
      </c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>
        <v>1</v>
      </c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>
        <v>1</v>
      </c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>
        <v>1</v>
      </c>
      <c r="DP20" s="13"/>
      <c r="DQ20" s="13"/>
      <c r="DR20" s="13">
        <v>1</v>
      </c>
      <c r="DS20" s="13"/>
      <c r="DT20" s="13"/>
      <c r="DU20" s="13"/>
      <c r="DV20" s="13"/>
      <c r="DW20" s="13">
        <v>1</v>
      </c>
      <c r="DX20" s="13"/>
      <c r="DY20" s="13"/>
      <c r="DZ20" s="13"/>
      <c r="EA20" s="13"/>
      <c r="EB20" s="13"/>
      <c r="EC20" s="13"/>
      <c r="ED20" s="13"/>
      <c r="EE20" s="13"/>
      <c r="EF20" s="13">
        <v>1</v>
      </c>
      <c r="EG20" s="13"/>
      <c r="EH20" s="13">
        <v>1</v>
      </c>
      <c r="EI20" s="13"/>
      <c r="EJ20" s="13">
        <v>1</v>
      </c>
      <c r="EK20" s="13"/>
      <c r="EL20" s="13"/>
      <c r="EM20" s="13"/>
      <c r="EN20" s="13"/>
      <c r="EO20" s="13"/>
      <c r="EP20" s="13"/>
      <c r="EQ20" s="13"/>
      <c r="ER20" s="20"/>
      <c r="ES20" s="20"/>
      <c r="ET20" s="20"/>
      <c r="EU20" s="20"/>
      <c r="EV20" s="20"/>
      <c r="EW20" s="20"/>
      <c r="EX20" s="20"/>
      <c r="EY20" s="20"/>
      <c r="FD20" s="7">
        <v>1</v>
      </c>
      <c r="FK20" s="7">
        <v>1</v>
      </c>
      <c r="GF20" s="7">
        <v>1</v>
      </c>
      <c r="GP20" s="7">
        <v>1</v>
      </c>
      <c r="GU20" s="7">
        <v>2</v>
      </c>
      <c r="GZ20" s="7">
        <v>2</v>
      </c>
      <c r="HA20" s="7">
        <v>3</v>
      </c>
      <c r="HB20" s="7">
        <v>1</v>
      </c>
      <c r="HE20" s="7">
        <v>1</v>
      </c>
      <c r="HF20" s="7">
        <v>1</v>
      </c>
      <c r="HI20" s="7">
        <v>10</v>
      </c>
      <c r="HK20" s="7">
        <v>2</v>
      </c>
      <c r="HM20" s="7">
        <v>4</v>
      </c>
      <c r="HP20" s="7">
        <v>2</v>
      </c>
      <c r="HR20" s="7">
        <v>1</v>
      </c>
      <c r="HS20" s="7">
        <v>1</v>
      </c>
      <c r="HU20" s="7">
        <v>1</v>
      </c>
      <c r="HV20" s="7">
        <v>2</v>
      </c>
      <c r="HY20" s="6" t="s">
        <v>17</v>
      </c>
      <c r="HZ20" s="1">
        <f t="shared" si="0"/>
        <v>51</v>
      </c>
      <c r="IA20" s="24">
        <f>(HZ20/HZ46)*100</f>
        <v>0.23929057382817998</v>
      </c>
    </row>
    <row r="21" spans="1:235" x14ac:dyDescent="0.2">
      <c r="A21" s="2" t="s">
        <v>18</v>
      </c>
      <c r="O21" s="12">
        <v>1</v>
      </c>
      <c r="AR21" s="12">
        <v>1</v>
      </c>
      <c r="AS21" s="12">
        <v>1</v>
      </c>
      <c r="AV21" s="12">
        <v>1</v>
      </c>
      <c r="BF21" s="12">
        <v>1</v>
      </c>
      <c r="BI21" s="15" t="s">
        <v>43</v>
      </c>
      <c r="BS21" s="12">
        <v>1</v>
      </c>
      <c r="BZ21" s="12">
        <v>1</v>
      </c>
      <c r="CW21" s="12">
        <v>1</v>
      </c>
      <c r="CY21" s="12">
        <v>2</v>
      </c>
      <c r="DN21" s="12">
        <v>1</v>
      </c>
      <c r="DR21" s="12">
        <v>1</v>
      </c>
      <c r="DS21" s="12">
        <v>5</v>
      </c>
      <c r="DU21" s="12">
        <v>1</v>
      </c>
      <c r="DY21" s="12">
        <v>1</v>
      </c>
      <c r="DZ21" s="12">
        <v>3</v>
      </c>
      <c r="EA21" s="12">
        <v>1</v>
      </c>
      <c r="EB21" s="12">
        <v>1</v>
      </c>
      <c r="EI21" s="12">
        <v>1</v>
      </c>
      <c r="EJ21" s="12">
        <v>2</v>
      </c>
      <c r="EP21" s="12">
        <v>1</v>
      </c>
      <c r="ET21" s="19">
        <v>2</v>
      </c>
      <c r="FA21" s="1">
        <v>2</v>
      </c>
      <c r="FG21" s="1">
        <v>1</v>
      </c>
      <c r="FJ21" s="1">
        <v>1</v>
      </c>
      <c r="FL21" s="1">
        <v>2</v>
      </c>
      <c r="FQ21" s="1">
        <v>5</v>
      </c>
      <c r="FS21" s="1">
        <v>8</v>
      </c>
      <c r="FU21" s="1">
        <v>1</v>
      </c>
      <c r="FX21" s="1">
        <v>4</v>
      </c>
      <c r="FY21" s="1">
        <v>1</v>
      </c>
      <c r="GD21" s="1">
        <v>1</v>
      </c>
      <c r="GE21" s="1">
        <v>2</v>
      </c>
      <c r="GF21" s="1">
        <v>1</v>
      </c>
      <c r="GG21" s="1">
        <v>1</v>
      </c>
      <c r="GP21" s="1">
        <v>1</v>
      </c>
      <c r="GQ21" s="1">
        <v>1</v>
      </c>
      <c r="GS21" s="1">
        <v>1</v>
      </c>
      <c r="GT21" s="1">
        <v>1</v>
      </c>
      <c r="GU21" s="1">
        <v>22</v>
      </c>
      <c r="GV21" s="1">
        <v>1</v>
      </c>
      <c r="GW21" s="1">
        <v>1</v>
      </c>
      <c r="GX21" s="1">
        <v>3</v>
      </c>
      <c r="HA21" s="1">
        <v>6</v>
      </c>
      <c r="HC21" s="1">
        <v>2</v>
      </c>
      <c r="HE21" s="1">
        <v>2</v>
      </c>
      <c r="HI21" s="1">
        <v>1</v>
      </c>
      <c r="HO21" s="1">
        <v>2</v>
      </c>
      <c r="HP21" s="1">
        <v>5</v>
      </c>
      <c r="HQ21" s="1">
        <v>3</v>
      </c>
      <c r="HS21" s="1">
        <v>3</v>
      </c>
      <c r="HV21" s="1">
        <v>1</v>
      </c>
      <c r="HY21" s="2" t="s">
        <v>18</v>
      </c>
      <c r="HZ21" s="1">
        <f t="shared" si="0"/>
        <v>116</v>
      </c>
      <c r="IA21" s="24">
        <f>(HZ21/HZ46)*100</f>
        <v>0.54426875615821335</v>
      </c>
    </row>
    <row r="22" spans="1:235" s="7" customFormat="1" x14ac:dyDescent="0.2">
      <c r="A22" s="6" t="s">
        <v>19</v>
      </c>
      <c r="B22" s="20"/>
      <c r="C22" s="13"/>
      <c r="D22" s="13"/>
      <c r="E22" s="13"/>
      <c r="F22" s="13"/>
      <c r="G22" s="13">
        <v>1</v>
      </c>
      <c r="H22" s="13"/>
      <c r="I22" s="13">
        <v>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>
        <v>3</v>
      </c>
      <c r="AV22" s="13"/>
      <c r="AW22" s="13"/>
      <c r="AX22" s="13"/>
      <c r="AY22" s="13"/>
      <c r="AZ22" s="13"/>
      <c r="BA22" s="13"/>
      <c r="BB22" s="13"/>
      <c r="BC22" s="13"/>
      <c r="BD22" s="13"/>
      <c r="BE22" s="13">
        <v>1</v>
      </c>
      <c r="BF22" s="13"/>
      <c r="BG22" s="13"/>
      <c r="BH22" s="13"/>
      <c r="BI22" s="13"/>
      <c r="BJ22" s="13"/>
      <c r="BK22" s="13"/>
      <c r="BL22" s="13"/>
      <c r="BM22" s="13"/>
      <c r="BN22" s="13">
        <v>1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>
        <v>1</v>
      </c>
      <c r="CJ22" s="13"/>
      <c r="CK22" s="13"/>
      <c r="CL22" s="13"/>
      <c r="CM22" s="13"/>
      <c r="CN22" s="13"/>
      <c r="CO22" s="13"/>
      <c r="CP22" s="13">
        <v>1</v>
      </c>
      <c r="CQ22" s="13"/>
      <c r="CR22" s="13"/>
      <c r="CS22" s="13"/>
      <c r="CT22" s="13"/>
      <c r="CU22" s="13"/>
      <c r="CV22" s="13"/>
      <c r="CW22" s="13"/>
      <c r="CX22" s="13">
        <v>1</v>
      </c>
      <c r="CY22" s="13"/>
      <c r="CZ22" s="13"/>
      <c r="DA22" s="13">
        <v>1</v>
      </c>
      <c r="DB22" s="13"/>
      <c r="DC22" s="13"/>
      <c r="DD22" s="13"/>
      <c r="DE22" s="13">
        <v>1</v>
      </c>
      <c r="DF22" s="13"/>
      <c r="DG22" s="13"/>
      <c r="DH22" s="13"/>
      <c r="DI22" s="13"/>
      <c r="DJ22" s="13"/>
      <c r="DK22" s="13"/>
      <c r="DL22" s="13">
        <v>1</v>
      </c>
      <c r="DM22" s="13"/>
      <c r="DN22" s="13"/>
      <c r="DO22" s="13"/>
      <c r="DP22" s="13"/>
      <c r="DQ22" s="13"/>
      <c r="DR22" s="13"/>
      <c r="DS22" s="13">
        <v>1</v>
      </c>
      <c r="DT22" s="13">
        <v>1</v>
      </c>
      <c r="DU22" s="13"/>
      <c r="DV22" s="13">
        <v>1</v>
      </c>
      <c r="DW22" s="13"/>
      <c r="DX22" s="13">
        <v>1</v>
      </c>
      <c r="DY22" s="13">
        <v>2</v>
      </c>
      <c r="DZ22" s="13">
        <v>2</v>
      </c>
      <c r="EA22" s="13"/>
      <c r="EB22" s="13">
        <v>2</v>
      </c>
      <c r="EC22" s="13"/>
      <c r="ED22" s="13">
        <v>3</v>
      </c>
      <c r="EE22" s="13"/>
      <c r="EF22" s="13"/>
      <c r="EG22" s="13"/>
      <c r="EH22" s="13"/>
      <c r="EI22" s="13"/>
      <c r="EJ22" s="13">
        <v>1</v>
      </c>
      <c r="EK22" s="13">
        <v>3</v>
      </c>
      <c r="EL22" s="13">
        <v>1</v>
      </c>
      <c r="EM22" s="13">
        <v>1</v>
      </c>
      <c r="EN22" s="13"/>
      <c r="EO22" s="13"/>
      <c r="EP22" s="13"/>
      <c r="EQ22" s="13"/>
      <c r="ER22" s="20"/>
      <c r="ES22" s="20">
        <v>1</v>
      </c>
      <c r="ET22" s="20">
        <v>2</v>
      </c>
      <c r="EU22" s="20"/>
      <c r="EV22" s="20"/>
      <c r="EW22" s="20"/>
      <c r="EX22" s="20"/>
      <c r="EY22" s="20"/>
      <c r="FB22" s="7">
        <v>1</v>
      </c>
      <c r="FF22" s="7">
        <v>1</v>
      </c>
      <c r="FG22" s="7">
        <v>1</v>
      </c>
      <c r="FI22" s="7">
        <v>1</v>
      </c>
      <c r="FK22" s="7">
        <v>1</v>
      </c>
      <c r="FL22" s="7">
        <v>1</v>
      </c>
      <c r="FN22" s="7">
        <v>1</v>
      </c>
      <c r="FP22" s="7">
        <v>1</v>
      </c>
      <c r="FQ22" s="7">
        <v>3</v>
      </c>
      <c r="FS22" s="7">
        <v>1</v>
      </c>
      <c r="FU22" s="7">
        <v>4</v>
      </c>
      <c r="FV22" s="7">
        <v>1</v>
      </c>
      <c r="GA22" s="7">
        <v>1</v>
      </c>
      <c r="GD22" s="7">
        <v>2</v>
      </c>
      <c r="GE22" s="7">
        <v>1</v>
      </c>
      <c r="GF22" s="7">
        <v>1</v>
      </c>
      <c r="GG22" s="7">
        <v>1</v>
      </c>
      <c r="GH22" s="7">
        <v>4</v>
      </c>
      <c r="GI22" s="7">
        <v>3</v>
      </c>
      <c r="GL22" s="7">
        <v>1</v>
      </c>
      <c r="GM22" s="7">
        <v>2</v>
      </c>
      <c r="GN22" s="7">
        <v>1</v>
      </c>
      <c r="GO22" s="7">
        <v>1</v>
      </c>
      <c r="GQ22" s="7">
        <v>1</v>
      </c>
      <c r="GR22" s="7">
        <v>1</v>
      </c>
      <c r="GS22" s="7">
        <v>3</v>
      </c>
      <c r="GT22" s="7">
        <v>2</v>
      </c>
      <c r="GU22" s="7">
        <v>18</v>
      </c>
      <c r="GV22" s="7">
        <v>5</v>
      </c>
      <c r="GW22" s="7">
        <v>6</v>
      </c>
      <c r="GX22" s="7">
        <v>13</v>
      </c>
      <c r="GY22" s="7">
        <v>9</v>
      </c>
      <c r="HA22" s="7">
        <v>21</v>
      </c>
      <c r="HB22" s="7">
        <v>26</v>
      </c>
      <c r="HC22" s="7">
        <v>10</v>
      </c>
      <c r="HD22" s="7">
        <v>1</v>
      </c>
      <c r="HE22" s="7">
        <v>1</v>
      </c>
      <c r="HF22" s="7">
        <v>1</v>
      </c>
      <c r="HG22" s="7">
        <v>1</v>
      </c>
      <c r="HH22" s="7">
        <v>7</v>
      </c>
      <c r="HI22" s="7">
        <v>9</v>
      </c>
      <c r="HJ22" s="7">
        <v>13</v>
      </c>
      <c r="HK22" s="7">
        <v>7</v>
      </c>
      <c r="HL22" s="7">
        <v>7</v>
      </c>
      <c r="HM22" s="7">
        <v>12</v>
      </c>
      <c r="HO22" s="7">
        <v>6</v>
      </c>
      <c r="HP22" s="7">
        <v>2</v>
      </c>
      <c r="HQ22" s="7">
        <v>1</v>
      </c>
      <c r="HR22" s="7">
        <v>4</v>
      </c>
      <c r="HS22" s="7">
        <v>1</v>
      </c>
      <c r="HT22" s="7">
        <v>1</v>
      </c>
      <c r="HV22" s="7">
        <v>3</v>
      </c>
      <c r="HW22" s="7">
        <v>2</v>
      </c>
      <c r="HY22" s="6" t="s">
        <v>19</v>
      </c>
      <c r="HZ22" s="1">
        <f t="shared" si="0"/>
        <v>266</v>
      </c>
      <c r="IA22" s="24">
        <f>(HZ22/HZ46)*100</f>
        <v>1.2480645615352133</v>
      </c>
    </row>
    <row r="23" spans="1:235" x14ac:dyDescent="0.2">
      <c r="A23" s="2" t="s">
        <v>193</v>
      </c>
      <c r="DB23" s="12">
        <v>1</v>
      </c>
      <c r="HY23" s="2" t="s">
        <v>193</v>
      </c>
      <c r="HZ23" s="1">
        <f t="shared" si="0"/>
        <v>1</v>
      </c>
      <c r="IA23" s="24">
        <f>(HZ23/HZ46)*100</f>
        <v>4.6919720358466668E-3</v>
      </c>
    </row>
    <row r="24" spans="1:235" s="7" customFormat="1" x14ac:dyDescent="0.2">
      <c r="A24" s="6" t="s">
        <v>20</v>
      </c>
      <c r="B24" s="20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6">
        <v>75</v>
      </c>
      <c r="AX24" s="13"/>
      <c r="AY24" s="13"/>
      <c r="AZ24" s="13"/>
      <c r="BA24" s="13"/>
      <c r="BB24" s="16" t="s">
        <v>43</v>
      </c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6" t="s">
        <v>43</v>
      </c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>
        <v>1</v>
      </c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20"/>
      <c r="ES24" s="20"/>
      <c r="ET24" s="20"/>
      <c r="EU24" s="20"/>
      <c r="EV24" s="20"/>
      <c r="EW24" s="20"/>
      <c r="EX24" s="20"/>
      <c r="EY24" s="20"/>
      <c r="FA24" s="7">
        <v>1</v>
      </c>
      <c r="FK24" s="7">
        <v>1</v>
      </c>
      <c r="FP24" s="7">
        <v>1</v>
      </c>
      <c r="FQ24" s="7">
        <v>2</v>
      </c>
      <c r="FS24" s="7">
        <v>2</v>
      </c>
      <c r="FU24" s="7">
        <v>1</v>
      </c>
      <c r="FY24" s="7">
        <v>1</v>
      </c>
      <c r="GG24" s="7">
        <v>1</v>
      </c>
      <c r="GU24" s="7">
        <v>21</v>
      </c>
      <c r="GV24" s="7">
        <v>6</v>
      </c>
      <c r="GW24" s="7">
        <v>2</v>
      </c>
      <c r="GX24" s="7">
        <v>1</v>
      </c>
      <c r="GY24" s="7">
        <v>1</v>
      </c>
      <c r="GZ24" s="7">
        <v>2</v>
      </c>
      <c r="HA24" s="7">
        <v>7</v>
      </c>
      <c r="HB24" s="7">
        <v>16</v>
      </c>
      <c r="HC24" s="7">
        <v>11</v>
      </c>
      <c r="HD24" s="7">
        <v>1</v>
      </c>
      <c r="HE24" s="7">
        <v>1</v>
      </c>
      <c r="HF24" s="7">
        <v>1</v>
      </c>
      <c r="HH24" s="7">
        <v>1</v>
      </c>
      <c r="HI24" s="7">
        <v>1</v>
      </c>
      <c r="HK24" s="7">
        <v>3</v>
      </c>
      <c r="HL24" s="7">
        <v>1</v>
      </c>
      <c r="HM24" s="7">
        <v>14</v>
      </c>
      <c r="HO24" s="7">
        <v>8</v>
      </c>
      <c r="HP24" s="7">
        <v>5</v>
      </c>
      <c r="HQ24" s="7">
        <v>3</v>
      </c>
      <c r="HR24" s="7">
        <v>2</v>
      </c>
      <c r="HS24" s="7">
        <v>9</v>
      </c>
      <c r="HU24" s="7">
        <v>6</v>
      </c>
      <c r="HV24" s="7">
        <v>1</v>
      </c>
      <c r="HW24" s="7">
        <v>8</v>
      </c>
      <c r="HY24" s="6" t="s">
        <v>20</v>
      </c>
      <c r="HZ24" s="1">
        <f t="shared" si="0"/>
        <v>218</v>
      </c>
      <c r="IA24" s="24">
        <f>(HZ24/HZ46)*100</f>
        <v>1.0228499038145733</v>
      </c>
    </row>
    <row r="25" spans="1:235" x14ac:dyDescent="0.2">
      <c r="A25" s="2" t="s">
        <v>200</v>
      </c>
      <c r="B25" s="19">
        <v>1</v>
      </c>
      <c r="C25" s="12">
        <v>2</v>
      </c>
      <c r="D25" s="12">
        <v>2</v>
      </c>
      <c r="E25" s="12">
        <v>1</v>
      </c>
      <c r="F25" s="12">
        <v>1</v>
      </c>
      <c r="G25" s="12">
        <v>3</v>
      </c>
      <c r="H25" s="12">
        <v>7</v>
      </c>
      <c r="I25" s="12">
        <v>1</v>
      </c>
      <c r="J25" s="12">
        <v>1</v>
      </c>
      <c r="L25" s="12">
        <v>9</v>
      </c>
      <c r="O25" s="12">
        <v>4</v>
      </c>
      <c r="P25" s="12">
        <v>5</v>
      </c>
      <c r="S25" s="12">
        <v>3</v>
      </c>
      <c r="T25" s="12">
        <v>11</v>
      </c>
      <c r="U25" s="12">
        <v>1</v>
      </c>
      <c r="V25" s="12">
        <v>1</v>
      </c>
      <c r="W25" s="12">
        <v>12</v>
      </c>
      <c r="X25" s="12">
        <v>6</v>
      </c>
      <c r="Y25" s="12">
        <v>8</v>
      </c>
      <c r="AA25" s="12">
        <v>13</v>
      </c>
      <c r="AB25" s="12">
        <v>5</v>
      </c>
      <c r="AC25" s="12">
        <v>6</v>
      </c>
      <c r="AE25" s="12">
        <v>5</v>
      </c>
      <c r="AF25" s="12">
        <v>40</v>
      </c>
      <c r="AG25" s="12">
        <v>3</v>
      </c>
      <c r="AH25" s="12">
        <v>9</v>
      </c>
      <c r="AI25" s="12">
        <v>30</v>
      </c>
      <c r="AJ25" s="12">
        <v>2</v>
      </c>
      <c r="AK25" s="12">
        <v>7</v>
      </c>
      <c r="AL25" s="12">
        <v>48</v>
      </c>
      <c r="AM25" s="12">
        <v>3</v>
      </c>
      <c r="AN25" s="12">
        <v>6</v>
      </c>
      <c r="AO25" s="12">
        <v>2</v>
      </c>
      <c r="AP25" s="12">
        <v>7</v>
      </c>
      <c r="AQ25" s="12">
        <v>4</v>
      </c>
      <c r="AR25" s="12">
        <v>8</v>
      </c>
      <c r="AS25" s="12">
        <v>11</v>
      </c>
      <c r="AT25" s="12">
        <v>4</v>
      </c>
      <c r="AU25" s="15">
        <v>50</v>
      </c>
      <c r="AV25" s="12">
        <v>3</v>
      </c>
      <c r="AX25" s="12">
        <v>3</v>
      </c>
      <c r="AY25" s="12">
        <v>5</v>
      </c>
      <c r="AZ25" s="12">
        <v>3</v>
      </c>
      <c r="BA25" s="12">
        <v>3</v>
      </c>
      <c r="BB25" s="12">
        <v>18</v>
      </c>
      <c r="BC25" s="12">
        <v>10</v>
      </c>
      <c r="BD25" s="12">
        <v>3</v>
      </c>
      <c r="BE25" s="12">
        <v>5</v>
      </c>
      <c r="BF25" s="12">
        <v>13</v>
      </c>
      <c r="BG25" s="12">
        <v>11</v>
      </c>
      <c r="BI25" s="12">
        <v>10</v>
      </c>
      <c r="BJ25" s="15">
        <v>50</v>
      </c>
      <c r="BK25" s="12">
        <v>65</v>
      </c>
      <c r="BL25" s="12">
        <v>6</v>
      </c>
      <c r="BM25" s="12">
        <v>1</v>
      </c>
      <c r="BN25" s="12">
        <v>5</v>
      </c>
      <c r="BP25" s="12">
        <v>5</v>
      </c>
      <c r="BQ25" s="12">
        <v>1</v>
      </c>
      <c r="BR25" s="12">
        <v>29</v>
      </c>
      <c r="BS25" s="12">
        <v>9</v>
      </c>
      <c r="BT25" s="12">
        <v>13</v>
      </c>
      <c r="BU25" s="12">
        <v>14</v>
      </c>
      <c r="BV25" s="12">
        <v>1</v>
      </c>
      <c r="BW25" s="12">
        <v>13</v>
      </c>
      <c r="BX25" s="12">
        <v>11</v>
      </c>
      <c r="BY25" s="12">
        <v>3</v>
      </c>
      <c r="BZ25" s="12">
        <v>1</v>
      </c>
      <c r="CA25" s="12">
        <v>1</v>
      </c>
      <c r="CB25" s="12">
        <v>8</v>
      </c>
      <c r="CC25" s="12">
        <v>1</v>
      </c>
      <c r="CD25" s="12">
        <v>2</v>
      </c>
      <c r="CE25" s="12">
        <v>1</v>
      </c>
      <c r="CF25" s="12">
        <v>4</v>
      </c>
      <c r="CH25" s="12">
        <v>20</v>
      </c>
      <c r="CI25" s="12">
        <v>6</v>
      </c>
      <c r="CJ25" s="12">
        <v>20</v>
      </c>
      <c r="CK25" s="12">
        <v>4</v>
      </c>
      <c r="CL25" s="12">
        <v>11</v>
      </c>
      <c r="CM25" s="12">
        <v>16</v>
      </c>
      <c r="CN25" s="12">
        <v>4</v>
      </c>
      <c r="CO25" s="12">
        <v>4</v>
      </c>
      <c r="CP25" s="12">
        <v>25</v>
      </c>
      <c r="CQ25" s="12">
        <v>2</v>
      </c>
      <c r="CR25" s="12">
        <v>5</v>
      </c>
      <c r="CS25" s="12">
        <v>12</v>
      </c>
      <c r="CU25" s="12">
        <v>8</v>
      </c>
      <c r="CV25" s="12">
        <v>6</v>
      </c>
      <c r="CW25" s="12">
        <v>6</v>
      </c>
      <c r="CX25" s="12">
        <v>4</v>
      </c>
      <c r="CY25" s="12">
        <v>4</v>
      </c>
      <c r="DA25" s="12">
        <v>9</v>
      </c>
      <c r="DB25" s="12">
        <v>5</v>
      </c>
      <c r="DC25" s="12">
        <v>6</v>
      </c>
      <c r="DD25" s="12">
        <v>3</v>
      </c>
      <c r="DE25" s="12">
        <v>10</v>
      </c>
      <c r="DG25" s="12">
        <v>2</v>
      </c>
      <c r="DH25" s="12">
        <v>2</v>
      </c>
      <c r="DI25" s="12">
        <v>1</v>
      </c>
      <c r="DJ25" s="12">
        <v>3</v>
      </c>
      <c r="DK25" s="12">
        <v>1</v>
      </c>
      <c r="DM25" s="12">
        <v>2</v>
      </c>
      <c r="DN25" s="12">
        <v>3</v>
      </c>
      <c r="DO25" s="12">
        <v>4</v>
      </c>
      <c r="DP25" s="12">
        <v>5</v>
      </c>
      <c r="DQ25" s="12">
        <v>1</v>
      </c>
      <c r="DR25" s="12">
        <v>2</v>
      </c>
      <c r="DS25" s="12">
        <v>7</v>
      </c>
      <c r="DT25" s="12">
        <v>7</v>
      </c>
      <c r="DU25" s="12">
        <v>1</v>
      </c>
      <c r="DV25" s="12">
        <v>1</v>
      </c>
      <c r="DW25" s="12">
        <v>2</v>
      </c>
      <c r="DX25" s="12">
        <v>1</v>
      </c>
      <c r="DY25" s="12">
        <v>5</v>
      </c>
      <c r="DZ25" s="12">
        <v>5</v>
      </c>
      <c r="EA25" s="12">
        <v>4</v>
      </c>
      <c r="EB25" s="12">
        <v>1</v>
      </c>
      <c r="EC25" s="12">
        <v>2</v>
      </c>
      <c r="ED25" s="12">
        <v>4</v>
      </c>
      <c r="EE25" s="12">
        <v>1</v>
      </c>
      <c r="EF25" s="12">
        <v>3</v>
      </c>
      <c r="EG25" s="12">
        <v>1</v>
      </c>
      <c r="EH25" s="12">
        <v>17</v>
      </c>
      <c r="EI25" s="12">
        <v>10</v>
      </c>
      <c r="EJ25" s="12">
        <v>5</v>
      </c>
      <c r="EK25" s="12">
        <v>2</v>
      </c>
      <c r="EL25" s="12">
        <v>2</v>
      </c>
      <c r="EM25" s="12">
        <v>4</v>
      </c>
      <c r="EN25" s="12">
        <v>8</v>
      </c>
      <c r="EO25" s="12">
        <v>4</v>
      </c>
      <c r="EP25" s="12">
        <v>11</v>
      </c>
      <c r="EQ25" s="12">
        <v>2</v>
      </c>
      <c r="ER25" s="19">
        <v>2</v>
      </c>
      <c r="EV25" s="19">
        <v>1</v>
      </c>
      <c r="EW25" s="19">
        <v>2</v>
      </c>
      <c r="EX25" s="19">
        <v>4</v>
      </c>
      <c r="EY25" s="19">
        <v>14</v>
      </c>
      <c r="EZ25" s="1">
        <v>2</v>
      </c>
      <c r="FA25" s="1">
        <v>6</v>
      </c>
      <c r="FB25" s="1">
        <v>1</v>
      </c>
      <c r="FD25" s="1">
        <v>20</v>
      </c>
      <c r="FE25" s="1">
        <v>2</v>
      </c>
      <c r="FF25" s="1">
        <v>3</v>
      </c>
      <c r="FG25" s="1">
        <v>6</v>
      </c>
      <c r="FH25" s="1">
        <v>6</v>
      </c>
      <c r="FJ25" s="1">
        <v>2</v>
      </c>
      <c r="FK25" s="1">
        <v>4</v>
      </c>
      <c r="FL25" s="1">
        <v>2</v>
      </c>
      <c r="FM25" s="1">
        <v>10</v>
      </c>
      <c r="FO25" s="1">
        <v>2</v>
      </c>
      <c r="FP25" s="1">
        <v>15</v>
      </c>
      <c r="FQ25" s="1">
        <v>23</v>
      </c>
      <c r="FR25" s="1">
        <v>1</v>
      </c>
      <c r="FS25" s="1">
        <v>12</v>
      </c>
      <c r="FT25" s="1">
        <v>2</v>
      </c>
      <c r="FU25" s="1">
        <v>5</v>
      </c>
      <c r="FV25" s="1">
        <v>1</v>
      </c>
      <c r="FX25" s="1">
        <v>12</v>
      </c>
      <c r="FY25" s="1">
        <v>16</v>
      </c>
      <c r="FZ25" s="1">
        <v>19</v>
      </c>
      <c r="GB25" s="1">
        <v>1</v>
      </c>
      <c r="GC25" s="1">
        <v>3</v>
      </c>
      <c r="GD25" s="1">
        <v>5</v>
      </c>
      <c r="GE25" s="1">
        <v>15</v>
      </c>
      <c r="GF25" s="1">
        <v>6</v>
      </c>
      <c r="GG25" s="1">
        <v>9</v>
      </c>
      <c r="GH25" s="1">
        <v>5</v>
      </c>
      <c r="GI25" s="1">
        <v>4</v>
      </c>
      <c r="GJ25" s="1">
        <v>1</v>
      </c>
      <c r="GK25" s="1">
        <v>2</v>
      </c>
      <c r="GL25" s="1">
        <v>5</v>
      </c>
      <c r="GM25" s="1">
        <v>12</v>
      </c>
      <c r="GN25" s="1">
        <v>3</v>
      </c>
      <c r="GO25" s="1">
        <v>3</v>
      </c>
      <c r="GP25" s="1">
        <v>3</v>
      </c>
      <c r="GQ25" s="1">
        <v>6</v>
      </c>
      <c r="GR25" s="1">
        <v>4</v>
      </c>
      <c r="GS25" s="1">
        <v>2</v>
      </c>
      <c r="GT25" s="1">
        <v>5</v>
      </c>
      <c r="GU25" s="1">
        <v>1</v>
      </c>
      <c r="GY25" s="1">
        <v>1</v>
      </c>
      <c r="HA25" s="1">
        <v>1</v>
      </c>
      <c r="HB25" s="1">
        <v>2</v>
      </c>
      <c r="HC25" s="1">
        <v>2</v>
      </c>
      <c r="HD25" s="1">
        <v>2</v>
      </c>
      <c r="HF25" s="1">
        <v>3</v>
      </c>
      <c r="HH25" s="1">
        <v>1</v>
      </c>
      <c r="HI25" s="1">
        <v>12</v>
      </c>
      <c r="HJ25" s="1">
        <v>2</v>
      </c>
      <c r="HK25" s="1">
        <v>4</v>
      </c>
      <c r="HL25" s="1">
        <v>5</v>
      </c>
      <c r="HM25" s="1">
        <v>6</v>
      </c>
      <c r="HO25" s="1">
        <v>4</v>
      </c>
      <c r="HP25" s="1">
        <v>2</v>
      </c>
      <c r="HQ25" s="1">
        <v>6</v>
      </c>
      <c r="HS25" s="1">
        <v>15</v>
      </c>
      <c r="HT25" s="1">
        <v>3</v>
      </c>
      <c r="HU25" s="1">
        <v>2</v>
      </c>
      <c r="HV25" s="1">
        <v>1</v>
      </c>
      <c r="HW25" s="1">
        <v>1</v>
      </c>
      <c r="HY25" s="2" t="s">
        <v>21</v>
      </c>
      <c r="HZ25" s="1">
        <f t="shared" si="0"/>
        <v>1364</v>
      </c>
      <c r="IA25" s="24">
        <f>(HZ25/HZ46)*100</f>
        <v>6.3998498568948525</v>
      </c>
    </row>
    <row r="26" spans="1:235" s="7" customFormat="1" x14ac:dyDescent="0.2">
      <c r="A26" s="6" t="s">
        <v>22</v>
      </c>
      <c r="B26" s="20"/>
      <c r="C26" s="13"/>
      <c r="D26" s="16" t="s">
        <v>43</v>
      </c>
      <c r="E26" s="13"/>
      <c r="F26" s="13"/>
      <c r="G26" s="13">
        <v>1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>
        <v>1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>
        <v>1</v>
      </c>
      <c r="AQ26" s="13"/>
      <c r="AR26" s="13"/>
      <c r="AS26" s="13">
        <v>1</v>
      </c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>
        <v>1</v>
      </c>
      <c r="BG26" s="13"/>
      <c r="BH26" s="13"/>
      <c r="BI26" s="13"/>
      <c r="BJ26" s="13"/>
      <c r="BK26" s="13"/>
      <c r="BL26" s="13">
        <v>1</v>
      </c>
      <c r="BM26" s="13"/>
      <c r="BN26" s="13"/>
      <c r="BO26" s="16" t="s">
        <v>43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>
        <v>1</v>
      </c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>
        <v>1</v>
      </c>
      <c r="CW26" s="13"/>
      <c r="CX26" s="13"/>
      <c r="CY26" s="13"/>
      <c r="CZ26" s="13"/>
      <c r="DA26" s="13"/>
      <c r="DB26" s="13">
        <v>1</v>
      </c>
      <c r="DC26" s="13"/>
      <c r="DD26" s="13"/>
      <c r="DE26" s="13"/>
      <c r="DF26" s="13"/>
      <c r="DG26" s="13"/>
      <c r="DH26" s="13">
        <v>1</v>
      </c>
      <c r="DI26" s="13"/>
      <c r="DJ26" s="13"/>
      <c r="DK26" s="13"/>
      <c r="DL26" s="13"/>
      <c r="DM26" s="13">
        <v>3</v>
      </c>
      <c r="DN26" s="13">
        <v>1</v>
      </c>
      <c r="DO26" s="13"/>
      <c r="DP26" s="13"/>
      <c r="DQ26" s="13"/>
      <c r="DR26" s="13"/>
      <c r="DS26" s="13"/>
      <c r="DT26" s="13">
        <v>1</v>
      </c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>
        <v>1</v>
      </c>
      <c r="EJ26" s="13"/>
      <c r="EK26" s="13"/>
      <c r="EL26" s="13"/>
      <c r="EM26" s="13"/>
      <c r="EN26" s="13"/>
      <c r="EO26" s="13"/>
      <c r="EP26" s="13"/>
      <c r="EQ26" s="13"/>
      <c r="ER26" s="20"/>
      <c r="ES26" s="20"/>
      <c r="ET26" s="20">
        <v>1</v>
      </c>
      <c r="EU26" s="20"/>
      <c r="EV26" s="20">
        <v>1</v>
      </c>
      <c r="EW26" s="20"/>
      <c r="EX26" s="20"/>
      <c r="EY26" s="20"/>
      <c r="FO26" s="25" t="s">
        <v>43</v>
      </c>
      <c r="FP26" s="7">
        <v>1</v>
      </c>
      <c r="FS26" s="25" t="s">
        <v>43</v>
      </c>
      <c r="FU26" s="7">
        <v>7</v>
      </c>
      <c r="GE26" s="7">
        <v>1</v>
      </c>
      <c r="GI26" s="7">
        <v>1</v>
      </c>
      <c r="GU26" s="25" t="s">
        <v>43</v>
      </c>
      <c r="GX26" s="7">
        <v>1</v>
      </c>
      <c r="GY26" s="7">
        <v>2</v>
      </c>
      <c r="GZ26" s="7">
        <v>1</v>
      </c>
      <c r="HA26" s="7">
        <v>3</v>
      </c>
      <c r="HB26" s="7">
        <v>1</v>
      </c>
      <c r="HD26" s="7">
        <v>1</v>
      </c>
      <c r="HM26" s="25" t="s">
        <v>43</v>
      </c>
      <c r="HT26" s="7">
        <v>1</v>
      </c>
      <c r="HW26" s="7">
        <v>1</v>
      </c>
      <c r="HY26" s="6" t="s">
        <v>22</v>
      </c>
      <c r="HZ26" s="1">
        <f t="shared" si="0"/>
        <v>39</v>
      </c>
      <c r="IA26" s="24">
        <f>(HZ26/HZ46)*100</f>
        <v>0.18298690939801998</v>
      </c>
    </row>
    <row r="27" spans="1:235" x14ac:dyDescent="0.2">
      <c r="A27" s="2" t="s">
        <v>23</v>
      </c>
      <c r="D27" s="12">
        <v>1</v>
      </c>
      <c r="F27" s="12">
        <v>1</v>
      </c>
      <c r="G27" s="12">
        <v>4</v>
      </c>
      <c r="H27" s="12">
        <v>4</v>
      </c>
      <c r="I27" s="12">
        <v>5</v>
      </c>
      <c r="J27" s="12">
        <v>2</v>
      </c>
      <c r="K27" s="12">
        <v>4</v>
      </c>
      <c r="L27" s="12">
        <v>1</v>
      </c>
      <c r="O27" s="12">
        <v>17</v>
      </c>
      <c r="R27" s="12">
        <v>4</v>
      </c>
      <c r="S27" s="12">
        <v>12</v>
      </c>
      <c r="T27" s="12">
        <v>5</v>
      </c>
      <c r="U27" s="12">
        <v>15</v>
      </c>
      <c r="W27" s="12">
        <v>12</v>
      </c>
      <c r="X27" s="12">
        <v>17</v>
      </c>
      <c r="Y27" s="12">
        <v>12</v>
      </c>
      <c r="Z27" s="12">
        <v>4</v>
      </c>
      <c r="AA27" s="12">
        <v>7</v>
      </c>
      <c r="AB27" s="12">
        <v>7</v>
      </c>
      <c r="AC27" s="12">
        <v>9</v>
      </c>
      <c r="AD27" s="15" t="s">
        <v>43</v>
      </c>
      <c r="AF27" s="12">
        <v>2</v>
      </c>
      <c r="AI27" s="12">
        <v>8</v>
      </c>
      <c r="AJ27" s="12">
        <v>1</v>
      </c>
      <c r="AK27" s="12">
        <v>3</v>
      </c>
      <c r="AL27" s="12">
        <v>2</v>
      </c>
      <c r="AM27" s="12">
        <v>3</v>
      </c>
      <c r="AN27" s="12">
        <v>2</v>
      </c>
      <c r="AO27" s="12">
        <v>1</v>
      </c>
      <c r="AP27" s="12">
        <v>6</v>
      </c>
      <c r="AS27" s="12">
        <v>5</v>
      </c>
      <c r="AT27" s="12">
        <v>3</v>
      </c>
      <c r="AV27" s="12">
        <v>1</v>
      </c>
      <c r="AX27" s="12">
        <v>3</v>
      </c>
      <c r="AY27" s="12">
        <v>1</v>
      </c>
      <c r="AZ27" s="12">
        <v>1</v>
      </c>
      <c r="BB27" s="12">
        <v>2</v>
      </c>
      <c r="BF27" s="12">
        <v>3</v>
      </c>
      <c r="BG27" s="12">
        <v>2</v>
      </c>
      <c r="BH27" s="12">
        <v>1</v>
      </c>
      <c r="BK27" s="12">
        <v>3</v>
      </c>
      <c r="BL27" s="12">
        <v>1</v>
      </c>
      <c r="BN27" s="12">
        <v>1</v>
      </c>
      <c r="BS27" s="12">
        <v>2</v>
      </c>
      <c r="BT27" s="12">
        <v>2</v>
      </c>
      <c r="BU27" s="12">
        <v>2</v>
      </c>
      <c r="BV27" s="12">
        <v>1</v>
      </c>
      <c r="BW27" s="12">
        <v>3</v>
      </c>
      <c r="BX27" s="12">
        <v>3</v>
      </c>
      <c r="BY27" s="12">
        <v>1</v>
      </c>
      <c r="BZ27" s="12">
        <v>3</v>
      </c>
      <c r="CB27" s="12">
        <v>1</v>
      </c>
      <c r="CD27" s="12">
        <v>2</v>
      </c>
      <c r="CE27" s="12">
        <v>4</v>
      </c>
      <c r="CF27" s="12">
        <v>1</v>
      </c>
      <c r="CH27" s="12">
        <v>3</v>
      </c>
      <c r="CI27" s="12">
        <v>1</v>
      </c>
      <c r="CJ27" s="12">
        <v>3</v>
      </c>
      <c r="CK27" s="12">
        <v>3</v>
      </c>
      <c r="CL27" s="12">
        <v>4</v>
      </c>
      <c r="CN27" s="12">
        <v>1</v>
      </c>
      <c r="CO27" s="12">
        <v>1</v>
      </c>
      <c r="CP27" s="12">
        <v>3</v>
      </c>
      <c r="CR27" s="12">
        <v>1</v>
      </c>
      <c r="CS27" s="12">
        <v>4</v>
      </c>
      <c r="CV27" s="12">
        <v>1</v>
      </c>
      <c r="DA27" s="12">
        <v>1</v>
      </c>
      <c r="DB27" s="12">
        <v>5</v>
      </c>
      <c r="DE27" s="12">
        <v>4</v>
      </c>
      <c r="DJ27" s="12">
        <v>2</v>
      </c>
      <c r="DK27" s="12">
        <v>1</v>
      </c>
      <c r="DL27" s="12">
        <v>1</v>
      </c>
      <c r="DM27" s="12">
        <v>3</v>
      </c>
      <c r="DO27" s="12">
        <v>2</v>
      </c>
      <c r="DP27" s="12">
        <v>3</v>
      </c>
      <c r="DQ27" s="12">
        <v>1</v>
      </c>
      <c r="DR27" s="12">
        <v>3</v>
      </c>
      <c r="DS27" s="12">
        <v>3</v>
      </c>
      <c r="DT27" s="12">
        <v>5</v>
      </c>
      <c r="DU27" s="12">
        <v>3</v>
      </c>
      <c r="DV27" s="12">
        <v>1</v>
      </c>
      <c r="DW27" s="12">
        <v>1</v>
      </c>
      <c r="DX27" s="12">
        <v>1</v>
      </c>
      <c r="DY27" s="12">
        <v>5</v>
      </c>
      <c r="DZ27" s="12">
        <v>8</v>
      </c>
      <c r="EA27" s="12">
        <v>1</v>
      </c>
      <c r="EB27" s="12">
        <v>1</v>
      </c>
      <c r="EC27" s="12">
        <v>5</v>
      </c>
      <c r="ED27" s="12">
        <v>12</v>
      </c>
      <c r="EE27" s="12">
        <v>2</v>
      </c>
      <c r="EF27" s="12">
        <v>7</v>
      </c>
      <c r="EG27" s="12">
        <v>1</v>
      </c>
      <c r="EH27" s="12">
        <v>4</v>
      </c>
      <c r="EI27" s="12">
        <v>8</v>
      </c>
      <c r="EJ27" s="12">
        <v>5</v>
      </c>
      <c r="EK27" s="12">
        <v>6</v>
      </c>
      <c r="EL27" s="12">
        <v>2</v>
      </c>
      <c r="EM27" s="12">
        <v>4</v>
      </c>
      <c r="EN27" s="12">
        <v>1</v>
      </c>
      <c r="EO27" s="12">
        <v>9</v>
      </c>
      <c r="EP27" s="12">
        <v>6</v>
      </c>
      <c r="EQ27" s="12">
        <v>9</v>
      </c>
      <c r="ER27" s="19">
        <v>5</v>
      </c>
      <c r="ET27" s="19">
        <v>2</v>
      </c>
      <c r="EU27" s="19">
        <v>1</v>
      </c>
      <c r="EV27" s="19">
        <v>2</v>
      </c>
      <c r="EW27" s="19">
        <v>3</v>
      </c>
      <c r="EY27" s="19">
        <v>5</v>
      </c>
      <c r="EZ27" s="3" t="s">
        <v>43</v>
      </c>
      <c r="FA27" s="1">
        <v>6</v>
      </c>
      <c r="FB27" s="1">
        <v>1</v>
      </c>
      <c r="FC27" s="1">
        <v>1</v>
      </c>
      <c r="FD27" s="1">
        <v>3</v>
      </c>
      <c r="FE27" s="1">
        <v>1</v>
      </c>
      <c r="FF27" s="1">
        <v>3</v>
      </c>
      <c r="FG27" s="1">
        <v>2</v>
      </c>
      <c r="FI27" s="1">
        <v>4</v>
      </c>
      <c r="FJ27" s="1">
        <v>1</v>
      </c>
      <c r="FK27" s="1">
        <v>12</v>
      </c>
      <c r="FL27" s="1">
        <v>4</v>
      </c>
      <c r="FN27" s="1">
        <v>1</v>
      </c>
      <c r="FP27" s="1">
        <v>3</v>
      </c>
      <c r="FQ27" s="1">
        <v>14</v>
      </c>
      <c r="FR27" s="1">
        <v>2</v>
      </c>
      <c r="FS27" s="1">
        <v>5</v>
      </c>
      <c r="FT27" s="1">
        <v>3</v>
      </c>
      <c r="FU27" s="1">
        <v>3</v>
      </c>
      <c r="FX27" s="1">
        <v>9</v>
      </c>
      <c r="FY27" s="1">
        <v>4</v>
      </c>
      <c r="FZ27" s="1">
        <v>3</v>
      </c>
      <c r="GA27" s="1">
        <v>3</v>
      </c>
      <c r="GC27" s="1">
        <v>2</v>
      </c>
      <c r="GD27" s="1">
        <v>2</v>
      </c>
      <c r="GE27" s="1">
        <v>4</v>
      </c>
      <c r="GF27" s="1">
        <v>4</v>
      </c>
      <c r="GG27" s="1">
        <v>5</v>
      </c>
      <c r="GH27" s="1">
        <v>4</v>
      </c>
      <c r="GI27" s="1">
        <v>4</v>
      </c>
      <c r="GJ27" s="1">
        <v>7</v>
      </c>
      <c r="GL27" s="1">
        <v>4</v>
      </c>
      <c r="GM27" s="1">
        <v>4</v>
      </c>
      <c r="GN27" s="1">
        <v>6</v>
      </c>
      <c r="GO27" s="1">
        <v>3</v>
      </c>
      <c r="GP27" s="1">
        <v>2</v>
      </c>
      <c r="GQ27" s="1">
        <v>5</v>
      </c>
      <c r="GR27" s="1">
        <v>2</v>
      </c>
      <c r="GS27" s="1">
        <v>4</v>
      </c>
      <c r="GT27" s="1">
        <v>1</v>
      </c>
      <c r="HA27" s="1">
        <v>3</v>
      </c>
      <c r="HH27" s="1">
        <v>2</v>
      </c>
      <c r="HI27" s="1">
        <v>1</v>
      </c>
      <c r="HJ27" s="1">
        <v>1</v>
      </c>
      <c r="HK27" s="1">
        <v>1</v>
      </c>
      <c r="HL27" s="1">
        <v>3</v>
      </c>
      <c r="HM27" s="1">
        <v>2</v>
      </c>
      <c r="HS27" s="1">
        <v>1</v>
      </c>
      <c r="HY27" s="2" t="s">
        <v>23</v>
      </c>
      <c r="HZ27" s="1">
        <f t="shared" si="0"/>
        <v>567</v>
      </c>
      <c r="IA27" s="24">
        <f>(HZ27/HZ46)*100</f>
        <v>2.6603481443250598</v>
      </c>
    </row>
    <row r="28" spans="1:235" s="7" customFormat="1" x14ac:dyDescent="0.2">
      <c r="A28" s="6" t="s">
        <v>24</v>
      </c>
      <c r="B28" s="20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20"/>
      <c r="ES28" s="20"/>
      <c r="ET28" s="20"/>
      <c r="EU28" s="20"/>
      <c r="EV28" s="20"/>
      <c r="EW28" s="20"/>
      <c r="EX28" s="20"/>
      <c r="EY28" s="20"/>
      <c r="HY28" s="6" t="s">
        <v>24</v>
      </c>
      <c r="HZ28" s="1">
        <f t="shared" si="0"/>
        <v>0</v>
      </c>
      <c r="IA28" s="24">
        <f>(HZ28/HZ46)*100</f>
        <v>0</v>
      </c>
    </row>
    <row r="29" spans="1:235" x14ac:dyDescent="0.2">
      <c r="A29" s="2" t="s">
        <v>194</v>
      </c>
      <c r="DQ29" s="12">
        <v>1</v>
      </c>
      <c r="DR29" s="12">
        <v>4</v>
      </c>
      <c r="DT29" s="12">
        <v>1</v>
      </c>
      <c r="EY29" s="19">
        <v>2</v>
      </c>
      <c r="EZ29" s="1">
        <v>1</v>
      </c>
      <c r="FT29" s="1">
        <v>1</v>
      </c>
      <c r="FU29" s="1">
        <v>2</v>
      </c>
      <c r="GH29" s="1">
        <v>1</v>
      </c>
      <c r="GU29" s="3" t="s">
        <v>43</v>
      </c>
      <c r="GZ29" s="1">
        <v>9</v>
      </c>
      <c r="HA29" s="1">
        <v>2</v>
      </c>
      <c r="HB29" s="3" t="s">
        <v>43</v>
      </c>
      <c r="HC29" s="3" t="s">
        <v>43</v>
      </c>
      <c r="HK29" s="1">
        <v>1</v>
      </c>
      <c r="HP29" s="1">
        <v>1</v>
      </c>
      <c r="HY29" s="2" t="s">
        <v>194</v>
      </c>
      <c r="HZ29" s="1">
        <f t="shared" si="0"/>
        <v>26</v>
      </c>
      <c r="IA29" s="24">
        <f>(HZ29/HZ46)*100</f>
        <v>0.12199127293201333</v>
      </c>
    </row>
    <row r="30" spans="1:235" x14ac:dyDescent="0.2">
      <c r="A30" s="2" t="s">
        <v>214</v>
      </c>
      <c r="FA30" s="1">
        <v>1</v>
      </c>
      <c r="HC30" s="3" t="s">
        <v>43</v>
      </c>
      <c r="HY30" s="2" t="s">
        <v>214</v>
      </c>
      <c r="HZ30" s="1">
        <f t="shared" si="0"/>
        <v>1</v>
      </c>
      <c r="IA30" s="24">
        <f>(HZ30/HZ46)*100</f>
        <v>4.6919720358466668E-3</v>
      </c>
    </row>
    <row r="31" spans="1:235" s="7" customFormat="1" x14ac:dyDescent="0.2">
      <c r="A31" s="6" t="s">
        <v>195</v>
      </c>
      <c r="B31" s="20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>
        <v>1</v>
      </c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20"/>
      <c r="ES31" s="20"/>
      <c r="ET31" s="20"/>
      <c r="EU31" s="20"/>
      <c r="EV31" s="20"/>
      <c r="EW31" s="20"/>
      <c r="EX31" s="20"/>
      <c r="EY31" s="20"/>
      <c r="FA31" s="7">
        <v>1</v>
      </c>
      <c r="GU31" s="7">
        <v>3</v>
      </c>
      <c r="GY31" s="7">
        <v>1</v>
      </c>
      <c r="GZ31" s="7">
        <v>2</v>
      </c>
      <c r="HA31" s="25" t="s">
        <v>43</v>
      </c>
      <c r="HF31" s="7">
        <v>1</v>
      </c>
      <c r="HY31" s="6" t="s">
        <v>195</v>
      </c>
      <c r="HZ31" s="1">
        <f t="shared" si="0"/>
        <v>9</v>
      </c>
      <c r="IA31" s="24">
        <f>(HZ31/HZ46)*100</f>
        <v>4.2227748322619996E-2</v>
      </c>
    </row>
    <row r="32" spans="1:235" x14ac:dyDescent="0.2">
      <c r="A32" s="2" t="s">
        <v>25</v>
      </c>
      <c r="C32" s="12">
        <v>1</v>
      </c>
      <c r="G32" s="12">
        <v>1</v>
      </c>
      <c r="H32" s="12">
        <v>25</v>
      </c>
      <c r="I32" s="15" t="s">
        <v>43</v>
      </c>
      <c r="O32" s="12">
        <v>2</v>
      </c>
      <c r="S32" s="12">
        <v>4</v>
      </c>
      <c r="T32" s="12">
        <v>1</v>
      </c>
      <c r="U32" s="12">
        <v>3</v>
      </c>
      <c r="W32" s="12">
        <v>1</v>
      </c>
      <c r="X32" s="12">
        <v>1</v>
      </c>
      <c r="Y32" s="12">
        <v>4</v>
      </c>
      <c r="Z32" s="12">
        <v>2</v>
      </c>
      <c r="AA32" s="12">
        <v>4</v>
      </c>
      <c r="AC32" s="12">
        <v>2</v>
      </c>
      <c r="AF32" s="12">
        <v>2</v>
      </c>
      <c r="AG32" s="12">
        <v>1</v>
      </c>
      <c r="AH32" s="12">
        <v>1</v>
      </c>
      <c r="AI32" s="12">
        <v>7</v>
      </c>
      <c r="AJ32" s="12">
        <v>1</v>
      </c>
      <c r="AM32" s="12">
        <v>1</v>
      </c>
      <c r="AN32" s="12">
        <v>3</v>
      </c>
      <c r="AP32" s="12">
        <v>1</v>
      </c>
      <c r="AR32" s="12">
        <v>1</v>
      </c>
      <c r="AV32" s="12">
        <v>1</v>
      </c>
      <c r="AX32" s="12">
        <v>3</v>
      </c>
      <c r="BB32" s="12">
        <v>1</v>
      </c>
      <c r="BC32" s="12">
        <v>1</v>
      </c>
      <c r="BD32" s="12">
        <v>1</v>
      </c>
      <c r="BE32" s="12">
        <v>1</v>
      </c>
      <c r="BF32" s="12">
        <v>3</v>
      </c>
      <c r="BG32" s="12">
        <v>1</v>
      </c>
      <c r="BH32" s="12">
        <v>1</v>
      </c>
      <c r="BI32" s="12">
        <v>1</v>
      </c>
      <c r="BJ32" s="12">
        <v>2</v>
      </c>
      <c r="BK32" s="12">
        <v>3</v>
      </c>
      <c r="BL32" s="12">
        <v>2</v>
      </c>
      <c r="BM32" s="12">
        <v>2</v>
      </c>
      <c r="BN32" s="12">
        <v>2</v>
      </c>
      <c r="BO32" s="12">
        <v>3</v>
      </c>
      <c r="BR32" s="12">
        <v>2</v>
      </c>
      <c r="BT32" s="12">
        <v>2</v>
      </c>
      <c r="BU32" s="12">
        <v>3</v>
      </c>
      <c r="BX32" s="12">
        <v>1</v>
      </c>
      <c r="BY32" s="12">
        <v>1</v>
      </c>
      <c r="BZ32" s="12">
        <v>1</v>
      </c>
      <c r="CA32" s="12">
        <v>1</v>
      </c>
      <c r="CB32" s="12">
        <v>2</v>
      </c>
      <c r="CC32" s="12">
        <v>1</v>
      </c>
      <c r="CE32" s="12">
        <v>1</v>
      </c>
      <c r="CF32" s="12">
        <v>1</v>
      </c>
      <c r="CG32" s="12">
        <v>1</v>
      </c>
      <c r="CH32" s="12">
        <v>8</v>
      </c>
      <c r="CI32" s="12">
        <v>2</v>
      </c>
      <c r="CJ32" s="12">
        <v>5</v>
      </c>
      <c r="CK32" s="12">
        <v>1</v>
      </c>
      <c r="CL32" s="12">
        <v>4</v>
      </c>
      <c r="CM32" s="12">
        <v>4</v>
      </c>
      <c r="CN32" s="12">
        <v>1</v>
      </c>
      <c r="CP32" s="12">
        <v>7</v>
      </c>
      <c r="CQ32" s="12">
        <v>4</v>
      </c>
      <c r="CR32" s="12">
        <v>3</v>
      </c>
      <c r="CS32" s="12">
        <v>6</v>
      </c>
      <c r="CW32" s="12">
        <v>3</v>
      </c>
      <c r="CX32" s="12">
        <v>1</v>
      </c>
      <c r="DA32" s="12">
        <v>3</v>
      </c>
      <c r="DB32" s="12">
        <v>2</v>
      </c>
      <c r="DD32" s="12">
        <v>1</v>
      </c>
      <c r="DE32" s="12">
        <v>4</v>
      </c>
      <c r="DG32" s="12">
        <v>1</v>
      </c>
      <c r="DH32" s="12">
        <v>2</v>
      </c>
      <c r="DI32" s="12">
        <v>1</v>
      </c>
      <c r="DK32" s="12">
        <v>1</v>
      </c>
      <c r="DL32" s="12">
        <v>2</v>
      </c>
      <c r="DM32" s="12">
        <v>6</v>
      </c>
      <c r="DN32" s="12">
        <v>4</v>
      </c>
      <c r="DO32" s="12">
        <v>3</v>
      </c>
      <c r="DP32" s="12">
        <v>1</v>
      </c>
      <c r="DR32" s="12">
        <v>4</v>
      </c>
      <c r="DS32" s="12">
        <v>12</v>
      </c>
      <c r="DT32" s="12">
        <v>11</v>
      </c>
      <c r="DU32" s="12">
        <v>4</v>
      </c>
      <c r="DW32" s="12">
        <v>1</v>
      </c>
      <c r="DX32" s="12">
        <v>1</v>
      </c>
      <c r="DY32" s="12">
        <v>9</v>
      </c>
      <c r="DZ32" s="12">
        <v>6</v>
      </c>
      <c r="EB32" s="12">
        <v>9</v>
      </c>
      <c r="EC32" s="12">
        <v>5</v>
      </c>
      <c r="ED32" s="12">
        <v>3</v>
      </c>
      <c r="EE32" s="12">
        <v>1</v>
      </c>
      <c r="EF32" s="12">
        <v>9</v>
      </c>
      <c r="EG32" s="12">
        <v>3</v>
      </c>
      <c r="EH32" s="12">
        <v>3</v>
      </c>
      <c r="EI32" s="12">
        <v>5</v>
      </c>
      <c r="EJ32" s="12">
        <v>5</v>
      </c>
      <c r="EK32" s="12">
        <v>9</v>
      </c>
      <c r="EL32" s="12">
        <v>3</v>
      </c>
      <c r="EM32" s="12">
        <v>2</v>
      </c>
      <c r="EN32" s="12">
        <v>7</v>
      </c>
      <c r="EO32" s="12">
        <v>10</v>
      </c>
      <c r="EP32" s="12">
        <v>8</v>
      </c>
      <c r="EQ32" s="12">
        <v>4</v>
      </c>
      <c r="ER32" s="19">
        <v>4</v>
      </c>
      <c r="ES32" s="19">
        <v>1</v>
      </c>
      <c r="EV32" s="19">
        <v>2</v>
      </c>
      <c r="EW32" s="19">
        <v>1</v>
      </c>
      <c r="EY32" s="19">
        <v>1</v>
      </c>
      <c r="EZ32" s="1">
        <v>2</v>
      </c>
      <c r="FB32" s="1">
        <v>3</v>
      </c>
      <c r="FD32" s="1">
        <v>8</v>
      </c>
      <c r="FF32" s="1">
        <v>6</v>
      </c>
      <c r="FG32" s="1">
        <v>2</v>
      </c>
      <c r="FH32" s="1">
        <v>6</v>
      </c>
      <c r="FI32" s="1">
        <v>1</v>
      </c>
      <c r="FJ32" s="1">
        <v>3</v>
      </c>
      <c r="FK32" s="1">
        <v>17</v>
      </c>
      <c r="FL32" s="1">
        <v>10</v>
      </c>
      <c r="FM32" s="1">
        <v>6</v>
      </c>
      <c r="FN32" s="1">
        <v>3</v>
      </c>
      <c r="FO32" s="1">
        <v>1</v>
      </c>
      <c r="FP32" s="1">
        <v>3</v>
      </c>
      <c r="FQ32" s="1">
        <v>12</v>
      </c>
      <c r="FR32" s="1">
        <v>1</v>
      </c>
      <c r="FS32" s="1">
        <v>2</v>
      </c>
      <c r="FT32" s="1">
        <v>8</v>
      </c>
      <c r="FU32" s="1">
        <v>13</v>
      </c>
      <c r="FV32" s="1">
        <v>6</v>
      </c>
      <c r="FW32" s="1">
        <v>4</v>
      </c>
      <c r="FX32" s="1">
        <v>5</v>
      </c>
      <c r="FY32" s="1">
        <v>7</v>
      </c>
      <c r="FZ32" s="1">
        <v>12</v>
      </c>
      <c r="GA32" s="1">
        <v>4</v>
      </c>
      <c r="GB32" s="1">
        <v>3</v>
      </c>
      <c r="GD32" s="1">
        <v>3</v>
      </c>
      <c r="GE32" s="1">
        <v>5</v>
      </c>
      <c r="GF32" s="1">
        <v>3</v>
      </c>
      <c r="GG32" s="1">
        <v>1</v>
      </c>
      <c r="GH32" s="1">
        <v>4</v>
      </c>
      <c r="GI32" s="1">
        <v>4</v>
      </c>
      <c r="GJ32" s="1">
        <v>1</v>
      </c>
      <c r="GK32" s="1">
        <v>3</v>
      </c>
      <c r="GL32" s="1">
        <v>4</v>
      </c>
      <c r="GM32" s="1">
        <v>5</v>
      </c>
      <c r="GN32" s="1">
        <v>3</v>
      </c>
      <c r="GO32" s="1">
        <v>1</v>
      </c>
      <c r="GP32" s="1">
        <v>4</v>
      </c>
      <c r="GQ32" s="1">
        <v>7</v>
      </c>
      <c r="GR32" s="1">
        <v>3</v>
      </c>
      <c r="GS32" s="1">
        <v>2</v>
      </c>
      <c r="GT32" s="1">
        <v>1</v>
      </c>
      <c r="GU32" s="1">
        <v>3</v>
      </c>
      <c r="GV32" s="1">
        <v>8</v>
      </c>
      <c r="GW32" s="1">
        <v>8</v>
      </c>
      <c r="GX32" s="1">
        <v>3</v>
      </c>
      <c r="GY32" s="1">
        <v>1</v>
      </c>
      <c r="GZ32" s="1">
        <v>19</v>
      </c>
      <c r="HA32" s="1">
        <v>9</v>
      </c>
      <c r="HB32" s="1">
        <v>1</v>
      </c>
      <c r="HC32" s="1">
        <v>11</v>
      </c>
      <c r="HD32" s="1">
        <v>2</v>
      </c>
      <c r="HF32" s="1">
        <v>1</v>
      </c>
      <c r="HG32" s="1">
        <v>2</v>
      </c>
      <c r="HI32" s="1">
        <v>1</v>
      </c>
      <c r="HJ32" s="1">
        <v>1</v>
      </c>
      <c r="HK32" s="1">
        <v>4</v>
      </c>
      <c r="HL32" s="1">
        <v>5</v>
      </c>
      <c r="HM32" s="1">
        <v>6</v>
      </c>
      <c r="HO32" s="1">
        <v>2</v>
      </c>
      <c r="HP32" s="1">
        <v>1</v>
      </c>
      <c r="HU32" s="1">
        <v>2</v>
      </c>
      <c r="HW32" s="1">
        <v>6</v>
      </c>
      <c r="HY32" s="2" t="s">
        <v>25</v>
      </c>
      <c r="HZ32" s="1">
        <f t="shared" si="0"/>
        <v>635</v>
      </c>
      <c r="IA32" s="24">
        <f>(HZ32/HZ46)*100</f>
        <v>2.979402242762633</v>
      </c>
    </row>
    <row r="33" spans="1:235" s="7" customFormat="1" x14ac:dyDescent="0.2">
      <c r="A33" s="6" t="s">
        <v>26</v>
      </c>
      <c r="B33" s="20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>
        <v>1</v>
      </c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6" t="s">
        <v>43</v>
      </c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>
        <v>1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>
        <v>8</v>
      </c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>
        <v>1</v>
      </c>
      <c r="DI33" s="13"/>
      <c r="DJ33" s="13"/>
      <c r="DK33" s="13"/>
      <c r="DL33" s="13">
        <v>1</v>
      </c>
      <c r="DM33" s="13"/>
      <c r="DN33" s="13"/>
      <c r="DO33" s="16" t="s">
        <v>43</v>
      </c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20">
        <v>1</v>
      </c>
      <c r="ES33" s="20"/>
      <c r="ET33" s="20"/>
      <c r="EU33" s="20"/>
      <c r="EV33" s="20"/>
      <c r="EW33" s="20"/>
      <c r="EX33" s="20"/>
      <c r="EY33" s="20"/>
      <c r="GX33" s="7">
        <v>1</v>
      </c>
      <c r="HY33" s="6" t="s">
        <v>26</v>
      </c>
      <c r="HZ33" s="1">
        <f t="shared" si="0"/>
        <v>14</v>
      </c>
      <c r="IA33" s="24">
        <f>(HZ33/HZ46)*100</f>
        <v>6.5687608501853331E-2</v>
      </c>
    </row>
    <row r="34" spans="1:235" x14ac:dyDescent="0.2">
      <c r="A34" s="2" t="s">
        <v>27</v>
      </c>
      <c r="B34" s="19">
        <v>1</v>
      </c>
      <c r="C34" s="12">
        <v>2</v>
      </c>
      <c r="F34" s="12">
        <v>1</v>
      </c>
      <c r="G34" s="12">
        <v>8</v>
      </c>
      <c r="H34" s="12">
        <v>16</v>
      </c>
      <c r="I34" s="12">
        <v>4</v>
      </c>
      <c r="J34" s="12">
        <v>2</v>
      </c>
      <c r="K34" s="12">
        <v>2</v>
      </c>
      <c r="L34" s="12">
        <v>5</v>
      </c>
      <c r="N34" s="12">
        <v>1</v>
      </c>
      <c r="O34" s="12">
        <v>6</v>
      </c>
      <c r="P34" s="12">
        <v>5</v>
      </c>
      <c r="Q34" s="12">
        <v>2</v>
      </c>
      <c r="R34" s="12">
        <v>2</v>
      </c>
      <c r="S34" s="12">
        <v>10</v>
      </c>
      <c r="T34" s="12">
        <v>4</v>
      </c>
      <c r="U34" s="12">
        <v>8</v>
      </c>
      <c r="V34" s="12">
        <v>6</v>
      </c>
      <c r="W34" s="12">
        <v>6</v>
      </c>
      <c r="X34" s="12">
        <v>3</v>
      </c>
      <c r="Y34" s="12">
        <v>3</v>
      </c>
      <c r="Z34" s="12">
        <v>6</v>
      </c>
      <c r="AA34" s="12">
        <v>5</v>
      </c>
      <c r="AC34" s="12">
        <v>5</v>
      </c>
      <c r="AE34" s="12">
        <v>3</v>
      </c>
      <c r="AF34" s="12">
        <v>9</v>
      </c>
      <c r="AG34" s="12">
        <v>9</v>
      </c>
      <c r="AH34" s="12">
        <v>1</v>
      </c>
      <c r="AI34" s="12">
        <v>6</v>
      </c>
      <c r="AK34" s="12">
        <v>2</v>
      </c>
      <c r="AL34" s="12">
        <v>4</v>
      </c>
      <c r="AM34" s="12">
        <v>3</v>
      </c>
      <c r="AN34" s="12">
        <v>2</v>
      </c>
      <c r="AO34" s="12">
        <v>1</v>
      </c>
      <c r="AP34" s="12">
        <v>9</v>
      </c>
      <c r="AQ34" s="12">
        <v>3</v>
      </c>
      <c r="AR34" s="12">
        <v>7</v>
      </c>
      <c r="AT34" s="12">
        <v>4</v>
      </c>
      <c r="AU34" s="12">
        <v>20</v>
      </c>
      <c r="AV34" s="12">
        <v>3</v>
      </c>
      <c r="AW34" s="12">
        <v>10</v>
      </c>
      <c r="AX34" s="12">
        <v>2</v>
      </c>
      <c r="AY34" s="12">
        <v>4</v>
      </c>
      <c r="BA34" s="12">
        <v>3</v>
      </c>
      <c r="BF34" s="12">
        <v>4</v>
      </c>
      <c r="BG34" s="12">
        <v>3</v>
      </c>
      <c r="BH34" s="12">
        <v>3</v>
      </c>
      <c r="BI34" s="12">
        <v>2</v>
      </c>
      <c r="BJ34" s="15">
        <v>50</v>
      </c>
      <c r="BK34" s="12">
        <v>4</v>
      </c>
      <c r="BL34" s="12">
        <v>5</v>
      </c>
      <c r="BM34" s="12">
        <v>5</v>
      </c>
      <c r="BN34" s="12">
        <v>4</v>
      </c>
      <c r="BO34" s="12">
        <v>6</v>
      </c>
      <c r="BP34" s="12">
        <v>5</v>
      </c>
      <c r="BQ34" s="12">
        <v>2</v>
      </c>
      <c r="BR34" s="12">
        <v>13</v>
      </c>
      <c r="BS34" s="12">
        <v>13</v>
      </c>
      <c r="BT34" s="12">
        <v>6</v>
      </c>
      <c r="BU34" s="12">
        <v>9</v>
      </c>
      <c r="BW34" s="12">
        <v>2</v>
      </c>
      <c r="BX34" s="12">
        <v>1</v>
      </c>
      <c r="BZ34" s="12">
        <v>3</v>
      </c>
      <c r="CB34" s="12">
        <v>4</v>
      </c>
      <c r="CC34" s="12">
        <v>4</v>
      </c>
      <c r="CE34" s="12">
        <v>4</v>
      </c>
      <c r="CF34" s="12">
        <v>2</v>
      </c>
      <c r="CG34" s="12">
        <v>1</v>
      </c>
      <c r="CH34" s="12">
        <v>5</v>
      </c>
      <c r="CI34" s="12">
        <v>3</v>
      </c>
      <c r="CJ34" s="12">
        <v>4</v>
      </c>
      <c r="CL34" s="12">
        <v>7</v>
      </c>
      <c r="CM34" s="12">
        <v>6</v>
      </c>
      <c r="CN34" s="12">
        <v>2</v>
      </c>
      <c r="CO34" s="12">
        <v>1</v>
      </c>
      <c r="CP34" s="12">
        <v>4</v>
      </c>
      <c r="CQ34" s="12">
        <v>12</v>
      </c>
      <c r="CR34" s="12">
        <v>3</v>
      </c>
      <c r="CS34" s="12">
        <v>8</v>
      </c>
      <c r="CT34" s="12">
        <v>2</v>
      </c>
      <c r="CU34" s="12">
        <v>2</v>
      </c>
      <c r="CV34" s="12">
        <v>5</v>
      </c>
      <c r="CW34" s="12">
        <v>7</v>
      </c>
      <c r="CX34" s="12">
        <v>8</v>
      </c>
      <c r="CY34" s="12">
        <v>4</v>
      </c>
      <c r="CZ34" s="12">
        <v>2</v>
      </c>
      <c r="DA34" s="12">
        <v>4</v>
      </c>
      <c r="DB34" s="12">
        <v>6</v>
      </c>
      <c r="DD34" s="12">
        <v>3</v>
      </c>
      <c r="DE34" s="12">
        <v>6</v>
      </c>
      <c r="DF34" s="12">
        <v>6</v>
      </c>
      <c r="DG34" s="12">
        <v>4</v>
      </c>
      <c r="DH34" s="12">
        <v>1</v>
      </c>
      <c r="DI34" s="12">
        <v>1</v>
      </c>
      <c r="DJ34" s="12">
        <v>1</v>
      </c>
      <c r="DK34" s="12">
        <v>1</v>
      </c>
      <c r="DL34" s="12">
        <v>1</v>
      </c>
      <c r="DM34" s="12">
        <v>4</v>
      </c>
      <c r="DN34" s="12">
        <v>3</v>
      </c>
      <c r="DO34" s="12">
        <v>3</v>
      </c>
      <c r="DP34" s="12">
        <v>1</v>
      </c>
      <c r="DQ34" s="12">
        <v>4</v>
      </c>
      <c r="DR34" s="12">
        <v>9</v>
      </c>
      <c r="DS34" s="12">
        <v>12</v>
      </c>
      <c r="DT34" s="12">
        <v>5</v>
      </c>
      <c r="DU34" s="12">
        <v>1</v>
      </c>
      <c r="DV34" s="12">
        <v>5</v>
      </c>
      <c r="DW34" s="12">
        <v>4</v>
      </c>
      <c r="DX34" s="12">
        <v>6</v>
      </c>
      <c r="DY34" s="12">
        <v>16</v>
      </c>
      <c r="DZ34" s="12">
        <v>13</v>
      </c>
      <c r="EA34" s="12">
        <v>10</v>
      </c>
      <c r="EB34" s="12">
        <v>11</v>
      </c>
      <c r="EC34" s="12">
        <v>13</v>
      </c>
      <c r="ED34" s="12">
        <v>23</v>
      </c>
      <c r="EE34" s="12">
        <v>2</v>
      </c>
      <c r="EF34" s="12">
        <v>10</v>
      </c>
      <c r="EG34" s="12">
        <v>3</v>
      </c>
      <c r="EH34" s="12">
        <v>5</v>
      </c>
      <c r="EI34" s="12">
        <v>14</v>
      </c>
      <c r="EJ34" s="12">
        <v>22</v>
      </c>
      <c r="EK34" s="12">
        <v>1</v>
      </c>
      <c r="EL34" s="12">
        <v>9</v>
      </c>
      <c r="EM34" s="12">
        <v>14</v>
      </c>
      <c r="EN34" s="12">
        <v>2</v>
      </c>
      <c r="EO34" s="12">
        <v>15</v>
      </c>
      <c r="EP34" s="12">
        <v>9</v>
      </c>
      <c r="EQ34" s="12">
        <v>3</v>
      </c>
      <c r="ER34" s="19">
        <v>9</v>
      </c>
      <c r="ES34" s="19">
        <v>10</v>
      </c>
      <c r="ET34" s="19">
        <v>15</v>
      </c>
      <c r="EU34" s="19">
        <v>2</v>
      </c>
      <c r="EV34" s="19">
        <v>3</v>
      </c>
      <c r="EW34" s="19">
        <v>4</v>
      </c>
      <c r="EX34" s="19">
        <v>18</v>
      </c>
      <c r="EY34" s="19">
        <v>6</v>
      </c>
      <c r="EZ34" s="1">
        <v>12</v>
      </c>
      <c r="FA34" s="1">
        <v>23</v>
      </c>
      <c r="FB34" s="1">
        <v>13</v>
      </c>
      <c r="FC34" s="1">
        <v>3</v>
      </c>
      <c r="FD34" s="1">
        <v>15</v>
      </c>
      <c r="FE34" s="1">
        <v>8</v>
      </c>
      <c r="FF34" s="1">
        <v>13</v>
      </c>
      <c r="FG34" s="1">
        <v>13</v>
      </c>
      <c r="FH34" s="1">
        <v>7</v>
      </c>
      <c r="FI34" s="1">
        <v>11</v>
      </c>
      <c r="FJ34" s="1">
        <v>10</v>
      </c>
      <c r="FK34" s="1">
        <v>18</v>
      </c>
      <c r="FL34" s="1">
        <v>13</v>
      </c>
      <c r="FM34" s="1">
        <v>20</v>
      </c>
      <c r="FN34" s="1">
        <v>4</v>
      </c>
      <c r="FO34" s="1">
        <v>6</v>
      </c>
      <c r="FP34" s="1">
        <v>14</v>
      </c>
      <c r="FQ34" s="1">
        <v>26</v>
      </c>
      <c r="FR34" s="1">
        <v>6</v>
      </c>
      <c r="FS34" s="1">
        <v>9</v>
      </c>
      <c r="FT34" s="1">
        <v>9</v>
      </c>
      <c r="FU34" s="1">
        <v>25</v>
      </c>
      <c r="FV34" s="1">
        <v>5</v>
      </c>
      <c r="FX34" s="1">
        <v>27</v>
      </c>
      <c r="FY34" s="1">
        <v>13</v>
      </c>
      <c r="FZ34" s="1">
        <v>18</v>
      </c>
      <c r="GA34" s="1">
        <v>10</v>
      </c>
      <c r="GB34" s="1">
        <v>5</v>
      </c>
      <c r="GC34" s="1">
        <v>8</v>
      </c>
      <c r="GD34" s="1">
        <v>12</v>
      </c>
      <c r="GE34" s="1">
        <v>17</v>
      </c>
      <c r="GF34" s="1">
        <v>25</v>
      </c>
      <c r="GG34" s="1">
        <v>7</v>
      </c>
      <c r="GH34" s="1">
        <v>33</v>
      </c>
      <c r="GI34" s="1">
        <v>21</v>
      </c>
      <c r="GJ34" s="1">
        <v>14</v>
      </c>
      <c r="GK34" s="1">
        <v>10</v>
      </c>
      <c r="GL34" s="1">
        <v>10</v>
      </c>
      <c r="GM34" s="1">
        <v>24</v>
      </c>
      <c r="GN34" s="1">
        <v>17</v>
      </c>
      <c r="GO34" s="1">
        <v>20</v>
      </c>
      <c r="GP34" s="1">
        <v>5</v>
      </c>
      <c r="GQ34" s="1">
        <v>35</v>
      </c>
      <c r="GR34" s="1">
        <v>11</v>
      </c>
      <c r="GS34" s="1">
        <v>16</v>
      </c>
      <c r="GT34" s="1">
        <v>6</v>
      </c>
      <c r="GU34" s="1">
        <v>37</v>
      </c>
      <c r="GV34" s="1">
        <v>52</v>
      </c>
      <c r="GW34" s="1">
        <v>22</v>
      </c>
      <c r="GX34" s="1">
        <v>13</v>
      </c>
      <c r="GY34" s="1">
        <v>22</v>
      </c>
      <c r="GZ34" s="1">
        <v>22</v>
      </c>
      <c r="HA34" s="1">
        <v>62</v>
      </c>
      <c r="HB34" s="1">
        <v>29</v>
      </c>
      <c r="HC34" s="1">
        <v>54</v>
      </c>
      <c r="HD34" s="1">
        <v>9</v>
      </c>
      <c r="HE34" s="1">
        <v>21</v>
      </c>
      <c r="HF34" s="1">
        <v>29</v>
      </c>
      <c r="HG34" s="1">
        <v>13</v>
      </c>
      <c r="HH34" s="1">
        <v>20</v>
      </c>
      <c r="HI34" s="1">
        <v>53</v>
      </c>
      <c r="HJ34" s="1">
        <v>22</v>
      </c>
      <c r="HK34" s="1">
        <v>44</v>
      </c>
      <c r="HL34" s="1">
        <v>30</v>
      </c>
      <c r="HM34" s="1">
        <v>51</v>
      </c>
      <c r="HO34" s="1">
        <v>18</v>
      </c>
      <c r="HP34" s="1">
        <v>19</v>
      </c>
      <c r="HQ34" s="1">
        <v>24</v>
      </c>
      <c r="HR34" s="1">
        <v>16</v>
      </c>
      <c r="HS34" s="1">
        <v>14</v>
      </c>
      <c r="HT34" s="1">
        <v>7</v>
      </c>
      <c r="HU34" s="1">
        <v>10</v>
      </c>
      <c r="HV34" s="1">
        <v>13</v>
      </c>
      <c r="HW34" s="1">
        <v>39</v>
      </c>
      <c r="HY34" s="2" t="s">
        <v>27</v>
      </c>
      <c r="HZ34" s="1">
        <f t="shared" si="0"/>
        <v>2223</v>
      </c>
      <c r="IA34" s="24">
        <f>(HZ34/HZ46)*100</f>
        <v>10.430253835687139</v>
      </c>
    </row>
    <row r="35" spans="1:235" s="7" customFormat="1" x14ac:dyDescent="0.2">
      <c r="A35" s="6" t="s">
        <v>28</v>
      </c>
      <c r="B35" s="20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>
        <v>1</v>
      </c>
      <c r="EE35" s="13"/>
      <c r="EF35" s="13"/>
      <c r="EG35" s="13"/>
      <c r="EH35" s="13">
        <v>1</v>
      </c>
      <c r="EI35" s="13"/>
      <c r="EJ35" s="13"/>
      <c r="EK35" s="13"/>
      <c r="EL35" s="13"/>
      <c r="EM35" s="13"/>
      <c r="EN35" s="13"/>
      <c r="EO35" s="13"/>
      <c r="EP35" s="13"/>
      <c r="EQ35" s="13"/>
      <c r="ER35" s="20"/>
      <c r="ES35" s="20"/>
      <c r="ET35" s="20"/>
      <c r="EU35" s="20"/>
      <c r="EV35" s="20"/>
      <c r="EW35" s="20"/>
      <c r="EX35" s="20"/>
      <c r="EY35" s="20"/>
      <c r="GN35" s="7">
        <v>1</v>
      </c>
      <c r="GU35" s="7">
        <v>1</v>
      </c>
      <c r="GX35" s="7">
        <v>1</v>
      </c>
      <c r="GY35" s="7">
        <v>1</v>
      </c>
      <c r="GZ35" s="7">
        <v>1</v>
      </c>
      <c r="HA35" s="7">
        <v>2</v>
      </c>
      <c r="HC35" s="7">
        <v>1</v>
      </c>
      <c r="HE35" s="7">
        <v>1</v>
      </c>
      <c r="HF35" s="7">
        <v>1</v>
      </c>
      <c r="HG35" s="7">
        <v>1</v>
      </c>
      <c r="HI35" s="7">
        <v>2</v>
      </c>
      <c r="HJ35" s="7">
        <v>1</v>
      </c>
      <c r="HQ35" s="7">
        <v>3</v>
      </c>
      <c r="HR35" s="7">
        <v>1</v>
      </c>
      <c r="HS35" s="7">
        <v>1</v>
      </c>
      <c r="HU35" s="7">
        <v>1</v>
      </c>
      <c r="HY35" s="6" t="s">
        <v>28</v>
      </c>
      <c r="HZ35" s="1">
        <f t="shared" si="0"/>
        <v>22</v>
      </c>
      <c r="IA35" s="24">
        <f>(HZ35/HZ46)*100</f>
        <v>0.10322338478862667</v>
      </c>
    </row>
    <row r="36" spans="1:235" x14ac:dyDescent="0.2">
      <c r="A36" s="2" t="s">
        <v>29</v>
      </c>
      <c r="O36" s="12">
        <v>1</v>
      </c>
      <c r="R36" s="12">
        <v>1</v>
      </c>
      <c r="S36" s="12">
        <v>1</v>
      </c>
      <c r="AE36" s="12">
        <v>1</v>
      </c>
      <c r="AP36" s="12">
        <v>1</v>
      </c>
      <c r="AX36" s="12">
        <v>2</v>
      </c>
      <c r="BG36" s="12">
        <v>3</v>
      </c>
      <c r="BR36" s="12">
        <v>1</v>
      </c>
      <c r="BT36" s="12">
        <v>1</v>
      </c>
      <c r="BW36" s="12">
        <v>1</v>
      </c>
      <c r="BZ36" s="12">
        <v>1</v>
      </c>
      <c r="CB36" s="12">
        <v>1</v>
      </c>
      <c r="CJ36" s="12">
        <v>2</v>
      </c>
      <c r="CL36" s="12">
        <v>1</v>
      </c>
      <c r="CM36" s="12">
        <v>2</v>
      </c>
      <c r="CN36" s="12">
        <v>1</v>
      </c>
      <c r="CO36" s="12">
        <v>1</v>
      </c>
      <c r="CP36" s="12">
        <v>1</v>
      </c>
      <c r="CW36" s="12">
        <v>2</v>
      </c>
      <c r="CX36" s="12">
        <v>1</v>
      </c>
      <c r="DE36" s="12">
        <v>1</v>
      </c>
      <c r="DF36" s="12">
        <v>2</v>
      </c>
      <c r="DG36" s="12">
        <v>1</v>
      </c>
      <c r="DH36" s="12">
        <v>1</v>
      </c>
      <c r="DJ36" s="12">
        <v>1</v>
      </c>
      <c r="DK36" s="12">
        <v>1</v>
      </c>
      <c r="DM36" s="12">
        <v>1</v>
      </c>
      <c r="DP36" s="12">
        <v>2</v>
      </c>
      <c r="DS36" s="12">
        <v>1</v>
      </c>
      <c r="DX36" s="12">
        <v>1</v>
      </c>
      <c r="DZ36" s="12">
        <v>2</v>
      </c>
      <c r="EA36" s="12">
        <v>1</v>
      </c>
      <c r="EB36" s="12">
        <v>1</v>
      </c>
      <c r="EC36" s="12">
        <v>1</v>
      </c>
      <c r="EH36" s="12">
        <v>1</v>
      </c>
      <c r="EJ36" s="12">
        <v>2</v>
      </c>
      <c r="ES36" s="19">
        <v>1</v>
      </c>
      <c r="EW36" s="19">
        <v>1</v>
      </c>
      <c r="FD36" s="1">
        <v>1</v>
      </c>
      <c r="FK36" s="1">
        <v>1</v>
      </c>
      <c r="FP36" s="1">
        <v>1</v>
      </c>
      <c r="FQ36" s="1">
        <v>1</v>
      </c>
      <c r="FR36" s="1">
        <v>2</v>
      </c>
      <c r="FT36" s="1">
        <v>1</v>
      </c>
      <c r="FU36" s="3" t="s">
        <v>43</v>
      </c>
      <c r="FX36" s="1">
        <v>1</v>
      </c>
      <c r="GF36" s="1">
        <v>1</v>
      </c>
      <c r="GJ36" s="1">
        <v>1</v>
      </c>
      <c r="GM36" s="1">
        <v>1</v>
      </c>
      <c r="GQ36" s="1">
        <v>1</v>
      </c>
      <c r="HF36" s="1">
        <v>1</v>
      </c>
      <c r="HI36" s="1">
        <v>1</v>
      </c>
      <c r="HS36" s="1">
        <v>1</v>
      </c>
      <c r="HW36" s="1">
        <v>1</v>
      </c>
      <c r="HY36" s="2" t="s">
        <v>29</v>
      </c>
      <c r="HZ36" s="1">
        <f t="shared" si="0"/>
        <v>64</v>
      </c>
      <c r="IA36" s="24">
        <f>(HZ36/HZ46)*100</f>
        <v>0.30028621029418667</v>
      </c>
    </row>
    <row r="37" spans="1:235" s="7" customFormat="1" x14ac:dyDescent="0.2">
      <c r="A37" s="6" t="s">
        <v>30</v>
      </c>
      <c r="B37" s="20"/>
      <c r="C37" s="13"/>
      <c r="D37" s="13"/>
      <c r="E37" s="13"/>
      <c r="F37" s="13"/>
      <c r="G37" s="13"/>
      <c r="H37" s="13"/>
      <c r="I37" s="13"/>
      <c r="J37" s="13"/>
      <c r="K37" s="16" t="s">
        <v>43</v>
      </c>
      <c r="L37" s="13"/>
      <c r="M37" s="13"/>
      <c r="N37" s="13">
        <v>2</v>
      </c>
      <c r="O37" s="13"/>
      <c r="P37" s="13"/>
      <c r="Q37" s="16" t="s">
        <v>43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>
        <v>1</v>
      </c>
      <c r="CA37" s="13"/>
      <c r="CB37" s="13">
        <v>1</v>
      </c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6" t="s">
        <v>43</v>
      </c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20"/>
      <c r="ES37" s="20"/>
      <c r="ET37" s="20"/>
      <c r="EU37" s="20"/>
      <c r="EV37" s="20"/>
      <c r="EW37" s="20"/>
      <c r="EX37" s="20"/>
      <c r="EY37" s="20"/>
      <c r="FA37" s="25" t="s">
        <v>43</v>
      </c>
      <c r="FK37" s="25" t="s">
        <v>43</v>
      </c>
      <c r="FQ37" s="25" t="s">
        <v>43</v>
      </c>
      <c r="FU37" s="25" t="s">
        <v>43</v>
      </c>
      <c r="HY37" s="6" t="s">
        <v>30</v>
      </c>
      <c r="HZ37" s="1">
        <f t="shared" si="0"/>
        <v>4</v>
      </c>
      <c r="IA37" s="24">
        <f>(HZ37/HZ46)*100</f>
        <v>1.8767888143386667E-2</v>
      </c>
    </row>
    <row r="38" spans="1:235" x14ac:dyDescent="0.2">
      <c r="A38" s="2" t="s">
        <v>31</v>
      </c>
      <c r="P38" s="12">
        <v>1</v>
      </c>
      <c r="Q38" s="12">
        <v>1</v>
      </c>
      <c r="W38" s="12">
        <v>1</v>
      </c>
      <c r="Z38" s="12">
        <v>1</v>
      </c>
      <c r="AL38" s="12">
        <v>1</v>
      </c>
      <c r="AP38" s="12">
        <v>1</v>
      </c>
      <c r="AS38" s="12">
        <v>2</v>
      </c>
      <c r="AT38" s="12">
        <v>1</v>
      </c>
      <c r="BF38" s="12">
        <v>1</v>
      </c>
      <c r="BG38" s="12">
        <v>1</v>
      </c>
      <c r="BK38" s="12">
        <v>1</v>
      </c>
      <c r="BM38" s="12">
        <v>1</v>
      </c>
      <c r="BU38" s="12">
        <v>2</v>
      </c>
      <c r="BV38" s="12">
        <v>3</v>
      </c>
      <c r="BX38" s="12">
        <v>1</v>
      </c>
      <c r="CC38" s="12">
        <v>1</v>
      </c>
      <c r="CG38" s="12">
        <v>1</v>
      </c>
      <c r="CI38" s="12">
        <v>1</v>
      </c>
      <c r="CP38" s="12">
        <v>1</v>
      </c>
      <c r="CW38" s="12">
        <v>2</v>
      </c>
      <c r="DE38" s="12">
        <v>1</v>
      </c>
      <c r="DF38" s="12">
        <v>2</v>
      </c>
      <c r="DH38" s="12">
        <v>2</v>
      </c>
      <c r="DJ38" s="12">
        <v>1</v>
      </c>
      <c r="DM38" s="12">
        <v>2</v>
      </c>
      <c r="DN38" s="12">
        <v>1</v>
      </c>
      <c r="DP38" s="12">
        <v>1</v>
      </c>
      <c r="DQ38" s="12">
        <v>1</v>
      </c>
      <c r="DR38" s="12">
        <v>6</v>
      </c>
      <c r="DS38" s="12">
        <v>3</v>
      </c>
      <c r="DT38" s="12">
        <v>2</v>
      </c>
      <c r="DX38" s="12">
        <v>1</v>
      </c>
      <c r="DY38" s="12">
        <v>1</v>
      </c>
      <c r="DZ38" s="12">
        <v>1</v>
      </c>
      <c r="EA38" s="12">
        <v>2</v>
      </c>
      <c r="EB38" s="12">
        <v>2</v>
      </c>
      <c r="EC38" s="12">
        <v>1</v>
      </c>
      <c r="ED38" s="12">
        <v>1</v>
      </c>
      <c r="EG38" s="12">
        <v>1</v>
      </c>
      <c r="EH38" s="12">
        <v>3</v>
      </c>
      <c r="EI38" s="12">
        <v>3</v>
      </c>
      <c r="EJ38" s="12">
        <v>1</v>
      </c>
      <c r="EK38" s="12">
        <v>2</v>
      </c>
      <c r="EY38" s="19">
        <v>1</v>
      </c>
      <c r="EZ38" s="1">
        <v>1</v>
      </c>
      <c r="FA38" s="1">
        <v>2</v>
      </c>
      <c r="FB38" s="1">
        <v>1</v>
      </c>
      <c r="FD38" s="1">
        <v>6</v>
      </c>
      <c r="FE38" s="1">
        <v>1</v>
      </c>
      <c r="FF38" s="1">
        <v>1</v>
      </c>
      <c r="FI38" s="1">
        <v>2</v>
      </c>
      <c r="FK38" s="1">
        <v>1</v>
      </c>
      <c r="FL38" s="3" t="s">
        <v>43</v>
      </c>
      <c r="FN38" s="1">
        <v>1</v>
      </c>
      <c r="FO38" s="1">
        <v>1</v>
      </c>
      <c r="FQ38" s="1">
        <v>1</v>
      </c>
      <c r="FS38" s="1">
        <v>3</v>
      </c>
      <c r="FU38" s="1">
        <v>3</v>
      </c>
      <c r="FX38" s="1">
        <v>1</v>
      </c>
      <c r="GD38" s="1">
        <v>1</v>
      </c>
      <c r="GF38" s="1">
        <v>1</v>
      </c>
      <c r="GI38" s="1">
        <v>2</v>
      </c>
      <c r="GN38" s="1">
        <v>1</v>
      </c>
      <c r="GR38" s="1">
        <v>1</v>
      </c>
      <c r="GU38" s="1">
        <v>28</v>
      </c>
      <c r="GV38" s="1">
        <v>2</v>
      </c>
      <c r="GW38" s="1">
        <v>4</v>
      </c>
      <c r="GY38" s="1">
        <v>2</v>
      </c>
      <c r="GZ38" s="1">
        <v>3</v>
      </c>
      <c r="HA38" s="1">
        <v>3</v>
      </c>
      <c r="HB38" s="1">
        <v>3</v>
      </c>
      <c r="HC38" s="1">
        <v>6</v>
      </c>
      <c r="HE38" s="1">
        <v>1</v>
      </c>
      <c r="HF38" s="1">
        <v>6</v>
      </c>
      <c r="HI38" s="1">
        <v>1</v>
      </c>
      <c r="HK38" s="1">
        <v>3</v>
      </c>
      <c r="HL38" s="1">
        <v>2</v>
      </c>
      <c r="HQ38" s="1">
        <v>2</v>
      </c>
      <c r="HR38" s="1">
        <v>5</v>
      </c>
      <c r="HS38" s="1">
        <v>3</v>
      </c>
      <c r="HV38" s="1">
        <v>4</v>
      </c>
      <c r="HY38" s="2" t="s">
        <v>31</v>
      </c>
      <c r="HZ38" s="1">
        <f t="shared" si="0"/>
        <v>176</v>
      </c>
      <c r="IA38" s="24">
        <f>(HZ38/HZ46)*100</f>
        <v>0.82578707830901332</v>
      </c>
    </row>
    <row r="39" spans="1:235" s="7" customFormat="1" x14ac:dyDescent="0.2">
      <c r="A39" s="6" t="s">
        <v>32</v>
      </c>
      <c r="B39" s="20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>
        <v>1</v>
      </c>
      <c r="AJ39" s="13"/>
      <c r="AK39" s="13"/>
      <c r="AL39" s="13"/>
      <c r="AM39" s="13"/>
      <c r="AN39" s="13"/>
      <c r="AO39" s="13"/>
      <c r="AP39" s="13">
        <v>1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>
        <v>1</v>
      </c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20"/>
      <c r="ES39" s="20"/>
      <c r="ET39" s="20"/>
      <c r="EU39" s="20"/>
      <c r="EV39" s="20"/>
      <c r="EW39" s="20"/>
      <c r="EX39" s="20"/>
      <c r="EY39" s="20"/>
      <c r="GV39" s="7">
        <v>1</v>
      </c>
      <c r="HC39" s="7">
        <v>1</v>
      </c>
      <c r="HG39" s="7">
        <v>1</v>
      </c>
      <c r="HK39" s="7">
        <v>1</v>
      </c>
      <c r="HY39" s="6" t="s">
        <v>32</v>
      </c>
      <c r="HZ39" s="1">
        <f t="shared" si="0"/>
        <v>7</v>
      </c>
      <c r="IA39" s="24">
        <f>(HZ39/HZ46)*100</f>
        <v>3.2843804250926666E-2</v>
      </c>
    </row>
    <row r="40" spans="1:235" x14ac:dyDescent="0.2">
      <c r="A40" s="2" t="s">
        <v>33</v>
      </c>
      <c r="O40" s="12">
        <v>1</v>
      </c>
      <c r="W40" s="12">
        <v>1</v>
      </c>
      <c r="AA40" s="12">
        <v>1</v>
      </c>
      <c r="AC40" s="12">
        <v>1</v>
      </c>
      <c r="AI40" s="12">
        <v>1</v>
      </c>
      <c r="AL40" s="12">
        <v>1</v>
      </c>
      <c r="BE40" s="12">
        <v>1</v>
      </c>
      <c r="BG40" s="12">
        <v>1</v>
      </c>
      <c r="BR40" s="12">
        <v>1</v>
      </c>
      <c r="BU40" s="12">
        <v>4</v>
      </c>
      <c r="BW40" s="12">
        <v>1</v>
      </c>
      <c r="CJ40" s="12">
        <v>2</v>
      </c>
      <c r="CM40" s="12">
        <v>6</v>
      </c>
      <c r="CP40" s="12">
        <v>3</v>
      </c>
      <c r="CQ40" s="12">
        <v>2</v>
      </c>
      <c r="CX40" s="12">
        <v>2</v>
      </c>
      <c r="DA40" s="12">
        <v>1</v>
      </c>
      <c r="DB40" s="12">
        <v>1</v>
      </c>
      <c r="DE40" s="12">
        <v>3</v>
      </c>
      <c r="DF40" s="12">
        <v>2</v>
      </c>
      <c r="DL40" s="12">
        <v>1</v>
      </c>
      <c r="DN40" s="12">
        <v>1</v>
      </c>
      <c r="DP40" s="12">
        <v>1</v>
      </c>
      <c r="DR40" s="12">
        <v>1</v>
      </c>
      <c r="DS40" s="12">
        <v>3</v>
      </c>
      <c r="DT40" s="12">
        <v>3</v>
      </c>
      <c r="DX40" s="12">
        <v>1</v>
      </c>
      <c r="EB40" s="12">
        <v>1</v>
      </c>
      <c r="EC40" s="12">
        <v>1</v>
      </c>
      <c r="ED40" s="12">
        <v>1</v>
      </c>
      <c r="EF40" s="12">
        <v>2</v>
      </c>
      <c r="EH40" s="12">
        <v>1</v>
      </c>
      <c r="EI40" s="12">
        <v>2</v>
      </c>
      <c r="EJ40" s="12">
        <v>2</v>
      </c>
      <c r="EK40" s="12">
        <v>1</v>
      </c>
      <c r="EO40" s="12">
        <v>2</v>
      </c>
      <c r="EP40" s="12">
        <v>1</v>
      </c>
      <c r="EW40" s="19">
        <v>1</v>
      </c>
      <c r="EY40" s="19">
        <v>4</v>
      </c>
      <c r="EZ40" s="1">
        <v>1</v>
      </c>
      <c r="FD40" s="1">
        <v>2</v>
      </c>
      <c r="FJ40" s="1">
        <v>1</v>
      </c>
      <c r="FK40" s="1">
        <v>4</v>
      </c>
      <c r="FQ40" s="1">
        <v>5</v>
      </c>
      <c r="FS40" s="1">
        <v>3</v>
      </c>
      <c r="FU40" s="1">
        <v>1</v>
      </c>
      <c r="FY40" s="1">
        <v>1</v>
      </c>
      <c r="FZ40" s="1">
        <v>4</v>
      </c>
      <c r="GC40" s="1">
        <v>1</v>
      </c>
      <c r="GD40" s="1">
        <v>3</v>
      </c>
      <c r="GF40" s="1">
        <v>1</v>
      </c>
      <c r="GG40" s="1">
        <v>2</v>
      </c>
      <c r="GH40" s="1">
        <v>2</v>
      </c>
      <c r="GI40" s="1">
        <v>7</v>
      </c>
      <c r="GJ40" s="1">
        <v>3</v>
      </c>
      <c r="GK40" s="1">
        <v>1</v>
      </c>
      <c r="GL40" s="1">
        <v>2</v>
      </c>
      <c r="GM40" s="1">
        <v>4</v>
      </c>
      <c r="GP40" s="1">
        <v>1</v>
      </c>
      <c r="GQ40" s="1">
        <v>1</v>
      </c>
      <c r="GR40" s="1">
        <v>1</v>
      </c>
      <c r="GS40" s="1">
        <v>2</v>
      </c>
      <c r="GU40" s="1">
        <v>2</v>
      </c>
      <c r="GW40" s="1">
        <v>3</v>
      </c>
      <c r="GX40" s="1">
        <v>3</v>
      </c>
      <c r="GY40" s="1">
        <v>7</v>
      </c>
      <c r="GZ40" s="1">
        <v>8</v>
      </c>
      <c r="HA40" s="1">
        <v>7</v>
      </c>
      <c r="HB40" s="1">
        <v>1</v>
      </c>
      <c r="HC40" s="1">
        <v>6</v>
      </c>
      <c r="HD40" s="1">
        <v>2</v>
      </c>
      <c r="HE40" s="1">
        <v>1</v>
      </c>
      <c r="HG40" s="1">
        <v>2</v>
      </c>
      <c r="HH40" s="1">
        <v>3</v>
      </c>
      <c r="HI40" s="1">
        <v>3</v>
      </c>
      <c r="HJ40" s="1">
        <v>4</v>
      </c>
      <c r="HK40" s="1">
        <v>2</v>
      </c>
      <c r="HL40" s="1">
        <v>4</v>
      </c>
      <c r="HM40" s="1">
        <v>8</v>
      </c>
      <c r="HO40" s="1">
        <v>1</v>
      </c>
      <c r="HP40" s="1">
        <v>2</v>
      </c>
      <c r="HQ40" s="1">
        <v>2</v>
      </c>
      <c r="HS40" s="1">
        <v>4</v>
      </c>
      <c r="HU40" s="1">
        <v>1</v>
      </c>
      <c r="HW40" s="1">
        <v>7</v>
      </c>
      <c r="HY40" s="2" t="s">
        <v>33</v>
      </c>
      <c r="HZ40" s="1">
        <f t="shared" si="0"/>
        <v>202</v>
      </c>
      <c r="IA40" s="24">
        <f>(HZ40/HZ46)*100</f>
        <v>0.9477783512410265</v>
      </c>
    </row>
    <row r="41" spans="1:235" s="7" customFormat="1" x14ac:dyDescent="0.2">
      <c r="A41" s="6" t="s">
        <v>34</v>
      </c>
      <c r="B41" s="20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20"/>
      <c r="ES41" s="20"/>
      <c r="ET41" s="20"/>
      <c r="EU41" s="20"/>
      <c r="EV41" s="20"/>
      <c r="EW41" s="20"/>
      <c r="EX41" s="20"/>
      <c r="EY41" s="20"/>
      <c r="HY41" s="6" t="s">
        <v>34</v>
      </c>
      <c r="HZ41" s="1">
        <f t="shared" si="0"/>
        <v>0</v>
      </c>
      <c r="IA41" s="24">
        <f>(HZ41/HZ46)*100</f>
        <v>0</v>
      </c>
    </row>
    <row r="42" spans="1:235" x14ac:dyDescent="0.2">
      <c r="A42" s="2" t="s">
        <v>35</v>
      </c>
      <c r="AD42" s="12">
        <v>1</v>
      </c>
      <c r="BI42" s="12">
        <v>1</v>
      </c>
      <c r="HY42" s="2" t="s">
        <v>35</v>
      </c>
      <c r="HZ42" s="1">
        <f t="shared" si="0"/>
        <v>2</v>
      </c>
      <c r="IA42" s="24">
        <f>(HZ42/HZ46)*100</f>
        <v>9.3839440716933335E-3</v>
      </c>
    </row>
    <row r="43" spans="1:235" s="7" customFormat="1" x14ac:dyDescent="0.2">
      <c r="A43" s="6" t="s">
        <v>36</v>
      </c>
      <c r="B43" s="20"/>
      <c r="C43" s="13"/>
      <c r="D43" s="13"/>
      <c r="E43" s="13"/>
      <c r="F43" s="13"/>
      <c r="G43" s="13"/>
      <c r="H43" s="13"/>
      <c r="I43" s="13"/>
      <c r="J43" s="13"/>
      <c r="K43" s="16" t="s">
        <v>43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>
        <v>1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>
        <v>1</v>
      </c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20"/>
      <c r="ES43" s="20"/>
      <c r="ET43" s="20"/>
      <c r="EU43" s="20"/>
      <c r="EV43" s="20"/>
      <c r="EW43" s="20"/>
      <c r="EX43" s="20"/>
      <c r="EY43" s="20"/>
      <c r="FX43" s="7">
        <v>1</v>
      </c>
      <c r="FZ43" s="7">
        <v>1</v>
      </c>
      <c r="GO43" s="7">
        <v>1</v>
      </c>
      <c r="HY43" s="6" t="s">
        <v>36</v>
      </c>
      <c r="HZ43" s="1">
        <f t="shared" si="0"/>
        <v>6</v>
      </c>
      <c r="IA43" s="24">
        <f>(HZ43/HZ46)*100</f>
        <v>2.8151832215079997E-2</v>
      </c>
    </row>
    <row r="44" spans="1:235" s="4" customFormat="1" x14ac:dyDescent="0.2">
      <c r="A44" s="8"/>
      <c r="B44" s="21"/>
      <c r="C44" s="14"/>
      <c r="D44" s="14"/>
      <c r="E44" s="14"/>
      <c r="F44" s="14"/>
      <c r="G44" s="14"/>
      <c r="H44" s="14"/>
      <c r="I44" s="14"/>
      <c r="J44" s="14"/>
      <c r="K44" s="17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21"/>
      <c r="ES44" s="21"/>
      <c r="ET44" s="21"/>
      <c r="EU44" s="21"/>
      <c r="EV44" s="21"/>
      <c r="EW44" s="21"/>
      <c r="EX44" s="21"/>
      <c r="EY44" s="21"/>
      <c r="HY44" s="8"/>
      <c r="HZ44" s="1"/>
      <c r="IA44" s="24"/>
    </row>
    <row r="46" spans="1:235" x14ac:dyDescent="0.2">
      <c r="A46" s="1" t="s">
        <v>44</v>
      </c>
      <c r="B46" s="19">
        <v>17</v>
      </c>
      <c r="C46" s="12">
        <v>22</v>
      </c>
      <c r="D46" s="12">
        <v>24</v>
      </c>
      <c r="E46" s="12">
        <v>8</v>
      </c>
      <c r="F46" s="12">
        <v>13</v>
      </c>
      <c r="G46" s="12">
        <v>48</v>
      </c>
      <c r="H46" s="12">
        <v>188</v>
      </c>
      <c r="I46" s="12">
        <v>42</v>
      </c>
      <c r="J46" s="12">
        <v>20</v>
      </c>
      <c r="K46" s="12">
        <v>15</v>
      </c>
      <c r="L46" s="12">
        <v>48</v>
      </c>
      <c r="M46" s="12">
        <v>7</v>
      </c>
      <c r="N46" s="12">
        <v>3</v>
      </c>
      <c r="O46" s="12">
        <v>95</v>
      </c>
      <c r="P46" s="12">
        <v>52</v>
      </c>
      <c r="Q46" s="12">
        <v>12</v>
      </c>
      <c r="R46" s="12">
        <v>44</v>
      </c>
      <c r="S46" s="12">
        <v>165</v>
      </c>
      <c r="T46" s="12">
        <v>60</v>
      </c>
      <c r="U46" s="12">
        <v>83</v>
      </c>
      <c r="V46" s="12">
        <v>41</v>
      </c>
      <c r="W46" s="12">
        <v>78</v>
      </c>
      <c r="X46" s="12">
        <v>43</v>
      </c>
      <c r="Y46" s="12">
        <v>43</v>
      </c>
      <c r="Z46" s="12">
        <v>23</v>
      </c>
      <c r="AA46" s="12">
        <v>80</v>
      </c>
      <c r="AB46" s="12">
        <v>28</v>
      </c>
      <c r="AC46" s="12">
        <v>91</v>
      </c>
      <c r="AD46" s="12">
        <v>5</v>
      </c>
      <c r="AE46" s="12">
        <v>41</v>
      </c>
      <c r="AF46" s="12">
        <v>103</v>
      </c>
      <c r="AG46" s="12">
        <v>36</v>
      </c>
      <c r="AH46" s="12">
        <v>31</v>
      </c>
      <c r="AI46" s="12">
        <v>126</v>
      </c>
      <c r="AJ46" s="12">
        <v>31</v>
      </c>
      <c r="AK46" s="12">
        <v>39</v>
      </c>
      <c r="AL46" s="12">
        <v>231</v>
      </c>
      <c r="AM46" s="12">
        <v>42</v>
      </c>
      <c r="AN46" s="12">
        <v>75</v>
      </c>
      <c r="AO46" s="12">
        <v>24</v>
      </c>
      <c r="AP46" s="12">
        <v>77</v>
      </c>
      <c r="AQ46" s="12">
        <v>33</v>
      </c>
      <c r="AR46" s="12">
        <v>63</v>
      </c>
      <c r="AS46" s="12">
        <v>67</v>
      </c>
      <c r="AT46" s="12">
        <v>35</v>
      </c>
      <c r="AU46" s="12">
        <v>168</v>
      </c>
      <c r="AV46" s="12">
        <v>45</v>
      </c>
      <c r="AW46" s="12">
        <v>149</v>
      </c>
      <c r="AX46" s="12">
        <v>35</v>
      </c>
      <c r="AY46" s="12">
        <v>43</v>
      </c>
      <c r="AZ46" s="12">
        <v>18</v>
      </c>
      <c r="BA46" s="12">
        <v>19</v>
      </c>
      <c r="BB46" s="12">
        <v>53</v>
      </c>
      <c r="BC46" s="12">
        <v>36</v>
      </c>
      <c r="BD46" s="12">
        <v>35</v>
      </c>
      <c r="BE46" s="12">
        <v>27</v>
      </c>
      <c r="BF46" s="12">
        <v>86</v>
      </c>
      <c r="BG46" s="12">
        <v>43</v>
      </c>
      <c r="BH46" s="12">
        <v>30</v>
      </c>
      <c r="BI46" s="12">
        <v>46</v>
      </c>
      <c r="BJ46" s="12">
        <v>246</v>
      </c>
      <c r="BK46" s="12">
        <v>108</v>
      </c>
      <c r="BL46" s="12">
        <f>SUM(BL2:BL43)</f>
        <v>53</v>
      </c>
      <c r="BM46" s="12">
        <f t="shared" ref="BM46:DX46" si="1">SUM(BM2:BM43)</f>
        <v>35</v>
      </c>
      <c r="BN46" s="12">
        <f t="shared" si="1"/>
        <v>51</v>
      </c>
      <c r="BO46" s="12">
        <f t="shared" si="1"/>
        <v>31</v>
      </c>
      <c r="BP46" s="12">
        <f t="shared" si="1"/>
        <v>24</v>
      </c>
      <c r="BQ46" s="12">
        <f t="shared" si="1"/>
        <v>18</v>
      </c>
      <c r="BR46" s="12">
        <f t="shared" si="1"/>
        <v>133</v>
      </c>
      <c r="BS46" s="12">
        <f t="shared" si="1"/>
        <v>130</v>
      </c>
      <c r="BT46" s="12">
        <f t="shared" si="1"/>
        <v>107</v>
      </c>
      <c r="BU46" s="12">
        <f t="shared" si="1"/>
        <v>128</v>
      </c>
      <c r="BV46" s="12">
        <f t="shared" si="1"/>
        <v>31</v>
      </c>
      <c r="BW46" s="12">
        <f t="shared" si="1"/>
        <v>77</v>
      </c>
      <c r="BX46" s="12">
        <f t="shared" si="1"/>
        <v>49</v>
      </c>
      <c r="BY46" s="12">
        <f t="shared" si="1"/>
        <v>19</v>
      </c>
      <c r="BZ46" s="12">
        <f t="shared" si="1"/>
        <v>62</v>
      </c>
      <c r="CA46" s="12">
        <f t="shared" si="1"/>
        <v>34</v>
      </c>
      <c r="CB46" s="12">
        <f t="shared" si="1"/>
        <v>65</v>
      </c>
      <c r="CC46" s="12">
        <f t="shared" si="1"/>
        <v>26</v>
      </c>
      <c r="CD46" s="12">
        <f t="shared" si="1"/>
        <v>31</v>
      </c>
      <c r="CE46" s="12">
        <f t="shared" si="1"/>
        <v>79</v>
      </c>
      <c r="CF46" s="12">
        <f t="shared" si="1"/>
        <v>36</v>
      </c>
      <c r="CG46" s="12">
        <f t="shared" si="1"/>
        <v>23</v>
      </c>
      <c r="CH46" s="12">
        <f t="shared" si="1"/>
        <v>123</v>
      </c>
      <c r="CI46" s="12">
        <f t="shared" si="1"/>
        <v>60</v>
      </c>
      <c r="CJ46" s="12">
        <f t="shared" si="1"/>
        <v>148</v>
      </c>
      <c r="CK46" s="12">
        <f t="shared" si="1"/>
        <v>71</v>
      </c>
      <c r="CL46" s="12">
        <f t="shared" si="1"/>
        <v>111</v>
      </c>
      <c r="CM46" s="12">
        <f t="shared" si="1"/>
        <v>98</v>
      </c>
      <c r="CN46" s="12">
        <f t="shared" si="1"/>
        <v>54</v>
      </c>
      <c r="CO46" s="12">
        <f t="shared" si="1"/>
        <v>39</v>
      </c>
      <c r="CP46" s="12">
        <f t="shared" si="1"/>
        <v>139</v>
      </c>
      <c r="CQ46" s="12">
        <f t="shared" si="1"/>
        <v>70</v>
      </c>
      <c r="CR46" s="12">
        <f t="shared" si="1"/>
        <v>42</v>
      </c>
      <c r="CS46" s="12">
        <f t="shared" si="1"/>
        <v>132</v>
      </c>
      <c r="CT46" s="12">
        <f t="shared" si="1"/>
        <v>30</v>
      </c>
      <c r="CU46" s="12">
        <f t="shared" si="1"/>
        <v>62</v>
      </c>
      <c r="CV46" s="12">
        <f t="shared" si="1"/>
        <v>104</v>
      </c>
      <c r="CW46" s="12">
        <f t="shared" si="1"/>
        <v>95</v>
      </c>
      <c r="CX46" s="12">
        <f t="shared" si="1"/>
        <v>86</v>
      </c>
      <c r="CY46" s="12">
        <f t="shared" si="1"/>
        <v>68</v>
      </c>
      <c r="CZ46" s="12">
        <f t="shared" si="1"/>
        <v>14</v>
      </c>
      <c r="DA46" s="12">
        <f t="shared" si="1"/>
        <v>123</v>
      </c>
      <c r="DB46" s="12">
        <f t="shared" si="1"/>
        <v>106</v>
      </c>
      <c r="DC46" s="12">
        <f t="shared" si="1"/>
        <v>31</v>
      </c>
      <c r="DD46" s="12">
        <f t="shared" si="1"/>
        <v>21</v>
      </c>
      <c r="DE46" s="12">
        <f t="shared" si="1"/>
        <v>210</v>
      </c>
      <c r="DF46" s="12">
        <f t="shared" si="1"/>
        <v>46</v>
      </c>
      <c r="DG46" s="12">
        <f t="shared" si="1"/>
        <v>65</v>
      </c>
      <c r="DH46" s="12">
        <f t="shared" si="1"/>
        <v>46</v>
      </c>
      <c r="DI46" s="12">
        <f t="shared" si="1"/>
        <v>33</v>
      </c>
      <c r="DJ46" s="12">
        <f t="shared" si="1"/>
        <v>97</v>
      </c>
      <c r="DK46" s="12">
        <f t="shared" si="1"/>
        <v>68</v>
      </c>
      <c r="DL46" s="12">
        <f t="shared" si="1"/>
        <v>53</v>
      </c>
      <c r="DM46" s="12">
        <f t="shared" si="1"/>
        <v>163</v>
      </c>
      <c r="DN46" s="12">
        <f t="shared" si="1"/>
        <v>85</v>
      </c>
      <c r="DO46" s="12">
        <f t="shared" si="1"/>
        <v>101</v>
      </c>
      <c r="DP46" s="12">
        <f t="shared" si="1"/>
        <v>99</v>
      </c>
      <c r="DQ46" s="12">
        <f t="shared" si="1"/>
        <v>65</v>
      </c>
      <c r="DR46" s="12">
        <f t="shared" si="1"/>
        <v>131</v>
      </c>
      <c r="DS46" s="12">
        <f t="shared" si="1"/>
        <v>242</v>
      </c>
      <c r="DT46" s="12">
        <f t="shared" si="1"/>
        <v>120</v>
      </c>
      <c r="DU46" s="12">
        <f t="shared" si="1"/>
        <v>92</v>
      </c>
      <c r="DV46" s="12">
        <f t="shared" si="1"/>
        <v>81</v>
      </c>
      <c r="DW46" s="12">
        <f t="shared" si="1"/>
        <v>39</v>
      </c>
      <c r="DX46" s="12">
        <f t="shared" si="1"/>
        <v>65</v>
      </c>
      <c r="DY46" s="12">
        <f t="shared" ref="DY46:FW46" si="2">SUM(DY2:DY43)</f>
        <v>166</v>
      </c>
      <c r="DZ46" s="12">
        <f t="shared" si="2"/>
        <v>164</v>
      </c>
      <c r="EA46" s="12">
        <f t="shared" si="2"/>
        <v>93</v>
      </c>
      <c r="EB46" s="12">
        <f t="shared" si="2"/>
        <v>75</v>
      </c>
      <c r="EC46" s="12">
        <f t="shared" si="2"/>
        <v>181</v>
      </c>
      <c r="ED46" s="12">
        <f t="shared" si="2"/>
        <v>173</v>
      </c>
      <c r="EE46" s="12">
        <f t="shared" si="2"/>
        <v>48</v>
      </c>
      <c r="EF46" s="12">
        <f t="shared" si="2"/>
        <v>171</v>
      </c>
      <c r="EG46" s="12">
        <f t="shared" si="2"/>
        <v>72</v>
      </c>
      <c r="EH46" s="12">
        <f t="shared" si="2"/>
        <v>160</v>
      </c>
      <c r="EI46" s="12">
        <f t="shared" si="2"/>
        <v>171</v>
      </c>
      <c r="EJ46" s="12">
        <f t="shared" si="2"/>
        <v>172</v>
      </c>
      <c r="EK46" s="12">
        <f t="shared" si="2"/>
        <v>139</v>
      </c>
      <c r="EL46" s="12">
        <f t="shared" si="2"/>
        <v>77</v>
      </c>
      <c r="EM46" s="12">
        <f t="shared" si="2"/>
        <v>104</v>
      </c>
      <c r="EN46" s="12">
        <f t="shared" si="2"/>
        <v>131</v>
      </c>
      <c r="EO46" s="12">
        <f t="shared" si="2"/>
        <v>166</v>
      </c>
      <c r="EP46" s="12">
        <f t="shared" si="2"/>
        <v>124</v>
      </c>
      <c r="EQ46" s="12">
        <f t="shared" si="2"/>
        <v>91</v>
      </c>
      <c r="ER46" s="19">
        <f t="shared" si="2"/>
        <v>114</v>
      </c>
      <c r="ES46" s="19">
        <f t="shared" si="2"/>
        <v>50</v>
      </c>
      <c r="ET46" s="19">
        <f t="shared" si="2"/>
        <v>65</v>
      </c>
      <c r="EU46" s="19">
        <f t="shared" si="2"/>
        <v>30</v>
      </c>
      <c r="EV46" s="19">
        <f t="shared" si="2"/>
        <v>71</v>
      </c>
      <c r="EW46" s="19">
        <f t="shared" si="2"/>
        <v>44</v>
      </c>
      <c r="EX46" s="19">
        <f t="shared" si="2"/>
        <v>70</v>
      </c>
      <c r="EY46" s="19">
        <f t="shared" si="2"/>
        <v>236</v>
      </c>
      <c r="EZ46" s="19">
        <f t="shared" si="2"/>
        <v>107</v>
      </c>
      <c r="FA46" s="19">
        <f t="shared" si="2"/>
        <v>130</v>
      </c>
      <c r="FB46" s="19">
        <f t="shared" si="2"/>
        <v>57</v>
      </c>
      <c r="FC46" s="19">
        <f t="shared" si="2"/>
        <v>35</v>
      </c>
      <c r="FD46" s="19">
        <f t="shared" si="2"/>
        <v>211</v>
      </c>
      <c r="FE46" s="19">
        <f t="shared" si="2"/>
        <v>46</v>
      </c>
      <c r="FF46" s="19">
        <f t="shared" si="2"/>
        <v>82</v>
      </c>
      <c r="FG46" s="19">
        <f t="shared" si="2"/>
        <v>115</v>
      </c>
      <c r="FH46" s="19">
        <f t="shared" si="2"/>
        <v>132</v>
      </c>
      <c r="FI46" s="19">
        <f t="shared" si="2"/>
        <v>94</v>
      </c>
      <c r="FJ46" s="19">
        <f t="shared" si="2"/>
        <v>66</v>
      </c>
      <c r="FK46" s="19">
        <f t="shared" si="2"/>
        <v>181</v>
      </c>
      <c r="FL46" s="19">
        <f t="shared" si="2"/>
        <v>89</v>
      </c>
      <c r="FM46" s="19">
        <f t="shared" si="2"/>
        <v>192</v>
      </c>
      <c r="FN46" s="19">
        <f t="shared" si="2"/>
        <v>78</v>
      </c>
      <c r="FO46" s="19">
        <f t="shared" si="2"/>
        <v>55</v>
      </c>
      <c r="FP46" s="19">
        <f t="shared" si="2"/>
        <v>152</v>
      </c>
      <c r="FQ46" s="19">
        <f t="shared" si="2"/>
        <v>329</v>
      </c>
      <c r="FR46" s="19">
        <f t="shared" si="2"/>
        <v>54</v>
      </c>
      <c r="FS46" s="19">
        <f t="shared" si="2"/>
        <v>149</v>
      </c>
      <c r="FT46" s="19">
        <f t="shared" si="2"/>
        <v>137</v>
      </c>
      <c r="FU46" s="19">
        <f t="shared" si="2"/>
        <v>227</v>
      </c>
      <c r="FV46" s="19">
        <f t="shared" si="2"/>
        <v>89</v>
      </c>
      <c r="FW46" s="19">
        <f t="shared" si="2"/>
        <v>49</v>
      </c>
      <c r="FX46" s="19">
        <f t="shared" ref="FX46:HW46" si="3">SUM(FX2:FX43)</f>
        <v>213</v>
      </c>
      <c r="FY46" s="19">
        <f t="shared" si="3"/>
        <v>125</v>
      </c>
      <c r="FZ46" s="19">
        <f t="shared" si="3"/>
        <v>199</v>
      </c>
      <c r="GA46" s="19">
        <f t="shared" si="3"/>
        <v>75</v>
      </c>
      <c r="GB46" s="19">
        <f t="shared" si="3"/>
        <v>37</v>
      </c>
      <c r="GC46" s="19">
        <f t="shared" si="3"/>
        <v>68</v>
      </c>
      <c r="GD46" s="19">
        <f t="shared" si="3"/>
        <v>79</v>
      </c>
      <c r="GE46" s="19">
        <f t="shared" si="3"/>
        <v>127</v>
      </c>
      <c r="GF46" s="19">
        <f t="shared" si="3"/>
        <v>118</v>
      </c>
      <c r="GG46" s="19">
        <f t="shared" si="3"/>
        <v>99</v>
      </c>
      <c r="GH46" s="19">
        <f t="shared" si="3"/>
        <v>168</v>
      </c>
      <c r="GI46" s="19">
        <f t="shared" si="3"/>
        <v>159</v>
      </c>
      <c r="GJ46" s="19">
        <f t="shared" si="3"/>
        <v>175</v>
      </c>
      <c r="GK46" s="19">
        <f t="shared" si="3"/>
        <v>138</v>
      </c>
      <c r="GL46" s="19">
        <f t="shared" si="3"/>
        <v>148</v>
      </c>
      <c r="GM46" s="19">
        <f t="shared" si="3"/>
        <v>185</v>
      </c>
      <c r="GN46" s="19">
        <f t="shared" si="3"/>
        <v>103</v>
      </c>
      <c r="GO46" s="19">
        <f t="shared" si="3"/>
        <v>132</v>
      </c>
      <c r="GP46" s="19">
        <f t="shared" si="3"/>
        <v>88</v>
      </c>
      <c r="GQ46" s="19">
        <f t="shared" si="3"/>
        <v>124</v>
      </c>
      <c r="GR46" s="19">
        <f t="shared" si="3"/>
        <v>120</v>
      </c>
      <c r="GS46" s="19">
        <f t="shared" si="3"/>
        <v>96</v>
      </c>
      <c r="GT46" s="19">
        <f t="shared" si="3"/>
        <v>97</v>
      </c>
      <c r="GU46" s="19">
        <f t="shared" si="3"/>
        <v>221</v>
      </c>
      <c r="GV46" s="19">
        <f t="shared" si="3"/>
        <v>110</v>
      </c>
      <c r="GW46" s="19">
        <f t="shared" si="3"/>
        <v>103</v>
      </c>
      <c r="GX46" s="19">
        <f t="shared" si="3"/>
        <v>59</v>
      </c>
      <c r="GY46" s="19">
        <f t="shared" si="3"/>
        <v>94</v>
      </c>
      <c r="GZ46" s="19">
        <f t="shared" si="3"/>
        <v>166</v>
      </c>
      <c r="HA46" s="19">
        <f t="shared" si="3"/>
        <v>294</v>
      </c>
      <c r="HB46" s="19">
        <f t="shared" si="3"/>
        <v>120</v>
      </c>
      <c r="HC46" s="19">
        <f t="shared" si="3"/>
        <v>336</v>
      </c>
      <c r="HD46" s="19">
        <f t="shared" si="3"/>
        <v>38</v>
      </c>
      <c r="HE46" s="19">
        <f t="shared" si="3"/>
        <v>81</v>
      </c>
      <c r="HF46" s="19">
        <f t="shared" si="3"/>
        <v>110</v>
      </c>
      <c r="HG46" s="19">
        <f t="shared" si="3"/>
        <v>145</v>
      </c>
      <c r="HH46" s="19">
        <f t="shared" si="3"/>
        <v>139</v>
      </c>
      <c r="HI46" s="19">
        <f t="shared" si="3"/>
        <v>257</v>
      </c>
      <c r="HJ46" s="19">
        <f t="shared" si="3"/>
        <v>81</v>
      </c>
      <c r="HK46" s="19">
        <f t="shared" si="3"/>
        <v>186</v>
      </c>
      <c r="HL46" s="19">
        <f t="shared" si="3"/>
        <v>133</v>
      </c>
      <c r="HM46" s="19">
        <f t="shared" si="3"/>
        <v>317</v>
      </c>
      <c r="HN46" s="22" t="s">
        <v>285</v>
      </c>
      <c r="HO46" s="19">
        <f t="shared" si="3"/>
        <v>125</v>
      </c>
      <c r="HP46" s="19">
        <f t="shared" si="3"/>
        <v>141</v>
      </c>
      <c r="HQ46" s="19">
        <f t="shared" si="3"/>
        <v>122</v>
      </c>
      <c r="HR46" s="19">
        <f t="shared" si="3"/>
        <v>70</v>
      </c>
      <c r="HS46" s="19">
        <f t="shared" si="3"/>
        <v>91</v>
      </c>
      <c r="HT46" s="19">
        <f t="shared" si="3"/>
        <v>29</v>
      </c>
      <c r="HU46" s="19">
        <f t="shared" si="3"/>
        <v>66</v>
      </c>
      <c r="HV46" s="19">
        <f t="shared" si="3"/>
        <v>49</v>
      </c>
      <c r="HW46" s="19">
        <f t="shared" si="3"/>
        <v>134</v>
      </c>
      <c r="HY46" s="1" t="s">
        <v>44</v>
      </c>
      <c r="HZ46" s="1">
        <f>SUM(B46:HW46)</f>
        <v>21313</v>
      </c>
    </row>
    <row r="47" spans="1:235" s="3" customFormat="1" x14ac:dyDescent="0.2">
      <c r="A47" s="5" t="s">
        <v>45</v>
      </c>
      <c r="B47" s="22">
        <v>2</v>
      </c>
      <c r="C47" s="15" t="s">
        <v>196</v>
      </c>
      <c r="D47" s="15">
        <v>3</v>
      </c>
      <c r="E47" s="15" t="s">
        <v>196</v>
      </c>
      <c r="F47" s="15">
        <v>50</v>
      </c>
      <c r="G47" s="15" t="s">
        <v>196</v>
      </c>
      <c r="H47" s="15">
        <v>12</v>
      </c>
      <c r="I47" s="15">
        <v>250</v>
      </c>
      <c r="J47" s="15" t="s">
        <v>196</v>
      </c>
      <c r="K47" s="15">
        <v>25</v>
      </c>
      <c r="L47" s="15" t="s">
        <v>196</v>
      </c>
      <c r="M47" s="15" t="s">
        <v>196</v>
      </c>
      <c r="N47" s="15">
        <v>40</v>
      </c>
      <c r="O47" s="15">
        <v>1</v>
      </c>
      <c r="P47" s="15" t="s">
        <v>196</v>
      </c>
      <c r="Q47" s="15">
        <v>5</v>
      </c>
      <c r="R47" s="15" t="s">
        <v>196</v>
      </c>
      <c r="S47" s="15" t="s">
        <v>196</v>
      </c>
      <c r="T47" s="15" t="s">
        <v>196</v>
      </c>
      <c r="U47" s="15" t="s">
        <v>196</v>
      </c>
      <c r="V47" s="15" t="s">
        <v>196</v>
      </c>
      <c r="W47" s="15" t="s">
        <v>196</v>
      </c>
      <c r="X47" s="15" t="s">
        <v>196</v>
      </c>
      <c r="Y47" s="15" t="s">
        <v>196</v>
      </c>
      <c r="Z47" s="15" t="s">
        <v>196</v>
      </c>
      <c r="AA47" s="15" t="s">
        <v>196</v>
      </c>
      <c r="AB47" s="15" t="s">
        <v>196</v>
      </c>
      <c r="AC47" s="15" t="s">
        <v>196</v>
      </c>
      <c r="AD47" s="15">
        <v>1</v>
      </c>
      <c r="AE47" s="15">
        <v>50</v>
      </c>
      <c r="AF47" s="15">
        <v>1</v>
      </c>
      <c r="AG47" s="15" t="s">
        <v>196</v>
      </c>
      <c r="AH47" s="15" t="s">
        <v>196</v>
      </c>
      <c r="AI47" s="15" t="s">
        <v>196</v>
      </c>
      <c r="AJ47" s="15" t="s">
        <v>196</v>
      </c>
      <c r="AK47" s="15" t="s">
        <v>196</v>
      </c>
      <c r="AL47" s="15" t="s">
        <v>196</v>
      </c>
      <c r="AM47" s="15" t="s">
        <v>196</v>
      </c>
      <c r="AN47" s="15" t="s">
        <v>196</v>
      </c>
      <c r="AO47" s="15" t="s">
        <v>196</v>
      </c>
      <c r="AP47" s="15" t="s">
        <v>196</v>
      </c>
      <c r="AQ47" s="15" t="s">
        <v>196</v>
      </c>
      <c r="AR47" s="15" t="s">
        <v>196</v>
      </c>
      <c r="AS47" s="15" t="s">
        <v>196</v>
      </c>
      <c r="AT47" s="15" t="s">
        <v>196</v>
      </c>
      <c r="AU47" s="15" t="s">
        <v>196</v>
      </c>
      <c r="AV47" s="15" t="s">
        <v>196</v>
      </c>
      <c r="AW47" s="15" t="s">
        <v>196</v>
      </c>
      <c r="AX47" s="15" t="s">
        <v>196</v>
      </c>
      <c r="AY47" s="15" t="s">
        <v>196</v>
      </c>
      <c r="AZ47" s="15" t="s">
        <v>196</v>
      </c>
      <c r="BA47" s="15" t="s">
        <v>196</v>
      </c>
      <c r="BB47" s="15">
        <v>2</v>
      </c>
      <c r="BC47" s="15" t="s">
        <v>196</v>
      </c>
      <c r="BD47" s="15" t="s">
        <v>196</v>
      </c>
      <c r="BE47" s="15" t="s">
        <v>196</v>
      </c>
      <c r="BF47" s="15" t="s">
        <v>196</v>
      </c>
      <c r="BG47" s="15" t="s">
        <v>196</v>
      </c>
      <c r="BH47" s="15" t="s">
        <v>196</v>
      </c>
      <c r="BI47" s="15">
        <v>1</v>
      </c>
      <c r="BJ47" s="15" t="s">
        <v>196</v>
      </c>
      <c r="BK47" s="15" t="s">
        <v>196</v>
      </c>
      <c r="BL47" s="15" t="s">
        <v>196</v>
      </c>
      <c r="BM47" s="15" t="s">
        <v>196</v>
      </c>
      <c r="BN47" s="15" t="s">
        <v>196</v>
      </c>
      <c r="BO47" s="15">
        <v>1</v>
      </c>
      <c r="BP47" s="15" t="s">
        <v>196</v>
      </c>
      <c r="BQ47" s="15" t="s">
        <v>196</v>
      </c>
      <c r="BR47" s="15" t="s">
        <v>196</v>
      </c>
      <c r="BS47" s="15" t="s">
        <v>196</v>
      </c>
      <c r="BT47" s="15" t="s">
        <v>196</v>
      </c>
      <c r="BU47" s="15" t="s">
        <v>196</v>
      </c>
      <c r="BV47" s="15" t="s">
        <v>196</v>
      </c>
      <c r="BW47" s="15" t="s">
        <v>196</v>
      </c>
      <c r="BX47" s="15" t="s">
        <v>196</v>
      </c>
      <c r="BY47" s="15" t="s">
        <v>196</v>
      </c>
      <c r="BZ47" s="15" t="s">
        <v>196</v>
      </c>
      <c r="CA47" s="15" t="s">
        <v>196</v>
      </c>
      <c r="CB47" s="15" t="s">
        <v>196</v>
      </c>
      <c r="CC47" s="15" t="s">
        <v>196</v>
      </c>
      <c r="CD47" s="15" t="s">
        <v>196</v>
      </c>
      <c r="CE47" s="15" t="s">
        <v>196</v>
      </c>
      <c r="CF47" s="15" t="s">
        <v>196</v>
      </c>
      <c r="CG47" s="15" t="s">
        <v>196</v>
      </c>
      <c r="CH47" s="15" t="s">
        <v>196</v>
      </c>
      <c r="CI47" s="15">
        <v>2</v>
      </c>
      <c r="CJ47" s="15" t="s">
        <v>196</v>
      </c>
      <c r="CK47" s="15" t="s">
        <v>196</v>
      </c>
      <c r="CL47" s="15" t="s">
        <v>196</v>
      </c>
      <c r="CM47" s="15" t="s">
        <v>196</v>
      </c>
      <c r="CN47" s="15" t="s">
        <v>196</v>
      </c>
      <c r="CO47" s="15" t="s">
        <v>196</v>
      </c>
      <c r="CP47" s="15" t="s">
        <v>196</v>
      </c>
      <c r="CQ47" s="15" t="s">
        <v>196</v>
      </c>
      <c r="CR47" s="15" t="s">
        <v>196</v>
      </c>
      <c r="CS47" s="15" t="s">
        <v>196</v>
      </c>
      <c r="CT47" s="15" t="s">
        <v>196</v>
      </c>
      <c r="CU47" s="15" t="s">
        <v>196</v>
      </c>
      <c r="CV47" s="15" t="s">
        <v>196</v>
      </c>
      <c r="CW47" s="15" t="s">
        <v>196</v>
      </c>
      <c r="CX47" s="15" t="s">
        <v>196</v>
      </c>
      <c r="CY47" s="15" t="s">
        <v>196</v>
      </c>
      <c r="CZ47" s="15" t="s">
        <v>196</v>
      </c>
      <c r="DA47" s="15" t="s">
        <v>196</v>
      </c>
      <c r="DB47" s="15" t="s">
        <v>196</v>
      </c>
      <c r="DC47" s="15" t="s">
        <v>196</v>
      </c>
      <c r="DD47" s="15" t="s">
        <v>196</v>
      </c>
      <c r="DE47" s="15" t="s">
        <v>196</v>
      </c>
      <c r="DF47" s="15" t="s">
        <v>196</v>
      </c>
      <c r="DG47" s="15" t="s">
        <v>196</v>
      </c>
      <c r="DH47" s="15" t="s">
        <v>196</v>
      </c>
      <c r="DI47" s="15" t="s">
        <v>196</v>
      </c>
      <c r="DJ47" s="15" t="s">
        <v>196</v>
      </c>
      <c r="DK47" s="15" t="s">
        <v>196</v>
      </c>
      <c r="DL47" s="15" t="s">
        <v>196</v>
      </c>
      <c r="DM47" s="15" t="s">
        <v>196</v>
      </c>
      <c r="DN47" s="15" t="s">
        <v>196</v>
      </c>
      <c r="DO47" s="15">
        <v>1</v>
      </c>
      <c r="DP47" s="15" t="s">
        <v>196</v>
      </c>
      <c r="DQ47" s="15" t="s">
        <v>196</v>
      </c>
      <c r="DR47" s="15">
        <v>300</v>
      </c>
      <c r="DS47" s="15" t="s">
        <v>196</v>
      </c>
      <c r="DT47" s="15" t="s">
        <v>196</v>
      </c>
      <c r="DU47" s="15" t="s">
        <v>196</v>
      </c>
      <c r="DV47" s="15" t="s">
        <v>196</v>
      </c>
      <c r="DW47" s="15" t="s">
        <v>196</v>
      </c>
      <c r="DX47" s="15" t="s">
        <v>196</v>
      </c>
      <c r="DY47" s="15" t="s">
        <v>196</v>
      </c>
      <c r="DZ47" s="15" t="s">
        <v>196</v>
      </c>
      <c r="EA47" s="15" t="s">
        <v>196</v>
      </c>
      <c r="EB47" s="15" t="s">
        <v>196</v>
      </c>
      <c r="EC47" s="15">
        <v>1</v>
      </c>
      <c r="ED47" s="15" t="s">
        <v>196</v>
      </c>
      <c r="EE47" s="15" t="s">
        <v>196</v>
      </c>
      <c r="EF47" s="15" t="s">
        <v>196</v>
      </c>
      <c r="EG47" s="15" t="s">
        <v>196</v>
      </c>
      <c r="EH47" s="15" t="s">
        <v>196</v>
      </c>
      <c r="EI47" s="15" t="s">
        <v>196</v>
      </c>
      <c r="EJ47" s="15" t="s">
        <v>196</v>
      </c>
      <c r="EK47" s="15" t="s">
        <v>196</v>
      </c>
      <c r="EL47" s="15" t="s">
        <v>196</v>
      </c>
      <c r="EM47" s="15" t="s">
        <v>196</v>
      </c>
      <c r="EN47" s="15" t="s">
        <v>196</v>
      </c>
      <c r="EO47" s="15" t="s">
        <v>196</v>
      </c>
      <c r="EP47" s="15" t="s">
        <v>196</v>
      </c>
      <c r="EQ47" s="15" t="s">
        <v>196</v>
      </c>
      <c r="ER47" s="22" t="s">
        <v>196</v>
      </c>
      <c r="ES47" s="22" t="s">
        <v>196</v>
      </c>
      <c r="ET47" s="22" t="s">
        <v>196</v>
      </c>
      <c r="EU47" s="22" t="s">
        <v>196</v>
      </c>
      <c r="EV47" s="22" t="s">
        <v>196</v>
      </c>
      <c r="EW47" s="22" t="s">
        <v>196</v>
      </c>
      <c r="EX47" s="22" t="s">
        <v>196</v>
      </c>
      <c r="EY47" s="22" t="s">
        <v>196</v>
      </c>
      <c r="EZ47" s="22">
        <v>1</v>
      </c>
      <c r="FA47" s="22">
        <v>1</v>
      </c>
      <c r="FB47" s="22" t="s">
        <v>196</v>
      </c>
      <c r="FC47" s="22" t="s">
        <v>196</v>
      </c>
      <c r="FD47" s="22" t="s">
        <v>196</v>
      </c>
      <c r="FE47" s="22" t="s">
        <v>196</v>
      </c>
      <c r="FF47" s="22" t="s">
        <v>196</v>
      </c>
      <c r="FG47" s="22" t="s">
        <v>196</v>
      </c>
      <c r="FH47" s="22" t="s">
        <v>196</v>
      </c>
      <c r="FI47" s="22" t="s">
        <v>196</v>
      </c>
      <c r="FJ47" s="22" t="s">
        <v>196</v>
      </c>
      <c r="FK47" s="22" t="s">
        <v>232</v>
      </c>
      <c r="FL47" s="22">
        <v>1</v>
      </c>
      <c r="FM47" s="22" t="s">
        <v>232</v>
      </c>
      <c r="FN47" s="22" t="s">
        <v>196</v>
      </c>
      <c r="FO47" s="22">
        <v>2</v>
      </c>
      <c r="FP47" s="22" t="s">
        <v>196</v>
      </c>
      <c r="FQ47" s="22">
        <v>2</v>
      </c>
      <c r="FR47" s="22" t="s">
        <v>196</v>
      </c>
      <c r="FS47" s="22" t="s">
        <v>232</v>
      </c>
      <c r="FT47" s="22" t="s">
        <v>196</v>
      </c>
      <c r="FU47" s="22">
        <v>14</v>
      </c>
      <c r="FV47" s="22">
        <v>1</v>
      </c>
      <c r="FW47" s="22" t="s">
        <v>196</v>
      </c>
      <c r="FX47" s="22" t="s">
        <v>196</v>
      </c>
      <c r="FY47" s="22" t="s">
        <v>196</v>
      </c>
      <c r="FZ47" s="22" t="s">
        <v>196</v>
      </c>
      <c r="GA47" s="22" t="s">
        <v>196</v>
      </c>
      <c r="GB47" s="22" t="s">
        <v>196</v>
      </c>
      <c r="GC47" s="22" t="s">
        <v>196</v>
      </c>
      <c r="GD47" s="22" t="s">
        <v>196</v>
      </c>
      <c r="GE47" s="22" t="s">
        <v>196</v>
      </c>
      <c r="GF47" s="22" t="s">
        <v>196</v>
      </c>
      <c r="GG47" s="22" t="s">
        <v>196</v>
      </c>
      <c r="GH47" s="22" t="s">
        <v>196</v>
      </c>
      <c r="GI47" s="22" t="s">
        <v>196</v>
      </c>
      <c r="GJ47" s="22" t="s">
        <v>196</v>
      </c>
      <c r="GK47" s="22" t="s">
        <v>196</v>
      </c>
      <c r="GL47" s="22" t="s">
        <v>196</v>
      </c>
      <c r="GM47" s="22" t="s">
        <v>196</v>
      </c>
      <c r="GN47" s="22" t="s">
        <v>196</v>
      </c>
      <c r="GO47" s="22" t="s">
        <v>196</v>
      </c>
      <c r="GP47" s="22" t="s">
        <v>196</v>
      </c>
      <c r="GQ47" s="22" t="s">
        <v>196</v>
      </c>
      <c r="GR47" s="22" t="s">
        <v>196</v>
      </c>
      <c r="GS47" s="22" t="s">
        <v>196</v>
      </c>
      <c r="GT47" s="22" t="s">
        <v>196</v>
      </c>
      <c r="GU47" s="22">
        <v>6</v>
      </c>
      <c r="GV47" s="22">
        <v>1</v>
      </c>
      <c r="GW47" s="22" t="s">
        <v>196</v>
      </c>
      <c r="GX47" s="22" t="s">
        <v>196</v>
      </c>
      <c r="GY47" s="22">
        <v>1</v>
      </c>
      <c r="GZ47" s="22">
        <v>1</v>
      </c>
      <c r="HA47" s="22">
        <v>5</v>
      </c>
      <c r="HB47" s="22">
        <v>1</v>
      </c>
      <c r="HC47" s="22">
        <v>3</v>
      </c>
      <c r="HD47" s="22" t="s">
        <v>196</v>
      </c>
      <c r="HE47" s="22" t="s">
        <v>196</v>
      </c>
      <c r="HF47" s="22" t="s">
        <v>196</v>
      </c>
      <c r="HG47" s="22" t="s">
        <v>196</v>
      </c>
      <c r="HH47" s="22" t="s">
        <v>196</v>
      </c>
      <c r="HI47" s="22">
        <v>1</v>
      </c>
      <c r="HJ47" s="22">
        <v>1</v>
      </c>
      <c r="HK47" s="22" t="s">
        <v>196</v>
      </c>
      <c r="HL47" s="22" t="s">
        <v>196</v>
      </c>
      <c r="HM47" s="22">
        <v>1</v>
      </c>
      <c r="HN47" s="22" t="s">
        <v>285</v>
      </c>
      <c r="HO47" s="22" t="s">
        <v>196</v>
      </c>
      <c r="HP47" s="22" t="s">
        <v>196</v>
      </c>
      <c r="HQ47" s="22" t="s">
        <v>196</v>
      </c>
      <c r="HR47" s="22" t="s">
        <v>196</v>
      </c>
      <c r="HS47" s="22" t="s">
        <v>196</v>
      </c>
      <c r="HT47" s="22" t="s">
        <v>196</v>
      </c>
      <c r="HU47" s="22" t="s">
        <v>196</v>
      </c>
      <c r="HV47" s="22" t="s">
        <v>196</v>
      </c>
      <c r="HW47" s="22" t="s">
        <v>196</v>
      </c>
      <c r="HY47" s="5" t="s">
        <v>45</v>
      </c>
    </row>
    <row r="48" spans="1:235" x14ac:dyDescent="0.2">
      <c r="A48" s="1" t="s">
        <v>37</v>
      </c>
      <c r="B48" s="19">
        <v>7</v>
      </c>
      <c r="C48" s="12">
        <v>7</v>
      </c>
      <c r="D48" s="12">
        <v>10</v>
      </c>
      <c r="E48" s="12">
        <v>4</v>
      </c>
      <c r="F48" s="12">
        <v>7</v>
      </c>
      <c r="G48" s="12">
        <v>12</v>
      </c>
      <c r="H48" s="12">
        <v>14</v>
      </c>
      <c r="I48" s="12">
        <v>14</v>
      </c>
      <c r="J48" s="12">
        <v>8</v>
      </c>
      <c r="K48" s="12">
        <v>11</v>
      </c>
      <c r="L48" s="12">
        <v>6</v>
      </c>
      <c r="M48" s="12">
        <v>3</v>
      </c>
      <c r="N48" s="12">
        <v>2</v>
      </c>
      <c r="O48" s="12">
        <v>16</v>
      </c>
      <c r="P48" s="12">
        <v>10</v>
      </c>
      <c r="Q48" s="12">
        <v>8</v>
      </c>
      <c r="R48" s="12">
        <v>10</v>
      </c>
      <c r="S48" s="12">
        <v>11</v>
      </c>
      <c r="T48" s="12">
        <v>10</v>
      </c>
      <c r="U48" s="12">
        <v>9</v>
      </c>
      <c r="V48" s="12">
        <v>11</v>
      </c>
      <c r="W48" s="12">
        <v>14</v>
      </c>
      <c r="X48" s="12">
        <v>7</v>
      </c>
      <c r="Y48" s="12">
        <v>8</v>
      </c>
      <c r="Z48" s="12">
        <v>11</v>
      </c>
      <c r="AA48" s="12">
        <v>12</v>
      </c>
      <c r="AB48" s="12">
        <v>8</v>
      </c>
      <c r="AC48" s="12">
        <v>10</v>
      </c>
      <c r="AD48" s="12">
        <v>5</v>
      </c>
      <c r="AE48" s="12">
        <v>10</v>
      </c>
      <c r="AF48" s="12">
        <v>10</v>
      </c>
      <c r="AG48" s="12">
        <v>8</v>
      </c>
      <c r="AH48" s="12">
        <v>7</v>
      </c>
      <c r="AI48" s="12">
        <v>13</v>
      </c>
      <c r="AJ48" s="12">
        <v>8</v>
      </c>
      <c r="AK48" s="12">
        <v>10</v>
      </c>
      <c r="AL48" s="12">
        <v>14</v>
      </c>
      <c r="AM48" s="12">
        <v>9</v>
      </c>
      <c r="AN48" s="12">
        <v>9</v>
      </c>
      <c r="AO48" s="12">
        <v>7</v>
      </c>
      <c r="AP48" s="12">
        <v>16</v>
      </c>
      <c r="AQ48" s="12">
        <v>6</v>
      </c>
      <c r="AR48" s="12">
        <v>8</v>
      </c>
      <c r="AS48" s="12">
        <v>10</v>
      </c>
      <c r="AT48" s="12">
        <v>9</v>
      </c>
      <c r="AU48" s="12">
        <v>8</v>
      </c>
      <c r="AV48" s="12">
        <v>11</v>
      </c>
      <c r="AW48" s="12">
        <v>6</v>
      </c>
      <c r="AX48" s="12">
        <v>10</v>
      </c>
      <c r="AY48" s="12">
        <v>10</v>
      </c>
      <c r="AZ48" s="12">
        <v>5</v>
      </c>
      <c r="BA48" s="12">
        <v>6</v>
      </c>
      <c r="BB48" s="12">
        <v>10</v>
      </c>
      <c r="BC48" s="12">
        <v>7</v>
      </c>
      <c r="BD48" s="12">
        <v>6</v>
      </c>
      <c r="BE48" s="12">
        <v>7</v>
      </c>
      <c r="BF48" s="12">
        <v>14</v>
      </c>
      <c r="BG48" s="12">
        <v>11</v>
      </c>
      <c r="BH48" s="12">
        <v>8</v>
      </c>
      <c r="BI48" s="12">
        <v>11</v>
      </c>
      <c r="BJ48" s="12">
        <v>12</v>
      </c>
      <c r="BK48" s="12">
        <v>13</v>
      </c>
      <c r="BL48" s="12">
        <v>11</v>
      </c>
      <c r="BM48" s="12">
        <v>10</v>
      </c>
      <c r="BN48" s="12">
        <v>11</v>
      </c>
      <c r="BO48" s="12">
        <v>9</v>
      </c>
      <c r="BP48" s="12">
        <v>7</v>
      </c>
      <c r="BQ48" s="12">
        <v>8</v>
      </c>
      <c r="BR48" s="12">
        <v>12</v>
      </c>
      <c r="BS48" s="12">
        <v>12</v>
      </c>
      <c r="BT48" s="12">
        <v>13</v>
      </c>
      <c r="BU48" s="12">
        <v>15</v>
      </c>
      <c r="BV48" s="12">
        <v>10</v>
      </c>
      <c r="BW48" s="12">
        <v>11</v>
      </c>
      <c r="BX48" s="12">
        <v>10</v>
      </c>
      <c r="BY48" s="12">
        <v>8</v>
      </c>
      <c r="BZ48" s="12">
        <v>16</v>
      </c>
      <c r="CA48" s="12">
        <v>6</v>
      </c>
      <c r="CB48" s="12">
        <v>12</v>
      </c>
      <c r="CC48" s="12">
        <v>9</v>
      </c>
      <c r="CD48" s="12">
        <v>7</v>
      </c>
      <c r="CE48" s="12">
        <v>13</v>
      </c>
      <c r="CF48" s="12">
        <v>10</v>
      </c>
      <c r="CG48" s="12">
        <v>8</v>
      </c>
      <c r="CH48" s="12">
        <v>13</v>
      </c>
      <c r="CI48" s="12">
        <v>14</v>
      </c>
      <c r="CJ48" s="12">
        <v>14</v>
      </c>
      <c r="CK48" s="12">
        <v>8</v>
      </c>
      <c r="CL48" s="12">
        <v>15</v>
      </c>
      <c r="CM48" s="12">
        <v>10</v>
      </c>
      <c r="CN48" s="12">
        <v>12</v>
      </c>
      <c r="CO48" s="12">
        <v>10</v>
      </c>
      <c r="CP48" s="12">
        <v>18</v>
      </c>
      <c r="CQ48" s="12">
        <v>9</v>
      </c>
      <c r="CR48" s="12">
        <v>9</v>
      </c>
      <c r="CS48" s="12">
        <v>10</v>
      </c>
      <c r="CT48" s="12">
        <v>4</v>
      </c>
      <c r="CU48" s="12">
        <v>6</v>
      </c>
      <c r="CV48" s="12">
        <v>10</v>
      </c>
      <c r="CW48" s="12">
        <v>15</v>
      </c>
      <c r="CX48" s="12">
        <v>13</v>
      </c>
      <c r="CY48" s="12">
        <v>8</v>
      </c>
      <c r="CZ48" s="12">
        <v>4</v>
      </c>
      <c r="DA48" s="12">
        <v>13</v>
      </c>
      <c r="DB48" s="12">
        <v>15</v>
      </c>
      <c r="DC48" s="12">
        <v>5</v>
      </c>
      <c r="DD48" s="12">
        <v>7</v>
      </c>
      <c r="DE48" s="12">
        <v>15</v>
      </c>
      <c r="DF48" s="12">
        <v>9</v>
      </c>
      <c r="DG48" s="12">
        <v>9</v>
      </c>
      <c r="DH48" s="12">
        <v>14</v>
      </c>
      <c r="DI48" s="12">
        <v>8</v>
      </c>
      <c r="DJ48" s="12">
        <v>13</v>
      </c>
      <c r="DK48" s="12">
        <v>12</v>
      </c>
      <c r="DL48" s="12">
        <v>11</v>
      </c>
      <c r="DM48" s="12">
        <v>16</v>
      </c>
      <c r="DN48" s="12">
        <v>15</v>
      </c>
      <c r="DO48" s="12">
        <v>13</v>
      </c>
      <c r="DP48" s="12">
        <v>13</v>
      </c>
      <c r="DQ48" s="12">
        <v>11</v>
      </c>
      <c r="DR48" s="12">
        <v>21</v>
      </c>
      <c r="DS48" s="12">
        <v>18</v>
      </c>
      <c r="DT48" s="12">
        <v>16</v>
      </c>
      <c r="DU48" s="12">
        <v>13</v>
      </c>
      <c r="DV48" s="12">
        <v>14</v>
      </c>
      <c r="DW48" s="12">
        <v>11</v>
      </c>
      <c r="DX48" s="12">
        <v>16</v>
      </c>
      <c r="DY48" s="12">
        <v>16</v>
      </c>
      <c r="DZ48" s="12">
        <v>17</v>
      </c>
      <c r="EA48" s="12">
        <v>14</v>
      </c>
      <c r="EB48" s="12">
        <v>16</v>
      </c>
      <c r="EC48" s="12">
        <v>16</v>
      </c>
      <c r="ED48" s="12">
        <v>19</v>
      </c>
      <c r="EE48" s="12">
        <v>13</v>
      </c>
      <c r="EF48" s="12">
        <v>13</v>
      </c>
      <c r="EG48" s="12">
        <v>10</v>
      </c>
      <c r="EH48" s="12">
        <v>18</v>
      </c>
      <c r="EI48" s="12">
        <v>16</v>
      </c>
      <c r="EJ48" s="12">
        <v>18</v>
      </c>
      <c r="EK48" s="12">
        <v>16</v>
      </c>
      <c r="EL48" s="12">
        <v>12</v>
      </c>
      <c r="EM48" s="12">
        <v>13</v>
      </c>
      <c r="EN48" s="12">
        <v>9</v>
      </c>
      <c r="EO48" s="12">
        <v>15</v>
      </c>
      <c r="EP48" s="12">
        <v>16</v>
      </c>
      <c r="EQ48" s="12">
        <v>11</v>
      </c>
      <c r="ER48" s="19">
        <v>12</v>
      </c>
      <c r="ES48" s="19">
        <v>8</v>
      </c>
      <c r="ET48" s="19">
        <v>12</v>
      </c>
      <c r="EU48" s="19">
        <v>7</v>
      </c>
      <c r="EV48" s="19">
        <v>11</v>
      </c>
      <c r="EW48" s="19">
        <v>15</v>
      </c>
      <c r="EX48" s="19">
        <v>8</v>
      </c>
      <c r="EY48" s="19">
        <v>15</v>
      </c>
      <c r="EZ48" s="1">
        <v>15</v>
      </c>
      <c r="FA48" s="1">
        <v>18</v>
      </c>
      <c r="FB48" s="1">
        <v>12</v>
      </c>
      <c r="FC48" s="1">
        <v>9</v>
      </c>
      <c r="FD48" s="1">
        <v>18</v>
      </c>
      <c r="FE48" s="1">
        <v>11</v>
      </c>
      <c r="FF48" s="1">
        <v>13</v>
      </c>
      <c r="FG48" s="1">
        <v>15</v>
      </c>
      <c r="FH48" s="1">
        <v>10</v>
      </c>
      <c r="FI48" s="1">
        <v>14</v>
      </c>
      <c r="FJ48" s="1">
        <v>13</v>
      </c>
      <c r="FK48" s="1">
        <v>21</v>
      </c>
      <c r="FL48" s="1">
        <v>13</v>
      </c>
      <c r="FM48" s="1">
        <v>11</v>
      </c>
      <c r="FN48" s="1">
        <v>10</v>
      </c>
      <c r="FO48" s="1">
        <v>12</v>
      </c>
      <c r="FP48" s="1">
        <v>15</v>
      </c>
      <c r="FQ48" s="1">
        <v>22</v>
      </c>
      <c r="FR48" s="1">
        <v>11</v>
      </c>
      <c r="FS48" s="1">
        <v>21</v>
      </c>
      <c r="FT48" s="1">
        <v>14</v>
      </c>
      <c r="FU48" s="1">
        <v>24</v>
      </c>
      <c r="FV48" s="1">
        <v>11</v>
      </c>
      <c r="FW48" s="1">
        <v>7</v>
      </c>
      <c r="FX48" s="1">
        <v>16</v>
      </c>
      <c r="FY48" s="1">
        <v>14</v>
      </c>
      <c r="FZ48" s="1">
        <v>15</v>
      </c>
      <c r="GA48" s="1">
        <v>11</v>
      </c>
      <c r="GB48" s="1">
        <v>8</v>
      </c>
      <c r="GC48" s="1">
        <v>9</v>
      </c>
      <c r="GD48" s="1">
        <v>16</v>
      </c>
      <c r="GE48" s="1">
        <v>14</v>
      </c>
      <c r="GF48" s="1">
        <v>21</v>
      </c>
      <c r="GG48" s="1">
        <v>18</v>
      </c>
      <c r="GH48" s="1">
        <v>18</v>
      </c>
      <c r="GI48" s="1">
        <v>17</v>
      </c>
      <c r="GJ48" s="1">
        <v>15</v>
      </c>
      <c r="GK48" s="1">
        <v>11</v>
      </c>
      <c r="GL48" s="1">
        <v>14</v>
      </c>
      <c r="GM48" s="1">
        <v>15</v>
      </c>
      <c r="GN48" s="1">
        <v>16</v>
      </c>
      <c r="GO48" s="1">
        <v>12</v>
      </c>
      <c r="GP48" s="1">
        <v>13</v>
      </c>
      <c r="GQ48" s="1">
        <v>16</v>
      </c>
      <c r="GR48" s="1">
        <v>15</v>
      </c>
      <c r="GS48" s="1">
        <v>14</v>
      </c>
      <c r="GT48" s="1">
        <v>13</v>
      </c>
      <c r="GU48" s="1">
        <v>25</v>
      </c>
      <c r="GV48" s="1">
        <v>13</v>
      </c>
      <c r="GW48" s="1">
        <v>16</v>
      </c>
      <c r="GX48" s="1">
        <v>15</v>
      </c>
      <c r="GY48" s="1">
        <v>19</v>
      </c>
      <c r="GZ48" s="1">
        <v>18</v>
      </c>
      <c r="HA48" s="1">
        <v>26</v>
      </c>
      <c r="HB48" s="1">
        <v>19</v>
      </c>
      <c r="HC48" s="1">
        <v>22</v>
      </c>
      <c r="HD48" s="1">
        <v>12</v>
      </c>
      <c r="HE48" s="1">
        <v>15</v>
      </c>
      <c r="HF48" s="1">
        <v>19</v>
      </c>
      <c r="HG48" s="1">
        <v>13</v>
      </c>
      <c r="HH48" s="1">
        <v>13</v>
      </c>
      <c r="HI48" s="1">
        <v>23</v>
      </c>
      <c r="HJ48" s="1">
        <v>14</v>
      </c>
      <c r="HK48" s="1">
        <v>20</v>
      </c>
      <c r="HL48" s="1">
        <v>15</v>
      </c>
      <c r="HM48" s="1">
        <v>16</v>
      </c>
      <c r="HN48" s="22" t="s">
        <v>285</v>
      </c>
      <c r="HO48" s="1">
        <v>13</v>
      </c>
      <c r="HP48" s="1">
        <v>17</v>
      </c>
      <c r="HQ48" s="1">
        <v>17</v>
      </c>
      <c r="HR48" s="1">
        <v>12</v>
      </c>
      <c r="HS48" s="1">
        <v>18</v>
      </c>
      <c r="HT48" s="1">
        <v>9</v>
      </c>
      <c r="HU48" s="1">
        <v>10</v>
      </c>
      <c r="HV48" s="1">
        <v>13</v>
      </c>
      <c r="HW48" s="1">
        <v>16</v>
      </c>
      <c r="HY48" s="1" t="s">
        <v>37</v>
      </c>
    </row>
    <row r="49" spans="1:234" x14ac:dyDescent="0.2">
      <c r="A49" s="1" t="s">
        <v>38</v>
      </c>
      <c r="B49" s="22" t="s">
        <v>42</v>
      </c>
      <c r="C49" s="15" t="s">
        <v>42</v>
      </c>
      <c r="D49" s="15" t="s">
        <v>42</v>
      </c>
      <c r="E49" s="15" t="s">
        <v>42</v>
      </c>
      <c r="F49" s="15" t="s">
        <v>42</v>
      </c>
      <c r="G49" s="12">
        <v>340</v>
      </c>
      <c r="H49" s="12">
        <v>150</v>
      </c>
      <c r="I49" s="12">
        <v>150</v>
      </c>
      <c r="J49" s="12">
        <v>5</v>
      </c>
      <c r="K49" s="15" t="s">
        <v>42</v>
      </c>
      <c r="L49" s="12">
        <v>35</v>
      </c>
      <c r="M49" s="15" t="s">
        <v>42</v>
      </c>
      <c r="N49" s="12">
        <v>75</v>
      </c>
      <c r="O49" s="12">
        <v>60</v>
      </c>
      <c r="P49" s="12">
        <v>225</v>
      </c>
      <c r="Q49" s="12">
        <v>25</v>
      </c>
      <c r="R49" s="15" t="s">
        <v>42</v>
      </c>
      <c r="S49" s="12">
        <v>225</v>
      </c>
      <c r="T49" s="12">
        <v>70</v>
      </c>
      <c r="U49" s="15" t="s">
        <v>42</v>
      </c>
      <c r="V49" s="15" t="s">
        <v>42</v>
      </c>
      <c r="W49" s="12">
        <v>100</v>
      </c>
      <c r="X49" s="15" t="s">
        <v>42</v>
      </c>
      <c r="Y49" s="12">
        <v>20</v>
      </c>
      <c r="Z49" s="15" t="s">
        <v>42</v>
      </c>
      <c r="AA49" s="12">
        <v>150</v>
      </c>
      <c r="AB49" s="15" t="s">
        <v>42</v>
      </c>
      <c r="AC49" s="12">
        <v>200</v>
      </c>
      <c r="AD49" s="15" t="s">
        <v>42</v>
      </c>
      <c r="AE49" s="12">
        <v>210</v>
      </c>
      <c r="AF49" s="12">
        <v>60</v>
      </c>
      <c r="AG49" s="15" t="s">
        <v>42</v>
      </c>
      <c r="AH49" s="15" t="s">
        <v>42</v>
      </c>
      <c r="AI49" s="12">
        <v>480</v>
      </c>
      <c r="AJ49" s="15" t="s">
        <v>42</v>
      </c>
      <c r="AK49" s="12">
        <v>80</v>
      </c>
      <c r="AL49" s="12">
        <v>630</v>
      </c>
      <c r="AM49" s="12">
        <v>300</v>
      </c>
      <c r="AN49" s="12">
        <v>750</v>
      </c>
      <c r="AO49" s="12">
        <v>20</v>
      </c>
      <c r="AP49" s="12">
        <v>75</v>
      </c>
      <c r="AQ49" s="12">
        <v>50</v>
      </c>
      <c r="AR49" s="12">
        <v>125</v>
      </c>
      <c r="AS49" s="12">
        <v>120</v>
      </c>
      <c r="AT49" s="12">
        <v>600</v>
      </c>
      <c r="AU49" s="23">
        <v>1050</v>
      </c>
      <c r="AV49" s="12">
        <v>60</v>
      </c>
      <c r="AW49" s="12">
        <v>135</v>
      </c>
      <c r="AX49" s="12">
        <v>80</v>
      </c>
      <c r="AY49" s="12">
        <v>105</v>
      </c>
      <c r="AZ49" s="12">
        <v>20</v>
      </c>
      <c r="BA49" s="15" t="s">
        <v>42</v>
      </c>
      <c r="BB49" s="12">
        <v>90</v>
      </c>
      <c r="BC49" s="12">
        <v>300</v>
      </c>
      <c r="BD49" s="12">
        <v>125</v>
      </c>
      <c r="BE49" s="12">
        <v>40</v>
      </c>
      <c r="BF49" s="12">
        <v>300</v>
      </c>
      <c r="BG49" s="12">
        <v>350</v>
      </c>
      <c r="BH49" s="12">
        <v>20</v>
      </c>
      <c r="BI49" s="12">
        <v>70</v>
      </c>
      <c r="BJ49" s="12">
        <v>190</v>
      </c>
      <c r="BK49" s="12">
        <v>360</v>
      </c>
      <c r="BL49" s="12">
        <v>400</v>
      </c>
      <c r="BM49" s="12">
        <v>75</v>
      </c>
      <c r="BN49" s="12">
        <v>200</v>
      </c>
      <c r="BO49" s="15" t="s">
        <v>42</v>
      </c>
      <c r="BP49" s="12">
        <v>300</v>
      </c>
      <c r="BQ49" s="12">
        <v>300</v>
      </c>
      <c r="BR49" s="12">
        <v>490</v>
      </c>
      <c r="BS49" s="12">
        <v>400</v>
      </c>
      <c r="BT49" s="12">
        <v>880</v>
      </c>
      <c r="BU49" s="12">
        <v>645</v>
      </c>
      <c r="BV49" s="12">
        <v>200</v>
      </c>
      <c r="BW49" s="12">
        <v>750</v>
      </c>
      <c r="BX49" s="12">
        <v>300</v>
      </c>
      <c r="BY49" s="12">
        <v>160</v>
      </c>
      <c r="BZ49" s="12">
        <v>100</v>
      </c>
      <c r="CA49" s="12">
        <v>150</v>
      </c>
      <c r="CB49" s="12">
        <v>225</v>
      </c>
      <c r="CC49" s="12">
        <v>300</v>
      </c>
      <c r="CD49" s="12">
        <v>70</v>
      </c>
      <c r="CE49" s="12">
        <v>490</v>
      </c>
      <c r="CF49" s="12">
        <v>30</v>
      </c>
      <c r="CG49" s="12">
        <v>60</v>
      </c>
      <c r="CH49" s="12">
        <v>300</v>
      </c>
      <c r="CI49" s="12">
        <v>150</v>
      </c>
      <c r="CJ49" s="12">
        <v>885</v>
      </c>
      <c r="CK49" s="12">
        <v>105</v>
      </c>
      <c r="CL49" s="12">
        <v>650</v>
      </c>
      <c r="CM49" s="12">
        <v>320</v>
      </c>
      <c r="CN49" s="12">
        <v>200</v>
      </c>
      <c r="CP49" s="12">
        <v>700</v>
      </c>
      <c r="CQ49" s="12">
        <v>350</v>
      </c>
      <c r="CR49" s="12">
        <v>200</v>
      </c>
      <c r="CS49" s="12">
        <v>360</v>
      </c>
      <c r="CT49" s="12">
        <v>250</v>
      </c>
      <c r="CU49" s="12">
        <v>60</v>
      </c>
      <c r="CV49" s="12">
        <v>2400</v>
      </c>
      <c r="CW49" s="12">
        <v>2500</v>
      </c>
      <c r="CX49" s="12">
        <v>2240</v>
      </c>
      <c r="CY49" s="12">
        <v>255</v>
      </c>
      <c r="CZ49" s="12">
        <v>150</v>
      </c>
      <c r="DA49" s="12">
        <v>3950</v>
      </c>
      <c r="DB49" s="12">
        <v>350</v>
      </c>
      <c r="DC49" s="12">
        <v>50</v>
      </c>
      <c r="DD49" s="12">
        <v>200</v>
      </c>
      <c r="DE49" s="12">
        <v>980</v>
      </c>
      <c r="DF49" s="12">
        <v>150</v>
      </c>
      <c r="DG49" s="12">
        <v>700</v>
      </c>
      <c r="DH49" s="12">
        <v>425</v>
      </c>
      <c r="DI49" s="12">
        <v>300</v>
      </c>
      <c r="DJ49" s="12">
        <v>600</v>
      </c>
      <c r="DK49" s="12">
        <v>560</v>
      </c>
      <c r="DL49" s="12">
        <v>125</v>
      </c>
      <c r="DM49" s="12">
        <v>1750</v>
      </c>
      <c r="DN49" s="12">
        <v>250</v>
      </c>
      <c r="DO49" s="12">
        <v>480</v>
      </c>
      <c r="DP49" s="12">
        <v>450</v>
      </c>
      <c r="DQ49" s="12">
        <v>240</v>
      </c>
      <c r="DR49" s="12">
        <v>5400</v>
      </c>
      <c r="DS49" s="12">
        <v>1980</v>
      </c>
      <c r="DT49" s="12">
        <v>400</v>
      </c>
      <c r="DU49" s="12">
        <v>315</v>
      </c>
      <c r="DV49" s="12">
        <v>400</v>
      </c>
      <c r="DW49" s="12">
        <v>120</v>
      </c>
      <c r="DX49" s="12">
        <v>100</v>
      </c>
      <c r="DY49" s="12">
        <v>8000</v>
      </c>
      <c r="DZ49" s="12">
        <v>3900</v>
      </c>
      <c r="EA49" s="12">
        <v>750</v>
      </c>
      <c r="EB49" s="12">
        <v>1320</v>
      </c>
      <c r="EC49" s="12">
        <v>1950</v>
      </c>
      <c r="ED49" s="12">
        <v>2760</v>
      </c>
      <c r="EE49" s="12">
        <v>25</v>
      </c>
      <c r="EF49" s="12">
        <v>855</v>
      </c>
      <c r="EG49" s="12">
        <v>225</v>
      </c>
      <c r="EH49" s="12">
        <v>6500</v>
      </c>
      <c r="EI49" s="12">
        <v>900</v>
      </c>
      <c r="EJ49" s="12">
        <v>2150</v>
      </c>
      <c r="EK49" s="12">
        <v>960</v>
      </c>
      <c r="EL49" s="12">
        <v>360</v>
      </c>
      <c r="EM49" s="12">
        <v>450</v>
      </c>
      <c r="EN49" s="12">
        <v>960</v>
      </c>
      <c r="EO49" s="12">
        <v>1660</v>
      </c>
      <c r="EP49" s="12">
        <v>2000</v>
      </c>
      <c r="EQ49" s="12">
        <v>1200</v>
      </c>
      <c r="ER49" s="19">
        <v>800</v>
      </c>
      <c r="ES49" s="19">
        <v>600</v>
      </c>
      <c r="ET49" s="22" t="s">
        <v>196</v>
      </c>
      <c r="EU49" s="19">
        <v>300</v>
      </c>
      <c r="EV49" s="19">
        <v>300</v>
      </c>
      <c r="EW49" s="19">
        <v>1200</v>
      </c>
      <c r="EX49" s="19">
        <v>200</v>
      </c>
      <c r="EY49" s="19">
        <v>4000</v>
      </c>
      <c r="EZ49" s="1">
        <v>460</v>
      </c>
      <c r="FA49" s="1">
        <v>1470</v>
      </c>
      <c r="FB49" s="1">
        <v>360</v>
      </c>
      <c r="FC49" s="1">
        <v>40</v>
      </c>
      <c r="FD49" s="1">
        <v>1400</v>
      </c>
      <c r="FE49" s="1">
        <v>440</v>
      </c>
      <c r="FF49" s="1">
        <v>500</v>
      </c>
      <c r="FG49" s="1">
        <v>2160</v>
      </c>
      <c r="FH49" s="1">
        <v>160</v>
      </c>
      <c r="FI49" s="1">
        <v>180</v>
      </c>
      <c r="FJ49" s="1">
        <v>140</v>
      </c>
      <c r="FK49" s="1">
        <v>2160</v>
      </c>
      <c r="FL49" s="1">
        <v>600</v>
      </c>
      <c r="FM49" s="1">
        <v>200</v>
      </c>
      <c r="FN49" s="1">
        <v>160</v>
      </c>
      <c r="FO49" s="3" t="s">
        <v>41</v>
      </c>
      <c r="FP49" s="1">
        <v>4800</v>
      </c>
      <c r="FQ49" s="1">
        <v>1650</v>
      </c>
      <c r="FR49" s="1">
        <v>400</v>
      </c>
      <c r="FS49" s="1">
        <v>1060</v>
      </c>
      <c r="FT49" s="1">
        <v>900</v>
      </c>
      <c r="FU49" s="1">
        <v>2850</v>
      </c>
      <c r="FV49" s="1">
        <v>320</v>
      </c>
      <c r="FW49" s="1">
        <v>40</v>
      </c>
      <c r="FX49" s="1">
        <v>2820</v>
      </c>
      <c r="FY49" s="1">
        <v>3450</v>
      </c>
      <c r="FZ49" s="1">
        <v>3120</v>
      </c>
      <c r="GA49" s="1">
        <v>2000</v>
      </c>
      <c r="GB49" s="1">
        <v>600</v>
      </c>
      <c r="GC49" s="1">
        <v>350</v>
      </c>
      <c r="GD49" s="1">
        <v>1510</v>
      </c>
      <c r="GE49" s="1">
        <v>2000</v>
      </c>
      <c r="GF49" s="1">
        <v>3750</v>
      </c>
      <c r="GG49" s="1">
        <v>7200</v>
      </c>
      <c r="GH49" s="1">
        <v>5700</v>
      </c>
      <c r="GI49" s="1">
        <v>3360</v>
      </c>
      <c r="GJ49" s="1">
        <v>1520</v>
      </c>
      <c r="GK49" s="1">
        <v>1225</v>
      </c>
      <c r="GL49" s="1">
        <v>2475</v>
      </c>
      <c r="GM49" s="1">
        <v>1890</v>
      </c>
      <c r="GN49" s="1">
        <v>1000</v>
      </c>
      <c r="GO49" s="1">
        <v>1280</v>
      </c>
      <c r="GP49" s="1">
        <v>600</v>
      </c>
      <c r="GQ49" s="1">
        <v>240</v>
      </c>
      <c r="GR49" s="1">
        <v>2400</v>
      </c>
      <c r="GS49" s="1">
        <v>1350</v>
      </c>
      <c r="GT49" s="1">
        <v>920</v>
      </c>
      <c r="GU49" s="1">
        <v>9600</v>
      </c>
      <c r="GV49" s="1">
        <v>960</v>
      </c>
      <c r="GW49" s="1">
        <v>840</v>
      </c>
      <c r="GX49" s="1">
        <v>100</v>
      </c>
      <c r="GY49" s="1">
        <v>850</v>
      </c>
      <c r="GZ49" s="1">
        <v>1020</v>
      </c>
      <c r="HA49" s="26">
        <v>11230</v>
      </c>
      <c r="HB49" s="1">
        <v>560</v>
      </c>
      <c r="HC49" s="1">
        <v>17400</v>
      </c>
      <c r="HD49" s="1">
        <v>300</v>
      </c>
      <c r="HE49" s="1">
        <v>3000</v>
      </c>
      <c r="HF49" s="1">
        <v>2760</v>
      </c>
      <c r="HG49" s="1">
        <v>1900</v>
      </c>
      <c r="HH49" s="1">
        <v>225</v>
      </c>
      <c r="HI49" s="1">
        <v>8800</v>
      </c>
      <c r="HJ49" s="1">
        <v>600</v>
      </c>
      <c r="HK49" s="1">
        <v>2800</v>
      </c>
      <c r="HL49" s="1">
        <v>6300</v>
      </c>
      <c r="HM49" s="1">
        <v>18170</v>
      </c>
      <c r="HN49" s="22" t="s">
        <v>285</v>
      </c>
      <c r="HO49" s="1">
        <v>2000</v>
      </c>
      <c r="HP49" s="1">
        <v>2450</v>
      </c>
      <c r="HQ49" s="1">
        <v>2800</v>
      </c>
      <c r="HR49" s="1">
        <v>950</v>
      </c>
      <c r="HS49" s="1">
        <v>1890</v>
      </c>
      <c r="HT49" s="1">
        <v>450</v>
      </c>
      <c r="HU49" s="1">
        <v>1000</v>
      </c>
      <c r="HV49" s="1">
        <v>300</v>
      </c>
      <c r="HW49" s="1">
        <v>5250</v>
      </c>
      <c r="HY49" s="1" t="s">
        <v>38</v>
      </c>
      <c r="HZ49" s="1">
        <f>SUM(B49:HW49)</f>
        <v>269540</v>
      </c>
    </row>
    <row r="50" spans="1:234" x14ac:dyDescent="0.2">
      <c r="A50" s="1" t="s">
        <v>39</v>
      </c>
      <c r="B50" s="22" t="s">
        <v>41</v>
      </c>
      <c r="C50" s="15" t="s">
        <v>41</v>
      </c>
      <c r="D50" s="12">
        <v>4</v>
      </c>
      <c r="E50" s="15" t="s">
        <v>41</v>
      </c>
      <c r="F50" s="15" t="s">
        <v>41</v>
      </c>
      <c r="G50" s="12">
        <v>12</v>
      </c>
      <c r="H50" s="12">
        <v>15</v>
      </c>
      <c r="I50" s="15" t="s">
        <v>41</v>
      </c>
      <c r="J50" s="12">
        <v>8</v>
      </c>
      <c r="K50" s="15" t="s">
        <v>41</v>
      </c>
      <c r="L50" s="12">
        <v>10</v>
      </c>
      <c r="M50" s="15" t="s">
        <v>41</v>
      </c>
      <c r="N50" s="15" t="s">
        <v>41</v>
      </c>
      <c r="O50" s="12">
        <v>10</v>
      </c>
      <c r="P50" s="12">
        <v>10</v>
      </c>
      <c r="Q50" s="15" t="s">
        <v>41</v>
      </c>
      <c r="R50" s="12">
        <v>4</v>
      </c>
      <c r="S50" s="12">
        <v>15</v>
      </c>
      <c r="T50" s="12">
        <v>15</v>
      </c>
      <c r="U50" s="15" t="s">
        <v>41</v>
      </c>
      <c r="V50" s="15" t="s">
        <v>41</v>
      </c>
      <c r="W50" s="12">
        <v>13</v>
      </c>
      <c r="X50" s="12">
        <v>5</v>
      </c>
      <c r="Y50" s="12">
        <v>10</v>
      </c>
      <c r="Z50" s="15" t="s">
        <v>41</v>
      </c>
      <c r="AA50" s="12">
        <v>10</v>
      </c>
      <c r="AB50" s="15" t="s">
        <v>41</v>
      </c>
      <c r="AC50" s="12">
        <v>5</v>
      </c>
      <c r="AD50" s="15" t="s">
        <v>41</v>
      </c>
      <c r="AE50" s="12">
        <v>20</v>
      </c>
      <c r="AF50" s="12">
        <v>10</v>
      </c>
      <c r="AG50" s="15" t="s">
        <v>41</v>
      </c>
      <c r="AH50" s="15" t="s">
        <v>41</v>
      </c>
      <c r="AI50" s="12">
        <v>40</v>
      </c>
      <c r="AJ50" s="15" t="s">
        <v>41</v>
      </c>
      <c r="AK50" s="12">
        <v>15</v>
      </c>
      <c r="AL50" s="12">
        <v>20</v>
      </c>
      <c r="AM50" s="12">
        <v>8</v>
      </c>
      <c r="AN50" s="12">
        <v>15</v>
      </c>
      <c r="AO50" s="12">
        <v>6</v>
      </c>
      <c r="AP50" s="12">
        <v>13</v>
      </c>
      <c r="AQ50" s="12">
        <v>8</v>
      </c>
      <c r="AR50" s="12">
        <v>12</v>
      </c>
      <c r="AS50" s="12">
        <v>12</v>
      </c>
      <c r="AT50" s="12">
        <v>8</v>
      </c>
      <c r="AU50" s="12">
        <v>6</v>
      </c>
      <c r="AV50" s="12">
        <v>12</v>
      </c>
      <c r="AW50" s="12">
        <v>10</v>
      </c>
      <c r="AX50" s="12">
        <v>14</v>
      </c>
      <c r="AY50" s="12">
        <v>12</v>
      </c>
      <c r="AZ50" s="12">
        <v>4</v>
      </c>
      <c r="BA50" s="15" t="s">
        <v>41</v>
      </c>
      <c r="BB50" s="12">
        <v>25</v>
      </c>
      <c r="BC50" s="12">
        <v>30</v>
      </c>
      <c r="BD50" s="15" t="s">
        <v>41</v>
      </c>
      <c r="BE50" s="12">
        <v>3</v>
      </c>
      <c r="BF50" s="12">
        <v>35</v>
      </c>
      <c r="BG50" s="12">
        <v>25</v>
      </c>
      <c r="BH50" s="12">
        <v>5</v>
      </c>
      <c r="BI50" s="12">
        <v>7</v>
      </c>
      <c r="BJ50" s="12">
        <v>20</v>
      </c>
      <c r="BK50" s="12">
        <v>30</v>
      </c>
      <c r="BL50" s="12">
        <v>25</v>
      </c>
      <c r="BM50" s="12">
        <v>8</v>
      </c>
      <c r="BN50" s="12">
        <v>8</v>
      </c>
      <c r="BO50" s="15" t="s">
        <v>41</v>
      </c>
      <c r="BP50" s="15" t="s">
        <v>41</v>
      </c>
      <c r="BQ50" s="15" t="s">
        <v>41</v>
      </c>
      <c r="BR50" s="12">
        <v>25</v>
      </c>
      <c r="BS50" s="12">
        <v>40</v>
      </c>
      <c r="BT50" s="12">
        <v>30</v>
      </c>
      <c r="BU50" s="12">
        <v>30</v>
      </c>
      <c r="BV50" s="15" t="s">
        <v>41</v>
      </c>
      <c r="BW50" s="12">
        <v>30</v>
      </c>
      <c r="BX50" s="12">
        <v>20</v>
      </c>
      <c r="BY50" s="12">
        <v>20</v>
      </c>
      <c r="BZ50" s="12">
        <v>20</v>
      </c>
      <c r="CA50" s="12">
        <v>8</v>
      </c>
      <c r="CB50" s="12">
        <v>25</v>
      </c>
      <c r="CC50" s="12">
        <v>6</v>
      </c>
      <c r="CD50" s="12">
        <v>15</v>
      </c>
      <c r="CE50" s="12">
        <v>25</v>
      </c>
      <c r="CF50" s="12">
        <v>15</v>
      </c>
      <c r="CG50" s="12">
        <v>6</v>
      </c>
      <c r="CH50" s="12">
        <v>25</v>
      </c>
      <c r="CI50" s="12">
        <v>25</v>
      </c>
      <c r="CJ50" s="12">
        <v>30</v>
      </c>
      <c r="CK50" s="12">
        <v>15</v>
      </c>
      <c r="CL50" s="12">
        <v>45</v>
      </c>
      <c r="CM50" s="12">
        <v>30</v>
      </c>
      <c r="CN50" s="12">
        <v>25</v>
      </c>
      <c r="CO50" s="12">
        <v>7</v>
      </c>
      <c r="CP50" s="12">
        <v>45</v>
      </c>
      <c r="CQ50" s="12">
        <v>25</v>
      </c>
      <c r="CR50" s="12">
        <v>5</v>
      </c>
      <c r="CS50" s="12">
        <v>30</v>
      </c>
      <c r="CT50" s="12">
        <v>5</v>
      </c>
      <c r="CU50" s="12">
        <v>20</v>
      </c>
      <c r="CV50" s="12">
        <v>40</v>
      </c>
      <c r="CW50" s="12">
        <v>40</v>
      </c>
      <c r="CX50" s="12">
        <v>30</v>
      </c>
      <c r="CY50" s="12">
        <v>15</v>
      </c>
      <c r="CZ50" s="12" t="s">
        <v>41</v>
      </c>
      <c r="DA50" s="12">
        <v>50</v>
      </c>
      <c r="DB50" s="12">
        <v>25</v>
      </c>
      <c r="DC50" s="15" t="s">
        <v>41</v>
      </c>
      <c r="DD50" s="12">
        <v>8</v>
      </c>
      <c r="DE50" s="12">
        <v>40</v>
      </c>
      <c r="DF50" s="12">
        <v>15</v>
      </c>
      <c r="DG50" s="12">
        <v>15</v>
      </c>
      <c r="DH50" s="12">
        <v>12</v>
      </c>
      <c r="DI50" s="12">
        <v>15</v>
      </c>
      <c r="DJ50" s="12">
        <v>30</v>
      </c>
      <c r="DK50" s="12">
        <v>15</v>
      </c>
      <c r="DL50" s="12">
        <v>18</v>
      </c>
      <c r="DM50" s="12">
        <v>45</v>
      </c>
      <c r="DN50" s="12">
        <v>40</v>
      </c>
      <c r="DO50" s="12">
        <v>30</v>
      </c>
      <c r="DP50" s="12">
        <v>45</v>
      </c>
      <c r="DQ50" s="12">
        <v>30</v>
      </c>
      <c r="DR50" s="12">
        <v>55</v>
      </c>
      <c r="DS50" s="12">
        <v>40</v>
      </c>
      <c r="DT50" s="12">
        <v>40</v>
      </c>
      <c r="DU50" s="12">
        <v>20</v>
      </c>
      <c r="DV50" s="12">
        <v>50</v>
      </c>
      <c r="DW50" s="12">
        <v>15</v>
      </c>
      <c r="DX50" s="12">
        <v>25</v>
      </c>
      <c r="DY50" s="12">
        <v>50</v>
      </c>
      <c r="DZ50" s="12">
        <v>65</v>
      </c>
      <c r="EA50" s="12">
        <v>30</v>
      </c>
      <c r="EB50" s="12">
        <v>35</v>
      </c>
      <c r="EC50" s="12">
        <v>40</v>
      </c>
      <c r="ED50" s="12">
        <v>40</v>
      </c>
      <c r="EE50" s="12">
        <v>12</v>
      </c>
      <c r="EF50" s="12">
        <v>30</v>
      </c>
      <c r="EG50" s="12">
        <v>30</v>
      </c>
      <c r="EH50" s="12">
        <v>50</v>
      </c>
      <c r="EI50" s="12">
        <v>25</v>
      </c>
      <c r="EJ50" s="12">
        <v>20</v>
      </c>
      <c r="EK50" s="12">
        <v>15</v>
      </c>
      <c r="EL50" s="12">
        <v>15</v>
      </c>
      <c r="EM50" s="12">
        <v>30</v>
      </c>
      <c r="EN50" s="12">
        <v>35</v>
      </c>
      <c r="EO50" s="12">
        <v>30</v>
      </c>
      <c r="EP50" s="12">
        <v>25</v>
      </c>
      <c r="EQ50" s="12">
        <v>35</v>
      </c>
      <c r="ER50" s="19">
        <v>20</v>
      </c>
      <c r="ES50" s="19">
        <v>8</v>
      </c>
      <c r="ET50" s="19">
        <v>12</v>
      </c>
      <c r="EU50" s="19">
        <v>8</v>
      </c>
      <c r="EV50" s="19">
        <v>25</v>
      </c>
      <c r="EW50" s="19">
        <v>20</v>
      </c>
      <c r="EX50" s="19">
        <v>18</v>
      </c>
      <c r="EY50" s="19">
        <v>50</v>
      </c>
      <c r="EZ50" s="1">
        <v>14</v>
      </c>
      <c r="FA50" s="1">
        <v>40</v>
      </c>
      <c r="FB50" s="1">
        <v>35</v>
      </c>
      <c r="FC50" s="1">
        <v>35</v>
      </c>
      <c r="FD50" s="1">
        <v>35</v>
      </c>
      <c r="FE50" s="1">
        <v>13</v>
      </c>
      <c r="FF50" s="1">
        <v>23</v>
      </c>
      <c r="FG50" s="1">
        <v>35</v>
      </c>
      <c r="FH50" s="1">
        <v>25</v>
      </c>
      <c r="FI50" s="1">
        <v>20</v>
      </c>
      <c r="FJ50" s="1">
        <v>20</v>
      </c>
      <c r="FK50" s="1">
        <v>35</v>
      </c>
      <c r="FL50" s="1">
        <v>30</v>
      </c>
      <c r="FM50" s="1">
        <v>8</v>
      </c>
      <c r="FN50" s="1">
        <v>23</v>
      </c>
      <c r="FO50" s="1">
        <v>13</v>
      </c>
      <c r="FP50" s="1">
        <v>35</v>
      </c>
      <c r="FQ50" s="1">
        <v>105</v>
      </c>
      <c r="FR50" s="1">
        <v>15</v>
      </c>
      <c r="FS50" s="1">
        <v>20</v>
      </c>
      <c r="FT50" s="1">
        <v>20</v>
      </c>
      <c r="FU50" s="1">
        <v>25</v>
      </c>
      <c r="FV50" s="1">
        <v>23</v>
      </c>
      <c r="FW50" s="1">
        <v>18</v>
      </c>
      <c r="FX50" s="1">
        <v>50</v>
      </c>
      <c r="FY50" s="1">
        <v>40</v>
      </c>
      <c r="FZ50" s="1">
        <v>50</v>
      </c>
      <c r="GA50" s="1">
        <v>33</v>
      </c>
      <c r="GB50" s="1">
        <v>9</v>
      </c>
      <c r="GC50" s="1">
        <v>9</v>
      </c>
      <c r="GD50" s="1">
        <v>23</v>
      </c>
      <c r="GE50" s="1">
        <v>18</v>
      </c>
      <c r="GF50" s="1">
        <v>28</v>
      </c>
      <c r="GG50" s="1">
        <v>50</v>
      </c>
      <c r="GH50" s="1">
        <v>40</v>
      </c>
      <c r="GI50" s="1">
        <v>50</v>
      </c>
      <c r="GJ50" s="1">
        <v>45</v>
      </c>
      <c r="GK50" s="1">
        <v>50</v>
      </c>
      <c r="GL50" s="1">
        <v>35</v>
      </c>
      <c r="GM50" s="1">
        <v>40</v>
      </c>
      <c r="GN50" s="1">
        <v>18</v>
      </c>
      <c r="GO50" s="1">
        <v>23</v>
      </c>
      <c r="GP50" s="1">
        <v>23</v>
      </c>
      <c r="GQ50" s="1">
        <v>23</v>
      </c>
      <c r="GR50" s="1">
        <v>75</v>
      </c>
      <c r="GS50" s="1">
        <v>20</v>
      </c>
      <c r="GT50" s="1">
        <v>35</v>
      </c>
      <c r="GU50" s="1">
        <v>35</v>
      </c>
      <c r="GV50" s="1">
        <v>28</v>
      </c>
      <c r="GW50" s="1">
        <v>50</v>
      </c>
      <c r="GX50" s="1">
        <v>12</v>
      </c>
      <c r="GY50" s="1">
        <v>18</v>
      </c>
      <c r="GZ50" s="1">
        <v>55</v>
      </c>
      <c r="HA50" s="1">
        <v>45</v>
      </c>
      <c r="HB50" s="1">
        <v>33</v>
      </c>
      <c r="HC50" s="1">
        <v>60</v>
      </c>
      <c r="HD50" s="1">
        <v>23</v>
      </c>
      <c r="HE50" s="1">
        <v>35</v>
      </c>
      <c r="HF50" s="1">
        <v>30</v>
      </c>
      <c r="HG50" s="1">
        <v>30</v>
      </c>
      <c r="HH50" s="1">
        <v>23</v>
      </c>
      <c r="HI50" s="1">
        <v>65</v>
      </c>
      <c r="HJ50" s="1">
        <v>23</v>
      </c>
      <c r="HK50" s="1">
        <v>55</v>
      </c>
      <c r="HL50" s="1">
        <v>50</v>
      </c>
      <c r="HM50" s="1">
        <v>60</v>
      </c>
      <c r="HN50" s="22" t="s">
        <v>285</v>
      </c>
      <c r="HO50" s="1">
        <v>23</v>
      </c>
      <c r="HP50" s="1">
        <v>40</v>
      </c>
      <c r="HQ50" s="1">
        <v>35</v>
      </c>
      <c r="HR50" s="1">
        <v>30</v>
      </c>
      <c r="HS50" s="1">
        <v>30</v>
      </c>
      <c r="HT50" s="1">
        <v>20</v>
      </c>
      <c r="HU50" s="1">
        <v>20</v>
      </c>
      <c r="HV50" s="1">
        <v>20</v>
      </c>
      <c r="HW50" s="1">
        <v>30</v>
      </c>
      <c r="HY50" s="1" t="s">
        <v>39</v>
      </c>
    </row>
    <row r="51" spans="1:234" s="4" customFormat="1" x14ac:dyDescent="0.2">
      <c r="B51" s="21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21"/>
      <c r="ES51" s="21"/>
      <c r="ET51" s="21"/>
      <c r="EU51" s="21"/>
      <c r="EV51" s="21"/>
      <c r="EW51" s="21"/>
      <c r="EX51" s="21"/>
      <c r="EY51" s="21"/>
    </row>
  </sheetData>
  <phoneticPr fontId="0" type="noConversion"/>
  <pageMargins left="0.5" right="0.5" top="0.25" bottom="0.2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topLeftCell="A25" workbookViewId="0">
      <selection activeCell="F49" sqref="F49"/>
    </sheetView>
  </sheetViews>
  <sheetFormatPr defaultRowHeight="12.75" x14ac:dyDescent="0.2"/>
  <cols>
    <col min="1" max="1" width="26" style="27" customWidth="1"/>
  </cols>
  <sheetData>
    <row r="1" spans="1:32" x14ac:dyDescent="0.2">
      <c r="B1" s="124" t="s">
        <v>286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</row>
    <row r="2" spans="1:32" s="29" customFormat="1" ht="13.5" thickBot="1" x14ac:dyDescent="0.25">
      <c r="A2" s="28" t="s">
        <v>287</v>
      </c>
      <c r="B2" s="29" t="s">
        <v>288</v>
      </c>
      <c r="C2" s="29" t="s">
        <v>289</v>
      </c>
      <c r="D2" s="29" t="s">
        <v>290</v>
      </c>
      <c r="E2" s="29" t="s">
        <v>291</v>
      </c>
      <c r="F2" s="29" t="s">
        <v>292</v>
      </c>
      <c r="G2" s="29" t="s">
        <v>293</v>
      </c>
      <c r="H2" s="29" t="s">
        <v>294</v>
      </c>
      <c r="I2" s="29" t="s">
        <v>295</v>
      </c>
      <c r="J2" s="29" t="s">
        <v>296</v>
      </c>
      <c r="K2" s="29" t="s">
        <v>297</v>
      </c>
      <c r="L2" s="29" t="s">
        <v>298</v>
      </c>
      <c r="M2" s="29" t="s">
        <v>299</v>
      </c>
      <c r="N2" s="29" t="s">
        <v>300</v>
      </c>
      <c r="O2" s="29" t="s">
        <v>301</v>
      </c>
      <c r="P2" s="29" t="s">
        <v>302</v>
      </c>
      <c r="Q2" s="29" t="s">
        <v>303</v>
      </c>
      <c r="R2" s="29" t="s">
        <v>304</v>
      </c>
      <c r="S2" s="29" t="s">
        <v>305</v>
      </c>
      <c r="T2" s="29" t="s">
        <v>306</v>
      </c>
      <c r="U2" s="29" t="s">
        <v>307</v>
      </c>
      <c r="V2" s="29" t="s">
        <v>308</v>
      </c>
      <c r="W2" s="29" t="s">
        <v>309</v>
      </c>
      <c r="X2" s="29" t="s">
        <v>310</v>
      </c>
      <c r="Y2" s="29" t="s">
        <v>311</v>
      </c>
      <c r="Z2" s="29" t="s">
        <v>312</v>
      </c>
      <c r="AA2" s="29" t="s">
        <v>313</v>
      </c>
      <c r="AD2" s="29" t="s">
        <v>382</v>
      </c>
      <c r="AE2" s="29" t="s">
        <v>383</v>
      </c>
      <c r="AF2" s="29" t="s">
        <v>385</v>
      </c>
    </row>
    <row r="3" spans="1:32" x14ac:dyDescent="0.2">
      <c r="A3" s="27" t="s">
        <v>314</v>
      </c>
      <c r="B3">
        <v>36</v>
      </c>
      <c r="C3">
        <v>28</v>
      </c>
      <c r="D3">
        <v>15</v>
      </c>
      <c r="E3">
        <v>14</v>
      </c>
      <c r="F3">
        <v>58</v>
      </c>
      <c r="G3">
        <v>20</v>
      </c>
      <c r="H3">
        <v>34</v>
      </c>
      <c r="I3">
        <v>31</v>
      </c>
      <c r="J3">
        <v>30</v>
      </c>
      <c r="K3">
        <v>50</v>
      </c>
      <c r="L3">
        <v>16</v>
      </c>
      <c r="M3">
        <v>47</v>
      </c>
      <c r="N3">
        <v>36</v>
      </c>
      <c r="O3">
        <v>5</v>
      </c>
      <c r="P3">
        <v>71</v>
      </c>
      <c r="Q3">
        <v>58</v>
      </c>
      <c r="R3">
        <v>20</v>
      </c>
      <c r="S3">
        <v>11</v>
      </c>
      <c r="T3">
        <v>20</v>
      </c>
      <c r="U3">
        <v>2</v>
      </c>
      <c r="V3">
        <v>12</v>
      </c>
      <c r="W3">
        <v>0</v>
      </c>
      <c r="X3">
        <v>2</v>
      </c>
      <c r="Y3">
        <v>0</v>
      </c>
      <c r="Z3">
        <v>2</v>
      </c>
      <c r="AA3">
        <v>2</v>
      </c>
      <c r="AC3" t="s">
        <v>315</v>
      </c>
      <c r="AD3">
        <f>SUM(B3:AC3)</f>
        <v>620</v>
      </c>
    </row>
    <row r="4" spans="1:32" x14ac:dyDescent="0.2">
      <c r="A4" s="27" t="s">
        <v>316</v>
      </c>
      <c r="B4">
        <v>10</v>
      </c>
      <c r="C4">
        <v>10</v>
      </c>
      <c r="D4">
        <v>12</v>
      </c>
      <c r="E4">
        <v>3</v>
      </c>
      <c r="F4">
        <v>17</v>
      </c>
      <c r="G4">
        <v>22</v>
      </c>
      <c r="H4">
        <v>40</v>
      </c>
      <c r="I4">
        <v>29</v>
      </c>
      <c r="J4">
        <v>37</v>
      </c>
      <c r="K4">
        <v>20</v>
      </c>
      <c r="L4">
        <v>24</v>
      </c>
      <c r="M4">
        <v>22</v>
      </c>
      <c r="N4">
        <v>14</v>
      </c>
      <c r="O4">
        <v>75</v>
      </c>
      <c r="P4">
        <v>23</v>
      </c>
      <c r="Q4">
        <v>46</v>
      </c>
      <c r="R4">
        <v>21</v>
      </c>
      <c r="S4">
        <v>21</v>
      </c>
      <c r="T4">
        <v>21</v>
      </c>
      <c r="U4">
        <v>3</v>
      </c>
      <c r="V4">
        <v>21</v>
      </c>
      <c r="W4">
        <v>2</v>
      </c>
      <c r="X4">
        <v>1</v>
      </c>
      <c r="Y4">
        <v>3</v>
      </c>
      <c r="Z4">
        <v>0</v>
      </c>
      <c r="AA4">
        <v>1</v>
      </c>
      <c r="AC4" t="s">
        <v>315</v>
      </c>
      <c r="AD4">
        <f t="shared" ref="AD4:AD31" si="0">SUM(B4:AC4)</f>
        <v>498</v>
      </c>
    </row>
    <row r="5" spans="1:32" x14ac:dyDescent="0.2">
      <c r="A5" s="27" t="s">
        <v>317</v>
      </c>
      <c r="B5">
        <v>7</v>
      </c>
      <c r="C5">
        <v>16</v>
      </c>
      <c r="D5">
        <v>10</v>
      </c>
      <c r="E5">
        <v>5</v>
      </c>
      <c r="F5">
        <v>20</v>
      </c>
      <c r="G5">
        <v>7</v>
      </c>
      <c r="H5">
        <v>20</v>
      </c>
      <c r="I5">
        <v>15</v>
      </c>
      <c r="J5">
        <v>4</v>
      </c>
      <c r="K5">
        <v>13</v>
      </c>
      <c r="L5">
        <v>1</v>
      </c>
      <c r="M5">
        <v>7</v>
      </c>
      <c r="N5">
        <v>6</v>
      </c>
      <c r="O5">
        <v>1</v>
      </c>
      <c r="P5">
        <v>8</v>
      </c>
      <c r="Q5">
        <v>21</v>
      </c>
      <c r="R5">
        <v>12</v>
      </c>
      <c r="S5">
        <v>7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C5" t="s">
        <v>315</v>
      </c>
      <c r="AD5">
        <f t="shared" si="0"/>
        <v>183</v>
      </c>
    </row>
    <row r="6" spans="1:32" x14ac:dyDescent="0.2">
      <c r="A6" s="27" t="s">
        <v>318</v>
      </c>
      <c r="B6">
        <v>40</v>
      </c>
      <c r="C6">
        <v>26</v>
      </c>
      <c r="D6">
        <v>16</v>
      </c>
      <c r="E6">
        <v>9</v>
      </c>
      <c r="F6">
        <v>34</v>
      </c>
      <c r="G6">
        <v>37</v>
      </c>
      <c r="H6">
        <v>61</v>
      </c>
      <c r="I6">
        <v>38</v>
      </c>
      <c r="J6">
        <v>35</v>
      </c>
      <c r="K6">
        <v>34</v>
      </c>
      <c r="L6">
        <v>9</v>
      </c>
      <c r="M6">
        <v>36</v>
      </c>
      <c r="N6">
        <v>33</v>
      </c>
      <c r="O6">
        <v>6</v>
      </c>
      <c r="P6">
        <v>52</v>
      </c>
      <c r="Q6">
        <v>84</v>
      </c>
      <c r="R6">
        <v>24</v>
      </c>
      <c r="S6">
        <v>23</v>
      </c>
      <c r="T6">
        <v>10</v>
      </c>
      <c r="U6">
        <v>7</v>
      </c>
      <c r="V6">
        <v>7</v>
      </c>
      <c r="W6">
        <v>2</v>
      </c>
      <c r="X6">
        <v>3</v>
      </c>
      <c r="Y6">
        <v>2</v>
      </c>
      <c r="Z6">
        <v>0</v>
      </c>
      <c r="AA6">
        <v>2</v>
      </c>
      <c r="AC6" t="s">
        <v>315</v>
      </c>
      <c r="AD6">
        <f t="shared" si="0"/>
        <v>630</v>
      </c>
    </row>
    <row r="7" spans="1:32" x14ac:dyDescent="0.2">
      <c r="A7" s="27" t="s">
        <v>319</v>
      </c>
      <c r="B7">
        <v>0</v>
      </c>
      <c r="C7">
        <v>1</v>
      </c>
      <c r="D7">
        <v>0</v>
      </c>
      <c r="E7">
        <v>0</v>
      </c>
      <c r="F7">
        <v>3</v>
      </c>
      <c r="G7">
        <v>1</v>
      </c>
      <c r="H7">
        <v>1</v>
      </c>
      <c r="I7">
        <v>0</v>
      </c>
      <c r="J7">
        <v>0</v>
      </c>
      <c r="K7">
        <v>0</v>
      </c>
      <c r="L7">
        <v>5</v>
      </c>
      <c r="M7">
        <v>1</v>
      </c>
      <c r="N7">
        <v>2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t="s">
        <v>315</v>
      </c>
      <c r="AD7">
        <f t="shared" si="0"/>
        <v>19</v>
      </c>
    </row>
    <row r="8" spans="1:32" x14ac:dyDescent="0.2">
      <c r="A8" s="27" t="s">
        <v>320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2</v>
      </c>
      <c r="I8">
        <v>1</v>
      </c>
      <c r="J8">
        <v>0</v>
      </c>
      <c r="K8">
        <v>3</v>
      </c>
      <c r="L8">
        <v>2</v>
      </c>
      <c r="M8">
        <v>0</v>
      </c>
      <c r="N8">
        <v>0</v>
      </c>
      <c r="O8">
        <v>2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C8" t="s">
        <v>315</v>
      </c>
      <c r="AD8">
        <f t="shared" si="0"/>
        <v>16</v>
      </c>
    </row>
    <row r="9" spans="1:32" x14ac:dyDescent="0.2">
      <c r="A9" s="27" t="s">
        <v>321</v>
      </c>
      <c r="B9">
        <v>10</v>
      </c>
      <c r="C9">
        <v>7</v>
      </c>
      <c r="D9">
        <v>22</v>
      </c>
      <c r="E9">
        <v>10</v>
      </c>
      <c r="F9">
        <v>49</v>
      </c>
      <c r="G9">
        <v>15</v>
      </c>
      <c r="H9">
        <v>60</v>
      </c>
      <c r="I9">
        <v>38</v>
      </c>
      <c r="J9">
        <v>48</v>
      </c>
      <c r="K9">
        <v>40</v>
      </c>
      <c r="L9">
        <v>4</v>
      </c>
      <c r="M9">
        <v>28</v>
      </c>
      <c r="N9">
        <v>23</v>
      </c>
      <c r="O9">
        <v>24</v>
      </c>
      <c r="P9">
        <v>62</v>
      </c>
      <c r="Q9">
        <v>116</v>
      </c>
      <c r="R9">
        <v>30</v>
      </c>
      <c r="S9">
        <v>13</v>
      </c>
      <c r="T9">
        <v>19</v>
      </c>
      <c r="U9">
        <v>2</v>
      </c>
      <c r="V9">
        <v>6</v>
      </c>
      <c r="W9">
        <v>0</v>
      </c>
      <c r="X9">
        <v>2</v>
      </c>
      <c r="Y9">
        <v>0</v>
      </c>
      <c r="Z9">
        <v>2</v>
      </c>
      <c r="AA9">
        <v>0</v>
      </c>
      <c r="AC9" t="s">
        <v>315</v>
      </c>
      <c r="AD9">
        <f t="shared" si="0"/>
        <v>630</v>
      </c>
    </row>
    <row r="10" spans="1:32" x14ac:dyDescent="0.2">
      <c r="A10" s="27" t="s">
        <v>322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2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 t="s">
        <v>315</v>
      </c>
      <c r="AD10">
        <f t="shared" si="0"/>
        <v>7</v>
      </c>
    </row>
    <row r="11" spans="1:32" x14ac:dyDescent="0.2">
      <c r="A11" s="27" t="s">
        <v>323</v>
      </c>
      <c r="B11">
        <v>1</v>
      </c>
      <c r="C11">
        <v>3</v>
      </c>
      <c r="D11">
        <v>0</v>
      </c>
      <c r="E11">
        <v>1</v>
      </c>
      <c r="F11">
        <v>2</v>
      </c>
      <c r="G11">
        <v>1</v>
      </c>
      <c r="H11">
        <v>0</v>
      </c>
      <c r="I11">
        <v>1</v>
      </c>
      <c r="J11">
        <v>4</v>
      </c>
      <c r="K11">
        <v>0</v>
      </c>
      <c r="L11">
        <v>1</v>
      </c>
      <c r="M11">
        <v>2</v>
      </c>
      <c r="N11">
        <v>1</v>
      </c>
      <c r="O11">
        <v>0</v>
      </c>
      <c r="P11">
        <v>0</v>
      </c>
      <c r="Q11">
        <v>3</v>
      </c>
      <c r="R11">
        <v>4</v>
      </c>
      <c r="S11">
        <v>0</v>
      </c>
      <c r="T11">
        <v>2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C11" t="s">
        <v>315</v>
      </c>
      <c r="AD11">
        <f t="shared" si="0"/>
        <v>29</v>
      </c>
    </row>
    <row r="12" spans="1:32" x14ac:dyDescent="0.2">
      <c r="A12" s="27" t="s">
        <v>324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 t="s">
        <v>315</v>
      </c>
      <c r="AD12">
        <f t="shared" si="0"/>
        <v>2</v>
      </c>
    </row>
    <row r="13" spans="1:32" x14ac:dyDescent="0.2">
      <c r="A13" s="27" t="s">
        <v>325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 t="s">
        <v>315</v>
      </c>
      <c r="AD13">
        <f t="shared" si="0"/>
        <v>3</v>
      </c>
    </row>
    <row r="14" spans="1:32" x14ac:dyDescent="0.2">
      <c r="A14" s="27" t="s">
        <v>326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C14" t="s">
        <v>315</v>
      </c>
      <c r="AD14">
        <f t="shared" si="0"/>
        <v>6</v>
      </c>
    </row>
    <row r="15" spans="1:32" x14ac:dyDescent="0.2">
      <c r="A15" s="27" t="s">
        <v>327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2</v>
      </c>
      <c r="I15">
        <v>4</v>
      </c>
      <c r="J15">
        <v>0</v>
      </c>
      <c r="K15">
        <v>0</v>
      </c>
      <c r="L15">
        <v>1</v>
      </c>
      <c r="M15">
        <v>0</v>
      </c>
      <c r="N15">
        <v>3</v>
      </c>
      <c r="O15">
        <v>0</v>
      </c>
      <c r="P15">
        <v>1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C15" t="s">
        <v>315</v>
      </c>
      <c r="AD15">
        <f t="shared" si="0"/>
        <v>16</v>
      </c>
    </row>
    <row r="16" spans="1:32" x14ac:dyDescent="0.2">
      <c r="A16" s="27" t="s">
        <v>328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2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 t="s">
        <v>315</v>
      </c>
      <c r="AD16">
        <f t="shared" si="0"/>
        <v>9</v>
      </c>
    </row>
    <row r="17" spans="1:30" x14ac:dyDescent="0.2">
      <c r="A17" s="27" t="s">
        <v>329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2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 t="s">
        <v>315</v>
      </c>
      <c r="AD17">
        <f t="shared" si="0"/>
        <v>4</v>
      </c>
    </row>
    <row r="18" spans="1:30" x14ac:dyDescent="0.2">
      <c r="A18" s="27" t="s">
        <v>330</v>
      </c>
      <c r="B18">
        <v>5</v>
      </c>
      <c r="C18">
        <v>2</v>
      </c>
      <c r="D18">
        <v>8</v>
      </c>
      <c r="E18">
        <v>1</v>
      </c>
      <c r="F18">
        <v>23</v>
      </c>
      <c r="G18">
        <v>5</v>
      </c>
      <c r="H18">
        <v>26</v>
      </c>
      <c r="I18">
        <v>13</v>
      </c>
      <c r="J18">
        <v>10</v>
      </c>
      <c r="K18">
        <v>17</v>
      </c>
      <c r="L18">
        <v>6</v>
      </c>
      <c r="M18">
        <v>18</v>
      </c>
      <c r="N18">
        <v>13</v>
      </c>
      <c r="O18">
        <v>6</v>
      </c>
      <c r="P18">
        <v>21</v>
      </c>
      <c r="Q18">
        <v>23</v>
      </c>
      <c r="R18">
        <v>33</v>
      </c>
      <c r="S18">
        <v>11</v>
      </c>
      <c r="T18">
        <v>15</v>
      </c>
      <c r="U18">
        <v>2</v>
      </c>
      <c r="V18">
        <v>3</v>
      </c>
      <c r="W18">
        <v>0</v>
      </c>
      <c r="X18">
        <v>0</v>
      </c>
      <c r="Y18">
        <v>1</v>
      </c>
      <c r="Z18">
        <v>1</v>
      </c>
      <c r="AA18">
        <v>1</v>
      </c>
      <c r="AC18" t="s">
        <v>315</v>
      </c>
      <c r="AD18">
        <f t="shared" si="0"/>
        <v>264</v>
      </c>
    </row>
    <row r="19" spans="1:30" x14ac:dyDescent="0.2">
      <c r="A19" s="27" t="s">
        <v>331</v>
      </c>
      <c r="B19">
        <v>26</v>
      </c>
      <c r="C19">
        <v>11</v>
      </c>
      <c r="D19">
        <v>25</v>
      </c>
      <c r="E19">
        <v>19</v>
      </c>
      <c r="F19">
        <v>65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33</v>
      </c>
      <c r="S19">
        <v>12</v>
      </c>
      <c r="T19">
        <v>25</v>
      </c>
      <c r="U19">
        <v>0</v>
      </c>
      <c r="V19">
        <v>3</v>
      </c>
      <c r="W19">
        <v>0</v>
      </c>
      <c r="X19">
        <v>0</v>
      </c>
      <c r="Y19">
        <v>0</v>
      </c>
      <c r="Z19">
        <v>1</v>
      </c>
      <c r="AA19">
        <v>0</v>
      </c>
      <c r="AC19" t="s">
        <v>315</v>
      </c>
      <c r="AD19">
        <f t="shared" si="0"/>
        <v>220</v>
      </c>
    </row>
    <row r="20" spans="1:30" x14ac:dyDescent="0.2">
      <c r="A20" s="27" t="s">
        <v>332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46</v>
      </c>
      <c r="I20">
        <v>36</v>
      </c>
      <c r="J20">
        <v>44</v>
      </c>
      <c r="K20">
        <v>19</v>
      </c>
      <c r="L20">
        <v>10</v>
      </c>
      <c r="M20">
        <v>23</v>
      </c>
      <c r="N20">
        <v>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 t="s">
        <v>315</v>
      </c>
      <c r="AD20">
        <f t="shared" si="0"/>
        <v>202</v>
      </c>
    </row>
    <row r="21" spans="1:30" x14ac:dyDescent="0.2">
      <c r="A21" s="27" t="s">
        <v>333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2</v>
      </c>
      <c r="AC21" t="s">
        <v>315</v>
      </c>
      <c r="AD21">
        <f t="shared" si="0"/>
        <v>7</v>
      </c>
    </row>
    <row r="22" spans="1:30" x14ac:dyDescent="0.2">
      <c r="A22" s="27" t="s">
        <v>334</v>
      </c>
      <c r="B22">
        <v>5</v>
      </c>
      <c r="C22">
        <v>13</v>
      </c>
      <c r="D22">
        <v>6</v>
      </c>
      <c r="E22">
        <v>5</v>
      </c>
      <c r="F22">
        <v>7</v>
      </c>
      <c r="G22">
        <v>5</v>
      </c>
      <c r="H22">
        <v>4</v>
      </c>
      <c r="I22">
        <v>4</v>
      </c>
      <c r="J22">
        <v>5</v>
      </c>
      <c r="K22">
        <v>7</v>
      </c>
      <c r="L22">
        <v>4</v>
      </c>
      <c r="M22">
        <v>3</v>
      </c>
      <c r="N22">
        <v>4</v>
      </c>
      <c r="O22">
        <v>0</v>
      </c>
      <c r="P22">
        <v>5</v>
      </c>
      <c r="Q22">
        <v>3</v>
      </c>
      <c r="R22">
        <v>3</v>
      </c>
      <c r="S22">
        <v>4</v>
      </c>
      <c r="T22">
        <v>3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C22" t="s">
        <v>315</v>
      </c>
      <c r="AD22">
        <f t="shared" si="0"/>
        <v>91</v>
      </c>
    </row>
    <row r="23" spans="1:30" x14ac:dyDescent="0.2">
      <c r="A23" s="27" t="s">
        <v>335</v>
      </c>
      <c r="B23">
        <v>1</v>
      </c>
      <c r="C23">
        <v>0</v>
      </c>
      <c r="D23">
        <v>1</v>
      </c>
      <c r="E23">
        <v>2</v>
      </c>
      <c r="F23">
        <v>2</v>
      </c>
      <c r="G23">
        <v>4</v>
      </c>
      <c r="H23">
        <v>9</v>
      </c>
      <c r="I23">
        <v>15</v>
      </c>
      <c r="J23">
        <v>13</v>
      </c>
      <c r="K23">
        <v>6</v>
      </c>
      <c r="L23">
        <v>4</v>
      </c>
      <c r="M23">
        <v>3</v>
      </c>
      <c r="N23">
        <v>2</v>
      </c>
      <c r="O23">
        <v>0</v>
      </c>
      <c r="P23">
        <v>10</v>
      </c>
      <c r="Q23">
        <v>9</v>
      </c>
      <c r="R23">
        <v>6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C23" t="s">
        <v>315</v>
      </c>
      <c r="AD23">
        <f t="shared" si="0"/>
        <v>90</v>
      </c>
    </row>
    <row r="24" spans="1:30" x14ac:dyDescent="0.2">
      <c r="A24" s="27" t="s">
        <v>336</v>
      </c>
      <c r="B24">
        <v>2</v>
      </c>
      <c r="C24">
        <v>0</v>
      </c>
      <c r="D24">
        <v>1</v>
      </c>
      <c r="E24">
        <v>1</v>
      </c>
      <c r="F24">
        <v>7</v>
      </c>
      <c r="G24">
        <v>5</v>
      </c>
      <c r="H24">
        <v>4</v>
      </c>
      <c r="I24">
        <v>4</v>
      </c>
      <c r="J24">
        <v>5</v>
      </c>
      <c r="K24">
        <v>0</v>
      </c>
      <c r="L24">
        <v>0</v>
      </c>
      <c r="M24">
        <v>2</v>
      </c>
      <c r="N24">
        <v>5</v>
      </c>
      <c r="O24">
        <v>0</v>
      </c>
      <c r="P24">
        <v>2</v>
      </c>
      <c r="Q24">
        <v>2</v>
      </c>
      <c r="R24">
        <v>23</v>
      </c>
      <c r="S24">
        <v>11</v>
      </c>
      <c r="T24">
        <v>3</v>
      </c>
      <c r="U24">
        <v>7</v>
      </c>
      <c r="V24">
        <v>9</v>
      </c>
      <c r="W24">
        <v>1</v>
      </c>
      <c r="X24">
        <v>0</v>
      </c>
      <c r="Y24">
        <v>0</v>
      </c>
      <c r="Z24">
        <v>0</v>
      </c>
      <c r="AA24">
        <v>0</v>
      </c>
      <c r="AC24" t="s">
        <v>315</v>
      </c>
      <c r="AD24">
        <f t="shared" si="0"/>
        <v>94</v>
      </c>
    </row>
    <row r="25" spans="1:30" x14ac:dyDescent="0.2">
      <c r="A25" s="27" t="s">
        <v>337</v>
      </c>
      <c r="B25">
        <v>1</v>
      </c>
      <c r="C25">
        <v>1</v>
      </c>
      <c r="D25">
        <v>0</v>
      </c>
      <c r="E25">
        <v>0</v>
      </c>
      <c r="F25">
        <v>3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 t="s">
        <v>315</v>
      </c>
      <c r="AD25">
        <f t="shared" si="0"/>
        <v>11</v>
      </c>
    </row>
    <row r="26" spans="1:30" x14ac:dyDescent="0.2">
      <c r="A26" s="27" t="s">
        <v>338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 t="s">
        <v>315</v>
      </c>
      <c r="AD26">
        <f t="shared" si="0"/>
        <v>2</v>
      </c>
    </row>
    <row r="27" spans="1:30" x14ac:dyDescent="0.2">
      <c r="A27" s="27" t="s">
        <v>339</v>
      </c>
      <c r="B27">
        <v>1</v>
      </c>
      <c r="C27">
        <v>3</v>
      </c>
      <c r="D27">
        <v>6</v>
      </c>
      <c r="E27">
        <v>1</v>
      </c>
      <c r="F27">
        <v>11</v>
      </c>
      <c r="G27">
        <v>3</v>
      </c>
      <c r="H27">
        <v>4</v>
      </c>
      <c r="I27">
        <v>7</v>
      </c>
      <c r="J27">
        <v>6</v>
      </c>
      <c r="K27">
        <v>8</v>
      </c>
      <c r="L27">
        <v>1</v>
      </c>
      <c r="M27">
        <v>8</v>
      </c>
      <c r="N27">
        <v>10</v>
      </c>
      <c r="O27">
        <v>2</v>
      </c>
      <c r="P27">
        <v>8</v>
      </c>
      <c r="Q27">
        <v>4</v>
      </c>
      <c r="R27">
        <v>4</v>
      </c>
      <c r="S27">
        <v>5</v>
      </c>
      <c r="T27">
        <v>1</v>
      </c>
      <c r="U27">
        <v>0</v>
      </c>
      <c r="V27">
        <v>2</v>
      </c>
      <c r="W27">
        <v>2</v>
      </c>
      <c r="X27">
        <v>0</v>
      </c>
      <c r="Y27">
        <v>0</v>
      </c>
      <c r="Z27">
        <v>1</v>
      </c>
      <c r="AA27">
        <v>0</v>
      </c>
      <c r="AC27" t="s">
        <v>315</v>
      </c>
      <c r="AD27">
        <f t="shared" si="0"/>
        <v>98</v>
      </c>
    </row>
    <row r="28" spans="1:30" x14ac:dyDescent="0.2">
      <c r="A28" s="27" t="s">
        <v>340</v>
      </c>
      <c r="B28">
        <v>7</v>
      </c>
      <c r="C28">
        <v>7</v>
      </c>
      <c r="D28">
        <v>15</v>
      </c>
      <c r="E28">
        <v>7</v>
      </c>
      <c r="F28">
        <v>15</v>
      </c>
      <c r="G28">
        <v>13</v>
      </c>
      <c r="H28">
        <v>19</v>
      </c>
      <c r="I28">
        <v>20</v>
      </c>
      <c r="J28">
        <v>24</v>
      </c>
      <c r="K28">
        <v>20</v>
      </c>
      <c r="L28">
        <v>20</v>
      </c>
      <c r="M28">
        <v>16</v>
      </c>
      <c r="N28">
        <v>20</v>
      </c>
      <c r="O28">
        <v>16</v>
      </c>
      <c r="P28">
        <v>14</v>
      </c>
      <c r="Q28">
        <v>21</v>
      </c>
      <c r="R28">
        <v>19</v>
      </c>
      <c r="S28">
        <v>17</v>
      </c>
      <c r="T28">
        <v>7</v>
      </c>
      <c r="U28">
        <v>4</v>
      </c>
      <c r="V28">
        <v>7</v>
      </c>
      <c r="W28">
        <v>0</v>
      </c>
      <c r="X28">
        <v>3</v>
      </c>
      <c r="Y28">
        <v>7</v>
      </c>
      <c r="Z28">
        <v>1</v>
      </c>
      <c r="AA28">
        <v>1</v>
      </c>
      <c r="AC28" t="s">
        <v>315</v>
      </c>
      <c r="AD28">
        <f t="shared" si="0"/>
        <v>320</v>
      </c>
    </row>
    <row r="29" spans="1:30" x14ac:dyDescent="0.2">
      <c r="A29" s="27" t="s">
        <v>341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 t="s">
        <v>315</v>
      </c>
      <c r="AD29">
        <f t="shared" si="0"/>
        <v>6</v>
      </c>
    </row>
    <row r="30" spans="1:30" x14ac:dyDescent="0.2">
      <c r="A30" s="27" t="s">
        <v>342</v>
      </c>
      <c r="B30">
        <v>4</v>
      </c>
      <c r="C30">
        <v>3</v>
      </c>
      <c r="D30">
        <v>4</v>
      </c>
      <c r="E30">
        <v>3</v>
      </c>
      <c r="F30">
        <v>2</v>
      </c>
      <c r="G30">
        <v>1</v>
      </c>
      <c r="H30">
        <v>1</v>
      </c>
      <c r="I30">
        <v>4</v>
      </c>
      <c r="J30">
        <v>0</v>
      </c>
      <c r="K30">
        <v>2</v>
      </c>
      <c r="L30">
        <v>3</v>
      </c>
      <c r="M30">
        <v>1</v>
      </c>
      <c r="N30">
        <v>3</v>
      </c>
      <c r="O30">
        <v>0</v>
      </c>
      <c r="P30">
        <v>5</v>
      </c>
      <c r="Q30">
        <v>8</v>
      </c>
      <c r="R30">
        <v>2</v>
      </c>
      <c r="S30">
        <v>3</v>
      </c>
      <c r="T30">
        <v>5</v>
      </c>
      <c r="U30">
        <v>1</v>
      </c>
      <c r="V30">
        <v>1</v>
      </c>
      <c r="W30">
        <v>2</v>
      </c>
      <c r="X30">
        <v>0</v>
      </c>
      <c r="Y30">
        <v>0</v>
      </c>
      <c r="Z30">
        <v>0</v>
      </c>
      <c r="AA30">
        <v>2</v>
      </c>
      <c r="AC30" t="s">
        <v>315</v>
      </c>
      <c r="AD30">
        <f t="shared" si="0"/>
        <v>60</v>
      </c>
    </row>
    <row r="31" spans="1:30" x14ac:dyDescent="0.2">
      <c r="A31" s="27" t="s">
        <v>343</v>
      </c>
      <c r="B31">
        <v>5</v>
      </c>
      <c r="C31">
        <v>2</v>
      </c>
      <c r="D31">
        <v>7</v>
      </c>
      <c r="E31">
        <v>5</v>
      </c>
      <c r="F31">
        <v>12</v>
      </c>
      <c r="G31">
        <v>6</v>
      </c>
      <c r="H31">
        <v>6</v>
      </c>
      <c r="I31">
        <v>7</v>
      </c>
      <c r="J31">
        <v>7</v>
      </c>
      <c r="K31">
        <v>4</v>
      </c>
      <c r="L31">
        <v>0</v>
      </c>
      <c r="M31">
        <v>3</v>
      </c>
      <c r="N31">
        <v>6</v>
      </c>
      <c r="O31">
        <v>0</v>
      </c>
      <c r="P31">
        <v>3</v>
      </c>
      <c r="Q31">
        <v>4</v>
      </c>
      <c r="R31">
        <v>7</v>
      </c>
      <c r="S31">
        <v>6</v>
      </c>
      <c r="T31">
        <v>2</v>
      </c>
      <c r="U31">
        <v>1</v>
      </c>
      <c r="V31">
        <v>0</v>
      </c>
      <c r="W31">
        <v>0</v>
      </c>
      <c r="X31">
        <v>1</v>
      </c>
      <c r="Y31">
        <v>2</v>
      </c>
      <c r="Z31">
        <v>0</v>
      </c>
      <c r="AA31">
        <v>0</v>
      </c>
      <c r="AC31" t="s">
        <v>315</v>
      </c>
      <c r="AD31">
        <f t="shared" si="0"/>
        <v>96</v>
      </c>
    </row>
    <row r="33" spans="1:30" x14ac:dyDescent="0.2">
      <c r="A33" s="30" t="s">
        <v>344</v>
      </c>
      <c r="B33">
        <f>SUM(B3:B31)</f>
        <v>162</v>
      </c>
      <c r="C33">
        <f t="shared" ref="C33:AA33" si="1">SUM(C3:C31)</f>
        <v>135</v>
      </c>
      <c r="D33">
        <f t="shared" si="1"/>
        <v>149</v>
      </c>
      <c r="E33">
        <f t="shared" si="1"/>
        <v>90</v>
      </c>
      <c r="F33">
        <f t="shared" si="1"/>
        <v>334</v>
      </c>
      <c r="G33">
        <f t="shared" si="1"/>
        <v>145</v>
      </c>
      <c r="H33">
        <f t="shared" si="1"/>
        <v>342</v>
      </c>
      <c r="I33">
        <f t="shared" si="1"/>
        <v>273</v>
      </c>
      <c r="J33">
        <f t="shared" si="1"/>
        <v>275</v>
      </c>
      <c r="K33">
        <f t="shared" si="1"/>
        <v>246</v>
      </c>
      <c r="L33">
        <f t="shared" si="1"/>
        <v>114</v>
      </c>
      <c r="M33">
        <f t="shared" si="1"/>
        <v>222</v>
      </c>
      <c r="N33">
        <f t="shared" si="1"/>
        <v>206</v>
      </c>
      <c r="O33">
        <f t="shared" si="1"/>
        <v>138</v>
      </c>
      <c r="P33">
        <f t="shared" si="1"/>
        <v>289</v>
      </c>
      <c r="Q33">
        <f t="shared" si="1"/>
        <v>408</v>
      </c>
      <c r="R33">
        <f t="shared" si="1"/>
        <v>246</v>
      </c>
      <c r="S33">
        <f t="shared" si="1"/>
        <v>147</v>
      </c>
      <c r="T33">
        <f t="shared" si="1"/>
        <v>140</v>
      </c>
      <c r="U33">
        <f t="shared" si="1"/>
        <v>34</v>
      </c>
      <c r="V33">
        <f t="shared" si="1"/>
        <v>77</v>
      </c>
      <c r="W33">
        <f t="shared" si="1"/>
        <v>10</v>
      </c>
      <c r="X33">
        <f t="shared" si="1"/>
        <v>14</v>
      </c>
      <c r="Y33">
        <f t="shared" si="1"/>
        <v>15</v>
      </c>
      <c r="Z33">
        <f t="shared" si="1"/>
        <v>10</v>
      </c>
      <c r="AA33">
        <f t="shared" si="1"/>
        <v>12</v>
      </c>
      <c r="AC33" t="s">
        <v>315</v>
      </c>
      <c r="AD33">
        <f>SUM(B33:AA33)</f>
        <v>4233</v>
      </c>
    </row>
    <row r="34" spans="1:30" x14ac:dyDescent="0.2">
      <c r="AC34">
        <f>VARP(B33:AA33)</f>
        <v>12659.23224852071</v>
      </c>
    </row>
    <row r="35" spans="1:30" x14ac:dyDescent="0.2">
      <c r="A35" s="1"/>
    </row>
    <row r="36" spans="1:30" ht="14.25" x14ac:dyDescent="0.2">
      <c r="A36" s="125" t="s">
        <v>345</v>
      </c>
      <c r="B36" s="126"/>
    </row>
    <row r="38" spans="1:30" x14ac:dyDescent="0.2">
      <c r="A38" s="125" t="s">
        <v>346</v>
      </c>
      <c r="B38" s="126"/>
      <c r="C38" s="126"/>
      <c r="D38" s="126"/>
    </row>
    <row r="40" spans="1:30" x14ac:dyDescent="0.2">
      <c r="A40" s="31" t="s">
        <v>347</v>
      </c>
    </row>
  </sheetData>
  <mergeCells count="3">
    <mergeCell ref="B1:AA1"/>
    <mergeCell ref="A36:B36"/>
    <mergeCell ref="A38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4"/>
  <sheetViews>
    <sheetView topLeftCell="A19" workbookViewId="0">
      <selection activeCell="B25" sqref="B25:V25"/>
    </sheetView>
  </sheetViews>
  <sheetFormatPr defaultRowHeight="12.75" x14ac:dyDescent="0.2"/>
  <cols>
    <col min="1" max="1" width="24.5703125" customWidth="1"/>
    <col min="2" max="9" width="9.140625" customWidth="1"/>
    <col min="34" max="34" width="10.140625" bestFit="1" customWidth="1"/>
  </cols>
  <sheetData>
    <row r="1" spans="1:36" ht="15.75" x14ac:dyDescent="0.25">
      <c r="B1" s="127" t="s">
        <v>286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32"/>
    </row>
    <row r="2" spans="1:36" s="29" customFormat="1" ht="13.5" thickBot="1" x14ac:dyDescent="0.25">
      <c r="A2" s="28" t="s">
        <v>287</v>
      </c>
      <c r="B2" s="29" t="s">
        <v>348</v>
      </c>
      <c r="C2" s="29" t="s">
        <v>349</v>
      </c>
      <c r="D2" s="29" t="s">
        <v>350</v>
      </c>
      <c r="E2" s="29" t="s">
        <v>351</v>
      </c>
      <c r="F2" s="29" t="s">
        <v>352</v>
      </c>
      <c r="G2" s="29" t="s">
        <v>353</v>
      </c>
      <c r="H2" s="29" t="s">
        <v>354</v>
      </c>
      <c r="I2" s="29" t="s">
        <v>355</v>
      </c>
      <c r="J2" s="29" t="s">
        <v>356</v>
      </c>
      <c r="K2" s="29" t="s">
        <v>357</v>
      </c>
      <c r="L2" s="29" t="s">
        <v>358</v>
      </c>
      <c r="M2" s="29" t="s">
        <v>359</v>
      </c>
      <c r="N2" s="29" t="s">
        <v>360</v>
      </c>
      <c r="O2" s="29" t="s">
        <v>361</v>
      </c>
      <c r="P2" s="29" t="s">
        <v>362</v>
      </c>
      <c r="Q2" s="29" t="s">
        <v>363</v>
      </c>
      <c r="R2" s="29" t="s">
        <v>364</v>
      </c>
      <c r="S2" s="29" t="s">
        <v>308</v>
      </c>
      <c r="T2" s="29" t="s">
        <v>365</v>
      </c>
      <c r="U2" s="29" t="s">
        <v>366</v>
      </c>
      <c r="V2" s="29" t="s">
        <v>367</v>
      </c>
      <c r="Y2" s="29" t="s">
        <v>382</v>
      </c>
      <c r="AA2" s="29" t="s">
        <v>368</v>
      </c>
      <c r="AB2" s="29" t="s">
        <v>369</v>
      </c>
      <c r="AC2" s="29" t="s">
        <v>370</v>
      </c>
      <c r="AD2" s="29" t="s">
        <v>371</v>
      </c>
      <c r="AG2" s="29" t="s">
        <v>382</v>
      </c>
      <c r="AH2" s="29" t="s">
        <v>384</v>
      </c>
      <c r="AI2" s="29" t="s">
        <v>383</v>
      </c>
      <c r="AJ2" s="29" t="s">
        <v>385</v>
      </c>
    </row>
    <row r="3" spans="1:36" x14ac:dyDescent="0.2">
      <c r="A3" s="27" t="s">
        <v>314</v>
      </c>
      <c r="B3">
        <v>8</v>
      </c>
      <c r="C3">
        <v>2</v>
      </c>
      <c r="D3">
        <v>16</v>
      </c>
      <c r="E3">
        <v>16</v>
      </c>
      <c r="F3">
        <v>23</v>
      </c>
      <c r="G3">
        <v>8</v>
      </c>
      <c r="H3">
        <v>12</v>
      </c>
      <c r="I3">
        <v>21</v>
      </c>
      <c r="J3">
        <v>5</v>
      </c>
      <c r="K3">
        <v>17</v>
      </c>
      <c r="L3">
        <v>19</v>
      </c>
      <c r="M3">
        <v>14</v>
      </c>
      <c r="N3">
        <v>6</v>
      </c>
      <c r="O3">
        <v>6</v>
      </c>
      <c r="P3">
        <v>1</v>
      </c>
      <c r="Q3">
        <v>2</v>
      </c>
      <c r="R3">
        <v>0</v>
      </c>
      <c r="S3">
        <v>0</v>
      </c>
      <c r="T3">
        <v>21</v>
      </c>
      <c r="U3">
        <v>13</v>
      </c>
      <c r="V3">
        <v>6</v>
      </c>
      <c r="X3" t="s">
        <v>315</v>
      </c>
      <c r="Y3">
        <f>SUM(B3:X3)</f>
        <v>216</v>
      </c>
      <c r="Z3" s="128" t="s">
        <v>372</v>
      </c>
      <c r="AA3">
        <v>36</v>
      </c>
      <c r="AB3">
        <v>2</v>
      </c>
      <c r="AC3">
        <v>7</v>
      </c>
      <c r="AD3">
        <v>2</v>
      </c>
      <c r="AF3" t="s">
        <v>315</v>
      </c>
      <c r="AG3">
        <f>SUM(AA3:AF3)</f>
        <v>47</v>
      </c>
      <c r="AH3">
        <f>Y3+AG3</f>
        <v>263</v>
      </c>
    </row>
    <row r="4" spans="1:36" x14ac:dyDescent="0.2">
      <c r="A4" s="27" t="s">
        <v>373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t="s">
        <v>315</v>
      </c>
      <c r="Y4">
        <f t="shared" ref="Y4:Y33" si="0">SUM(B4:X4)</f>
        <v>1</v>
      </c>
      <c r="Z4" s="129"/>
      <c r="AA4">
        <v>1</v>
      </c>
      <c r="AB4">
        <v>0</v>
      </c>
      <c r="AC4">
        <v>0</v>
      </c>
      <c r="AD4">
        <v>0</v>
      </c>
      <c r="AF4" t="s">
        <v>315</v>
      </c>
      <c r="AG4">
        <f t="shared" ref="AG4:AG33" si="1">SUM(AA4:AF4)</f>
        <v>1</v>
      </c>
      <c r="AH4">
        <f t="shared" ref="AH4:AH35" si="2">Y4+AG4</f>
        <v>2</v>
      </c>
    </row>
    <row r="5" spans="1:36" x14ac:dyDescent="0.2">
      <c r="A5" s="27" t="s">
        <v>316</v>
      </c>
      <c r="B5">
        <v>3</v>
      </c>
      <c r="C5">
        <v>8</v>
      </c>
      <c r="D5">
        <v>6</v>
      </c>
      <c r="E5">
        <v>5</v>
      </c>
      <c r="F5">
        <v>11</v>
      </c>
      <c r="G5">
        <v>1</v>
      </c>
      <c r="H5">
        <v>13</v>
      </c>
      <c r="I5">
        <v>14</v>
      </c>
      <c r="J5">
        <v>1</v>
      </c>
      <c r="K5">
        <v>18</v>
      </c>
      <c r="L5">
        <v>18</v>
      </c>
      <c r="M5">
        <v>8</v>
      </c>
      <c r="N5">
        <v>7</v>
      </c>
      <c r="O5">
        <v>4</v>
      </c>
      <c r="P5">
        <v>4</v>
      </c>
      <c r="Q5">
        <v>7</v>
      </c>
      <c r="R5">
        <v>0</v>
      </c>
      <c r="S5">
        <v>0</v>
      </c>
      <c r="T5">
        <v>5</v>
      </c>
      <c r="U5">
        <v>0</v>
      </c>
      <c r="V5">
        <v>3</v>
      </c>
      <c r="X5" t="s">
        <v>315</v>
      </c>
      <c r="Y5">
        <f t="shared" si="0"/>
        <v>136</v>
      </c>
      <c r="Z5" s="129"/>
      <c r="AA5">
        <v>27</v>
      </c>
      <c r="AB5">
        <v>1</v>
      </c>
      <c r="AC5">
        <v>5</v>
      </c>
      <c r="AD5">
        <v>0</v>
      </c>
      <c r="AF5" t="s">
        <v>315</v>
      </c>
      <c r="AG5">
        <f t="shared" si="1"/>
        <v>33</v>
      </c>
      <c r="AH5">
        <f t="shared" si="2"/>
        <v>169</v>
      </c>
    </row>
    <row r="6" spans="1:36" x14ac:dyDescent="0.2">
      <c r="A6" s="27" t="s">
        <v>317</v>
      </c>
      <c r="B6">
        <v>11</v>
      </c>
      <c r="C6">
        <v>5</v>
      </c>
      <c r="D6">
        <v>10</v>
      </c>
      <c r="E6">
        <v>13</v>
      </c>
      <c r="F6">
        <v>12</v>
      </c>
      <c r="G6">
        <v>2</v>
      </c>
      <c r="H6">
        <v>9</v>
      </c>
      <c r="I6">
        <v>11</v>
      </c>
      <c r="J6">
        <v>1</v>
      </c>
      <c r="K6">
        <v>4</v>
      </c>
      <c r="L6">
        <v>13</v>
      </c>
      <c r="M6">
        <v>11</v>
      </c>
      <c r="N6">
        <v>11</v>
      </c>
      <c r="O6">
        <v>2</v>
      </c>
      <c r="P6">
        <v>7</v>
      </c>
      <c r="Q6">
        <v>1</v>
      </c>
      <c r="R6">
        <v>0</v>
      </c>
      <c r="S6">
        <v>0</v>
      </c>
      <c r="T6">
        <v>2</v>
      </c>
      <c r="U6">
        <v>2</v>
      </c>
      <c r="V6">
        <v>3</v>
      </c>
      <c r="X6" t="s">
        <v>315</v>
      </c>
      <c r="Y6">
        <f t="shared" si="0"/>
        <v>130</v>
      </c>
      <c r="Z6" s="129"/>
      <c r="AA6">
        <v>9</v>
      </c>
      <c r="AB6">
        <v>1</v>
      </c>
      <c r="AC6">
        <v>1</v>
      </c>
      <c r="AD6">
        <v>1</v>
      </c>
      <c r="AF6" t="s">
        <v>315</v>
      </c>
      <c r="AG6">
        <f t="shared" si="1"/>
        <v>12</v>
      </c>
      <c r="AH6">
        <f t="shared" si="2"/>
        <v>142</v>
      </c>
    </row>
    <row r="7" spans="1:36" x14ac:dyDescent="0.2">
      <c r="A7" s="27" t="s">
        <v>318</v>
      </c>
      <c r="B7">
        <v>15</v>
      </c>
      <c r="C7">
        <v>9</v>
      </c>
      <c r="D7">
        <v>34</v>
      </c>
      <c r="E7">
        <v>57</v>
      </c>
      <c r="F7">
        <v>54</v>
      </c>
      <c r="G7">
        <v>5</v>
      </c>
      <c r="H7">
        <v>23</v>
      </c>
      <c r="I7">
        <v>49</v>
      </c>
      <c r="J7">
        <v>2</v>
      </c>
      <c r="K7">
        <v>31</v>
      </c>
      <c r="L7">
        <v>19</v>
      </c>
      <c r="M7">
        <v>55</v>
      </c>
      <c r="N7">
        <v>21</v>
      </c>
      <c r="O7">
        <v>6</v>
      </c>
      <c r="P7">
        <v>9</v>
      </c>
      <c r="Q7">
        <v>4</v>
      </c>
      <c r="R7">
        <v>0</v>
      </c>
      <c r="S7">
        <v>0</v>
      </c>
      <c r="T7">
        <v>20</v>
      </c>
      <c r="U7">
        <v>10</v>
      </c>
      <c r="V7">
        <v>9</v>
      </c>
      <c r="X7" t="s">
        <v>315</v>
      </c>
      <c r="Y7">
        <f t="shared" si="0"/>
        <v>432</v>
      </c>
      <c r="Z7" s="129"/>
      <c r="AA7">
        <v>43</v>
      </c>
      <c r="AB7">
        <v>8</v>
      </c>
      <c r="AC7">
        <v>13</v>
      </c>
      <c r="AD7">
        <v>8</v>
      </c>
      <c r="AF7" t="s">
        <v>315</v>
      </c>
      <c r="AG7">
        <f t="shared" si="1"/>
        <v>72</v>
      </c>
      <c r="AH7">
        <f t="shared" si="2"/>
        <v>504</v>
      </c>
    </row>
    <row r="8" spans="1:36" x14ac:dyDescent="0.2">
      <c r="A8" s="27" t="s">
        <v>319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t="s">
        <v>315</v>
      </c>
      <c r="Y8">
        <f t="shared" si="0"/>
        <v>2</v>
      </c>
      <c r="Z8" s="129"/>
      <c r="AA8">
        <v>0</v>
      </c>
      <c r="AB8">
        <v>0</v>
      </c>
      <c r="AC8">
        <v>2</v>
      </c>
      <c r="AD8">
        <v>0</v>
      </c>
      <c r="AF8" t="s">
        <v>315</v>
      </c>
      <c r="AG8">
        <f t="shared" si="1"/>
        <v>2</v>
      </c>
      <c r="AH8">
        <f t="shared" si="2"/>
        <v>4</v>
      </c>
    </row>
    <row r="9" spans="1:36" x14ac:dyDescent="0.2">
      <c r="A9" s="27" t="s">
        <v>320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3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t="s">
        <v>315</v>
      </c>
      <c r="Y9">
        <f t="shared" si="0"/>
        <v>7</v>
      </c>
      <c r="Z9" s="129"/>
      <c r="AA9">
        <v>2</v>
      </c>
      <c r="AB9">
        <v>0</v>
      </c>
      <c r="AC9">
        <v>0</v>
      </c>
      <c r="AD9">
        <v>0</v>
      </c>
      <c r="AF9" t="s">
        <v>315</v>
      </c>
      <c r="AG9">
        <f t="shared" si="1"/>
        <v>2</v>
      </c>
      <c r="AH9">
        <f t="shared" si="2"/>
        <v>9</v>
      </c>
    </row>
    <row r="10" spans="1:36" x14ac:dyDescent="0.2">
      <c r="A10" s="27" t="s">
        <v>321</v>
      </c>
      <c r="B10">
        <v>23</v>
      </c>
      <c r="C10">
        <v>8</v>
      </c>
      <c r="D10">
        <v>15</v>
      </c>
      <c r="E10">
        <v>25</v>
      </c>
      <c r="F10">
        <v>24</v>
      </c>
      <c r="G10">
        <v>8</v>
      </c>
      <c r="H10">
        <v>18</v>
      </c>
      <c r="I10">
        <v>21</v>
      </c>
      <c r="J10">
        <v>0</v>
      </c>
      <c r="K10">
        <v>18</v>
      </c>
      <c r="L10">
        <v>36</v>
      </c>
      <c r="M10">
        <v>18</v>
      </c>
      <c r="N10">
        <v>3</v>
      </c>
      <c r="O10">
        <v>14</v>
      </c>
      <c r="P10">
        <v>3</v>
      </c>
      <c r="Q10">
        <v>12</v>
      </c>
      <c r="R10">
        <v>0</v>
      </c>
      <c r="S10">
        <v>0</v>
      </c>
      <c r="T10">
        <v>7</v>
      </c>
      <c r="U10">
        <v>15</v>
      </c>
      <c r="V10">
        <v>8</v>
      </c>
      <c r="X10" t="s">
        <v>315</v>
      </c>
      <c r="Y10">
        <f t="shared" si="0"/>
        <v>276</v>
      </c>
      <c r="Z10" s="129"/>
      <c r="AA10">
        <v>10</v>
      </c>
      <c r="AB10">
        <v>1</v>
      </c>
      <c r="AC10">
        <v>6</v>
      </c>
      <c r="AD10">
        <v>10</v>
      </c>
      <c r="AF10" t="s">
        <v>315</v>
      </c>
      <c r="AG10">
        <f t="shared" si="1"/>
        <v>27</v>
      </c>
      <c r="AH10">
        <f t="shared" si="2"/>
        <v>303</v>
      </c>
    </row>
    <row r="11" spans="1:36" x14ac:dyDescent="0.2">
      <c r="A11" s="27" t="s">
        <v>322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t="s">
        <v>315</v>
      </c>
      <c r="Y11">
        <f t="shared" si="0"/>
        <v>2</v>
      </c>
      <c r="Z11" s="129"/>
      <c r="AA11">
        <v>0</v>
      </c>
      <c r="AB11">
        <v>0</v>
      </c>
      <c r="AC11">
        <v>0</v>
      </c>
      <c r="AD11">
        <v>0</v>
      </c>
      <c r="AF11" t="s">
        <v>315</v>
      </c>
      <c r="AG11">
        <f t="shared" si="1"/>
        <v>0</v>
      </c>
      <c r="AH11">
        <f t="shared" si="2"/>
        <v>2</v>
      </c>
    </row>
    <row r="12" spans="1:36" x14ac:dyDescent="0.2">
      <c r="A12" s="27" t="s">
        <v>323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1</v>
      </c>
      <c r="M12">
        <v>3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t="s">
        <v>315</v>
      </c>
      <c r="Y12">
        <f t="shared" si="0"/>
        <v>7</v>
      </c>
      <c r="Z12" s="129"/>
      <c r="AA12">
        <v>1</v>
      </c>
      <c r="AB12">
        <v>1</v>
      </c>
      <c r="AC12">
        <v>1</v>
      </c>
      <c r="AD12">
        <v>0</v>
      </c>
      <c r="AF12" t="s">
        <v>315</v>
      </c>
      <c r="AG12">
        <f t="shared" si="1"/>
        <v>3</v>
      </c>
      <c r="AH12">
        <f t="shared" si="2"/>
        <v>10</v>
      </c>
    </row>
    <row r="13" spans="1:36" x14ac:dyDescent="0.2">
      <c r="A13" s="27" t="s">
        <v>324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t="s">
        <v>315</v>
      </c>
      <c r="Y13">
        <f t="shared" si="0"/>
        <v>0</v>
      </c>
      <c r="Z13" s="129"/>
      <c r="AA13">
        <v>0</v>
      </c>
      <c r="AB13">
        <v>1</v>
      </c>
      <c r="AC13">
        <v>0</v>
      </c>
      <c r="AD13">
        <v>0</v>
      </c>
      <c r="AF13" t="s">
        <v>315</v>
      </c>
      <c r="AG13">
        <f t="shared" si="1"/>
        <v>1</v>
      </c>
      <c r="AH13">
        <f t="shared" si="2"/>
        <v>1</v>
      </c>
    </row>
    <row r="14" spans="1:36" x14ac:dyDescent="0.2">
      <c r="A14" s="27" t="s">
        <v>325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X14" t="s">
        <v>315</v>
      </c>
      <c r="Y14">
        <f t="shared" si="0"/>
        <v>1</v>
      </c>
      <c r="Z14" s="129"/>
      <c r="AA14">
        <v>0</v>
      </c>
      <c r="AB14">
        <v>0</v>
      </c>
      <c r="AC14">
        <v>0</v>
      </c>
      <c r="AD14">
        <v>0</v>
      </c>
      <c r="AF14" t="s">
        <v>315</v>
      </c>
      <c r="AG14">
        <f t="shared" si="1"/>
        <v>0</v>
      </c>
      <c r="AH14">
        <f t="shared" si="2"/>
        <v>1</v>
      </c>
    </row>
    <row r="15" spans="1:36" x14ac:dyDescent="0.2">
      <c r="A15" s="27" t="s">
        <v>326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X15" t="s">
        <v>315</v>
      </c>
      <c r="Y15">
        <f t="shared" si="0"/>
        <v>2</v>
      </c>
      <c r="Z15" s="129"/>
      <c r="AA15">
        <v>0</v>
      </c>
      <c r="AB15">
        <v>0</v>
      </c>
      <c r="AC15">
        <v>0</v>
      </c>
      <c r="AD15">
        <v>0</v>
      </c>
      <c r="AF15" t="s">
        <v>315</v>
      </c>
      <c r="AG15">
        <f t="shared" si="1"/>
        <v>0</v>
      </c>
      <c r="AH15">
        <f t="shared" si="2"/>
        <v>2</v>
      </c>
    </row>
    <row r="16" spans="1:36" x14ac:dyDescent="0.2">
      <c r="A16" s="27" t="s">
        <v>327</v>
      </c>
      <c r="B16">
        <v>2</v>
      </c>
      <c r="C16">
        <v>0</v>
      </c>
      <c r="D16">
        <v>1</v>
      </c>
      <c r="E16">
        <v>0</v>
      </c>
      <c r="F16">
        <v>2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X16" t="s">
        <v>315</v>
      </c>
      <c r="Y16">
        <f t="shared" si="0"/>
        <v>13</v>
      </c>
      <c r="Z16" s="129"/>
      <c r="AA16">
        <v>0</v>
      </c>
      <c r="AB16">
        <v>0</v>
      </c>
      <c r="AC16">
        <v>0</v>
      </c>
      <c r="AD16">
        <v>0</v>
      </c>
      <c r="AF16" t="s">
        <v>315</v>
      </c>
      <c r="AG16">
        <f t="shared" si="1"/>
        <v>0</v>
      </c>
      <c r="AH16">
        <f t="shared" si="2"/>
        <v>13</v>
      </c>
    </row>
    <row r="17" spans="1:34" x14ac:dyDescent="0.2">
      <c r="A17" s="27" t="s">
        <v>330</v>
      </c>
      <c r="B17">
        <v>4</v>
      </c>
      <c r="C17">
        <v>1</v>
      </c>
      <c r="D17">
        <v>3</v>
      </c>
      <c r="E17">
        <v>7</v>
      </c>
      <c r="F17">
        <v>4</v>
      </c>
      <c r="G17">
        <v>1</v>
      </c>
      <c r="H17">
        <v>8</v>
      </c>
      <c r="I17">
        <v>9</v>
      </c>
      <c r="J17">
        <v>1</v>
      </c>
      <c r="K17">
        <v>6</v>
      </c>
      <c r="L17">
        <v>6</v>
      </c>
      <c r="M17">
        <v>6</v>
      </c>
      <c r="N17">
        <v>7</v>
      </c>
      <c r="O17">
        <v>2</v>
      </c>
      <c r="P17">
        <v>9</v>
      </c>
      <c r="Q17">
        <v>0</v>
      </c>
      <c r="R17">
        <v>0</v>
      </c>
      <c r="S17">
        <v>0</v>
      </c>
      <c r="T17">
        <v>6</v>
      </c>
      <c r="U17">
        <v>8</v>
      </c>
      <c r="V17">
        <v>5</v>
      </c>
      <c r="X17" t="s">
        <v>315</v>
      </c>
      <c r="Y17">
        <f t="shared" si="0"/>
        <v>93</v>
      </c>
      <c r="Z17" s="129"/>
      <c r="AA17">
        <v>21</v>
      </c>
      <c r="AB17">
        <v>5</v>
      </c>
      <c r="AC17">
        <v>1</v>
      </c>
      <c r="AD17">
        <v>7</v>
      </c>
      <c r="AF17" t="s">
        <v>315</v>
      </c>
      <c r="AG17">
        <f t="shared" si="1"/>
        <v>34</v>
      </c>
      <c r="AH17">
        <f t="shared" si="2"/>
        <v>127</v>
      </c>
    </row>
    <row r="18" spans="1:34" x14ac:dyDescent="0.2">
      <c r="A18" s="27" t="s">
        <v>331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22</v>
      </c>
      <c r="O18">
        <v>13</v>
      </c>
      <c r="P18">
        <v>10</v>
      </c>
      <c r="Q18">
        <v>1</v>
      </c>
      <c r="R18">
        <v>0</v>
      </c>
      <c r="S18">
        <v>0</v>
      </c>
      <c r="T18">
        <v>2</v>
      </c>
      <c r="U18">
        <v>16</v>
      </c>
      <c r="V18">
        <v>11</v>
      </c>
      <c r="X18" t="s">
        <v>315</v>
      </c>
      <c r="Y18">
        <f t="shared" si="0"/>
        <v>75</v>
      </c>
      <c r="Z18" s="129"/>
      <c r="AA18">
        <v>20</v>
      </c>
      <c r="AB18">
        <v>0</v>
      </c>
      <c r="AC18">
        <v>2</v>
      </c>
      <c r="AD18">
        <v>5</v>
      </c>
      <c r="AF18" t="s">
        <v>315</v>
      </c>
      <c r="AG18">
        <f t="shared" si="1"/>
        <v>27</v>
      </c>
      <c r="AH18">
        <f t="shared" si="2"/>
        <v>102</v>
      </c>
    </row>
    <row r="19" spans="1:34" x14ac:dyDescent="0.2">
      <c r="A19" s="27" t="s">
        <v>332</v>
      </c>
      <c r="B19">
        <v>14</v>
      </c>
      <c r="C19">
        <v>1</v>
      </c>
      <c r="D19">
        <v>13</v>
      </c>
      <c r="E19">
        <v>25</v>
      </c>
      <c r="F19">
        <v>31</v>
      </c>
      <c r="G19">
        <v>15</v>
      </c>
      <c r="H19">
        <v>23</v>
      </c>
      <c r="I19">
        <v>29</v>
      </c>
      <c r="J19">
        <v>9</v>
      </c>
      <c r="K19">
        <v>19</v>
      </c>
      <c r="L19">
        <v>14</v>
      </c>
      <c r="M19">
        <v>12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X19" t="s">
        <v>315</v>
      </c>
      <c r="Y19">
        <f t="shared" si="0"/>
        <v>205</v>
      </c>
      <c r="Z19" s="129"/>
      <c r="AA19">
        <v>0</v>
      </c>
      <c r="AB19">
        <v>0</v>
      </c>
      <c r="AC19">
        <v>0</v>
      </c>
      <c r="AD19">
        <v>0</v>
      </c>
      <c r="AF19" t="s">
        <v>315</v>
      </c>
      <c r="AG19">
        <f t="shared" si="1"/>
        <v>0</v>
      </c>
      <c r="AH19">
        <f t="shared" si="2"/>
        <v>205</v>
      </c>
    </row>
    <row r="20" spans="1:34" x14ac:dyDescent="0.2">
      <c r="A20" s="27" t="s">
        <v>333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 t="s">
        <v>315</v>
      </c>
      <c r="Y20">
        <f t="shared" si="0"/>
        <v>0</v>
      </c>
      <c r="Z20" s="129"/>
      <c r="AA20">
        <v>0</v>
      </c>
      <c r="AB20">
        <v>1</v>
      </c>
      <c r="AC20">
        <v>1</v>
      </c>
      <c r="AD20">
        <v>0</v>
      </c>
      <c r="AF20" t="s">
        <v>315</v>
      </c>
      <c r="AG20">
        <f t="shared" si="1"/>
        <v>2</v>
      </c>
      <c r="AH20">
        <f t="shared" si="2"/>
        <v>2</v>
      </c>
    </row>
    <row r="21" spans="1:34" x14ac:dyDescent="0.2">
      <c r="A21" s="27" t="s">
        <v>334</v>
      </c>
      <c r="B21">
        <v>6</v>
      </c>
      <c r="C21">
        <v>0</v>
      </c>
      <c r="D21">
        <v>6</v>
      </c>
      <c r="E21">
        <v>3</v>
      </c>
      <c r="F21">
        <v>3</v>
      </c>
      <c r="G21">
        <v>0</v>
      </c>
      <c r="H21">
        <v>3</v>
      </c>
      <c r="I21">
        <v>3</v>
      </c>
      <c r="J21">
        <v>0</v>
      </c>
      <c r="K21">
        <v>1</v>
      </c>
      <c r="L21">
        <v>0</v>
      </c>
      <c r="M21">
        <v>2</v>
      </c>
      <c r="N21">
        <v>0</v>
      </c>
      <c r="O21">
        <v>3</v>
      </c>
      <c r="P21">
        <v>0</v>
      </c>
      <c r="Q21">
        <v>0</v>
      </c>
      <c r="R21">
        <v>0</v>
      </c>
      <c r="S21">
        <v>0</v>
      </c>
      <c r="T21">
        <v>5</v>
      </c>
      <c r="U21">
        <v>0</v>
      </c>
      <c r="V21">
        <v>1</v>
      </c>
      <c r="X21" t="s">
        <v>315</v>
      </c>
      <c r="Y21">
        <f t="shared" si="0"/>
        <v>36</v>
      </c>
      <c r="Z21" s="129"/>
      <c r="AA21">
        <v>1</v>
      </c>
      <c r="AB21">
        <v>1</v>
      </c>
      <c r="AC21">
        <v>0</v>
      </c>
      <c r="AD21">
        <v>1</v>
      </c>
      <c r="AF21" t="s">
        <v>315</v>
      </c>
      <c r="AG21">
        <f t="shared" si="1"/>
        <v>3</v>
      </c>
      <c r="AH21">
        <f t="shared" si="2"/>
        <v>39</v>
      </c>
    </row>
    <row r="22" spans="1:34" x14ac:dyDescent="0.2">
      <c r="A22" s="27" t="s">
        <v>335</v>
      </c>
      <c r="B22">
        <v>1</v>
      </c>
      <c r="C22">
        <v>2</v>
      </c>
      <c r="D22">
        <v>4</v>
      </c>
      <c r="E22">
        <v>1</v>
      </c>
      <c r="F22">
        <v>6</v>
      </c>
      <c r="G22">
        <v>1</v>
      </c>
      <c r="H22">
        <v>3</v>
      </c>
      <c r="I22">
        <v>5</v>
      </c>
      <c r="J22">
        <v>1</v>
      </c>
      <c r="K22">
        <v>3</v>
      </c>
      <c r="L22">
        <v>3</v>
      </c>
      <c r="M22">
        <v>1</v>
      </c>
      <c r="N22">
        <v>1</v>
      </c>
      <c r="O22">
        <v>3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X22" t="s">
        <v>315</v>
      </c>
      <c r="Y22">
        <f t="shared" si="0"/>
        <v>37</v>
      </c>
      <c r="Z22" s="129"/>
      <c r="AA22">
        <v>1</v>
      </c>
      <c r="AB22">
        <v>0</v>
      </c>
      <c r="AC22">
        <v>1</v>
      </c>
      <c r="AD22">
        <v>1</v>
      </c>
      <c r="AF22" t="s">
        <v>315</v>
      </c>
      <c r="AG22">
        <f t="shared" si="1"/>
        <v>3</v>
      </c>
      <c r="AH22">
        <f t="shared" si="2"/>
        <v>40</v>
      </c>
    </row>
    <row r="23" spans="1:34" x14ac:dyDescent="0.2">
      <c r="A23" s="27" t="s">
        <v>336</v>
      </c>
      <c r="B23">
        <v>0</v>
      </c>
      <c r="C23">
        <v>0</v>
      </c>
      <c r="D23">
        <v>5</v>
      </c>
      <c r="E23">
        <v>5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X23" t="s">
        <v>315</v>
      </c>
      <c r="Y23">
        <f t="shared" si="0"/>
        <v>20</v>
      </c>
      <c r="Z23" s="129"/>
      <c r="AA23">
        <v>3</v>
      </c>
      <c r="AB23">
        <v>1</v>
      </c>
      <c r="AC23">
        <v>1</v>
      </c>
      <c r="AD23">
        <v>2</v>
      </c>
      <c r="AF23" t="s">
        <v>315</v>
      </c>
      <c r="AG23">
        <f t="shared" si="1"/>
        <v>7</v>
      </c>
      <c r="AH23">
        <f t="shared" si="2"/>
        <v>27</v>
      </c>
    </row>
    <row r="24" spans="1:34" x14ac:dyDescent="0.2">
      <c r="A24" s="27" t="s">
        <v>337</v>
      </c>
      <c r="B24">
        <v>2</v>
      </c>
      <c r="C24">
        <v>0</v>
      </c>
      <c r="D24">
        <v>3</v>
      </c>
      <c r="E24">
        <v>0</v>
      </c>
      <c r="F24">
        <v>2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X24" t="s">
        <v>315</v>
      </c>
      <c r="Y24">
        <f t="shared" si="0"/>
        <v>10</v>
      </c>
      <c r="Z24" s="129"/>
      <c r="AA24">
        <v>0</v>
      </c>
      <c r="AB24">
        <v>0</v>
      </c>
      <c r="AC24">
        <v>0</v>
      </c>
      <c r="AD24">
        <v>0</v>
      </c>
      <c r="AF24" t="s">
        <v>315</v>
      </c>
      <c r="AG24">
        <f t="shared" si="1"/>
        <v>0</v>
      </c>
      <c r="AH24">
        <f t="shared" si="2"/>
        <v>10</v>
      </c>
    </row>
    <row r="25" spans="1:34" x14ac:dyDescent="0.2">
      <c r="A25" s="27" t="s">
        <v>338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X25" t="s">
        <v>315</v>
      </c>
      <c r="Y25">
        <f t="shared" si="0"/>
        <v>1</v>
      </c>
      <c r="Z25" s="129"/>
      <c r="AA25">
        <v>0</v>
      </c>
      <c r="AB25">
        <v>1</v>
      </c>
      <c r="AC25">
        <v>0</v>
      </c>
      <c r="AD25">
        <v>0</v>
      </c>
      <c r="AF25" t="s">
        <v>315</v>
      </c>
      <c r="AG25">
        <f t="shared" si="1"/>
        <v>1</v>
      </c>
      <c r="AH25">
        <f t="shared" si="2"/>
        <v>2</v>
      </c>
    </row>
    <row r="26" spans="1:34" x14ac:dyDescent="0.2">
      <c r="A26" s="27" t="s">
        <v>339</v>
      </c>
      <c r="B26">
        <v>10</v>
      </c>
      <c r="C26">
        <v>4</v>
      </c>
      <c r="D26">
        <v>9</v>
      </c>
      <c r="E26">
        <v>9</v>
      </c>
      <c r="F26">
        <v>7</v>
      </c>
      <c r="G26">
        <v>1</v>
      </c>
      <c r="H26">
        <v>10</v>
      </c>
      <c r="I26">
        <v>8</v>
      </c>
      <c r="J26">
        <v>1</v>
      </c>
      <c r="K26">
        <v>5</v>
      </c>
      <c r="L26">
        <v>14</v>
      </c>
      <c r="M26">
        <v>7</v>
      </c>
      <c r="N26">
        <v>3</v>
      </c>
      <c r="O26">
        <v>2</v>
      </c>
      <c r="P26">
        <v>5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X26" t="s">
        <v>315</v>
      </c>
      <c r="Y26">
        <f t="shared" si="0"/>
        <v>98</v>
      </c>
      <c r="Z26" s="129"/>
      <c r="AA26">
        <v>3</v>
      </c>
      <c r="AB26">
        <v>0</v>
      </c>
      <c r="AC26">
        <v>0</v>
      </c>
      <c r="AD26">
        <v>1</v>
      </c>
      <c r="AF26" t="s">
        <v>315</v>
      </c>
      <c r="AG26">
        <f t="shared" si="1"/>
        <v>4</v>
      </c>
      <c r="AH26">
        <f t="shared" si="2"/>
        <v>102</v>
      </c>
    </row>
    <row r="27" spans="1:34" x14ac:dyDescent="0.2">
      <c r="A27" s="27" t="s">
        <v>374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X27" t="s">
        <v>315</v>
      </c>
      <c r="Y27">
        <f t="shared" si="0"/>
        <v>0</v>
      </c>
      <c r="Z27" s="129"/>
      <c r="AA27">
        <v>0</v>
      </c>
      <c r="AB27">
        <v>1</v>
      </c>
      <c r="AC27">
        <v>0</v>
      </c>
      <c r="AD27">
        <v>0</v>
      </c>
      <c r="AF27" t="s">
        <v>315</v>
      </c>
      <c r="AG27">
        <f t="shared" si="1"/>
        <v>1</v>
      </c>
      <c r="AH27">
        <f t="shared" si="2"/>
        <v>1</v>
      </c>
    </row>
    <row r="28" spans="1:34" x14ac:dyDescent="0.2">
      <c r="A28" s="27" t="s">
        <v>340</v>
      </c>
      <c r="B28">
        <v>9</v>
      </c>
      <c r="C28">
        <v>5</v>
      </c>
      <c r="D28">
        <v>14</v>
      </c>
      <c r="E28">
        <v>15</v>
      </c>
      <c r="F28">
        <v>11</v>
      </c>
      <c r="G28">
        <v>8</v>
      </c>
      <c r="H28">
        <v>13</v>
      </c>
      <c r="I28">
        <v>20</v>
      </c>
      <c r="J28">
        <v>3</v>
      </c>
      <c r="K28">
        <v>10</v>
      </c>
      <c r="L28">
        <v>7</v>
      </c>
      <c r="M28">
        <v>7</v>
      </c>
      <c r="N28">
        <v>5</v>
      </c>
      <c r="O28">
        <v>8</v>
      </c>
      <c r="P28">
        <v>3</v>
      </c>
      <c r="Q28">
        <v>3</v>
      </c>
      <c r="R28">
        <v>1</v>
      </c>
      <c r="S28">
        <v>1</v>
      </c>
      <c r="T28">
        <v>10</v>
      </c>
      <c r="U28">
        <v>4</v>
      </c>
      <c r="V28">
        <v>7</v>
      </c>
      <c r="X28" t="s">
        <v>315</v>
      </c>
      <c r="Y28">
        <f t="shared" si="0"/>
        <v>164</v>
      </c>
      <c r="Z28" s="129"/>
      <c r="AA28">
        <v>17</v>
      </c>
      <c r="AB28">
        <v>2</v>
      </c>
      <c r="AC28">
        <v>7</v>
      </c>
      <c r="AD28">
        <v>3</v>
      </c>
      <c r="AF28" t="s">
        <v>315</v>
      </c>
      <c r="AG28">
        <f t="shared" si="1"/>
        <v>29</v>
      </c>
      <c r="AH28">
        <f t="shared" si="2"/>
        <v>193</v>
      </c>
    </row>
    <row r="29" spans="1:34" x14ac:dyDescent="0.2">
      <c r="A29" s="27" t="s">
        <v>341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X29" t="s">
        <v>315</v>
      </c>
      <c r="Y29">
        <f t="shared" si="0"/>
        <v>3</v>
      </c>
      <c r="Z29" s="129"/>
      <c r="AA29">
        <v>0</v>
      </c>
      <c r="AB29">
        <v>0</v>
      </c>
      <c r="AC29">
        <v>0</v>
      </c>
      <c r="AD29">
        <v>0</v>
      </c>
      <c r="AF29" t="s">
        <v>315</v>
      </c>
      <c r="AG29">
        <f t="shared" si="1"/>
        <v>0</v>
      </c>
      <c r="AH29">
        <f t="shared" si="2"/>
        <v>3</v>
      </c>
    </row>
    <row r="30" spans="1:34" x14ac:dyDescent="0.2">
      <c r="A30" s="27" t="s">
        <v>342</v>
      </c>
      <c r="B30">
        <v>0</v>
      </c>
      <c r="C30">
        <v>3</v>
      </c>
      <c r="D30">
        <v>2</v>
      </c>
      <c r="E30">
        <v>2</v>
      </c>
      <c r="F30">
        <v>2</v>
      </c>
      <c r="G30">
        <v>0</v>
      </c>
      <c r="H30">
        <v>1</v>
      </c>
      <c r="I30">
        <v>2</v>
      </c>
      <c r="J30">
        <v>0</v>
      </c>
      <c r="K30">
        <v>0</v>
      </c>
      <c r="L30">
        <v>1</v>
      </c>
      <c r="M30">
        <v>0</v>
      </c>
      <c r="N30">
        <v>3</v>
      </c>
      <c r="O30">
        <v>1</v>
      </c>
      <c r="P30">
        <v>0</v>
      </c>
      <c r="Q30">
        <v>0</v>
      </c>
      <c r="R30">
        <v>0</v>
      </c>
      <c r="S30">
        <v>0</v>
      </c>
      <c r="T30">
        <v>2</v>
      </c>
      <c r="U30">
        <v>1</v>
      </c>
      <c r="V30">
        <v>0</v>
      </c>
      <c r="X30" t="s">
        <v>315</v>
      </c>
      <c r="Y30">
        <f t="shared" si="0"/>
        <v>20</v>
      </c>
      <c r="Z30" s="129"/>
      <c r="AA30">
        <v>3</v>
      </c>
      <c r="AB30">
        <v>2</v>
      </c>
      <c r="AC30">
        <v>0</v>
      </c>
      <c r="AD30">
        <v>1</v>
      </c>
      <c r="AF30" t="s">
        <v>315</v>
      </c>
      <c r="AG30">
        <f t="shared" si="1"/>
        <v>6</v>
      </c>
      <c r="AH30">
        <f t="shared" si="2"/>
        <v>26</v>
      </c>
    </row>
    <row r="31" spans="1:34" x14ac:dyDescent="0.2">
      <c r="A31" s="27" t="s">
        <v>375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X31" t="s">
        <v>315</v>
      </c>
      <c r="Y31">
        <f t="shared" si="0"/>
        <v>3</v>
      </c>
      <c r="Z31" s="129"/>
      <c r="AA31">
        <v>0</v>
      </c>
      <c r="AB31">
        <v>0</v>
      </c>
      <c r="AC31">
        <v>0</v>
      </c>
      <c r="AD31">
        <v>0</v>
      </c>
      <c r="AF31" t="s">
        <v>315</v>
      </c>
      <c r="AG31">
        <f t="shared" si="1"/>
        <v>0</v>
      </c>
      <c r="AH31">
        <f t="shared" si="2"/>
        <v>3</v>
      </c>
    </row>
    <row r="32" spans="1:34" x14ac:dyDescent="0.2">
      <c r="A32" s="27" t="s">
        <v>343</v>
      </c>
      <c r="B32">
        <v>3</v>
      </c>
      <c r="C32">
        <v>2</v>
      </c>
      <c r="D32">
        <v>7</v>
      </c>
      <c r="E32">
        <v>4</v>
      </c>
      <c r="F32">
        <v>2</v>
      </c>
      <c r="G32">
        <v>2</v>
      </c>
      <c r="H32">
        <v>4</v>
      </c>
      <c r="I32">
        <v>10</v>
      </c>
      <c r="J32">
        <v>0</v>
      </c>
      <c r="K32">
        <v>2</v>
      </c>
      <c r="L32">
        <v>2</v>
      </c>
      <c r="M32">
        <v>3</v>
      </c>
      <c r="N32">
        <v>2</v>
      </c>
      <c r="O32">
        <v>2</v>
      </c>
      <c r="P32">
        <v>1</v>
      </c>
      <c r="Q32">
        <v>0</v>
      </c>
      <c r="R32">
        <v>0</v>
      </c>
      <c r="S32">
        <v>0</v>
      </c>
      <c r="T32">
        <v>0</v>
      </c>
      <c r="U32">
        <v>2</v>
      </c>
      <c r="V32">
        <v>3</v>
      </c>
      <c r="X32" t="s">
        <v>315</v>
      </c>
      <c r="Y32">
        <f t="shared" si="0"/>
        <v>51</v>
      </c>
      <c r="Z32" s="129"/>
      <c r="AA32">
        <v>17</v>
      </c>
      <c r="AB32">
        <v>1</v>
      </c>
      <c r="AC32">
        <v>0</v>
      </c>
      <c r="AD32">
        <v>2</v>
      </c>
      <c r="AF32" t="s">
        <v>315</v>
      </c>
      <c r="AG32">
        <f t="shared" si="1"/>
        <v>20</v>
      </c>
      <c r="AH32">
        <f t="shared" si="2"/>
        <v>71</v>
      </c>
    </row>
    <row r="33" spans="1:34" x14ac:dyDescent="0.2">
      <c r="A33" s="27" t="s">
        <v>376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X33" t="s">
        <v>315</v>
      </c>
      <c r="Y33">
        <f t="shared" si="0"/>
        <v>0</v>
      </c>
      <c r="Z33" s="129"/>
      <c r="AA33">
        <v>0</v>
      </c>
      <c r="AB33">
        <v>1</v>
      </c>
      <c r="AC33">
        <v>0</v>
      </c>
      <c r="AD33">
        <v>0</v>
      </c>
      <c r="AF33" t="s">
        <v>315</v>
      </c>
      <c r="AG33">
        <f t="shared" si="1"/>
        <v>1</v>
      </c>
      <c r="AH33">
        <f t="shared" si="2"/>
        <v>1</v>
      </c>
    </row>
    <row r="34" spans="1:34" x14ac:dyDescent="0.2">
      <c r="A34" s="27"/>
      <c r="Z34" s="129"/>
    </row>
    <row r="35" spans="1:34" x14ac:dyDescent="0.2">
      <c r="A35" s="30" t="s">
        <v>344</v>
      </c>
      <c r="B35">
        <f t="shared" ref="B35:V35" si="3">SUM(B3:B34)</f>
        <v>112</v>
      </c>
      <c r="C35">
        <f t="shared" si="3"/>
        <v>52</v>
      </c>
      <c r="D35">
        <f t="shared" si="3"/>
        <v>150</v>
      </c>
      <c r="E35">
        <f t="shared" si="3"/>
        <v>187</v>
      </c>
      <c r="F35">
        <f t="shared" si="3"/>
        <v>199</v>
      </c>
      <c r="G35">
        <f t="shared" si="3"/>
        <v>57</v>
      </c>
      <c r="H35">
        <f t="shared" si="3"/>
        <v>144</v>
      </c>
      <c r="I35">
        <f t="shared" si="3"/>
        <v>204</v>
      </c>
      <c r="J35">
        <f t="shared" si="3"/>
        <v>26</v>
      </c>
      <c r="K35">
        <f t="shared" si="3"/>
        <v>136</v>
      </c>
      <c r="L35">
        <f t="shared" si="3"/>
        <v>154</v>
      </c>
      <c r="M35">
        <f t="shared" si="3"/>
        <v>152</v>
      </c>
      <c r="N35">
        <f>SUM(N3:N34)</f>
        <v>95</v>
      </c>
      <c r="O35">
        <f>SUM(O3:O34)</f>
        <v>66</v>
      </c>
      <c r="P35">
        <f>SUM(P3:P34)</f>
        <v>58</v>
      </c>
      <c r="Q35">
        <f t="shared" si="3"/>
        <v>32</v>
      </c>
      <c r="R35">
        <f t="shared" si="3"/>
        <v>2</v>
      </c>
      <c r="S35">
        <f t="shared" si="3"/>
        <v>1</v>
      </c>
      <c r="T35">
        <f t="shared" si="3"/>
        <v>84</v>
      </c>
      <c r="U35">
        <f t="shared" si="3"/>
        <v>71</v>
      </c>
      <c r="V35">
        <f t="shared" si="3"/>
        <v>59</v>
      </c>
      <c r="X35" t="s">
        <v>315</v>
      </c>
      <c r="Y35">
        <f>SUM(Y3:Y34)</f>
        <v>2041</v>
      </c>
      <c r="Z35" s="129"/>
      <c r="AA35">
        <f>SUM(AA3:AA34)</f>
        <v>215</v>
      </c>
      <c r="AB35">
        <f>SUM(AB3:AB34)</f>
        <v>31</v>
      </c>
      <c r="AC35">
        <f>SUM(AC3:AC34)</f>
        <v>48</v>
      </c>
      <c r="AD35">
        <f>SUM(AD3:AD34)</f>
        <v>44</v>
      </c>
      <c r="AF35" t="s">
        <v>315</v>
      </c>
      <c r="AG35">
        <f>SUM(AG3:AG34)</f>
        <v>338</v>
      </c>
      <c r="AH35">
        <f t="shared" si="2"/>
        <v>2379</v>
      </c>
    </row>
    <row r="36" spans="1:34" x14ac:dyDescent="0.2">
      <c r="A36" s="27"/>
      <c r="B36" s="27"/>
      <c r="C36" s="27"/>
      <c r="D36" s="27"/>
      <c r="E36" s="27"/>
      <c r="F36" s="27"/>
      <c r="G36" s="27"/>
      <c r="H36" s="27"/>
      <c r="I36" s="27"/>
      <c r="Q36" t="s">
        <v>377</v>
      </c>
      <c r="R36" t="s">
        <v>377</v>
      </c>
      <c r="S36" t="s">
        <v>378</v>
      </c>
    </row>
    <row r="37" spans="1:34" x14ac:dyDescent="0.2">
      <c r="A37" s="27"/>
      <c r="B37" s="27"/>
      <c r="C37" s="27"/>
      <c r="D37" s="27"/>
      <c r="E37" s="27"/>
      <c r="F37" s="27"/>
      <c r="G37" s="27"/>
      <c r="H37" s="27"/>
      <c r="I37" s="27"/>
    </row>
    <row r="38" spans="1:34" ht="14.25" x14ac:dyDescent="0.2">
      <c r="A38" s="125" t="s">
        <v>379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</row>
    <row r="39" spans="1:34" x14ac:dyDescent="0.2">
      <c r="A39" s="27"/>
      <c r="B39" s="27"/>
      <c r="C39" s="27"/>
      <c r="D39" s="27"/>
      <c r="E39" s="27"/>
      <c r="F39" s="27"/>
      <c r="G39" s="27"/>
      <c r="H39" s="27"/>
      <c r="I39" s="27"/>
    </row>
    <row r="40" spans="1:34" x14ac:dyDescent="0.2">
      <c r="A40" s="125" t="s">
        <v>346</v>
      </c>
      <c r="B40" s="125"/>
      <c r="C40" s="125"/>
      <c r="D40" s="125"/>
      <c r="E40" s="125"/>
      <c r="F40" s="125"/>
      <c r="G40" s="125"/>
      <c r="H40" s="125"/>
      <c r="I40" s="125"/>
      <c r="J40" s="126"/>
      <c r="K40" s="126"/>
      <c r="L40" s="126"/>
    </row>
    <row r="43" spans="1:34" ht="14.25" x14ac:dyDescent="0.2">
      <c r="A43" s="125" t="s">
        <v>380</v>
      </c>
      <c r="B43" s="125"/>
      <c r="C43" s="125"/>
      <c r="D43" s="125"/>
      <c r="E43" s="125"/>
      <c r="F43" s="125"/>
      <c r="G43" s="125"/>
      <c r="H43" s="125"/>
      <c r="I43" s="125"/>
      <c r="J43" s="126"/>
      <c r="K43" s="126"/>
      <c r="L43" s="126"/>
      <c r="M43" s="126"/>
      <c r="N43" s="126"/>
      <c r="O43" s="126"/>
    </row>
    <row r="44" spans="1:34" x14ac:dyDescent="0.2">
      <c r="A44" s="31" t="s">
        <v>381</v>
      </c>
      <c r="B44" s="31"/>
      <c r="C44" s="31"/>
      <c r="D44" s="31"/>
      <c r="E44" s="31"/>
      <c r="F44" s="31"/>
      <c r="G44" s="31"/>
      <c r="H44" s="31"/>
      <c r="I44" s="31"/>
    </row>
  </sheetData>
  <mergeCells count="5">
    <mergeCell ref="B1:AD1"/>
    <mergeCell ref="Z3:Z35"/>
    <mergeCell ref="A38:M38"/>
    <mergeCell ref="A40:L40"/>
    <mergeCell ref="A43:O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9"/>
  <sheetViews>
    <sheetView topLeftCell="A22" workbookViewId="0">
      <selection activeCell="A40" sqref="A40"/>
    </sheetView>
  </sheetViews>
  <sheetFormatPr defaultRowHeight="12.75" x14ac:dyDescent="0.2"/>
  <cols>
    <col min="1" max="1" width="24.85546875" customWidth="1"/>
    <col min="2" max="2" width="8.42578125" style="33" customWidth="1"/>
    <col min="3" max="5" width="7.28515625" style="33" customWidth="1"/>
    <col min="6" max="8" width="7.140625" style="33" customWidth="1"/>
    <col min="9" max="9" width="7" style="33" customWidth="1"/>
    <col min="10" max="11" width="6.85546875" style="33" customWidth="1"/>
    <col min="12" max="12" width="6.5703125" style="33" customWidth="1"/>
    <col min="13" max="14" width="7" style="33" customWidth="1"/>
    <col min="15" max="15" width="6.5703125" style="33" customWidth="1"/>
    <col min="16" max="18" width="7" style="33" customWidth="1"/>
    <col min="19" max="23" width="6.7109375" style="33" customWidth="1"/>
    <col min="24" max="26" width="6.42578125" style="33" customWidth="1"/>
    <col min="27" max="27" width="7.28515625" customWidth="1"/>
    <col min="28" max="28" width="6.85546875" style="33" customWidth="1"/>
    <col min="29" max="29" width="6.85546875" customWidth="1"/>
    <col min="30" max="30" width="6.5703125" style="33" customWidth="1"/>
    <col min="31" max="31" width="9.140625" style="34"/>
    <col min="257" max="257" width="24.85546875" customWidth="1"/>
    <col min="258" max="258" width="8.42578125" customWidth="1"/>
    <col min="259" max="261" width="7.28515625" customWidth="1"/>
    <col min="262" max="264" width="7.140625" customWidth="1"/>
    <col min="265" max="265" width="7" customWidth="1"/>
    <col min="266" max="267" width="6.85546875" customWidth="1"/>
    <col min="268" max="268" width="6.5703125" customWidth="1"/>
    <col min="269" max="270" width="7" customWidth="1"/>
    <col min="271" max="271" width="6.5703125" customWidth="1"/>
    <col min="272" max="274" width="7" customWidth="1"/>
    <col min="275" max="279" width="6.7109375" customWidth="1"/>
    <col min="280" max="282" width="6.42578125" customWidth="1"/>
    <col min="283" max="283" width="7.28515625" customWidth="1"/>
    <col min="284" max="285" width="6.85546875" customWidth="1"/>
    <col min="286" max="286" width="6.5703125" customWidth="1"/>
    <col min="513" max="513" width="24.85546875" customWidth="1"/>
    <col min="514" max="514" width="8.42578125" customWidth="1"/>
    <col min="515" max="517" width="7.28515625" customWidth="1"/>
    <col min="518" max="520" width="7.140625" customWidth="1"/>
    <col min="521" max="521" width="7" customWidth="1"/>
    <col min="522" max="523" width="6.85546875" customWidth="1"/>
    <col min="524" max="524" width="6.5703125" customWidth="1"/>
    <col min="525" max="526" width="7" customWidth="1"/>
    <col min="527" max="527" width="6.5703125" customWidth="1"/>
    <col min="528" max="530" width="7" customWidth="1"/>
    <col min="531" max="535" width="6.7109375" customWidth="1"/>
    <col min="536" max="538" width="6.42578125" customWidth="1"/>
    <col min="539" max="539" width="7.28515625" customWidth="1"/>
    <col min="540" max="541" width="6.85546875" customWidth="1"/>
    <col min="542" max="542" width="6.5703125" customWidth="1"/>
    <col min="769" max="769" width="24.85546875" customWidth="1"/>
    <col min="770" max="770" width="8.42578125" customWidth="1"/>
    <col min="771" max="773" width="7.28515625" customWidth="1"/>
    <col min="774" max="776" width="7.140625" customWidth="1"/>
    <col min="777" max="777" width="7" customWidth="1"/>
    <col min="778" max="779" width="6.85546875" customWidth="1"/>
    <col min="780" max="780" width="6.5703125" customWidth="1"/>
    <col min="781" max="782" width="7" customWidth="1"/>
    <col min="783" max="783" width="6.5703125" customWidth="1"/>
    <col min="784" max="786" width="7" customWidth="1"/>
    <col min="787" max="791" width="6.7109375" customWidth="1"/>
    <col min="792" max="794" width="6.42578125" customWidth="1"/>
    <col min="795" max="795" width="7.28515625" customWidth="1"/>
    <col min="796" max="797" width="6.85546875" customWidth="1"/>
    <col min="798" max="798" width="6.5703125" customWidth="1"/>
    <col min="1025" max="1025" width="24.85546875" customWidth="1"/>
    <col min="1026" max="1026" width="8.42578125" customWidth="1"/>
    <col min="1027" max="1029" width="7.28515625" customWidth="1"/>
    <col min="1030" max="1032" width="7.140625" customWidth="1"/>
    <col min="1033" max="1033" width="7" customWidth="1"/>
    <col min="1034" max="1035" width="6.85546875" customWidth="1"/>
    <col min="1036" max="1036" width="6.5703125" customWidth="1"/>
    <col min="1037" max="1038" width="7" customWidth="1"/>
    <col min="1039" max="1039" width="6.5703125" customWidth="1"/>
    <col min="1040" max="1042" width="7" customWidth="1"/>
    <col min="1043" max="1047" width="6.7109375" customWidth="1"/>
    <col min="1048" max="1050" width="6.42578125" customWidth="1"/>
    <col min="1051" max="1051" width="7.28515625" customWidth="1"/>
    <col min="1052" max="1053" width="6.85546875" customWidth="1"/>
    <col min="1054" max="1054" width="6.5703125" customWidth="1"/>
    <col min="1281" max="1281" width="24.85546875" customWidth="1"/>
    <col min="1282" max="1282" width="8.42578125" customWidth="1"/>
    <col min="1283" max="1285" width="7.28515625" customWidth="1"/>
    <col min="1286" max="1288" width="7.140625" customWidth="1"/>
    <col min="1289" max="1289" width="7" customWidth="1"/>
    <col min="1290" max="1291" width="6.85546875" customWidth="1"/>
    <col min="1292" max="1292" width="6.5703125" customWidth="1"/>
    <col min="1293" max="1294" width="7" customWidth="1"/>
    <col min="1295" max="1295" width="6.5703125" customWidth="1"/>
    <col min="1296" max="1298" width="7" customWidth="1"/>
    <col min="1299" max="1303" width="6.7109375" customWidth="1"/>
    <col min="1304" max="1306" width="6.42578125" customWidth="1"/>
    <col min="1307" max="1307" width="7.28515625" customWidth="1"/>
    <col min="1308" max="1309" width="6.85546875" customWidth="1"/>
    <col min="1310" max="1310" width="6.5703125" customWidth="1"/>
    <col min="1537" max="1537" width="24.85546875" customWidth="1"/>
    <col min="1538" max="1538" width="8.42578125" customWidth="1"/>
    <col min="1539" max="1541" width="7.28515625" customWidth="1"/>
    <col min="1542" max="1544" width="7.140625" customWidth="1"/>
    <col min="1545" max="1545" width="7" customWidth="1"/>
    <col min="1546" max="1547" width="6.85546875" customWidth="1"/>
    <col min="1548" max="1548" width="6.5703125" customWidth="1"/>
    <col min="1549" max="1550" width="7" customWidth="1"/>
    <col min="1551" max="1551" width="6.5703125" customWidth="1"/>
    <col min="1552" max="1554" width="7" customWidth="1"/>
    <col min="1555" max="1559" width="6.7109375" customWidth="1"/>
    <col min="1560" max="1562" width="6.42578125" customWidth="1"/>
    <col min="1563" max="1563" width="7.28515625" customWidth="1"/>
    <col min="1564" max="1565" width="6.85546875" customWidth="1"/>
    <col min="1566" max="1566" width="6.5703125" customWidth="1"/>
    <col min="1793" max="1793" width="24.85546875" customWidth="1"/>
    <col min="1794" max="1794" width="8.42578125" customWidth="1"/>
    <col min="1795" max="1797" width="7.28515625" customWidth="1"/>
    <col min="1798" max="1800" width="7.140625" customWidth="1"/>
    <col min="1801" max="1801" width="7" customWidth="1"/>
    <col min="1802" max="1803" width="6.85546875" customWidth="1"/>
    <col min="1804" max="1804" width="6.5703125" customWidth="1"/>
    <col min="1805" max="1806" width="7" customWidth="1"/>
    <col min="1807" max="1807" width="6.5703125" customWidth="1"/>
    <col min="1808" max="1810" width="7" customWidth="1"/>
    <col min="1811" max="1815" width="6.7109375" customWidth="1"/>
    <col min="1816" max="1818" width="6.42578125" customWidth="1"/>
    <col min="1819" max="1819" width="7.28515625" customWidth="1"/>
    <col min="1820" max="1821" width="6.85546875" customWidth="1"/>
    <col min="1822" max="1822" width="6.5703125" customWidth="1"/>
    <col min="2049" max="2049" width="24.85546875" customWidth="1"/>
    <col min="2050" max="2050" width="8.42578125" customWidth="1"/>
    <col min="2051" max="2053" width="7.28515625" customWidth="1"/>
    <col min="2054" max="2056" width="7.140625" customWidth="1"/>
    <col min="2057" max="2057" width="7" customWidth="1"/>
    <col min="2058" max="2059" width="6.85546875" customWidth="1"/>
    <col min="2060" max="2060" width="6.5703125" customWidth="1"/>
    <col min="2061" max="2062" width="7" customWidth="1"/>
    <col min="2063" max="2063" width="6.5703125" customWidth="1"/>
    <col min="2064" max="2066" width="7" customWidth="1"/>
    <col min="2067" max="2071" width="6.7109375" customWidth="1"/>
    <col min="2072" max="2074" width="6.42578125" customWidth="1"/>
    <col min="2075" max="2075" width="7.28515625" customWidth="1"/>
    <col min="2076" max="2077" width="6.85546875" customWidth="1"/>
    <col min="2078" max="2078" width="6.5703125" customWidth="1"/>
    <col min="2305" max="2305" width="24.85546875" customWidth="1"/>
    <col min="2306" max="2306" width="8.42578125" customWidth="1"/>
    <col min="2307" max="2309" width="7.28515625" customWidth="1"/>
    <col min="2310" max="2312" width="7.140625" customWidth="1"/>
    <col min="2313" max="2313" width="7" customWidth="1"/>
    <col min="2314" max="2315" width="6.85546875" customWidth="1"/>
    <col min="2316" max="2316" width="6.5703125" customWidth="1"/>
    <col min="2317" max="2318" width="7" customWidth="1"/>
    <col min="2319" max="2319" width="6.5703125" customWidth="1"/>
    <col min="2320" max="2322" width="7" customWidth="1"/>
    <col min="2323" max="2327" width="6.7109375" customWidth="1"/>
    <col min="2328" max="2330" width="6.42578125" customWidth="1"/>
    <col min="2331" max="2331" width="7.28515625" customWidth="1"/>
    <col min="2332" max="2333" width="6.85546875" customWidth="1"/>
    <col min="2334" max="2334" width="6.5703125" customWidth="1"/>
    <col min="2561" max="2561" width="24.85546875" customWidth="1"/>
    <col min="2562" max="2562" width="8.42578125" customWidth="1"/>
    <col min="2563" max="2565" width="7.28515625" customWidth="1"/>
    <col min="2566" max="2568" width="7.140625" customWidth="1"/>
    <col min="2569" max="2569" width="7" customWidth="1"/>
    <col min="2570" max="2571" width="6.85546875" customWidth="1"/>
    <col min="2572" max="2572" width="6.5703125" customWidth="1"/>
    <col min="2573" max="2574" width="7" customWidth="1"/>
    <col min="2575" max="2575" width="6.5703125" customWidth="1"/>
    <col min="2576" max="2578" width="7" customWidth="1"/>
    <col min="2579" max="2583" width="6.7109375" customWidth="1"/>
    <col min="2584" max="2586" width="6.42578125" customWidth="1"/>
    <col min="2587" max="2587" width="7.28515625" customWidth="1"/>
    <col min="2588" max="2589" width="6.85546875" customWidth="1"/>
    <col min="2590" max="2590" width="6.5703125" customWidth="1"/>
    <col min="2817" max="2817" width="24.85546875" customWidth="1"/>
    <col min="2818" max="2818" width="8.42578125" customWidth="1"/>
    <col min="2819" max="2821" width="7.28515625" customWidth="1"/>
    <col min="2822" max="2824" width="7.140625" customWidth="1"/>
    <col min="2825" max="2825" width="7" customWidth="1"/>
    <col min="2826" max="2827" width="6.85546875" customWidth="1"/>
    <col min="2828" max="2828" width="6.5703125" customWidth="1"/>
    <col min="2829" max="2830" width="7" customWidth="1"/>
    <col min="2831" max="2831" width="6.5703125" customWidth="1"/>
    <col min="2832" max="2834" width="7" customWidth="1"/>
    <col min="2835" max="2839" width="6.7109375" customWidth="1"/>
    <col min="2840" max="2842" width="6.42578125" customWidth="1"/>
    <col min="2843" max="2843" width="7.28515625" customWidth="1"/>
    <col min="2844" max="2845" width="6.85546875" customWidth="1"/>
    <col min="2846" max="2846" width="6.5703125" customWidth="1"/>
    <col min="3073" max="3073" width="24.85546875" customWidth="1"/>
    <col min="3074" max="3074" width="8.42578125" customWidth="1"/>
    <col min="3075" max="3077" width="7.28515625" customWidth="1"/>
    <col min="3078" max="3080" width="7.140625" customWidth="1"/>
    <col min="3081" max="3081" width="7" customWidth="1"/>
    <col min="3082" max="3083" width="6.85546875" customWidth="1"/>
    <col min="3084" max="3084" width="6.5703125" customWidth="1"/>
    <col min="3085" max="3086" width="7" customWidth="1"/>
    <col min="3087" max="3087" width="6.5703125" customWidth="1"/>
    <col min="3088" max="3090" width="7" customWidth="1"/>
    <col min="3091" max="3095" width="6.7109375" customWidth="1"/>
    <col min="3096" max="3098" width="6.42578125" customWidth="1"/>
    <col min="3099" max="3099" width="7.28515625" customWidth="1"/>
    <col min="3100" max="3101" width="6.85546875" customWidth="1"/>
    <col min="3102" max="3102" width="6.5703125" customWidth="1"/>
    <col min="3329" max="3329" width="24.85546875" customWidth="1"/>
    <col min="3330" max="3330" width="8.42578125" customWidth="1"/>
    <col min="3331" max="3333" width="7.28515625" customWidth="1"/>
    <col min="3334" max="3336" width="7.140625" customWidth="1"/>
    <col min="3337" max="3337" width="7" customWidth="1"/>
    <col min="3338" max="3339" width="6.85546875" customWidth="1"/>
    <col min="3340" max="3340" width="6.5703125" customWidth="1"/>
    <col min="3341" max="3342" width="7" customWidth="1"/>
    <col min="3343" max="3343" width="6.5703125" customWidth="1"/>
    <col min="3344" max="3346" width="7" customWidth="1"/>
    <col min="3347" max="3351" width="6.7109375" customWidth="1"/>
    <col min="3352" max="3354" width="6.42578125" customWidth="1"/>
    <col min="3355" max="3355" width="7.28515625" customWidth="1"/>
    <col min="3356" max="3357" width="6.85546875" customWidth="1"/>
    <col min="3358" max="3358" width="6.5703125" customWidth="1"/>
    <col min="3585" max="3585" width="24.85546875" customWidth="1"/>
    <col min="3586" max="3586" width="8.42578125" customWidth="1"/>
    <col min="3587" max="3589" width="7.28515625" customWidth="1"/>
    <col min="3590" max="3592" width="7.140625" customWidth="1"/>
    <col min="3593" max="3593" width="7" customWidth="1"/>
    <col min="3594" max="3595" width="6.85546875" customWidth="1"/>
    <col min="3596" max="3596" width="6.5703125" customWidth="1"/>
    <col min="3597" max="3598" width="7" customWidth="1"/>
    <col min="3599" max="3599" width="6.5703125" customWidth="1"/>
    <col min="3600" max="3602" width="7" customWidth="1"/>
    <col min="3603" max="3607" width="6.7109375" customWidth="1"/>
    <col min="3608" max="3610" width="6.42578125" customWidth="1"/>
    <col min="3611" max="3611" width="7.28515625" customWidth="1"/>
    <col min="3612" max="3613" width="6.85546875" customWidth="1"/>
    <col min="3614" max="3614" width="6.5703125" customWidth="1"/>
    <col min="3841" max="3841" width="24.85546875" customWidth="1"/>
    <col min="3842" max="3842" width="8.42578125" customWidth="1"/>
    <col min="3843" max="3845" width="7.28515625" customWidth="1"/>
    <col min="3846" max="3848" width="7.140625" customWidth="1"/>
    <col min="3849" max="3849" width="7" customWidth="1"/>
    <col min="3850" max="3851" width="6.85546875" customWidth="1"/>
    <col min="3852" max="3852" width="6.5703125" customWidth="1"/>
    <col min="3853" max="3854" width="7" customWidth="1"/>
    <col min="3855" max="3855" width="6.5703125" customWidth="1"/>
    <col min="3856" max="3858" width="7" customWidth="1"/>
    <col min="3859" max="3863" width="6.7109375" customWidth="1"/>
    <col min="3864" max="3866" width="6.42578125" customWidth="1"/>
    <col min="3867" max="3867" width="7.28515625" customWidth="1"/>
    <col min="3868" max="3869" width="6.85546875" customWidth="1"/>
    <col min="3870" max="3870" width="6.5703125" customWidth="1"/>
    <col min="4097" max="4097" width="24.85546875" customWidth="1"/>
    <col min="4098" max="4098" width="8.42578125" customWidth="1"/>
    <col min="4099" max="4101" width="7.28515625" customWidth="1"/>
    <col min="4102" max="4104" width="7.140625" customWidth="1"/>
    <col min="4105" max="4105" width="7" customWidth="1"/>
    <col min="4106" max="4107" width="6.85546875" customWidth="1"/>
    <col min="4108" max="4108" width="6.5703125" customWidth="1"/>
    <col min="4109" max="4110" width="7" customWidth="1"/>
    <col min="4111" max="4111" width="6.5703125" customWidth="1"/>
    <col min="4112" max="4114" width="7" customWidth="1"/>
    <col min="4115" max="4119" width="6.7109375" customWidth="1"/>
    <col min="4120" max="4122" width="6.42578125" customWidth="1"/>
    <col min="4123" max="4123" width="7.28515625" customWidth="1"/>
    <col min="4124" max="4125" width="6.85546875" customWidth="1"/>
    <col min="4126" max="4126" width="6.5703125" customWidth="1"/>
    <col min="4353" max="4353" width="24.85546875" customWidth="1"/>
    <col min="4354" max="4354" width="8.42578125" customWidth="1"/>
    <col min="4355" max="4357" width="7.28515625" customWidth="1"/>
    <col min="4358" max="4360" width="7.140625" customWidth="1"/>
    <col min="4361" max="4361" width="7" customWidth="1"/>
    <col min="4362" max="4363" width="6.85546875" customWidth="1"/>
    <col min="4364" max="4364" width="6.5703125" customWidth="1"/>
    <col min="4365" max="4366" width="7" customWidth="1"/>
    <col min="4367" max="4367" width="6.5703125" customWidth="1"/>
    <col min="4368" max="4370" width="7" customWidth="1"/>
    <col min="4371" max="4375" width="6.7109375" customWidth="1"/>
    <col min="4376" max="4378" width="6.42578125" customWidth="1"/>
    <col min="4379" max="4379" width="7.28515625" customWidth="1"/>
    <col min="4380" max="4381" width="6.85546875" customWidth="1"/>
    <col min="4382" max="4382" width="6.5703125" customWidth="1"/>
    <col min="4609" max="4609" width="24.85546875" customWidth="1"/>
    <col min="4610" max="4610" width="8.42578125" customWidth="1"/>
    <col min="4611" max="4613" width="7.28515625" customWidth="1"/>
    <col min="4614" max="4616" width="7.140625" customWidth="1"/>
    <col min="4617" max="4617" width="7" customWidth="1"/>
    <col min="4618" max="4619" width="6.85546875" customWidth="1"/>
    <col min="4620" max="4620" width="6.5703125" customWidth="1"/>
    <col min="4621" max="4622" width="7" customWidth="1"/>
    <col min="4623" max="4623" width="6.5703125" customWidth="1"/>
    <col min="4624" max="4626" width="7" customWidth="1"/>
    <col min="4627" max="4631" width="6.7109375" customWidth="1"/>
    <col min="4632" max="4634" width="6.42578125" customWidth="1"/>
    <col min="4635" max="4635" width="7.28515625" customWidth="1"/>
    <col min="4636" max="4637" width="6.85546875" customWidth="1"/>
    <col min="4638" max="4638" width="6.5703125" customWidth="1"/>
    <col min="4865" max="4865" width="24.85546875" customWidth="1"/>
    <col min="4866" max="4866" width="8.42578125" customWidth="1"/>
    <col min="4867" max="4869" width="7.28515625" customWidth="1"/>
    <col min="4870" max="4872" width="7.140625" customWidth="1"/>
    <col min="4873" max="4873" width="7" customWidth="1"/>
    <col min="4874" max="4875" width="6.85546875" customWidth="1"/>
    <col min="4876" max="4876" width="6.5703125" customWidth="1"/>
    <col min="4877" max="4878" width="7" customWidth="1"/>
    <col min="4879" max="4879" width="6.5703125" customWidth="1"/>
    <col min="4880" max="4882" width="7" customWidth="1"/>
    <col min="4883" max="4887" width="6.7109375" customWidth="1"/>
    <col min="4888" max="4890" width="6.42578125" customWidth="1"/>
    <col min="4891" max="4891" width="7.28515625" customWidth="1"/>
    <col min="4892" max="4893" width="6.85546875" customWidth="1"/>
    <col min="4894" max="4894" width="6.5703125" customWidth="1"/>
    <col min="5121" max="5121" width="24.85546875" customWidth="1"/>
    <col min="5122" max="5122" width="8.42578125" customWidth="1"/>
    <col min="5123" max="5125" width="7.28515625" customWidth="1"/>
    <col min="5126" max="5128" width="7.140625" customWidth="1"/>
    <col min="5129" max="5129" width="7" customWidth="1"/>
    <col min="5130" max="5131" width="6.85546875" customWidth="1"/>
    <col min="5132" max="5132" width="6.5703125" customWidth="1"/>
    <col min="5133" max="5134" width="7" customWidth="1"/>
    <col min="5135" max="5135" width="6.5703125" customWidth="1"/>
    <col min="5136" max="5138" width="7" customWidth="1"/>
    <col min="5139" max="5143" width="6.7109375" customWidth="1"/>
    <col min="5144" max="5146" width="6.42578125" customWidth="1"/>
    <col min="5147" max="5147" width="7.28515625" customWidth="1"/>
    <col min="5148" max="5149" width="6.85546875" customWidth="1"/>
    <col min="5150" max="5150" width="6.5703125" customWidth="1"/>
    <col min="5377" max="5377" width="24.85546875" customWidth="1"/>
    <col min="5378" max="5378" width="8.42578125" customWidth="1"/>
    <col min="5379" max="5381" width="7.28515625" customWidth="1"/>
    <col min="5382" max="5384" width="7.140625" customWidth="1"/>
    <col min="5385" max="5385" width="7" customWidth="1"/>
    <col min="5386" max="5387" width="6.85546875" customWidth="1"/>
    <col min="5388" max="5388" width="6.5703125" customWidth="1"/>
    <col min="5389" max="5390" width="7" customWidth="1"/>
    <col min="5391" max="5391" width="6.5703125" customWidth="1"/>
    <col min="5392" max="5394" width="7" customWidth="1"/>
    <col min="5395" max="5399" width="6.7109375" customWidth="1"/>
    <col min="5400" max="5402" width="6.42578125" customWidth="1"/>
    <col min="5403" max="5403" width="7.28515625" customWidth="1"/>
    <col min="5404" max="5405" width="6.85546875" customWidth="1"/>
    <col min="5406" max="5406" width="6.5703125" customWidth="1"/>
    <col min="5633" max="5633" width="24.85546875" customWidth="1"/>
    <col min="5634" max="5634" width="8.42578125" customWidth="1"/>
    <col min="5635" max="5637" width="7.28515625" customWidth="1"/>
    <col min="5638" max="5640" width="7.140625" customWidth="1"/>
    <col min="5641" max="5641" width="7" customWidth="1"/>
    <col min="5642" max="5643" width="6.85546875" customWidth="1"/>
    <col min="5644" max="5644" width="6.5703125" customWidth="1"/>
    <col min="5645" max="5646" width="7" customWidth="1"/>
    <col min="5647" max="5647" width="6.5703125" customWidth="1"/>
    <col min="5648" max="5650" width="7" customWidth="1"/>
    <col min="5651" max="5655" width="6.7109375" customWidth="1"/>
    <col min="5656" max="5658" width="6.42578125" customWidth="1"/>
    <col min="5659" max="5659" width="7.28515625" customWidth="1"/>
    <col min="5660" max="5661" width="6.85546875" customWidth="1"/>
    <col min="5662" max="5662" width="6.5703125" customWidth="1"/>
    <col min="5889" max="5889" width="24.85546875" customWidth="1"/>
    <col min="5890" max="5890" width="8.42578125" customWidth="1"/>
    <col min="5891" max="5893" width="7.28515625" customWidth="1"/>
    <col min="5894" max="5896" width="7.140625" customWidth="1"/>
    <col min="5897" max="5897" width="7" customWidth="1"/>
    <col min="5898" max="5899" width="6.85546875" customWidth="1"/>
    <col min="5900" max="5900" width="6.5703125" customWidth="1"/>
    <col min="5901" max="5902" width="7" customWidth="1"/>
    <col min="5903" max="5903" width="6.5703125" customWidth="1"/>
    <col min="5904" max="5906" width="7" customWidth="1"/>
    <col min="5907" max="5911" width="6.7109375" customWidth="1"/>
    <col min="5912" max="5914" width="6.42578125" customWidth="1"/>
    <col min="5915" max="5915" width="7.28515625" customWidth="1"/>
    <col min="5916" max="5917" width="6.85546875" customWidth="1"/>
    <col min="5918" max="5918" width="6.5703125" customWidth="1"/>
    <col min="6145" max="6145" width="24.85546875" customWidth="1"/>
    <col min="6146" max="6146" width="8.42578125" customWidth="1"/>
    <col min="6147" max="6149" width="7.28515625" customWidth="1"/>
    <col min="6150" max="6152" width="7.140625" customWidth="1"/>
    <col min="6153" max="6153" width="7" customWidth="1"/>
    <col min="6154" max="6155" width="6.85546875" customWidth="1"/>
    <col min="6156" max="6156" width="6.5703125" customWidth="1"/>
    <col min="6157" max="6158" width="7" customWidth="1"/>
    <col min="6159" max="6159" width="6.5703125" customWidth="1"/>
    <col min="6160" max="6162" width="7" customWidth="1"/>
    <col min="6163" max="6167" width="6.7109375" customWidth="1"/>
    <col min="6168" max="6170" width="6.42578125" customWidth="1"/>
    <col min="6171" max="6171" width="7.28515625" customWidth="1"/>
    <col min="6172" max="6173" width="6.85546875" customWidth="1"/>
    <col min="6174" max="6174" width="6.5703125" customWidth="1"/>
    <col min="6401" max="6401" width="24.85546875" customWidth="1"/>
    <col min="6402" max="6402" width="8.42578125" customWidth="1"/>
    <col min="6403" max="6405" width="7.28515625" customWidth="1"/>
    <col min="6406" max="6408" width="7.140625" customWidth="1"/>
    <col min="6409" max="6409" width="7" customWidth="1"/>
    <col min="6410" max="6411" width="6.85546875" customWidth="1"/>
    <col min="6412" max="6412" width="6.5703125" customWidth="1"/>
    <col min="6413" max="6414" width="7" customWidth="1"/>
    <col min="6415" max="6415" width="6.5703125" customWidth="1"/>
    <col min="6416" max="6418" width="7" customWidth="1"/>
    <col min="6419" max="6423" width="6.7109375" customWidth="1"/>
    <col min="6424" max="6426" width="6.42578125" customWidth="1"/>
    <col min="6427" max="6427" width="7.28515625" customWidth="1"/>
    <col min="6428" max="6429" width="6.85546875" customWidth="1"/>
    <col min="6430" max="6430" width="6.5703125" customWidth="1"/>
    <col min="6657" max="6657" width="24.85546875" customWidth="1"/>
    <col min="6658" max="6658" width="8.42578125" customWidth="1"/>
    <col min="6659" max="6661" width="7.28515625" customWidth="1"/>
    <col min="6662" max="6664" width="7.140625" customWidth="1"/>
    <col min="6665" max="6665" width="7" customWidth="1"/>
    <col min="6666" max="6667" width="6.85546875" customWidth="1"/>
    <col min="6668" max="6668" width="6.5703125" customWidth="1"/>
    <col min="6669" max="6670" width="7" customWidth="1"/>
    <col min="6671" max="6671" width="6.5703125" customWidth="1"/>
    <col min="6672" max="6674" width="7" customWidth="1"/>
    <col min="6675" max="6679" width="6.7109375" customWidth="1"/>
    <col min="6680" max="6682" width="6.42578125" customWidth="1"/>
    <col min="6683" max="6683" width="7.28515625" customWidth="1"/>
    <col min="6684" max="6685" width="6.85546875" customWidth="1"/>
    <col min="6686" max="6686" width="6.5703125" customWidth="1"/>
    <col min="6913" max="6913" width="24.85546875" customWidth="1"/>
    <col min="6914" max="6914" width="8.42578125" customWidth="1"/>
    <col min="6915" max="6917" width="7.28515625" customWidth="1"/>
    <col min="6918" max="6920" width="7.140625" customWidth="1"/>
    <col min="6921" max="6921" width="7" customWidth="1"/>
    <col min="6922" max="6923" width="6.85546875" customWidth="1"/>
    <col min="6924" max="6924" width="6.5703125" customWidth="1"/>
    <col min="6925" max="6926" width="7" customWidth="1"/>
    <col min="6927" max="6927" width="6.5703125" customWidth="1"/>
    <col min="6928" max="6930" width="7" customWidth="1"/>
    <col min="6931" max="6935" width="6.7109375" customWidth="1"/>
    <col min="6936" max="6938" width="6.42578125" customWidth="1"/>
    <col min="6939" max="6939" width="7.28515625" customWidth="1"/>
    <col min="6940" max="6941" width="6.85546875" customWidth="1"/>
    <col min="6942" max="6942" width="6.5703125" customWidth="1"/>
    <col min="7169" max="7169" width="24.85546875" customWidth="1"/>
    <col min="7170" max="7170" width="8.42578125" customWidth="1"/>
    <col min="7171" max="7173" width="7.28515625" customWidth="1"/>
    <col min="7174" max="7176" width="7.140625" customWidth="1"/>
    <col min="7177" max="7177" width="7" customWidth="1"/>
    <col min="7178" max="7179" width="6.85546875" customWidth="1"/>
    <col min="7180" max="7180" width="6.5703125" customWidth="1"/>
    <col min="7181" max="7182" width="7" customWidth="1"/>
    <col min="7183" max="7183" width="6.5703125" customWidth="1"/>
    <col min="7184" max="7186" width="7" customWidth="1"/>
    <col min="7187" max="7191" width="6.7109375" customWidth="1"/>
    <col min="7192" max="7194" width="6.42578125" customWidth="1"/>
    <col min="7195" max="7195" width="7.28515625" customWidth="1"/>
    <col min="7196" max="7197" width="6.85546875" customWidth="1"/>
    <col min="7198" max="7198" width="6.5703125" customWidth="1"/>
    <col min="7425" max="7425" width="24.85546875" customWidth="1"/>
    <col min="7426" max="7426" width="8.42578125" customWidth="1"/>
    <col min="7427" max="7429" width="7.28515625" customWidth="1"/>
    <col min="7430" max="7432" width="7.140625" customWidth="1"/>
    <col min="7433" max="7433" width="7" customWidth="1"/>
    <col min="7434" max="7435" width="6.85546875" customWidth="1"/>
    <col min="7436" max="7436" width="6.5703125" customWidth="1"/>
    <col min="7437" max="7438" width="7" customWidth="1"/>
    <col min="7439" max="7439" width="6.5703125" customWidth="1"/>
    <col min="7440" max="7442" width="7" customWidth="1"/>
    <col min="7443" max="7447" width="6.7109375" customWidth="1"/>
    <col min="7448" max="7450" width="6.42578125" customWidth="1"/>
    <col min="7451" max="7451" width="7.28515625" customWidth="1"/>
    <col min="7452" max="7453" width="6.85546875" customWidth="1"/>
    <col min="7454" max="7454" width="6.5703125" customWidth="1"/>
    <col min="7681" max="7681" width="24.85546875" customWidth="1"/>
    <col min="7682" max="7682" width="8.42578125" customWidth="1"/>
    <col min="7683" max="7685" width="7.28515625" customWidth="1"/>
    <col min="7686" max="7688" width="7.140625" customWidth="1"/>
    <col min="7689" max="7689" width="7" customWidth="1"/>
    <col min="7690" max="7691" width="6.85546875" customWidth="1"/>
    <col min="7692" max="7692" width="6.5703125" customWidth="1"/>
    <col min="7693" max="7694" width="7" customWidth="1"/>
    <col min="7695" max="7695" width="6.5703125" customWidth="1"/>
    <col min="7696" max="7698" width="7" customWidth="1"/>
    <col min="7699" max="7703" width="6.7109375" customWidth="1"/>
    <col min="7704" max="7706" width="6.42578125" customWidth="1"/>
    <col min="7707" max="7707" width="7.28515625" customWidth="1"/>
    <col min="7708" max="7709" width="6.85546875" customWidth="1"/>
    <col min="7710" max="7710" width="6.5703125" customWidth="1"/>
    <col min="7937" max="7937" width="24.85546875" customWidth="1"/>
    <col min="7938" max="7938" width="8.42578125" customWidth="1"/>
    <col min="7939" max="7941" width="7.28515625" customWidth="1"/>
    <col min="7942" max="7944" width="7.140625" customWidth="1"/>
    <col min="7945" max="7945" width="7" customWidth="1"/>
    <col min="7946" max="7947" width="6.85546875" customWidth="1"/>
    <col min="7948" max="7948" width="6.5703125" customWidth="1"/>
    <col min="7949" max="7950" width="7" customWidth="1"/>
    <col min="7951" max="7951" width="6.5703125" customWidth="1"/>
    <col min="7952" max="7954" width="7" customWidth="1"/>
    <col min="7955" max="7959" width="6.7109375" customWidth="1"/>
    <col min="7960" max="7962" width="6.42578125" customWidth="1"/>
    <col min="7963" max="7963" width="7.28515625" customWidth="1"/>
    <col min="7964" max="7965" width="6.85546875" customWidth="1"/>
    <col min="7966" max="7966" width="6.5703125" customWidth="1"/>
    <col min="8193" max="8193" width="24.85546875" customWidth="1"/>
    <col min="8194" max="8194" width="8.42578125" customWidth="1"/>
    <col min="8195" max="8197" width="7.28515625" customWidth="1"/>
    <col min="8198" max="8200" width="7.140625" customWidth="1"/>
    <col min="8201" max="8201" width="7" customWidth="1"/>
    <col min="8202" max="8203" width="6.85546875" customWidth="1"/>
    <col min="8204" max="8204" width="6.5703125" customWidth="1"/>
    <col min="8205" max="8206" width="7" customWidth="1"/>
    <col min="8207" max="8207" width="6.5703125" customWidth="1"/>
    <col min="8208" max="8210" width="7" customWidth="1"/>
    <col min="8211" max="8215" width="6.7109375" customWidth="1"/>
    <col min="8216" max="8218" width="6.42578125" customWidth="1"/>
    <col min="8219" max="8219" width="7.28515625" customWidth="1"/>
    <col min="8220" max="8221" width="6.85546875" customWidth="1"/>
    <col min="8222" max="8222" width="6.5703125" customWidth="1"/>
    <col min="8449" max="8449" width="24.85546875" customWidth="1"/>
    <col min="8450" max="8450" width="8.42578125" customWidth="1"/>
    <col min="8451" max="8453" width="7.28515625" customWidth="1"/>
    <col min="8454" max="8456" width="7.140625" customWidth="1"/>
    <col min="8457" max="8457" width="7" customWidth="1"/>
    <col min="8458" max="8459" width="6.85546875" customWidth="1"/>
    <col min="8460" max="8460" width="6.5703125" customWidth="1"/>
    <col min="8461" max="8462" width="7" customWidth="1"/>
    <col min="8463" max="8463" width="6.5703125" customWidth="1"/>
    <col min="8464" max="8466" width="7" customWidth="1"/>
    <col min="8467" max="8471" width="6.7109375" customWidth="1"/>
    <col min="8472" max="8474" width="6.42578125" customWidth="1"/>
    <col min="8475" max="8475" width="7.28515625" customWidth="1"/>
    <col min="8476" max="8477" width="6.85546875" customWidth="1"/>
    <col min="8478" max="8478" width="6.5703125" customWidth="1"/>
    <col min="8705" max="8705" width="24.85546875" customWidth="1"/>
    <col min="8706" max="8706" width="8.42578125" customWidth="1"/>
    <col min="8707" max="8709" width="7.28515625" customWidth="1"/>
    <col min="8710" max="8712" width="7.140625" customWidth="1"/>
    <col min="8713" max="8713" width="7" customWidth="1"/>
    <col min="8714" max="8715" width="6.85546875" customWidth="1"/>
    <col min="8716" max="8716" width="6.5703125" customWidth="1"/>
    <col min="8717" max="8718" width="7" customWidth="1"/>
    <col min="8719" max="8719" width="6.5703125" customWidth="1"/>
    <col min="8720" max="8722" width="7" customWidth="1"/>
    <col min="8723" max="8727" width="6.7109375" customWidth="1"/>
    <col min="8728" max="8730" width="6.42578125" customWidth="1"/>
    <col min="8731" max="8731" width="7.28515625" customWidth="1"/>
    <col min="8732" max="8733" width="6.85546875" customWidth="1"/>
    <col min="8734" max="8734" width="6.5703125" customWidth="1"/>
    <col min="8961" max="8961" width="24.85546875" customWidth="1"/>
    <col min="8962" max="8962" width="8.42578125" customWidth="1"/>
    <col min="8963" max="8965" width="7.28515625" customWidth="1"/>
    <col min="8966" max="8968" width="7.140625" customWidth="1"/>
    <col min="8969" max="8969" width="7" customWidth="1"/>
    <col min="8970" max="8971" width="6.85546875" customWidth="1"/>
    <col min="8972" max="8972" width="6.5703125" customWidth="1"/>
    <col min="8973" max="8974" width="7" customWidth="1"/>
    <col min="8975" max="8975" width="6.5703125" customWidth="1"/>
    <col min="8976" max="8978" width="7" customWidth="1"/>
    <col min="8979" max="8983" width="6.7109375" customWidth="1"/>
    <col min="8984" max="8986" width="6.42578125" customWidth="1"/>
    <col min="8987" max="8987" width="7.28515625" customWidth="1"/>
    <col min="8988" max="8989" width="6.85546875" customWidth="1"/>
    <col min="8990" max="8990" width="6.5703125" customWidth="1"/>
    <col min="9217" max="9217" width="24.85546875" customWidth="1"/>
    <col min="9218" max="9218" width="8.42578125" customWidth="1"/>
    <col min="9219" max="9221" width="7.28515625" customWidth="1"/>
    <col min="9222" max="9224" width="7.140625" customWidth="1"/>
    <col min="9225" max="9225" width="7" customWidth="1"/>
    <col min="9226" max="9227" width="6.85546875" customWidth="1"/>
    <col min="9228" max="9228" width="6.5703125" customWidth="1"/>
    <col min="9229" max="9230" width="7" customWidth="1"/>
    <col min="9231" max="9231" width="6.5703125" customWidth="1"/>
    <col min="9232" max="9234" width="7" customWidth="1"/>
    <col min="9235" max="9239" width="6.7109375" customWidth="1"/>
    <col min="9240" max="9242" width="6.42578125" customWidth="1"/>
    <col min="9243" max="9243" width="7.28515625" customWidth="1"/>
    <col min="9244" max="9245" width="6.85546875" customWidth="1"/>
    <col min="9246" max="9246" width="6.5703125" customWidth="1"/>
    <col min="9473" max="9473" width="24.85546875" customWidth="1"/>
    <col min="9474" max="9474" width="8.42578125" customWidth="1"/>
    <col min="9475" max="9477" width="7.28515625" customWidth="1"/>
    <col min="9478" max="9480" width="7.140625" customWidth="1"/>
    <col min="9481" max="9481" width="7" customWidth="1"/>
    <col min="9482" max="9483" width="6.85546875" customWidth="1"/>
    <col min="9484" max="9484" width="6.5703125" customWidth="1"/>
    <col min="9485" max="9486" width="7" customWidth="1"/>
    <col min="9487" max="9487" width="6.5703125" customWidth="1"/>
    <col min="9488" max="9490" width="7" customWidth="1"/>
    <col min="9491" max="9495" width="6.7109375" customWidth="1"/>
    <col min="9496" max="9498" width="6.42578125" customWidth="1"/>
    <col min="9499" max="9499" width="7.28515625" customWidth="1"/>
    <col min="9500" max="9501" width="6.85546875" customWidth="1"/>
    <col min="9502" max="9502" width="6.5703125" customWidth="1"/>
    <col min="9729" max="9729" width="24.85546875" customWidth="1"/>
    <col min="9730" max="9730" width="8.42578125" customWidth="1"/>
    <col min="9731" max="9733" width="7.28515625" customWidth="1"/>
    <col min="9734" max="9736" width="7.140625" customWidth="1"/>
    <col min="9737" max="9737" width="7" customWidth="1"/>
    <col min="9738" max="9739" width="6.85546875" customWidth="1"/>
    <col min="9740" max="9740" width="6.5703125" customWidth="1"/>
    <col min="9741" max="9742" width="7" customWidth="1"/>
    <col min="9743" max="9743" width="6.5703125" customWidth="1"/>
    <col min="9744" max="9746" width="7" customWidth="1"/>
    <col min="9747" max="9751" width="6.7109375" customWidth="1"/>
    <col min="9752" max="9754" width="6.42578125" customWidth="1"/>
    <col min="9755" max="9755" width="7.28515625" customWidth="1"/>
    <col min="9756" max="9757" width="6.85546875" customWidth="1"/>
    <col min="9758" max="9758" width="6.5703125" customWidth="1"/>
    <col min="9985" max="9985" width="24.85546875" customWidth="1"/>
    <col min="9986" max="9986" width="8.42578125" customWidth="1"/>
    <col min="9987" max="9989" width="7.28515625" customWidth="1"/>
    <col min="9990" max="9992" width="7.140625" customWidth="1"/>
    <col min="9993" max="9993" width="7" customWidth="1"/>
    <col min="9994" max="9995" width="6.85546875" customWidth="1"/>
    <col min="9996" max="9996" width="6.5703125" customWidth="1"/>
    <col min="9997" max="9998" width="7" customWidth="1"/>
    <col min="9999" max="9999" width="6.5703125" customWidth="1"/>
    <col min="10000" max="10002" width="7" customWidth="1"/>
    <col min="10003" max="10007" width="6.7109375" customWidth="1"/>
    <col min="10008" max="10010" width="6.42578125" customWidth="1"/>
    <col min="10011" max="10011" width="7.28515625" customWidth="1"/>
    <col min="10012" max="10013" width="6.85546875" customWidth="1"/>
    <col min="10014" max="10014" width="6.5703125" customWidth="1"/>
    <col min="10241" max="10241" width="24.85546875" customWidth="1"/>
    <col min="10242" max="10242" width="8.42578125" customWidth="1"/>
    <col min="10243" max="10245" width="7.28515625" customWidth="1"/>
    <col min="10246" max="10248" width="7.140625" customWidth="1"/>
    <col min="10249" max="10249" width="7" customWidth="1"/>
    <col min="10250" max="10251" width="6.85546875" customWidth="1"/>
    <col min="10252" max="10252" width="6.5703125" customWidth="1"/>
    <col min="10253" max="10254" width="7" customWidth="1"/>
    <col min="10255" max="10255" width="6.5703125" customWidth="1"/>
    <col min="10256" max="10258" width="7" customWidth="1"/>
    <col min="10259" max="10263" width="6.7109375" customWidth="1"/>
    <col min="10264" max="10266" width="6.42578125" customWidth="1"/>
    <col min="10267" max="10267" width="7.28515625" customWidth="1"/>
    <col min="10268" max="10269" width="6.85546875" customWidth="1"/>
    <col min="10270" max="10270" width="6.5703125" customWidth="1"/>
    <col min="10497" max="10497" width="24.85546875" customWidth="1"/>
    <col min="10498" max="10498" width="8.42578125" customWidth="1"/>
    <col min="10499" max="10501" width="7.28515625" customWidth="1"/>
    <col min="10502" max="10504" width="7.140625" customWidth="1"/>
    <col min="10505" max="10505" width="7" customWidth="1"/>
    <col min="10506" max="10507" width="6.85546875" customWidth="1"/>
    <col min="10508" max="10508" width="6.5703125" customWidth="1"/>
    <col min="10509" max="10510" width="7" customWidth="1"/>
    <col min="10511" max="10511" width="6.5703125" customWidth="1"/>
    <col min="10512" max="10514" width="7" customWidth="1"/>
    <col min="10515" max="10519" width="6.7109375" customWidth="1"/>
    <col min="10520" max="10522" width="6.42578125" customWidth="1"/>
    <col min="10523" max="10523" width="7.28515625" customWidth="1"/>
    <col min="10524" max="10525" width="6.85546875" customWidth="1"/>
    <col min="10526" max="10526" width="6.5703125" customWidth="1"/>
    <col min="10753" max="10753" width="24.85546875" customWidth="1"/>
    <col min="10754" max="10754" width="8.42578125" customWidth="1"/>
    <col min="10755" max="10757" width="7.28515625" customWidth="1"/>
    <col min="10758" max="10760" width="7.140625" customWidth="1"/>
    <col min="10761" max="10761" width="7" customWidth="1"/>
    <col min="10762" max="10763" width="6.85546875" customWidth="1"/>
    <col min="10764" max="10764" width="6.5703125" customWidth="1"/>
    <col min="10765" max="10766" width="7" customWidth="1"/>
    <col min="10767" max="10767" width="6.5703125" customWidth="1"/>
    <col min="10768" max="10770" width="7" customWidth="1"/>
    <col min="10771" max="10775" width="6.7109375" customWidth="1"/>
    <col min="10776" max="10778" width="6.42578125" customWidth="1"/>
    <col min="10779" max="10779" width="7.28515625" customWidth="1"/>
    <col min="10780" max="10781" width="6.85546875" customWidth="1"/>
    <col min="10782" max="10782" width="6.5703125" customWidth="1"/>
    <col min="11009" max="11009" width="24.85546875" customWidth="1"/>
    <col min="11010" max="11010" width="8.42578125" customWidth="1"/>
    <col min="11011" max="11013" width="7.28515625" customWidth="1"/>
    <col min="11014" max="11016" width="7.140625" customWidth="1"/>
    <col min="11017" max="11017" width="7" customWidth="1"/>
    <col min="11018" max="11019" width="6.85546875" customWidth="1"/>
    <col min="11020" max="11020" width="6.5703125" customWidth="1"/>
    <col min="11021" max="11022" width="7" customWidth="1"/>
    <col min="11023" max="11023" width="6.5703125" customWidth="1"/>
    <col min="11024" max="11026" width="7" customWidth="1"/>
    <col min="11027" max="11031" width="6.7109375" customWidth="1"/>
    <col min="11032" max="11034" width="6.42578125" customWidth="1"/>
    <col min="11035" max="11035" width="7.28515625" customWidth="1"/>
    <col min="11036" max="11037" width="6.85546875" customWidth="1"/>
    <col min="11038" max="11038" width="6.5703125" customWidth="1"/>
    <col min="11265" max="11265" width="24.85546875" customWidth="1"/>
    <col min="11266" max="11266" width="8.42578125" customWidth="1"/>
    <col min="11267" max="11269" width="7.28515625" customWidth="1"/>
    <col min="11270" max="11272" width="7.140625" customWidth="1"/>
    <col min="11273" max="11273" width="7" customWidth="1"/>
    <col min="11274" max="11275" width="6.85546875" customWidth="1"/>
    <col min="11276" max="11276" width="6.5703125" customWidth="1"/>
    <col min="11277" max="11278" width="7" customWidth="1"/>
    <col min="11279" max="11279" width="6.5703125" customWidth="1"/>
    <col min="11280" max="11282" width="7" customWidth="1"/>
    <col min="11283" max="11287" width="6.7109375" customWidth="1"/>
    <col min="11288" max="11290" width="6.42578125" customWidth="1"/>
    <col min="11291" max="11291" width="7.28515625" customWidth="1"/>
    <col min="11292" max="11293" width="6.85546875" customWidth="1"/>
    <col min="11294" max="11294" width="6.5703125" customWidth="1"/>
    <col min="11521" max="11521" width="24.85546875" customWidth="1"/>
    <col min="11522" max="11522" width="8.42578125" customWidth="1"/>
    <col min="11523" max="11525" width="7.28515625" customWidth="1"/>
    <col min="11526" max="11528" width="7.140625" customWidth="1"/>
    <col min="11529" max="11529" width="7" customWidth="1"/>
    <col min="11530" max="11531" width="6.85546875" customWidth="1"/>
    <col min="11532" max="11532" width="6.5703125" customWidth="1"/>
    <col min="11533" max="11534" width="7" customWidth="1"/>
    <col min="11535" max="11535" width="6.5703125" customWidth="1"/>
    <col min="11536" max="11538" width="7" customWidth="1"/>
    <col min="11539" max="11543" width="6.7109375" customWidth="1"/>
    <col min="11544" max="11546" width="6.42578125" customWidth="1"/>
    <col min="11547" max="11547" width="7.28515625" customWidth="1"/>
    <col min="11548" max="11549" width="6.85546875" customWidth="1"/>
    <col min="11550" max="11550" width="6.5703125" customWidth="1"/>
    <col min="11777" max="11777" width="24.85546875" customWidth="1"/>
    <col min="11778" max="11778" width="8.42578125" customWidth="1"/>
    <col min="11779" max="11781" width="7.28515625" customWidth="1"/>
    <col min="11782" max="11784" width="7.140625" customWidth="1"/>
    <col min="11785" max="11785" width="7" customWidth="1"/>
    <col min="11786" max="11787" width="6.85546875" customWidth="1"/>
    <col min="11788" max="11788" width="6.5703125" customWidth="1"/>
    <col min="11789" max="11790" width="7" customWidth="1"/>
    <col min="11791" max="11791" width="6.5703125" customWidth="1"/>
    <col min="11792" max="11794" width="7" customWidth="1"/>
    <col min="11795" max="11799" width="6.7109375" customWidth="1"/>
    <col min="11800" max="11802" width="6.42578125" customWidth="1"/>
    <col min="11803" max="11803" width="7.28515625" customWidth="1"/>
    <col min="11804" max="11805" width="6.85546875" customWidth="1"/>
    <col min="11806" max="11806" width="6.5703125" customWidth="1"/>
    <col min="12033" max="12033" width="24.85546875" customWidth="1"/>
    <col min="12034" max="12034" width="8.42578125" customWidth="1"/>
    <col min="12035" max="12037" width="7.28515625" customWidth="1"/>
    <col min="12038" max="12040" width="7.140625" customWidth="1"/>
    <col min="12041" max="12041" width="7" customWidth="1"/>
    <col min="12042" max="12043" width="6.85546875" customWidth="1"/>
    <col min="12044" max="12044" width="6.5703125" customWidth="1"/>
    <col min="12045" max="12046" width="7" customWidth="1"/>
    <col min="12047" max="12047" width="6.5703125" customWidth="1"/>
    <col min="12048" max="12050" width="7" customWidth="1"/>
    <col min="12051" max="12055" width="6.7109375" customWidth="1"/>
    <col min="12056" max="12058" width="6.42578125" customWidth="1"/>
    <col min="12059" max="12059" width="7.28515625" customWidth="1"/>
    <col min="12060" max="12061" width="6.85546875" customWidth="1"/>
    <col min="12062" max="12062" width="6.5703125" customWidth="1"/>
    <col min="12289" max="12289" width="24.85546875" customWidth="1"/>
    <col min="12290" max="12290" width="8.42578125" customWidth="1"/>
    <col min="12291" max="12293" width="7.28515625" customWidth="1"/>
    <col min="12294" max="12296" width="7.140625" customWidth="1"/>
    <col min="12297" max="12297" width="7" customWidth="1"/>
    <col min="12298" max="12299" width="6.85546875" customWidth="1"/>
    <col min="12300" max="12300" width="6.5703125" customWidth="1"/>
    <col min="12301" max="12302" width="7" customWidth="1"/>
    <col min="12303" max="12303" width="6.5703125" customWidth="1"/>
    <col min="12304" max="12306" width="7" customWidth="1"/>
    <col min="12307" max="12311" width="6.7109375" customWidth="1"/>
    <col min="12312" max="12314" width="6.42578125" customWidth="1"/>
    <col min="12315" max="12315" width="7.28515625" customWidth="1"/>
    <col min="12316" max="12317" width="6.85546875" customWidth="1"/>
    <col min="12318" max="12318" width="6.5703125" customWidth="1"/>
    <col min="12545" max="12545" width="24.85546875" customWidth="1"/>
    <col min="12546" max="12546" width="8.42578125" customWidth="1"/>
    <col min="12547" max="12549" width="7.28515625" customWidth="1"/>
    <col min="12550" max="12552" width="7.140625" customWidth="1"/>
    <col min="12553" max="12553" width="7" customWidth="1"/>
    <col min="12554" max="12555" width="6.85546875" customWidth="1"/>
    <col min="12556" max="12556" width="6.5703125" customWidth="1"/>
    <col min="12557" max="12558" width="7" customWidth="1"/>
    <col min="12559" max="12559" width="6.5703125" customWidth="1"/>
    <col min="12560" max="12562" width="7" customWidth="1"/>
    <col min="12563" max="12567" width="6.7109375" customWidth="1"/>
    <col min="12568" max="12570" width="6.42578125" customWidth="1"/>
    <col min="12571" max="12571" width="7.28515625" customWidth="1"/>
    <col min="12572" max="12573" width="6.85546875" customWidth="1"/>
    <col min="12574" max="12574" width="6.5703125" customWidth="1"/>
    <col min="12801" max="12801" width="24.85546875" customWidth="1"/>
    <col min="12802" max="12802" width="8.42578125" customWidth="1"/>
    <col min="12803" max="12805" width="7.28515625" customWidth="1"/>
    <col min="12806" max="12808" width="7.140625" customWidth="1"/>
    <col min="12809" max="12809" width="7" customWidth="1"/>
    <col min="12810" max="12811" width="6.85546875" customWidth="1"/>
    <col min="12812" max="12812" width="6.5703125" customWidth="1"/>
    <col min="12813" max="12814" width="7" customWidth="1"/>
    <col min="12815" max="12815" width="6.5703125" customWidth="1"/>
    <col min="12816" max="12818" width="7" customWidth="1"/>
    <col min="12819" max="12823" width="6.7109375" customWidth="1"/>
    <col min="12824" max="12826" width="6.42578125" customWidth="1"/>
    <col min="12827" max="12827" width="7.28515625" customWidth="1"/>
    <col min="12828" max="12829" width="6.85546875" customWidth="1"/>
    <col min="12830" max="12830" width="6.5703125" customWidth="1"/>
    <col min="13057" max="13057" width="24.85546875" customWidth="1"/>
    <col min="13058" max="13058" width="8.42578125" customWidth="1"/>
    <col min="13059" max="13061" width="7.28515625" customWidth="1"/>
    <col min="13062" max="13064" width="7.140625" customWidth="1"/>
    <col min="13065" max="13065" width="7" customWidth="1"/>
    <col min="13066" max="13067" width="6.85546875" customWidth="1"/>
    <col min="13068" max="13068" width="6.5703125" customWidth="1"/>
    <col min="13069" max="13070" width="7" customWidth="1"/>
    <col min="13071" max="13071" width="6.5703125" customWidth="1"/>
    <col min="13072" max="13074" width="7" customWidth="1"/>
    <col min="13075" max="13079" width="6.7109375" customWidth="1"/>
    <col min="13080" max="13082" width="6.42578125" customWidth="1"/>
    <col min="13083" max="13083" width="7.28515625" customWidth="1"/>
    <col min="13084" max="13085" width="6.85546875" customWidth="1"/>
    <col min="13086" max="13086" width="6.5703125" customWidth="1"/>
    <col min="13313" max="13313" width="24.85546875" customWidth="1"/>
    <col min="13314" max="13314" width="8.42578125" customWidth="1"/>
    <col min="13315" max="13317" width="7.28515625" customWidth="1"/>
    <col min="13318" max="13320" width="7.140625" customWidth="1"/>
    <col min="13321" max="13321" width="7" customWidth="1"/>
    <col min="13322" max="13323" width="6.85546875" customWidth="1"/>
    <col min="13324" max="13324" width="6.5703125" customWidth="1"/>
    <col min="13325" max="13326" width="7" customWidth="1"/>
    <col min="13327" max="13327" width="6.5703125" customWidth="1"/>
    <col min="13328" max="13330" width="7" customWidth="1"/>
    <col min="13331" max="13335" width="6.7109375" customWidth="1"/>
    <col min="13336" max="13338" width="6.42578125" customWidth="1"/>
    <col min="13339" max="13339" width="7.28515625" customWidth="1"/>
    <col min="13340" max="13341" width="6.85546875" customWidth="1"/>
    <col min="13342" max="13342" width="6.5703125" customWidth="1"/>
    <col min="13569" max="13569" width="24.85546875" customWidth="1"/>
    <col min="13570" max="13570" width="8.42578125" customWidth="1"/>
    <col min="13571" max="13573" width="7.28515625" customWidth="1"/>
    <col min="13574" max="13576" width="7.140625" customWidth="1"/>
    <col min="13577" max="13577" width="7" customWidth="1"/>
    <col min="13578" max="13579" width="6.85546875" customWidth="1"/>
    <col min="13580" max="13580" width="6.5703125" customWidth="1"/>
    <col min="13581" max="13582" width="7" customWidth="1"/>
    <col min="13583" max="13583" width="6.5703125" customWidth="1"/>
    <col min="13584" max="13586" width="7" customWidth="1"/>
    <col min="13587" max="13591" width="6.7109375" customWidth="1"/>
    <col min="13592" max="13594" width="6.42578125" customWidth="1"/>
    <col min="13595" max="13595" width="7.28515625" customWidth="1"/>
    <col min="13596" max="13597" width="6.85546875" customWidth="1"/>
    <col min="13598" max="13598" width="6.5703125" customWidth="1"/>
    <col min="13825" max="13825" width="24.85546875" customWidth="1"/>
    <col min="13826" max="13826" width="8.42578125" customWidth="1"/>
    <col min="13827" max="13829" width="7.28515625" customWidth="1"/>
    <col min="13830" max="13832" width="7.140625" customWidth="1"/>
    <col min="13833" max="13833" width="7" customWidth="1"/>
    <col min="13834" max="13835" width="6.85546875" customWidth="1"/>
    <col min="13836" max="13836" width="6.5703125" customWidth="1"/>
    <col min="13837" max="13838" width="7" customWidth="1"/>
    <col min="13839" max="13839" width="6.5703125" customWidth="1"/>
    <col min="13840" max="13842" width="7" customWidth="1"/>
    <col min="13843" max="13847" width="6.7109375" customWidth="1"/>
    <col min="13848" max="13850" width="6.42578125" customWidth="1"/>
    <col min="13851" max="13851" width="7.28515625" customWidth="1"/>
    <col min="13852" max="13853" width="6.85546875" customWidth="1"/>
    <col min="13854" max="13854" width="6.5703125" customWidth="1"/>
    <col min="14081" max="14081" width="24.85546875" customWidth="1"/>
    <col min="14082" max="14082" width="8.42578125" customWidth="1"/>
    <col min="14083" max="14085" width="7.28515625" customWidth="1"/>
    <col min="14086" max="14088" width="7.140625" customWidth="1"/>
    <col min="14089" max="14089" width="7" customWidth="1"/>
    <col min="14090" max="14091" width="6.85546875" customWidth="1"/>
    <col min="14092" max="14092" width="6.5703125" customWidth="1"/>
    <col min="14093" max="14094" width="7" customWidth="1"/>
    <col min="14095" max="14095" width="6.5703125" customWidth="1"/>
    <col min="14096" max="14098" width="7" customWidth="1"/>
    <col min="14099" max="14103" width="6.7109375" customWidth="1"/>
    <col min="14104" max="14106" width="6.42578125" customWidth="1"/>
    <col min="14107" max="14107" width="7.28515625" customWidth="1"/>
    <col min="14108" max="14109" width="6.85546875" customWidth="1"/>
    <col min="14110" max="14110" width="6.5703125" customWidth="1"/>
    <col min="14337" max="14337" width="24.85546875" customWidth="1"/>
    <col min="14338" max="14338" width="8.42578125" customWidth="1"/>
    <col min="14339" max="14341" width="7.28515625" customWidth="1"/>
    <col min="14342" max="14344" width="7.140625" customWidth="1"/>
    <col min="14345" max="14345" width="7" customWidth="1"/>
    <col min="14346" max="14347" width="6.85546875" customWidth="1"/>
    <col min="14348" max="14348" width="6.5703125" customWidth="1"/>
    <col min="14349" max="14350" width="7" customWidth="1"/>
    <col min="14351" max="14351" width="6.5703125" customWidth="1"/>
    <col min="14352" max="14354" width="7" customWidth="1"/>
    <col min="14355" max="14359" width="6.7109375" customWidth="1"/>
    <col min="14360" max="14362" width="6.42578125" customWidth="1"/>
    <col min="14363" max="14363" width="7.28515625" customWidth="1"/>
    <col min="14364" max="14365" width="6.85546875" customWidth="1"/>
    <col min="14366" max="14366" width="6.5703125" customWidth="1"/>
    <col min="14593" max="14593" width="24.85546875" customWidth="1"/>
    <col min="14594" max="14594" width="8.42578125" customWidth="1"/>
    <col min="14595" max="14597" width="7.28515625" customWidth="1"/>
    <col min="14598" max="14600" width="7.140625" customWidth="1"/>
    <col min="14601" max="14601" width="7" customWidth="1"/>
    <col min="14602" max="14603" width="6.85546875" customWidth="1"/>
    <col min="14604" max="14604" width="6.5703125" customWidth="1"/>
    <col min="14605" max="14606" width="7" customWidth="1"/>
    <col min="14607" max="14607" width="6.5703125" customWidth="1"/>
    <col min="14608" max="14610" width="7" customWidth="1"/>
    <col min="14611" max="14615" width="6.7109375" customWidth="1"/>
    <col min="14616" max="14618" width="6.42578125" customWidth="1"/>
    <col min="14619" max="14619" width="7.28515625" customWidth="1"/>
    <col min="14620" max="14621" width="6.85546875" customWidth="1"/>
    <col min="14622" max="14622" width="6.5703125" customWidth="1"/>
    <col min="14849" max="14849" width="24.85546875" customWidth="1"/>
    <col min="14850" max="14850" width="8.42578125" customWidth="1"/>
    <col min="14851" max="14853" width="7.28515625" customWidth="1"/>
    <col min="14854" max="14856" width="7.140625" customWidth="1"/>
    <col min="14857" max="14857" width="7" customWidth="1"/>
    <col min="14858" max="14859" width="6.85546875" customWidth="1"/>
    <col min="14860" max="14860" width="6.5703125" customWidth="1"/>
    <col min="14861" max="14862" width="7" customWidth="1"/>
    <col min="14863" max="14863" width="6.5703125" customWidth="1"/>
    <col min="14864" max="14866" width="7" customWidth="1"/>
    <col min="14867" max="14871" width="6.7109375" customWidth="1"/>
    <col min="14872" max="14874" width="6.42578125" customWidth="1"/>
    <col min="14875" max="14875" width="7.28515625" customWidth="1"/>
    <col min="14876" max="14877" width="6.85546875" customWidth="1"/>
    <col min="14878" max="14878" width="6.5703125" customWidth="1"/>
    <col min="15105" max="15105" width="24.85546875" customWidth="1"/>
    <col min="15106" max="15106" width="8.42578125" customWidth="1"/>
    <col min="15107" max="15109" width="7.28515625" customWidth="1"/>
    <col min="15110" max="15112" width="7.140625" customWidth="1"/>
    <col min="15113" max="15113" width="7" customWidth="1"/>
    <col min="15114" max="15115" width="6.85546875" customWidth="1"/>
    <col min="15116" max="15116" width="6.5703125" customWidth="1"/>
    <col min="15117" max="15118" width="7" customWidth="1"/>
    <col min="15119" max="15119" width="6.5703125" customWidth="1"/>
    <col min="15120" max="15122" width="7" customWidth="1"/>
    <col min="15123" max="15127" width="6.7109375" customWidth="1"/>
    <col min="15128" max="15130" width="6.42578125" customWidth="1"/>
    <col min="15131" max="15131" width="7.28515625" customWidth="1"/>
    <col min="15132" max="15133" width="6.85546875" customWidth="1"/>
    <col min="15134" max="15134" width="6.5703125" customWidth="1"/>
    <col min="15361" max="15361" width="24.85546875" customWidth="1"/>
    <col min="15362" max="15362" width="8.42578125" customWidth="1"/>
    <col min="15363" max="15365" width="7.28515625" customWidth="1"/>
    <col min="15366" max="15368" width="7.140625" customWidth="1"/>
    <col min="15369" max="15369" width="7" customWidth="1"/>
    <col min="15370" max="15371" width="6.85546875" customWidth="1"/>
    <col min="15372" max="15372" width="6.5703125" customWidth="1"/>
    <col min="15373" max="15374" width="7" customWidth="1"/>
    <col min="15375" max="15375" width="6.5703125" customWidth="1"/>
    <col min="15376" max="15378" width="7" customWidth="1"/>
    <col min="15379" max="15383" width="6.7109375" customWidth="1"/>
    <col min="15384" max="15386" width="6.42578125" customWidth="1"/>
    <col min="15387" max="15387" width="7.28515625" customWidth="1"/>
    <col min="15388" max="15389" width="6.85546875" customWidth="1"/>
    <col min="15390" max="15390" width="6.5703125" customWidth="1"/>
    <col min="15617" max="15617" width="24.85546875" customWidth="1"/>
    <col min="15618" max="15618" width="8.42578125" customWidth="1"/>
    <col min="15619" max="15621" width="7.28515625" customWidth="1"/>
    <col min="15622" max="15624" width="7.140625" customWidth="1"/>
    <col min="15625" max="15625" width="7" customWidth="1"/>
    <col min="15626" max="15627" width="6.85546875" customWidth="1"/>
    <col min="15628" max="15628" width="6.5703125" customWidth="1"/>
    <col min="15629" max="15630" width="7" customWidth="1"/>
    <col min="15631" max="15631" width="6.5703125" customWidth="1"/>
    <col min="15632" max="15634" width="7" customWidth="1"/>
    <col min="15635" max="15639" width="6.7109375" customWidth="1"/>
    <col min="15640" max="15642" width="6.42578125" customWidth="1"/>
    <col min="15643" max="15643" width="7.28515625" customWidth="1"/>
    <col min="15644" max="15645" width="6.85546875" customWidth="1"/>
    <col min="15646" max="15646" width="6.5703125" customWidth="1"/>
    <col min="15873" max="15873" width="24.85546875" customWidth="1"/>
    <col min="15874" max="15874" width="8.42578125" customWidth="1"/>
    <col min="15875" max="15877" width="7.28515625" customWidth="1"/>
    <col min="15878" max="15880" width="7.140625" customWidth="1"/>
    <col min="15881" max="15881" width="7" customWidth="1"/>
    <col min="15882" max="15883" width="6.85546875" customWidth="1"/>
    <col min="15884" max="15884" width="6.5703125" customWidth="1"/>
    <col min="15885" max="15886" width="7" customWidth="1"/>
    <col min="15887" max="15887" width="6.5703125" customWidth="1"/>
    <col min="15888" max="15890" width="7" customWidth="1"/>
    <col min="15891" max="15895" width="6.7109375" customWidth="1"/>
    <col min="15896" max="15898" width="6.42578125" customWidth="1"/>
    <col min="15899" max="15899" width="7.28515625" customWidth="1"/>
    <col min="15900" max="15901" width="6.85546875" customWidth="1"/>
    <col min="15902" max="15902" width="6.5703125" customWidth="1"/>
    <col min="16129" max="16129" width="24.85546875" customWidth="1"/>
    <col min="16130" max="16130" width="8.42578125" customWidth="1"/>
    <col min="16131" max="16133" width="7.28515625" customWidth="1"/>
    <col min="16134" max="16136" width="7.140625" customWidth="1"/>
    <col min="16137" max="16137" width="7" customWidth="1"/>
    <col min="16138" max="16139" width="6.85546875" customWidth="1"/>
    <col min="16140" max="16140" width="6.5703125" customWidth="1"/>
    <col min="16141" max="16142" width="7" customWidth="1"/>
    <col min="16143" max="16143" width="6.5703125" customWidth="1"/>
    <col min="16144" max="16146" width="7" customWidth="1"/>
    <col min="16147" max="16151" width="6.7109375" customWidth="1"/>
    <col min="16152" max="16154" width="6.42578125" customWidth="1"/>
    <col min="16155" max="16155" width="7.28515625" customWidth="1"/>
    <col min="16156" max="16157" width="6.85546875" customWidth="1"/>
    <col min="16158" max="16158" width="6.5703125" customWidth="1"/>
  </cols>
  <sheetData>
    <row r="1" spans="1:31" x14ac:dyDescent="0.2">
      <c r="A1" t="s">
        <v>386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s="33">
        <v>1</v>
      </c>
      <c r="AB1" s="33">
        <v>2</v>
      </c>
      <c r="AC1" s="33">
        <v>3</v>
      </c>
      <c r="AD1" s="33" t="s">
        <v>387</v>
      </c>
    </row>
    <row r="2" spans="1:31" x14ac:dyDescent="0.2">
      <c r="A2" t="s">
        <v>287</v>
      </c>
      <c r="B2" s="34" t="s">
        <v>388</v>
      </c>
      <c r="C2" s="34" t="s">
        <v>389</v>
      </c>
      <c r="D2" s="34" t="s">
        <v>390</v>
      </c>
      <c r="E2" s="34" t="s">
        <v>391</v>
      </c>
      <c r="F2" s="33" t="s">
        <v>392</v>
      </c>
      <c r="G2" s="33" t="s">
        <v>393</v>
      </c>
      <c r="H2" s="33" t="s">
        <v>394</v>
      </c>
      <c r="I2" s="33" t="s">
        <v>395</v>
      </c>
      <c r="J2" s="33" t="s">
        <v>396</v>
      </c>
      <c r="K2" s="33" t="s">
        <v>397</v>
      </c>
      <c r="L2" s="33" t="s">
        <v>398</v>
      </c>
      <c r="M2" s="33" t="s">
        <v>399</v>
      </c>
      <c r="N2" s="33" t="s">
        <v>400</v>
      </c>
      <c r="O2" s="33" t="s">
        <v>401</v>
      </c>
      <c r="P2" s="33" t="s">
        <v>402</v>
      </c>
      <c r="Q2" s="33" t="s">
        <v>403</v>
      </c>
      <c r="R2" s="33" t="s">
        <v>404</v>
      </c>
      <c r="S2" s="33" t="s">
        <v>405</v>
      </c>
      <c r="T2" s="33" t="s">
        <v>406</v>
      </c>
      <c r="U2" s="33" t="s">
        <v>407</v>
      </c>
      <c r="V2" s="33" t="s">
        <v>408</v>
      </c>
      <c r="W2" s="33" t="s">
        <v>409</v>
      </c>
      <c r="X2" s="33" t="s">
        <v>410</v>
      </c>
      <c r="Y2" s="33" t="s">
        <v>411</v>
      </c>
      <c r="Z2" s="33" t="s">
        <v>412</v>
      </c>
      <c r="AA2" s="34" t="s">
        <v>413</v>
      </c>
      <c r="AB2" s="33" t="s">
        <v>414</v>
      </c>
      <c r="AC2" s="33" t="s">
        <v>415</v>
      </c>
      <c r="AD2" s="33" t="s">
        <v>344</v>
      </c>
      <c r="AE2" s="34" t="s">
        <v>416</v>
      </c>
    </row>
    <row r="3" spans="1:31" x14ac:dyDescent="0.2">
      <c r="A3" s="27" t="s">
        <v>1</v>
      </c>
      <c r="B3" s="33">
        <v>4</v>
      </c>
      <c r="C3" s="33">
        <v>2</v>
      </c>
      <c r="D3" s="33">
        <v>0</v>
      </c>
      <c r="E3" s="33">
        <v>1</v>
      </c>
      <c r="F3" s="33">
        <v>7</v>
      </c>
      <c r="G3" s="33">
        <v>5</v>
      </c>
      <c r="H3" s="33">
        <v>0</v>
      </c>
      <c r="I3" s="33">
        <v>0</v>
      </c>
      <c r="J3" s="33">
        <v>1</v>
      </c>
      <c r="K3" s="33">
        <v>0</v>
      </c>
      <c r="L3" s="33">
        <v>12</v>
      </c>
      <c r="M3" s="33">
        <v>1</v>
      </c>
      <c r="N3" s="33">
        <v>7</v>
      </c>
      <c r="O3" s="33">
        <v>3</v>
      </c>
      <c r="P3" s="33">
        <v>1</v>
      </c>
      <c r="Q3" s="33">
        <v>0</v>
      </c>
      <c r="R3" s="33">
        <v>2</v>
      </c>
      <c r="S3" s="33">
        <v>1</v>
      </c>
      <c r="T3" s="33">
        <v>4</v>
      </c>
      <c r="U3" s="33">
        <v>4</v>
      </c>
      <c r="V3" s="33">
        <v>6</v>
      </c>
      <c r="W3" s="33">
        <v>2</v>
      </c>
      <c r="X3" s="33">
        <v>6</v>
      </c>
      <c r="Y3" s="33">
        <v>5</v>
      </c>
      <c r="Z3" s="33">
        <v>0</v>
      </c>
      <c r="AA3" s="33">
        <v>4</v>
      </c>
      <c r="AB3" s="33">
        <v>1</v>
      </c>
      <c r="AC3" s="33">
        <v>1</v>
      </c>
      <c r="AD3" s="33">
        <f t="shared" ref="AD3:AD35" si="0">SUM(B3:AC3)</f>
        <v>80</v>
      </c>
      <c r="AE3" s="34">
        <v>3.83</v>
      </c>
    </row>
    <row r="4" spans="1:31" x14ac:dyDescent="0.2">
      <c r="A4" s="27" t="s">
        <v>3</v>
      </c>
      <c r="B4" s="33">
        <v>7</v>
      </c>
      <c r="C4" s="33">
        <v>4</v>
      </c>
      <c r="D4" s="33">
        <v>4</v>
      </c>
      <c r="E4" s="33">
        <v>10</v>
      </c>
      <c r="F4" s="33">
        <v>11</v>
      </c>
      <c r="G4" s="33">
        <v>13</v>
      </c>
      <c r="H4" s="33">
        <v>6</v>
      </c>
      <c r="I4" s="33">
        <v>6</v>
      </c>
      <c r="J4" s="33">
        <v>23</v>
      </c>
      <c r="K4" s="33">
        <v>1</v>
      </c>
      <c r="L4" s="33">
        <v>33</v>
      </c>
      <c r="M4" s="33">
        <v>12</v>
      </c>
      <c r="N4" s="33">
        <v>11</v>
      </c>
      <c r="O4" s="33">
        <v>18</v>
      </c>
      <c r="P4" s="33">
        <v>47</v>
      </c>
      <c r="Q4" s="33">
        <v>10</v>
      </c>
      <c r="R4" s="33">
        <v>28</v>
      </c>
      <c r="S4" s="33">
        <v>8</v>
      </c>
      <c r="T4" s="33">
        <v>29</v>
      </c>
      <c r="U4" s="33">
        <v>9</v>
      </c>
      <c r="V4" s="33">
        <v>12</v>
      </c>
      <c r="W4" s="33">
        <v>26</v>
      </c>
      <c r="X4" s="33">
        <v>13</v>
      </c>
      <c r="Y4" s="33">
        <v>13</v>
      </c>
      <c r="Z4" s="33">
        <v>49</v>
      </c>
      <c r="AA4" s="33">
        <v>15</v>
      </c>
      <c r="AB4" s="33">
        <v>43</v>
      </c>
      <c r="AC4" s="33">
        <v>0</v>
      </c>
      <c r="AD4" s="33">
        <f t="shared" si="0"/>
        <v>461</v>
      </c>
      <c r="AE4" s="34" t="s">
        <v>417</v>
      </c>
    </row>
    <row r="5" spans="1:31" x14ac:dyDescent="0.2">
      <c r="A5" s="27" t="s">
        <v>4</v>
      </c>
      <c r="B5" s="33">
        <v>0</v>
      </c>
      <c r="C5" s="33">
        <v>2</v>
      </c>
      <c r="D5" s="33">
        <v>2</v>
      </c>
      <c r="E5" s="33">
        <v>2</v>
      </c>
      <c r="F5" s="33">
        <v>1</v>
      </c>
      <c r="G5" s="33">
        <v>1</v>
      </c>
      <c r="H5" s="33">
        <v>0</v>
      </c>
      <c r="I5" s="33">
        <v>0</v>
      </c>
      <c r="J5" s="33">
        <v>1</v>
      </c>
      <c r="K5" s="33">
        <v>1</v>
      </c>
      <c r="L5" s="33">
        <v>2</v>
      </c>
      <c r="M5" s="33">
        <v>1</v>
      </c>
      <c r="N5" s="33">
        <v>1</v>
      </c>
      <c r="O5" s="33">
        <v>1</v>
      </c>
      <c r="P5" s="33">
        <v>0</v>
      </c>
      <c r="Q5" s="33">
        <v>2</v>
      </c>
      <c r="R5" s="33">
        <v>4</v>
      </c>
      <c r="S5" s="33">
        <v>0</v>
      </c>
      <c r="T5" s="33">
        <v>2</v>
      </c>
      <c r="U5" s="33">
        <v>0</v>
      </c>
      <c r="V5" s="33">
        <v>0</v>
      </c>
      <c r="W5" s="33">
        <v>0</v>
      </c>
      <c r="X5" s="33">
        <v>2</v>
      </c>
      <c r="Y5" s="33">
        <v>0</v>
      </c>
      <c r="Z5" s="33">
        <v>1</v>
      </c>
      <c r="AA5" s="33">
        <v>9</v>
      </c>
      <c r="AB5" s="33">
        <v>0</v>
      </c>
      <c r="AC5" s="33">
        <v>0</v>
      </c>
      <c r="AD5" s="33">
        <f t="shared" si="0"/>
        <v>35</v>
      </c>
      <c r="AE5" s="34" t="s">
        <v>418</v>
      </c>
    </row>
    <row r="6" spans="1:31" x14ac:dyDescent="0.2">
      <c r="A6" s="27" t="s">
        <v>5</v>
      </c>
      <c r="B6" s="33">
        <v>2</v>
      </c>
      <c r="C6" s="33">
        <v>0</v>
      </c>
      <c r="D6" s="33">
        <v>1</v>
      </c>
      <c r="E6" s="33">
        <v>2</v>
      </c>
      <c r="F6" s="33">
        <v>3</v>
      </c>
      <c r="G6" s="33">
        <v>1</v>
      </c>
      <c r="H6" s="33">
        <v>0</v>
      </c>
      <c r="I6" s="33">
        <v>0</v>
      </c>
      <c r="J6" s="33">
        <v>0</v>
      </c>
      <c r="K6" s="33">
        <v>1</v>
      </c>
      <c r="L6" s="33">
        <v>1</v>
      </c>
      <c r="M6" s="33">
        <v>0</v>
      </c>
      <c r="N6" s="33">
        <v>0</v>
      </c>
      <c r="O6" s="33">
        <v>0</v>
      </c>
      <c r="P6" s="33">
        <v>0</v>
      </c>
      <c r="Q6" s="33">
        <v>1</v>
      </c>
      <c r="R6" s="33">
        <v>2</v>
      </c>
      <c r="S6" s="33">
        <v>2</v>
      </c>
      <c r="T6" s="33">
        <v>1</v>
      </c>
      <c r="U6" s="33">
        <v>0</v>
      </c>
      <c r="V6" s="33">
        <v>0</v>
      </c>
      <c r="W6" s="33">
        <v>4</v>
      </c>
      <c r="X6" s="33">
        <v>1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f t="shared" si="0"/>
        <v>22</v>
      </c>
      <c r="AE6" s="34" t="s">
        <v>419</v>
      </c>
    </row>
    <row r="7" spans="1:31" x14ac:dyDescent="0.2">
      <c r="A7" s="27" t="s">
        <v>6</v>
      </c>
      <c r="B7" s="33">
        <v>0</v>
      </c>
      <c r="C7" s="33">
        <v>0</v>
      </c>
      <c r="D7" s="33">
        <v>1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1</v>
      </c>
      <c r="N7" s="33">
        <v>0</v>
      </c>
      <c r="O7" s="33">
        <v>1</v>
      </c>
      <c r="P7" s="33">
        <v>0</v>
      </c>
      <c r="Q7" s="33">
        <v>1</v>
      </c>
      <c r="R7" s="33">
        <v>0</v>
      </c>
      <c r="S7" s="33">
        <v>0</v>
      </c>
      <c r="T7" s="33">
        <v>0</v>
      </c>
      <c r="U7" s="33">
        <v>0</v>
      </c>
      <c r="V7" s="33">
        <v>1</v>
      </c>
      <c r="W7" s="33">
        <v>2</v>
      </c>
      <c r="X7" s="33">
        <v>2</v>
      </c>
      <c r="Y7" s="33">
        <v>1</v>
      </c>
      <c r="Z7" s="33">
        <v>3</v>
      </c>
      <c r="AA7" s="33">
        <v>5</v>
      </c>
      <c r="AB7" s="33">
        <v>2</v>
      </c>
      <c r="AC7" s="33">
        <v>0</v>
      </c>
      <c r="AD7" s="33">
        <f t="shared" si="0"/>
        <v>20</v>
      </c>
      <c r="AE7" s="34" t="s">
        <v>420</v>
      </c>
    </row>
    <row r="8" spans="1:31" x14ac:dyDescent="0.2">
      <c r="A8" s="27" t="s">
        <v>40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1</v>
      </c>
      <c r="V8" s="33">
        <v>1</v>
      </c>
      <c r="W8" s="33">
        <v>0</v>
      </c>
      <c r="X8" s="33">
        <v>1</v>
      </c>
      <c r="Y8" s="33">
        <v>0</v>
      </c>
      <c r="Z8" s="33">
        <v>2</v>
      </c>
      <c r="AA8" s="33">
        <v>0</v>
      </c>
      <c r="AB8" s="33">
        <v>0</v>
      </c>
      <c r="AC8" s="33">
        <v>0</v>
      </c>
      <c r="AD8" s="33">
        <f t="shared" si="0"/>
        <v>6</v>
      </c>
      <c r="AE8" s="34" t="s">
        <v>421</v>
      </c>
    </row>
    <row r="9" spans="1:31" x14ac:dyDescent="0.2">
      <c r="A9" s="27" t="s">
        <v>7</v>
      </c>
      <c r="B9" s="33">
        <v>2</v>
      </c>
      <c r="C9" s="33">
        <v>6</v>
      </c>
      <c r="D9" s="33">
        <v>1</v>
      </c>
      <c r="E9" s="33">
        <v>2</v>
      </c>
      <c r="F9" s="33">
        <v>5</v>
      </c>
      <c r="G9" s="33">
        <v>4</v>
      </c>
      <c r="H9" s="33">
        <v>3</v>
      </c>
      <c r="I9" s="33">
        <v>1</v>
      </c>
      <c r="J9" s="33">
        <v>2</v>
      </c>
      <c r="K9" s="33">
        <v>0</v>
      </c>
      <c r="L9" s="33">
        <v>7</v>
      </c>
      <c r="M9" s="33">
        <v>2</v>
      </c>
      <c r="N9" s="33">
        <v>7</v>
      </c>
      <c r="O9" s="33">
        <v>2</v>
      </c>
      <c r="P9" s="33">
        <v>4</v>
      </c>
      <c r="Q9" s="33">
        <v>9</v>
      </c>
      <c r="R9" s="33">
        <v>9</v>
      </c>
      <c r="S9" s="33">
        <v>1</v>
      </c>
      <c r="T9" s="33">
        <v>2</v>
      </c>
      <c r="U9" s="33">
        <v>2</v>
      </c>
      <c r="V9" s="33">
        <v>3</v>
      </c>
      <c r="W9" s="33">
        <v>1</v>
      </c>
      <c r="X9" s="33">
        <v>6</v>
      </c>
      <c r="Y9" s="33">
        <v>1</v>
      </c>
      <c r="Z9" s="33">
        <v>1</v>
      </c>
      <c r="AA9" s="33">
        <v>9</v>
      </c>
      <c r="AB9" s="33">
        <v>4</v>
      </c>
      <c r="AC9" s="33">
        <v>0</v>
      </c>
      <c r="AD9" s="33">
        <f t="shared" si="0"/>
        <v>96</v>
      </c>
      <c r="AE9" s="34" t="s">
        <v>422</v>
      </c>
    </row>
    <row r="10" spans="1:31" x14ac:dyDescent="0.2">
      <c r="A10" s="27" t="s">
        <v>9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1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f t="shared" si="0"/>
        <v>1</v>
      </c>
      <c r="AE10" s="34" t="s">
        <v>423</v>
      </c>
    </row>
    <row r="11" spans="1:31" x14ac:dyDescent="0.2">
      <c r="A11" s="27" t="s">
        <v>10</v>
      </c>
      <c r="B11" s="33">
        <v>0</v>
      </c>
      <c r="C11" s="33">
        <v>0</v>
      </c>
      <c r="D11" s="33">
        <v>1</v>
      </c>
      <c r="E11" s="33">
        <v>1</v>
      </c>
      <c r="F11" s="33">
        <v>2</v>
      </c>
      <c r="G11" s="33">
        <v>2</v>
      </c>
      <c r="H11" s="33">
        <v>0</v>
      </c>
      <c r="I11" s="33">
        <v>0</v>
      </c>
      <c r="J11" s="33">
        <v>0</v>
      </c>
      <c r="K11" s="33">
        <v>1</v>
      </c>
      <c r="L11" s="33">
        <v>4</v>
      </c>
      <c r="M11" s="33">
        <v>0</v>
      </c>
      <c r="N11" s="33">
        <v>0</v>
      </c>
      <c r="O11" s="33">
        <v>0</v>
      </c>
      <c r="P11" s="33">
        <v>0</v>
      </c>
      <c r="Q11" s="33">
        <v>1</v>
      </c>
      <c r="R11" s="33">
        <v>0</v>
      </c>
      <c r="S11" s="33">
        <v>0</v>
      </c>
      <c r="T11" s="33">
        <v>2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1</v>
      </c>
      <c r="AA11" s="33">
        <v>0</v>
      </c>
      <c r="AB11" s="33">
        <v>1</v>
      </c>
      <c r="AC11" s="33">
        <v>0</v>
      </c>
      <c r="AD11" s="33">
        <f t="shared" si="0"/>
        <v>16</v>
      </c>
      <c r="AE11" s="34" t="s">
        <v>424</v>
      </c>
    </row>
    <row r="12" spans="1:31" x14ac:dyDescent="0.2">
      <c r="A12" s="27" t="s">
        <v>11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1</v>
      </c>
      <c r="N12" s="33">
        <v>1</v>
      </c>
      <c r="O12" s="33">
        <v>0</v>
      </c>
      <c r="P12" s="33">
        <v>1</v>
      </c>
      <c r="Q12" s="33">
        <v>0</v>
      </c>
      <c r="R12" s="33">
        <v>0</v>
      </c>
      <c r="S12" s="33">
        <v>1</v>
      </c>
      <c r="T12" s="33">
        <v>0</v>
      </c>
      <c r="U12" s="33">
        <v>0</v>
      </c>
      <c r="V12" s="33">
        <v>0</v>
      </c>
      <c r="W12" s="33">
        <v>1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f t="shared" si="0"/>
        <v>5</v>
      </c>
      <c r="AE12" s="34" t="s">
        <v>425</v>
      </c>
    </row>
    <row r="13" spans="1:31" x14ac:dyDescent="0.2">
      <c r="A13" s="27" t="s">
        <v>13</v>
      </c>
      <c r="B13" s="33">
        <v>0</v>
      </c>
      <c r="C13" s="33">
        <v>0</v>
      </c>
      <c r="D13" s="33">
        <v>0</v>
      </c>
      <c r="E13" s="33">
        <v>0</v>
      </c>
      <c r="F13" s="33">
        <v>2</v>
      </c>
      <c r="G13" s="33">
        <v>1</v>
      </c>
      <c r="H13" s="33">
        <v>0</v>
      </c>
      <c r="I13" s="33">
        <v>0</v>
      </c>
      <c r="J13" s="33">
        <v>0</v>
      </c>
      <c r="K13" s="33">
        <v>0</v>
      </c>
      <c r="L13" s="33">
        <v>2</v>
      </c>
      <c r="M13" s="33">
        <v>1</v>
      </c>
      <c r="N13" s="33">
        <v>0</v>
      </c>
      <c r="O13" s="33">
        <v>0</v>
      </c>
      <c r="P13" s="33">
        <v>0</v>
      </c>
      <c r="Q13" s="33">
        <v>0</v>
      </c>
      <c r="R13" s="33">
        <v>1</v>
      </c>
      <c r="S13" s="33">
        <v>0</v>
      </c>
      <c r="T13" s="33">
        <v>1</v>
      </c>
      <c r="U13" s="33">
        <v>0</v>
      </c>
      <c r="V13" s="33">
        <v>0</v>
      </c>
      <c r="W13" s="33">
        <v>1</v>
      </c>
      <c r="X13" s="33">
        <v>1</v>
      </c>
      <c r="Y13" s="33">
        <v>0</v>
      </c>
      <c r="Z13" s="33">
        <v>1</v>
      </c>
      <c r="AA13" s="33">
        <v>1</v>
      </c>
      <c r="AB13" s="33">
        <v>1</v>
      </c>
      <c r="AC13" s="33">
        <v>0</v>
      </c>
      <c r="AD13" s="33">
        <f t="shared" si="0"/>
        <v>13</v>
      </c>
      <c r="AE13" s="34" t="s">
        <v>426</v>
      </c>
    </row>
    <row r="14" spans="1:31" x14ac:dyDescent="0.2">
      <c r="A14" s="27" t="s">
        <v>427</v>
      </c>
      <c r="B14" s="33">
        <v>0</v>
      </c>
      <c r="C14" s="33">
        <v>0</v>
      </c>
      <c r="D14" s="33">
        <v>1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1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1</v>
      </c>
      <c r="X14" s="33">
        <v>0</v>
      </c>
      <c r="Y14" s="33">
        <v>1</v>
      </c>
      <c r="Z14" s="33">
        <v>0</v>
      </c>
      <c r="AA14" s="33">
        <v>0</v>
      </c>
      <c r="AB14" s="33">
        <v>0</v>
      </c>
      <c r="AC14" s="33">
        <v>0</v>
      </c>
      <c r="AD14" s="33">
        <f t="shared" si="0"/>
        <v>4</v>
      </c>
      <c r="AE14" s="34" t="s">
        <v>428</v>
      </c>
    </row>
    <row r="15" spans="1:31" x14ac:dyDescent="0.2">
      <c r="A15" s="27" t="s">
        <v>15</v>
      </c>
      <c r="B15" s="33">
        <v>1</v>
      </c>
      <c r="C15" s="33">
        <v>0</v>
      </c>
      <c r="D15" s="33">
        <v>0</v>
      </c>
      <c r="E15" s="33">
        <v>0</v>
      </c>
      <c r="F15" s="33">
        <v>2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</v>
      </c>
      <c r="M15" s="33">
        <v>1</v>
      </c>
      <c r="N15" s="33">
        <v>0</v>
      </c>
      <c r="O15" s="33">
        <v>0</v>
      </c>
      <c r="P15" s="33">
        <v>0</v>
      </c>
      <c r="Q15" s="33">
        <v>2</v>
      </c>
      <c r="R15" s="33">
        <v>0</v>
      </c>
      <c r="S15" s="33">
        <v>1</v>
      </c>
      <c r="T15" s="33">
        <v>0</v>
      </c>
      <c r="U15" s="33">
        <v>1</v>
      </c>
      <c r="V15" s="33">
        <v>0</v>
      </c>
      <c r="W15" s="33">
        <v>1</v>
      </c>
      <c r="X15" s="33">
        <v>0</v>
      </c>
      <c r="Y15" s="33">
        <v>0</v>
      </c>
      <c r="Z15" s="33">
        <v>0</v>
      </c>
      <c r="AA15" s="33">
        <v>0</v>
      </c>
      <c r="AB15" s="33">
        <v>1</v>
      </c>
      <c r="AC15" s="33">
        <v>0</v>
      </c>
      <c r="AD15" s="33">
        <f t="shared" si="0"/>
        <v>11</v>
      </c>
      <c r="AE15" s="34" t="s">
        <v>429</v>
      </c>
    </row>
    <row r="16" spans="1:31" x14ac:dyDescent="0.2">
      <c r="A16" s="27" t="s">
        <v>17</v>
      </c>
      <c r="B16" s="33">
        <v>0</v>
      </c>
      <c r="C16" s="33">
        <v>0</v>
      </c>
      <c r="D16" s="33">
        <v>1</v>
      </c>
      <c r="E16" s="33">
        <v>0</v>
      </c>
      <c r="F16" s="33">
        <v>2</v>
      </c>
      <c r="G16" s="33">
        <v>1</v>
      </c>
      <c r="H16" s="33">
        <v>1</v>
      </c>
      <c r="I16" s="33">
        <v>0</v>
      </c>
      <c r="J16" s="33">
        <v>0</v>
      </c>
      <c r="K16" s="33">
        <v>0</v>
      </c>
      <c r="L16" s="33">
        <v>0</v>
      </c>
      <c r="M16" s="33">
        <v>1</v>
      </c>
      <c r="N16" s="33">
        <v>1</v>
      </c>
      <c r="O16" s="33">
        <v>1</v>
      </c>
      <c r="P16" s="33">
        <v>1</v>
      </c>
      <c r="Q16" s="33">
        <v>3</v>
      </c>
      <c r="R16" s="33">
        <v>1</v>
      </c>
      <c r="S16" s="33">
        <v>1</v>
      </c>
      <c r="T16" s="33">
        <v>1</v>
      </c>
      <c r="U16" s="33">
        <v>1</v>
      </c>
      <c r="V16" s="33">
        <v>3</v>
      </c>
      <c r="W16" s="33">
        <v>3</v>
      </c>
      <c r="X16" s="33">
        <v>2</v>
      </c>
      <c r="Y16" s="33">
        <v>2</v>
      </c>
      <c r="Z16" s="33">
        <v>1</v>
      </c>
      <c r="AA16" s="33">
        <v>0</v>
      </c>
      <c r="AB16" s="33">
        <v>1</v>
      </c>
      <c r="AC16" s="33">
        <v>0</v>
      </c>
      <c r="AD16" s="33">
        <f t="shared" si="0"/>
        <v>28</v>
      </c>
      <c r="AE16" s="34" t="s">
        <v>430</v>
      </c>
    </row>
    <row r="17" spans="1:31" x14ac:dyDescent="0.2">
      <c r="A17" s="27" t="s">
        <v>18</v>
      </c>
      <c r="B17" s="33">
        <v>2</v>
      </c>
      <c r="C17" s="33">
        <v>2</v>
      </c>
      <c r="D17" s="33">
        <v>5</v>
      </c>
      <c r="E17" s="33">
        <v>2</v>
      </c>
      <c r="F17" s="33">
        <v>15</v>
      </c>
      <c r="G17" s="33">
        <v>5</v>
      </c>
      <c r="H17" s="33">
        <v>2</v>
      </c>
      <c r="I17" s="33">
        <v>1</v>
      </c>
      <c r="J17" s="33">
        <v>5</v>
      </c>
      <c r="K17" s="33">
        <v>0</v>
      </c>
      <c r="L17" s="33">
        <v>4</v>
      </c>
      <c r="M17" s="33">
        <v>1</v>
      </c>
      <c r="N17" s="33">
        <v>2</v>
      </c>
      <c r="O17" s="33">
        <v>0</v>
      </c>
      <c r="P17" s="33">
        <v>2</v>
      </c>
      <c r="Q17" s="33">
        <v>5</v>
      </c>
      <c r="R17" s="33">
        <v>3</v>
      </c>
      <c r="S17" s="33">
        <v>6</v>
      </c>
      <c r="T17" s="33">
        <v>8</v>
      </c>
      <c r="U17" s="33">
        <v>3</v>
      </c>
      <c r="V17" s="33">
        <v>0</v>
      </c>
      <c r="W17" s="33">
        <v>29</v>
      </c>
      <c r="X17" s="33">
        <v>14</v>
      </c>
      <c r="Y17" s="33">
        <v>0</v>
      </c>
      <c r="Z17" s="33">
        <v>1</v>
      </c>
      <c r="AA17" s="33">
        <v>17</v>
      </c>
      <c r="AB17" s="33">
        <v>1</v>
      </c>
      <c r="AC17" s="33">
        <v>1</v>
      </c>
      <c r="AD17" s="33">
        <f t="shared" si="0"/>
        <v>136</v>
      </c>
      <c r="AE17" s="34" t="s">
        <v>431</v>
      </c>
    </row>
    <row r="18" spans="1:31" x14ac:dyDescent="0.2">
      <c r="A18" s="27" t="s">
        <v>19</v>
      </c>
      <c r="B18" s="33">
        <v>16</v>
      </c>
      <c r="C18" s="33">
        <v>13</v>
      </c>
      <c r="D18" s="33">
        <v>9</v>
      </c>
      <c r="E18" s="33">
        <v>24</v>
      </c>
      <c r="F18" s="33">
        <v>11</v>
      </c>
      <c r="G18" s="33">
        <v>5</v>
      </c>
      <c r="H18" s="33">
        <v>13</v>
      </c>
      <c r="I18" s="33">
        <v>6</v>
      </c>
      <c r="J18" s="33">
        <v>5</v>
      </c>
      <c r="K18" s="33">
        <v>8</v>
      </c>
      <c r="L18" s="33">
        <v>8</v>
      </c>
      <c r="M18" s="33">
        <v>9</v>
      </c>
      <c r="N18" s="33">
        <v>27</v>
      </c>
      <c r="O18" s="33">
        <v>6</v>
      </c>
      <c r="P18" s="33">
        <v>2</v>
      </c>
      <c r="Q18" s="33">
        <v>19</v>
      </c>
      <c r="R18" s="33">
        <v>12</v>
      </c>
      <c r="S18" s="33">
        <v>5</v>
      </c>
      <c r="T18" s="33">
        <v>8</v>
      </c>
      <c r="U18" s="33">
        <v>6</v>
      </c>
      <c r="V18" s="33">
        <v>3</v>
      </c>
      <c r="W18" s="33">
        <v>16</v>
      </c>
      <c r="X18" s="33">
        <v>12</v>
      </c>
      <c r="Y18" s="33">
        <v>0</v>
      </c>
      <c r="Z18" s="33">
        <v>0</v>
      </c>
      <c r="AA18" s="33">
        <v>10</v>
      </c>
      <c r="AB18" s="33">
        <v>1</v>
      </c>
      <c r="AC18" s="33">
        <v>0</v>
      </c>
      <c r="AD18" s="33">
        <f t="shared" si="0"/>
        <v>254</v>
      </c>
      <c r="AE18" s="34" t="s">
        <v>432</v>
      </c>
    </row>
    <row r="19" spans="1:31" x14ac:dyDescent="0.2">
      <c r="A19" s="27" t="s">
        <v>20</v>
      </c>
      <c r="B19" s="33">
        <v>1</v>
      </c>
      <c r="C19" s="33">
        <v>3</v>
      </c>
      <c r="D19" s="33">
        <v>2</v>
      </c>
      <c r="E19" s="33">
        <v>1</v>
      </c>
      <c r="F19" s="33">
        <v>7</v>
      </c>
      <c r="G19" s="33">
        <v>4</v>
      </c>
      <c r="H19" s="33">
        <v>0</v>
      </c>
      <c r="I19" s="33">
        <v>8</v>
      </c>
      <c r="J19" s="33">
        <v>9</v>
      </c>
      <c r="K19" s="33">
        <v>0</v>
      </c>
      <c r="L19" s="33">
        <v>8</v>
      </c>
      <c r="M19" s="33">
        <v>5</v>
      </c>
      <c r="N19" s="33">
        <v>4</v>
      </c>
      <c r="O19" s="33">
        <v>4</v>
      </c>
      <c r="P19" s="33">
        <v>13</v>
      </c>
      <c r="Q19" s="33">
        <v>9</v>
      </c>
      <c r="R19" s="33">
        <v>5</v>
      </c>
      <c r="S19" s="33">
        <v>10</v>
      </c>
      <c r="T19" s="33">
        <v>8</v>
      </c>
      <c r="U19" s="33">
        <v>9</v>
      </c>
      <c r="V19" s="33">
        <v>5</v>
      </c>
      <c r="W19" s="33">
        <v>79</v>
      </c>
      <c r="X19" s="33">
        <v>15</v>
      </c>
      <c r="Y19" s="33">
        <v>0</v>
      </c>
      <c r="Z19" s="33">
        <v>7</v>
      </c>
      <c r="AA19" s="33">
        <v>20</v>
      </c>
      <c r="AB19" s="33">
        <v>16</v>
      </c>
      <c r="AC19" s="33">
        <v>3</v>
      </c>
      <c r="AD19" s="33">
        <f t="shared" si="0"/>
        <v>255</v>
      </c>
      <c r="AE19" s="34" t="s">
        <v>433</v>
      </c>
    </row>
    <row r="20" spans="1:31" x14ac:dyDescent="0.2">
      <c r="A20" s="27" t="s">
        <v>200</v>
      </c>
      <c r="B20" s="33">
        <v>0</v>
      </c>
      <c r="C20" s="33">
        <v>3</v>
      </c>
      <c r="D20" s="33">
        <v>0</v>
      </c>
      <c r="E20" s="33">
        <v>1</v>
      </c>
      <c r="F20" s="33">
        <v>1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1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1</v>
      </c>
      <c r="AB20" s="33">
        <v>0</v>
      </c>
      <c r="AC20" s="33">
        <v>0</v>
      </c>
      <c r="AD20" s="33">
        <f t="shared" si="0"/>
        <v>7</v>
      </c>
      <c r="AE20" s="34" t="s">
        <v>434</v>
      </c>
    </row>
    <row r="21" spans="1:31" x14ac:dyDescent="0.2">
      <c r="A21" s="27" t="s">
        <v>435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1</v>
      </c>
      <c r="Q21" s="33">
        <v>7</v>
      </c>
      <c r="R21" s="33">
        <v>3</v>
      </c>
      <c r="S21" s="33">
        <v>0</v>
      </c>
      <c r="T21" s="33">
        <v>4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f t="shared" si="0"/>
        <v>15</v>
      </c>
      <c r="AE21" s="34" t="s">
        <v>436</v>
      </c>
    </row>
    <row r="22" spans="1:31" x14ac:dyDescent="0.2">
      <c r="A22" s="27" t="s">
        <v>22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1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1</v>
      </c>
      <c r="O22" s="33">
        <v>1</v>
      </c>
      <c r="P22" s="33">
        <v>1</v>
      </c>
      <c r="Q22" s="33">
        <v>0</v>
      </c>
      <c r="R22" s="33">
        <v>0</v>
      </c>
      <c r="S22" s="33">
        <v>1</v>
      </c>
      <c r="T22" s="33">
        <v>0</v>
      </c>
      <c r="U22" s="33">
        <v>0</v>
      </c>
      <c r="V22" s="33">
        <v>0</v>
      </c>
      <c r="W22" s="33">
        <v>0</v>
      </c>
      <c r="X22" s="33">
        <v>1</v>
      </c>
      <c r="Y22" s="33">
        <v>0</v>
      </c>
      <c r="Z22" s="33">
        <v>0</v>
      </c>
      <c r="AA22" s="33">
        <v>1</v>
      </c>
      <c r="AB22" s="33">
        <v>0</v>
      </c>
      <c r="AC22" s="33">
        <v>0</v>
      </c>
      <c r="AD22" s="33">
        <f t="shared" si="0"/>
        <v>7</v>
      </c>
      <c r="AE22" s="34" t="s">
        <v>434</v>
      </c>
    </row>
    <row r="23" spans="1:31" x14ac:dyDescent="0.2">
      <c r="A23" s="27" t="s">
        <v>23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1</v>
      </c>
      <c r="O23" s="33">
        <v>1</v>
      </c>
      <c r="P23" s="33">
        <v>0</v>
      </c>
      <c r="Q23" s="33">
        <v>0</v>
      </c>
      <c r="R23" s="33">
        <v>1</v>
      </c>
      <c r="S23" s="33">
        <v>1</v>
      </c>
      <c r="T23" s="33">
        <v>1</v>
      </c>
      <c r="U23" s="33">
        <v>0</v>
      </c>
      <c r="V23" s="33">
        <v>0</v>
      </c>
      <c r="W23" s="33">
        <v>0</v>
      </c>
      <c r="X23" s="33">
        <v>0</v>
      </c>
      <c r="Y23" s="33">
        <v>1</v>
      </c>
      <c r="Z23" s="33">
        <v>0</v>
      </c>
      <c r="AA23" s="33">
        <v>0</v>
      </c>
      <c r="AB23" s="33">
        <v>0</v>
      </c>
      <c r="AC23" s="33">
        <v>0</v>
      </c>
      <c r="AD23" s="33">
        <f t="shared" si="0"/>
        <v>6</v>
      </c>
      <c r="AE23" s="34" t="s">
        <v>421</v>
      </c>
    </row>
    <row r="24" spans="1:31" x14ac:dyDescent="0.2">
      <c r="A24" s="27" t="s">
        <v>214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2</v>
      </c>
      <c r="L24" s="33">
        <v>0</v>
      </c>
      <c r="M24" s="33">
        <v>0</v>
      </c>
      <c r="N24" s="33">
        <v>1</v>
      </c>
      <c r="O24" s="33">
        <v>0</v>
      </c>
      <c r="P24" s="33">
        <v>0</v>
      </c>
      <c r="Q24" s="33">
        <v>0</v>
      </c>
      <c r="R24" s="33">
        <v>1</v>
      </c>
      <c r="S24" s="33">
        <v>1</v>
      </c>
      <c r="T24" s="33">
        <v>0</v>
      </c>
      <c r="U24" s="33">
        <v>0</v>
      </c>
      <c r="V24" s="33">
        <v>1</v>
      </c>
      <c r="W24" s="33">
        <v>0</v>
      </c>
      <c r="X24" s="33">
        <v>0</v>
      </c>
      <c r="Y24" s="33">
        <v>0</v>
      </c>
      <c r="Z24" s="33">
        <v>0</v>
      </c>
      <c r="AA24" s="33">
        <v>1</v>
      </c>
      <c r="AB24" s="33">
        <v>1</v>
      </c>
      <c r="AC24" s="33">
        <v>0</v>
      </c>
      <c r="AD24" s="33">
        <f t="shared" si="0"/>
        <v>8</v>
      </c>
      <c r="AE24" s="34" t="s">
        <v>437</v>
      </c>
    </row>
    <row r="25" spans="1:31" x14ac:dyDescent="0.2">
      <c r="A25" s="27" t="s">
        <v>195</v>
      </c>
      <c r="B25" s="33">
        <v>4</v>
      </c>
      <c r="C25" s="33">
        <v>3</v>
      </c>
      <c r="D25" s="33">
        <v>0</v>
      </c>
      <c r="E25" s="33">
        <v>0</v>
      </c>
      <c r="F25" s="33">
        <v>2</v>
      </c>
      <c r="G25" s="33">
        <v>0</v>
      </c>
      <c r="H25" s="33">
        <v>1</v>
      </c>
      <c r="I25" s="33">
        <v>0</v>
      </c>
      <c r="J25" s="33">
        <v>1</v>
      </c>
      <c r="K25" s="33">
        <v>1</v>
      </c>
      <c r="L25" s="33">
        <v>0</v>
      </c>
      <c r="M25" s="33">
        <v>0</v>
      </c>
      <c r="N25" s="33">
        <v>2</v>
      </c>
      <c r="O25" s="33">
        <v>0</v>
      </c>
      <c r="P25" s="33">
        <v>0</v>
      </c>
      <c r="Q25" s="33">
        <v>1</v>
      </c>
      <c r="R25" s="33">
        <v>3</v>
      </c>
      <c r="S25" s="33">
        <v>0</v>
      </c>
      <c r="T25" s="33">
        <v>3</v>
      </c>
      <c r="U25" s="33">
        <v>0</v>
      </c>
      <c r="V25" s="33">
        <v>0</v>
      </c>
      <c r="W25" s="33">
        <v>0</v>
      </c>
      <c r="X25" s="33">
        <v>3</v>
      </c>
      <c r="Y25" s="33">
        <v>0</v>
      </c>
      <c r="Z25" s="33">
        <v>1</v>
      </c>
      <c r="AA25" s="33">
        <v>2</v>
      </c>
      <c r="AB25" s="33">
        <v>0</v>
      </c>
      <c r="AC25" s="33">
        <v>0</v>
      </c>
      <c r="AD25" s="33">
        <f t="shared" si="0"/>
        <v>27</v>
      </c>
      <c r="AE25" s="34" t="s">
        <v>438</v>
      </c>
    </row>
    <row r="26" spans="1:31" x14ac:dyDescent="0.2">
      <c r="A26" s="27" t="s">
        <v>25</v>
      </c>
      <c r="B26" s="33">
        <v>1</v>
      </c>
      <c r="C26" s="33">
        <v>0</v>
      </c>
      <c r="D26" s="33">
        <v>0</v>
      </c>
      <c r="E26" s="33">
        <v>0</v>
      </c>
      <c r="F26" s="33">
        <v>1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2</v>
      </c>
      <c r="M26" s="33">
        <v>0</v>
      </c>
      <c r="N26" s="33">
        <v>0</v>
      </c>
      <c r="O26" s="33">
        <v>0</v>
      </c>
      <c r="P26" s="33">
        <v>0</v>
      </c>
      <c r="Q26" s="33">
        <v>1</v>
      </c>
      <c r="R26" s="33">
        <v>4</v>
      </c>
      <c r="S26" s="33">
        <v>0</v>
      </c>
      <c r="T26" s="33">
        <v>1</v>
      </c>
      <c r="U26" s="33">
        <v>1</v>
      </c>
      <c r="V26" s="33">
        <v>1</v>
      </c>
      <c r="W26" s="33">
        <v>0</v>
      </c>
      <c r="X26" s="33">
        <v>4</v>
      </c>
      <c r="Y26" s="33">
        <v>0</v>
      </c>
      <c r="Z26" s="33">
        <v>1</v>
      </c>
      <c r="AA26" s="33">
        <v>0</v>
      </c>
      <c r="AB26" s="33">
        <v>0</v>
      </c>
      <c r="AC26" s="33">
        <v>0</v>
      </c>
      <c r="AD26" s="33">
        <f t="shared" si="0"/>
        <v>17</v>
      </c>
      <c r="AE26" s="34" t="s">
        <v>439</v>
      </c>
    </row>
    <row r="27" spans="1:31" x14ac:dyDescent="0.2">
      <c r="A27" s="27" t="s">
        <v>26</v>
      </c>
      <c r="B27" s="33">
        <v>1</v>
      </c>
      <c r="C27" s="33">
        <v>1</v>
      </c>
      <c r="D27" s="33">
        <v>0</v>
      </c>
      <c r="E27" s="33">
        <v>0</v>
      </c>
      <c r="F27" s="33">
        <v>1</v>
      </c>
      <c r="G27" s="33">
        <v>0</v>
      </c>
      <c r="H27" s="33">
        <v>0</v>
      </c>
      <c r="I27" s="33">
        <v>0</v>
      </c>
      <c r="J27" s="33">
        <v>1</v>
      </c>
      <c r="K27" s="33">
        <v>0</v>
      </c>
      <c r="L27" s="33">
        <v>0</v>
      </c>
      <c r="M27" s="33">
        <v>0</v>
      </c>
      <c r="N27" s="33">
        <v>1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2</v>
      </c>
      <c r="U27" s="33">
        <v>1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f t="shared" si="0"/>
        <v>8</v>
      </c>
      <c r="AE27" s="34" t="s">
        <v>437</v>
      </c>
    </row>
    <row r="28" spans="1:31" x14ac:dyDescent="0.2">
      <c r="A28" s="27" t="s">
        <v>27</v>
      </c>
      <c r="B28" s="33">
        <v>11</v>
      </c>
      <c r="C28" s="33">
        <v>6</v>
      </c>
      <c r="D28" s="33">
        <v>13</v>
      </c>
      <c r="E28" s="33">
        <v>2</v>
      </c>
      <c r="F28" s="33">
        <v>19</v>
      </c>
      <c r="G28" s="33">
        <v>10</v>
      </c>
      <c r="H28" s="33">
        <v>6</v>
      </c>
      <c r="I28" s="33">
        <v>7</v>
      </c>
      <c r="J28" s="33">
        <v>10</v>
      </c>
      <c r="K28" s="33">
        <v>4</v>
      </c>
      <c r="L28" s="33">
        <v>13</v>
      </c>
      <c r="M28" s="33">
        <v>6</v>
      </c>
      <c r="N28" s="33">
        <v>10</v>
      </c>
      <c r="O28" s="33">
        <v>12</v>
      </c>
      <c r="P28" s="33">
        <v>22</v>
      </c>
      <c r="Q28" s="33">
        <v>23</v>
      </c>
      <c r="R28" s="33">
        <v>17</v>
      </c>
      <c r="S28" s="33">
        <v>7</v>
      </c>
      <c r="T28" s="33">
        <v>8</v>
      </c>
      <c r="U28" s="33">
        <v>7</v>
      </c>
      <c r="V28" s="33">
        <v>13</v>
      </c>
      <c r="W28" s="33">
        <v>17</v>
      </c>
      <c r="X28" s="33">
        <v>33</v>
      </c>
      <c r="Y28" s="33">
        <v>3</v>
      </c>
      <c r="Z28" s="33">
        <v>14</v>
      </c>
      <c r="AA28" s="33">
        <v>40</v>
      </c>
      <c r="AB28" s="33">
        <v>13</v>
      </c>
      <c r="AC28" s="33">
        <v>6</v>
      </c>
      <c r="AD28" s="33">
        <f t="shared" si="0"/>
        <v>352</v>
      </c>
      <c r="AE28" s="34" t="s">
        <v>440</v>
      </c>
    </row>
    <row r="29" spans="1:31" x14ac:dyDescent="0.2">
      <c r="A29" s="27" t="s">
        <v>28</v>
      </c>
      <c r="B29" s="33">
        <v>1</v>
      </c>
      <c r="C29" s="33">
        <v>2</v>
      </c>
      <c r="D29" s="33">
        <v>0</v>
      </c>
      <c r="E29" s="33">
        <v>1</v>
      </c>
      <c r="F29" s="33">
        <v>1</v>
      </c>
      <c r="G29" s="33">
        <v>0</v>
      </c>
      <c r="H29" s="33">
        <v>0</v>
      </c>
      <c r="I29" s="33">
        <v>0</v>
      </c>
      <c r="J29" s="33">
        <v>3</v>
      </c>
      <c r="K29" s="33">
        <v>0</v>
      </c>
      <c r="L29" s="33">
        <v>1</v>
      </c>
      <c r="M29" s="33">
        <v>0</v>
      </c>
      <c r="N29" s="33">
        <v>0</v>
      </c>
      <c r="O29" s="33">
        <v>0</v>
      </c>
      <c r="P29" s="33">
        <v>1</v>
      </c>
      <c r="Q29" s="33">
        <v>0</v>
      </c>
      <c r="R29" s="33">
        <v>0</v>
      </c>
      <c r="S29" s="33">
        <v>0</v>
      </c>
      <c r="T29" s="33">
        <v>0</v>
      </c>
      <c r="U29" s="33">
        <v>1</v>
      </c>
      <c r="V29" s="33">
        <v>0</v>
      </c>
      <c r="W29" s="33">
        <v>1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f t="shared" si="0"/>
        <v>12</v>
      </c>
      <c r="AE29" s="34" t="s">
        <v>441</v>
      </c>
    </row>
    <row r="30" spans="1:31" x14ac:dyDescent="0.2">
      <c r="A30" s="27" t="s">
        <v>29</v>
      </c>
      <c r="B30" s="33">
        <v>0</v>
      </c>
      <c r="C30" s="33">
        <v>2</v>
      </c>
      <c r="D30" s="33">
        <v>0</v>
      </c>
      <c r="E30" s="33">
        <v>1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1</v>
      </c>
      <c r="R30" s="33">
        <v>0</v>
      </c>
      <c r="S30" s="33">
        <v>0</v>
      </c>
      <c r="T30" s="33">
        <v>0</v>
      </c>
      <c r="U30" s="33">
        <v>0</v>
      </c>
      <c r="V30" s="33">
        <v>1</v>
      </c>
      <c r="W30" s="33">
        <v>0</v>
      </c>
      <c r="X30" s="33">
        <v>0</v>
      </c>
      <c r="Y30" s="33">
        <v>0</v>
      </c>
      <c r="Z30" s="33">
        <v>1</v>
      </c>
      <c r="AA30" s="33">
        <v>1</v>
      </c>
      <c r="AB30" s="33">
        <v>0</v>
      </c>
      <c r="AC30" s="33">
        <v>0</v>
      </c>
      <c r="AD30" s="33">
        <f t="shared" si="0"/>
        <v>7</v>
      </c>
      <c r="AE30" s="34" t="s">
        <v>434</v>
      </c>
    </row>
    <row r="31" spans="1:31" x14ac:dyDescent="0.2">
      <c r="A31" s="27" t="s">
        <v>442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1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f t="shared" si="0"/>
        <v>1</v>
      </c>
      <c r="AE31" s="34" t="s">
        <v>423</v>
      </c>
    </row>
    <row r="32" spans="1:31" x14ac:dyDescent="0.2">
      <c r="A32" s="27" t="s">
        <v>31</v>
      </c>
      <c r="B32" s="33">
        <v>0</v>
      </c>
      <c r="C32" s="33">
        <v>0</v>
      </c>
      <c r="D32" s="33">
        <v>3</v>
      </c>
      <c r="E32" s="33">
        <v>1</v>
      </c>
      <c r="F32" s="33">
        <v>3</v>
      </c>
      <c r="G32" s="33">
        <v>0</v>
      </c>
      <c r="H32" s="33">
        <v>3</v>
      </c>
      <c r="I32" s="33">
        <v>2</v>
      </c>
      <c r="J32" s="33">
        <v>7</v>
      </c>
      <c r="K32" s="33">
        <v>0</v>
      </c>
      <c r="L32" s="33">
        <v>6</v>
      </c>
      <c r="M32" s="33">
        <v>5</v>
      </c>
      <c r="N32" s="33">
        <v>5</v>
      </c>
      <c r="O32" s="33">
        <v>4</v>
      </c>
      <c r="P32" s="33">
        <v>9</v>
      </c>
      <c r="Q32" s="33">
        <v>7</v>
      </c>
      <c r="R32" s="33">
        <v>13</v>
      </c>
      <c r="S32" s="33">
        <v>0</v>
      </c>
      <c r="T32" s="33">
        <v>5</v>
      </c>
      <c r="U32" s="33">
        <v>11</v>
      </c>
      <c r="V32" s="33">
        <v>7</v>
      </c>
      <c r="W32" s="33">
        <v>4</v>
      </c>
      <c r="X32" s="33">
        <v>12</v>
      </c>
      <c r="Y32" s="33">
        <v>2</v>
      </c>
      <c r="Z32" s="33">
        <v>6</v>
      </c>
      <c r="AA32" s="33">
        <v>9</v>
      </c>
      <c r="AB32" s="33">
        <v>2</v>
      </c>
      <c r="AC32" s="33">
        <v>1</v>
      </c>
      <c r="AD32" s="33">
        <f t="shared" si="0"/>
        <v>127</v>
      </c>
      <c r="AE32" s="34" t="s">
        <v>443</v>
      </c>
    </row>
    <row r="33" spans="1:31" x14ac:dyDescent="0.2">
      <c r="A33" s="27" t="s">
        <v>32</v>
      </c>
      <c r="B33" s="33">
        <v>0</v>
      </c>
      <c r="C33" s="33">
        <v>1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1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1</v>
      </c>
      <c r="V33" s="33">
        <v>0</v>
      </c>
      <c r="W33" s="33">
        <v>1</v>
      </c>
      <c r="X33" s="33">
        <v>1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f t="shared" si="0"/>
        <v>5</v>
      </c>
      <c r="AE33" s="34" t="s">
        <v>425</v>
      </c>
    </row>
    <row r="34" spans="1:31" x14ac:dyDescent="0.2">
      <c r="A34" s="27" t="s">
        <v>33</v>
      </c>
      <c r="B34" s="33">
        <v>3</v>
      </c>
      <c r="C34" s="33">
        <v>4</v>
      </c>
      <c r="D34" s="33">
        <v>0</v>
      </c>
      <c r="E34" s="33">
        <v>1</v>
      </c>
      <c r="F34" s="33">
        <v>5</v>
      </c>
      <c r="G34" s="33">
        <v>2</v>
      </c>
      <c r="H34" s="33">
        <v>1</v>
      </c>
      <c r="I34" s="33">
        <v>2</v>
      </c>
      <c r="J34" s="33">
        <v>2</v>
      </c>
      <c r="K34" s="33">
        <v>0</v>
      </c>
      <c r="L34" s="33">
        <v>1</v>
      </c>
      <c r="M34" s="33">
        <v>2</v>
      </c>
      <c r="N34" s="33">
        <v>0</v>
      </c>
      <c r="O34" s="33">
        <v>1</v>
      </c>
      <c r="P34" s="33">
        <v>0</v>
      </c>
      <c r="Q34" s="33">
        <v>2</v>
      </c>
      <c r="R34" s="33">
        <v>4</v>
      </c>
      <c r="S34" s="33">
        <v>0</v>
      </c>
      <c r="T34" s="33">
        <v>2</v>
      </c>
      <c r="U34" s="33">
        <v>1</v>
      </c>
      <c r="V34" s="33">
        <v>0</v>
      </c>
      <c r="W34" s="33">
        <v>1</v>
      </c>
      <c r="X34" s="33">
        <v>5</v>
      </c>
      <c r="Y34" s="33">
        <v>1</v>
      </c>
      <c r="Z34" s="33">
        <v>0</v>
      </c>
      <c r="AA34" s="33">
        <v>3</v>
      </c>
      <c r="AB34" s="33">
        <v>0</v>
      </c>
      <c r="AC34" s="33">
        <v>1</v>
      </c>
      <c r="AD34" s="33">
        <f t="shared" si="0"/>
        <v>44</v>
      </c>
      <c r="AE34" s="34" t="s">
        <v>444</v>
      </c>
    </row>
    <row r="35" spans="1:31" x14ac:dyDescent="0.2">
      <c r="A35" s="27" t="s">
        <v>445</v>
      </c>
      <c r="B35" s="33">
        <v>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1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1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f t="shared" si="0"/>
        <v>2</v>
      </c>
      <c r="AE35" s="34" t="s">
        <v>446</v>
      </c>
    </row>
    <row r="36" spans="1:31" x14ac:dyDescent="0.2">
      <c r="A36" t="s">
        <v>344</v>
      </c>
      <c r="B36" s="33">
        <f t="shared" ref="B36:Z36" si="1">SUM(B3:B35)</f>
        <v>56</v>
      </c>
      <c r="C36" s="33">
        <f t="shared" si="1"/>
        <v>54</v>
      </c>
      <c r="D36" s="33">
        <f t="shared" si="1"/>
        <v>44</v>
      </c>
      <c r="E36" s="33">
        <f t="shared" si="1"/>
        <v>52</v>
      </c>
      <c r="F36" s="33">
        <f t="shared" si="1"/>
        <v>101</v>
      </c>
      <c r="G36" s="33">
        <f t="shared" si="1"/>
        <v>55</v>
      </c>
      <c r="H36" s="33">
        <f t="shared" si="1"/>
        <v>36</v>
      </c>
      <c r="I36" s="33">
        <f t="shared" si="1"/>
        <v>33</v>
      </c>
      <c r="J36" s="33">
        <f t="shared" si="1"/>
        <v>70</v>
      </c>
      <c r="K36" s="33">
        <f t="shared" si="1"/>
        <v>21</v>
      </c>
      <c r="L36" s="33">
        <f t="shared" si="1"/>
        <v>107</v>
      </c>
      <c r="M36" s="33">
        <f t="shared" si="1"/>
        <v>49</v>
      </c>
      <c r="N36" s="33">
        <f t="shared" si="1"/>
        <v>82</v>
      </c>
      <c r="O36" s="33">
        <f t="shared" si="1"/>
        <v>55</v>
      </c>
      <c r="P36" s="33">
        <f t="shared" si="1"/>
        <v>105</v>
      </c>
      <c r="Q36" s="33">
        <f t="shared" si="1"/>
        <v>105</v>
      </c>
      <c r="R36" s="33">
        <f t="shared" si="1"/>
        <v>114</v>
      </c>
      <c r="S36" s="33">
        <f t="shared" si="1"/>
        <v>46</v>
      </c>
      <c r="T36" s="33">
        <f t="shared" si="1"/>
        <v>93</v>
      </c>
      <c r="U36" s="33">
        <f t="shared" si="1"/>
        <v>59</v>
      </c>
      <c r="V36" s="33">
        <f t="shared" si="1"/>
        <v>58</v>
      </c>
      <c r="W36" s="33">
        <f t="shared" si="1"/>
        <v>190</v>
      </c>
      <c r="X36" s="33">
        <f t="shared" si="1"/>
        <v>134</v>
      </c>
      <c r="Y36" s="33">
        <f t="shared" si="1"/>
        <v>30</v>
      </c>
      <c r="Z36" s="33">
        <f t="shared" si="1"/>
        <v>90</v>
      </c>
      <c r="AA36" s="33">
        <v>148</v>
      </c>
      <c r="AB36" s="33">
        <f>SUM(AB3:AB35)</f>
        <v>88</v>
      </c>
      <c r="AC36" s="33">
        <f>SUM(AC3:AC35)</f>
        <v>13</v>
      </c>
      <c r="AD36" s="33">
        <v>2088</v>
      </c>
      <c r="AE36" s="34" t="s">
        <v>447</v>
      </c>
    </row>
    <row r="38" spans="1:31" x14ac:dyDescent="0.2">
      <c r="A38" s="27" t="s">
        <v>938</v>
      </c>
    </row>
    <row r="39" spans="1:31" x14ac:dyDescent="0.2">
      <c r="A39" s="27" t="s">
        <v>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"/>
  <sheetViews>
    <sheetView topLeftCell="A7" workbookViewId="0">
      <selection activeCell="A35" sqref="A35"/>
    </sheetView>
  </sheetViews>
  <sheetFormatPr defaultRowHeight="12.75" x14ac:dyDescent="0.2"/>
  <cols>
    <col min="1" max="1" width="25" customWidth="1"/>
    <col min="2" max="2" width="8.140625" style="33" customWidth="1"/>
    <col min="3" max="3" width="7.28515625" style="33" customWidth="1"/>
    <col min="4" max="4" width="7.140625" style="33" customWidth="1"/>
    <col min="5" max="5" width="7" style="33" customWidth="1"/>
    <col min="6" max="6" width="6.85546875" style="33" customWidth="1"/>
    <col min="7" max="7" width="6.5703125" style="33" customWidth="1"/>
    <col min="8" max="8" width="7" style="33" customWidth="1"/>
    <col min="9" max="9" width="6.5703125" style="33" customWidth="1"/>
    <col min="10" max="11" width="7" style="33" customWidth="1"/>
    <col min="12" max="12" width="9.140625" style="33"/>
    <col min="13" max="13" width="9.140625" style="34"/>
    <col min="257" max="257" width="25" customWidth="1"/>
    <col min="258" max="258" width="8.140625" customWidth="1"/>
    <col min="259" max="259" width="7.28515625" customWidth="1"/>
    <col min="260" max="260" width="7.140625" customWidth="1"/>
    <col min="261" max="261" width="7" customWidth="1"/>
    <col min="262" max="262" width="6.85546875" customWidth="1"/>
    <col min="263" max="263" width="6.5703125" customWidth="1"/>
    <col min="264" max="264" width="7" customWidth="1"/>
    <col min="265" max="265" width="6.5703125" customWidth="1"/>
    <col min="266" max="267" width="7" customWidth="1"/>
    <col min="513" max="513" width="25" customWidth="1"/>
    <col min="514" max="514" width="8.140625" customWidth="1"/>
    <col min="515" max="515" width="7.28515625" customWidth="1"/>
    <col min="516" max="516" width="7.140625" customWidth="1"/>
    <col min="517" max="517" width="7" customWidth="1"/>
    <col min="518" max="518" width="6.85546875" customWidth="1"/>
    <col min="519" max="519" width="6.5703125" customWidth="1"/>
    <col min="520" max="520" width="7" customWidth="1"/>
    <col min="521" max="521" width="6.5703125" customWidth="1"/>
    <col min="522" max="523" width="7" customWidth="1"/>
    <col min="769" max="769" width="25" customWidth="1"/>
    <col min="770" max="770" width="8.140625" customWidth="1"/>
    <col min="771" max="771" width="7.28515625" customWidth="1"/>
    <col min="772" max="772" width="7.140625" customWidth="1"/>
    <col min="773" max="773" width="7" customWidth="1"/>
    <col min="774" max="774" width="6.85546875" customWidth="1"/>
    <col min="775" max="775" width="6.5703125" customWidth="1"/>
    <col min="776" max="776" width="7" customWidth="1"/>
    <col min="777" max="777" width="6.5703125" customWidth="1"/>
    <col min="778" max="779" width="7" customWidth="1"/>
    <col min="1025" max="1025" width="25" customWidth="1"/>
    <col min="1026" max="1026" width="8.140625" customWidth="1"/>
    <col min="1027" max="1027" width="7.28515625" customWidth="1"/>
    <col min="1028" max="1028" width="7.140625" customWidth="1"/>
    <col min="1029" max="1029" width="7" customWidth="1"/>
    <col min="1030" max="1030" width="6.85546875" customWidth="1"/>
    <col min="1031" max="1031" width="6.5703125" customWidth="1"/>
    <col min="1032" max="1032" width="7" customWidth="1"/>
    <col min="1033" max="1033" width="6.5703125" customWidth="1"/>
    <col min="1034" max="1035" width="7" customWidth="1"/>
    <col min="1281" max="1281" width="25" customWidth="1"/>
    <col min="1282" max="1282" width="8.140625" customWidth="1"/>
    <col min="1283" max="1283" width="7.28515625" customWidth="1"/>
    <col min="1284" max="1284" width="7.140625" customWidth="1"/>
    <col min="1285" max="1285" width="7" customWidth="1"/>
    <col min="1286" max="1286" width="6.85546875" customWidth="1"/>
    <col min="1287" max="1287" width="6.5703125" customWidth="1"/>
    <col min="1288" max="1288" width="7" customWidth="1"/>
    <col min="1289" max="1289" width="6.5703125" customWidth="1"/>
    <col min="1290" max="1291" width="7" customWidth="1"/>
    <col min="1537" max="1537" width="25" customWidth="1"/>
    <col min="1538" max="1538" width="8.140625" customWidth="1"/>
    <col min="1539" max="1539" width="7.28515625" customWidth="1"/>
    <col min="1540" max="1540" width="7.140625" customWidth="1"/>
    <col min="1541" max="1541" width="7" customWidth="1"/>
    <col min="1542" max="1542" width="6.85546875" customWidth="1"/>
    <col min="1543" max="1543" width="6.5703125" customWidth="1"/>
    <col min="1544" max="1544" width="7" customWidth="1"/>
    <col min="1545" max="1545" width="6.5703125" customWidth="1"/>
    <col min="1546" max="1547" width="7" customWidth="1"/>
    <col min="1793" max="1793" width="25" customWidth="1"/>
    <col min="1794" max="1794" width="8.140625" customWidth="1"/>
    <col min="1795" max="1795" width="7.28515625" customWidth="1"/>
    <col min="1796" max="1796" width="7.140625" customWidth="1"/>
    <col min="1797" max="1797" width="7" customWidth="1"/>
    <col min="1798" max="1798" width="6.85546875" customWidth="1"/>
    <col min="1799" max="1799" width="6.5703125" customWidth="1"/>
    <col min="1800" max="1800" width="7" customWidth="1"/>
    <col min="1801" max="1801" width="6.5703125" customWidth="1"/>
    <col min="1802" max="1803" width="7" customWidth="1"/>
    <col min="2049" max="2049" width="25" customWidth="1"/>
    <col min="2050" max="2050" width="8.140625" customWidth="1"/>
    <col min="2051" max="2051" width="7.28515625" customWidth="1"/>
    <col min="2052" max="2052" width="7.140625" customWidth="1"/>
    <col min="2053" max="2053" width="7" customWidth="1"/>
    <col min="2054" max="2054" width="6.85546875" customWidth="1"/>
    <col min="2055" max="2055" width="6.5703125" customWidth="1"/>
    <col min="2056" max="2056" width="7" customWidth="1"/>
    <col min="2057" max="2057" width="6.5703125" customWidth="1"/>
    <col min="2058" max="2059" width="7" customWidth="1"/>
    <col min="2305" max="2305" width="25" customWidth="1"/>
    <col min="2306" max="2306" width="8.140625" customWidth="1"/>
    <col min="2307" max="2307" width="7.28515625" customWidth="1"/>
    <col min="2308" max="2308" width="7.140625" customWidth="1"/>
    <col min="2309" max="2309" width="7" customWidth="1"/>
    <col min="2310" max="2310" width="6.85546875" customWidth="1"/>
    <col min="2311" max="2311" width="6.5703125" customWidth="1"/>
    <col min="2312" max="2312" width="7" customWidth="1"/>
    <col min="2313" max="2313" width="6.5703125" customWidth="1"/>
    <col min="2314" max="2315" width="7" customWidth="1"/>
    <col min="2561" max="2561" width="25" customWidth="1"/>
    <col min="2562" max="2562" width="8.140625" customWidth="1"/>
    <col min="2563" max="2563" width="7.28515625" customWidth="1"/>
    <col min="2564" max="2564" width="7.140625" customWidth="1"/>
    <col min="2565" max="2565" width="7" customWidth="1"/>
    <col min="2566" max="2566" width="6.85546875" customWidth="1"/>
    <col min="2567" max="2567" width="6.5703125" customWidth="1"/>
    <col min="2568" max="2568" width="7" customWidth="1"/>
    <col min="2569" max="2569" width="6.5703125" customWidth="1"/>
    <col min="2570" max="2571" width="7" customWidth="1"/>
    <col min="2817" max="2817" width="25" customWidth="1"/>
    <col min="2818" max="2818" width="8.140625" customWidth="1"/>
    <col min="2819" max="2819" width="7.28515625" customWidth="1"/>
    <col min="2820" max="2820" width="7.140625" customWidth="1"/>
    <col min="2821" max="2821" width="7" customWidth="1"/>
    <col min="2822" max="2822" width="6.85546875" customWidth="1"/>
    <col min="2823" max="2823" width="6.5703125" customWidth="1"/>
    <col min="2824" max="2824" width="7" customWidth="1"/>
    <col min="2825" max="2825" width="6.5703125" customWidth="1"/>
    <col min="2826" max="2827" width="7" customWidth="1"/>
    <col min="3073" max="3073" width="25" customWidth="1"/>
    <col min="3074" max="3074" width="8.140625" customWidth="1"/>
    <col min="3075" max="3075" width="7.28515625" customWidth="1"/>
    <col min="3076" max="3076" width="7.140625" customWidth="1"/>
    <col min="3077" max="3077" width="7" customWidth="1"/>
    <col min="3078" max="3078" width="6.85546875" customWidth="1"/>
    <col min="3079" max="3079" width="6.5703125" customWidth="1"/>
    <col min="3080" max="3080" width="7" customWidth="1"/>
    <col min="3081" max="3081" width="6.5703125" customWidth="1"/>
    <col min="3082" max="3083" width="7" customWidth="1"/>
    <col min="3329" max="3329" width="25" customWidth="1"/>
    <col min="3330" max="3330" width="8.140625" customWidth="1"/>
    <col min="3331" max="3331" width="7.28515625" customWidth="1"/>
    <col min="3332" max="3332" width="7.140625" customWidth="1"/>
    <col min="3333" max="3333" width="7" customWidth="1"/>
    <col min="3334" max="3334" width="6.85546875" customWidth="1"/>
    <col min="3335" max="3335" width="6.5703125" customWidth="1"/>
    <col min="3336" max="3336" width="7" customWidth="1"/>
    <col min="3337" max="3337" width="6.5703125" customWidth="1"/>
    <col min="3338" max="3339" width="7" customWidth="1"/>
    <col min="3585" max="3585" width="25" customWidth="1"/>
    <col min="3586" max="3586" width="8.140625" customWidth="1"/>
    <col min="3587" max="3587" width="7.28515625" customWidth="1"/>
    <col min="3588" max="3588" width="7.140625" customWidth="1"/>
    <col min="3589" max="3589" width="7" customWidth="1"/>
    <col min="3590" max="3590" width="6.85546875" customWidth="1"/>
    <col min="3591" max="3591" width="6.5703125" customWidth="1"/>
    <col min="3592" max="3592" width="7" customWidth="1"/>
    <col min="3593" max="3593" width="6.5703125" customWidth="1"/>
    <col min="3594" max="3595" width="7" customWidth="1"/>
    <col min="3841" max="3841" width="25" customWidth="1"/>
    <col min="3842" max="3842" width="8.140625" customWidth="1"/>
    <col min="3843" max="3843" width="7.28515625" customWidth="1"/>
    <col min="3844" max="3844" width="7.140625" customWidth="1"/>
    <col min="3845" max="3845" width="7" customWidth="1"/>
    <col min="3846" max="3846" width="6.85546875" customWidth="1"/>
    <col min="3847" max="3847" width="6.5703125" customWidth="1"/>
    <col min="3848" max="3848" width="7" customWidth="1"/>
    <col min="3849" max="3849" width="6.5703125" customWidth="1"/>
    <col min="3850" max="3851" width="7" customWidth="1"/>
    <col min="4097" max="4097" width="25" customWidth="1"/>
    <col min="4098" max="4098" width="8.140625" customWidth="1"/>
    <col min="4099" max="4099" width="7.28515625" customWidth="1"/>
    <col min="4100" max="4100" width="7.140625" customWidth="1"/>
    <col min="4101" max="4101" width="7" customWidth="1"/>
    <col min="4102" max="4102" width="6.85546875" customWidth="1"/>
    <col min="4103" max="4103" width="6.5703125" customWidth="1"/>
    <col min="4104" max="4104" width="7" customWidth="1"/>
    <col min="4105" max="4105" width="6.5703125" customWidth="1"/>
    <col min="4106" max="4107" width="7" customWidth="1"/>
    <col min="4353" max="4353" width="25" customWidth="1"/>
    <col min="4354" max="4354" width="8.140625" customWidth="1"/>
    <col min="4355" max="4355" width="7.28515625" customWidth="1"/>
    <col min="4356" max="4356" width="7.140625" customWidth="1"/>
    <col min="4357" max="4357" width="7" customWidth="1"/>
    <col min="4358" max="4358" width="6.85546875" customWidth="1"/>
    <col min="4359" max="4359" width="6.5703125" customWidth="1"/>
    <col min="4360" max="4360" width="7" customWidth="1"/>
    <col min="4361" max="4361" width="6.5703125" customWidth="1"/>
    <col min="4362" max="4363" width="7" customWidth="1"/>
    <col min="4609" max="4609" width="25" customWidth="1"/>
    <col min="4610" max="4610" width="8.140625" customWidth="1"/>
    <col min="4611" max="4611" width="7.28515625" customWidth="1"/>
    <col min="4612" max="4612" width="7.140625" customWidth="1"/>
    <col min="4613" max="4613" width="7" customWidth="1"/>
    <col min="4614" max="4614" width="6.85546875" customWidth="1"/>
    <col min="4615" max="4615" width="6.5703125" customWidth="1"/>
    <col min="4616" max="4616" width="7" customWidth="1"/>
    <col min="4617" max="4617" width="6.5703125" customWidth="1"/>
    <col min="4618" max="4619" width="7" customWidth="1"/>
    <col min="4865" max="4865" width="25" customWidth="1"/>
    <col min="4866" max="4866" width="8.140625" customWidth="1"/>
    <col min="4867" max="4867" width="7.28515625" customWidth="1"/>
    <col min="4868" max="4868" width="7.140625" customWidth="1"/>
    <col min="4869" max="4869" width="7" customWidth="1"/>
    <col min="4870" max="4870" width="6.85546875" customWidth="1"/>
    <col min="4871" max="4871" width="6.5703125" customWidth="1"/>
    <col min="4872" max="4872" width="7" customWidth="1"/>
    <col min="4873" max="4873" width="6.5703125" customWidth="1"/>
    <col min="4874" max="4875" width="7" customWidth="1"/>
    <col min="5121" max="5121" width="25" customWidth="1"/>
    <col min="5122" max="5122" width="8.140625" customWidth="1"/>
    <col min="5123" max="5123" width="7.28515625" customWidth="1"/>
    <col min="5124" max="5124" width="7.140625" customWidth="1"/>
    <col min="5125" max="5125" width="7" customWidth="1"/>
    <col min="5126" max="5126" width="6.85546875" customWidth="1"/>
    <col min="5127" max="5127" width="6.5703125" customWidth="1"/>
    <col min="5128" max="5128" width="7" customWidth="1"/>
    <col min="5129" max="5129" width="6.5703125" customWidth="1"/>
    <col min="5130" max="5131" width="7" customWidth="1"/>
    <col min="5377" max="5377" width="25" customWidth="1"/>
    <col min="5378" max="5378" width="8.140625" customWidth="1"/>
    <col min="5379" max="5379" width="7.28515625" customWidth="1"/>
    <col min="5380" max="5380" width="7.140625" customWidth="1"/>
    <col min="5381" max="5381" width="7" customWidth="1"/>
    <col min="5382" max="5382" width="6.85546875" customWidth="1"/>
    <col min="5383" max="5383" width="6.5703125" customWidth="1"/>
    <col min="5384" max="5384" width="7" customWidth="1"/>
    <col min="5385" max="5385" width="6.5703125" customWidth="1"/>
    <col min="5386" max="5387" width="7" customWidth="1"/>
    <col min="5633" max="5633" width="25" customWidth="1"/>
    <col min="5634" max="5634" width="8.140625" customWidth="1"/>
    <col min="5635" max="5635" width="7.28515625" customWidth="1"/>
    <col min="5636" max="5636" width="7.140625" customWidth="1"/>
    <col min="5637" max="5637" width="7" customWidth="1"/>
    <col min="5638" max="5638" width="6.85546875" customWidth="1"/>
    <col min="5639" max="5639" width="6.5703125" customWidth="1"/>
    <col min="5640" max="5640" width="7" customWidth="1"/>
    <col min="5641" max="5641" width="6.5703125" customWidth="1"/>
    <col min="5642" max="5643" width="7" customWidth="1"/>
    <col min="5889" max="5889" width="25" customWidth="1"/>
    <col min="5890" max="5890" width="8.140625" customWidth="1"/>
    <col min="5891" max="5891" width="7.28515625" customWidth="1"/>
    <col min="5892" max="5892" width="7.140625" customWidth="1"/>
    <col min="5893" max="5893" width="7" customWidth="1"/>
    <col min="5894" max="5894" width="6.85546875" customWidth="1"/>
    <col min="5895" max="5895" width="6.5703125" customWidth="1"/>
    <col min="5896" max="5896" width="7" customWidth="1"/>
    <col min="5897" max="5897" width="6.5703125" customWidth="1"/>
    <col min="5898" max="5899" width="7" customWidth="1"/>
    <col min="6145" max="6145" width="25" customWidth="1"/>
    <col min="6146" max="6146" width="8.140625" customWidth="1"/>
    <col min="6147" max="6147" width="7.28515625" customWidth="1"/>
    <col min="6148" max="6148" width="7.140625" customWidth="1"/>
    <col min="6149" max="6149" width="7" customWidth="1"/>
    <col min="6150" max="6150" width="6.85546875" customWidth="1"/>
    <col min="6151" max="6151" width="6.5703125" customWidth="1"/>
    <col min="6152" max="6152" width="7" customWidth="1"/>
    <col min="6153" max="6153" width="6.5703125" customWidth="1"/>
    <col min="6154" max="6155" width="7" customWidth="1"/>
    <col min="6401" max="6401" width="25" customWidth="1"/>
    <col min="6402" max="6402" width="8.140625" customWidth="1"/>
    <col min="6403" max="6403" width="7.28515625" customWidth="1"/>
    <col min="6404" max="6404" width="7.140625" customWidth="1"/>
    <col min="6405" max="6405" width="7" customWidth="1"/>
    <col min="6406" max="6406" width="6.85546875" customWidth="1"/>
    <col min="6407" max="6407" width="6.5703125" customWidth="1"/>
    <col min="6408" max="6408" width="7" customWidth="1"/>
    <col min="6409" max="6409" width="6.5703125" customWidth="1"/>
    <col min="6410" max="6411" width="7" customWidth="1"/>
    <col min="6657" max="6657" width="25" customWidth="1"/>
    <col min="6658" max="6658" width="8.140625" customWidth="1"/>
    <col min="6659" max="6659" width="7.28515625" customWidth="1"/>
    <col min="6660" max="6660" width="7.140625" customWidth="1"/>
    <col min="6661" max="6661" width="7" customWidth="1"/>
    <col min="6662" max="6662" width="6.85546875" customWidth="1"/>
    <col min="6663" max="6663" width="6.5703125" customWidth="1"/>
    <col min="6664" max="6664" width="7" customWidth="1"/>
    <col min="6665" max="6665" width="6.5703125" customWidth="1"/>
    <col min="6666" max="6667" width="7" customWidth="1"/>
    <col min="6913" max="6913" width="25" customWidth="1"/>
    <col min="6914" max="6914" width="8.140625" customWidth="1"/>
    <col min="6915" max="6915" width="7.28515625" customWidth="1"/>
    <col min="6916" max="6916" width="7.140625" customWidth="1"/>
    <col min="6917" max="6917" width="7" customWidth="1"/>
    <col min="6918" max="6918" width="6.85546875" customWidth="1"/>
    <col min="6919" max="6919" width="6.5703125" customWidth="1"/>
    <col min="6920" max="6920" width="7" customWidth="1"/>
    <col min="6921" max="6921" width="6.5703125" customWidth="1"/>
    <col min="6922" max="6923" width="7" customWidth="1"/>
    <col min="7169" max="7169" width="25" customWidth="1"/>
    <col min="7170" max="7170" width="8.140625" customWidth="1"/>
    <col min="7171" max="7171" width="7.28515625" customWidth="1"/>
    <col min="7172" max="7172" width="7.140625" customWidth="1"/>
    <col min="7173" max="7173" width="7" customWidth="1"/>
    <col min="7174" max="7174" width="6.85546875" customWidth="1"/>
    <col min="7175" max="7175" width="6.5703125" customWidth="1"/>
    <col min="7176" max="7176" width="7" customWidth="1"/>
    <col min="7177" max="7177" width="6.5703125" customWidth="1"/>
    <col min="7178" max="7179" width="7" customWidth="1"/>
    <col min="7425" max="7425" width="25" customWidth="1"/>
    <col min="7426" max="7426" width="8.140625" customWidth="1"/>
    <col min="7427" max="7427" width="7.28515625" customWidth="1"/>
    <col min="7428" max="7428" width="7.140625" customWidth="1"/>
    <col min="7429" max="7429" width="7" customWidth="1"/>
    <col min="7430" max="7430" width="6.85546875" customWidth="1"/>
    <col min="7431" max="7431" width="6.5703125" customWidth="1"/>
    <col min="7432" max="7432" width="7" customWidth="1"/>
    <col min="7433" max="7433" width="6.5703125" customWidth="1"/>
    <col min="7434" max="7435" width="7" customWidth="1"/>
    <col min="7681" max="7681" width="25" customWidth="1"/>
    <col min="7682" max="7682" width="8.140625" customWidth="1"/>
    <col min="7683" max="7683" width="7.28515625" customWidth="1"/>
    <col min="7684" max="7684" width="7.140625" customWidth="1"/>
    <col min="7685" max="7685" width="7" customWidth="1"/>
    <col min="7686" max="7686" width="6.85546875" customWidth="1"/>
    <col min="7687" max="7687" width="6.5703125" customWidth="1"/>
    <col min="7688" max="7688" width="7" customWidth="1"/>
    <col min="7689" max="7689" width="6.5703125" customWidth="1"/>
    <col min="7690" max="7691" width="7" customWidth="1"/>
    <col min="7937" max="7937" width="25" customWidth="1"/>
    <col min="7938" max="7938" width="8.140625" customWidth="1"/>
    <col min="7939" max="7939" width="7.28515625" customWidth="1"/>
    <col min="7940" max="7940" width="7.140625" customWidth="1"/>
    <col min="7941" max="7941" width="7" customWidth="1"/>
    <col min="7942" max="7942" width="6.85546875" customWidth="1"/>
    <col min="7943" max="7943" width="6.5703125" customWidth="1"/>
    <col min="7944" max="7944" width="7" customWidth="1"/>
    <col min="7945" max="7945" width="6.5703125" customWidth="1"/>
    <col min="7946" max="7947" width="7" customWidth="1"/>
    <col min="8193" max="8193" width="25" customWidth="1"/>
    <col min="8194" max="8194" width="8.140625" customWidth="1"/>
    <col min="8195" max="8195" width="7.28515625" customWidth="1"/>
    <col min="8196" max="8196" width="7.140625" customWidth="1"/>
    <col min="8197" max="8197" width="7" customWidth="1"/>
    <col min="8198" max="8198" width="6.85546875" customWidth="1"/>
    <col min="8199" max="8199" width="6.5703125" customWidth="1"/>
    <col min="8200" max="8200" width="7" customWidth="1"/>
    <col min="8201" max="8201" width="6.5703125" customWidth="1"/>
    <col min="8202" max="8203" width="7" customWidth="1"/>
    <col min="8449" max="8449" width="25" customWidth="1"/>
    <col min="8450" max="8450" width="8.140625" customWidth="1"/>
    <col min="8451" max="8451" width="7.28515625" customWidth="1"/>
    <col min="8452" max="8452" width="7.140625" customWidth="1"/>
    <col min="8453" max="8453" width="7" customWidth="1"/>
    <col min="8454" max="8454" width="6.85546875" customWidth="1"/>
    <col min="8455" max="8455" width="6.5703125" customWidth="1"/>
    <col min="8456" max="8456" width="7" customWidth="1"/>
    <col min="8457" max="8457" width="6.5703125" customWidth="1"/>
    <col min="8458" max="8459" width="7" customWidth="1"/>
    <col min="8705" max="8705" width="25" customWidth="1"/>
    <col min="8706" max="8706" width="8.140625" customWidth="1"/>
    <col min="8707" max="8707" width="7.28515625" customWidth="1"/>
    <col min="8708" max="8708" width="7.140625" customWidth="1"/>
    <col min="8709" max="8709" width="7" customWidth="1"/>
    <col min="8710" max="8710" width="6.85546875" customWidth="1"/>
    <col min="8711" max="8711" width="6.5703125" customWidth="1"/>
    <col min="8712" max="8712" width="7" customWidth="1"/>
    <col min="8713" max="8713" width="6.5703125" customWidth="1"/>
    <col min="8714" max="8715" width="7" customWidth="1"/>
    <col min="8961" max="8961" width="25" customWidth="1"/>
    <col min="8962" max="8962" width="8.140625" customWidth="1"/>
    <col min="8963" max="8963" width="7.28515625" customWidth="1"/>
    <col min="8964" max="8964" width="7.140625" customWidth="1"/>
    <col min="8965" max="8965" width="7" customWidth="1"/>
    <col min="8966" max="8966" width="6.85546875" customWidth="1"/>
    <col min="8967" max="8967" width="6.5703125" customWidth="1"/>
    <col min="8968" max="8968" width="7" customWidth="1"/>
    <col min="8969" max="8969" width="6.5703125" customWidth="1"/>
    <col min="8970" max="8971" width="7" customWidth="1"/>
    <col min="9217" max="9217" width="25" customWidth="1"/>
    <col min="9218" max="9218" width="8.140625" customWidth="1"/>
    <col min="9219" max="9219" width="7.28515625" customWidth="1"/>
    <col min="9220" max="9220" width="7.140625" customWidth="1"/>
    <col min="9221" max="9221" width="7" customWidth="1"/>
    <col min="9222" max="9222" width="6.85546875" customWidth="1"/>
    <col min="9223" max="9223" width="6.5703125" customWidth="1"/>
    <col min="9224" max="9224" width="7" customWidth="1"/>
    <col min="9225" max="9225" width="6.5703125" customWidth="1"/>
    <col min="9226" max="9227" width="7" customWidth="1"/>
    <col min="9473" max="9473" width="25" customWidth="1"/>
    <col min="9474" max="9474" width="8.140625" customWidth="1"/>
    <col min="9475" max="9475" width="7.28515625" customWidth="1"/>
    <col min="9476" max="9476" width="7.140625" customWidth="1"/>
    <col min="9477" max="9477" width="7" customWidth="1"/>
    <col min="9478" max="9478" width="6.85546875" customWidth="1"/>
    <col min="9479" max="9479" width="6.5703125" customWidth="1"/>
    <col min="9480" max="9480" width="7" customWidth="1"/>
    <col min="9481" max="9481" width="6.5703125" customWidth="1"/>
    <col min="9482" max="9483" width="7" customWidth="1"/>
    <col min="9729" max="9729" width="25" customWidth="1"/>
    <col min="9730" max="9730" width="8.140625" customWidth="1"/>
    <col min="9731" max="9731" width="7.28515625" customWidth="1"/>
    <col min="9732" max="9732" width="7.140625" customWidth="1"/>
    <col min="9733" max="9733" width="7" customWidth="1"/>
    <col min="9734" max="9734" width="6.85546875" customWidth="1"/>
    <col min="9735" max="9735" width="6.5703125" customWidth="1"/>
    <col min="9736" max="9736" width="7" customWidth="1"/>
    <col min="9737" max="9737" width="6.5703125" customWidth="1"/>
    <col min="9738" max="9739" width="7" customWidth="1"/>
    <col min="9985" max="9985" width="25" customWidth="1"/>
    <col min="9986" max="9986" width="8.140625" customWidth="1"/>
    <col min="9987" max="9987" width="7.28515625" customWidth="1"/>
    <col min="9988" max="9988" width="7.140625" customWidth="1"/>
    <col min="9989" max="9989" width="7" customWidth="1"/>
    <col min="9990" max="9990" width="6.85546875" customWidth="1"/>
    <col min="9991" max="9991" width="6.5703125" customWidth="1"/>
    <col min="9992" max="9992" width="7" customWidth="1"/>
    <col min="9993" max="9993" width="6.5703125" customWidth="1"/>
    <col min="9994" max="9995" width="7" customWidth="1"/>
    <col min="10241" max="10241" width="25" customWidth="1"/>
    <col min="10242" max="10242" width="8.140625" customWidth="1"/>
    <col min="10243" max="10243" width="7.28515625" customWidth="1"/>
    <col min="10244" max="10244" width="7.140625" customWidth="1"/>
    <col min="10245" max="10245" width="7" customWidth="1"/>
    <col min="10246" max="10246" width="6.85546875" customWidth="1"/>
    <col min="10247" max="10247" width="6.5703125" customWidth="1"/>
    <col min="10248" max="10248" width="7" customWidth="1"/>
    <col min="10249" max="10249" width="6.5703125" customWidth="1"/>
    <col min="10250" max="10251" width="7" customWidth="1"/>
    <col min="10497" max="10497" width="25" customWidth="1"/>
    <col min="10498" max="10498" width="8.140625" customWidth="1"/>
    <col min="10499" max="10499" width="7.28515625" customWidth="1"/>
    <col min="10500" max="10500" width="7.140625" customWidth="1"/>
    <col min="10501" max="10501" width="7" customWidth="1"/>
    <col min="10502" max="10502" width="6.85546875" customWidth="1"/>
    <col min="10503" max="10503" width="6.5703125" customWidth="1"/>
    <col min="10504" max="10504" width="7" customWidth="1"/>
    <col min="10505" max="10505" width="6.5703125" customWidth="1"/>
    <col min="10506" max="10507" width="7" customWidth="1"/>
    <col min="10753" max="10753" width="25" customWidth="1"/>
    <col min="10754" max="10754" width="8.140625" customWidth="1"/>
    <col min="10755" max="10755" width="7.28515625" customWidth="1"/>
    <col min="10756" max="10756" width="7.140625" customWidth="1"/>
    <col min="10757" max="10757" width="7" customWidth="1"/>
    <col min="10758" max="10758" width="6.85546875" customWidth="1"/>
    <col min="10759" max="10759" width="6.5703125" customWidth="1"/>
    <col min="10760" max="10760" width="7" customWidth="1"/>
    <col min="10761" max="10761" width="6.5703125" customWidth="1"/>
    <col min="10762" max="10763" width="7" customWidth="1"/>
    <col min="11009" max="11009" width="25" customWidth="1"/>
    <col min="11010" max="11010" width="8.140625" customWidth="1"/>
    <col min="11011" max="11011" width="7.28515625" customWidth="1"/>
    <col min="11012" max="11012" width="7.140625" customWidth="1"/>
    <col min="11013" max="11013" width="7" customWidth="1"/>
    <col min="11014" max="11014" width="6.85546875" customWidth="1"/>
    <col min="11015" max="11015" width="6.5703125" customWidth="1"/>
    <col min="11016" max="11016" width="7" customWidth="1"/>
    <col min="11017" max="11017" width="6.5703125" customWidth="1"/>
    <col min="11018" max="11019" width="7" customWidth="1"/>
    <col min="11265" max="11265" width="25" customWidth="1"/>
    <col min="11266" max="11266" width="8.140625" customWidth="1"/>
    <col min="11267" max="11267" width="7.28515625" customWidth="1"/>
    <col min="11268" max="11268" width="7.140625" customWidth="1"/>
    <col min="11269" max="11269" width="7" customWidth="1"/>
    <col min="11270" max="11270" width="6.85546875" customWidth="1"/>
    <col min="11271" max="11271" width="6.5703125" customWidth="1"/>
    <col min="11272" max="11272" width="7" customWidth="1"/>
    <col min="11273" max="11273" width="6.5703125" customWidth="1"/>
    <col min="11274" max="11275" width="7" customWidth="1"/>
    <col min="11521" max="11521" width="25" customWidth="1"/>
    <col min="11522" max="11522" width="8.140625" customWidth="1"/>
    <col min="11523" max="11523" width="7.28515625" customWidth="1"/>
    <col min="11524" max="11524" width="7.140625" customWidth="1"/>
    <col min="11525" max="11525" width="7" customWidth="1"/>
    <col min="11526" max="11526" width="6.85546875" customWidth="1"/>
    <col min="11527" max="11527" width="6.5703125" customWidth="1"/>
    <col min="11528" max="11528" width="7" customWidth="1"/>
    <col min="11529" max="11529" width="6.5703125" customWidth="1"/>
    <col min="11530" max="11531" width="7" customWidth="1"/>
    <col min="11777" max="11777" width="25" customWidth="1"/>
    <col min="11778" max="11778" width="8.140625" customWidth="1"/>
    <col min="11779" max="11779" width="7.28515625" customWidth="1"/>
    <col min="11780" max="11780" width="7.140625" customWidth="1"/>
    <col min="11781" max="11781" width="7" customWidth="1"/>
    <col min="11782" max="11782" width="6.85546875" customWidth="1"/>
    <col min="11783" max="11783" width="6.5703125" customWidth="1"/>
    <col min="11784" max="11784" width="7" customWidth="1"/>
    <col min="11785" max="11785" width="6.5703125" customWidth="1"/>
    <col min="11786" max="11787" width="7" customWidth="1"/>
    <col min="12033" max="12033" width="25" customWidth="1"/>
    <col min="12034" max="12034" width="8.140625" customWidth="1"/>
    <col min="12035" max="12035" width="7.28515625" customWidth="1"/>
    <col min="12036" max="12036" width="7.140625" customWidth="1"/>
    <col min="12037" max="12037" width="7" customWidth="1"/>
    <col min="12038" max="12038" width="6.85546875" customWidth="1"/>
    <col min="12039" max="12039" width="6.5703125" customWidth="1"/>
    <col min="12040" max="12040" width="7" customWidth="1"/>
    <col min="12041" max="12041" width="6.5703125" customWidth="1"/>
    <col min="12042" max="12043" width="7" customWidth="1"/>
    <col min="12289" max="12289" width="25" customWidth="1"/>
    <col min="12290" max="12290" width="8.140625" customWidth="1"/>
    <col min="12291" max="12291" width="7.28515625" customWidth="1"/>
    <col min="12292" max="12292" width="7.140625" customWidth="1"/>
    <col min="12293" max="12293" width="7" customWidth="1"/>
    <col min="12294" max="12294" width="6.85546875" customWidth="1"/>
    <col min="12295" max="12295" width="6.5703125" customWidth="1"/>
    <col min="12296" max="12296" width="7" customWidth="1"/>
    <col min="12297" max="12297" width="6.5703125" customWidth="1"/>
    <col min="12298" max="12299" width="7" customWidth="1"/>
    <col min="12545" max="12545" width="25" customWidth="1"/>
    <col min="12546" max="12546" width="8.140625" customWidth="1"/>
    <col min="12547" max="12547" width="7.28515625" customWidth="1"/>
    <col min="12548" max="12548" width="7.140625" customWidth="1"/>
    <col min="12549" max="12549" width="7" customWidth="1"/>
    <col min="12550" max="12550" width="6.85546875" customWidth="1"/>
    <col min="12551" max="12551" width="6.5703125" customWidth="1"/>
    <col min="12552" max="12552" width="7" customWidth="1"/>
    <col min="12553" max="12553" width="6.5703125" customWidth="1"/>
    <col min="12554" max="12555" width="7" customWidth="1"/>
    <col min="12801" max="12801" width="25" customWidth="1"/>
    <col min="12802" max="12802" width="8.140625" customWidth="1"/>
    <col min="12803" max="12803" width="7.28515625" customWidth="1"/>
    <col min="12804" max="12804" width="7.140625" customWidth="1"/>
    <col min="12805" max="12805" width="7" customWidth="1"/>
    <col min="12806" max="12806" width="6.85546875" customWidth="1"/>
    <col min="12807" max="12807" width="6.5703125" customWidth="1"/>
    <col min="12808" max="12808" width="7" customWidth="1"/>
    <col min="12809" max="12809" width="6.5703125" customWidth="1"/>
    <col min="12810" max="12811" width="7" customWidth="1"/>
    <col min="13057" max="13057" width="25" customWidth="1"/>
    <col min="13058" max="13058" width="8.140625" customWidth="1"/>
    <col min="13059" max="13059" width="7.28515625" customWidth="1"/>
    <col min="13060" max="13060" width="7.140625" customWidth="1"/>
    <col min="13061" max="13061" width="7" customWidth="1"/>
    <col min="13062" max="13062" width="6.85546875" customWidth="1"/>
    <col min="13063" max="13063" width="6.5703125" customWidth="1"/>
    <col min="13064" max="13064" width="7" customWidth="1"/>
    <col min="13065" max="13065" width="6.5703125" customWidth="1"/>
    <col min="13066" max="13067" width="7" customWidth="1"/>
    <col min="13313" max="13313" width="25" customWidth="1"/>
    <col min="13314" max="13314" width="8.140625" customWidth="1"/>
    <col min="13315" max="13315" width="7.28515625" customWidth="1"/>
    <col min="13316" max="13316" width="7.140625" customWidth="1"/>
    <col min="13317" max="13317" width="7" customWidth="1"/>
    <col min="13318" max="13318" width="6.85546875" customWidth="1"/>
    <col min="13319" max="13319" width="6.5703125" customWidth="1"/>
    <col min="13320" max="13320" width="7" customWidth="1"/>
    <col min="13321" max="13321" width="6.5703125" customWidth="1"/>
    <col min="13322" max="13323" width="7" customWidth="1"/>
    <col min="13569" max="13569" width="25" customWidth="1"/>
    <col min="13570" max="13570" width="8.140625" customWidth="1"/>
    <col min="13571" max="13571" width="7.28515625" customWidth="1"/>
    <col min="13572" max="13572" width="7.140625" customWidth="1"/>
    <col min="13573" max="13573" width="7" customWidth="1"/>
    <col min="13574" max="13574" width="6.85546875" customWidth="1"/>
    <col min="13575" max="13575" width="6.5703125" customWidth="1"/>
    <col min="13576" max="13576" width="7" customWidth="1"/>
    <col min="13577" max="13577" width="6.5703125" customWidth="1"/>
    <col min="13578" max="13579" width="7" customWidth="1"/>
    <col min="13825" max="13825" width="25" customWidth="1"/>
    <col min="13826" max="13826" width="8.140625" customWidth="1"/>
    <col min="13827" max="13827" width="7.28515625" customWidth="1"/>
    <col min="13828" max="13828" width="7.140625" customWidth="1"/>
    <col min="13829" max="13829" width="7" customWidth="1"/>
    <col min="13830" max="13830" width="6.85546875" customWidth="1"/>
    <col min="13831" max="13831" width="6.5703125" customWidth="1"/>
    <col min="13832" max="13832" width="7" customWidth="1"/>
    <col min="13833" max="13833" width="6.5703125" customWidth="1"/>
    <col min="13834" max="13835" width="7" customWidth="1"/>
    <col min="14081" max="14081" width="25" customWidth="1"/>
    <col min="14082" max="14082" width="8.140625" customWidth="1"/>
    <col min="14083" max="14083" width="7.28515625" customWidth="1"/>
    <col min="14084" max="14084" width="7.140625" customWidth="1"/>
    <col min="14085" max="14085" width="7" customWidth="1"/>
    <col min="14086" max="14086" width="6.85546875" customWidth="1"/>
    <col min="14087" max="14087" width="6.5703125" customWidth="1"/>
    <col min="14088" max="14088" width="7" customWidth="1"/>
    <col min="14089" max="14089" width="6.5703125" customWidth="1"/>
    <col min="14090" max="14091" width="7" customWidth="1"/>
    <col min="14337" max="14337" width="25" customWidth="1"/>
    <col min="14338" max="14338" width="8.140625" customWidth="1"/>
    <col min="14339" max="14339" width="7.28515625" customWidth="1"/>
    <col min="14340" max="14340" width="7.140625" customWidth="1"/>
    <col min="14341" max="14341" width="7" customWidth="1"/>
    <col min="14342" max="14342" width="6.85546875" customWidth="1"/>
    <col min="14343" max="14343" width="6.5703125" customWidth="1"/>
    <col min="14344" max="14344" width="7" customWidth="1"/>
    <col min="14345" max="14345" width="6.5703125" customWidth="1"/>
    <col min="14346" max="14347" width="7" customWidth="1"/>
    <col min="14593" max="14593" width="25" customWidth="1"/>
    <col min="14594" max="14594" width="8.140625" customWidth="1"/>
    <col min="14595" max="14595" width="7.28515625" customWidth="1"/>
    <col min="14596" max="14596" width="7.140625" customWidth="1"/>
    <col min="14597" max="14597" width="7" customWidth="1"/>
    <col min="14598" max="14598" width="6.85546875" customWidth="1"/>
    <col min="14599" max="14599" width="6.5703125" customWidth="1"/>
    <col min="14600" max="14600" width="7" customWidth="1"/>
    <col min="14601" max="14601" width="6.5703125" customWidth="1"/>
    <col min="14602" max="14603" width="7" customWidth="1"/>
    <col min="14849" max="14849" width="25" customWidth="1"/>
    <col min="14850" max="14850" width="8.140625" customWidth="1"/>
    <col min="14851" max="14851" width="7.28515625" customWidth="1"/>
    <col min="14852" max="14852" width="7.140625" customWidth="1"/>
    <col min="14853" max="14853" width="7" customWidth="1"/>
    <col min="14854" max="14854" width="6.85546875" customWidth="1"/>
    <col min="14855" max="14855" width="6.5703125" customWidth="1"/>
    <col min="14856" max="14856" width="7" customWidth="1"/>
    <col min="14857" max="14857" width="6.5703125" customWidth="1"/>
    <col min="14858" max="14859" width="7" customWidth="1"/>
    <col min="15105" max="15105" width="25" customWidth="1"/>
    <col min="15106" max="15106" width="8.140625" customWidth="1"/>
    <col min="15107" max="15107" width="7.28515625" customWidth="1"/>
    <col min="15108" max="15108" width="7.140625" customWidth="1"/>
    <col min="15109" max="15109" width="7" customWidth="1"/>
    <col min="15110" max="15110" width="6.85546875" customWidth="1"/>
    <col min="15111" max="15111" width="6.5703125" customWidth="1"/>
    <col min="15112" max="15112" width="7" customWidth="1"/>
    <col min="15113" max="15113" width="6.5703125" customWidth="1"/>
    <col min="15114" max="15115" width="7" customWidth="1"/>
    <col min="15361" max="15361" width="25" customWidth="1"/>
    <col min="15362" max="15362" width="8.140625" customWidth="1"/>
    <col min="15363" max="15363" width="7.28515625" customWidth="1"/>
    <col min="15364" max="15364" width="7.140625" customWidth="1"/>
    <col min="15365" max="15365" width="7" customWidth="1"/>
    <col min="15366" max="15366" width="6.85546875" customWidth="1"/>
    <col min="15367" max="15367" width="6.5703125" customWidth="1"/>
    <col min="15368" max="15368" width="7" customWidth="1"/>
    <col min="15369" max="15369" width="6.5703125" customWidth="1"/>
    <col min="15370" max="15371" width="7" customWidth="1"/>
    <col min="15617" max="15617" width="25" customWidth="1"/>
    <col min="15618" max="15618" width="8.140625" customWidth="1"/>
    <col min="15619" max="15619" width="7.28515625" customWidth="1"/>
    <col min="15620" max="15620" width="7.140625" customWidth="1"/>
    <col min="15621" max="15621" width="7" customWidth="1"/>
    <col min="15622" max="15622" width="6.85546875" customWidth="1"/>
    <col min="15623" max="15623" width="6.5703125" customWidth="1"/>
    <col min="15624" max="15624" width="7" customWidth="1"/>
    <col min="15625" max="15625" width="6.5703125" customWidth="1"/>
    <col min="15626" max="15627" width="7" customWidth="1"/>
    <col min="15873" max="15873" width="25" customWidth="1"/>
    <col min="15874" max="15874" width="8.140625" customWidth="1"/>
    <col min="15875" max="15875" width="7.28515625" customWidth="1"/>
    <col min="15876" max="15876" width="7.140625" customWidth="1"/>
    <col min="15877" max="15877" width="7" customWidth="1"/>
    <col min="15878" max="15878" width="6.85546875" customWidth="1"/>
    <col min="15879" max="15879" width="6.5703125" customWidth="1"/>
    <col min="15880" max="15880" width="7" customWidth="1"/>
    <col min="15881" max="15881" width="6.5703125" customWidth="1"/>
    <col min="15882" max="15883" width="7" customWidth="1"/>
    <col min="16129" max="16129" width="25" customWidth="1"/>
    <col min="16130" max="16130" width="8.140625" customWidth="1"/>
    <col min="16131" max="16131" width="7.28515625" customWidth="1"/>
    <col min="16132" max="16132" width="7.140625" customWidth="1"/>
    <col min="16133" max="16133" width="7" customWidth="1"/>
    <col min="16134" max="16134" width="6.85546875" customWidth="1"/>
    <col min="16135" max="16135" width="6.5703125" customWidth="1"/>
    <col min="16136" max="16136" width="7" customWidth="1"/>
    <col min="16137" max="16137" width="6.5703125" customWidth="1"/>
    <col min="16138" max="16139" width="7" customWidth="1"/>
  </cols>
  <sheetData>
    <row r="1" spans="1:13" x14ac:dyDescent="0.2">
      <c r="A1" t="s">
        <v>448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 t="s">
        <v>449</v>
      </c>
    </row>
    <row r="2" spans="1:13" x14ac:dyDescent="0.2">
      <c r="A2" t="s">
        <v>287</v>
      </c>
      <c r="B2" s="34" t="s">
        <v>450</v>
      </c>
      <c r="C2" s="33" t="s">
        <v>451</v>
      </c>
      <c r="D2" s="33" t="s">
        <v>452</v>
      </c>
      <c r="E2" s="33" t="s">
        <v>453</v>
      </c>
      <c r="F2" s="33" t="s">
        <v>454</v>
      </c>
      <c r="G2" s="33" t="s">
        <v>455</v>
      </c>
      <c r="H2" s="33" t="s">
        <v>456</v>
      </c>
      <c r="I2" s="33" t="s">
        <v>457</v>
      </c>
      <c r="J2" s="33" t="s">
        <v>458</v>
      </c>
      <c r="K2" s="33" t="s">
        <v>459</v>
      </c>
      <c r="L2" s="33" t="s">
        <v>315</v>
      </c>
      <c r="M2" s="34" t="s">
        <v>460</v>
      </c>
    </row>
    <row r="3" spans="1:13" x14ac:dyDescent="0.2">
      <c r="A3" s="27" t="s">
        <v>1</v>
      </c>
      <c r="B3" s="33">
        <v>2</v>
      </c>
      <c r="C3" s="33">
        <v>0</v>
      </c>
      <c r="D3" s="33">
        <v>4</v>
      </c>
      <c r="E3" s="33">
        <v>6</v>
      </c>
      <c r="F3" s="33">
        <v>1</v>
      </c>
      <c r="G3" s="33">
        <v>1</v>
      </c>
      <c r="H3" s="33">
        <v>4</v>
      </c>
      <c r="I3" s="33">
        <v>1</v>
      </c>
      <c r="J3" s="33">
        <v>6</v>
      </c>
      <c r="K3" s="33">
        <v>3</v>
      </c>
      <c r="L3" s="33">
        <f t="shared" ref="L3:L32" si="0">SUM(B3:K3)</f>
        <v>28</v>
      </c>
      <c r="M3" s="34" t="s">
        <v>461</v>
      </c>
    </row>
    <row r="4" spans="1:13" x14ac:dyDescent="0.2">
      <c r="A4" s="27" t="s">
        <v>3</v>
      </c>
      <c r="B4" s="33">
        <v>6</v>
      </c>
      <c r="C4" s="33">
        <v>4</v>
      </c>
      <c r="D4" s="33">
        <v>4</v>
      </c>
      <c r="E4" s="33">
        <v>1</v>
      </c>
      <c r="F4" s="33">
        <v>8</v>
      </c>
      <c r="G4" s="33">
        <v>0</v>
      </c>
      <c r="H4" s="33">
        <v>4</v>
      </c>
      <c r="I4" s="33">
        <v>7</v>
      </c>
      <c r="J4" s="33">
        <v>4</v>
      </c>
      <c r="K4" s="33">
        <v>3</v>
      </c>
      <c r="L4" s="33">
        <f t="shared" si="0"/>
        <v>41</v>
      </c>
      <c r="M4" s="34" t="s">
        <v>462</v>
      </c>
    </row>
    <row r="5" spans="1:13" x14ac:dyDescent="0.2">
      <c r="A5" s="27" t="s">
        <v>4</v>
      </c>
      <c r="B5" s="33">
        <v>0</v>
      </c>
      <c r="C5" s="33">
        <v>2</v>
      </c>
      <c r="D5" s="33">
        <v>1</v>
      </c>
      <c r="E5" s="33">
        <v>1</v>
      </c>
      <c r="F5" s="33">
        <v>4</v>
      </c>
      <c r="G5" s="33">
        <v>0</v>
      </c>
      <c r="H5" s="33">
        <v>0</v>
      </c>
      <c r="I5" s="33">
        <v>0</v>
      </c>
      <c r="J5" s="33">
        <v>2</v>
      </c>
      <c r="K5" s="33">
        <v>0</v>
      </c>
      <c r="L5" s="33">
        <f t="shared" si="0"/>
        <v>10</v>
      </c>
      <c r="M5" s="34" t="s">
        <v>463</v>
      </c>
    </row>
    <row r="6" spans="1:13" x14ac:dyDescent="0.2">
      <c r="A6" s="27" t="s">
        <v>5</v>
      </c>
      <c r="B6" s="33">
        <v>2</v>
      </c>
      <c r="C6" s="33">
        <v>1</v>
      </c>
      <c r="D6" s="33">
        <v>4</v>
      </c>
      <c r="E6" s="33">
        <v>0</v>
      </c>
      <c r="F6" s="33">
        <v>0</v>
      </c>
      <c r="G6" s="33">
        <v>1</v>
      </c>
      <c r="H6" s="33">
        <v>0</v>
      </c>
      <c r="I6" s="33">
        <v>2</v>
      </c>
      <c r="J6" s="33">
        <v>1</v>
      </c>
      <c r="K6" s="33">
        <v>4</v>
      </c>
      <c r="L6" s="33">
        <f t="shared" si="0"/>
        <v>15</v>
      </c>
      <c r="M6" s="34" t="s">
        <v>464</v>
      </c>
    </row>
    <row r="7" spans="1:13" x14ac:dyDescent="0.2">
      <c r="A7" s="27" t="s">
        <v>6</v>
      </c>
      <c r="B7" s="33">
        <v>3</v>
      </c>
      <c r="C7" s="33">
        <v>12</v>
      </c>
      <c r="D7" s="33">
        <v>2</v>
      </c>
      <c r="E7" s="33">
        <v>7</v>
      </c>
      <c r="F7" s="33">
        <v>3</v>
      </c>
      <c r="G7" s="33">
        <v>1</v>
      </c>
      <c r="H7" s="33">
        <v>9</v>
      </c>
      <c r="I7" s="33">
        <v>2</v>
      </c>
      <c r="J7" s="33">
        <v>3</v>
      </c>
      <c r="K7" s="33">
        <v>11</v>
      </c>
      <c r="L7" s="33">
        <f t="shared" si="0"/>
        <v>53</v>
      </c>
      <c r="M7" s="34" t="s">
        <v>465</v>
      </c>
    </row>
    <row r="8" spans="1:13" x14ac:dyDescent="0.2">
      <c r="A8" s="27" t="s">
        <v>7</v>
      </c>
      <c r="B8" s="33">
        <v>2</v>
      </c>
      <c r="C8" s="33">
        <v>4</v>
      </c>
      <c r="D8" s="33">
        <v>8</v>
      </c>
      <c r="E8" s="33">
        <v>7</v>
      </c>
      <c r="F8" s="33">
        <v>9</v>
      </c>
      <c r="G8" s="33">
        <v>0</v>
      </c>
      <c r="H8" s="33">
        <v>6</v>
      </c>
      <c r="I8" s="33">
        <v>3</v>
      </c>
      <c r="J8" s="33">
        <v>4</v>
      </c>
      <c r="K8" s="33">
        <v>3</v>
      </c>
      <c r="L8" s="33">
        <f t="shared" si="0"/>
        <v>46</v>
      </c>
      <c r="M8" s="34" t="s">
        <v>466</v>
      </c>
    </row>
    <row r="9" spans="1:13" x14ac:dyDescent="0.2">
      <c r="A9" s="27" t="s">
        <v>9</v>
      </c>
      <c r="B9" s="33">
        <v>0</v>
      </c>
      <c r="C9" s="33">
        <v>0</v>
      </c>
      <c r="D9" s="33">
        <v>0</v>
      </c>
      <c r="E9" s="33">
        <v>0</v>
      </c>
      <c r="F9" s="33">
        <v>1</v>
      </c>
      <c r="G9" s="33">
        <v>0</v>
      </c>
      <c r="H9" s="33">
        <v>1</v>
      </c>
      <c r="I9" s="33">
        <v>0</v>
      </c>
      <c r="J9" s="33">
        <v>0</v>
      </c>
      <c r="K9" s="33">
        <v>0</v>
      </c>
      <c r="L9" s="33">
        <f t="shared" si="0"/>
        <v>2</v>
      </c>
      <c r="M9" s="34" t="s">
        <v>467</v>
      </c>
    </row>
    <row r="10" spans="1:13" x14ac:dyDescent="0.2">
      <c r="A10" s="27" t="s">
        <v>10</v>
      </c>
      <c r="B10" s="33">
        <v>0</v>
      </c>
      <c r="C10" s="33">
        <v>0</v>
      </c>
      <c r="D10" s="33">
        <v>1</v>
      </c>
      <c r="E10" s="33">
        <v>1</v>
      </c>
      <c r="F10" s="33">
        <v>0</v>
      </c>
      <c r="G10" s="33">
        <v>0</v>
      </c>
      <c r="H10" s="33">
        <v>0</v>
      </c>
      <c r="I10" s="33">
        <v>1</v>
      </c>
      <c r="J10" s="33">
        <v>2</v>
      </c>
      <c r="K10" s="33">
        <v>0</v>
      </c>
      <c r="L10" s="33">
        <f t="shared" si="0"/>
        <v>5</v>
      </c>
      <c r="M10" s="34" t="s">
        <v>468</v>
      </c>
    </row>
    <row r="11" spans="1:13" x14ac:dyDescent="0.2">
      <c r="A11" s="27" t="s">
        <v>11</v>
      </c>
      <c r="B11" s="33">
        <v>0</v>
      </c>
      <c r="C11" s="33">
        <v>0</v>
      </c>
      <c r="D11" s="33">
        <v>0</v>
      </c>
      <c r="E11" s="33">
        <v>0</v>
      </c>
      <c r="F11" s="33">
        <v>2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f t="shared" si="0"/>
        <v>2</v>
      </c>
      <c r="M11" s="34" t="s">
        <v>467</v>
      </c>
    </row>
    <row r="12" spans="1:13" x14ac:dyDescent="0.2">
      <c r="A12" s="27" t="s">
        <v>469</v>
      </c>
      <c r="B12" s="33">
        <v>0</v>
      </c>
      <c r="C12" s="33">
        <v>0</v>
      </c>
      <c r="D12" s="33">
        <v>1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f t="shared" si="0"/>
        <v>1</v>
      </c>
      <c r="M12" s="34" t="s">
        <v>470</v>
      </c>
    </row>
    <row r="13" spans="1:13" x14ac:dyDescent="0.2">
      <c r="A13" s="27" t="s">
        <v>15</v>
      </c>
      <c r="B13" s="33">
        <v>0</v>
      </c>
      <c r="C13" s="33">
        <v>0</v>
      </c>
      <c r="D13" s="33">
        <v>1</v>
      </c>
      <c r="E13" s="33">
        <v>1</v>
      </c>
      <c r="F13" s="33">
        <v>1</v>
      </c>
      <c r="G13" s="33">
        <v>0</v>
      </c>
      <c r="H13" s="33">
        <v>0</v>
      </c>
      <c r="I13" s="33">
        <v>1</v>
      </c>
      <c r="J13" s="33">
        <v>0</v>
      </c>
      <c r="K13" s="33">
        <v>1</v>
      </c>
      <c r="L13" s="33">
        <f t="shared" si="0"/>
        <v>5</v>
      </c>
      <c r="M13" s="34" t="s">
        <v>468</v>
      </c>
    </row>
    <row r="14" spans="1:13" x14ac:dyDescent="0.2">
      <c r="A14" s="27" t="s">
        <v>16</v>
      </c>
      <c r="B14" s="33">
        <v>0</v>
      </c>
      <c r="C14" s="33">
        <v>1</v>
      </c>
      <c r="D14" s="33">
        <v>0</v>
      </c>
      <c r="E14" s="33">
        <v>0</v>
      </c>
      <c r="F14" s="33">
        <v>0</v>
      </c>
      <c r="G14" s="33">
        <v>1</v>
      </c>
      <c r="H14" s="33">
        <v>0</v>
      </c>
      <c r="I14" s="33">
        <v>0</v>
      </c>
      <c r="J14" s="33">
        <v>0</v>
      </c>
      <c r="K14" s="33">
        <v>0</v>
      </c>
      <c r="L14" s="33">
        <f t="shared" si="0"/>
        <v>2</v>
      </c>
      <c r="M14" s="34" t="s">
        <v>467</v>
      </c>
    </row>
    <row r="15" spans="1:13" x14ac:dyDescent="0.2">
      <c r="A15" s="27" t="s">
        <v>17</v>
      </c>
      <c r="B15" s="33">
        <v>1</v>
      </c>
      <c r="C15" s="33">
        <v>0</v>
      </c>
      <c r="D15" s="33">
        <v>0</v>
      </c>
      <c r="E15" s="33">
        <v>0</v>
      </c>
      <c r="F15" s="33">
        <v>1</v>
      </c>
      <c r="G15" s="33">
        <v>0</v>
      </c>
      <c r="H15" s="33">
        <v>0</v>
      </c>
      <c r="I15" s="33">
        <v>0</v>
      </c>
      <c r="J15" s="33">
        <v>1</v>
      </c>
      <c r="K15" s="33">
        <v>3</v>
      </c>
      <c r="L15" s="33">
        <f t="shared" si="0"/>
        <v>6</v>
      </c>
      <c r="M15" s="34" t="s">
        <v>471</v>
      </c>
    </row>
    <row r="16" spans="1:13" x14ac:dyDescent="0.2">
      <c r="A16" s="27" t="s">
        <v>18</v>
      </c>
      <c r="B16" s="33">
        <v>0</v>
      </c>
      <c r="C16" s="33">
        <v>1</v>
      </c>
      <c r="D16" s="33">
        <v>1</v>
      </c>
      <c r="E16" s="33">
        <v>1</v>
      </c>
      <c r="F16" s="33">
        <v>1</v>
      </c>
      <c r="G16" s="33">
        <v>0</v>
      </c>
      <c r="H16" s="33">
        <v>0</v>
      </c>
      <c r="I16" s="33">
        <v>1</v>
      </c>
      <c r="J16" s="33">
        <v>0</v>
      </c>
      <c r="K16" s="33">
        <v>2</v>
      </c>
      <c r="L16" s="33">
        <f t="shared" si="0"/>
        <v>7</v>
      </c>
      <c r="M16" s="34" t="s">
        <v>472</v>
      </c>
    </row>
    <row r="17" spans="1:13" x14ac:dyDescent="0.2">
      <c r="A17" s="27" t="s">
        <v>19</v>
      </c>
      <c r="B17" s="33">
        <v>7</v>
      </c>
      <c r="C17" s="33">
        <v>11</v>
      </c>
      <c r="D17" s="33">
        <v>8</v>
      </c>
      <c r="E17" s="33">
        <v>9</v>
      </c>
      <c r="F17" s="33">
        <v>12</v>
      </c>
      <c r="G17" s="33">
        <v>4</v>
      </c>
      <c r="H17" s="33">
        <v>5</v>
      </c>
      <c r="I17" s="33">
        <v>12</v>
      </c>
      <c r="J17" s="33">
        <v>13</v>
      </c>
      <c r="K17" s="33">
        <v>4</v>
      </c>
      <c r="L17" s="33">
        <f t="shared" si="0"/>
        <v>85</v>
      </c>
      <c r="M17" s="34" t="s">
        <v>473</v>
      </c>
    </row>
    <row r="18" spans="1:13" x14ac:dyDescent="0.2">
      <c r="A18" s="27" t="s">
        <v>20</v>
      </c>
      <c r="B18" s="33">
        <v>1</v>
      </c>
      <c r="C18" s="33">
        <v>1</v>
      </c>
      <c r="D18" s="33">
        <v>2</v>
      </c>
      <c r="E18" s="33">
        <v>0</v>
      </c>
      <c r="F18" s="33">
        <v>1</v>
      </c>
      <c r="G18" s="33">
        <v>0</v>
      </c>
      <c r="H18" s="33">
        <v>0</v>
      </c>
      <c r="I18" s="33">
        <v>4</v>
      </c>
      <c r="J18" s="33">
        <v>0</v>
      </c>
      <c r="K18" s="33">
        <v>4</v>
      </c>
      <c r="L18" s="33">
        <f t="shared" si="0"/>
        <v>13</v>
      </c>
      <c r="M18" s="34" t="s">
        <v>474</v>
      </c>
    </row>
    <row r="19" spans="1:13" x14ac:dyDescent="0.2">
      <c r="A19" s="27" t="s">
        <v>200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0</v>
      </c>
      <c r="H19" s="33">
        <v>0</v>
      </c>
      <c r="I19" s="33">
        <v>0</v>
      </c>
      <c r="J19" s="33">
        <v>0</v>
      </c>
      <c r="K19" s="33">
        <v>3</v>
      </c>
      <c r="L19" s="33">
        <f t="shared" si="0"/>
        <v>8</v>
      </c>
      <c r="M19" s="34" t="s">
        <v>475</v>
      </c>
    </row>
    <row r="20" spans="1:13" x14ac:dyDescent="0.2">
      <c r="A20" s="27" t="s">
        <v>435</v>
      </c>
      <c r="B20" s="33">
        <v>3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f t="shared" si="0"/>
        <v>3</v>
      </c>
      <c r="M20" s="34" t="s">
        <v>476</v>
      </c>
    </row>
    <row r="21" spans="1:13" x14ac:dyDescent="0.2">
      <c r="A21" s="27" t="s">
        <v>22</v>
      </c>
      <c r="B21" s="33">
        <v>0</v>
      </c>
      <c r="C21" s="33">
        <v>0</v>
      </c>
      <c r="D21" s="33">
        <v>1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f t="shared" si="0"/>
        <v>1</v>
      </c>
      <c r="M21" s="34" t="s">
        <v>470</v>
      </c>
    </row>
    <row r="22" spans="1:13" x14ac:dyDescent="0.2">
      <c r="A22" s="27" t="s">
        <v>23</v>
      </c>
      <c r="B22" s="33">
        <v>1</v>
      </c>
      <c r="C22" s="33">
        <v>1</v>
      </c>
      <c r="D22" s="33">
        <v>0</v>
      </c>
      <c r="E22" s="33">
        <v>0</v>
      </c>
      <c r="F22" s="33">
        <v>1</v>
      </c>
      <c r="G22" s="33">
        <v>0</v>
      </c>
      <c r="H22" s="33">
        <v>0</v>
      </c>
      <c r="I22" s="33">
        <v>0</v>
      </c>
      <c r="J22" s="33">
        <v>2</v>
      </c>
      <c r="K22" s="33">
        <v>1</v>
      </c>
      <c r="L22" s="33">
        <f t="shared" si="0"/>
        <v>6</v>
      </c>
      <c r="M22" s="34" t="s">
        <v>471</v>
      </c>
    </row>
    <row r="23" spans="1:13" x14ac:dyDescent="0.2">
      <c r="A23" s="27" t="s">
        <v>194</v>
      </c>
      <c r="B23" s="33">
        <v>0</v>
      </c>
      <c r="C23" s="33">
        <v>0</v>
      </c>
      <c r="D23" s="33">
        <v>1</v>
      </c>
      <c r="E23" s="33">
        <v>1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f t="shared" si="0"/>
        <v>2</v>
      </c>
      <c r="M23" s="34" t="s">
        <v>467</v>
      </c>
    </row>
    <row r="24" spans="1:13" x14ac:dyDescent="0.2">
      <c r="A24" s="27" t="s">
        <v>195</v>
      </c>
      <c r="B24" s="33">
        <v>0</v>
      </c>
      <c r="C24" s="33">
        <v>1</v>
      </c>
      <c r="D24" s="33">
        <v>1</v>
      </c>
      <c r="E24" s="33">
        <v>1</v>
      </c>
      <c r="F24" s="33">
        <v>0</v>
      </c>
      <c r="G24" s="33">
        <v>0</v>
      </c>
      <c r="H24" s="33">
        <v>1</v>
      </c>
      <c r="I24" s="33">
        <v>1</v>
      </c>
      <c r="J24" s="33">
        <v>0</v>
      </c>
      <c r="K24" s="33">
        <v>1</v>
      </c>
      <c r="L24" s="33">
        <f t="shared" si="0"/>
        <v>6</v>
      </c>
      <c r="M24" s="34" t="s">
        <v>471</v>
      </c>
    </row>
    <row r="25" spans="1:13" x14ac:dyDescent="0.2">
      <c r="A25" s="27" t="s">
        <v>25</v>
      </c>
      <c r="B25" s="33">
        <v>1</v>
      </c>
      <c r="C25" s="33">
        <v>0</v>
      </c>
      <c r="D25" s="33">
        <v>0</v>
      </c>
      <c r="E25" s="33">
        <v>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f t="shared" si="0"/>
        <v>4</v>
      </c>
      <c r="M25" s="34" t="s">
        <v>477</v>
      </c>
    </row>
    <row r="26" spans="1:13" x14ac:dyDescent="0.2">
      <c r="A26" s="27" t="s">
        <v>27</v>
      </c>
      <c r="B26" s="33">
        <v>14</v>
      </c>
      <c r="C26" s="33">
        <v>10</v>
      </c>
      <c r="D26" s="33">
        <v>11</v>
      </c>
      <c r="E26" s="33">
        <v>9</v>
      </c>
      <c r="F26" s="33">
        <v>12</v>
      </c>
      <c r="G26" s="33">
        <v>6</v>
      </c>
      <c r="H26" s="33">
        <v>15</v>
      </c>
      <c r="I26" s="33">
        <v>12</v>
      </c>
      <c r="J26" s="33">
        <v>8</v>
      </c>
      <c r="K26" s="33">
        <v>5</v>
      </c>
      <c r="L26" s="33">
        <f t="shared" si="0"/>
        <v>102</v>
      </c>
      <c r="M26" s="34" t="s">
        <v>478</v>
      </c>
    </row>
    <row r="27" spans="1:13" x14ac:dyDescent="0.2">
      <c r="A27" s="27" t="s">
        <v>28</v>
      </c>
      <c r="B27" s="33">
        <v>1</v>
      </c>
      <c r="C27" s="33">
        <v>1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f t="shared" si="0"/>
        <v>2</v>
      </c>
      <c r="M27" s="34" t="s">
        <v>467</v>
      </c>
    </row>
    <row r="28" spans="1:13" x14ac:dyDescent="0.2">
      <c r="A28" s="27" t="s">
        <v>29</v>
      </c>
      <c r="B28" s="33">
        <v>0</v>
      </c>
      <c r="C28" s="33">
        <v>0</v>
      </c>
      <c r="D28" s="33">
        <v>0</v>
      </c>
      <c r="E28" s="33">
        <v>0</v>
      </c>
      <c r="F28" s="33">
        <v>1</v>
      </c>
      <c r="G28" s="33">
        <v>0</v>
      </c>
      <c r="H28" s="33">
        <v>0</v>
      </c>
      <c r="I28" s="33">
        <v>0</v>
      </c>
      <c r="J28" s="33">
        <v>1</v>
      </c>
      <c r="K28" s="33">
        <v>1</v>
      </c>
      <c r="L28" s="33">
        <f t="shared" si="0"/>
        <v>3</v>
      </c>
      <c r="M28" s="34" t="s">
        <v>476</v>
      </c>
    </row>
    <row r="29" spans="1:13" x14ac:dyDescent="0.2">
      <c r="A29" s="27" t="s">
        <v>30</v>
      </c>
      <c r="B29" s="33">
        <v>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1</v>
      </c>
      <c r="J29" s="33">
        <v>0</v>
      </c>
      <c r="K29" s="33">
        <v>0</v>
      </c>
      <c r="L29" s="33">
        <f t="shared" si="0"/>
        <v>1</v>
      </c>
      <c r="M29" s="34" t="s">
        <v>470</v>
      </c>
    </row>
    <row r="30" spans="1:13" x14ac:dyDescent="0.2">
      <c r="A30" s="27" t="s">
        <v>31</v>
      </c>
      <c r="B30" s="33">
        <v>2</v>
      </c>
      <c r="C30" s="33">
        <v>1</v>
      </c>
      <c r="D30" s="33">
        <v>0</v>
      </c>
      <c r="E30" s="33">
        <v>0</v>
      </c>
      <c r="F30" s="33">
        <v>1</v>
      </c>
      <c r="G30" s="33">
        <v>0</v>
      </c>
      <c r="H30" s="33">
        <v>0</v>
      </c>
      <c r="I30" s="33">
        <v>0</v>
      </c>
      <c r="J30" s="33">
        <v>1</v>
      </c>
      <c r="K30" s="33">
        <v>3</v>
      </c>
      <c r="L30" s="33">
        <f t="shared" si="0"/>
        <v>8</v>
      </c>
      <c r="M30" s="34" t="s">
        <v>475</v>
      </c>
    </row>
    <row r="31" spans="1:13" x14ac:dyDescent="0.2">
      <c r="A31" s="27" t="s">
        <v>32</v>
      </c>
      <c r="B31" s="33">
        <v>0</v>
      </c>
      <c r="C31" s="33">
        <v>0</v>
      </c>
      <c r="D31" s="33">
        <v>0</v>
      </c>
      <c r="E31" s="33">
        <v>0</v>
      </c>
      <c r="F31" s="33">
        <v>5</v>
      </c>
      <c r="G31" s="33">
        <v>0</v>
      </c>
      <c r="H31" s="33">
        <v>2</v>
      </c>
      <c r="I31" s="33">
        <v>1</v>
      </c>
      <c r="J31" s="33">
        <v>3</v>
      </c>
      <c r="K31" s="33">
        <v>0</v>
      </c>
      <c r="L31" s="33">
        <f t="shared" si="0"/>
        <v>11</v>
      </c>
      <c r="M31" s="34" t="s">
        <v>479</v>
      </c>
    </row>
    <row r="32" spans="1:13" x14ac:dyDescent="0.2">
      <c r="A32" s="27" t="s">
        <v>33</v>
      </c>
      <c r="B32" s="33">
        <v>1</v>
      </c>
      <c r="C32" s="33">
        <v>3</v>
      </c>
      <c r="D32" s="33">
        <v>2</v>
      </c>
      <c r="E32" s="33">
        <v>2</v>
      </c>
      <c r="F32" s="33">
        <v>2</v>
      </c>
      <c r="G32" s="33">
        <v>1</v>
      </c>
      <c r="H32" s="33">
        <v>4</v>
      </c>
      <c r="I32" s="33">
        <v>2</v>
      </c>
      <c r="J32" s="33">
        <v>1</v>
      </c>
      <c r="K32" s="33">
        <v>3</v>
      </c>
      <c r="L32" s="33">
        <f t="shared" si="0"/>
        <v>21</v>
      </c>
      <c r="M32" s="34" t="s">
        <v>480</v>
      </c>
    </row>
    <row r="33" spans="1:13" x14ac:dyDescent="0.2">
      <c r="A33" t="s">
        <v>344</v>
      </c>
      <c r="B33" s="33">
        <f>SUM(B3:B32)</f>
        <v>48</v>
      </c>
      <c r="C33" s="33">
        <f>SUM(C3:C32)</f>
        <v>55</v>
      </c>
      <c r="D33" s="33">
        <f>SUM(D3:D32)</f>
        <v>54</v>
      </c>
      <c r="E33" s="33">
        <f t="shared" ref="E33:K33" si="1">SUM(E3:E32)</f>
        <v>51</v>
      </c>
      <c r="F33" s="33">
        <f t="shared" si="1"/>
        <v>67</v>
      </c>
      <c r="G33" s="33">
        <f t="shared" si="1"/>
        <v>15</v>
      </c>
      <c r="H33" s="33">
        <f t="shared" si="1"/>
        <v>51</v>
      </c>
      <c r="I33" s="33">
        <f t="shared" si="1"/>
        <v>51</v>
      </c>
      <c r="J33" s="33">
        <f t="shared" si="1"/>
        <v>52</v>
      </c>
      <c r="K33" s="33">
        <f t="shared" si="1"/>
        <v>55</v>
      </c>
      <c r="L33" s="33">
        <v>499</v>
      </c>
      <c r="M33" s="34" t="s">
        <v>481</v>
      </c>
    </row>
    <row r="35" spans="1:13" ht="14.25" x14ac:dyDescent="0.2">
      <c r="A35" s="27" t="s">
        <v>1459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8"/>
  <sheetViews>
    <sheetView topLeftCell="A16" workbookViewId="0">
      <selection activeCell="A38" sqref="A38"/>
    </sheetView>
  </sheetViews>
  <sheetFormatPr defaultRowHeight="12.75" x14ac:dyDescent="0.2"/>
  <cols>
    <col min="1" max="1" width="25" customWidth="1"/>
    <col min="2" max="2" width="9.85546875" style="33" customWidth="1"/>
    <col min="3" max="3" width="8.85546875" style="33" customWidth="1"/>
    <col min="4" max="4" width="8.5703125" style="35" customWidth="1"/>
    <col min="5" max="7" width="8.140625" style="33" customWidth="1"/>
    <col min="8" max="9" width="7.28515625" style="33" customWidth="1"/>
    <col min="10" max="10" width="7.140625" style="33" customWidth="1"/>
    <col min="11" max="11" width="7" style="33" customWidth="1"/>
    <col min="12" max="12" width="6.85546875" style="33" customWidth="1"/>
    <col min="13" max="13" width="6.5703125" style="33" customWidth="1"/>
    <col min="14" max="14" width="8.42578125" style="34" customWidth="1"/>
    <col min="15" max="15" width="6.5703125" style="33" customWidth="1"/>
    <col min="16" max="17" width="7" style="33" customWidth="1"/>
    <col min="18" max="18" width="9.140625" style="33"/>
    <col min="257" max="257" width="25" customWidth="1"/>
    <col min="258" max="258" width="9.85546875" customWidth="1"/>
    <col min="259" max="259" width="8.85546875" customWidth="1"/>
    <col min="260" max="260" width="8.5703125" customWidth="1"/>
    <col min="261" max="263" width="8.140625" customWidth="1"/>
    <col min="264" max="265" width="7.28515625" customWidth="1"/>
    <col min="266" max="266" width="7.140625" customWidth="1"/>
    <col min="267" max="267" width="7" customWidth="1"/>
    <col min="268" max="268" width="6.85546875" customWidth="1"/>
    <col min="269" max="269" width="6.5703125" customWidth="1"/>
    <col min="270" max="270" width="8.42578125" customWidth="1"/>
    <col min="271" max="271" width="6.5703125" customWidth="1"/>
    <col min="272" max="273" width="7" customWidth="1"/>
    <col min="513" max="513" width="25" customWidth="1"/>
    <col min="514" max="514" width="9.85546875" customWidth="1"/>
    <col min="515" max="515" width="8.85546875" customWidth="1"/>
    <col min="516" max="516" width="8.5703125" customWidth="1"/>
    <col min="517" max="519" width="8.140625" customWidth="1"/>
    <col min="520" max="521" width="7.28515625" customWidth="1"/>
    <col min="522" max="522" width="7.140625" customWidth="1"/>
    <col min="523" max="523" width="7" customWidth="1"/>
    <col min="524" max="524" width="6.85546875" customWidth="1"/>
    <col min="525" max="525" width="6.5703125" customWidth="1"/>
    <col min="526" max="526" width="8.42578125" customWidth="1"/>
    <col min="527" max="527" width="6.5703125" customWidth="1"/>
    <col min="528" max="529" width="7" customWidth="1"/>
    <col min="769" max="769" width="25" customWidth="1"/>
    <col min="770" max="770" width="9.85546875" customWidth="1"/>
    <col min="771" max="771" width="8.85546875" customWidth="1"/>
    <col min="772" max="772" width="8.5703125" customWidth="1"/>
    <col min="773" max="775" width="8.140625" customWidth="1"/>
    <col min="776" max="777" width="7.28515625" customWidth="1"/>
    <col min="778" max="778" width="7.140625" customWidth="1"/>
    <col min="779" max="779" width="7" customWidth="1"/>
    <col min="780" max="780" width="6.85546875" customWidth="1"/>
    <col min="781" max="781" width="6.5703125" customWidth="1"/>
    <col min="782" max="782" width="8.42578125" customWidth="1"/>
    <col min="783" max="783" width="6.5703125" customWidth="1"/>
    <col min="784" max="785" width="7" customWidth="1"/>
    <col min="1025" max="1025" width="25" customWidth="1"/>
    <col min="1026" max="1026" width="9.85546875" customWidth="1"/>
    <col min="1027" max="1027" width="8.85546875" customWidth="1"/>
    <col min="1028" max="1028" width="8.5703125" customWidth="1"/>
    <col min="1029" max="1031" width="8.140625" customWidth="1"/>
    <col min="1032" max="1033" width="7.28515625" customWidth="1"/>
    <col min="1034" max="1034" width="7.140625" customWidth="1"/>
    <col min="1035" max="1035" width="7" customWidth="1"/>
    <col min="1036" max="1036" width="6.85546875" customWidth="1"/>
    <col min="1037" max="1037" width="6.5703125" customWidth="1"/>
    <col min="1038" max="1038" width="8.42578125" customWidth="1"/>
    <col min="1039" max="1039" width="6.5703125" customWidth="1"/>
    <col min="1040" max="1041" width="7" customWidth="1"/>
    <col min="1281" max="1281" width="25" customWidth="1"/>
    <col min="1282" max="1282" width="9.85546875" customWidth="1"/>
    <col min="1283" max="1283" width="8.85546875" customWidth="1"/>
    <col min="1284" max="1284" width="8.5703125" customWidth="1"/>
    <col min="1285" max="1287" width="8.140625" customWidth="1"/>
    <col min="1288" max="1289" width="7.28515625" customWidth="1"/>
    <col min="1290" max="1290" width="7.140625" customWidth="1"/>
    <col min="1291" max="1291" width="7" customWidth="1"/>
    <col min="1292" max="1292" width="6.85546875" customWidth="1"/>
    <col min="1293" max="1293" width="6.5703125" customWidth="1"/>
    <col min="1294" max="1294" width="8.42578125" customWidth="1"/>
    <col min="1295" max="1295" width="6.5703125" customWidth="1"/>
    <col min="1296" max="1297" width="7" customWidth="1"/>
    <col min="1537" max="1537" width="25" customWidth="1"/>
    <col min="1538" max="1538" width="9.85546875" customWidth="1"/>
    <col min="1539" max="1539" width="8.85546875" customWidth="1"/>
    <col min="1540" max="1540" width="8.5703125" customWidth="1"/>
    <col min="1541" max="1543" width="8.140625" customWidth="1"/>
    <col min="1544" max="1545" width="7.28515625" customWidth="1"/>
    <col min="1546" max="1546" width="7.140625" customWidth="1"/>
    <col min="1547" max="1547" width="7" customWidth="1"/>
    <col min="1548" max="1548" width="6.85546875" customWidth="1"/>
    <col min="1549" max="1549" width="6.5703125" customWidth="1"/>
    <col min="1550" max="1550" width="8.42578125" customWidth="1"/>
    <col min="1551" max="1551" width="6.5703125" customWidth="1"/>
    <col min="1552" max="1553" width="7" customWidth="1"/>
    <col min="1793" max="1793" width="25" customWidth="1"/>
    <col min="1794" max="1794" width="9.85546875" customWidth="1"/>
    <col min="1795" max="1795" width="8.85546875" customWidth="1"/>
    <col min="1796" max="1796" width="8.5703125" customWidth="1"/>
    <col min="1797" max="1799" width="8.140625" customWidth="1"/>
    <col min="1800" max="1801" width="7.28515625" customWidth="1"/>
    <col min="1802" max="1802" width="7.140625" customWidth="1"/>
    <col min="1803" max="1803" width="7" customWidth="1"/>
    <col min="1804" max="1804" width="6.85546875" customWidth="1"/>
    <col min="1805" max="1805" width="6.5703125" customWidth="1"/>
    <col min="1806" max="1806" width="8.42578125" customWidth="1"/>
    <col min="1807" max="1807" width="6.5703125" customWidth="1"/>
    <col min="1808" max="1809" width="7" customWidth="1"/>
    <col min="2049" max="2049" width="25" customWidth="1"/>
    <col min="2050" max="2050" width="9.85546875" customWidth="1"/>
    <col min="2051" max="2051" width="8.85546875" customWidth="1"/>
    <col min="2052" max="2052" width="8.5703125" customWidth="1"/>
    <col min="2053" max="2055" width="8.140625" customWidth="1"/>
    <col min="2056" max="2057" width="7.28515625" customWidth="1"/>
    <col min="2058" max="2058" width="7.140625" customWidth="1"/>
    <col min="2059" max="2059" width="7" customWidth="1"/>
    <col min="2060" max="2060" width="6.85546875" customWidth="1"/>
    <col min="2061" max="2061" width="6.5703125" customWidth="1"/>
    <col min="2062" max="2062" width="8.42578125" customWidth="1"/>
    <col min="2063" max="2063" width="6.5703125" customWidth="1"/>
    <col min="2064" max="2065" width="7" customWidth="1"/>
    <col min="2305" max="2305" width="25" customWidth="1"/>
    <col min="2306" max="2306" width="9.85546875" customWidth="1"/>
    <col min="2307" max="2307" width="8.85546875" customWidth="1"/>
    <col min="2308" max="2308" width="8.5703125" customWidth="1"/>
    <col min="2309" max="2311" width="8.140625" customWidth="1"/>
    <col min="2312" max="2313" width="7.28515625" customWidth="1"/>
    <col min="2314" max="2314" width="7.140625" customWidth="1"/>
    <col min="2315" max="2315" width="7" customWidth="1"/>
    <col min="2316" max="2316" width="6.85546875" customWidth="1"/>
    <col min="2317" max="2317" width="6.5703125" customWidth="1"/>
    <col min="2318" max="2318" width="8.42578125" customWidth="1"/>
    <col min="2319" max="2319" width="6.5703125" customWidth="1"/>
    <col min="2320" max="2321" width="7" customWidth="1"/>
    <col min="2561" max="2561" width="25" customWidth="1"/>
    <col min="2562" max="2562" width="9.85546875" customWidth="1"/>
    <col min="2563" max="2563" width="8.85546875" customWidth="1"/>
    <col min="2564" max="2564" width="8.5703125" customWidth="1"/>
    <col min="2565" max="2567" width="8.140625" customWidth="1"/>
    <col min="2568" max="2569" width="7.28515625" customWidth="1"/>
    <col min="2570" max="2570" width="7.140625" customWidth="1"/>
    <col min="2571" max="2571" width="7" customWidth="1"/>
    <col min="2572" max="2572" width="6.85546875" customWidth="1"/>
    <col min="2573" max="2573" width="6.5703125" customWidth="1"/>
    <col min="2574" max="2574" width="8.42578125" customWidth="1"/>
    <col min="2575" max="2575" width="6.5703125" customWidth="1"/>
    <col min="2576" max="2577" width="7" customWidth="1"/>
    <col min="2817" max="2817" width="25" customWidth="1"/>
    <col min="2818" max="2818" width="9.85546875" customWidth="1"/>
    <col min="2819" max="2819" width="8.85546875" customWidth="1"/>
    <col min="2820" max="2820" width="8.5703125" customWidth="1"/>
    <col min="2821" max="2823" width="8.140625" customWidth="1"/>
    <col min="2824" max="2825" width="7.28515625" customWidth="1"/>
    <col min="2826" max="2826" width="7.140625" customWidth="1"/>
    <col min="2827" max="2827" width="7" customWidth="1"/>
    <col min="2828" max="2828" width="6.85546875" customWidth="1"/>
    <col min="2829" max="2829" width="6.5703125" customWidth="1"/>
    <col min="2830" max="2830" width="8.42578125" customWidth="1"/>
    <col min="2831" max="2831" width="6.5703125" customWidth="1"/>
    <col min="2832" max="2833" width="7" customWidth="1"/>
    <col min="3073" max="3073" width="25" customWidth="1"/>
    <col min="3074" max="3074" width="9.85546875" customWidth="1"/>
    <col min="3075" max="3075" width="8.85546875" customWidth="1"/>
    <col min="3076" max="3076" width="8.5703125" customWidth="1"/>
    <col min="3077" max="3079" width="8.140625" customWidth="1"/>
    <col min="3080" max="3081" width="7.28515625" customWidth="1"/>
    <col min="3082" max="3082" width="7.140625" customWidth="1"/>
    <col min="3083" max="3083" width="7" customWidth="1"/>
    <col min="3084" max="3084" width="6.85546875" customWidth="1"/>
    <col min="3085" max="3085" width="6.5703125" customWidth="1"/>
    <col min="3086" max="3086" width="8.42578125" customWidth="1"/>
    <col min="3087" max="3087" width="6.5703125" customWidth="1"/>
    <col min="3088" max="3089" width="7" customWidth="1"/>
    <col min="3329" max="3329" width="25" customWidth="1"/>
    <col min="3330" max="3330" width="9.85546875" customWidth="1"/>
    <col min="3331" max="3331" width="8.85546875" customWidth="1"/>
    <col min="3332" max="3332" width="8.5703125" customWidth="1"/>
    <col min="3333" max="3335" width="8.140625" customWidth="1"/>
    <col min="3336" max="3337" width="7.28515625" customWidth="1"/>
    <col min="3338" max="3338" width="7.140625" customWidth="1"/>
    <col min="3339" max="3339" width="7" customWidth="1"/>
    <col min="3340" max="3340" width="6.85546875" customWidth="1"/>
    <col min="3341" max="3341" width="6.5703125" customWidth="1"/>
    <col min="3342" max="3342" width="8.42578125" customWidth="1"/>
    <col min="3343" max="3343" width="6.5703125" customWidth="1"/>
    <col min="3344" max="3345" width="7" customWidth="1"/>
    <col min="3585" max="3585" width="25" customWidth="1"/>
    <col min="3586" max="3586" width="9.85546875" customWidth="1"/>
    <col min="3587" max="3587" width="8.85546875" customWidth="1"/>
    <col min="3588" max="3588" width="8.5703125" customWidth="1"/>
    <col min="3589" max="3591" width="8.140625" customWidth="1"/>
    <col min="3592" max="3593" width="7.28515625" customWidth="1"/>
    <col min="3594" max="3594" width="7.140625" customWidth="1"/>
    <col min="3595" max="3595" width="7" customWidth="1"/>
    <col min="3596" max="3596" width="6.85546875" customWidth="1"/>
    <col min="3597" max="3597" width="6.5703125" customWidth="1"/>
    <col min="3598" max="3598" width="8.42578125" customWidth="1"/>
    <col min="3599" max="3599" width="6.5703125" customWidth="1"/>
    <col min="3600" max="3601" width="7" customWidth="1"/>
    <col min="3841" max="3841" width="25" customWidth="1"/>
    <col min="3842" max="3842" width="9.85546875" customWidth="1"/>
    <col min="3843" max="3843" width="8.85546875" customWidth="1"/>
    <col min="3844" max="3844" width="8.5703125" customWidth="1"/>
    <col min="3845" max="3847" width="8.140625" customWidth="1"/>
    <col min="3848" max="3849" width="7.28515625" customWidth="1"/>
    <col min="3850" max="3850" width="7.140625" customWidth="1"/>
    <col min="3851" max="3851" width="7" customWidth="1"/>
    <col min="3852" max="3852" width="6.85546875" customWidth="1"/>
    <col min="3853" max="3853" width="6.5703125" customWidth="1"/>
    <col min="3854" max="3854" width="8.42578125" customWidth="1"/>
    <col min="3855" max="3855" width="6.5703125" customWidth="1"/>
    <col min="3856" max="3857" width="7" customWidth="1"/>
    <col min="4097" max="4097" width="25" customWidth="1"/>
    <col min="4098" max="4098" width="9.85546875" customWidth="1"/>
    <col min="4099" max="4099" width="8.85546875" customWidth="1"/>
    <col min="4100" max="4100" width="8.5703125" customWidth="1"/>
    <col min="4101" max="4103" width="8.140625" customWidth="1"/>
    <col min="4104" max="4105" width="7.28515625" customWidth="1"/>
    <col min="4106" max="4106" width="7.140625" customWidth="1"/>
    <col min="4107" max="4107" width="7" customWidth="1"/>
    <col min="4108" max="4108" width="6.85546875" customWidth="1"/>
    <col min="4109" max="4109" width="6.5703125" customWidth="1"/>
    <col min="4110" max="4110" width="8.42578125" customWidth="1"/>
    <col min="4111" max="4111" width="6.5703125" customWidth="1"/>
    <col min="4112" max="4113" width="7" customWidth="1"/>
    <col min="4353" max="4353" width="25" customWidth="1"/>
    <col min="4354" max="4354" width="9.85546875" customWidth="1"/>
    <col min="4355" max="4355" width="8.85546875" customWidth="1"/>
    <col min="4356" max="4356" width="8.5703125" customWidth="1"/>
    <col min="4357" max="4359" width="8.140625" customWidth="1"/>
    <col min="4360" max="4361" width="7.28515625" customWidth="1"/>
    <col min="4362" max="4362" width="7.140625" customWidth="1"/>
    <col min="4363" max="4363" width="7" customWidth="1"/>
    <col min="4364" max="4364" width="6.85546875" customWidth="1"/>
    <col min="4365" max="4365" width="6.5703125" customWidth="1"/>
    <col min="4366" max="4366" width="8.42578125" customWidth="1"/>
    <col min="4367" max="4367" width="6.5703125" customWidth="1"/>
    <col min="4368" max="4369" width="7" customWidth="1"/>
    <col min="4609" max="4609" width="25" customWidth="1"/>
    <col min="4610" max="4610" width="9.85546875" customWidth="1"/>
    <col min="4611" max="4611" width="8.85546875" customWidth="1"/>
    <col min="4612" max="4612" width="8.5703125" customWidth="1"/>
    <col min="4613" max="4615" width="8.140625" customWidth="1"/>
    <col min="4616" max="4617" width="7.28515625" customWidth="1"/>
    <col min="4618" max="4618" width="7.140625" customWidth="1"/>
    <col min="4619" max="4619" width="7" customWidth="1"/>
    <col min="4620" max="4620" width="6.85546875" customWidth="1"/>
    <col min="4621" max="4621" width="6.5703125" customWidth="1"/>
    <col min="4622" max="4622" width="8.42578125" customWidth="1"/>
    <col min="4623" max="4623" width="6.5703125" customWidth="1"/>
    <col min="4624" max="4625" width="7" customWidth="1"/>
    <col min="4865" max="4865" width="25" customWidth="1"/>
    <col min="4866" max="4866" width="9.85546875" customWidth="1"/>
    <col min="4867" max="4867" width="8.85546875" customWidth="1"/>
    <col min="4868" max="4868" width="8.5703125" customWidth="1"/>
    <col min="4869" max="4871" width="8.140625" customWidth="1"/>
    <col min="4872" max="4873" width="7.28515625" customWidth="1"/>
    <col min="4874" max="4874" width="7.140625" customWidth="1"/>
    <col min="4875" max="4875" width="7" customWidth="1"/>
    <col min="4876" max="4876" width="6.85546875" customWidth="1"/>
    <col min="4877" max="4877" width="6.5703125" customWidth="1"/>
    <col min="4878" max="4878" width="8.42578125" customWidth="1"/>
    <col min="4879" max="4879" width="6.5703125" customWidth="1"/>
    <col min="4880" max="4881" width="7" customWidth="1"/>
    <col min="5121" max="5121" width="25" customWidth="1"/>
    <col min="5122" max="5122" width="9.85546875" customWidth="1"/>
    <col min="5123" max="5123" width="8.85546875" customWidth="1"/>
    <col min="5124" max="5124" width="8.5703125" customWidth="1"/>
    <col min="5125" max="5127" width="8.140625" customWidth="1"/>
    <col min="5128" max="5129" width="7.28515625" customWidth="1"/>
    <col min="5130" max="5130" width="7.140625" customWidth="1"/>
    <col min="5131" max="5131" width="7" customWidth="1"/>
    <col min="5132" max="5132" width="6.85546875" customWidth="1"/>
    <col min="5133" max="5133" width="6.5703125" customWidth="1"/>
    <col min="5134" max="5134" width="8.42578125" customWidth="1"/>
    <col min="5135" max="5135" width="6.5703125" customWidth="1"/>
    <col min="5136" max="5137" width="7" customWidth="1"/>
    <col min="5377" max="5377" width="25" customWidth="1"/>
    <col min="5378" max="5378" width="9.85546875" customWidth="1"/>
    <col min="5379" max="5379" width="8.85546875" customWidth="1"/>
    <col min="5380" max="5380" width="8.5703125" customWidth="1"/>
    <col min="5381" max="5383" width="8.140625" customWidth="1"/>
    <col min="5384" max="5385" width="7.28515625" customWidth="1"/>
    <col min="5386" max="5386" width="7.140625" customWidth="1"/>
    <col min="5387" max="5387" width="7" customWidth="1"/>
    <col min="5388" max="5388" width="6.85546875" customWidth="1"/>
    <col min="5389" max="5389" width="6.5703125" customWidth="1"/>
    <col min="5390" max="5390" width="8.42578125" customWidth="1"/>
    <col min="5391" max="5391" width="6.5703125" customWidth="1"/>
    <col min="5392" max="5393" width="7" customWidth="1"/>
    <col min="5633" max="5633" width="25" customWidth="1"/>
    <col min="5634" max="5634" width="9.85546875" customWidth="1"/>
    <col min="5635" max="5635" width="8.85546875" customWidth="1"/>
    <col min="5636" max="5636" width="8.5703125" customWidth="1"/>
    <col min="5637" max="5639" width="8.140625" customWidth="1"/>
    <col min="5640" max="5641" width="7.28515625" customWidth="1"/>
    <col min="5642" max="5642" width="7.140625" customWidth="1"/>
    <col min="5643" max="5643" width="7" customWidth="1"/>
    <col min="5644" max="5644" width="6.85546875" customWidth="1"/>
    <col min="5645" max="5645" width="6.5703125" customWidth="1"/>
    <col min="5646" max="5646" width="8.42578125" customWidth="1"/>
    <col min="5647" max="5647" width="6.5703125" customWidth="1"/>
    <col min="5648" max="5649" width="7" customWidth="1"/>
    <col min="5889" max="5889" width="25" customWidth="1"/>
    <col min="5890" max="5890" width="9.85546875" customWidth="1"/>
    <col min="5891" max="5891" width="8.85546875" customWidth="1"/>
    <col min="5892" max="5892" width="8.5703125" customWidth="1"/>
    <col min="5893" max="5895" width="8.140625" customWidth="1"/>
    <col min="5896" max="5897" width="7.28515625" customWidth="1"/>
    <col min="5898" max="5898" width="7.140625" customWidth="1"/>
    <col min="5899" max="5899" width="7" customWidth="1"/>
    <col min="5900" max="5900" width="6.85546875" customWidth="1"/>
    <col min="5901" max="5901" width="6.5703125" customWidth="1"/>
    <col min="5902" max="5902" width="8.42578125" customWidth="1"/>
    <col min="5903" max="5903" width="6.5703125" customWidth="1"/>
    <col min="5904" max="5905" width="7" customWidth="1"/>
    <col min="6145" max="6145" width="25" customWidth="1"/>
    <col min="6146" max="6146" width="9.85546875" customWidth="1"/>
    <col min="6147" max="6147" width="8.85546875" customWidth="1"/>
    <col min="6148" max="6148" width="8.5703125" customWidth="1"/>
    <col min="6149" max="6151" width="8.140625" customWidth="1"/>
    <col min="6152" max="6153" width="7.28515625" customWidth="1"/>
    <col min="6154" max="6154" width="7.140625" customWidth="1"/>
    <col min="6155" max="6155" width="7" customWidth="1"/>
    <col min="6156" max="6156" width="6.85546875" customWidth="1"/>
    <col min="6157" max="6157" width="6.5703125" customWidth="1"/>
    <col min="6158" max="6158" width="8.42578125" customWidth="1"/>
    <col min="6159" max="6159" width="6.5703125" customWidth="1"/>
    <col min="6160" max="6161" width="7" customWidth="1"/>
    <col min="6401" max="6401" width="25" customWidth="1"/>
    <col min="6402" max="6402" width="9.85546875" customWidth="1"/>
    <col min="6403" max="6403" width="8.85546875" customWidth="1"/>
    <col min="6404" max="6404" width="8.5703125" customWidth="1"/>
    <col min="6405" max="6407" width="8.140625" customWidth="1"/>
    <col min="6408" max="6409" width="7.28515625" customWidth="1"/>
    <col min="6410" max="6410" width="7.140625" customWidth="1"/>
    <col min="6411" max="6411" width="7" customWidth="1"/>
    <col min="6412" max="6412" width="6.85546875" customWidth="1"/>
    <col min="6413" max="6413" width="6.5703125" customWidth="1"/>
    <col min="6414" max="6414" width="8.42578125" customWidth="1"/>
    <col min="6415" max="6415" width="6.5703125" customWidth="1"/>
    <col min="6416" max="6417" width="7" customWidth="1"/>
    <col min="6657" max="6657" width="25" customWidth="1"/>
    <col min="6658" max="6658" width="9.85546875" customWidth="1"/>
    <col min="6659" max="6659" width="8.85546875" customWidth="1"/>
    <col min="6660" max="6660" width="8.5703125" customWidth="1"/>
    <col min="6661" max="6663" width="8.140625" customWidth="1"/>
    <col min="6664" max="6665" width="7.28515625" customWidth="1"/>
    <col min="6666" max="6666" width="7.140625" customWidth="1"/>
    <col min="6667" max="6667" width="7" customWidth="1"/>
    <col min="6668" max="6668" width="6.85546875" customWidth="1"/>
    <col min="6669" max="6669" width="6.5703125" customWidth="1"/>
    <col min="6670" max="6670" width="8.42578125" customWidth="1"/>
    <col min="6671" max="6671" width="6.5703125" customWidth="1"/>
    <col min="6672" max="6673" width="7" customWidth="1"/>
    <col min="6913" max="6913" width="25" customWidth="1"/>
    <col min="6914" max="6914" width="9.85546875" customWidth="1"/>
    <col min="6915" max="6915" width="8.85546875" customWidth="1"/>
    <col min="6916" max="6916" width="8.5703125" customWidth="1"/>
    <col min="6917" max="6919" width="8.140625" customWidth="1"/>
    <col min="6920" max="6921" width="7.28515625" customWidth="1"/>
    <col min="6922" max="6922" width="7.140625" customWidth="1"/>
    <col min="6923" max="6923" width="7" customWidth="1"/>
    <col min="6924" max="6924" width="6.85546875" customWidth="1"/>
    <col min="6925" max="6925" width="6.5703125" customWidth="1"/>
    <col min="6926" max="6926" width="8.42578125" customWidth="1"/>
    <col min="6927" max="6927" width="6.5703125" customWidth="1"/>
    <col min="6928" max="6929" width="7" customWidth="1"/>
    <col min="7169" max="7169" width="25" customWidth="1"/>
    <col min="7170" max="7170" width="9.85546875" customWidth="1"/>
    <col min="7171" max="7171" width="8.85546875" customWidth="1"/>
    <col min="7172" max="7172" width="8.5703125" customWidth="1"/>
    <col min="7173" max="7175" width="8.140625" customWidth="1"/>
    <col min="7176" max="7177" width="7.28515625" customWidth="1"/>
    <col min="7178" max="7178" width="7.140625" customWidth="1"/>
    <col min="7179" max="7179" width="7" customWidth="1"/>
    <col min="7180" max="7180" width="6.85546875" customWidth="1"/>
    <col min="7181" max="7181" width="6.5703125" customWidth="1"/>
    <col min="7182" max="7182" width="8.42578125" customWidth="1"/>
    <col min="7183" max="7183" width="6.5703125" customWidth="1"/>
    <col min="7184" max="7185" width="7" customWidth="1"/>
    <col min="7425" max="7425" width="25" customWidth="1"/>
    <col min="7426" max="7426" width="9.85546875" customWidth="1"/>
    <col min="7427" max="7427" width="8.85546875" customWidth="1"/>
    <col min="7428" max="7428" width="8.5703125" customWidth="1"/>
    <col min="7429" max="7431" width="8.140625" customWidth="1"/>
    <col min="7432" max="7433" width="7.28515625" customWidth="1"/>
    <col min="7434" max="7434" width="7.140625" customWidth="1"/>
    <col min="7435" max="7435" width="7" customWidth="1"/>
    <col min="7436" max="7436" width="6.85546875" customWidth="1"/>
    <col min="7437" max="7437" width="6.5703125" customWidth="1"/>
    <col min="7438" max="7438" width="8.42578125" customWidth="1"/>
    <col min="7439" max="7439" width="6.5703125" customWidth="1"/>
    <col min="7440" max="7441" width="7" customWidth="1"/>
    <col min="7681" max="7681" width="25" customWidth="1"/>
    <col min="7682" max="7682" width="9.85546875" customWidth="1"/>
    <col min="7683" max="7683" width="8.85546875" customWidth="1"/>
    <col min="7684" max="7684" width="8.5703125" customWidth="1"/>
    <col min="7685" max="7687" width="8.140625" customWidth="1"/>
    <col min="7688" max="7689" width="7.28515625" customWidth="1"/>
    <col min="7690" max="7690" width="7.140625" customWidth="1"/>
    <col min="7691" max="7691" width="7" customWidth="1"/>
    <col min="7692" max="7692" width="6.85546875" customWidth="1"/>
    <col min="7693" max="7693" width="6.5703125" customWidth="1"/>
    <col min="7694" max="7694" width="8.42578125" customWidth="1"/>
    <col min="7695" max="7695" width="6.5703125" customWidth="1"/>
    <col min="7696" max="7697" width="7" customWidth="1"/>
    <col min="7937" max="7937" width="25" customWidth="1"/>
    <col min="7938" max="7938" width="9.85546875" customWidth="1"/>
    <col min="7939" max="7939" width="8.85546875" customWidth="1"/>
    <col min="7940" max="7940" width="8.5703125" customWidth="1"/>
    <col min="7941" max="7943" width="8.140625" customWidth="1"/>
    <col min="7944" max="7945" width="7.28515625" customWidth="1"/>
    <col min="7946" max="7946" width="7.140625" customWidth="1"/>
    <col min="7947" max="7947" width="7" customWidth="1"/>
    <col min="7948" max="7948" width="6.85546875" customWidth="1"/>
    <col min="7949" max="7949" width="6.5703125" customWidth="1"/>
    <col min="7950" max="7950" width="8.42578125" customWidth="1"/>
    <col min="7951" max="7951" width="6.5703125" customWidth="1"/>
    <col min="7952" max="7953" width="7" customWidth="1"/>
    <col min="8193" max="8193" width="25" customWidth="1"/>
    <col min="8194" max="8194" width="9.85546875" customWidth="1"/>
    <col min="8195" max="8195" width="8.85546875" customWidth="1"/>
    <col min="8196" max="8196" width="8.5703125" customWidth="1"/>
    <col min="8197" max="8199" width="8.140625" customWidth="1"/>
    <col min="8200" max="8201" width="7.28515625" customWidth="1"/>
    <col min="8202" max="8202" width="7.140625" customWidth="1"/>
    <col min="8203" max="8203" width="7" customWidth="1"/>
    <col min="8204" max="8204" width="6.85546875" customWidth="1"/>
    <col min="8205" max="8205" width="6.5703125" customWidth="1"/>
    <col min="8206" max="8206" width="8.42578125" customWidth="1"/>
    <col min="8207" max="8207" width="6.5703125" customWidth="1"/>
    <col min="8208" max="8209" width="7" customWidth="1"/>
    <col min="8449" max="8449" width="25" customWidth="1"/>
    <col min="8450" max="8450" width="9.85546875" customWidth="1"/>
    <col min="8451" max="8451" width="8.85546875" customWidth="1"/>
    <col min="8452" max="8452" width="8.5703125" customWidth="1"/>
    <col min="8453" max="8455" width="8.140625" customWidth="1"/>
    <col min="8456" max="8457" width="7.28515625" customWidth="1"/>
    <col min="8458" max="8458" width="7.140625" customWidth="1"/>
    <col min="8459" max="8459" width="7" customWidth="1"/>
    <col min="8460" max="8460" width="6.85546875" customWidth="1"/>
    <col min="8461" max="8461" width="6.5703125" customWidth="1"/>
    <col min="8462" max="8462" width="8.42578125" customWidth="1"/>
    <col min="8463" max="8463" width="6.5703125" customWidth="1"/>
    <col min="8464" max="8465" width="7" customWidth="1"/>
    <col min="8705" max="8705" width="25" customWidth="1"/>
    <col min="8706" max="8706" width="9.85546875" customWidth="1"/>
    <col min="8707" max="8707" width="8.85546875" customWidth="1"/>
    <col min="8708" max="8708" width="8.5703125" customWidth="1"/>
    <col min="8709" max="8711" width="8.140625" customWidth="1"/>
    <col min="8712" max="8713" width="7.28515625" customWidth="1"/>
    <col min="8714" max="8714" width="7.140625" customWidth="1"/>
    <col min="8715" max="8715" width="7" customWidth="1"/>
    <col min="8716" max="8716" width="6.85546875" customWidth="1"/>
    <col min="8717" max="8717" width="6.5703125" customWidth="1"/>
    <col min="8718" max="8718" width="8.42578125" customWidth="1"/>
    <col min="8719" max="8719" width="6.5703125" customWidth="1"/>
    <col min="8720" max="8721" width="7" customWidth="1"/>
    <col min="8961" max="8961" width="25" customWidth="1"/>
    <col min="8962" max="8962" width="9.85546875" customWidth="1"/>
    <col min="8963" max="8963" width="8.85546875" customWidth="1"/>
    <col min="8964" max="8964" width="8.5703125" customWidth="1"/>
    <col min="8965" max="8967" width="8.140625" customWidth="1"/>
    <col min="8968" max="8969" width="7.28515625" customWidth="1"/>
    <col min="8970" max="8970" width="7.140625" customWidth="1"/>
    <col min="8971" max="8971" width="7" customWidth="1"/>
    <col min="8972" max="8972" width="6.85546875" customWidth="1"/>
    <col min="8973" max="8973" width="6.5703125" customWidth="1"/>
    <col min="8974" max="8974" width="8.42578125" customWidth="1"/>
    <col min="8975" max="8975" width="6.5703125" customWidth="1"/>
    <col min="8976" max="8977" width="7" customWidth="1"/>
    <col min="9217" max="9217" width="25" customWidth="1"/>
    <col min="9218" max="9218" width="9.85546875" customWidth="1"/>
    <col min="9219" max="9219" width="8.85546875" customWidth="1"/>
    <col min="9220" max="9220" width="8.5703125" customWidth="1"/>
    <col min="9221" max="9223" width="8.140625" customWidth="1"/>
    <col min="9224" max="9225" width="7.28515625" customWidth="1"/>
    <col min="9226" max="9226" width="7.140625" customWidth="1"/>
    <col min="9227" max="9227" width="7" customWidth="1"/>
    <col min="9228" max="9228" width="6.85546875" customWidth="1"/>
    <col min="9229" max="9229" width="6.5703125" customWidth="1"/>
    <col min="9230" max="9230" width="8.42578125" customWidth="1"/>
    <col min="9231" max="9231" width="6.5703125" customWidth="1"/>
    <col min="9232" max="9233" width="7" customWidth="1"/>
    <col min="9473" max="9473" width="25" customWidth="1"/>
    <col min="9474" max="9474" width="9.85546875" customWidth="1"/>
    <col min="9475" max="9475" width="8.85546875" customWidth="1"/>
    <col min="9476" max="9476" width="8.5703125" customWidth="1"/>
    <col min="9477" max="9479" width="8.140625" customWidth="1"/>
    <col min="9480" max="9481" width="7.28515625" customWidth="1"/>
    <col min="9482" max="9482" width="7.140625" customWidth="1"/>
    <col min="9483" max="9483" width="7" customWidth="1"/>
    <col min="9484" max="9484" width="6.85546875" customWidth="1"/>
    <col min="9485" max="9485" width="6.5703125" customWidth="1"/>
    <col min="9486" max="9486" width="8.42578125" customWidth="1"/>
    <col min="9487" max="9487" width="6.5703125" customWidth="1"/>
    <col min="9488" max="9489" width="7" customWidth="1"/>
    <col min="9729" max="9729" width="25" customWidth="1"/>
    <col min="9730" max="9730" width="9.85546875" customWidth="1"/>
    <col min="9731" max="9731" width="8.85546875" customWidth="1"/>
    <col min="9732" max="9732" width="8.5703125" customWidth="1"/>
    <col min="9733" max="9735" width="8.140625" customWidth="1"/>
    <col min="9736" max="9737" width="7.28515625" customWidth="1"/>
    <col min="9738" max="9738" width="7.140625" customWidth="1"/>
    <col min="9739" max="9739" width="7" customWidth="1"/>
    <col min="9740" max="9740" width="6.85546875" customWidth="1"/>
    <col min="9741" max="9741" width="6.5703125" customWidth="1"/>
    <col min="9742" max="9742" width="8.42578125" customWidth="1"/>
    <col min="9743" max="9743" width="6.5703125" customWidth="1"/>
    <col min="9744" max="9745" width="7" customWidth="1"/>
    <col min="9985" max="9985" width="25" customWidth="1"/>
    <col min="9986" max="9986" width="9.85546875" customWidth="1"/>
    <col min="9987" max="9987" width="8.85546875" customWidth="1"/>
    <col min="9988" max="9988" width="8.5703125" customWidth="1"/>
    <col min="9989" max="9991" width="8.140625" customWidth="1"/>
    <col min="9992" max="9993" width="7.28515625" customWidth="1"/>
    <col min="9994" max="9994" width="7.140625" customWidth="1"/>
    <col min="9995" max="9995" width="7" customWidth="1"/>
    <col min="9996" max="9996" width="6.85546875" customWidth="1"/>
    <col min="9997" max="9997" width="6.5703125" customWidth="1"/>
    <col min="9998" max="9998" width="8.42578125" customWidth="1"/>
    <col min="9999" max="9999" width="6.5703125" customWidth="1"/>
    <col min="10000" max="10001" width="7" customWidth="1"/>
    <col min="10241" max="10241" width="25" customWidth="1"/>
    <col min="10242" max="10242" width="9.85546875" customWidth="1"/>
    <col min="10243" max="10243" width="8.85546875" customWidth="1"/>
    <col min="10244" max="10244" width="8.5703125" customWidth="1"/>
    <col min="10245" max="10247" width="8.140625" customWidth="1"/>
    <col min="10248" max="10249" width="7.28515625" customWidth="1"/>
    <col min="10250" max="10250" width="7.140625" customWidth="1"/>
    <col min="10251" max="10251" width="7" customWidth="1"/>
    <col min="10252" max="10252" width="6.85546875" customWidth="1"/>
    <col min="10253" max="10253" width="6.5703125" customWidth="1"/>
    <col min="10254" max="10254" width="8.42578125" customWidth="1"/>
    <col min="10255" max="10255" width="6.5703125" customWidth="1"/>
    <col min="10256" max="10257" width="7" customWidth="1"/>
    <col min="10497" max="10497" width="25" customWidth="1"/>
    <col min="10498" max="10498" width="9.85546875" customWidth="1"/>
    <col min="10499" max="10499" width="8.85546875" customWidth="1"/>
    <col min="10500" max="10500" width="8.5703125" customWidth="1"/>
    <col min="10501" max="10503" width="8.140625" customWidth="1"/>
    <col min="10504" max="10505" width="7.28515625" customWidth="1"/>
    <col min="10506" max="10506" width="7.140625" customWidth="1"/>
    <col min="10507" max="10507" width="7" customWidth="1"/>
    <col min="10508" max="10508" width="6.85546875" customWidth="1"/>
    <col min="10509" max="10509" width="6.5703125" customWidth="1"/>
    <col min="10510" max="10510" width="8.42578125" customWidth="1"/>
    <col min="10511" max="10511" width="6.5703125" customWidth="1"/>
    <col min="10512" max="10513" width="7" customWidth="1"/>
    <col min="10753" max="10753" width="25" customWidth="1"/>
    <col min="10754" max="10754" width="9.85546875" customWidth="1"/>
    <col min="10755" max="10755" width="8.85546875" customWidth="1"/>
    <col min="10756" max="10756" width="8.5703125" customWidth="1"/>
    <col min="10757" max="10759" width="8.140625" customWidth="1"/>
    <col min="10760" max="10761" width="7.28515625" customWidth="1"/>
    <col min="10762" max="10762" width="7.140625" customWidth="1"/>
    <col min="10763" max="10763" width="7" customWidth="1"/>
    <col min="10764" max="10764" width="6.85546875" customWidth="1"/>
    <col min="10765" max="10765" width="6.5703125" customWidth="1"/>
    <col min="10766" max="10766" width="8.42578125" customWidth="1"/>
    <col min="10767" max="10767" width="6.5703125" customWidth="1"/>
    <col min="10768" max="10769" width="7" customWidth="1"/>
    <col min="11009" max="11009" width="25" customWidth="1"/>
    <col min="11010" max="11010" width="9.85546875" customWidth="1"/>
    <col min="11011" max="11011" width="8.85546875" customWidth="1"/>
    <col min="11012" max="11012" width="8.5703125" customWidth="1"/>
    <col min="11013" max="11015" width="8.140625" customWidth="1"/>
    <col min="11016" max="11017" width="7.28515625" customWidth="1"/>
    <col min="11018" max="11018" width="7.140625" customWidth="1"/>
    <col min="11019" max="11019" width="7" customWidth="1"/>
    <col min="11020" max="11020" width="6.85546875" customWidth="1"/>
    <col min="11021" max="11021" width="6.5703125" customWidth="1"/>
    <col min="11022" max="11022" width="8.42578125" customWidth="1"/>
    <col min="11023" max="11023" width="6.5703125" customWidth="1"/>
    <col min="11024" max="11025" width="7" customWidth="1"/>
    <col min="11265" max="11265" width="25" customWidth="1"/>
    <col min="11266" max="11266" width="9.85546875" customWidth="1"/>
    <col min="11267" max="11267" width="8.85546875" customWidth="1"/>
    <col min="11268" max="11268" width="8.5703125" customWidth="1"/>
    <col min="11269" max="11271" width="8.140625" customWidth="1"/>
    <col min="11272" max="11273" width="7.28515625" customWidth="1"/>
    <col min="11274" max="11274" width="7.140625" customWidth="1"/>
    <col min="11275" max="11275" width="7" customWidth="1"/>
    <col min="11276" max="11276" width="6.85546875" customWidth="1"/>
    <col min="11277" max="11277" width="6.5703125" customWidth="1"/>
    <col min="11278" max="11278" width="8.42578125" customWidth="1"/>
    <col min="11279" max="11279" width="6.5703125" customWidth="1"/>
    <col min="11280" max="11281" width="7" customWidth="1"/>
    <col min="11521" max="11521" width="25" customWidth="1"/>
    <col min="11522" max="11522" width="9.85546875" customWidth="1"/>
    <col min="11523" max="11523" width="8.85546875" customWidth="1"/>
    <col min="11524" max="11524" width="8.5703125" customWidth="1"/>
    <col min="11525" max="11527" width="8.140625" customWidth="1"/>
    <col min="11528" max="11529" width="7.28515625" customWidth="1"/>
    <col min="11530" max="11530" width="7.140625" customWidth="1"/>
    <col min="11531" max="11531" width="7" customWidth="1"/>
    <col min="11532" max="11532" width="6.85546875" customWidth="1"/>
    <col min="11533" max="11533" width="6.5703125" customWidth="1"/>
    <col min="11534" max="11534" width="8.42578125" customWidth="1"/>
    <col min="11535" max="11535" width="6.5703125" customWidth="1"/>
    <col min="11536" max="11537" width="7" customWidth="1"/>
    <col min="11777" max="11777" width="25" customWidth="1"/>
    <col min="11778" max="11778" width="9.85546875" customWidth="1"/>
    <col min="11779" max="11779" width="8.85546875" customWidth="1"/>
    <col min="11780" max="11780" width="8.5703125" customWidth="1"/>
    <col min="11781" max="11783" width="8.140625" customWidth="1"/>
    <col min="11784" max="11785" width="7.28515625" customWidth="1"/>
    <col min="11786" max="11786" width="7.140625" customWidth="1"/>
    <col min="11787" max="11787" width="7" customWidth="1"/>
    <col min="11788" max="11788" width="6.85546875" customWidth="1"/>
    <col min="11789" max="11789" width="6.5703125" customWidth="1"/>
    <col min="11790" max="11790" width="8.42578125" customWidth="1"/>
    <col min="11791" max="11791" width="6.5703125" customWidth="1"/>
    <col min="11792" max="11793" width="7" customWidth="1"/>
    <col min="12033" max="12033" width="25" customWidth="1"/>
    <col min="12034" max="12034" width="9.85546875" customWidth="1"/>
    <col min="12035" max="12035" width="8.85546875" customWidth="1"/>
    <col min="12036" max="12036" width="8.5703125" customWidth="1"/>
    <col min="12037" max="12039" width="8.140625" customWidth="1"/>
    <col min="12040" max="12041" width="7.28515625" customWidth="1"/>
    <col min="12042" max="12042" width="7.140625" customWidth="1"/>
    <col min="12043" max="12043" width="7" customWidth="1"/>
    <col min="12044" max="12044" width="6.85546875" customWidth="1"/>
    <col min="12045" max="12045" width="6.5703125" customWidth="1"/>
    <col min="12046" max="12046" width="8.42578125" customWidth="1"/>
    <col min="12047" max="12047" width="6.5703125" customWidth="1"/>
    <col min="12048" max="12049" width="7" customWidth="1"/>
    <col min="12289" max="12289" width="25" customWidth="1"/>
    <col min="12290" max="12290" width="9.85546875" customWidth="1"/>
    <col min="12291" max="12291" width="8.85546875" customWidth="1"/>
    <col min="12292" max="12292" width="8.5703125" customWidth="1"/>
    <col min="12293" max="12295" width="8.140625" customWidth="1"/>
    <col min="12296" max="12297" width="7.28515625" customWidth="1"/>
    <col min="12298" max="12298" width="7.140625" customWidth="1"/>
    <col min="12299" max="12299" width="7" customWidth="1"/>
    <col min="12300" max="12300" width="6.85546875" customWidth="1"/>
    <col min="12301" max="12301" width="6.5703125" customWidth="1"/>
    <col min="12302" max="12302" width="8.42578125" customWidth="1"/>
    <col min="12303" max="12303" width="6.5703125" customWidth="1"/>
    <col min="12304" max="12305" width="7" customWidth="1"/>
    <col min="12545" max="12545" width="25" customWidth="1"/>
    <col min="12546" max="12546" width="9.85546875" customWidth="1"/>
    <col min="12547" max="12547" width="8.85546875" customWidth="1"/>
    <col min="12548" max="12548" width="8.5703125" customWidth="1"/>
    <col min="12549" max="12551" width="8.140625" customWidth="1"/>
    <col min="12552" max="12553" width="7.28515625" customWidth="1"/>
    <col min="12554" max="12554" width="7.140625" customWidth="1"/>
    <col min="12555" max="12555" width="7" customWidth="1"/>
    <col min="12556" max="12556" width="6.85546875" customWidth="1"/>
    <col min="12557" max="12557" width="6.5703125" customWidth="1"/>
    <col min="12558" max="12558" width="8.42578125" customWidth="1"/>
    <col min="12559" max="12559" width="6.5703125" customWidth="1"/>
    <col min="12560" max="12561" width="7" customWidth="1"/>
    <col min="12801" max="12801" width="25" customWidth="1"/>
    <col min="12802" max="12802" width="9.85546875" customWidth="1"/>
    <col min="12803" max="12803" width="8.85546875" customWidth="1"/>
    <col min="12804" max="12804" width="8.5703125" customWidth="1"/>
    <col min="12805" max="12807" width="8.140625" customWidth="1"/>
    <col min="12808" max="12809" width="7.28515625" customWidth="1"/>
    <col min="12810" max="12810" width="7.140625" customWidth="1"/>
    <col min="12811" max="12811" width="7" customWidth="1"/>
    <col min="12812" max="12812" width="6.85546875" customWidth="1"/>
    <col min="12813" max="12813" width="6.5703125" customWidth="1"/>
    <col min="12814" max="12814" width="8.42578125" customWidth="1"/>
    <col min="12815" max="12815" width="6.5703125" customWidth="1"/>
    <col min="12816" max="12817" width="7" customWidth="1"/>
    <col min="13057" max="13057" width="25" customWidth="1"/>
    <col min="13058" max="13058" width="9.85546875" customWidth="1"/>
    <col min="13059" max="13059" width="8.85546875" customWidth="1"/>
    <col min="13060" max="13060" width="8.5703125" customWidth="1"/>
    <col min="13061" max="13063" width="8.140625" customWidth="1"/>
    <col min="13064" max="13065" width="7.28515625" customWidth="1"/>
    <col min="13066" max="13066" width="7.140625" customWidth="1"/>
    <col min="13067" max="13067" width="7" customWidth="1"/>
    <col min="13068" max="13068" width="6.85546875" customWidth="1"/>
    <col min="13069" max="13069" width="6.5703125" customWidth="1"/>
    <col min="13070" max="13070" width="8.42578125" customWidth="1"/>
    <col min="13071" max="13071" width="6.5703125" customWidth="1"/>
    <col min="13072" max="13073" width="7" customWidth="1"/>
    <col min="13313" max="13313" width="25" customWidth="1"/>
    <col min="13314" max="13314" width="9.85546875" customWidth="1"/>
    <col min="13315" max="13315" width="8.85546875" customWidth="1"/>
    <col min="13316" max="13316" width="8.5703125" customWidth="1"/>
    <col min="13317" max="13319" width="8.140625" customWidth="1"/>
    <col min="13320" max="13321" width="7.28515625" customWidth="1"/>
    <col min="13322" max="13322" width="7.140625" customWidth="1"/>
    <col min="13323" max="13323" width="7" customWidth="1"/>
    <col min="13324" max="13324" width="6.85546875" customWidth="1"/>
    <col min="13325" max="13325" width="6.5703125" customWidth="1"/>
    <col min="13326" max="13326" width="8.42578125" customWidth="1"/>
    <col min="13327" max="13327" width="6.5703125" customWidth="1"/>
    <col min="13328" max="13329" width="7" customWidth="1"/>
    <col min="13569" max="13569" width="25" customWidth="1"/>
    <col min="13570" max="13570" width="9.85546875" customWidth="1"/>
    <col min="13571" max="13571" width="8.85546875" customWidth="1"/>
    <col min="13572" max="13572" width="8.5703125" customWidth="1"/>
    <col min="13573" max="13575" width="8.140625" customWidth="1"/>
    <col min="13576" max="13577" width="7.28515625" customWidth="1"/>
    <col min="13578" max="13578" width="7.140625" customWidth="1"/>
    <col min="13579" max="13579" width="7" customWidth="1"/>
    <col min="13580" max="13580" width="6.85546875" customWidth="1"/>
    <col min="13581" max="13581" width="6.5703125" customWidth="1"/>
    <col min="13582" max="13582" width="8.42578125" customWidth="1"/>
    <col min="13583" max="13583" width="6.5703125" customWidth="1"/>
    <col min="13584" max="13585" width="7" customWidth="1"/>
    <col min="13825" max="13825" width="25" customWidth="1"/>
    <col min="13826" max="13826" width="9.85546875" customWidth="1"/>
    <col min="13827" max="13827" width="8.85546875" customWidth="1"/>
    <col min="13828" max="13828" width="8.5703125" customWidth="1"/>
    <col min="13829" max="13831" width="8.140625" customWidth="1"/>
    <col min="13832" max="13833" width="7.28515625" customWidth="1"/>
    <col min="13834" max="13834" width="7.140625" customWidth="1"/>
    <col min="13835" max="13835" width="7" customWidth="1"/>
    <col min="13836" max="13836" width="6.85546875" customWidth="1"/>
    <col min="13837" max="13837" width="6.5703125" customWidth="1"/>
    <col min="13838" max="13838" width="8.42578125" customWidth="1"/>
    <col min="13839" max="13839" width="6.5703125" customWidth="1"/>
    <col min="13840" max="13841" width="7" customWidth="1"/>
    <col min="14081" max="14081" width="25" customWidth="1"/>
    <col min="14082" max="14082" width="9.85546875" customWidth="1"/>
    <col min="14083" max="14083" width="8.85546875" customWidth="1"/>
    <col min="14084" max="14084" width="8.5703125" customWidth="1"/>
    <col min="14085" max="14087" width="8.140625" customWidth="1"/>
    <col min="14088" max="14089" width="7.28515625" customWidth="1"/>
    <col min="14090" max="14090" width="7.140625" customWidth="1"/>
    <col min="14091" max="14091" width="7" customWidth="1"/>
    <col min="14092" max="14092" width="6.85546875" customWidth="1"/>
    <col min="14093" max="14093" width="6.5703125" customWidth="1"/>
    <col min="14094" max="14094" width="8.42578125" customWidth="1"/>
    <col min="14095" max="14095" width="6.5703125" customWidth="1"/>
    <col min="14096" max="14097" width="7" customWidth="1"/>
    <col min="14337" max="14337" width="25" customWidth="1"/>
    <col min="14338" max="14338" width="9.85546875" customWidth="1"/>
    <col min="14339" max="14339" width="8.85546875" customWidth="1"/>
    <col min="14340" max="14340" width="8.5703125" customWidth="1"/>
    <col min="14341" max="14343" width="8.140625" customWidth="1"/>
    <col min="14344" max="14345" width="7.28515625" customWidth="1"/>
    <col min="14346" max="14346" width="7.140625" customWidth="1"/>
    <col min="14347" max="14347" width="7" customWidth="1"/>
    <col min="14348" max="14348" width="6.85546875" customWidth="1"/>
    <col min="14349" max="14349" width="6.5703125" customWidth="1"/>
    <col min="14350" max="14350" width="8.42578125" customWidth="1"/>
    <col min="14351" max="14351" width="6.5703125" customWidth="1"/>
    <col min="14352" max="14353" width="7" customWidth="1"/>
    <col min="14593" max="14593" width="25" customWidth="1"/>
    <col min="14594" max="14594" width="9.85546875" customWidth="1"/>
    <col min="14595" max="14595" width="8.85546875" customWidth="1"/>
    <col min="14596" max="14596" width="8.5703125" customWidth="1"/>
    <col min="14597" max="14599" width="8.140625" customWidth="1"/>
    <col min="14600" max="14601" width="7.28515625" customWidth="1"/>
    <col min="14602" max="14602" width="7.140625" customWidth="1"/>
    <col min="14603" max="14603" width="7" customWidth="1"/>
    <col min="14604" max="14604" width="6.85546875" customWidth="1"/>
    <col min="14605" max="14605" width="6.5703125" customWidth="1"/>
    <col min="14606" max="14606" width="8.42578125" customWidth="1"/>
    <col min="14607" max="14607" width="6.5703125" customWidth="1"/>
    <col min="14608" max="14609" width="7" customWidth="1"/>
    <col min="14849" max="14849" width="25" customWidth="1"/>
    <col min="14850" max="14850" width="9.85546875" customWidth="1"/>
    <col min="14851" max="14851" width="8.85546875" customWidth="1"/>
    <col min="14852" max="14852" width="8.5703125" customWidth="1"/>
    <col min="14853" max="14855" width="8.140625" customWidth="1"/>
    <col min="14856" max="14857" width="7.28515625" customWidth="1"/>
    <col min="14858" max="14858" width="7.140625" customWidth="1"/>
    <col min="14859" max="14859" width="7" customWidth="1"/>
    <col min="14860" max="14860" width="6.85546875" customWidth="1"/>
    <col min="14861" max="14861" width="6.5703125" customWidth="1"/>
    <col min="14862" max="14862" width="8.42578125" customWidth="1"/>
    <col min="14863" max="14863" width="6.5703125" customWidth="1"/>
    <col min="14864" max="14865" width="7" customWidth="1"/>
    <col min="15105" max="15105" width="25" customWidth="1"/>
    <col min="15106" max="15106" width="9.85546875" customWidth="1"/>
    <col min="15107" max="15107" width="8.85546875" customWidth="1"/>
    <col min="15108" max="15108" width="8.5703125" customWidth="1"/>
    <col min="15109" max="15111" width="8.140625" customWidth="1"/>
    <col min="15112" max="15113" width="7.28515625" customWidth="1"/>
    <col min="15114" max="15114" width="7.140625" customWidth="1"/>
    <col min="15115" max="15115" width="7" customWidth="1"/>
    <col min="15116" max="15116" width="6.85546875" customWidth="1"/>
    <col min="15117" max="15117" width="6.5703125" customWidth="1"/>
    <col min="15118" max="15118" width="8.42578125" customWidth="1"/>
    <col min="15119" max="15119" width="6.5703125" customWidth="1"/>
    <col min="15120" max="15121" width="7" customWidth="1"/>
    <col min="15361" max="15361" width="25" customWidth="1"/>
    <col min="15362" max="15362" width="9.85546875" customWidth="1"/>
    <col min="15363" max="15363" width="8.85546875" customWidth="1"/>
    <col min="15364" max="15364" width="8.5703125" customWidth="1"/>
    <col min="15365" max="15367" width="8.140625" customWidth="1"/>
    <col min="15368" max="15369" width="7.28515625" customWidth="1"/>
    <col min="15370" max="15370" width="7.140625" customWidth="1"/>
    <col min="15371" max="15371" width="7" customWidth="1"/>
    <col min="15372" max="15372" width="6.85546875" customWidth="1"/>
    <col min="15373" max="15373" width="6.5703125" customWidth="1"/>
    <col min="15374" max="15374" width="8.42578125" customWidth="1"/>
    <col min="15375" max="15375" width="6.5703125" customWidth="1"/>
    <col min="15376" max="15377" width="7" customWidth="1"/>
    <col min="15617" max="15617" width="25" customWidth="1"/>
    <col min="15618" max="15618" width="9.85546875" customWidth="1"/>
    <col min="15619" max="15619" width="8.85546875" customWidth="1"/>
    <col min="15620" max="15620" width="8.5703125" customWidth="1"/>
    <col min="15621" max="15623" width="8.140625" customWidth="1"/>
    <col min="15624" max="15625" width="7.28515625" customWidth="1"/>
    <col min="15626" max="15626" width="7.140625" customWidth="1"/>
    <col min="15627" max="15627" width="7" customWidth="1"/>
    <col min="15628" max="15628" width="6.85546875" customWidth="1"/>
    <col min="15629" max="15629" width="6.5703125" customWidth="1"/>
    <col min="15630" max="15630" width="8.42578125" customWidth="1"/>
    <col min="15631" max="15631" width="6.5703125" customWidth="1"/>
    <col min="15632" max="15633" width="7" customWidth="1"/>
    <col min="15873" max="15873" width="25" customWidth="1"/>
    <col min="15874" max="15874" width="9.85546875" customWidth="1"/>
    <col min="15875" max="15875" width="8.85546875" customWidth="1"/>
    <col min="15876" max="15876" width="8.5703125" customWidth="1"/>
    <col min="15877" max="15879" width="8.140625" customWidth="1"/>
    <col min="15880" max="15881" width="7.28515625" customWidth="1"/>
    <col min="15882" max="15882" width="7.140625" customWidth="1"/>
    <col min="15883" max="15883" width="7" customWidth="1"/>
    <col min="15884" max="15884" width="6.85546875" customWidth="1"/>
    <col min="15885" max="15885" width="6.5703125" customWidth="1"/>
    <col min="15886" max="15886" width="8.42578125" customWidth="1"/>
    <col min="15887" max="15887" width="6.5703125" customWidth="1"/>
    <col min="15888" max="15889" width="7" customWidth="1"/>
    <col min="16129" max="16129" width="25" customWidth="1"/>
    <col min="16130" max="16130" width="9.85546875" customWidth="1"/>
    <col min="16131" max="16131" width="8.85546875" customWidth="1"/>
    <col min="16132" max="16132" width="8.5703125" customWidth="1"/>
    <col min="16133" max="16135" width="8.140625" customWidth="1"/>
    <col min="16136" max="16137" width="7.28515625" customWidth="1"/>
    <col min="16138" max="16138" width="7.140625" customWidth="1"/>
    <col min="16139" max="16139" width="7" customWidth="1"/>
    <col min="16140" max="16140" width="6.85546875" customWidth="1"/>
    <col min="16141" max="16141" width="6.5703125" customWidth="1"/>
    <col min="16142" max="16142" width="8.42578125" customWidth="1"/>
    <col min="16143" max="16143" width="6.5703125" customWidth="1"/>
    <col min="16144" max="16145" width="7" customWidth="1"/>
  </cols>
  <sheetData>
    <row r="1" spans="1:14" x14ac:dyDescent="0.2">
      <c r="A1" t="s">
        <v>448</v>
      </c>
      <c r="B1" s="33">
        <v>1</v>
      </c>
      <c r="C1" s="33">
        <v>2</v>
      </c>
      <c r="D1" s="35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 t="s">
        <v>482</v>
      </c>
    </row>
    <row r="2" spans="1:14" x14ac:dyDescent="0.2">
      <c r="A2" t="s">
        <v>287</v>
      </c>
      <c r="B2" s="34" t="s">
        <v>483</v>
      </c>
      <c r="C2" s="34" t="s">
        <v>484</v>
      </c>
      <c r="D2" s="35" t="s">
        <v>485</v>
      </c>
      <c r="E2" s="34" t="s">
        <v>486</v>
      </c>
      <c r="F2" s="34" t="s">
        <v>487</v>
      </c>
      <c r="G2" s="34" t="s">
        <v>488</v>
      </c>
      <c r="H2" s="33" t="s">
        <v>489</v>
      </c>
      <c r="I2" s="33" t="s">
        <v>490</v>
      </c>
      <c r="J2" s="33" t="s">
        <v>491</v>
      </c>
      <c r="K2" s="33" t="s">
        <v>492</v>
      </c>
      <c r="L2" s="33" t="s">
        <v>493</v>
      </c>
      <c r="M2" s="33" t="s">
        <v>315</v>
      </c>
      <c r="N2" s="34" t="s">
        <v>460</v>
      </c>
    </row>
    <row r="3" spans="1:14" x14ac:dyDescent="0.2">
      <c r="A3" s="27" t="s">
        <v>1</v>
      </c>
      <c r="B3" s="33">
        <v>0</v>
      </c>
      <c r="C3" s="33">
        <v>2</v>
      </c>
      <c r="D3" s="35">
        <v>1</v>
      </c>
      <c r="E3" s="33">
        <v>1</v>
      </c>
      <c r="F3" s="33">
        <v>2</v>
      </c>
      <c r="G3" s="33">
        <v>14</v>
      </c>
      <c r="H3" s="33">
        <v>8</v>
      </c>
      <c r="I3" s="33">
        <v>5</v>
      </c>
      <c r="J3" s="33">
        <v>7</v>
      </c>
      <c r="K3" s="33">
        <v>6</v>
      </c>
      <c r="L3" s="33">
        <v>3</v>
      </c>
      <c r="M3" s="33">
        <f>SUM(B3:L3)</f>
        <v>49</v>
      </c>
      <c r="N3" s="34" t="s">
        <v>494</v>
      </c>
    </row>
    <row r="4" spans="1:14" x14ac:dyDescent="0.2">
      <c r="A4" s="27" t="s">
        <v>3</v>
      </c>
      <c r="B4" s="33">
        <v>1</v>
      </c>
      <c r="C4" s="33">
        <v>3</v>
      </c>
      <c r="D4" s="35">
        <v>4</v>
      </c>
      <c r="E4" s="33">
        <v>6</v>
      </c>
      <c r="F4" s="33">
        <v>9</v>
      </c>
      <c r="G4" s="33">
        <v>11</v>
      </c>
      <c r="H4" s="33">
        <v>8</v>
      </c>
      <c r="I4" s="33">
        <v>4</v>
      </c>
      <c r="J4" s="33">
        <v>9</v>
      </c>
      <c r="K4" s="33">
        <v>2</v>
      </c>
      <c r="L4" s="33">
        <v>0</v>
      </c>
      <c r="M4" s="33">
        <f>SUM(B4:L4)</f>
        <v>57</v>
      </c>
      <c r="N4" s="34" t="s">
        <v>495</v>
      </c>
    </row>
    <row r="5" spans="1:14" x14ac:dyDescent="0.2">
      <c r="A5" s="27" t="s">
        <v>4</v>
      </c>
      <c r="B5" s="33">
        <v>0</v>
      </c>
      <c r="C5" s="33">
        <v>0</v>
      </c>
      <c r="D5" s="35">
        <v>6</v>
      </c>
      <c r="E5" s="33">
        <v>5</v>
      </c>
      <c r="F5" s="33">
        <v>6</v>
      </c>
      <c r="G5" s="33">
        <v>17</v>
      </c>
      <c r="H5" s="33">
        <v>10</v>
      </c>
      <c r="I5" s="33">
        <v>3</v>
      </c>
      <c r="J5" s="33">
        <v>5</v>
      </c>
      <c r="K5" s="33">
        <v>8</v>
      </c>
      <c r="L5" s="33">
        <v>3</v>
      </c>
      <c r="M5" s="33">
        <f>SUM(B5:L5)</f>
        <v>63</v>
      </c>
      <c r="N5" s="34" t="s">
        <v>496</v>
      </c>
    </row>
    <row r="6" spans="1:14" x14ac:dyDescent="0.2">
      <c r="A6" s="27" t="s">
        <v>5</v>
      </c>
      <c r="B6" s="33">
        <v>0</v>
      </c>
      <c r="C6" s="33">
        <v>1</v>
      </c>
      <c r="D6" s="35">
        <v>3</v>
      </c>
      <c r="E6" s="33">
        <v>1</v>
      </c>
      <c r="F6" s="33">
        <v>1</v>
      </c>
      <c r="G6" s="33">
        <v>6</v>
      </c>
      <c r="H6" s="33">
        <v>2</v>
      </c>
      <c r="I6" s="33">
        <v>0</v>
      </c>
      <c r="J6" s="33">
        <v>0</v>
      </c>
      <c r="K6" s="33">
        <v>0</v>
      </c>
      <c r="L6" s="33">
        <v>0</v>
      </c>
      <c r="M6" s="33">
        <f>SUM(B6:L6)</f>
        <v>14</v>
      </c>
      <c r="N6" s="34" t="s">
        <v>468</v>
      </c>
    </row>
    <row r="7" spans="1:14" x14ac:dyDescent="0.2">
      <c r="A7" s="27" t="s">
        <v>6</v>
      </c>
      <c r="B7" s="33">
        <v>0</v>
      </c>
      <c r="C7" s="33">
        <v>1</v>
      </c>
      <c r="D7" s="35">
        <v>2</v>
      </c>
      <c r="E7" s="33">
        <v>22</v>
      </c>
      <c r="F7" s="33">
        <v>23</v>
      </c>
      <c r="G7" s="33">
        <v>55</v>
      </c>
      <c r="H7" s="33">
        <v>26</v>
      </c>
      <c r="I7" s="33">
        <v>15</v>
      </c>
      <c r="J7" s="33">
        <v>45</v>
      </c>
      <c r="K7" s="33">
        <v>27</v>
      </c>
      <c r="L7" s="33">
        <v>4</v>
      </c>
      <c r="M7" s="33">
        <f t="shared" ref="M7:M35" si="0">SUM(B7:L7)</f>
        <v>220</v>
      </c>
      <c r="N7" s="34" t="s">
        <v>497</v>
      </c>
    </row>
    <row r="8" spans="1:14" x14ac:dyDescent="0.2">
      <c r="A8" s="27" t="s">
        <v>498</v>
      </c>
      <c r="B8" s="33">
        <v>0</v>
      </c>
      <c r="C8" s="33">
        <v>0</v>
      </c>
      <c r="D8" s="35">
        <v>0</v>
      </c>
      <c r="E8" s="33">
        <v>1</v>
      </c>
      <c r="F8" s="33">
        <v>0</v>
      </c>
      <c r="G8" s="33">
        <v>1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f t="shared" si="0"/>
        <v>2</v>
      </c>
      <c r="N8" s="34" t="s">
        <v>499</v>
      </c>
    </row>
    <row r="9" spans="1:14" x14ac:dyDescent="0.2">
      <c r="A9" s="27" t="s">
        <v>7</v>
      </c>
      <c r="B9" s="33">
        <v>0</v>
      </c>
      <c r="C9" s="33">
        <v>1</v>
      </c>
      <c r="D9" s="35">
        <v>0</v>
      </c>
      <c r="E9" s="33">
        <v>28</v>
      </c>
      <c r="F9" s="33">
        <v>36</v>
      </c>
      <c r="G9" s="33">
        <v>48</v>
      </c>
      <c r="H9" s="33">
        <v>29</v>
      </c>
      <c r="I9" s="33">
        <v>12</v>
      </c>
      <c r="J9" s="33">
        <v>20</v>
      </c>
      <c r="K9" s="33">
        <v>18</v>
      </c>
      <c r="L9" s="33">
        <v>5</v>
      </c>
      <c r="M9" s="33">
        <f t="shared" si="0"/>
        <v>197</v>
      </c>
      <c r="N9" s="34" t="s">
        <v>500</v>
      </c>
    </row>
    <row r="10" spans="1:14" x14ac:dyDescent="0.2">
      <c r="A10" s="27" t="s">
        <v>9</v>
      </c>
      <c r="B10" s="33">
        <v>0</v>
      </c>
      <c r="C10" s="33">
        <v>0</v>
      </c>
      <c r="D10" s="35">
        <v>2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1</v>
      </c>
      <c r="L10" s="33">
        <v>0</v>
      </c>
      <c r="M10" s="33">
        <f t="shared" si="0"/>
        <v>3</v>
      </c>
      <c r="N10" s="34" t="s">
        <v>501</v>
      </c>
    </row>
    <row r="11" spans="1:14" x14ac:dyDescent="0.2">
      <c r="A11" s="27" t="s">
        <v>10</v>
      </c>
      <c r="B11" s="33">
        <v>0</v>
      </c>
      <c r="C11" s="33">
        <v>1</v>
      </c>
      <c r="D11" s="35">
        <v>0</v>
      </c>
      <c r="E11" s="33">
        <v>0</v>
      </c>
      <c r="F11" s="33">
        <v>6</v>
      </c>
      <c r="G11" s="33">
        <v>3</v>
      </c>
      <c r="H11" s="33">
        <v>1</v>
      </c>
      <c r="I11" s="33">
        <v>2</v>
      </c>
      <c r="J11" s="33">
        <v>1</v>
      </c>
      <c r="K11" s="33">
        <v>1</v>
      </c>
      <c r="L11" s="33">
        <v>0</v>
      </c>
      <c r="M11" s="33">
        <f t="shared" si="0"/>
        <v>15</v>
      </c>
      <c r="N11" s="34" t="s">
        <v>502</v>
      </c>
    </row>
    <row r="12" spans="1:14" x14ac:dyDescent="0.2">
      <c r="A12" s="27" t="s">
        <v>11</v>
      </c>
      <c r="B12" s="33">
        <v>0</v>
      </c>
      <c r="C12" s="33">
        <v>0</v>
      </c>
      <c r="D12" s="35">
        <v>0</v>
      </c>
      <c r="E12" s="33">
        <v>0</v>
      </c>
      <c r="F12" s="33">
        <v>0</v>
      </c>
      <c r="G12" s="33">
        <v>1</v>
      </c>
      <c r="H12" s="33">
        <v>0</v>
      </c>
      <c r="I12" s="33">
        <v>1</v>
      </c>
      <c r="J12" s="33">
        <v>1</v>
      </c>
      <c r="K12" s="33">
        <v>0</v>
      </c>
      <c r="L12" s="33">
        <v>0</v>
      </c>
      <c r="M12" s="33">
        <f t="shared" si="0"/>
        <v>3</v>
      </c>
      <c r="N12" s="34" t="s">
        <v>501</v>
      </c>
    </row>
    <row r="13" spans="1:14" x14ac:dyDescent="0.2">
      <c r="A13" s="27" t="s">
        <v>503</v>
      </c>
      <c r="B13" s="33">
        <v>0</v>
      </c>
      <c r="C13" s="33">
        <v>0</v>
      </c>
      <c r="D13" s="35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2</v>
      </c>
      <c r="M13" s="33">
        <f t="shared" si="0"/>
        <v>2</v>
      </c>
      <c r="N13" s="34" t="s">
        <v>499</v>
      </c>
    </row>
    <row r="14" spans="1:14" x14ac:dyDescent="0.2">
      <c r="A14" s="27" t="s">
        <v>13</v>
      </c>
      <c r="B14" s="33">
        <v>0</v>
      </c>
      <c r="C14" s="33">
        <v>0</v>
      </c>
      <c r="D14" s="35">
        <v>0</v>
      </c>
      <c r="E14" s="33">
        <v>0</v>
      </c>
      <c r="F14" s="33">
        <v>1</v>
      </c>
      <c r="G14" s="33">
        <v>0</v>
      </c>
      <c r="H14" s="33">
        <v>1</v>
      </c>
      <c r="I14" s="33">
        <v>0</v>
      </c>
      <c r="J14" s="33">
        <v>0</v>
      </c>
      <c r="K14" s="33">
        <v>0</v>
      </c>
      <c r="L14" s="33">
        <v>1</v>
      </c>
      <c r="M14" s="33">
        <f t="shared" si="0"/>
        <v>3</v>
      </c>
      <c r="N14" s="34" t="s">
        <v>501</v>
      </c>
    </row>
    <row r="15" spans="1:14" x14ac:dyDescent="0.2">
      <c r="A15" s="27" t="s">
        <v>15</v>
      </c>
      <c r="B15" s="33">
        <v>1</v>
      </c>
      <c r="C15" s="33">
        <v>0</v>
      </c>
      <c r="D15" s="35">
        <v>1</v>
      </c>
      <c r="E15" s="33">
        <v>2</v>
      </c>
      <c r="F15" s="33">
        <v>3</v>
      </c>
      <c r="G15" s="33">
        <v>2</v>
      </c>
      <c r="H15" s="33">
        <v>3</v>
      </c>
      <c r="I15" s="33">
        <v>0</v>
      </c>
      <c r="J15" s="33">
        <v>0</v>
      </c>
      <c r="K15" s="33">
        <v>1</v>
      </c>
      <c r="L15" s="33">
        <v>0</v>
      </c>
      <c r="M15" s="33">
        <f t="shared" si="0"/>
        <v>13</v>
      </c>
      <c r="N15" s="34" t="s">
        <v>504</v>
      </c>
    </row>
    <row r="16" spans="1:14" x14ac:dyDescent="0.2">
      <c r="A16" s="27" t="s">
        <v>16</v>
      </c>
      <c r="B16" s="33">
        <v>0</v>
      </c>
      <c r="C16" s="33">
        <v>0</v>
      </c>
      <c r="D16" s="35">
        <v>0</v>
      </c>
      <c r="E16" s="33">
        <v>1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f t="shared" si="0"/>
        <v>1</v>
      </c>
      <c r="N16" s="34" t="s">
        <v>505</v>
      </c>
    </row>
    <row r="17" spans="1:14" x14ac:dyDescent="0.2">
      <c r="A17" s="27" t="s">
        <v>17</v>
      </c>
      <c r="B17" s="33">
        <v>0</v>
      </c>
      <c r="C17" s="33">
        <v>0</v>
      </c>
      <c r="D17" s="35">
        <v>0</v>
      </c>
      <c r="E17" s="33">
        <v>2</v>
      </c>
      <c r="F17" s="33">
        <v>0</v>
      </c>
      <c r="G17" s="33">
        <v>2</v>
      </c>
      <c r="H17" s="33">
        <v>1</v>
      </c>
      <c r="I17" s="33">
        <v>0</v>
      </c>
      <c r="J17" s="33">
        <v>0</v>
      </c>
      <c r="K17" s="33">
        <v>1</v>
      </c>
      <c r="L17" s="33">
        <v>1</v>
      </c>
      <c r="M17" s="33">
        <f t="shared" si="0"/>
        <v>7</v>
      </c>
      <c r="N17" s="34" t="s">
        <v>506</v>
      </c>
    </row>
    <row r="18" spans="1:14" x14ac:dyDescent="0.2">
      <c r="A18" s="27" t="s">
        <v>18</v>
      </c>
      <c r="B18" s="33">
        <v>0</v>
      </c>
      <c r="C18" s="33">
        <v>0</v>
      </c>
      <c r="D18" s="35">
        <v>1</v>
      </c>
      <c r="E18" s="33">
        <v>6</v>
      </c>
      <c r="F18" s="33">
        <v>1</v>
      </c>
      <c r="G18" s="33">
        <v>0</v>
      </c>
      <c r="H18" s="33">
        <v>4</v>
      </c>
      <c r="I18" s="33">
        <v>8</v>
      </c>
      <c r="J18" s="33">
        <v>0</v>
      </c>
      <c r="K18" s="33">
        <v>0</v>
      </c>
      <c r="L18" s="33">
        <v>1</v>
      </c>
      <c r="M18" s="33">
        <f t="shared" si="0"/>
        <v>21</v>
      </c>
      <c r="N18" s="34" t="s">
        <v>507</v>
      </c>
    </row>
    <row r="19" spans="1:14" x14ac:dyDescent="0.2">
      <c r="A19" s="27" t="s">
        <v>19</v>
      </c>
      <c r="B19" s="33">
        <v>19</v>
      </c>
      <c r="C19" s="33">
        <v>15</v>
      </c>
      <c r="D19" s="35">
        <v>18</v>
      </c>
      <c r="E19" s="33">
        <v>16</v>
      </c>
      <c r="F19" s="33">
        <v>29</v>
      </c>
      <c r="G19" s="33">
        <v>17</v>
      </c>
      <c r="H19" s="33">
        <v>30</v>
      </c>
      <c r="I19" s="33">
        <v>9</v>
      </c>
      <c r="J19" s="33">
        <v>13</v>
      </c>
      <c r="K19" s="33">
        <v>5</v>
      </c>
      <c r="L19" s="33">
        <v>4</v>
      </c>
      <c r="M19" s="33">
        <f t="shared" si="0"/>
        <v>175</v>
      </c>
      <c r="N19" s="34" t="s">
        <v>508</v>
      </c>
    </row>
    <row r="20" spans="1:14" x14ac:dyDescent="0.2">
      <c r="A20" s="27" t="s">
        <v>20</v>
      </c>
      <c r="B20" s="33">
        <v>0</v>
      </c>
      <c r="C20" s="33">
        <v>1</v>
      </c>
      <c r="D20" s="35">
        <v>3</v>
      </c>
      <c r="E20" s="33">
        <v>0</v>
      </c>
      <c r="F20" s="33">
        <v>2</v>
      </c>
      <c r="G20" s="33">
        <v>2</v>
      </c>
      <c r="H20" s="33">
        <v>1</v>
      </c>
      <c r="I20" s="33">
        <v>0</v>
      </c>
      <c r="J20" s="33">
        <v>2</v>
      </c>
      <c r="K20" s="33">
        <v>0</v>
      </c>
      <c r="L20" s="33">
        <v>0</v>
      </c>
      <c r="M20" s="33">
        <f t="shared" si="0"/>
        <v>11</v>
      </c>
      <c r="N20" s="34" t="s">
        <v>509</v>
      </c>
    </row>
    <row r="21" spans="1:14" x14ac:dyDescent="0.2">
      <c r="A21" s="27" t="s">
        <v>200</v>
      </c>
      <c r="B21" s="33">
        <v>0</v>
      </c>
      <c r="C21" s="33">
        <v>0</v>
      </c>
      <c r="D21" s="35">
        <v>0</v>
      </c>
      <c r="E21" s="33">
        <v>1</v>
      </c>
      <c r="F21" s="33">
        <v>5</v>
      </c>
      <c r="G21" s="33">
        <v>3</v>
      </c>
      <c r="H21" s="33">
        <v>2</v>
      </c>
      <c r="I21" s="33">
        <v>0</v>
      </c>
      <c r="J21" s="33">
        <v>2</v>
      </c>
      <c r="K21" s="33">
        <v>0</v>
      </c>
      <c r="L21" s="33">
        <v>0</v>
      </c>
      <c r="M21" s="33">
        <f t="shared" si="0"/>
        <v>13</v>
      </c>
      <c r="N21" s="34" t="s">
        <v>504</v>
      </c>
    </row>
    <row r="22" spans="1:14" x14ac:dyDescent="0.2">
      <c r="A22" s="27" t="s">
        <v>22</v>
      </c>
      <c r="B22" s="33">
        <v>0</v>
      </c>
      <c r="C22" s="33">
        <v>0</v>
      </c>
      <c r="D22" s="35">
        <v>0</v>
      </c>
      <c r="E22" s="33">
        <v>0</v>
      </c>
      <c r="F22" s="33">
        <v>0</v>
      </c>
      <c r="G22" s="33">
        <v>0</v>
      </c>
      <c r="H22" s="33">
        <v>1</v>
      </c>
      <c r="I22" s="33">
        <v>0</v>
      </c>
      <c r="J22" s="33">
        <v>0</v>
      </c>
      <c r="K22" s="33">
        <v>0</v>
      </c>
      <c r="L22" s="33">
        <v>0</v>
      </c>
      <c r="M22" s="33">
        <f t="shared" si="0"/>
        <v>1</v>
      </c>
      <c r="N22" s="34" t="s">
        <v>505</v>
      </c>
    </row>
    <row r="23" spans="1:14" x14ac:dyDescent="0.2">
      <c r="A23" s="27" t="s">
        <v>23</v>
      </c>
      <c r="B23" s="33">
        <v>0</v>
      </c>
      <c r="C23" s="33">
        <v>1</v>
      </c>
      <c r="D23" s="35">
        <v>0</v>
      </c>
      <c r="E23" s="33">
        <v>1</v>
      </c>
      <c r="F23" s="33">
        <v>0</v>
      </c>
      <c r="G23" s="33">
        <v>4</v>
      </c>
      <c r="H23" s="33">
        <v>1</v>
      </c>
      <c r="I23" s="33">
        <v>0</v>
      </c>
      <c r="J23" s="33">
        <v>0</v>
      </c>
      <c r="K23" s="33">
        <v>0</v>
      </c>
      <c r="L23" s="33">
        <v>2</v>
      </c>
      <c r="M23" s="33">
        <f t="shared" si="0"/>
        <v>9</v>
      </c>
      <c r="N23" s="34" t="s">
        <v>510</v>
      </c>
    </row>
    <row r="24" spans="1:14" x14ac:dyDescent="0.2">
      <c r="A24" s="27" t="s">
        <v>214</v>
      </c>
      <c r="B24" s="33">
        <v>0</v>
      </c>
      <c r="C24" s="33">
        <v>0</v>
      </c>
      <c r="D24" s="35">
        <v>0</v>
      </c>
      <c r="E24" s="33">
        <v>0</v>
      </c>
      <c r="F24" s="33">
        <v>0</v>
      </c>
      <c r="G24" s="33">
        <v>0</v>
      </c>
      <c r="H24" s="33">
        <v>3</v>
      </c>
      <c r="I24" s="33">
        <v>0</v>
      </c>
      <c r="J24" s="33">
        <v>2</v>
      </c>
      <c r="K24" s="33">
        <v>0</v>
      </c>
      <c r="L24" s="33">
        <v>1</v>
      </c>
      <c r="M24" s="33">
        <f t="shared" si="0"/>
        <v>6</v>
      </c>
      <c r="N24" s="34" t="s">
        <v>511</v>
      </c>
    </row>
    <row r="25" spans="1:14" x14ac:dyDescent="0.2">
      <c r="A25" s="27" t="s">
        <v>194</v>
      </c>
      <c r="B25" s="33">
        <v>0</v>
      </c>
      <c r="C25" s="33">
        <v>0</v>
      </c>
      <c r="D25" s="35">
        <v>0</v>
      </c>
      <c r="E25" s="33">
        <v>0</v>
      </c>
      <c r="F25" s="33">
        <v>1</v>
      </c>
      <c r="G25" s="33">
        <v>0</v>
      </c>
      <c r="H25" s="33">
        <v>0</v>
      </c>
      <c r="I25" s="33">
        <v>1</v>
      </c>
      <c r="J25" s="33">
        <v>2</v>
      </c>
      <c r="K25" s="33">
        <v>4</v>
      </c>
      <c r="L25" s="33">
        <v>2</v>
      </c>
      <c r="M25" s="33">
        <f t="shared" si="0"/>
        <v>10</v>
      </c>
      <c r="N25" s="34" t="s">
        <v>512</v>
      </c>
    </row>
    <row r="26" spans="1:14" x14ac:dyDescent="0.2">
      <c r="A26" s="27" t="s">
        <v>195</v>
      </c>
      <c r="B26" s="33">
        <v>0</v>
      </c>
      <c r="C26" s="33">
        <v>4</v>
      </c>
      <c r="D26" s="35">
        <v>0</v>
      </c>
      <c r="E26" s="33">
        <v>2</v>
      </c>
      <c r="F26" s="33">
        <v>3</v>
      </c>
      <c r="G26" s="33">
        <v>0</v>
      </c>
      <c r="H26" s="33">
        <v>0</v>
      </c>
      <c r="I26" s="33">
        <v>0</v>
      </c>
      <c r="J26" s="33">
        <v>1</v>
      </c>
      <c r="K26" s="33">
        <v>1</v>
      </c>
      <c r="L26" s="33">
        <v>0</v>
      </c>
      <c r="M26" s="33">
        <f t="shared" si="0"/>
        <v>11</v>
      </c>
      <c r="N26" s="34" t="s">
        <v>509</v>
      </c>
    </row>
    <row r="27" spans="1:14" x14ac:dyDescent="0.2">
      <c r="A27" s="27" t="s">
        <v>25</v>
      </c>
      <c r="B27" s="33">
        <v>0</v>
      </c>
      <c r="C27" s="33">
        <v>0</v>
      </c>
      <c r="D27" s="35">
        <v>0</v>
      </c>
      <c r="E27" s="33">
        <v>3</v>
      </c>
      <c r="F27" s="33">
        <v>4</v>
      </c>
      <c r="G27" s="33">
        <v>8</v>
      </c>
      <c r="H27" s="33">
        <v>1</v>
      </c>
      <c r="I27" s="33">
        <v>6</v>
      </c>
      <c r="J27" s="33">
        <v>46</v>
      </c>
      <c r="K27" s="33">
        <v>22</v>
      </c>
      <c r="L27" s="33">
        <v>7</v>
      </c>
      <c r="M27" s="33">
        <f t="shared" si="0"/>
        <v>97</v>
      </c>
      <c r="N27" s="34" t="s">
        <v>513</v>
      </c>
    </row>
    <row r="28" spans="1:14" x14ac:dyDescent="0.2">
      <c r="A28" s="27" t="s">
        <v>26</v>
      </c>
      <c r="B28" s="33">
        <v>2</v>
      </c>
      <c r="C28" s="33">
        <v>0</v>
      </c>
      <c r="D28" s="35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f t="shared" si="0"/>
        <v>2</v>
      </c>
      <c r="N28" s="34" t="s">
        <v>499</v>
      </c>
    </row>
    <row r="29" spans="1:14" x14ac:dyDescent="0.2">
      <c r="A29" s="27" t="s">
        <v>27</v>
      </c>
      <c r="B29" s="33">
        <v>2</v>
      </c>
      <c r="C29" s="33">
        <v>5</v>
      </c>
      <c r="D29" s="35">
        <v>10</v>
      </c>
      <c r="E29" s="33">
        <v>38</v>
      </c>
      <c r="F29" s="33">
        <v>33</v>
      </c>
      <c r="G29" s="33">
        <v>44</v>
      </c>
      <c r="H29" s="33">
        <v>26</v>
      </c>
      <c r="I29" s="33">
        <v>28</v>
      </c>
      <c r="J29" s="33">
        <v>36</v>
      </c>
      <c r="K29" s="33">
        <v>18</v>
      </c>
      <c r="L29" s="33">
        <v>19</v>
      </c>
      <c r="M29" s="33">
        <f t="shared" si="0"/>
        <v>259</v>
      </c>
      <c r="N29" s="34" t="s">
        <v>514</v>
      </c>
    </row>
    <row r="30" spans="1:14" x14ac:dyDescent="0.2">
      <c r="A30" s="27" t="s">
        <v>28</v>
      </c>
      <c r="B30" s="33">
        <v>0</v>
      </c>
      <c r="C30" s="33">
        <v>0</v>
      </c>
      <c r="D30" s="35">
        <v>0</v>
      </c>
      <c r="E30" s="33">
        <v>0</v>
      </c>
      <c r="F30" s="33">
        <v>1</v>
      </c>
      <c r="G30" s="33">
        <v>0</v>
      </c>
      <c r="H30" s="33">
        <v>0</v>
      </c>
      <c r="I30" s="33">
        <v>1</v>
      </c>
      <c r="J30" s="33">
        <v>0</v>
      </c>
      <c r="K30" s="33">
        <v>0</v>
      </c>
      <c r="L30" s="33">
        <v>0</v>
      </c>
      <c r="M30" s="33">
        <f t="shared" si="0"/>
        <v>2</v>
      </c>
      <c r="N30" s="34" t="s">
        <v>499</v>
      </c>
    </row>
    <row r="31" spans="1:14" x14ac:dyDescent="0.2">
      <c r="A31" s="27" t="s">
        <v>29</v>
      </c>
      <c r="B31" s="33">
        <v>0</v>
      </c>
      <c r="C31" s="33">
        <v>0</v>
      </c>
      <c r="D31" s="35">
        <v>0</v>
      </c>
      <c r="E31" s="33">
        <v>0</v>
      </c>
      <c r="F31" s="33">
        <v>1</v>
      </c>
      <c r="G31" s="33">
        <v>0</v>
      </c>
      <c r="H31" s="33">
        <v>0</v>
      </c>
      <c r="I31" s="33">
        <v>2</v>
      </c>
      <c r="J31" s="33">
        <v>2</v>
      </c>
      <c r="K31" s="33">
        <v>0</v>
      </c>
      <c r="L31" s="33">
        <v>1</v>
      </c>
      <c r="M31" s="33">
        <f t="shared" si="0"/>
        <v>6</v>
      </c>
      <c r="N31" s="34" t="s">
        <v>511</v>
      </c>
    </row>
    <row r="32" spans="1:14" x14ac:dyDescent="0.2">
      <c r="A32" s="27" t="s">
        <v>30</v>
      </c>
      <c r="B32" s="33">
        <v>0</v>
      </c>
      <c r="C32" s="33">
        <v>0</v>
      </c>
      <c r="D32" s="35">
        <v>0</v>
      </c>
      <c r="E32" s="33">
        <v>0</v>
      </c>
      <c r="F32" s="33">
        <v>0</v>
      </c>
      <c r="G32" s="33">
        <v>1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f t="shared" si="0"/>
        <v>1</v>
      </c>
      <c r="N32" s="34" t="s">
        <v>505</v>
      </c>
    </row>
    <row r="33" spans="1:14" x14ac:dyDescent="0.2">
      <c r="A33" s="27" t="s">
        <v>31</v>
      </c>
      <c r="B33" s="33">
        <v>0</v>
      </c>
      <c r="C33" s="33">
        <v>0</v>
      </c>
      <c r="D33" s="35">
        <v>0</v>
      </c>
      <c r="E33" s="33">
        <v>1</v>
      </c>
      <c r="F33" s="33">
        <v>1</v>
      </c>
      <c r="G33" s="33">
        <v>5</v>
      </c>
      <c r="H33" s="33">
        <v>3</v>
      </c>
      <c r="I33" s="33">
        <v>0</v>
      </c>
      <c r="J33" s="33">
        <v>4</v>
      </c>
      <c r="K33" s="33">
        <v>2</v>
      </c>
      <c r="L33" s="33">
        <v>2</v>
      </c>
      <c r="M33" s="33">
        <f t="shared" si="0"/>
        <v>18</v>
      </c>
      <c r="N33" s="34" t="s">
        <v>515</v>
      </c>
    </row>
    <row r="34" spans="1:14" x14ac:dyDescent="0.2">
      <c r="A34" s="27" t="s">
        <v>32</v>
      </c>
      <c r="B34" s="33">
        <v>1</v>
      </c>
      <c r="C34" s="33">
        <v>0</v>
      </c>
      <c r="D34" s="35">
        <v>0</v>
      </c>
      <c r="E34" s="33">
        <v>1</v>
      </c>
      <c r="F34" s="33">
        <v>5</v>
      </c>
      <c r="G34" s="33">
        <v>1</v>
      </c>
      <c r="H34" s="33">
        <v>1</v>
      </c>
      <c r="I34" s="33">
        <v>0</v>
      </c>
      <c r="J34" s="33">
        <v>1</v>
      </c>
      <c r="K34" s="33">
        <v>2</v>
      </c>
      <c r="L34" s="33">
        <v>1</v>
      </c>
      <c r="M34" s="33">
        <f t="shared" si="0"/>
        <v>13</v>
      </c>
      <c r="N34" s="34" t="s">
        <v>504</v>
      </c>
    </row>
    <row r="35" spans="1:14" x14ac:dyDescent="0.2">
      <c r="A35" s="27" t="s">
        <v>33</v>
      </c>
      <c r="B35" s="33">
        <v>0</v>
      </c>
      <c r="C35" s="33">
        <v>0</v>
      </c>
      <c r="D35" s="35">
        <v>3</v>
      </c>
      <c r="E35" s="33">
        <v>11</v>
      </c>
      <c r="F35" s="33">
        <v>8</v>
      </c>
      <c r="G35" s="33">
        <v>22</v>
      </c>
      <c r="H35" s="33">
        <v>10</v>
      </c>
      <c r="I35" s="33">
        <v>15</v>
      </c>
      <c r="J35" s="33">
        <v>14</v>
      </c>
      <c r="K35" s="33">
        <v>10</v>
      </c>
      <c r="L35" s="33">
        <v>4</v>
      </c>
      <c r="M35" s="33">
        <f t="shared" si="0"/>
        <v>97</v>
      </c>
      <c r="N35" s="34" t="s">
        <v>513</v>
      </c>
    </row>
    <row r="36" spans="1:14" x14ac:dyDescent="0.2">
      <c r="A36" t="s">
        <v>344</v>
      </c>
      <c r="B36" s="33">
        <f>SUM(B3:B35)</f>
        <v>26</v>
      </c>
      <c r="C36" s="33">
        <f>SUM(C3:C35)</f>
        <v>35</v>
      </c>
      <c r="D36" s="35">
        <f t="shared" ref="D36:L36" si="1">SUM(D3:D35)</f>
        <v>54</v>
      </c>
      <c r="E36" s="33">
        <f t="shared" si="1"/>
        <v>149</v>
      </c>
      <c r="F36" s="33">
        <f t="shared" si="1"/>
        <v>181</v>
      </c>
      <c r="G36" s="33">
        <f t="shared" si="1"/>
        <v>267</v>
      </c>
      <c r="H36" s="33">
        <f t="shared" si="1"/>
        <v>172</v>
      </c>
      <c r="I36" s="33">
        <f t="shared" si="1"/>
        <v>112</v>
      </c>
      <c r="J36" s="33">
        <f t="shared" si="1"/>
        <v>213</v>
      </c>
      <c r="K36" s="33">
        <f t="shared" si="1"/>
        <v>129</v>
      </c>
      <c r="L36" s="33">
        <f t="shared" si="1"/>
        <v>63</v>
      </c>
      <c r="M36" s="33">
        <v>1401</v>
      </c>
      <c r="N36" s="34" t="s">
        <v>516</v>
      </c>
    </row>
    <row r="38" spans="1:14" ht="14.25" x14ac:dyDescent="0.2">
      <c r="A38" s="27" t="s">
        <v>1460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6"/>
  <sheetViews>
    <sheetView topLeftCell="A15" workbookViewId="0">
      <selection activeCell="A36" sqref="A36"/>
    </sheetView>
  </sheetViews>
  <sheetFormatPr defaultRowHeight="12.75" x14ac:dyDescent="0.2"/>
  <cols>
    <col min="1" max="1" width="24.85546875" customWidth="1"/>
    <col min="2" max="2" width="8.42578125" style="33" customWidth="1"/>
    <col min="3" max="3" width="7.28515625" style="33" customWidth="1"/>
    <col min="4" max="4" width="7.140625" style="33" customWidth="1"/>
    <col min="5" max="5" width="7" style="33" customWidth="1"/>
    <col min="6" max="6" width="6.85546875" style="33" customWidth="1"/>
    <col min="7" max="7" width="6.5703125" style="33" customWidth="1"/>
    <col min="8" max="8" width="7" style="33" customWidth="1"/>
    <col min="9" max="9" width="6.5703125" style="33" customWidth="1"/>
    <col min="10" max="10" width="7" style="33" customWidth="1"/>
    <col min="11" max="11" width="6.7109375" style="33" customWidth="1"/>
    <col min="12" max="12" width="6.42578125" style="33" customWidth="1"/>
    <col min="13" max="13" width="6.7109375" customWidth="1"/>
    <col min="14" max="14" width="7.5703125" customWidth="1"/>
    <col min="15" max="16" width="6.85546875" customWidth="1"/>
    <col min="17" max="17" width="7.140625" customWidth="1"/>
    <col min="18" max="18" width="6.7109375" customWidth="1"/>
    <col min="19" max="19" width="5.85546875" customWidth="1"/>
    <col min="20" max="20" width="7.5703125" customWidth="1"/>
    <col min="21" max="21" width="6.85546875" customWidth="1"/>
    <col min="22" max="22" width="7" customWidth="1"/>
    <col min="23" max="23" width="6.7109375" customWidth="1"/>
    <col min="24" max="24" width="7.140625" customWidth="1"/>
    <col min="25" max="25" width="6.7109375" customWidth="1"/>
    <col min="26" max="26" width="7.28515625" customWidth="1"/>
    <col min="27" max="27" width="9.140625" style="33"/>
    <col min="28" max="28" width="9.140625" style="34"/>
    <col min="257" max="257" width="24.85546875" customWidth="1"/>
    <col min="258" max="258" width="8.42578125" customWidth="1"/>
    <col min="259" max="259" width="7.28515625" customWidth="1"/>
    <col min="260" max="260" width="7.140625" customWidth="1"/>
    <col min="261" max="261" width="7" customWidth="1"/>
    <col min="262" max="262" width="6.85546875" customWidth="1"/>
    <col min="263" max="263" width="6.5703125" customWidth="1"/>
    <col min="264" max="264" width="7" customWidth="1"/>
    <col min="265" max="265" width="6.5703125" customWidth="1"/>
    <col min="266" max="266" width="7" customWidth="1"/>
    <col min="267" max="267" width="6.7109375" customWidth="1"/>
    <col min="268" max="268" width="6.42578125" customWidth="1"/>
    <col min="269" max="269" width="6.7109375" customWidth="1"/>
    <col min="270" max="270" width="7.5703125" customWidth="1"/>
    <col min="271" max="272" width="6.85546875" customWidth="1"/>
    <col min="273" max="273" width="7.140625" customWidth="1"/>
    <col min="274" max="274" width="6.7109375" customWidth="1"/>
    <col min="275" max="275" width="5.85546875" customWidth="1"/>
    <col min="276" max="276" width="7.5703125" customWidth="1"/>
    <col min="277" max="277" width="6.85546875" customWidth="1"/>
    <col min="278" max="278" width="7" customWidth="1"/>
    <col min="279" max="279" width="6.7109375" customWidth="1"/>
    <col min="280" max="280" width="7.140625" customWidth="1"/>
    <col min="281" max="281" width="6.7109375" customWidth="1"/>
    <col min="282" max="282" width="7.28515625" customWidth="1"/>
    <col min="513" max="513" width="24.85546875" customWidth="1"/>
    <col min="514" max="514" width="8.42578125" customWidth="1"/>
    <col min="515" max="515" width="7.28515625" customWidth="1"/>
    <col min="516" max="516" width="7.140625" customWidth="1"/>
    <col min="517" max="517" width="7" customWidth="1"/>
    <col min="518" max="518" width="6.85546875" customWidth="1"/>
    <col min="519" max="519" width="6.5703125" customWidth="1"/>
    <col min="520" max="520" width="7" customWidth="1"/>
    <col min="521" max="521" width="6.5703125" customWidth="1"/>
    <col min="522" max="522" width="7" customWidth="1"/>
    <col min="523" max="523" width="6.7109375" customWidth="1"/>
    <col min="524" max="524" width="6.42578125" customWidth="1"/>
    <col min="525" max="525" width="6.7109375" customWidth="1"/>
    <col min="526" max="526" width="7.5703125" customWidth="1"/>
    <col min="527" max="528" width="6.85546875" customWidth="1"/>
    <col min="529" max="529" width="7.140625" customWidth="1"/>
    <col min="530" max="530" width="6.7109375" customWidth="1"/>
    <col min="531" max="531" width="5.85546875" customWidth="1"/>
    <col min="532" max="532" width="7.5703125" customWidth="1"/>
    <col min="533" max="533" width="6.85546875" customWidth="1"/>
    <col min="534" max="534" width="7" customWidth="1"/>
    <col min="535" max="535" width="6.7109375" customWidth="1"/>
    <col min="536" max="536" width="7.140625" customWidth="1"/>
    <col min="537" max="537" width="6.7109375" customWidth="1"/>
    <col min="538" max="538" width="7.28515625" customWidth="1"/>
    <col min="769" max="769" width="24.85546875" customWidth="1"/>
    <col min="770" max="770" width="8.42578125" customWidth="1"/>
    <col min="771" max="771" width="7.28515625" customWidth="1"/>
    <col min="772" max="772" width="7.140625" customWidth="1"/>
    <col min="773" max="773" width="7" customWidth="1"/>
    <col min="774" max="774" width="6.85546875" customWidth="1"/>
    <col min="775" max="775" width="6.5703125" customWidth="1"/>
    <col min="776" max="776" width="7" customWidth="1"/>
    <col min="777" max="777" width="6.5703125" customWidth="1"/>
    <col min="778" max="778" width="7" customWidth="1"/>
    <col min="779" max="779" width="6.7109375" customWidth="1"/>
    <col min="780" max="780" width="6.42578125" customWidth="1"/>
    <col min="781" max="781" width="6.7109375" customWidth="1"/>
    <col min="782" max="782" width="7.5703125" customWidth="1"/>
    <col min="783" max="784" width="6.85546875" customWidth="1"/>
    <col min="785" max="785" width="7.140625" customWidth="1"/>
    <col min="786" max="786" width="6.7109375" customWidth="1"/>
    <col min="787" max="787" width="5.85546875" customWidth="1"/>
    <col min="788" max="788" width="7.5703125" customWidth="1"/>
    <col min="789" max="789" width="6.85546875" customWidth="1"/>
    <col min="790" max="790" width="7" customWidth="1"/>
    <col min="791" max="791" width="6.7109375" customWidth="1"/>
    <col min="792" max="792" width="7.140625" customWidth="1"/>
    <col min="793" max="793" width="6.7109375" customWidth="1"/>
    <col min="794" max="794" width="7.28515625" customWidth="1"/>
    <col min="1025" max="1025" width="24.85546875" customWidth="1"/>
    <col min="1026" max="1026" width="8.42578125" customWidth="1"/>
    <col min="1027" max="1027" width="7.28515625" customWidth="1"/>
    <col min="1028" max="1028" width="7.140625" customWidth="1"/>
    <col min="1029" max="1029" width="7" customWidth="1"/>
    <col min="1030" max="1030" width="6.85546875" customWidth="1"/>
    <col min="1031" max="1031" width="6.5703125" customWidth="1"/>
    <col min="1032" max="1032" width="7" customWidth="1"/>
    <col min="1033" max="1033" width="6.5703125" customWidth="1"/>
    <col min="1034" max="1034" width="7" customWidth="1"/>
    <col min="1035" max="1035" width="6.7109375" customWidth="1"/>
    <col min="1036" max="1036" width="6.42578125" customWidth="1"/>
    <col min="1037" max="1037" width="6.7109375" customWidth="1"/>
    <col min="1038" max="1038" width="7.5703125" customWidth="1"/>
    <col min="1039" max="1040" width="6.85546875" customWidth="1"/>
    <col min="1041" max="1041" width="7.140625" customWidth="1"/>
    <col min="1042" max="1042" width="6.7109375" customWidth="1"/>
    <col min="1043" max="1043" width="5.85546875" customWidth="1"/>
    <col min="1044" max="1044" width="7.5703125" customWidth="1"/>
    <col min="1045" max="1045" width="6.85546875" customWidth="1"/>
    <col min="1046" max="1046" width="7" customWidth="1"/>
    <col min="1047" max="1047" width="6.7109375" customWidth="1"/>
    <col min="1048" max="1048" width="7.140625" customWidth="1"/>
    <col min="1049" max="1049" width="6.7109375" customWidth="1"/>
    <col min="1050" max="1050" width="7.28515625" customWidth="1"/>
    <col min="1281" max="1281" width="24.85546875" customWidth="1"/>
    <col min="1282" max="1282" width="8.42578125" customWidth="1"/>
    <col min="1283" max="1283" width="7.28515625" customWidth="1"/>
    <col min="1284" max="1284" width="7.140625" customWidth="1"/>
    <col min="1285" max="1285" width="7" customWidth="1"/>
    <col min="1286" max="1286" width="6.85546875" customWidth="1"/>
    <col min="1287" max="1287" width="6.5703125" customWidth="1"/>
    <col min="1288" max="1288" width="7" customWidth="1"/>
    <col min="1289" max="1289" width="6.5703125" customWidth="1"/>
    <col min="1290" max="1290" width="7" customWidth="1"/>
    <col min="1291" max="1291" width="6.7109375" customWidth="1"/>
    <col min="1292" max="1292" width="6.42578125" customWidth="1"/>
    <col min="1293" max="1293" width="6.7109375" customWidth="1"/>
    <col min="1294" max="1294" width="7.5703125" customWidth="1"/>
    <col min="1295" max="1296" width="6.85546875" customWidth="1"/>
    <col min="1297" max="1297" width="7.140625" customWidth="1"/>
    <col min="1298" max="1298" width="6.7109375" customWidth="1"/>
    <col min="1299" max="1299" width="5.85546875" customWidth="1"/>
    <col min="1300" max="1300" width="7.5703125" customWidth="1"/>
    <col min="1301" max="1301" width="6.85546875" customWidth="1"/>
    <col min="1302" max="1302" width="7" customWidth="1"/>
    <col min="1303" max="1303" width="6.7109375" customWidth="1"/>
    <col min="1304" max="1304" width="7.140625" customWidth="1"/>
    <col min="1305" max="1305" width="6.7109375" customWidth="1"/>
    <col min="1306" max="1306" width="7.28515625" customWidth="1"/>
    <col min="1537" max="1537" width="24.85546875" customWidth="1"/>
    <col min="1538" max="1538" width="8.42578125" customWidth="1"/>
    <col min="1539" max="1539" width="7.28515625" customWidth="1"/>
    <col min="1540" max="1540" width="7.140625" customWidth="1"/>
    <col min="1541" max="1541" width="7" customWidth="1"/>
    <col min="1542" max="1542" width="6.85546875" customWidth="1"/>
    <col min="1543" max="1543" width="6.5703125" customWidth="1"/>
    <col min="1544" max="1544" width="7" customWidth="1"/>
    <col min="1545" max="1545" width="6.5703125" customWidth="1"/>
    <col min="1546" max="1546" width="7" customWidth="1"/>
    <col min="1547" max="1547" width="6.7109375" customWidth="1"/>
    <col min="1548" max="1548" width="6.42578125" customWidth="1"/>
    <col min="1549" max="1549" width="6.7109375" customWidth="1"/>
    <col min="1550" max="1550" width="7.5703125" customWidth="1"/>
    <col min="1551" max="1552" width="6.85546875" customWidth="1"/>
    <col min="1553" max="1553" width="7.140625" customWidth="1"/>
    <col min="1554" max="1554" width="6.7109375" customWidth="1"/>
    <col min="1555" max="1555" width="5.85546875" customWidth="1"/>
    <col min="1556" max="1556" width="7.5703125" customWidth="1"/>
    <col min="1557" max="1557" width="6.85546875" customWidth="1"/>
    <col min="1558" max="1558" width="7" customWidth="1"/>
    <col min="1559" max="1559" width="6.7109375" customWidth="1"/>
    <col min="1560" max="1560" width="7.140625" customWidth="1"/>
    <col min="1561" max="1561" width="6.7109375" customWidth="1"/>
    <col min="1562" max="1562" width="7.28515625" customWidth="1"/>
    <col min="1793" max="1793" width="24.85546875" customWidth="1"/>
    <col min="1794" max="1794" width="8.42578125" customWidth="1"/>
    <col min="1795" max="1795" width="7.28515625" customWidth="1"/>
    <col min="1796" max="1796" width="7.140625" customWidth="1"/>
    <col min="1797" max="1797" width="7" customWidth="1"/>
    <col min="1798" max="1798" width="6.85546875" customWidth="1"/>
    <col min="1799" max="1799" width="6.5703125" customWidth="1"/>
    <col min="1800" max="1800" width="7" customWidth="1"/>
    <col min="1801" max="1801" width="6.5703125" customWidth="1"/>
    <col min="1802" max="1802" width="7" customWidth="1"/>
    <col min="1803" max="1803" width="6.7109375" customWidth="1"/>
    <col min="1804" max="1804" width="6.42578125" customWidth="1"/>
    <col min="1805" max="1805" width="6.7109375" customWidth="1"/>
    <col min="1806" max="1806" width="7.5703125" customWidth="1"/>
    <col min="1807" max="1808" width="6.85546875" customWidth="1"/>
    <col min="1809" max="1809" width="7.140625" customWidth="1"/>
    <col min="1810" max="1810" width="6.7109375" customWidth="1"/>
    <col min="1811" max="1811" width="5.85546875" customWidth="1"/>
    <col min="1812" max="1812" width="7.5703125" customWidth="1"/>
    <col min="1813" max="1813" width="6.85546875" customWidth="1"/>
    <col min="1814" max="1814" width="7" customWidth="1"/>
    <col min="1815" max="1815" width="6.7109375" customWidth="1"/>
    <col min="1816" max="1816" width="7.140625" customWidth="1"/>
    <col min="1817" max="1817" width="6.7109375" customWidth="1"/>
    <col min="1818" max="1818" width="7.28515625" customWidth="1"/>
    <col min="2049" max="2049" width="24.85546875" customWidth="1"/>
    <col min="2050" max="2050" width="8.42578125" customWidth="1"/>
    <col min="2051" max="2051" width="7.28515625" customWidth="1"/>
    <col min="2052" max="2052" width="7.140625" customWidth="1"/>
    <col min="2053" max="2053" width="7" customWidth="1"/>
    <col min="2054" max="2054" width="6.85546875" customWidth="1"/>
    <col min="2055" max="2055" width="6.5703125" customWidth="1"/>
    <col min="2056" max="2056" width="7" customWidth="1"/>
    <col min="2057" max="2057" width="6.5703125" customWidth="1"/>
    <col min="2058" max="2058" width="7" customWidth="1"/>
    <col min="2059" max="2059" width="6.7109375" customWidth="1"/>
    <col min="2060" max="2060" width="6.42578125" customWidth="1"/>
    <col min="2061" max="2061" width="6.7109375" customWidth="1"/>
    <col min="2062" max="2062" width="7.5703125" customWidth="1"/>
    <col min="2063" max="2064" width="6.85546875" customWidth="1"/>
    <col min="2065" max="2065" width="7.140625" customWidth="1"/>
    <col min="2066" max="2066" width="6.7109375" customWidth="1"/>
    <col min="2067" max="2067" width="5.85546875" customWidth="1"/>
    <col min="2068" max="2068" width="7.5703125" customWidth="1"/>
    <col min="2069" max="2069" width="6.85546875" customWidth="1"/>
    <col min="2070" max="2070" width="7" customWidth="1"/>
    <col min="2071" max="2071" width="6.7109375" customWidth="1"/>
    <col min="2072" max="2072" width="7.140625" customWidth="1"/>
    <col min="2073" max="2073" width="6.7109375" customWidth="1"/>
    <col min="2074" max="2074" width="7.28515625" customWidth="1"/>
    <col min="2305" max="2305" width="24.85546875" customWidth="1"/>
    <col min="2306" max="2306" width="8.42578125" customWidth="1"/>
    <col min="2307" max="2307" width="7.28515625" customWidth="1"/>
    <col min="2308" max="2308" width="7.140625" customWidth="1"/>
    <col min="2309" max="2309" width="7" customWidth="1"/>
    <col min="2310" max="2310" width="6.85546875" customWidth="1"/>
    <col min="2311" max="2311" width="6.5703125" customWidth="1"/>
    <col min="2312" max="2312" width="7" customWidth="1"/>
    <col min="2313" max="2313" width="6.5703125" customWidth="1"/>
    <col min="2314" max="2314" width="7" customWidth="1"/>
    <col min="2315" max="2315" width="6.7109375" customWidth="1"/>
    <col min="2316" max="2316" width="6.42578125" customWidth="1"/>
    <col min="2317" max="2317" width="6.7109375" customWidth="1"/>
    <col min="2318" max="2318" width="7.5703125" customWidth="1"/>
    <col min="2319" max="2320" width="6.85546875" customWidth="1"/>
    <col min="2321" max="2321" width="7.140625" customWidth="1"/>
    <col min="2322" max="2322" width="6.7109375" customWidth="1"/>
    <col min="2323" max="2323" width="5.85546875" customWidth="1"/>
    <col min="2324" max="2324" width="7.5703125" customWidth="1"/>
    <col min="2325" max="2325" width="6.85546875" customWidth="1"/>
    <col min="2326" max="2326" width="7" customWidth="1"/>
    <col min="2327" max="2327" width="6.7109375" customWidth="1"/>
    <col min="2328" max="2328" width="7.140625" customWidth="1"/>
    <col min="2329" max="2329" width="6.7109375" customWidth="1"/>
    <col min="2330" max="2330" width="7.28515625" customWidth="1"/>
    <col min="2561" max="2561" width="24.85546875" customWidth="1"/>
    <col min="2562" max="2562" width="8.42578125" customWidth="1"/>
    <col min="2563" max="2563" width="7.28515625" customWidth="1"/>
    <col min="2564" max="2564" width="7.140625" customWidth="1"/>
    <col min="2565" max="2565" width="7" customWidth="1"/>
    <col min="2566" max="2566" width="6.85546875" customWidth="1"/>
    <col min="2567" max="2567" width="6.5703125" customWidth="1"/>
    <col min="2568" max="2568" width="7" customWidth="1"/>
    <col min="2569" max="2569" width="6.5703125" customWidth="1"/>
    <col min="2570" max="2570" width="7" customWidth="1"/>
    <col min="2571" max="2571" width="6.7109375" customWidth="1"/>
    <col min="2572" max="2572" width="6.42578125" customWidth="1"/>
    <col min="2573" max="2573" width="6.7109375" customWidth="1"/>
    <col min="2574" max="2574" width="7.5703125" customWidth="1"/>
    <col min="2575" max="2576" width="6.85546875" customWidth="1"/>
    <col min="2577" max="2577" width="7.140625" customWidth="1"/>
    <col min="2578" max="2578" width="6.7109375" customWidth="1"/>
    <col min="2579" max="2579" width="5.85546875" customWidth="1"/>
    <col min="2580" max="2580" width="7.5703125" customWidth="1"/>
    <col min="2581" max="2581" width="6.85546875" customWidth="1"/>
    <col min="2582" max="2582" width="7" customWidth="1"/>
    <col min="2583" max="2583" width="6.7109375" customWidth="1"/>
    <col min="2584" max="2584" width="7.140625" customWidth="1"/>
    <col min="2585" max="2585" width="6.7109375" customWidth="1"/>
    <col min="2586" max="2586" width="7.28515625" customWidth="1"/>
    <col min="2817" max="2817" width="24.85546875" customWidth="1"/>
    <col min="2818" max="2818" width="8.42578125" customWidth="1"/>
    <col min="2819" max="2819" width="7.28515625" customWidth="1"/>
    <col min="2820" max="2820" width="7.140625" customWidth="1"/>
    <col min="2821" max="2821" width="7" customWidth="1"/>
    <col min="2822" max="2822" width="6.85546875" customWidth="1"/>
    <col min="2823" max="2823" width="6.5703125" customWidth="1"/>
    <col min="2824" max="2824" width="7" customWidth="1"/>
    <col min="2825" max="2825" width="6.5703125" customWidth="1"/>
    <col min="2826" max="2826" width="7" customWidth="1"/>
    <col min="2827" max="2827" width="6.7109375" customWidth="1"/>
    <col min="2828" max="2828" width="6.42578125" customWidth="1"/>
    <col min="2829" max="2829" width="6.7109375" customWidth="1"/>
    <col min="2830" max="2830" width="7.5703125" customWidth="1"/>
    <col min="2831" max="2832" width="6.85546875" customWidth="1"/>
    <col min="2833" max="2833" width="7.140625" customWidth="1"/>
    <col min="2834" max="2834" width="6.7109375" customWidth="1"/>
    <col min="2835" max="2835" width="5.85546875" customWidth="1"/>
    <col min="2836" max="2836" width="7.5703125" customWidth="1"/>
    <col min="2837" max="2837" width="6.85546875" customWidth="1"/>
    <col min="2838" max="2838" width="7" customWidth="1"/>
    <col min="2839" max="2839" width="6.7109375" customWidth="1"/>
    <col min="2840" max="2840" width="7.140625" customWidth="1"/>
    <col min="2841" max="2841" width="6.7109375" customWidth="1"/>
    <col min="2842" max="2842" width="7.28515625" customWidth="1"/>
    <col min="3073" max="3073" width="24.85546875" customWidth="1"/>
    <col min="3074" max="3074" width="8.42578125" customWidth="1"/>
    <col min="3075" max="3075" width="7.28515625" customWidth="1"/>
    <col min="3076" max="3076" width="7.140625" customWidth="1"/>
    <col min="3077" max="3077" width="7" customWidth="1"/>
    <col min="3078" max="3078" width="6.85546875" customWidth="1"/>
    <col min="3079" max="3079" width="6.5703125" customWidth="1"/>
    <col min="3080" max="3080" width="7" customWidth="1"/>
    <col min="3081" max="3081" width="6.5703125" customWidth="1"/>
    <col min="3082" max="3082" width="7" customWidth="1"/>
    <col min="3083" max="3083" width="6.7109375" customWidth="1"/>
    <col min="3084" max="3084" width="6.42578125" customWidth="1"/>
    <col min="3085" max="3085" width="6.7109375" customWidth="1"/>
    <col min="3086" max="3086" width="7.5703125" customWidth="1"/>
    <col min="3087" max="3088" width="6.85546875" customWidth="1"/>
    <col min="3089" max="3089" width="7.140625" customWidth="1"/>
    <col min="3090" max="3090" width="6.7109375" customWidth="1"/>
    <col min="3091" max="3091" width="5.85546875" customWidth="1"/>
    <col min="3092" max="3092" width="7.5703125" customWidth="1"/>
    <col min="3093" max="3093" width="6.85546875" customWidth="1"/>
    <col min="3094" max="3094" width="7" customWidth="1"/>
    <col min="3095" max="3095" width="6.7109375" customWidth="1"/>
    <col min="3096" max="3096" width="7.140625" customWidth="1"/>
    <col min="3097" max="3097" width="6.7109375" customWidth="1"/>
    <col min="3098" max="3098" width="7.28515625" customWidth="1"/>
    <col min="3329" max="3329" width="24.85546875" customWidth="1"/>
    <col min="3330" max="3330" width="8.42578125" customWidth="1"/>
    <col min="3331" max="3331" width="7.28515625" customWidth="1"/>
    <col min="3332" max="3332" width="7.140625" customWidth="1"/>
    <col min="3333" max="3333" width="7" customWidth="1"/>
    <col min="3334" max="3334" width="6.85546875" customWidth="1"/>
    <col min="3335" max="3335" width="6.5703125" customWidth="1"/>
    <col min="3336" max="3336" width="7" customWidth="1"/>
    <col min="3337" max="3337" width="6.5703125" customWidth="1"/>
    <col min="3338" max="3338" width="7" customWidth="1"/>
    <col min="3339" max="3339" width="6.7109375" customWidth="1"/>
    <col min="3340" max="3340" width="6.42578125" customWidth="1"/>
    <col min="3341" max="3341" width="6.7109375" customWidth="1"/>
    <col min="3342" max="3342" width="7.5703125" customWidth="1"/>
    <col min="3343" max="3344" width="6.85546875" customWidth="1"/>
    <col min="3345" max="3345" width="7.140625" customWidth="1"/>
    <col min="3346" max="3346" width="6.7109375" customWidth="1"/>
    <col min="3347" max="3347" width="5.85546875" customWidth="1"/>
    <col min="3348" max="3348" width="7.5703125" customWidth="1"/>
    <col min="3349" max="3349" width="6.85546875" customWidth="1"/>
    <col min="3350" max="3350" width="7" customWidth="1"/>
    <col min="3351" max="3351" width="6.7109375" customWidth="1"/>
    <col min="3352" max="3352" width="7.140625" customWidth="1"/>
    <col min="3353" max="3353" width="6.7109375" customWidth="1"/>
    <col min="3354" max="3354" width="7.28515625" customWidth="1"/>
    <col min="3585" max="3585" width="24.85546875" customWidth="1"/>
    <col min="3586" max="3586" width="8.42578125" customWidth="1"/>
    <col min="3587" max="3587" width="7.28515625" customWidth="1"/>
    <col min="3588" max="3588" width="7.140625" customWidth="1"/>
    <col min="3589" max="3589" width="7" customWidth="1"/>
    <col min="3590" max="3590" width="6.85546875" customWidth="1"/>
    <col min="3591" max="3591" width="6.5703125" customWidth="1"/>
    <col min="3592" max="3592" width="7" customWidth="1"/>
    <col min="3593" max="3593" width="6.5703125" customWidth="1"/>
    <col min="3594" max="3594" width="7" customWidth="1"/>
    <col min="3595" max="3595" width="6.7109375" customWidth="1"/>
    <col min="3596" max="3596" width="6.42578125" customWidth="1"/>
    <col min="3597" max="3597" width="6.7109375" customWidth="1"/>
    <col min="3598" max="3598" width="7.5703125" customWidth="1"/>
    <col min="3599" max="3600" width="6.85546875" customWidth="1"/>
    <col min="3601" max="3601" width="7.140625" customWidth="1"/>
    <col min="3602" max="3602" width="6.7109375" customWidth="1"/>
    <col min="3603" max="3603" width="5.85546875" customWidth="1"/>
    <col min="3604" max="3604" width="7.5703125" customWidth="1"/>
    <col min="3605" max="3605" width="6.85546875" customWidth="1"/>
    <col min="3606" max="3606" width="7" customWidth="1"/>
    <col min="3607" max="3607" width="6.7109375" customWidth="1"/>
    <col min="3608" max="3608" width="7.140625" customWidth="1"/>
    <col min="3609" max="3609" width="6.7109375" customWidth="1"/>
    <col min="3610" max="3610" width="7.28515625" customWidth="1"/>
    <col min="3841" max="3841" width="24.85546875" customWidth="1"/>
    <col min="3842" max="3842" width="8.42578125" customWidth="1"/>
    <col min="3843" max="3843" width="7.28515625" customWidth="1"/>
    <col min="3844" max="3844" width="7.140625" customWidth="1"/>
    <col min="3845" max="3845" width="7" customWidth="1"/>
    <col min="3846" max="3846" width="6.85546875" customWidth="1"/>
    <col min="3847" max="3847" width="6.5703125" customWidth="1"/>
    <col min="3848" max="3848" width="7" customWidth="1"/>
    <col min="3849" max="3849" width="6.5703125" customWidth="1"/>
    <col min="3850" max="3850" width="7" customWidth="1"/>
    <col min="3851" max="3851" width="6.7109375" customWidth="1"/>
    <col min="3852" max="3852" width="6.42578125" customWidth="1"/>
    <col min="3853" max="3853" width="6.7109375" customWidth="1"/>
    <col min="3854" max="3854" width="7.5703125" customWidth="1"/>
    <col min="3855" max="3856" width="6.85546875" customWidth="1"/>
    <col min="3857" max="3857" width="7.140625" customWidth="1"/>
    <col min="3858" max="3858" width="6.7109375" customWidth="1"/>
    <col min="3859" max="3859" width="5.85546875" customWidth="1"/>
    <col min="3860" max="3860" width="7.5703125" customWidth="1"/>
    <col min="3861" max="3861" width="6.85546875" customWidth="1"/>
    <col min="3862" max="3862" width="7" customWidth="1"/>
    <col min="3863" max="3863" width="6.7109375" customWidth="1"/>
    <col min="3864" max="3864" width="7.140625" customWidth="1"/>
    <col min="3865" max="3865" width="6.7109375" customWidth="1"/>
    <col min="3866" max="3866" width="7.28515625" customWidth="1"/>
    <col min="4097" max="4097" width="24.85546875" customWidth="1"/>
    <col min="4098" max="4098" width="8.42578125" customWidth="1"/>
    <col min="4099" max="4099" width="7.28515625" customWidth="1"/>
    <col min="4100" max="4100" width="7.140625" customWidth="1"/>
    <col min="4101" max="4101" width="7" customWidth="1"/>
    <col min="4102" max="4102" width="6.85546875" customWidth="1"/>
    <col min="4103" max="4103" width="6.5703125" customWidth="1"/>
    <col min="4104" max="4104" width="7" customWidth="1"/>
    <col min="4105" max="4105" width="6.5703125" customWidth="1"/>
    <col min="4106" max="4106" width="7" customWidth="1"/>
    <col min="4107" max="4107" width="6.7109375" customWidth="1"/>
    <col min="4108" max="4108" width="6.42578125" customWidth="1"/>
    <col min="4109" max="4109" width="6.7109375" customWidth="1"/>
    <col min="4110" max="4110" width="7.5703125" customWidth="1"/>
    <col min="4111" max="4112" width="6.85546875" customWidth="1"/>
    <col min="4113" max="4113" width="7.140625" customWidth="1"/>
    <col min="4114" max="4114" width="6.7109375" customWidth="1"/>
    <col min="4115" max="4115" width="5.85546875" customWidth="1"/>
    <col min="4116" max="4116" width="7.5703125" customWidth="1"/>
    <col min="4117" max="4117" width="6.85546875" customWidth="1"/>
    <col min="4118" max="4118" width="7" customWidth="1"/>
    <col min="4119" max="4119" width="6.7109375" customWidth="1"/>
    <col min="4120" max="4120" width="7.140625" customWidth="1"/>
    <col min="4121" max="4121" width="6.7109375" customWidth="1"/>
    <col min="4122" max="4122" width="7.28515625" customWidth="1"/>
    <col min="4353" max="4353" width="24.85546875" customWidth="1"/>
    <col min="4354" max="4354" width="8.42578125" customWidth="1"/>
    <col min="4355" max="4355" width="7.28515625" customWidth="1"/>
    <col min="4356" max="4356" width="7.140625" customWidth="1"/>
    <col min="4357" max="4357" width="7" customWidth="1"/>
    <col min="4358" max="4358" width="6.85546875" customWidth="1"/>
    <col min="4359" max="4359" width="6.5703125" customWidth="1"/>
    <col min="4360" max="4360" width="7" customWidth="1"/>
    <col min="4361" max="4361" width="6.5703125" customWidth="1"/>
    <col min="4362" max="4362" width="7" customWidth="1"/>
    <col min="4363" max="4363" width="6.7109375" customWidth="1"/>
    <col min="4364" max="4364" width="6.42578125" customWidth="1"/>
    <col min="4365" max="4365" width="6.7109375" customWidth="1"/>
    <col min="4366" max="4366" width="7.5703125" customWidth="1"/>
    <col min="4367" max="4368" width="6.85546875" customWidth="1"/>
    <col min="4369" max="4369" width="7.140625" customWidth="1"/>
    <col min="4370" max="4370" width="6.7109375" customWidth="1"/>
    <col min="4371" max="4371" width="5.85546875" customWidth="1"/>
    <col min="4372" max="4372" width="7.5703125" customWidth="1"/>
    <col min="4373" max="4373" width="6.85546875" customWidth="1"/>
    <col min="4374" max="4374" width="7" customWidth="1"/>
    <col min="4375" max="4375" width="6.7109375" customWidth="1"/>
    <col min="4376" max="4376" width="7.140625" customWidth="1"/>
    <col min="4377" max="4377" width="6.7109375" customWidth="1"/>
    <col min="4378" max="4378" width="7.28515625" customWidth="1"/>
    <col min="4609" max="4609" width="24.85546875" customWidth="1"/>
    <col min="4610" max="4610" width="8.42578125" customWidth="1"/>
    <col min="4611" max="4611" width="7.28515625" customWidth="1"/>
    <col min="4612" max="4612" width="7.140625" customWidth="1"/>
    <col min="4613" max="4613" width="7" customWidth="1"/>
    <col min="4614" max="4614" width="6.85546875" customWidth="1"/>
    <col min="4615" max="4615" width="6.5703125" customWidth="1"/>
    <col min="4616" max="4616" width="7" customWidth="1"/>
    <col min="4617" max="4617" width="6.5703125" customWidth="1"/>
    <col min="4618" max="4618" width="7" customWidth="1"/>
    <col min="4619" max="4619" width="6.7109375" customWidth="1"/>
    <col min="4620" max="4620" width="6.42578125" customWidth="1"/>
    <col min="4621" max="4621" width="6.7109375" customWidth="1"/>
    <col min="4622" max="4622" width="7.5703125" customWidth="1"/>
    <col min="4623" max="4624" width="6.85546875" customWidth="1"/>
    <col min="4625" max="4625" width="7.140625" customWidth="1"/>
    <col min="4626" max="4626" width="6.7109375" customWidth="1"/>
    <col min="4627" max="4627" width="5.85546875" customWidth="1"/>
    <col min="4628" max="4628" width="7.5703125" customWidth="1"/>
    <col min="4629" max="4629" width="6.85546875" customWidth="1"/>
    <col min="4630" max="4630" width="7" customWidth="1"/>
    <col min="4631" max="4631" width="6.7109375" customWidth="1"/>
    <col min="4632" max="4632" width="7.140625" customWidth="1"/>
    <col min="4633" max="4633" width="6.7109375" customWidth="1"/>
    <col min="4634" max="4634" width="7.28515625" customWidth="1"/>
    <col min="4865" max="4865" width="24.85546875" customWidth="1"/>
    <col min="4866" max="4866" width="8.42578125" customWidth="1"/>
    <col min="4867" max="4867" width="7.28515625" customWidth="1"/>
    <col min="4868" max="4868" width="7.140625" customWidth="1"/>
    <col min="4869" max="4869" width="7" customWidth="1"/>
    <col min="4870" max="4870" width="6.85546875" customWidth="1"/>
    <col min="4871" max="4871" width="6.5703125" customWidth="1"/>
    <col min="4872" max="4872" width="7" customWidth="1"/>
    <col min="4873" max="4873" width="6.5703125" customWidth="1"/>
    <col min="4874" max="4874" width="7" customWidth="1"/>
    <col min="4875" max="4875" width="6.7109375" customWidth="1"/>
    <col min="4876" max="4876" width="6.42578125" customWidth="1"/>
    <col min="4877" max="4877" width="6.7109375" customWidth="1"/>
    <col min="4878" max="4878" width="7.5703125" customWidth="1"/>
    <col min="4879" max="4880" width="6.85546875" customWidth="1"/>
    <col min="4881" max="4881" width="7.140625" customWidth="1"/>
    <col min="4882" max="4882" width="6.7109375" customWidth="1"/>
    <col min="4883" max="4883" width="5.85546875" customWidth="1"/>
    <col min="4884" max="4884" width="7.5703125" customWidth="1"/>
    <col min="4885" max="4885" width="6.85546875" customWidth="1"/>
    <col min="4886" max="4886" width="7" customWidth="1"/>
    <col min="4887" max="4887" width="6.7109375" customWidth="1"/>
    <col min="4888" max="4888" width="7.140625" customWidth="1"/>
    <col min="4889" max="4889" width="6.7109375" customWidth="1"/>
    <col min="4890" max="4890" width="7.28515625" customWidth="1"/>
    <col min="5121" max="5121" width="24.85546875" customWidth="1"/>
    <col min="5122" max="5122" width="8.42578125" customWidth="1"/>
    <col min="5123" max="5123" width="7.28515625" customWidth="1"/>
    <col min="5124" max="5124" width="7.140625" customWidth="1"/>
    <col min="5125" max="5125" width="7" customWidth="1"/>
    <col min="5126" max="5126" width="6.85546875" customWidth="1"/>
    <col min="5127" max="5127" width="6.5703125" customWidth="1"/>
    <col min="5128" max="5128" width="7" customWidth="1"/>
    <col min="5129" max="5129" width="6.5703125" customWidth="1"/>
    <col min="5130" max="5130" width="7" customWidth="1"/>
    <col min="5131" max="5131" width="6.7109375" customWidth="1"/>
    <col min="5132" max="5132" width="6.42578125" customWidth="1"/>
    <col min="5133" max="5133" width="6.7109375" customWidth="1"/>
    <col min="5134" max="5134" width="7.5703125" customWidth="1"/>
    <col min="5135" max="5136" width="6.85546875" customWidth="1"/>
    <col min="5137" max="5137" width="7.140625" customWidth="1"/>
    <col min="5138" max="5138" width="6.7109375" customWidth="1"/>
    <col min="5139" max="5139" width="5.85546875" customWidth="1"/>
    <col min="5140" max="5140" width="7.5703125" customWidth="1"/>
    <col min="5141" max="5141" width="6.85546875" customWidth="1"/>
    <col min="5142" max="5142" width="7" customWidth="1"/>
    <col min="5143" max="5143" width="6.7109375" customWidth="1"/>
    <col min="5144" max="5144" width="7.140625" customWidth="1"/>
    <col min="5145" max="5145" width="6.7109375" customWidth="1"/>
    <col min="5146" max="5146" width="7.28515625" customWidth="1"/>
    <col min="5377" max="5377" width="24.85546875" customWidth="1"/>
    <col min="5378" max="5378" width="8.42578125" customWidth="1"/>
    <col min="5379" max="5379" width="7.28515625" customWidth="1"/>
    <col min="5380" max="5380" width="7.140625" customWidth="1"/>
    <col min="5381" max="5381" width="7" customWidth="1"/>
    <col min="5382" max="5382" width="6.85546875" customWidth="1"/>
    <col min="5383" max="5383" width="6.5703125" customWidth="1"/>
    <col min="5384" max="5384" width="7" customWidth="1"/>
    <col min="5385" max="5385" width="6.5703125" customWidth="1"/>
    <col min="5386" max="5386" width="7" customWidth="1"/>
    <col min="5387" max="5387" width="6.7109375" customWidth="1"/>
    <col min="5388" max="5388" width="6.42578125" customWidth="1"/>
    <col min="5389" max="5389" width="6.7109375" customWidth="1"/>
    <col min="5390" max="5390" width="7.5703125" customWidth="1"/>
    <col min="5391" max="5392" width="6.85546875" customWidth="1"/>
    <col min="5393" max="5393" width="7.140625" customWidth="1"/>
    <col min="5394" max="5394" width="6.7109375" customWidth="1"/>
    <col min="5395" max="5395" width="5.85546875" customWidth="1"/>
    <col min="5396" max="5396" width="7.5703125" customWidth="1"/>
    <col min="5397" max="5397" width="6.85546875" customWidth="1"/>
    <col min="5398" max="5398" width="7" customWidth="1"/>
    <col min="5399" max="5399" width="6.7109375" customWidth="1"/>
    <col min="5400" max="5400" width="7.140625" customWidth="1"/>
    <col min="5401" max="5401" width="6.7109375" customWidth="1"/>
    <col min="5402" max="5402" width="7.28515625" customWidth="1"/>
    <col min="5633" max="5633" width="24.85546875" customWidth="1"/>
    <col min="5634" max="5634" width="8.42578125" customWidth="1"/>
    <col min="5635" max="5635" width="7.28515625" customWidth="1"/>
    <col min="5636" max="5636" width="7.140625" customWidth="1"/>
    <col min="5637" max="5637" width="7" customWidth="1"/>
    <col min="5638" max="5638" width="6.85546875" customWidth="1"/>
    <col min="5639" max="5639" width="6.5703125" customWidth="1"/>
    <col min="5640" max="5640" width="7" customWidth="1"/>
    <col min="5641" max="5641" width="6.5703125" customWidth="1"/>
    <col min="5642" max="5642" width="7" customWidth="1"/>
    <col min="5643" max="5643" width="6.7109375" customWidth="1"/>
    <col min="5644" max="5644" width="6.42578125" customWidth="1"/>
    <col min="5645" max="5645" width="6.7109375" customWidth="1"/>
    <col min="5646" max="5646" width="7.5703125" customWidth="1"/>
    <col min="5647" max="5648" width="6.85546875" customWidth="1"/>
    <col min="5649" max="5649" width="7.140625" customWidth="1"/>
    <col min="5650" max="5650" width="6.7109375" customWidth="1"/>
    <col min="5651" max="5651" width="5.85546875" customWidth="1"/>
    <col min="5652" max="5652" width="7.5703125" customWidth="1"/>
    <col min="5653" max="5653" width="6.85546875" customWidth="1"/>
    <col min="5654" max="5654" width="7" customWidth="1"/>
    <col min="5655" max="5655" width="6.7109375" customWidth="1"/>
    <col min="5656" max="5656" width="7.140625" customWidth="1"/>
    <col min="5657" max="5657" width="6.7109375" customWidth="1"/>
    <col min="5658" max="5658" width="7.28515625" customWidth="1"/>
    <col min="5889" max="5889" width="24.85546875" customWidth="1"/>
    <col min="5890" max="5890" width="8.42578125" customWidth="1"/>
    <col min="5891" max="5891" width="7.28515625" customWidth="1"/>
    <col min="5892" max="5892" width="7.140625" customWidth="1"/>
    <col min="5893" max="5893" width="7" customWidth="1"/>
    <col min="5894" max="5894" width="6.85546875" customWidth="1"/>
    <col min="5895" max="5895" width="6.5703125" customWidth="1"/>
    <col min="5896" max="5896" width="7" customWidth="1"/>
    <col min="5897" max="5897" width="6.5703125" customWidth="1"/>
    <col min="5898" max="5898" width="7" customWidth="1"/>
    <col min="5899" max="5899" width="6.7109375" customWidth="1"/>
    <col min="5900" max="5900" width="6.42578125" customWidth="1"/>
    <col min="5901" max="5901" width="6.7109375" customWidth="1"/>
    <col min="5902" max="5902" width="7.5703125" customWidth="1"/>
    <col min="5903" max="5904" width="6.85546875" customWidth="1"/>
    <col min="5905" max="5905" width="7.140625" customWidth="1"/>
    <col min="5906" max="5906" width="6.7109375" customWidth="1"/>
    <col min="5907" max="5907" width="5.85546875" customWidth="1"/>
    <col min="5908" max="5908" width="7.5703125" customWidth="1"/>
    <col min="5909" max="5909" width="6.85546875" customWidth="1"/>
    <col min="5910" max="5910" width="7" customWidth="1"/>
    <col min="5911" max="5911" width="6.7109375" customWidth="1"/>
    <col min="5912" max="5912" width="7.140625" customWidth="1"/>
    <col min="5913" max="5913" width="6.7109375" customWidth="1"/>
    <col min="5914" max="5914" width="7.28515625" customWidth="1"/>
    <col min="6145" max="6145" width="24.85546875" customWidth="1"/>
    <col min="6146" max="6146" width="8.42578125" customWidth="1"/>
    <col min="6147" max="6147" width="7.28515625" customWidth="1"/>
    <col min="6148" max="6148" width="7.140625" customWidth="1"/>
    <col min="6149" max="6149" width="7" customWidth="1"/>
    <col min="6150" max="6150" width="6.85546875" customWidth="1"/>
    <col min="6151" max="6151" width="6.5703125" customWidth="1"/>
    <col min="6152" max="6152" width="7" customWidth="1"/>
    <col min="6153" max="6153" width="6.5703125" customWidth="1"/>
    <col min="6154" max="6154" width="7" customWidth="1"/>
    <col min="6155" max="6155" width="6.7109375" customWidth="1"/>
    <col min="6156" max="6156" width="6.42578125" customWidth="1"/>
    <col min="6157" max="6157" width="6.7109375" customWidth="1"/>
    <col min="6158" max="6158" width="7.5703125" customWidth="1"/>
    <col min="6159" max="6160" width="6.85546875" customWidth="1"/>
    <col min="6161" max="6161" width="7.140625" customWidth="1"/>
    <col min="6162" max="6162" width="6.7109375" customWidth="1"/>
    <col min="6163" max="6163" width="5.85546875" customWidth="1"/>
    <col min="6164" max="6164" width="7.5703125" customWidth="1"/>
    <col min="6165" max="6165" width="6.85546875" customWidth="1"/>
    <col min="6166" max="6166" width="7" customWidth="1"/>
    <col min="6167" max="6167" width="6.7109375" customWidth="1"/>
    <col min="6168" max="6168" width="7.140625" customWidth="1"/>
    <col min="6169" max="6169" width="6.7109375" customWidth="1"/>
    <col min="6170" max="6170" width="7.28515625" customWidth="1"/>
    <col min="6401" max="6401" width="24.85546875" customWidth="1"/>
    <col min="6402" max="6402" width="8.42578125" customWidth="1"/>
    <col min="6403" max="6403" width="7.28515625" customWidth="1"/>
    <col min="6404" max="6404" width="7.140625" customWidth="1"/>
    <col min="6405" max="6405" width="7" customWidth="1"/>
    <col min="6406" max="6406" width="6.85546875" customWidth="1"/>
    <col min="6407" max="6407" width="6.5703125" customWidth="1"/>
    <col min="6408" max="6408" width="7" customWidth="1"/>
    <col min="6409" max="6409" width="6.5703125" customWidth="1"/>
    <col min="6410" max="6410" width="7" customWidth="1"/>
    <col min="6411" max="6411" width="6.7109375" customWidth="1"/>
    <col min="6412" max="6412" width="6.42578125" customWidth="1"/>
    <col min="6413" max="6413" width="6.7109375" customWidth="1"/>
    <col min="6414" max="6414" width="7.5703125" customWidth="1"/>
    <col min="6415" max="6416" width="6.85546875" customWidth="1"/>
    <col min="6417" max="6417" width="7.140625" customWidth="1"/>
    <col min="6418" max="6418" width="6.7109375" customWidth="1"/>
    <col min="6419" max="6419" width="5.85546875" customWidth="1"/>
    <col min="6420" max="6420" width="7.5703125" customWidth="1"/>
    <col min="6421" max="6421" width="6.85546875" customWidth="1"/>
    <col min="6422" max="6422" width="7" customWidth="1"/>
    <col min="6423" max="6423" width="6.7109375" customWidth="1"/>
    <col min="6424" max="6424" width="7.140625" customWidth="1"/>
    <col min="6425" max="6425" width="6.7109375" customWidth="1"/>
    <col min="6426" max="6426" width="7.28515625" customWidth="1"/>
    <col min="6657" max="6657" width="24.85546875" customWidth="1"/>
    <col min="6658" max="6658" width="8.42578125" customWidth="1"/>
    <col min="6659" max="6659" width="7.28515625" customWidth="1"/>
    <col min="6660" max="6660" width="7.140625" customWidth="1"/>
    <col min="6661" max="6661" width="7" customWidth="1"/>
    <col min="6662" max="6662" width="6.85546875" customWidth="1"/>
    <col min="6663" max="6663" width="6.5703125" customWidth="1"/>
    <col min="6664" max="6664" width="7" customWidth="1"/>
    <col min="6665" max="6665" width="6.5703125" customWidth="1"/>
    <col min="6666" max="6666" width="7" customWidth="1"/>
    <col min="6667" max="6667" width="6.7109375" customWidth="1"/>
    <col min="6668" max="6668" width="6.42578125" customWidth="1"/>
    <col min="6669" max="6669" width="6.7109375" customWidth="1"/>
    <col min="6670" max="6670" width="7.5703125" customWidth="1"/>
    <col min="6671" max="6672" width="6.85546875" customWidth="1"/>
    <col min="6673" max="6673" width="7.140625" customWidth="1"/>
    <col min="6674" max="6674" width="6.7109375" customWidth="1"/>
    <col min="6675" max="6675" width="5.85546875" customWidth="1"/>
    <col min="6676" max="6676" width="7.5703125" customWidth="1"/>
    <col min="6677" max="6677" width="6.85546875" customWidth="1"/>
    <col min="6678" max="6678" width="7" customWidth="1"/>
    <col min="6679" max="6679" width="6.7109375" customWidth="1"/>
    <col min="6680" max="6680" width="7.140625" customWidth="1"/>
    <col min="6681" max="6681" width="6.7109375" customWidth="1"/>
    <col min="6682" max="6682" width="7.28515625" customWidth="1"/>
    <col min="6913" max="6913" width="24.85546875" customWidth="1"/>
    <col min="6914" max="6914" width="8.42578125" customWidth="1"/>
    <col min="6915" max="6915" width="7.28515625" customWidth="1"/>
    <col min="6916" max="6916" width="7.140625" customWidth="1"/>
    <col min="6917" max="6917" width="7" customWidth="1"/>
    <col min="6918" max="6918" width="6.85546875" customWidth="1"/>
    <col min="6919" max="6919" width="6.5703125" customWidth="1"/>
    <col min="6920" max="6920" width="7" customWidth="1"/>
    <col min="6921" max="6921" width="6.5703125" customWidth="1"/>
    <col min="6922" max="6922" width="7" customWidth="1"/>
    <col min="6923" max="6923" width="6.7109375" customWidth="1"/>
    <col min="6924" max="6924" width="6.42578125" customWidth="1"/>
    <col min="6925" max="6925" width="6.7109375" customWidth="1"/>
    <col min="6926" max="6926" width="7.5703125" customWidth="1"/>
    <col min="6927" max="6928" width="6.85546875" customWidth="1"/>
    <col min="6929" max="6929" width="7.140625" customWidth="1"/>
    <col min="6930" max="6930" width="6.7109375" customWidth="1"/>
    <col min="6931" max="6931" width="5.85546875" customWidth="1"/>
    <col min="6932" max="6932" width="7.5703125" customWidth="1"/>
    <col min="6933" max="6933" width="6.85546875" customWidth="1"/>
    <col min="6934" max="6934" width="7" customWidth="1"/>
    <col min="6935" max="6935" width="6.7109375" customWidth="1"/>
    <col min="6936" max="6936" width="7.140625" customWidth="1"/>
    <col min="6937" max="6937" width="6.7109375" customWidth="1"/>
    <col min="6938" max="6938" width="7.28515625" customWidth="1"/>
    <col min="7169" max="7169" width="24.85546875" customWidth="1"/>
    <col min="7170" max="7170" width="8.42578125" customWidth="1"/>
    <col min="7171" max="7171" width="7.28515625" customWidth="1"/>
    <col min="7172" max="7172" width="7.140625" customWidth="1"/>
    <col min="7173" max="7173" width="7" customWidth="1"/>
    <col min="7174" max="7174" width="6.85546875" customWidth="1"/>
    <col min="7175" max="7175" width="6.5703125" customWidth="1"/>
    <col min="7176" max="7176" width="7" customWidth="1"/>
    <col min="7177" max="7177" width="6.5703125" customWidth="1"/>
    <col min="7178" max="7178" width="7" customWidth="1"/>
    <col min="7179" max="7179" width="6.7109375" customWidth="1"/>
    <col min="7180" max="7180" width="6.42578125" customWidth="1"/>
    <col min="7181" max="7181" width="6.7109375" customWidth="1"/>
    <col min="7182" max="7182" width="7.5703125" customWidth="1"/>
    <col min="7183" max="7184" width="6.85546875" customWidth="1"/>
    <col min="7185" max="7185" width="7.140625" customWidth="1"/>
    <col min="7186" max="7186" width="6.7109375" customWidth="1"/>
    <col min="7187" max="7187" width="5.85546875" customWidth="1"/>
    <col min="7188" max="7188" width="7.5703125" customWidth="1"/>
    <col min="7189" max="7189" width="6.85546875" customWidth="1"/>
    <col min="7190" max="7190" width="7" customWidth="1"/>
    <col min="7191" max="7191" width="6.7109375" customWidth="1"/>
    <col min="7192" max="7192" width="7.140625" customWidth="1"/>
    <col min="7193" max="7193" width="6.7109375" customWidth="1"/>
    <col min="7194" max="7194" width="7.28515625" customWidth="1"/>
    <col min="7425" max="7425" width="24.85546875" customWidth="1"/>
    <col min="7426" max="7426" width="8.42578125" customWidth="1"/>
    <col min="7427" max="7427" width="7.28515625" customWidth="1"/>
    <col min="7428" max="7428" width="7.140625" customWidth="1"/>
    <col min="7429" max="7429" width="7" customWidth="1"/>
    <col min="7430" max="7430" width="6.85546875" customWidth="1"/>
    <col min="7431" max="7431" width="6.5703125" customWidth="1"/>
    <col min="7432" max="7432" width="7" customWidth="1"/>
    <col min="7433" max="7433" width="6.5703125" customWidth="1"/>
    <col min="7434" max="7434" width="7" customWidth="1"/>
    <col min="7435" max="7435" width="6.7109375" customWidth="1"/>
    <col min="7436" max="7436" width="6.42578125" customWidth="1"/>
    <col min="7437" max="7437" width="6.7109375" customWidth="1"/>
    <col min="7438" max="7438" width="7.5703125" customWidth="1"/>
    <col min="7439" max="7440" width="6.85546875" customWidth="1"/>
    <col min="7441" max="7441" width="7.140625" customWidth="1"/>
    <col min="7442" max="7442" width="6.7109375" customWidth="1"/>
    <col min="7443" max="7443" width="5.85546875" customWidth="1"/>
    <col min="7444" max="7444" width="7.5703125" customWidth="1"/>
    <col min="7445" max="7445" width="6.85546875" customWidth="1"/>
    <col min="7446" max="7446" width="7" customWidth="1"/>
    <col min="7447" max="7447" width="6.7109375" customWidth="1"/>
    <col min="7448" max="7448" width="7.140625" customWidth="1"/>
    <col min="7449" max="7449" width="6.7109375" customWidth="1"/>
    <col min="7450" max="7450" width="7.28515625" customWidth="1"/>
    <col min="7681" max="7681" width="24.85546875" customWidth="1"/>
    <col min="7682" max="7682" width="8.42578125" customWidth="1"/>
    <col min="7683" max="7683" width="7.28515625" customWidth="1"/>
    <col min="7684" max="7684" width="7.140625" customWidth="1"/>
    <col min="7685" max="7685" width="7" customWidth="1"/>
    <col min="7686" max="7686" width="6.85546875" customWidth="1"/>
    <col min="7687" max="7687" width="6.5703125" customWidth="1"/>
    <col min="7688" max="7688" width="7" customWidth="1"/>
    <col min="7689" max="7689" width="6.5703125" customWidth="1"/>
    <col min="7690" max="7690" width="7" customWidth="1"/>
    <col min="7691" max="7691" width="6.7109375" customWidth="1"/>
    <col min="7692" max="7692" width="6.42578125" customWidth="1"/>
    <col min="7693" max="7693" width="6.7109375" customWidth="1"/>
    <col min="7694" max="7694" width="7.5703125" customWidth="1"/>
    <col min="7695" max="7696" width="6.85546875" customWidth="1"/>
    <col min="7697" max="7697" width="7.140625" customWidth="1"/>
    <col min="7698" max="7698" width="6.7109375" customWidth="1"/>
    <col min="7699" max="7699" width="5.85546875" customWidth="1"/>
    <col min="7700" max="7700" width="7.5703125" customWidth="1"/>
    <col min="7701" max="7701" width="6.85546875" customWidth="1"/>
    <col min="7702" max="7702" width="7" customWidth="1"/>
    <col min="7703" max="7703" width="6.7109375" customWidth="1"/>
    <col min="7704" max="7704" width="7.140625" customWidth="1"/>
    <col min="7705" max="7705" width="6.7109375" customWidth="1"/>
    <col min="7706" max="7706" width="7.28515625" customWidth="1"/>
    <col min="7937" max="7937" width="24.85546875" customWidth="1"/>
    <col min="7938" max="7938" width="8.42578125" customWidth="1"/>
    <col min="7939" max="7939" width="7.28515625" customWidth="1"/>
    <col min="7940" max="7940" width="7.140625" customWidth="1"/>
    <col min="7941" max="7941" width="7" customWidth="1"/>
    <col min="7942" max="7942" width="6.85546875" customWidth="1"/>
    <col min="7943" max="7943" width="6.5703125" customWidth="1"/>
    <col min="7944" max="7944" width="7" customWidth="1"/>
    <col min="7945" max="7945" width="6.5703125" customWidth="1"/>
    <col min="7946" max="7946" width="7" customWidth="1"/>
    <col min="7947" max="7947" width="6.7109375" customWidth="1"/>
    <col min="7948" max="7948" width="6.42578125" customWidth="1"/>
    <col min="7949" max="7949" width="6.7109375" customWidth="1"/>
    <col min="7950" max="7950" width="7.5703125" customWidth="1"/>
    <col min="7951" max="7952" width="6.85546875" customWidth="1"/>
    <col min="7953" max="7953" width="7.140625" customWidth="1"/>
    <col min="7954" max="7954" width="6.7109375" customWidth="1"/>
    <col min="7955" max="7955" width="5.85546875" customWidth="1"/>
    <col min="7956" max="7956" width="7.5703125" customWidth="1"/>
    <col min="7957" max="7957" width="6.85546875" customWidth="1"/>
    <col min="7958" max="7958" width="7" customWidth="1"/>
    <col min="7959" max="7959" width="6.7109375" customWidth="1"/>
    <col min="7960" max="7960" width="7.140625" customWidth="1"/>
    <col min="7961" max="7961" width="6.7109375" customWidth="1"/>
    <col min="7962" max="7962" width="7.28515625" customWidth="1"/>
    <col min="8193" max="8193" width="24.85546875" customWidth="1"/>
    <col min="8194" max="8194" width="8.42578125" customWidth="1"/>
    <col min="8195" max="8195" width="7.28515625" customWidth="1"/>
    <col min="8196" max="8196" width="7.140625" customWidth="1"/>
    <col min="8197" max="8197" width="7" customWidth="1"/>
    <col min="8198" max="8198" width="6.85546875" customWidth="1"/>
    <col min="8199" max="8199" width="6.5703125" customWidth="1"/>
    <col min="8200" max="8200" width="7" customWidth="1"/>
    <col min="8201" max="8201" width="6.5703125" customWidth="1"/>
    <col min="8202" max="8202" width="7" customWidth="1"/>
    <col min="8203" max="8203" width="6.7109375" customWidth="1"/>
    <col min="8204" max="8204" width="6.42578125" customWidth="1"/>
    <col min="8205" max="8205" width="6.7109375" customWidth="1"/>
    <col min="8206" max="8206" width="7.5703125" customWidth="1"/>
    <col min="8207" max="8208" width="6.85546875" customWidth="1"/>
    <col min="8209" max="8209" width="7.140625" customWidth="1"/>
    <col min="8210" max="8210" width="6.7109375" customWidth="1"/>
    <col min="8211" max="8211" width="5.85546875" customWidth="1"/>
    <col min="8212" max="8212" width="7.5703125" customWidth="1"/>
    <col min="8213" max="8213" width="6.85546875" customWidth="1"/>
    <col min="8214" max="8214" width="7" customWidth="1"/>
    <col min="8215" max="8215" width="6.7109375" customWidth="1"/>
    <col min="8216" max="8216" width="7.140625" customWidth="1"/>
    <col min="8217" max="8217" width="6.7109375" customWidth="1"/>
    <col min="8218" max="8218" width="7.28515625" customWidth="1"/>
    <col min="8449" max="8449" width="24.85546875" customWidth="1"/>
    <col min="8450" max="8450" width="8.42578125" customWidth="1"/>
    <col min="8451" max="8451" width="7.28515625" customWidth="1"/>
    <col min="8452" max="8452" width="7.140625" customWidth="1"/>
    <col min="8453" max="8453" width="7" customWidth="1"/>
    <col min="8454" max="8454" width="6.85546875" customWidth="1"/>
    <col min="8455" max="8455" width="6.5703125" customWidth="1"/>
    <col min="8456" max="8456" width="7" customWidth="1"/>
    <col min="8457" max="8457" width="6.5703125" customWidth="1"/>
    <col min="8458" max="8458" width="7" customWidth="1"/>
    <col min="8459" max="8459" width="6.7109375" customWidth="1"/>
    <col min="8460" max="8460" width="6.42578125" customWidth="1"/>
    <col min="8461" max="8461" width="6.7109375" customWidth="1"/>
    <col min="8462" max="8462" width="7.5703125" customWidth="1"/>
    <col min="8463" max="8464" width="6.85546875" customWidth="1"/>
    <col min="8465" max="8465" width="7.140625" customWidth="1"/>
    <col min="8466" max="8466" width="6.7109375" customWidth="1"/>
    <col min="8467" max="8467" width="5.85546875" customWidth="1"/>
    <col min="8468" max="8468" width="7.5703125" customWidth="1"/>
    <col min="8469" max="8469" width="6.85546875" customWidth="1"/>
    <col min="8470" max="8470" width="7" customWidth="1"/>
    <col min="8471" max="8471" width="6.7109375" customWidth="1"/>
    <col min="8472" max="8472" width="7.140625" customWidth="1"/>
    <col min="8473" max="8473" width="6.7109375" customWidth="1"/>
    <col min="8474" max="8474" width="7.28515625" customWidth="1"/>
    <col min="8705" max="8705" width="24.85546875" customWidth="1"/>
    <col min="8706" max="8706" width="8.42578125" customWidth="1"/>
    <col min="8707" max="8707" width="7.28515625" customWidth="1"/>
    <col min="8708" max="8708" width="7.140625" customWidth="1"/>
    <col min="8709" max="8709" width="7" customWidth="1"/>
    <col min="8710" max="8710" width="6.85546875" customWidth="1"/>
    <col min="8711" max="8711" width="6.5703125" customWidth="1"/>
    <col min="8712" max="8712" width="7" customWidth="1"/>
    <col min="8713" max="8713" width="6.5703125" customWidth="1"/>
    <col min="8714" max="8714" width="7" customWidth="1"/>
    <col min="8715" max="8715" width="6.7109375" customWidth="1"/>
    <col min="8716" max="8716" width="6.42578125" customWidth="1"/>
    <col min="8717" max="8717" width="6.7109375" customWidth="1"/>
    <col min="8718" max="8718" width="7.5703125" customWidth="1"/>
    <col min="8719" max="8720" width="6.85546875" customWidth="1"/>
    <col min="8721" max="8721" width="7.140625" customWidth="1"/>
    <col min="8722" max="8722" width="6.7109375" customWidth="1"/>
    <col min="8723" max="8723" width="5.85546875" customWidth="1"/>
    <col min="8724" max="8724" width="7.5703125" customWidth="1"/>
    <col min="8725" max="8725" width="6.85546875" customWidth="1"/>
    <col min="8726" max="8726" width="7" customWidth="1"/>
    <col min="8727" max="8727" width="6.7109375" customWidth="1"/>
    <col min="8728" max="8728" width="7.140625" customWidth="1"/>
    <col min="8729" max="8729" width="6.7109375" customWidth="1"/>
    <col min="8730" max="8730" width="7.28515625" customWidth="1"/>
    <col min="8961" max="8961" width="24.85546875" customWidth="1"/>
    <col min="8962" max="8962" width="8.42578125" customWidth="1"/>
    <col min="8963" max="8963" width="7.28515625" customWidth="1"/>
    <col min="8964" max="8964" width="7.140625" customWidth="1"/>
    <col min="8965" max="8965" width="7" customWidth="1"/>
    <col min="8966" max="8966" width="6.85546875" customWidth="1"/>
    <col min="8967" max="8967" width="6.5703125" customWidth="1"/>
    <col min="8968" max="8968" width="7" customWidth="1"/>
    <col min="8969" max="8969" width="6.5703125" customWidth="1"/>
    <col min="8970" max="8970" width="7" customWidth="1"/>
    <col min="8971" max="8971" width="6.7109375" customWidth="1"/>
    <col min="8972" max="8972" width="6.42578125" customWidth="1"/>
    <col min="8973" max="8973" width="6.7109375" customWidth="1"/>
    <col min="8974" max="8974" width="7.5703125" customWidth="1"/>
    <col min="8975" max="8976" width="6.85546875" customWidth="1"/>
    <col min="8977" max="8977" width="7.140625" customWidth="1"/>
    <col min="8978" max="8978" width="6.7109375" customWidth="1"/>
    <col min="8979" max="8979" width="5.85546875" customWidth="1"/>
    <col min="8980" max="8980" width="7.5703125" customWidth="1"/>
    <col min="8981" max="8981" width="6.85546875" customWidth="1"/>
    <col min="8982" max="8982" width="7" customWidth="1"/>
    <col min="8983" max="8983" width="6.7109375" customWidth="1"/>
    <col min="8984" max="8984" width="7.140625" customWidth="1"/>
    <col min="8985" max="8985" width="6.7109375" customWidth="1"/>
    <col min="8986" max="8986" width="7.28515625" customWidth="1"/>
    <col min="9217" max="9217" width="24.85546875" customWidth="1"/>
    <col min="9218" max="9218" width="8.42578125" customWidth="1"/>
    <col min="9219" max="9219" width="7.28515625" customWidth="1"/>
    <col min="9220" max="9220" width="7.140625" customWidth="1"/>
    <col min="9221" max="9221" width="7" customWidth="1"/>
    <col min="9222" max="9222" width="6.85546875" customWidth="1"/>
    <col min="9223" max="9223" width="6.5703125" customWidth="1"/>
    <col min="9224" max="9224" width="7" customWidth="1"/>
    <col min="9225" max="9225" width="6.5703125" customWidth="1"/>
    <col min="9226" max="9226" width="7" customWidth="1"/>
    <col min="9227" max="9227" width="6.7109375" customWidth="1"/>
    <col min="9228" max="9228" width="6.42578125" customWidth="1"/>
    <col min="9229" max="9229" width="6.7109375" customWidth="1"/>
    <col min="9230" max="9230" width="7.5703125" customWidth="1"/>
    <col min="9231" max="9232" width="6.85546875" customWidth="1"/>
    <col min="9233" max="9233" width="7.140625" customWidth="1"/>
    <col min="9234" max="9234" width="6.7109375" customWidth="1"/>
    <col min="9235" max="9235" width="5.85546875" customWidth="1"/>
    <col min="9236" max="9236" width="7.5703125" customWidth="1"/>
    <col min="9237" max="9237" width="6.85546875" customWidth="1"/>
    <col min="9238" max="9238" width="7" customWidth="1"/>
    <col min="9239" max="9239" width="6.7109375" customWidth="1"/>
    <col min="9240" max="9240" width="7.140625" customWidth="1"/>
    <col min="9241" max="9241" width="6.7109375" customWidth="1"/>
    <col min="9242" max="9242" width="7.28515625" customWidth="1"/>
    <col min="9473" max="9473" width="24.85546875" customWidth="1"/>
    <col min="9474" max="9474" width="8.42578125" customWidth="1"/>
    <col min="9475" max="9475" width="7.28515625" customWidth="1"/>
    <col min="9476" max="9476" width="7.140625" customWidth="1"/>
    <col min="9477" max="9477" width="7" customWidth="1"/>
    <col min="9478" max="9478" width="6.85546875" customWidth="1"/>
    <col min="9479" max="9479" width="6.5703125" customWidth="1"/>
    <col min="9480" max="9480" width="7" customWidth="1"/>
    <col min="9481" max="9481" width="6.5703125" customWidth="1"/>
    <col min="9482" max="9482" width="7" customWidth="1"/>
    <col min="9483" max="9483" width="6.7109375" customWidth="1"/>
    <col min="9484" max="9484" width="6.42578125" customWidth="1"/>
    <col min="9485" max="9485" width="6.7109375" customWidth="1"/>
    <col min="9486" max="9486" width="7.5703125" customWidth="1"/>
    <col min="9487" max="9488" width="6.85546875" customWidth="1"/>
    <col min="9489" max="9489" width="7.140625" customWidth="1"/>
    <col min="9490" max="9490" width="6.7109375" customWidth="1"/>
    <col min="9491" max="9491" width="5.85546875" customWidth="1"/>
    <col min="9492" max="9492" width="7.5703125" customWidth="1"/>
    <col min="9493" max="9493" width="6.85546875" customWidth="1"/>
    <col min="9494" max="9494" width="7" customWidth="1"/>
    <col min="9495" max="9495" width="6.7109375" customWidth="1"/>
    <col min="9496" max="9496" width="7.140625" customWidth="1"/>
    <col min="9497" max="9497" width="6.7109375" customWidth="1"/>
    <col min="9498" max="9498" width="7.28515625" customWidth="1"/>
    <col min="9729" max="9729" width="24.85546875" customWidth="1"/>
    <col min="9730" max="9730" width="8.42578125" customWidth="1"/>
    <col min="9731" max="9731" width="7.28515625" customWidth="1"/>
    <col min="9732" max="9732" width="7.140625" customWidth="1"/>
    <col min="9733" max="9733" width="7" customWidth="1"/>
    <col min="9734" max="9734" width="6.85546875" customWidth="1"/>
    <col min="9735" max="9735" width="6.5703125" customWidth="1"/>
    <col min="9736" max="9736" width="7" customWidth="1"/>
    <col min="9737" max="9737" width="6.5703125" customWidth="1"/>
    <col min="9738" max="9738" width="7" customWidth="1"/>
    <col min="9739" max="9739" width="6.7109375" customWidth="1"/>
    <col min="9740" max="9740" width="6.42578125" customWidth="1"/>
    <col min="9741" max="9741" width="6.7109375" customWidth="1"/>
    <col min="9742" max="9742" width="7.5703125" customWidth="1"/>
    <col min="9743" max="9744" width="6.85546875" customWidth="1"/>
    <col min="9745" max="9745" width="7.140625" customWidth="1"/>
    <col min="9746" max="9746" width="6.7109375" customWidth="1"/>
    <col min="9747" max="9747" width="5.85546875" customWidth="1"/>
    <col min="9748" max="9748" width="7.5703125" customWidth="1"/>
    <col min="9749" max="9749" width="6.85546875" customWidth="1"/>
    <col min="9750" max="9750" width="7" customWidth="1"/>
    <col min="9751" max="9751" width="6.7109375" customWidth="1"/>
    <col min="9752" max="9752" width="7.140625" customWidth="1"/>
    <col min="9753" max="9753" width="6.7109375" customWidth="1"/>
    <col min="9754" max="9754" width="7.28515625" customWidth="1"/>
    <col min="9985" max="9985" width="24.85546875" customWidth="1"/>
    <col min="9986" max="9986" width="8.42578125" customWidth="1"/>
    <col min="9987" max="9987" width="7.28515625" customWidth="1"/>
    <col min="9988" max="9988" width="7.140625" customWidth="1"/>
    <col min="9989" max="9989" width="7" customWidth="1"/>
    <col min="9990" max="9990" width="6.85546875" customWidth="1"/>
    <col min="9991" max="9991" width="6.5703125" customWidth="1"/>
    <col min="9992" max="9992" width="7" customWidth="1"/>
    <col min="9993" max="9993" width="6.5703125" customWidth="1"/>
    <col min="9994" max="9994" width="7" customWidth="1"/>
    <col min="9995" max="9995" width="6.7109375" customWidth="1"/>
    <col min="9996" max="9996" width="6.42578125" customWidth="1"/>
    <col min="9997" max="9997" width="6.7109375" customWidth="1"/>
    <col min="9998" max="9998" width="7.5703125" customWidth="1"/>
    <col min="9999" max="10000" width="6.85546875" customWidth="1"/>
    <col min="10001" max="10001" width="7.140625" customWidth="1"/>
    <col min="10002" max="10002" width="6.7109375" customWidth="1"/>
    <col min="10003" max="10003" width="5.85546875" customWidth="1"/>
    <col min="10004" max="10004" width="7.5703125" customWidth="1"/>
    <col min="10005" max="10005" width="6.85546875" customWidth="1"/>
    <col min="10006" max="10006" width="7" customWidth="1"/>
    <col min="10007" max="10007" width="6.7109375" customWidth="1"/>
    <col min="10008" max="10008" width="7.140625" customWidth="1"/>
    <col min="10009" max="10009" width="6.7109375" customWidth="1"/>
    <col min="10010" max="10010" width="7.28515625" customWidth="1"/>
    <col min="10241" max="10241" width="24.85546875" customWidth="1"/>
    <col min="10242" max="10242" width="8.42578125" customWidth="1"/>
    <col min="10243" max="10243" width="7.28515625" customWidth="1"/>
    <col min="10244" max="10244" width="7.140625" customWidth="1"/>
    <col min="10245" max="10245" width="7" customWidth="1"/>
    <col min="10246" max="10246" width="6.85546875" customWidth="1"/>
    <col min="10247" max="10247" width="6.5703125" customWidth="1"/>
    <col min="10248" max="10248" width="7" customWidth="1"/>
    <col min="10249" max="10249" width="6.5703125" customWidth="1"/>
    <col min="10250" max="10250" width="7" customWidth="1"/>
    <col min="10251" max="10251" width="6.7109375" customWidth="1"/>
    <col min="10252" max="10252" width="6.42578125" customWidth="1"/>
    <col min="10253" max="10253" width="6.7109375" customWidth="1"/>
    <col min="10254" max="10254" width="7.5703125" customWidth="1"/>
    <col min="10255" max="10256" width="6.85546875" customWidth="1"/>
    <col min="10257" max="10257" width="7.140625" customWidth="1"/>
    <col min="10258" max="10258" width="6.7109375" customWidth="1"/>
    <col min="10259" max="10259" width="5.85546875" customWidth="1"/>
    <col min="10260" max="10260" width="7.5703125" customWidth="1"/>
    <col min="10261" max="10261" width="6.85546875" customWidth="1"/>
    <col min="10262" max="10262" width="7" customWidth="1"/>
    <col min="10263" max="10263" width="6.7109375" customWidth="1"/>
    <col min="10264" max="10264" width="7.140625" customWidth="1"/>
    <col min="10265" max="10265" width="6.7109375" customWidth="1"/>
    <col min="10266" max="10266" width="7.28515625" customWidth="1"/>
    <col min="10497" max="10497" width="24.85546875" customWidth="1"/>
    <col min="10498" max="10498" width="8.42578125" customWidth="1"/>
    <col min="10499" max="10499" width="7.28515625" customWidth="1"/>
    <col min="10500" max="10500" width="7.140625" customWidth="1"/>
    <col min="10501" max="10501" width="7" customWidth="1"/>
    <col min="10502" max="10502" width="6.85546875" customWidth="1"/>
    <col min="10503" max="10503" width="6.5703125" customWidth="1"/>
    <col min="10504" max="10504" width="7" customWidth="1"/>
    <col min="10505" max="10505" width="6.5703125" customWidth="1"/>
    <col min="10506" max="10506" width="7" customWidth="1"/>
    <col min="10507" max="10507" width="6.7109375" customWidth="1"/>
    <col min="10508" max="10508" width="6.42578125" customWidth="1"/>
    <col min="10509" max="10509" width="6.7109375" customWidth="1"/>
    <col min="10510" max="10510" width="7.5703125" customWidth="1"/>
    <col min="10511" max="10512" width="6.85546875" customWidth="1"/>
    <col min="10513" max="10513" width="7.140625" customWidth="1"/>
    <col min="10514" max="10514" width="6.7109375" customWidth="1"/>
    <col min="10515" max="10515" width="5.85546875" customWidth="1"/>
    <col min="10516" max="10516" width="7.5703125" customWidth="1"/>
    <col min="10517" max="10517" width="6.85546875" customWidth="1"/>
    <col min="10518" max="10518" width="7" customWidth="1"/>
    <col min="10519" max="10519" width="6.7109375" customWidth="1"/>
    <col min="10520" max="10520" width="7.140625" customWidth="1"/>
    <col min="10521" max="10521" width="6.7109375" customWidth="1"/>
    <col min="10522" max="10522" width="7.28515625" customWidth="1"/>
    <col min="10753" max="10753" width="24.85546875" customWidth="1"/>
    <col min="10754" max="10754" width="8.42578125" customWidth="1"/>
    <col min="10755" max="10755" width="7.28515625" customWidth="1"/>
    <col min="10756" max="10756" width="7.140625" customWidth="1"/>
    <col min="10757" max="10757" width="7" customWidth="1"/>
    <col min="10758" max="10758" width="6.85546875" customWidth="1"/>
    <col min="10759" max="10759" width="6.5703125" customWidth="1"/>
    <col min="10760" max="10760" width="7" customWidth="1"/>
    <col min="10761" max="10761" width="6.5703125" customWidth="1"/>
    <col min="10762" max="10762" width="7" customWidth="1"/>
    <col min="10763" max="10763" width="6.7109375" customWidth="1"/>
    <col min="10764" max="10764" width="6.42578125" customWidth="1"/>
    <col min="10765" max="10765" width="6.7109375" customWidth="1"/>
    <col min="10766" max="10766" width="7.5703125" customWidth="1"/>
    <col min="10767" max="10768" width="6.85546875" customWidth="1"/>
    <col min="10769" max="10769" width="7.140625" customWidth="1"/>
    <col min="10770" max="10770" width="6.7109375" customWidth="1"/>
    <col min="10771" max="10771" width="5.85546875" customWidth="1"/>
    <col min="10772" max="10772" width="7.5703125" customWidth="1"/>
    <col min="10773" max="10773" width="6.85546875" customWidth="1"/>
    <col min="10774" max="10774" width="7" customWidth="1"/>
    <col min="10775" max="10775" width="6.7109375" customWidth="1"/>
    <col min="10776" max="10776" width="7.140625" customWidth="1"/>
    <col min="10777" max="10777" width="6.7109375" customWidth="1"/>
    <col min="10778" max="10778" width="7.28515625" customWidth="1"/>
    <col min="11009" max="11009" width="24.85546875" customWidth="1"/>
    <col min="11010" max="11010" width="8.42578125" customWidth="1"/>
    <col min="11011" max="11011" width="7.28515625" customWidth="1"/>
    <col min="11012" max="11012" width="7.140625" customWidth="1"/>
    <col min="11013" max="11013" width="7" customWidth="1"/>
    <col min="11014" max="11014" width="6.85546875" customWidth="1"/>
    <col min="11015" max="11015" width="6.5703125" customWidth="1"/>
    <col min="11016" max="11016" width="7" customWidth="1"/>
    <col min="11017" max="11017" width="6.5703125" customWidth="1"/>
    <col min="11018" max="11018" width="7" customWidth="1"/>
    <col min="11019" max="11019" width="6.7109375" customWidth="1"/>
    <col min="11020" max="11020" width="6.42578125" customWidth="1"/>
    <col min="11021" max="11021" width="6.7109375" customWidth="1"/>
    <col min="11022" max="11022" width="7.5703125" customWidth="1"/>
    <col min="11023" max="11024" width="6.85546875" customWidth="1"/>
    <col min="11025" max="11025" width="7.140625" customWidth="1"/>
    <col min="11026" max="11026" width="6.7109375" customWidth="1"/>
    <col min="11027" max="11027" width="5.85546875" customWidth="1"/>
    <col min="11028" max="11028" width="7.5703125" customWidth="1"/>
    <col min="11029" max="11029" width="6.85546875" customWidth="1"/>
    <col min="11030" max="11030" width="7" customWidth="1"/>
    <col min="11031" max="11031" width="6.7109375" customWidth="1"/>
    <col min="11032" max="11032" width="7.140625" customWidth="1"/>
    <col min="11033" max="11033" width="6.7109375" customWidth="1"/>
    <col min="11034" max="11034" width="7.28515625" customWidth="1"/>
    <col min="11265" max="11265" width="24.85546875" customWidth="1"/>
    <col min="11266" max="11266" width="8.42578125" customWidth="1"/>
    <col min="11267" max="11267" width="7.28515625" customWidth="1"/>
    <col min="11268" max="11268" width="7.140625" customWidth="1"/>
    <col min="11269" max="11269" width="7" customWidth="1"/>
    <col min="11270" max="11270" width="6.85546875" customWidth="1"/>
    <col min="11271" max="11271" width="6.5703125" customWidth="1"/>
    <col min="11272" max="11272" width="7" customWidth="1"/>
    <col min="11273" max="11273" width="6.5703125" customWidth="1"/>
    <col min="11274" max="11274" width="7" customWidth="1"/>
    <col min="11275" max="11275" width="6.7109375" customWidth="1"/>
    <col min="11276" max="11276" width="6.42578125" customWidth="1"/>
    <col min="11277" max="11277" width="6.7109375" customWidth="1"/>
    <col min="11278" max="11278" width="7.5703125" customWidth="1"/>
    <col min="11279" max="11280" width="6.85546875" customWidth="1"/>
    <col min="11281" max="11281" width="7.140625" customWidth="1"/>
    <col min="11282" max="11282" width="6.7109375" customWidth="1"/>
    <col min="11283" max="11283" width="5.85546875" customWidth="1"/>
    <col min="11284" max="11284" width="7.5703125" customWidth="1"/>
    <col min="11285" max="11285" width="6.85546875" customWidth="1"/>
    <col min="11286" max="11286" width="7" customWidth="1"/>
    <col min="11287" max="11287" width="6.7109375" customWidth="1"/>
    <col min="11288" max="11288" width="7.140625" customWidth="1"/>
    <col min="11289" max="11289" width="6.7109375" customWidth="1"/>
    <col min="11290" max="11290" width="7.28515625" customWidth="1"/>
    <col min="11521" max="11521" width="24.85546875" customWidth="1"/>
    <col min="11522" max="11522" width="8.42578125" customWidth="1"/>
    <col min="11523" max="11523" width="7.28515625" customWidth="1"/>
    <col min="11524" max="11524" width="7.140625" customWidth="1"/>
    <col min="11525" max="11525" width="7" customWidth="1"/>
    <col min="11526" max="11526" width="6.85546875" customWidth="1"/>
    <col min="11527" max="11527" width="6.5703125" customWidth="1"/>
    <col min="11528" max="11528" width="7" customWidth="1"/>
    <col min="11529" max="11529" width="6.5703125" customWidth="1"/>
    <col min="11530" max="11530" width="7" customWidth="1"/>
    <col min="11531" max="11531" width="6.7109375" customWidth="1"/>
    <col min="11532" max="11532" width="6.42578125" customWidth="1"/>
    <col min="11533" max="11533" width="6.7109375" customWidth="1"/>
    <col min="11534" max="11534" width="7.5703125" customWidth="1"/>
    <col min="11535" max="11536" width="6.85546875" customWidth="1"/>
    <col min="11537" max="11537" width="7.140625" customWidth="1"/>
    <col min="11538" max="11538" width="6.7109375" customWidth="1"/>
    <col min="11539" max="11539" width="5.85546875" customWidth="1"/>
    <col min="11540" max="11540" width="7.5703125" customWidth="1"/>
    <col min="11541" max="11541" width="6.85546875" customWidth="1"/>
    <col min="11542" max="11542" width="7" customWidth="1"/>
    <col min="11543" max="11543" width="6.7109375" customWidth="1"/>
    <col min="11544" max="11544" width="7.140625" customWidth="1"/>
    <col min="11545" max="11545" width="6.7109375" customWidth="1"/>
    <col min="11546" max="11546" width="7.28515625" customWidth="1"/>
    <col min="11777" max="11777" width="24.85546875" customWidth="1"/>
    <col min="11778" max="11778" width="8.42578125" customWidth="1"/>
    <col min="11779" max="11779" width="7.28515625" customWidth="1"/>
    <col min="11780" max="11780" width="7.140625" customWidth="1"/>
    <col min="11781" max="11781" width="7" customWidth="1"/>
    <col min="11782" max="11782" width="6.85546875" customWidth="1"/>
    <col min="11783" max="11783" width="6.5703125" customWidth="1"/>
    <col min="11784" max="11784" width="7" customWidth="1"/>
    <col min="11785" max="11785" width="6.5703125" customWidth="1"/>
    <col min="11786" max="11786" width="7" customWidth="1"/>
    <col min="11787" max="11787" width="6.7109375" customWidth="1"/>
    <col min="11788" max="11788" width="6.42578125" customWidth="1"/>
    <col min="11789" max="11789" width="6.7109375" customWidth="1"/>
    <col min="11790" max="11790" width="7.5703125" customWidth="1"/>
    <col min="11791" max="11792" width="6.85546875" customWidth="1"/>
    <col min="11793" max="11793" width="7.140625" customWidth="1"/>
    <col min="11794" max="11794" width="6.7109375" customWidth="1"/>
    <col min="11795" max="11795" width="5.85546875" customWidth="1"/>
    <col min="11796" max="11796" width="7.5703125" customWidth="1"/>
    <col min="11797" max="11797" width="6.85546875" customWidth="1"/>
    <col min="11798" max="11798" width="7" customWidth="1"/>
    <col min="11799" max="11799" width="6.7109375" customWidth="1"/>
    <col min="11800" max="11800" width="7.140625" customWidth="1"/>
    <col min="11801" max="11801" width="6.7109375" customWidth="1"/>
    <col min="11802" max="11802" width="7.28515625" customWidth="1"/>
    <col min="12033" max="12033" width="24.85546875" customWidth="1"/>
    <col min="12034" max="12034" width="8.42578125" customWidth="1"/>
    <col min="12035" max="12035" width="7.28515625" customWidth="1"/>
    <col min="12036" max="12036" width="7.140625" customWidth="1"/>
    <col min="12037" max="12037" width="7" customWidth="1"/>
    <col min="12038" max="12038" width="6.85546875" customWidth="1"/>
    <col min="12039" max="12039" width="6.5703125" customWidth="1"/>
    <col min="12040" max="12040" width="7" customWidth="1"/>
    <col min="12041" max="12041" width="6.5703125" customWidth="1"/>
    <col min="12042" max="12042" width="7" customWidth="1"/>
    <col min="12043" max="12043" width="6.7109375" customWidth="1"/>
    <col min="12044" max="12044" width="6.42578125" customWidth="1"/>
    <col min="12045" max="12045" width="6.7109375" customWidth="1"/>
    <col min="12046" max="12046" width="7.5703125" customWidth="1"/>
    <col min="12047" max="12048" width="6.85546875" customWidth="1"/>
    <col min="12049" max="12049" width="7.140625" customWidth="1"/>
    <col min="12050" max="12050" width="6.7109375" customWidth="1"/>
    <col min="12051" max="12051" width="5.85546875" customWidth="1"/>
    <col min="12052" max="12052" width="7.5703125" customWidth="1"/>
    <col min="12053" max="12053" width="6.85546875" customWidth="1"/>
    <col min="12054" max="12054" width="7" customWidth="1"/>
    <col min="12055" max="12055" width="6.7109375" customWidth="1"/>
    <col min="12056" max="12056" width="7.140625" customWidth="1"/>
    <col min="12057" max="12057" width="6.7109375" customWidth="1"/>
    <col min="12058" max="12058" width="7.28515625" customWidth="1"/>
    <col min="12289" max="12289" width="24.85546875" customWidth="1"/>
    <col min="12290" max="12290" width="8.42578125" customWidth="1"/>
    <col min="12291" max="12291" width="7.28515625" customWidth="1"/>
    <col min="12292" max="12292" width="7.140625" customWidth="1"/>
    <col min="12293" max="12293" width="7" customWidth="1"/>
    <col min="12294" max="12294" width="6.85546875" customWidth="1"/>
    <col min="12295" max="12295" width="6.5703125" customWidth="1"/>
    <col min="12296" max="12296" width="7" customWidth="1"/>
    <col min="12297" max="12297" width="6.5703125" customWidth="1"/>
    <col min="12298" max="12298" width="7" customWidth="1"/>
    <col min="12299" max="12299" width="6.7109375" customWidth="1"/>
    <col min="12300" max="12300" width="6.42578125" customWidth="1"/>
    <col min="12301" max="12301" width="6.7109375" customWidth="1"/>
    <col min="12302" max="12302" width="7.5703125" customWidth="1"/>
    <col min="12303" max="12304" width="6.85546875" customWidth="1"/>
    <col min="12305" max="12305" width="7.140625" customWidth="1"/>
    <col min="12306" max="12306" width="6.7109375" customWidth="1"/>
    <col min="12307" max="12307" width="5.85546875" customWidth="1"/>
    <col min="12308" max="12308" width="7.5703125" customWidth="1"/>
    <col min="12309" max="12309" width="6.85546875" customWidth="1"/>
    <col min="12310" max="12310" width="7" customWidth="1"/>
    <col min="12311" max="12311" width="6.7109375" customWidth="1"/>
    <col min="12312" max="12312" width="7.140625" customWidth="1"/>
    <col min="12313" max="12313" width="6.7109375" customWidth="1"/>
    <col min="12314" max="12314" width="7.28515625" customWidth="1"/>
    <col min="12545" max="12545" width="24.85546875" customWidth="1"/>
    <col min="12546" max="12546" width="8.42578125" customWidth="1"/>
    <col min="12547" max="12547" width="7.28515625" customWidth="1"/>
    <col min="12548" max="12548" width="7.140625" customWidth="1"/>
    <col min="12549" max="12549" width="7" customWidth="1"/>
    <col min="12550" max="12550" width="6.85546875" customWidth="1"/>
    <col min="12551" max="12551" width="6.5703125" customWidth="1"/>
    <col min="12552" max="12552" width="7" customWidth="1"/>
    <col min="12553" max="12553" width="6.5703125" customWidth="1"/>
    <col min="12554" max="12554" width="7" customWidth="1"/>
    <col min="12555" max="12555" width="6.7109375" customWidth="1"/>
    <col min="12556" max="12556" width="6.42578125" customWidth="1"/>
    <col min="12557" max="12557" width="6.7109375" customWidth="1"/>
    <col min="12558" max="12558" width="7.5703125" customWidth="1"/>
    <col min="12559" max="12560" width="6.85546875" customWidth="1"/>
    <col min="12561" max="12561" width="7.140625" customWidth="1"/>
    <col min="12562" max="12562" width="6.7109375" customWidth="1"/>
    <col min="12563" max="12563" width="5.85546875" customWidth="1"/>
    <col min="12564" max="12564" width="7.5703125" customWidth="1"/>
    <col min="12565" max="12565" width="6.85546875" customWidth="1"/>
    <col min="12566" max="12566" width="7" customWidth="1"/>
    <col min="12567" max="12567" width="6.7109375" customWidth="1"/>
    <col min="12568" max="12568" width="7.140625" customWidth="1"/>
    <col min="12569" max="12569" width="6.7109375" customWidth="1"/>
    <col min="12570" max="12570" width="7.28515625" customWidth="1"/>
    <col min="12801" max="12801" width="24.85546875" customWidth="1"/>
    <col min="12802" max="12802" width="8.42578125" customWidth="1"/>
    <col min="12803" max="12803" width="7.28515625" customWidth="1"/>
    <col min="12804" max="12804" width="7.140625" customWidth="1"/>
    <col min="12805" max="12805" width="7" customWidth="1"/>
    <col min="12806" max="12806" width="6.85546875" customWidth="1"/>
    <col min="12807" max="12807" width="6.5703125" customWidth="1"/>
    <col min="12808" max="12808" width="7" customWidth="1"/>
    <col min="12809" max="12809" width="6.5703125" customWidth="1"/>
    <col min="12810" max="12810" width="7" customWidth="1"/>
    <col min="12811" max="12811" width="6.7109375" customWidth="1"/>
    <col min="12812" max="12812" width="6.42578125" customWidth="1"/>
    <col min="12813" max="12813" width="6.7109375" customWidth="1"/>
    <col min="12814" max="12814" width="7.5703125" customWidth="1"/>
    <col min="12815" max="12816" width="6.85546875" customWidth="1"/>
    <col min="12817" max="12817" width="7.140625" customWidth="1"/>
    <col min="12818" max="12818" width="6.7109375" customWidth="1"/>
    <col min="12819" max="12819" width="5.85546875" customWidth="1"/>
    <col min="12820" max="12820" width="7.5703125" customWidth="1"/>
    <col min="12821" max="12821" width="6.85546875" customWidth="1"/>
    <col min="12822" max="12822" width="7" customWidth="1"/>
    <col min="12823" max="12823" width="6.7109375" customWidth="1"/>
    <col min="12824" max="12824" width="7.140625" customWidth="1"/>
    <col min="12825" max="12825" width="6.7109375" customWidth="1"/>
    <col min="12826" max="12826" width="7.28515625" customWidth="1"/>
    <col min="13057" max="13057" width="24.85546875" customWidth="1"/>
    <col min="13058" max="13058" width="8.42578125" customWidth="1"/>
    <col min="13059" max="13059" width="7.28515625" customWidth="1"/>
    <col min="13060" max="13060" width="7.140625" customWidth="1"/>
    <col min="13061" max="13061" width="7" customWidth="1"/>
    <col min="13062" max="13062" width="6.85546875" customWidth="1"/>
    <col min="13063" max="13063" width="6.5703125" customWidth="1"/>
    <col min="13064" max="13064" width="7" customWidth="1"/>
    <col min="13065" max="13065" width="6.5703125" customWidth="1"/>
    <col min="13066" max="13066" width="7" customWidth="1"/>
    <col min="13067" max="13067" width="6.7109375" customWidth="1"/>
    <col min="13068" max="13068" width="6.42578125" customWidth="1"/>
    <col min="13069" max="13069" width="6.7109375" customWidth="1"/>
    <col min="13070" max="13070" width="7.5703125" customWidth="1"/>
    <col min="13071" max="13072" width="6.85546875" customWidth="1"/>
    <col min="13073" max="13073" width="7.140625" customWidth="1"/>
    <col min="13074" max="13074" width="6.7109375" customWidth="1"/>
    <col min="13075" max="13075" width="5.85546875" customWidth="1"/>
    <col min="13076" max="13076" width="7.5703125" customWidth="1"/>
    <col min="13077" max="13077" width="6.85546875" customWidth="1"/>
    <col min="13078" max="13078" width="7" customWidth="1"/>
    <col min="13079" max="13079" width="6.7109375" customWidth="1"/>
    <col min="13080" max="13080" width="7.140625" customWidth="1"/>
    <col min="13081" max="13081" width="6.7109375" customWidth="1"/>
    <col min="13082" max="13082" width="7.28515625" customWidth="1"/>
    <col min="13313" max="13313" width="24.85546875" customWidth="1"/>
    <col min="13314" max="13314" width="8.42578125" customWidth="1"/>
    <col min="13315" max="13315" width="7.28515625" customWidth="1"/>
    <col min="13316" max="13316" width="7.140625" customWidth="1"/>
    <col min="13317" max="13317" width="7" customWidth="1"/>
    <col min="13318" max="13318" width="6.85546875" customWidth="1"/>
    <col min="13319" max="13319" width="6.5703125" customWidth="1"/>
    <col min="13320" max="13320" width="7" customWidth="1"/>
    <col min="13321" max="13321" width="6.5703125" customWidth="1"/>
    <col min="13322" max="13322" width="7" customWidth="1"/>
    <col min="13323" max="13323" width="6.7109375" customWidth="1"/>
    <col min="13324" max="13324" width="6.42578125" customWidth="1"/>
    <col min="13325" max="13325" width="6.7109375" customWidth="1"/>
    <col min="13326" max="13326" width="7.5703125" customWidth="1"/>
    <col min="13327" max="13328" width="6.85546875" customWidth="1"/>
    <col min="13329" max="13329" width="7.140625" customWidth="1"/>
    <col min="13330" max="13330" width="6.7109375" customWidth="1"/>
    <col min="13331" max="13331" width="5.85546875" customWidth="1"/>
    <col min="13332" max="13332" width="7.5703125" customWidth="1"/>
    <col min="13333" max="13333" width="6.85546875" customWidth="1"/>
    <col min="13334" max="13334" width="7" customWidth="1"/>
    <col min="13335" max="13335" width="6.7109375" customWidth="1"/>
    <col min="13336" max="13336" width="7.140625" customWidth="1"/>
    <col min="13337" max="13337" width="6.7109375" customWidth="1"/>
    <col min="13338" max="13338" width="7.28515625" customWidth="1"/>
    <col min="13569" max="13569" width="24.85546875" customWidth="1"/>
    <col min="13570" max="13570" width="8.42578125" customWidth="1"/>
    <col min="13571" max="13571" width="7.28515625" customWidth="1"/>
    <col min="13572" max="13572" width="7.140625" customWidth="1"/>
    <col min="13573" max="13573" width="7" customWidth="1"/>
    <col min="13574" max="13574" width="6.85546875" customWidth="1"/>
    <col min="13575" max="13575" width="6.5703125" customWidth="1"/>
    <col min="13576" max="13576" width="7" customWidth="1"/>
    <col min="13577" max="13577" width="6.5703125" customWidth="1"/>
    <col min="13578" max="13578" width="7" customWidth="1"/>
    <col min="13579" max="13579" width="6.7109375" customWidth="1"/>
    <col min="13580" max="13580" width="6.42578125" customWidth="1"/>
    <col min="13581" max="13581" width="6.7109375" customWidth="1"/>
    <col min="13582" max="13582" width="7.5703125" customWidth="1"/>
    <col min="13583" max="13584" width="6.85546875" customWidth="1"/>
    <col min="13585" max="13585" width="7.140625" customWidth="1"/>
    <col min="13586" max="13586" width="6.7109375" customWidth="1"/>
    <col min="13587" max="13587" width="5.85546875" customWidth="1"/>
    <col min="13588" max="13588" width="7.5703125" customWidth="1"/>
    <col min="13589" max="13589" width="6.85546875" customWidth="1"/>
    <col min="13590" max="13590" width="7" customWidth="1"/>
    <col min="13591" max="13591" width="6.7109375" customWidth="1"/>
    <col min="13592" max="13592" width="7.140625" customWidth="1"/>
    <col min="13593" max="13593" width="6.7109375" customWidth="1"/>
    <col min="13594" max="13594" width="7.28515625" customWidth="1"/>
    <col min="13825" max="13825" width="24.85546875" customWidth="1"/>
    <col min="13826" max="13826" width="8.42578125" customWidth="1"/>
    <col min="13827" max="13827" width="7.28515625" customWidth="1"/>
    <col min="13828" max="13828" width="7.140625" customWidth="1"/>
    <col min="13829" max="13829" width="7" customWidth="1"/>
    <col min="13830" max="13830" width="6.85546875" customWidth="1"/>
    <col min="13831" max="13831" width="6.5703125" customWidth="1"/>
    <col min="13832" max="13832" width="7" customWidth="1"/>
    <col min="13833" max="13833" width="6.5703125" customWidth="1"/>
    <col min="13834" max="13834" width="7" customWidth="1"/>
    <col min="13835" max="13835" width="6.7109375" customWidth="1"/>
    <col min="13836" max="13836" width="6.42578125" customWidth="1"/>
    <col min="13837" max="13837" width="6.7109375" customWidth="1"/>
    <col min="13838" max="13838" width="7.5703125" customWidth="1"/>
    <col min="13839" max="13840" width="6.85546875" customWidth="1"/>
    <col min="13841" max="13841" width="7.140625" customWidth="1"/>
    <col min="13842" max="13842" width="6.7109375" customWidth="1"/>
    <col min="13843" max="13843" width="5.85546875" customWidth="1"/>
    <col min="13844" max="13844" width="7.5703125" customWidth="1"/>
    <col min="13845" max="13845" width="6.85546875" customWidth="1"/>
    <col min="13846" max="13846" width="7" customWidth="1"/>
    <col min="13847" max="13847" width="6.7109375" customWidth="1"/>
    <col min="13848" max="13848" width="7.140625" customWidth="1"/>
    <col min="13849" max="13849" width="6.7109375" customWidth="1"/>
    <col min="13850" max="13850" width="7.28515625" customWidth="1"/>
    <col min="14081" max="14081" width="24.85546875" customWidth="1"/>
    <col min="14082" max="14082" width="8.42578125" customWidth="1"/>
    <col min="14083" max="14083" width="7.28515625" customWidth="1"/>
    <col min="14084" max="14084" width="7.140625" customWidth="1"/>
    <col min="14085" max="14085" width="7" customWidth="1"/>
    <col min="14086" max="14086" width="6.85546875" customWidth="1"/>
    <col min="14087" max="14087" width="6.5703125" customWidth="1"/>
    <col min="14088" max="14088" width="7" customWidth="1"/>
    <col min="14089" max="14089" width="6.5703125" customWidth="1"/>
    <col min="14090" max="14090" width="7" customWidth="1"/>
    <col min="14091" max="14091" width="6.7109375" customWidth="1"/>
    <col min="14092" max="14092" width="6.42578125" customWidth="1"/>
    <col min="14093" max="14093" width="6.7109375" customWidth="1"/>
    <col min="14094" max="14094" width="7.5703125" customWidth="1"/>
    <col min="14095" max="14096" width="6.85546875" customWidth="1"/>
    <col min="14097" max="14097" width="7.140625" customWidth="1"/>
    <col min="14098" max="14098" width="6.7109375" customWidth="1"/>
    <col min="14099" max="14099" width="5.85546875" customWidth="1"/>
    <col min="14100" max="14100" width="7.5703125" customWidth="1"/>
    <col min="14101" max="14101" width="6.85546875" customWidth="1"/>
    <col min="14102" max="14102" width="7" customWidth="1"/>
    <col min="14103" max="14103" width="6.7109375" customWidth="1"/>
    <col min="14104" max="14104" width="7.140625" customWidth="1"/>
    <col min="14105" max="14105" width="6.7109375" customWidth="1"/>
    <col min="14106" max="14106" width="7.28515625" customWidth="1"/>
    <col min="14337" max="14337" width="24.85546875" customWidth="1"/>
    <col min="14338" max="14338" width="8.42578125" customWidth="1"/>
    <col min="14339" max="14339" width="7.28515625" customWidth="1"/>
    <col min="14340" max="14340" width="7.140625" customWidth="1"/>
    <col min="14341" max="14341" width="7" customWidth="1"/>
    <col min="14342" max="14342" width="6.85546875" customWidth="1"/>
    <col min="14343" max="14343" width="6.5703125" customWidth="1"/>
    <col min="14344" max="14344" width="7" customWidth="1"/>
    <col min="14345" max="14345" width="6.5703125" customWidth="1"/>
    <col min="14346" max="14346" width="7" customWidth="1"/>
    <col min="14347" max="14347" width="6.7109375" customWidth="1"/>
    <col min="14348" max="14348" width="6.42578125" customWidth="1"/>
    <col min="14349" max="14349" width="6.7109375" customWidth="1"/>
    <col min="14350" max="14350" width="7.5703125" customWidth="1"/>
    <col min="14351" max="14352" width="6.85546875" customWidth="1"/>
    <col min="14353" max="14353" width="7.140625" customWidth="1"/>
    <col min="14354" max="14354" width="6.7109375" customWidth="1"/>
    <col min="14355" max="14355" width="5.85546875" customWidth="1"/>
    <col min="14356" max="14356" width="7.5703125" customWidth="1"/>
    <col min="14357" max="14357" width="6.85546875" customWidth="1"/>
    <col min="14358" max="14358" width="7" customWidth="1"/>
    <col min="14359" max="14359" width="6.7109375" customWidth="1"/>
    <col min="14360" max="14360" width="7.140625" customWidth="1"/>
    <col min="14361" max="14361" width="6.7109375" customWidth="1"/>
    <col min="14362" max="14362" width="7.28515625" customWidth="1"/>
    <col min="14593" max="14593" width="24.85546875" customWidth="1"/>
    <col min="14594" max="14594" width="8.42578125" customWidth="1"/>
    <col min="14595" max="14595" width="7.28515625" customWidth="1"/>
    <col min="14596" max="14596" width="7.140625" customWidth="1"/>
    <col min="14597" max="14597" width="7" customWidth="1"/>
    <col min="14598" max="14598" width="6.85546875" customWidth="1"/>
    <col min="14599" max="14599" width="6.5703125" customWidth="1"/>
    <col min="14600" max="14600" width="7" customWidth="1"/>
    <col min="14601" max="14601" width="6.5703125" customWidth="1"/>
    <col min="14602" max="14602" width="7" customWidth="1"/>
    <col min="14603" max="14603" width="6.7109375" customWidth="1"/>
    <col min="14604" max="14604" width="6.42578125" customWidth="1"/>
    <col min="14605" max="14605" width="6.7109375" customWidth="1"/>
    <col min="14606" max="14606" width="7.5703125" customWidth="1"/>
    <col min="14607" max="14608" width="6.85546875" customWidth="1"/>
    <col min="14609" max="14609" width="7.140625" customWidth="1"/>
    <col min="14610" max="14610" width="6.7109375" customWidth="1"/>
    <col min="14611" max="14611" width="5.85546875" customWidth="1"/>
    <col min="14612" max="14612" width="7.5703125" customWidth="1"/>
    <col min="14613" max="14613" width="6.85546875" customWidth="1"/>
    <col min="14614" max="14614" width="7" customWidth="1"/>
    <col min="14615" max="14615" width="6.7109375" customWidth="1"/>
    <col min="14616" max="14616" width="7.140625" customWidth="1"/>
    <col min="14617" max="14617" width="6.7109375" customWidth="1"/>
    <col min="14618" max="14618" width="7.28515625" customWidth="1"/>
    <col min="14849" max="14849" width="24.85546875" customWidth="1"/>
    <col min="14850" max="14850" width="8.42578125" customWidth="1"/>
    <col min="14851" max="14851" width="7.28515625" customWidth="1"/>
    <col min="14852" max="14852" width="7.140625" customWidth="1"/>
    <col min="14853" max="14853" width="7" customWidth="1"/>
    <col min="14854" max="14854" width="6.85546875" customWidth="1"/>
    <col min="14855" max="14855" width="6.5703125" customWidth="1"/>
    <col min="14856" max="14856" width="7" customWidth="1"/>
    <col min="14857" max="14857" width="6.5703125" customWidth="1"/>
    <col min="14858" max="14858" width="7" customWidth="1"/>
    <col min="14859" max="14859" width="6.7109375" customWidth="1"/>
    <col min="14860" max="14860" width="6.42578125" customWidth="1"/>
    <col min="14861" max="14861" width="6.7109375" customWidth="1"/>
    <col min="14862" max="14862" width="7.5703125" customWidth="1"/>
    <col min="14863" max="14864" width="6.85546875" customWidth="1"/>
    <col min="14865" max="14865" width="7.140625" customWidth="1"/>
    <col min="14866" max="14866" width="6.7109375" customWidth="1"/>
    <col min="14867" max="14867" width="5.85546875" customWidth="1"/>
    <col min="14868" max="14868" width="7.5703125" customWidth="1"/>
    <col min="14869" max="14869" width="6.85546875" customWidth="1"/>
    <col min="14870" max="14870" width="7" customWidth="1"/>
    <col min="14871" max="14871" width="6.7109375" customWidth="1"/>
    <col min="14872" max="14872" width="7.140625" customWidth="1"/>
    <col min="14873" max="14873" width="6.7109375" customWidth="1"/>
    <col min="14874" max="14874" width="7.28515625" customWidth="1"/>
    <col min="15105" max="15105" width="24.85546875" customWidth="1"/>
    <col min="15106" max="15106" width="8.42578125" customWidth="1"/>
    <col min="15107" max="15107" width="7.28515625" customWidth="1"/>
    <col min="15108" max="15108" width="7.140625" customWidth="1"/>
    <col min="15109" max="15109" width="7" customWidth="1"/>
    <col min="15110" max="15110" width="6.85546875" customWidth="1"/>
    <col min="15111" max="15111" width="6.5703125" customWidth="1"/>
    <col min="15112" max="15112" width="7" customWidth="1"/>
    <col min="15113" max="15113" width="6.5703125" customWidth="1"/>
    <col min="15114" max="15114" width="7" customWidth="1"/>
    <col min="15115" max="15115" width="6.7109375" customWidth="1"/>
    <col min="15116" max="15116" width="6.42578125" customWidth="1"/>
    <col min="15117" max="15117" width="6.7109375" customWidth="1"/>
    <col min="15118" max="15118" width="7.5703125" customWidth="1"/>
    <col min="15119" max="15120" width="6.85546875" customWidth="1"/>
    <col min="15121" max="15121" width="7.140625" customWidth="1"/>
    <col min="15122" max="15122" width="6.7109375" customWidth="1"/>
    <col min="15123" max="15123" width="5.85546875" customWidth="1"/>
    <col min="15124" max="15124" width="7.5703125" customWidth="1"/>
    <col min="15125" max="15125" width="6.85546875" customWidth="1"/>
    <col min="15126" max="15126" width="7" customWidth="1"/>
    <col min="15127" max="15127" width="6.7109375" customWidth="1"/>
    <col min="15128" max="15128" width="7.140625" customWidth="1"/>
    <col min="15129" max="15129" width="6.7109375" customWidth="1"/>
    <col min="15130" max="15130" width="7.28515625" customWidth="1"/>
    <col min="15361" max="15361" width="24.85546875" customWidth="1"/>
    <col min="15362" max="15362" width="8.42578125" customWidth="1"/>
    <col min="15363" max="15363" width="7.28515625" customWidth="1"/>
    <col min="15364" max="15364" width="7.140625" customWidth="1"/>
    <col min="15365" max="15365" width="7" customWidth="1"/>
    <col min="15366" max="15366" width="6.85546875" customWidth="1"/>
    <col min="15367" max="15367" width="6.5703125" customWidth="1"/>
    <col min="15368" max="15368" width="7" customWidth="1"/>
    <col min="15369" max="15369" width="6.5703125" customWidth="1"/>
    <col min="15370" max="15370" width="7" customWidth="1"/>
    <col min="15371" max="15371" width="6.7109375" customWidth="1"/>
    <col min="15372" max="15372" width="6.42578125" customWidth="1"/>
    <col min="15373" max="15373" width="6.7109375" customWidth="1"/>
    <col min="15374" max="15374" width="7.5703125" customWidth="1"/>
    <col min="15375" max="15376" width="6.85546875" customWidth="1"/>
    <col min="15377" max="15377" width="7.140625" customWidth="1"/>
    <col min="15378" max="15378" width="6.7109375" customWidth="1"/>
    <col min="15379" max="15379" width="5.85546875" customWidth="1"/>
    <col min="15380" max="15380" width="7.5703125" customWidth="1"/>
    <col min="15381" max="15381" width="6.85546875" customWidth="1"/>
    <col min="15382" max="15382" width="7" customWidth="1"/>
    <col min="15383" max="15383" width="6.7109375" customWidth="1"/>
    <col min="15384" max="15384" width="7.140625" customWidth="1"/>
    <col min="15385" max="15385" width="6.7109375" customWidth="1"/>
    <col min="15386" max="15386" width="7.28515625" customWidth="1"/>
    <col min="15617" max="15617" width="24.85546875" customWidth="1"/>
    <col min="15618" max="15618" width="8.42578125" customWidth="1"/>
    <col min="15619" max="15619" width="7.28515625" customWidth="1"/>
    <col min="15620" max="15620" width="7.140625" customWidth="1"/>
    <col min="15621" max="15621" width="7" customWidth="1"/>
    <col min="15622" max="15622" width="6.85546875" customWidth="1"/>
    <col min="15623" max="15623" width="6.5703125" customWidth="1"/>
    <col min="15624" max="15624" width="7" customWidth="1"/>
    <col min="15625" max="15625" width="6.5703125" customWidth="1"/>
    <col min="15626" max="15626" width="7" customWidth="1"/>
    <col min="15627" max="15627" width="6.7109375" customWidth="1"/>
    <col min="15628" max="15628" width="6.42578125" customWidth="1"/>
    <col min="15629" max="15629" width="6.7109375" customWidth="1"/>
    <col min="15630" max="15630" width="7.5703125" customWidth="1"/>
    <col min="15631" max="15632" width="6.85546875" customWidth="1"/>
    <col min="15633" max="15633" width="7.140625" customWidth="1"/>
    <col min="15634" max="15634" width="6.7109375" customWidth="1"/>
    <col min="15635" max="15635" width="5.85546875" customWidth="1"/>
    <col min="15636" max="15636" width="7.5703125" customWidth="1"/>
    <col min="15637" max="15637" width="6.85546875" customWidth="1"/>
    <col min="15638" max="15638" width="7" customWidth="1"/>
    <col min="15639" max="15639" width="6.7109375" customWidth="1"/>
    <col min="15640" max="15640" width="7.140625" customWidth="1"/>
    <col min="15641" max="15641" width="6.7109375" customWidth="1"/>
    <col min="15642" max="15642" width="7.28515625" customWidth="1"/>
    <col min="15873" max="15873" width="24.85546875" customWidth="1"/>
    <col min="15874" max="15874" width="8.42578125" customWidth="1"/>
    <col min="15875" max="15875" width="7.28515625" customWidth="1"/>
    <col min="15876" max="15876" width="7.140625" customWidth="1"/>
    <col min="15877" max="15877" width="7" customWidth="1"/>
    <col min="15878" max="15878" width="6.85546875" customWidth="1"/>
    <col min="15879" max="15879" width="6.5703125" customWidth="1"/>
    <col min="15880" max="15880" width="7" customWidth="1"/>
    <col min="15881" max="15881" width="6.5703125" customWidth="1"/>
    <col min="15882" max="15882" width="7" customWidth="1"/>
    <col min="15883" max="15883" width="6.7109375" customWidth="1"/>
    <col min="15884" max="15884" width="6.42578125" customWidth="1"/>
    <col min="15885" max="15885" width="6.7109375" customWidth="1"/>
    <col min="15886" max="15886" width="7.5703125" customWidth="1"/>
    <col min="15887" max="15888" width="6.85546875" customWidth="1"/>
    <col min="15889" max="15889" width="7.140625" customWidth="1"/>
    <col min="15890" max="15890" width="6.7109375" customWidth="1"/>
    <col min="15891" max="15891" width="5.85546875" customWidth="1"/>
    <col min="15892" max="15892" width="7.5703125" customWidth="1"/>
    <col min="15893" max="15893" width="6.85546875" customWidth="1"/>
    <col min="15894" max="15894" width="7" customWidth="1"/>
    <col min="15895" max="15895" width="6.7109375" customWidth="1"/>
    <col min="15896" max="15896" width="7.140625" customWidth="1"/>
    <col min="15897" max="15897" width="6.7109375" customWidth="1"/>
    <col min="15898" max="15898" width="7.28515625" customWidth="1"/>
    <col min="16129" max="16129" width="24.85546875" customWidth="1"/>
    <col min="16130" max="16130" width="8.42578125" customWidth="1"/>
    <col min="16131" max="16131" width="7.28515625" customWidth="1"/>
    <col min="16132" max="16132" width="7.140625" customWidth="1"/>
    <col min="16133" max="16133" width="7" customWidth="1"/>
    <col min="16134" max="16134" width="6.85546875" customWidth="1"/>
    <col min="16135" max="16135" width="6.5703125" customWidth="1"/>
    <col min="16136" max="16136" width="7" customWidth="1"/>
    <col min="16137" max="16137" width="6.5703125" customWidth="1"/>
    <col min="16138" max="16138" width="7" customWidth="1"/>
    <col min="16139" max="16139" width="6.7109375" customWidth="1"/>
    <col min="16140" max="16140" width="6.42578125" customWidth="1"/>
    <col min="16141" max="16141" width="6.7109375" customWidth="1"/>
    <col min="16142" max="16142" width="7.5703125" customWidth="1"/>
    <col min="16143" max="16144" width="6.85546875" customWidth="1"/>
    <col min="16145" max="16145" width="7.140625" customWidth="1"/>
    <col min="16146" max="16146" width="6.7109375" customWidth="1"/>
    <col min="16147" max="16147" width="5.85546875" customWidth="1"/>
    <col min="16148" max="16148" width="7.5703125" customWidth="1"/>
    <col min="16149" max="16149" width="6.85546875" customWidth="1"/>
    <col min="16150" max="16150" width="7" customWidth="1"/>
    <col min="16151" max="16151" width="6.7109375" customWidth="1"/>
    <col min="16152" max="16152" width="7.140625" customWidth="1"/>
    <col min="16153" max="16153" width="6.7109375" customWidth="1"/>
    <col min="16154" max="16154" width="7.28515625" customWidth="1"/>
  </cols>
  <sheetData>
    <row r="1" spans="1:28" x14ac:dyDescent="0.2">
      <c r="A1" t="s">
        <v>448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s="33" t="s">
        <v>517</v>
      </c>
    </row>
    <row r="2" spans="1:28" x14ac:dyDescent="0.2">
      <c r="A2" t="s">
        <v>287</v>
      </c>
      <c r="B2" s="34" t="s">
        <v>518</v>
      </c>
      <c r="C2" s="33" t="s">
        <v>519</v>
      </c>
      <c r="D2" s="33" t="s">
        <v>520</v>
      </c>
      <c r="E2" s="33" t="s">
        <v>521</v>
      </c>
      <c r="F2" s="33" t="s">
        <v>522</v>
      </c>
      <c r="G2" s="33" t="s">
        <v>523</v>
      </c>
      <c r="H2" s="33" t="s">
        <v>524</v>
      </c>
      <c r="I2" s="33" t="s">
        <v>525</v>
      </c>
      <c r="J2" s="33" t="s">
        <v>526</v>
      </c>
      <c r="K2" s="33" t="s">
        <v>527</v>
      </c>
      <c r="L2" s="33" t="s">
        <v>528</v>
      </c>
      <c r="M2" s="33" t="s">
        <v>529</v>
      </c>
      <c r="N2" s="33" t="s">
        <v>530</v>
      </c>
      <c r="O2" s="33" t="s">
        <v>531</v>
      </c>
      <c r="P2" s="33" t="s">
        <v>532</v>
      </c>
      <c r="Q2" s="33" t="s">
        <v>533</v>
      </c>
      <c r="R2" s="33" t="s">
        <v>534</v>
      </c>
      <c r="S2" s="33" t="s">
        <v>535</v>
      </c>
      <c r="T2" s="33" t="s">
        <v>536</v>
      </c>
      <c r="U2" s="33" t="s">
        <v>537</v>
      </c>
      <c r="V2" s="33" t="s">
        <v>538</v>
      </c>
      <c r="W2" s="33" t="s">
        <v>539</v>
      </c>
      <c r="X2" s="33" t="s">
        <v>540</v>
      </c>
      <c r="Y2" s="33" t="s">
        <v>541</v>
      </c>
      <c r="Z2" s="33" t="s">
        <v>542</v>
      </c>
      <c r="AA2" s="33" t="s">
        <v>344</v>
      </c>
      <c r="AB2" s="34" t="s">
        <v>460</v>
      </c>
    </row>
    <row r="3" spans="1:28" x14ac:dyDescent="0.2">
      <c r="A3" s="27" t="s">
        <v>1</v>
      </c>
      <c r="B3" s="33">
        <v>5</v>
      </c>
      <c r="C3" s="33">
        <v>10</v>
      </c>
      <c r="D3" s="33">
        <v>3</v>
      </c>
      <c r="E3" s="33">
        <v>3</v>
      </c>
      <c r="F3" s="33">
        <v>10</v>
      </c>
      <c r="G3" s="33">
        <v>9</v>
      </c>
      <c r="H3" s="33">
        <v>1</v>
      </c>
      <c r="I3" s="33">
        <v>3</v>
      </c>
      <c r="J3" s="33">
        <v>4</v>
      </c>
      <c r="K3" s="33">
        <v>3</v>
      </c>
      <c r="L3" s="33">
        <v>6</v>
      </c>
      <c r="M3" s="33">
        <v>1</v>
      </c>
      <c r="N3" s="33">
        <v>2</v>
      </c>
      <c r="O3" s="33">
        <v>6</v>
      </c>
      <c r="P3" s="33">
        <v>2</v>
      </c>
      <c r="Q3" s="33">
        <v>2</v>
      </c>
      <c r="R3" s="33">
        <v>2</v>
      </c>
      <c r="S3" s="33">
        <v>1</v>
      </c>
      <c r="T3" s="33">
        <v>1</v>
      </c>
      <c r="U3" s="33">
        <v>3</v>
      </c>
      <c r="V3" s="33">
        <v>6</v>
      </c>
      <c r="W3" s="33">
        <v>0</v>
      </c>
      <c r="X3" s="33">
        <v>2</v>
      </c>
      <c r="Y3" s="33">
        <v>0</v>
      </c>
      <c r="Z3" s="33">
        <v>0</v>
      </c>
      <c r="AA3" s="33">
        <f t="shared" ref="AA3:AA33" si="0">SUM(B3:Z3)</f>
        <v>85</v>
      </c>
      <c r="AB3" s="34">
        <v>4.6100000000000003</v>
      </c>
    </row>
    <row r="4" spans="1:28" x14ac:dyDescent="0.2">
      <c r="A4" s="27" t="s">
        <v>3</v>
      </c>
      <c r="B4" s="33">
        <v>6</v>
      </c>
      <c r="C4" s="33">
        <v>3</v>
      </c>
      <c r="D4" s="33">
        <v>0</v>
      </c>
      <c r="E4" s="33">
        <v>2</v>
      </c>
      <c r="F4" s="33">
        <v>6</v>
      </c>
      <c r="G4" s="33">
        <v>2</v>
      </c>
      <c r="H4" s="33">
        <v>0</v>
      </c>
      <c r="I4" s="33">
        <v>2</v>
      </c>
      <c r="J4" s="33">
        <v>8</v>
      </c>
      <c r="K4" s="33">
        <v>2</v>
      </c>
      <c r="L4" s="33">
        <v>5</v>
      </c>
      <c r="M4" s="33">
        <v>3</v>
      </c>
      <c r="N4" s="33">
        <v>3</v>
      </c>
      <c r="O4" s="33">
        <v>3</v>
      </c>
      <c r="P4" s="33">
        <v>3</v>
      </c>
      <c r="Q4" s="33">
        <v>3</v>
      </c>
      <c r="R4" s="33">
        <v>4</v>
      </c>
      <c r="S4" s="33">
        <v>1</v>
      </c>
      <c r="T4" s="33">
        <v>0</v>
      </c>
      <c r="U4" s="33">
        <v>3</v>
      </c>
      <c r="V4" s="33">
        <v>1</v>
      </c>
      <c r="W4" s="33">
        <v>0</v>
      </c>
      <c r="X4" s="33">
        <v>6</v>
      </c>
      <c r="Y4" s="33">
        <v>6</v>
      </c>
      <c r="Z4" s="33">
        <v>0</v>
      </c>
      <c r="AA4" s="33">
        <f t="shared" si="0"/>
        <v>72</v>
      </c>
      <c r="AB4" s="34" t="s">
        <v>543</v>
      </c>
    </row>
    <row r="5" spans="1:28" x14ac:dyDescent="0.2">
      <c r="A5" s="27" t="s">
        <v>4</v>
      </c>
      <c r="B5" s="33">
        <v>0</v>
      </c>
      <c r="C5" s="33">
        <v>1</v>
      </c>
      <c r="D5" s="33">
        <v>0</v>
      </c>
      <c r="E5" s="33">
        <v>1</v>
      </c>
      <c r="F5" s="33">
        <v>1</v>
      </c>
      <c r="G5" s="33">
        <v>0</v>
      </c>
      <c r="H5" s="33">
        <v>2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1</v>
      </c>
      <c r="P5" s="33">
        <v>1</v>
      </c>
      <c r="Q5" s="33">
        <v>1</v>
      </c>
      <c r="R5" s="33">
        <v>0</v>
      </c>
      <c r="S5" s="33">
        <v>1</v>
      </c>
      <c r="T5" s="33">
        <v>0</v>
      </c>
      <c r="U5" s="33">
        <v>0</v>
      </c>
      <c r="V5" s="33">
        <v>1</v>
      </c>
      <c r="W5" s="33">
        <v>1</v>
      </c>
      <c r="X5" s="33">
        <v>0</v>
      </c>
      <c r="Y5" s="33">
        <v>0</v>
      </c>
      <c r="Z5" s="33">
        <v>0</v>
      </c>
      <c r="AA5" s="33">
        <f t="shared" si="0"/>
        <v>11</v>
      </c>
      <c r="AB5" s="34" t="s">
        <v>476</v>
      </c>
    </row>
    <row r="6" spans="1:28" x14ac:dyDescent="0.2">
      <c r="A6" s="27" t="s">
        <v>5</v>
      </c>
      <c r="B6" s="33">
        <v>2</v>
      </c>
      <c r="C6" s="33">
        <v>2</v>
      </c>
      <c r="D6" s="33">
        <v>1</v>
      </c>
      <c r="E6" s="33">
        <v>1</v>
      </c>
      <c r="F6" s="33">
        <v>0</v>
      </c>
      <c r="G6" s="33">
        <v>4</v>
      </c>
      <c r="H6" s="33">
        <v>1</v>
      </c>
      <c r="I6" s="33">
        <v>0</v>
      </c>
      <c r="J6" s="33">
        <v>3</v>
      </c>
      <c r="K6" s="33">
        <v>0</v>
      </c>
      <c r="L6" s="33">
        <v>3</v>
      </c>
      <c r="M6" s="33">
        <v>0</v>
      </c>
      <c r="N6" s="33">
        <v>3</v>
      </c>
      <c r="O6" s="33">
        <v>1</v>
      </c>
      <c r="P6" s="33">
        <v>1</v>
      </c>
      <c r="Q6" s="33">
        <v>0</v>
      </c>
      <c r="R6" s="33">
        <v>3</v>
      </c>
      <c r="S6" s="33">
        <v>1</v>
      </c>
      <c r="T6" s="33">
        <v>0</v>
      </c>
      <c r="U6" s="33">
        <v>1</v>
      </c>
      <c r="V6" s="33">
        <v>1</v>
      </c>
      <c r="W6" s="33">
        <v>2</v>
      </c>
      <c r="X6" s="33">
        <v>0</v>
      </c>
      <c r="Y6" s="33">
        <v>0</v>
      </c>
      <c r="Z6" s="33">
        <v>0</v>
      </c>
      <c r="AA6" s="33">
        <f t="shared" si="0"/>
        <v>30</v>
      </c>
      <c r="AB6" s="34">
        <v>1.63</v>
      </c>
    </row>
    <row r="7" spans="1:28" x14ac:dyDescent="0.2">
      <c r="A7" s="27" t="s">
        <v>6</v>
      </c>
      <c r="B7" s="33">
        <v>63</v>
      </c>
      <c r="C7" s="33">
        <v>76</v>
      </c>
      <c r="D7" s="33">
        <v>14</v>
      </c>
      <c r="E7" s="33">
        <v>21</v>
      </c>
      <c r="F7" s="33">
        <v>46</v>
      </c>
      <c r="G7" s="33">
        <v>24</v>
      </c>
      <c r="H7" s="33">
        <v>13</v>
      </c>
      <c r="I7" s="33">
        <v>6</v>
      </c>
      <c r="J7" s="33">
        <v>43</v>
      </c>
      <c r="K7" s="33">
        <v>4</v>
      </c>
      <c r="L7" s="33">
        <v>11</v>
      </c>
      <c r="M7" s="33">
        <v>12</v>
      </c>
      <c r="N7" s="33">
        <v>13</v>
      </c>
      <c r="O7" s="33">
        <v>19</v>
      </c>
      <c r="P7" s="33">
        <v>15</v>
      </c>
      <c r="Q7" s="33">
        <v>3</v>
      </c>
      <c r="R7" s="33">
        <v>32</v>
      </c>
      <c r="S7" s="33">
        <v>7</v>
      </c>
      <c r="T7" s="33">
        <v>2</v>
      </c>
      <c r="U7" s="33">
        <v>12</v>
      </c>
      <c r="V7" s="33">
        <v>12</v>
      </c>
      <c r="W7" s="33">
        <v>10</v>
      </c>
      <c r="X7" s="33">
        <v>13</v>
      </c>
      <c r="Y7" s="33">
        <v>17</v>
      </c>
      <c r="Z7" s="33">
        <v>6</v>
      </c>
      <c r="AA7" s="33">
        <f t="shared" si="0"/>
        <v>494</v>
      </c>
      <c r="AB7" s="34">
        <v>26.78</v>
      </c>
    </row>
    <row r="8" spans="1:28" x14ac:dyDescent="0.2">
      <c r="A8" s="27" t="s">
        <v>40</v>
      </c>
      <c r="B8" s="33">
        <v>1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f t="shared" si="0"/>
        <v>1</v>
      </c>
      <c r="AB8" s="34">
        <v>0.05</v>
      </c>
    </row>
    <row r="9" spans="1:28" x14ac:dyDescent="0.2">
      <c r="A9" s="27" t="s">
        <v>7</v>
      </c>
      <c r="B9" s="33">
        <v>31</v>
      </c>
      <c r="C9" s="33">
        <v>27</v>
      </c>
      <c r="D9" s="33">
        <v>7</v>
      </c>
      <c r="E9" s="33">
        <v>12</v>
      </c>
      <c r="F9" s="33">
        <v>38</v>
      </c>
      <c r="G9" s="33">
        <v>21</v>
      </c>
      <c r="H9" s="33">
        <v>5</v>
      </c>
      <c r="I9" s="33">
        <v>2</v>
      </c>
      <c r="J9" s="33">
        <v>18</v>
      </c>
      <c r="K9" s="33">
        <v>2</v>
      </c>
      <c r="L9" s="33">
        <v>11</v>
      </c>
      <c r="M9" s="33">
        <v>10</v>
      </c>
      <c r="N9" s="33">
        <v>8</v>
      </c>
      <c r="O9" s="33">
        <v>16</v>
      </c>
      <c r="P9" s="33">
        <v>6</v>
      </c>
      <c r="Q9" s="33">
        <v>1</v>
      </c>
      <c r="R9" s="33">
        <v>19</v>
      </c>
      <c r="S9" s="33">
        <v>5</v>
      </c>
      <c r="T9" s="33">
        <v>0</v>
      </c>
      <c r="U9" s="33">
        <v>12</v>
      </c>
      <c r="V9" s="33">
        <v>4</v>
      </c>
      <c r="W9" s="33">
        <v>3</v>
      </c>
      <c r="X9" s="33">
        <v>4</v>
      </c>
      <c r="Y9" s="33">
        <v>12</v>
      </c>
      <c r="Z9" s="33">
        <v>3</v>
      </c>
      <c r="AA9" s="33">
        <f t="shared" si="0"/>
        <v>277</v>
      </c>
      <c r="AB9" s="34">
        <v>15.01</v>
      </c>
    </row>
    <row r="10" spans="1:28" x14ac:dyDescent="0.2">
      <c r="A10" s="27" t="s">
        <v>9</v>
      </c>
      <c r="B10" s="33">
        <v>1</v>
      </c>
      <c r="C10" s="33">
        <v>0</v>
      </c>
      <c r="D10" s="33">
        <v>1</v>
      </c>
      <c r="E10" s="33">
        <v>1</v>
      </c>
      <c r="F10" s="33">
        <v>0</v>
      </c>
      <c r="G10" s="33">
        <v>0</v>
      </c>
      <c r="H10" s="33">
        <v>1</v>
      </c>
      <c r="I10" s="33">
        <v>0</v>
      </c>
      <c r="J10" s="33">
        <v>1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1</v>
      </c>
      <c r="U10" s="33">
        <v>1</v>
      </c>
      <c r="V10" s="33">
        <v>1</v>
      </c>
      <c r="W10" s="33">
        <v>0</v>
      </c>
      <c r="X10" s="33">
        <v>0</v>
      </c>
      <c r="Y10" s="33">
        <v>0</v>
      </c>
      <c r="Z10" s="33">
        <v>0</v>
      </c>
      <c r="AA10" s="33">
        <f t="shared" si="0"/>
        <v>8</v>
      </c>
      <c r="AB10" s="34">
        <v>0.43</v>
      </c>
    </row>
    <row r="11" spans="1:28" x14ac:dyDescent="0.2">
      <c r="A11" s="27" t="s">
        <v>10</v>
      </c>
      <c r="B11" s="33">
        <v>1</v>
      </c>
      <c r="C11" s="33">
        <v>0</v>
      </c>
      <c r="D11" s="33">
        <v>2</v>
      </c>
      <c r="E11" s="33">
        <v>1</v>
      </c>
      <c r="F11" s="33">
        <v>0</v>
      </c>
      <c r="G11" s="33">
        <v>3</v>
      </c>
      <c r="H11" s="33">
        <v>2</v>
      </c>
      <c r="I11" s="33">
        <v>0</v>
      </c>
      <c r="J11" s="33">
        <v>0</v>
      </c>
      <c r="K11" s="33">
        <v>1</v>
      </c>
      <c r="L11" s="33">
        <v>1</v>
      </c>
      <c r="M11" s="33">
        <v>0</v>
      </c>
      <c r="N11" s="33">
        <v>0</v>
      </c>
      <c r="O11" s="33">
        <v>0</v>
      </c>
      <c r="P11" s="33">
        <v>1</v>
      </c>
      <c r="Q11" s="33">
        <v>3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1</v>
      </c>
      <c r="Y11" s="33">
        <v>0</v>
      </c>
      <c r="Z11" s="33">
        <v>0</v>
      </c>
      <c r="AA11" s="33">
        <f t="shared" si="0"/>
        <v>16</v>
      </c>
      <c r="AB11" s="34">
        <v>0.87</v>
      </c>
    </row>
    <row r="12" spans="1:28" x14ac:dyDescent="0.2">
      <c r="A12" s="27" t="s">
        <v>11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1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f t="shared" si="0"/>
        <v>1</v>
      </c>
      <c r="AB12" s="34">
        <v>0.05</v>
      </c>
    </row>
    <row r="13" spans="1:28" x14ac:dyDescent="0.2">
      <c r="A13" s="27" t="s">
        <v>13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1</v>
      </c>
      <c r="Z13" s="33">
        <v>0</v>
      </c>
      <c r="AA13" s="33">
        <f t="shared" si="0"/>
        <v>1</v>
      </c>
      <c r="AB13" s="34">
        <v>0.05</v>
      </c>
    </row>
    <row r="14" spans="1:28" x14ac:dyDescent="0.2">
      <c r="A14" s="27" t="s">
        <v>15</v>
      </c>
      <c r="B14" s="33">
        <v>2</v>
      </c>
      <c r="C14" s="33">
        <v>1</v>
      </c>
      <c r="D14" s="33">
        <v>0</v>
      </c>
      <c r="E14" s="33">
        <v>0</v>
      </c>
      <c r="F14" s="33">
        <v>3</v>
      </c>
      <c r="G14" s="33">
        <v>0</v>
      </c>
      <c r="H14" s="33">
        <v>0</v>
      </c>
      <c r="I14" s="33">
        <v>0</v>
      </c>
      <c r="J14" s="33">
        <v>3</v>
      </c>
      <c r="K14" s="33">
        <v>0</v>
      </c>
      <c r="L14" s="33">
        <v>2</v>
      </c>
      <c r="M14" s="33">
        <v>1</v>
      </c>
      <c r="N14" s="33">
        <v>0</v>
      </c>
      <c r="O14" s="33">
        <v>0</v>
      </c>
      <c r="P14" s="33">
        <v>0</v>
      </c>
      <c r="Q14" s="33">
        <v>0</v>
      </c>
      <c r="R14" s="33">
        <v>2</v>
      </c>
      <c r="S14" s="33">
        <v>0</v>
      </c>
      <c r="T14" s="33">
        <v>0</v>
      </c>
      <c r="U14" s="33">
        <v>2</v>
      </c>
      <c r="V14" s="33">
        <v>1</v>
      </c>
      <c r="W14" s="33">
        <v>1</v>
      </c>
      <c r="X14" s="33">
        <v>1</v>
      </c>
      <c r="Y14" s="33">
        <v>1</v>
      </c>
      <c r="Z14" s="33">
        <v>2</v>
      </c>
      <c r="AA14" s="33">
        <f t="shared" si="0"/>
        <v>22</v>
      </c>
      <c r="AB14" s="34">
        <v>1.19</v>
      </c>
    </row>
    <row r="15" spans="1:28" x14ac:dyDescent="0.2">
      <c r="A15" s="27" t="s">
        <v>16</v>
      </c>
      <c r="B15" s="33">
        <v>0</v>
      </c>
      <c r="C15" s="33">
        <v>0</v>
      </c>
      <c r="D15" s="33">
        <v>0</v>
      </c>
      <c r="E15" s="33">
        <v>0</v>
      </c>
      <c r="F15" s="33">
        <v>1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1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f t="shared" si="0"/>
        <v>2</v>
      </c>
      <c r="AB15" s="34">
        <v>0.11</v>
      </c>
    </row>
    <row r="16" spans="1:28" x14ac:dyDescent="0.2">
      <c r="A16" s="27" t="s">
        <v>17</v>
      </c>
      <c r="B16" s="33">
        <v>4</v>
      </c>
      <c r="C16" s="33">
        <v>1</v>
      </c>
      <c r="D16" s="33">
        <v>1</v>
      </c>
      <c r="E16" s="33">
        <v>0</v>
      </c>
      <c r="F16" s="33">
        <v>0</v>
      </c>
      <c r="G16" s="33">
        <v>0</v>
      </c>
      <c r="H16" s="33">
        <v>7</v>
      </c>
      <c r="I16" s="33">
        <v>0</v>
      </c>
      <c r="J16" s="33">
        <v>4</v>
      </c>
      <c r="K16" s="33">
        <v>0</v>
      </c>
      <c r="L16" s="33">
        <v>1</v>
      </c>
      <c r="M16" s="33">
        <v>0</v>
      </c>
      <c r="N16" s="33">
        <v>0</v>
      </c>
      <c r="O16" s="33">
        <v>2</v>
      </c>
      <c r="P16" s="33">
        <v>0</v>
      </c>
      <c r="Q16" s="33">
        <v>0</v>
      </c>
      <c r="R16" s="33">
        <v>2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4</v>
      </c>
      <c r="Y16" s="33">
        <v>1</v>
      </c>
      <c r="Z16" s="33">
        <v>1</v>
      </c>
      <c r="AA16" s="33">
        <f t="shared" si="0"/>
        <v>28</v>
      </c>
      <c r="AB16" s="34">
        <v>1.52</v>
      </c>
    </row>
    <row r="17" spans="1:28" x14ac:dyDescent="0.2">
      <c r="A17" s="27" t="s">
        <v>18</v>
      </c>
      <c r="B17" s="33">
        <v>1</v>
      </c>
      <c r="C17" s="33">
        <v>1</v>
      </c>
      <c r="D17" s="33">
        <v>1</v>
      </c>
      <c r="E17" s="33">
        <v>0</v>
      </c>
      <c r="F17" s="33">
        <v>0</v>
      </c>
      <c r="G17" s="33">
        <v>2</v>
      </c>
      <c r="H17" s="33">
        <v>1</v>
      </c>
      <c r="I17" s="33">
        <v>2</v>
      </c>
      <c r="J17" s="33">
        <v>2</v>
      </c>
      <c r="K17" s="33">
        <v>0</v>
      </c>
      <c r="L17" s="33">
        <v>3</v>
      </c>
      <c r="M17" s="33">
        <v>0</v>
      </c>
      <c r="N17" s="33">
        <v>1</v>
      </c>
      <c r="O17" s="33">
        <v>0</v>
      </c>
      <c r="P17" s="33">
        <v>0</v>
      </c>
      <c r="Q17" s="33">
        <v>2</v>
      </c>
      <c r="R17" s="33">
        <v>1</v>
      </c>
      <c r="S17" s="33">
        <v>1</v>
      </c>
      <c r="T17" s="33">
        <v>0</v>
      </c>
      <c r="U17" s="33">
        <v>0</v>
      </c>
      <c r="V17" s="33">
        <v>1</v>
      </c>
      <c r="W17" s="33">
        <v>0</v>
      </c>
      <c r="X17" s="33">
        <v>1</v>
      </c>
      <c r="Y17" s="33">
        <v>1</v>
      </c>
      <c r="Z17" s="33">
        <v>2</v>
      </c>
      <c r="AA17" s="33">
        <f t="shared" si="0"/>
        <v>23</v>
      </c>
      <c r="AB17" s="34">
        <v>1.25</v>
      </c>
    </row>
    <row r="18" spans="1:28" x14ac:dyDescent="0.2">
      <c r="A18" s="27" t="s">
        <v>19</v>
      </c>
      <c r="B18" s="33">
        <v>1</v>
      </c>
      <c r="C18" s="33">
        <v>2</v>
      </c>
      <c r="D18" s="33">
        <v>11</v>
      </c>
      <c r="E18" s="33">
        <v>16</v>
      </c>
      <c r="F18" s="33">
        <v>5</v>
      </c>
      <c r="G18" s="33">
        <v>13</v>
      </c>
      <c r="H18" s="33">
        <v>4</v>
      </c>
      <c r="I18" s="33">
        <v>18</v>
      </c>
      <c r="J18" s="33">
        <v>9</v>
      </c>
      <c r="K18" s="33">
        <v>8</v>
      </c>
      <c r="L18" s="33">
        <v>3</v>
      </c>
      <c r="M18" s="33">
        <v>3</v>
      </c>
      <c r="N18" s="33">
        <v>4</v>
      </c>
      <c r="O18" s="33">
        <v>5</v>
      </c>
      <c r="P18" s="33">
        <v>3</v>
      </c>
      <c r="Q18" s="33">
        <v>4</v>
      </c>
      <c r="R18" s="33">
        <v>3</v>
      </c>
      <c r="S18" s="33">
        <v>2</v>
      </c>
      <c r="T18" s="33">
        <v>0</v>
      </c>
      <c r="U18" s="33">
        <v>19</v>
      </c>
      <c r="V18" s="33">
        <v>9</v>
      </c>
      <c r="W18" s="33">
        <v>2</v>
      </c>
      <c r="X18" s="33">
        <v>9</v>
      </c>
      <c r="Y18" s="33">
        <v>4</v>
      </c>
      <c r="Z18" s="33">
        <v>9</v>
      </c>
      <c r="AA18" s="33">
        <f t="shared" si="0"/>
        <v>166</v>
      </c>
      <c r="AB18" s="34" t="s">
        <v>544</v>
      </c>
    </row>
    <row r="19" spans="1:28" x14ac:dyDescent="0.2">
      <c r="A19" s="27" t="s">
        <v>20</v>
      </c>
      <c r="B19" s="33">
        <v>1</v>
      </c>
      <c r="C19" s="33">
        <v>3</v>
      </c>
      <c r="D19" s="33">
        <v>0</v>
      </c>
      <c r="E19" s="33">
        <v>0</v>
      </c>
      <c r="F19" s="33">
        <v>2</v>
      </c>
      <c r="G19" s="33">
        <v>0</v>
      </c>
      <c r="H19" s="33">
        <v>3</v>
      </c>
      <c r="I19" s="33">
        <v>0</v>
      </c>
      <c r="J19" s="33">
        <v>2</v>
      </c>
      <c r="K19" s="33">
        <v>0</v>
      </c>
      <c r="L19" s="33">
        <v>0</v>
      </c>
      <c r="M19" s="33">
        <v>1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2</v>
      </c>
      <c r="V19" s="33">
        <v>2</v>
      </c>
      <c r="W19" s="33">
        <v>2</v>
      </c>
      <c r="X19" s="33">
        <v>3</v>
      </c>
      <c r="Y19" s="33">
        <v>0</v>
      </c>
      <c r="Z19" s="33">
        <v>1</v>
      </c>
      <c r="AA19" s="33">
        <f t="shared" si="0"/>
        <v>22</v>
      </c>
      <c r="AB19" s="34">
        <v>1.19</v>
      </c>
    </row>
    <row r="20" spans="1:28" x14ac:dyDescent="0.2">
      <c r="A20" s="27" t="s">
        <v>200</v>
      </c>
      <c r="B20" s="33">
        <v>16</v>
      </c>
      <c r="C20" s="33">
        <v>5</v>
      </c>
      <c r="D20" s="33">
        <v>0</v>
      </c>
      <c r="E20" s="33">
        <v>1</v>
      </c>
      <c r="F20" s="33">
        <v>6</v>
      </c>
      <c r="G20" s="33">
        <v>2</v>
      </c>
      <c r="H20" s="33">
        <v>0</v>
      </c>
      <c r="I20" s="33">
        <v>0</v>
      </c>
      <c r="J20" s="33">
        <v>9</v>
      </c>
      <c r="K20" s="33">
        <v>0</v>
      </c>
      <c r="L20" s="33">
        <v>1</v>
      </c>
      <c r="M20" s="33">
        <v>0</v>
      </c>
      <c r="N20" s="33">
        <v>0</v>
      </c>
      <c r="O20" s="33">
        <v>1</v>
      </c>
      <c r="P20" s="33">
        <v>0</v>
      </c>
      <c r="Q20" s="33">
        <v>0</v>
      </c>
      <c r="R20" s="33">
        <v>1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1</v>
      </c>
      <c r="Y20" s="33">
        <v>2</v>
      </c>
      <c r="Z20" s="33">
        <v>0</v>
      </c>
      <c r="AA20" s="33">
        <f t="shared" si="0"/>
        <v>45</v>
      </c>
      <c r="AB20" s="34">
        <v>2.44</v>
      </c>
    </row>
    <row r="21" spans="1:28" x14ac:dyDescent="0.2">
      <c r="A21" s="27" t="s">
        <v>22</v>
      </c>
      <c r="B21" s="33">
        <v>0</v>
      </c>
      <c r="C21" s="33">
        <v>2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1</v>
      </c>
      <c r="U21" s="33">
        <v>0</v>
      </c>
      <c r="V21" s="33">
        <v>0</v>
      </c>
      <c r="W21" s="33">
        <v>0</v>
      </c>
      <c r="X21" s="33">
        <v>0</v>
      </c>
      <c r="Y21" s="33">
        <v>1</v>
      </c>
      <c r="Z21" s="33">
        <v>1</v>
      </c>
      <c r="AA21" s="33">
        <f t="shared" si="0"/>
        <v>5</v>
      </c>
      <c r="AB21" s="34">
        <v>0.27</v>
      </c>
    </row>
    <row r="22" spans="1:28" x14ac:dyDescent="0.2">
      <c r="A22" s="27" t="s">
        <v>23</v>
      </c>
      <c r="B22" s="33">
        <v>2</v>
      </c>
      <c r="C22" s="33">
        <v>2</v>
      </c>
      <c r="D22" s="33">
        <v>1</v>
      </c>
      <c r="E22" s="33">
        <v>3</v>
      </c>
      <c r="F22" s="33">
        <v>6</v>
      </c>
      <c r="G22" s="33">
        <v>2</v>
      </c>
      <c r="H22" s="33">
        <v>1</v>
      </c>
      <c r="I22" s="33">
        <v>3</v>
      </c>
      <c r="J22" s="33">
        <v>0</v>
      </c>
      <c r="K22" s="33">
        <v>0</v>
      </c>
      <c r="L22" s="33">
        <v>0</v>
      </c>
      <c r="M22" s="33">
        <v>2</v>
      </c>
      <c r="N22" s="33">
        <v>2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3</v>
      </c>
      <c r="V22" s="33">
        <v>2</v>
      </c>
      <c r="W22" s="33">
        <v>2</v>
      </c>
      <c r="X22" s="33">
        <v>1</v>
      </c>
      <c r="Y22" s="33">
        <v>1</v>
      </c>
      <c r="Z22" s="33">
        <v>1</v>
      </c>
      <c r="AA22" s="33">
        <f t="shared" si="0"/>
        <v>34</v>
      </c>
      <c r="AB22" s="34">
        <v>1.84</v>
      </c>
    </row>
    <row r="23" spans="1:28" x14ac:dyDescent="0.2">
      <c r="A23" s="27" t="s">
        <v>214</v>
      </c>
      <c r="B23" s="33">
        <v>0</v>
      </c>
      <c r="C23" s="33">
        <v>0</v>
      </c>
      <c r="D23" s="33">
        <v>0</v>
      </c>
      <c r="E23" s="33">
        <v>1</v>
      </c>
      <c r="F23" s="33">
        <v>0</v>
      </c>
      <c r="G23" s="33">
        <v>0</v>
      </c>
      <c r="H23" s="33">
        <v>1</v>
      </c>
      <c r="I23" s="33">
        <v>0</v>
      </c>
      <c r="J23" s="33">
        <v>1</v>
      </c>
      <c r="K23" s="33">
        <v>0</v>
      </c>
      <c r="L23" s="33">
        <v>0</v>
      </c>
      <c r="M23" s="33">
        <v>1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1</v>
      </c>
      <c r="Z23" s="33">
        <v>1</v>
      </c>
      <c r="AA23" s="33">
        <f t="shared" si="0"/>
        <v>6</v>
      </c>
      <c r="AB23" s="34">
        <v>0.33</v>
      </c>
    </row>
    <row r="24" spans="1:28" x14ac:dyDescent="0.2">
      <c r="A24" s="27" t="s">
        <v>194</v>
      </c>
      <c r="B24" s="33">
        <v>1</v>
      </c>
      <c r="C24" s="33">
        <v>1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f t="shared" si="0"/>
        <v>2</v>
      </c>
      <c r="AB24" s="34">
        <v>0.11</v>
      </c>
    </row>
    <row r="25" spans="1:28" x14ac:dyDescent="0.2">
      <c r="A25" s="27" t="s">
        <v>195</v>
      </c>
      <c r="B25" s="33">
        <v>1</v>
      </c>
      <c r="C25" s="33">
        <v>2</v>
      </c>
      <c r="D25" s="33">
        <v>0</v>
      </c>
      <c r="E25" s="33">
        <v>1</v>
      </c>
      <c r="F25" s="33">
        <v>0</v>
      </c>
      <c r="G25" s="33">
        <v>0</v>
      </c>
      <c r="H25" s="33">
        <v>0</v>
      </c>
      <c r="I25" s="33">
        <v>0</v>
      </c>
      <c r="J25" s="33">
        <v>3</v>
      </c>
      <c r="K25" s="33">
        <v>0</v>
      </c>
      <c r="L25" s="33">
        <v>0</v>
      </c>
      <c r="M25" s="33">
        <v>0</v>
      </c>
      <c r="N25" s="33">
        <v>1</v>
      </c>
      <c r="O25" s="33">
        <v>0</v>
      </c>
      <c r="P25" s="33">
        <v>1</v>
      </c>
      <c r="Q25" s="33">
        <v>0</v>
      </c>
      <c r="R25" s="33">
        <v>1</v>
      </c>
      <c r="S25" s="33">
        <v>0</v>
      </c>
      <c r="T25" s="33">
        <v>0</v>
      </c>
      <c r="U25" s="33">
        <v>0</v>
      </c>
      <c r="V25" s="33">
        <v>0</v>
      </c>
      <c r="W25" s="33">
        <v>1</v>
      </c>
      <c r="X25" s="33">
        <v>0</v>
      </c>
      <c r="Y25" s="33">
        <v>0</v>
      </c>
      <c r="Z25" s="33">
        <v>0</v>
      </c>
      <c r="AA25" s="33">
        <f t="shared" si="0"/>
        <v>11</v>
      </c>
      <c r="AB25" s="34" t="s">
        <v>476</v>
      </c>
    </row>
    <row r="26" spans="1:28" x14ac:dyDescent="0.2">
      <c r="A26" s="27" t="s">
        <v>25</v>
      </c>
      <c r="B26" s="33">
        <v>2</v>
      </c>
      <c r="C26" s="33">
        <v>2</v>
      </c>
      <c r="D26" s="33">
        <v>1</v>
      </c>
      <c r="E26" s="33">
        <v>1</v>
      </c>
      <c r="F26" s="33">
        <v>2</v>
      </c>
      <c r="G26" s="33">
        <v>0</v>
      </c>
      <c r="H26" s="33">
        <v>2</v>
      </c>
      <c r="I26" s="33">
        <v>0</v>
      </c>
      <c r="J26" s="33">
        <v>0</v>
      </c>
      <c r="K26" s="33">
        <v>1</v>
      </c>
      <c r="L26" s="33">
        <v>1</v>
      </c>
      <c r="M26" s="33">
        <v>0</v>
      </c>
      <c r="N26" s="33">
        <v>0</v>
      </c>
      <c r="O26" s="33">
        <v>1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f t="shared" si="0"/>
        <v>13</v>
      </c>
      <c r="AB26" s="34" t="s">
        <v>545</v>
      </c>
    </row>
    <row r="27" spans="1:28" x14ac:dyDescent="0.2">
      <c r="A27" s="27" t="s">
        <v>27</v>
      </c>
      <c r="B27" s="33">
        <v>29</v>
      </c>
      <c r="C27" s="33">
        <v>25</v>
      </c>
      <c r="D27" s="33">
        <v>7</v>
      </c>
      <c r="E27" s="33">
        <v>12</v>
      </c>
      <c r="F27" s="33">
        <v>26</v>
      </c>
      <c r="G27" s="33">
        <v>21</v>
      </c>
      <c r="H27" s="33">
        <v>13</v>
      </c>
      <c r="I27" s="33">
        <v>7</v>
      </c>
      <c r="J27" s="33">
        <v>17</v>
      </c>
      <c r="K27" s="33">
        <v>7</v>
      </c>
      <c r="L27" s="33">
        <v>13</v>
      </c>
      <c r="M27" s="33">
        <v>9</v>
      </c>
      <c r="N27" s="33">
        <v>9</v>
      </c>
      <c r="O27" s="33">
        <v>11</v>
      </c>
      <c r="P27" s="33">
        <v>16</v>
      </c>
      <c r="Q27" s="33">
        <v>10</v>
      </c>
      <c r="R27" s="33">
        <v>13</v>
      </c>
      <c r="S27" s="33">
        <v>12</v>
      </c>
      <c r="T27" s="33">
        <v>0</v>
      </c>
      <c r="U27" s="33">
        <v>7</v>
      </c>
      <c r="V27" s="33">
        <v>4</v>
      </c>
      <c r="W27" s="33">
        <v>11</v>
      </c>
      <c r="X27" s="33">
        <v>12</v>
      </c>
      <c r="Y27" s="33">
        <v>12</v>
      </c>
      <c r="Z27" s="33">
        <v>8</v>
      </c>
      <c r="AA27" s="33">
        <f t="shared" si="0"/>
        <v>311</v>
      </c>
      <c r="AB27" s="34" t="s">
        <v>440</v>
      </c>
    </row>
    <row r="28" spans="1:28" x14ac:dyDescent="0.2">
      <c r="A28" s="27" t="s">
        <v>28</v>
      </c>
      <c r="B28" s="33">
        <v>0</v>
      </c>
      <c r="C28" s="33">
        <v>0</v>
      </c>
      <c r="D28" s="33">
        <v>2</v>
      </c>
      <c r="E28" s="33">
        <v>0</v>
      </c>
      <c r="F28" s="33">
        <v>1</v>
      </c>
      <c r="G28" s="33">
        <v>0</v>
      </c>
      <c r="H28" s="33">
        <v>1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1</v>
      </c>
      <c r="Q28" s="33">
        <v>1</v>
      </c>
      <c r="R28" s="33">
        <v>0</v>
      </c>
      <c r="S28" s="33">
        <v>0</v>
      </c>
      <c r="T28" s="33">
        <v>0</v>
      </c>
      <c r="U28" s="33">
        <v>0</v>
      </c>
      <c r="V28" s="33">
        <v>1</v>
      </c>
      <c r="W28" s="33">
        <v>0</v>
      </c>
      <c r="X28" s="33">
        <v>0</v>
      </c>
      <c r="Y28" s="33">
        <v>0</v>
      </c>
      <c r="Z28" s="33">
        <v>0</v>
      </c>
      <c r="AA28" s="33">
        <f t="shared" si="0"/>
        <v>7</v>
      </c>
      <c r="AB28" s="34" t="s">
        <v>437</v>
      </c>
    </row>
    <row r="29" spans="1:28" x14ac:dyDescent="0.2">
      <c r="A29" s="27" t="s">
        <v>29</v>
      </c>
      <c r="B29" s="33">
        <v>0</v>
      </c>
      <c r="C29" s="33">
        <v>0</v>
      </c>
      <c r="D29" s="33">
        <v>1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2</v>
      </c>
      <c r="P29" s="33">
        <v>0</v>
      </c>
      <c r="Q29" s="33">
        <v>0</v>
      </c>
      <c r="R29" s="33">
        <v>1</v>
      </c>
      <c r="S29" s="33">
        <v>0</v>
      </c>
      <c r="T29" s="33">
        <v>0</v>
      </c>
      <c r="U29" s="33">
        <v>1</v>
      </c>
      <c r="V29" s="33">
        <v>0</v>
      </c>
      <c r="W29" s="33">
        <v>0</v>
      </c>
      <c r="X29" s="33">
        <v>1</v>
      </c>
      <c r="Y29" s="33">
        <v>0</v>
      </c>
      <c r="Z29" s="33">
        <v>1</v>
      </c>
      <c r="AA29" s="33">
        <f t="shared" si="0"/>
        <v>7</v>
      </c>
      <c r="AB29" s="34" t="s">
        <v>437</v>
      </c>
    </row>
    <row r="30" spans="1:28" x14ac:dyDescent="0.2">
      <c r="A30" s="27" t="s">
        <v>442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1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1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1</v>
      </c>
      <c r="Y30" s="33">
        <v>2</v>
      </c>
      <c r="Z30" s="33">
        <v>0</v>
      </c>
      <c r="AA30" s="33">
        <f t="shared" si="0"/>
        <v>5</v>
      </c>
      <c r="AB30" s="34" t="s">
        <v>546</v>
      </c>
    </row>
    <row r="31" spans="1:28" x14ac:dyDescent="0.2">
      <c r="A31" s="27" t="s">
        <v>31</v>
      </c>
      <c r="B31" s="33">
        <v>5</v>
      </c>
      <c r="C31" s="33">
        <v>6</v>
      </c>
      <c r="D31" s="33">
        <v>1</v>
      </c>
      <c r="E31" s="33">
        <v>1</v>
      </c>
      <c r="F31" s="33">
        <v>2</v>
      </c>
      <c r="G31" s="33">
        <v>1</v>
      </c>
      <c r="H31" s="33">
        <v>0</v>
      </c>
      <c r="I31" s="33">
        <v>1</v>
      </c>
      <c r="J31" s="33">
        <v>2</v>
      </c>
      <c r="K31" s="33">
        <v>0</v>
      </c>
      <c r="L31" s="33">
        <v>1</v>
      </c>
      <c r="M31" s="33">
        <v>2</v>
      </c>
      <c r="N31" s="33">
        <v>2</v>
      </c>
      <c r="O31" s="33">
        <v>0</v>
      </c>
      <c r="P31" s="33">
        <v>0</v>
      </c>
      <c r="Q31" s="33">
        <v>0</v>
      </c>
      <c r="R31" s="33">
        <v>1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1</v>
      </c>
      <c r="Y31" s="33">
        <v>2</v>
      </c>
      <c r="Z31" s="33">
        <v>0</v>
      </c>
      <c r="AA31" s="33">
        <f t="shared" si="0"/>
        <v>28</v>
      </c>
      <c r="AB31" s="34" t="s">
        <v>547</v>
      </c>
    </row>
    <row r="32" spans="1:28" x14ac:dyDescent="0.2">
      <c r="A32" s="27" t="s">
        <v>32</v>
      </c>
      <c r="B32" s="33">
        <v>0</v>
      </c>
      <c r="C32" s="33">
        <v>0</v>
      </c>
      <c r="D32" s="33">
        <v>1</v>
      </c>
      <c r="E32" s="33">
        <v>2</v>
      </c>
      <c r="F32" s="33">
        <v>1</v>
      </c>
      <c r="G32" s="33">
        <v>0</v>
      </c>
      <c r="H32" s="33">
        <v>0</v>
      </c>
      <c r="I32" s="33">
        <v>6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1</v>
      </c>
      <c r="R32" s="33">
        <v>0</v>
      </c>
      <c r="S32" s="33">
        <v>0</v>
      </c>
      <c r="T32" s="33">
        <v>0</v>
      </c>
      <c r="U32" s="33">
        <v>1</v>
      </c>
      <c r="V32" s="33">
        <v>3</v>
      </c>
      <c r="W32" s="33">
        <v>0</v>
      </c>
      <c r="X32" s="33">
        <v>3</v>
      </c>
      <c r="Y32" s="33">
        <v>0</v>
      </c>
      <c r="Z32" s="33">
        <v>0</v>
      </c>
      <c r="AA32" s="33">
        <f t="shared" si="0"/>
        <v>18</v>
      </c>
      <c r="AB32" s="34" t="s">
        <v>548</v>
      </c>
    </row>
    <row r="33" spans="1:28" x14ac:dyDescent="0.2">
      <c r="A33" s="27" t="s">
        <v>33</v>
      </c>
      <c r="B33" s="33">
        <v>4</v>
      </c>
      <c r="C33" s="33">
        <v>2</v>
      </c>
      <c r="D33" s="33">
        <v>5</v>
      </c>
      <c r="E33" s="33">
        <v>8</v>
      </c>
      <c r="F33" s="33">
        <v>4</v>
      </c>
      <c r="G33" s="33">
        <v>11</v>
      </c>
      <c r="H33" s="33">
        <v>4</v>
      </c>
      <c r="I33" s="33">
        <v>3</v>
      </c>
      <c r="J33" s="33">
        <v>1</v>
      </c>
      <c r="K33" s="33">
        <v>4</v>
      </c>
      <c r="L33" s="33">
        <v>6</v>
      </c>
      <c r="M33" s="33">
        <v>8</v>
      </c>
      <c r="N33" s="33">
        <v>4</v>
      </c>
      <c r="O33" s="33">
        <v>3</v>
      </c>
      <c r="P33" s="33">
        <v>0</v>
      </c>
      <c r="Q33" s="33">
        <v>1</v>
      </c>
      <c r="R33" s="33">
        <v>2</v>
      </c>
      <c r="S33" s="33">
        <v>1</v>
      </c>
      <c r="T33" s="33">
        <v>1</v>
      </c>
      <c r="U33" s="33">
        <v>4</v>
      </c>
      <c r="V33" s="33">
        <v>6</v>
      </c>
      <c r="W33" s="33">
        <v>4</v>
      </c>
      <c r="X33" s="33">
        <v>4</v>
      </c>
      <c r="Y33" s="33">
        <v>2</v>
      </c>
      <c r="Z33" s="33">
        <v>2</v>
      </c>
      <c r="AA33" s="33">
        <f t="shared" si="0"/>
        <v>94</v>
      </c>
      <c r="AB33" s="34" t="s">
        <v>549</v>
      </c>
    </row>
    <row r="34" spans="1:28" x14ac:dyDescent="0.2">
      <c r="A34" t="s">
        <v>344</v>
      </c>
      <c r="B34" s="33">
        <f>SUM(B3:B33)</f>
        <v>179</v>
      </c>
      <c r="C34" s="33">
        <f t="shared" ref="C34:L34" si="1">SUM(C3:C33)</f>
        <v>174</v>
      </c>
      <c r="D34" s="33">
        <f t="shared" si="1"/>
        <v>60</v>
      </c>
      <c r="E34" s="33">
        <f t="shared" si="1"/>
        <v>88</v>
      </c>
      <c r="F34" s="33">
        <f t="shared" si="1"/>
        <v>160</v>
      </c>
      <c r="G34" s="33">
        <f t="shared" si="1"/>
        <v>116</v>
      </c>
      <c r="H34" s="33">
        <f t="shared" si="1"/>
        <v>62</v>
      </c>
      <c r="I34" s="33">
        <f t="shared" si="1"/>
        <v>53</v>
      </c>
      <c r="J34" s="33">
        <f t="shared" si="1"/>
        <v>130</v>
      </c>
      <c r="K34" s="33">
        <f t="shared" si="1"/>
        <v>32</v>
      </c>
      <c r="L34" s="33">
        <f t="shared" si="1"/>
        <v>68</v>
      </c>
      <c r="M34" s="33">
        <f>SUM(M3:M33)</f>
        <v>54</v>
      </c>
      <c r="N34" s="33">
        <f>SUM(N3:N33)</f>
        <v>53</v>
      </c>
      <c r="O34" s="33">
        <f t="shared" ref="O34:Y34" si="2">SUM(O3:O33)</f>
        <v>72</v>
      </c>
      <c r="P34" s="33">
        <f>SUM(P3:P33)</f>
        <v>50</v>
      </c>
      <c r="Q34" s="33">
        <f t="shared" si="2"/>
        <v>32</v>
      </c>
      <c r="R34" s="33">
        <f t="shared" si="2"/>
        <v>87</v>
      </c>
      <c r="S34" s="33">
        <f t="shared" si="2"/>
        <v>32</v>
      </c>
      <c r="T34" s="33">
        <f t="shared" si="2"/>
        <v>6</v>
      </c>
      <c r="U34" s="33">
        <f t="shared" si="2"/>
        <v>71</v>
      </c>
      <c r="V34" s="33">
        <f t="shared" si="2"/>
        <v>55</v>
      </c>
      <c r="W34" s="33">
        <f t="shared" si="2"/>
        <v>39</v>
      </c>
      <c r="X34" s="33">
        <f t="shared" si="2"/>
        <v>68</v>
      </c>
      <c r="Y34" s="33">
        <f t="shared" si="2"/>
        <v>66</v>
      </c>
      <c r="Z34" s="33">
        <f>SUM(Z3:Z33)</f>
        <v>38</v>
      </c>
      <c r="AA34" s="33">
        <v>1845</v>
      </c>
      <c r="AB34" s="34" t="s">
        <v>447</v>
      </c>
    </row>
    <row r="36" spans="1:28" ht="14.25" x14ac:dyDescent="0.2">
      <c r="A36" s="27" t="s">
        <v>1461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5"/>
  <sheetViews>
    <sheetView topLeftCell="A7" workbookViewId="0">
      <selection activeCell="A35" sqref="A35"/>
    </sheetView>
  </sheetViews>
  <sheetFormatPr defaultRowHeight="12.75" x14ac:dyDescent="0.2"/>
  <cols>
    <col min="1" max="1" width="24.85546875" customWidth="1"/>
    <col min="2" max="2" width="8.42578125" style="33" customWidth="1"/>
    <col min="3" max="5" width="7.28515625" style="33" customWidth="1"/>
    <col min="6" max="8" width="7.140625" style="33" customWidth="1"/>
    <col min="9" max="9" width="7" style="33" customWidth="1"/>
    <col min="10" max="11" width="6.85546875" style="33" customWidth="1"/>
    <col min="12" max="12" width="6.5703125" style="33" customWidth="1"/>
    <col min="13" max="14" width="7" style="33" customWidth="1"/>
    <col min="15" max="15" width="6.5703125" style="33" customWidth="1"/>
    <col min="16" max="18" width="7" style="33" customWidth="1"/>
    <col min="19" max="19" width="6.42578125" style="33" customWidth="1"/>
    <col min="20" max="20" width="6.7109375" style="33" customWidth="1"/>
    <col min="21" max="21" width="6.42578125" style="33" customWidth="1"/>
    <col min="22" max="24" width="6.7109375" style="33" customWidth="1"/>
    <col min="25" max="25" width="7.28515625" customWidth="1"/>
    <col min="26" max="26" width="6.7109375" style="33" customWidth="1"/>
    <col min="27" max="27" width="6.42578125" style="33" customWidth="1"/>
    <col min="28" max="28" width="9.140625" style="33"/>
    <col min="29" max="29" width="9.140625" style="34"/>
    <col min="31" max="31" width="6.85546875" style="33" customWidth="1"/>
    <col min="32" max="32" width="6.85546875" customWidth="1"/>
    <col min="33" max="33" width="6.5703125" style="33" customWidth="1"/>
    <col min="34" max="34" width="9.140625" style="34"/>
    <col min="257" max="257" width="24.85546875" customWidth="1"/>
    <col min="258" max="258" width="8.42578125" customWidth="1"/>
    <col min="259" max="261" width="7.28515625" customWidth="1"/>
    <col min="262" max="264" width="7.140625" customWidth="1"/>
    <col min="265" max="265" width="7" customWidth="1"/>
    <col min="266" max="267" width="6.85546875" customWidth="1"/>
    <col min="268" max="268" width="6.5703125" customWidth="1"/>
    <col min="269" max="270" width="7" customWidth="1"/>
    <col min="271" max="271" width="6.5703125" customWidth="1"/>
    <col min="272" max="274" width="7" customWidth="1"/>
    <col min="275" max="275" width="6.42578125" customWidth="1"/>
    <col min="276" max="276" width="6.7109375" customWidth="1"/>
    <col min="277" max="277" width="6.42578125" customWidth="1"/>
    <col min="278" max="280" width="6.7109375" customWidth="1"/>
    <col min="281" max="281" width="7.28515625" customWidth="1"/>
    <col min="282" max="282" width="6.7109375" customWidth="1"/>
    <col min="283" max="283" width="6.42578125" customWidth="1"/>
    <col min="287" max="288" width="6.85546875" customWidth="1"/>
    <col min="289" max="289" width="6.5703125" customWidth="1"/>
    <col min="513" max="513" width="24.85546875" customWidth="1"/>
    <col min="514" max="514" width="8.42578125" customWidth="1"/>
    <col min="515" max="517" width="7.28515625" customWidth="1"/>
    <col min="518" max="520" width="7.140625" customWidth="1"/>
    <col min="521" max="521" width="7" customWidth="1"/>
    <col min="522" max="523" width="6.85546875" customWidth="1"/>
    <col min="524" max="524" width="6.5703125" customWidth="1"/>
    <col min="525" max="526" width="7" customWidth="1"/>
    <col min="527" max="527" width="6.5703125" customWidth="1"/>
    <col min="528" max="530" width="7" customWidth="1"/>
    <col min="531" max="531" width="6.42578125" customWidth="1"/>
    <col min="532" max="532" width="6.7109375" customWidth="1"/>
    <col min="533" max="533" width="6.42578125" customWidth="1"/>
    <col min="534" max="536" width="6.7109375" customWidth="1"/>
    <col min="537" max="537" width="7.28515625" customWidth="1"/>
    <col min="538" max="538" width="6.7109375" customWidth="1"/>
    <col min="539" max="539" width="6.42578125" customWidth="1"/>
    <col min="543" max="544" width="6.85546875" customWidth="1"/>
    <col min="545" max="545" width="6.5703125" customWidth="1"/>
    <col min="769" max="769" width="24.85546875" customWidth="1"/>
    <col min="770" max="770" width="8.42578125" customWidth="1"/>
    <col min="771" max="773" width="7.28515625" customWidth="1"/>
    <col min="774" max="776" width="7.140625" customWidth="1"/>
    <col min="777" max="777" width="7" customWidth="1"/>
    <col min="778" max="779" width="6.85546875" customWidth="1"/>
    <col min="780" max="780" width="6.5703125" customWidth="1"/>
    <col min="781" max="782" width="7" customWidth="1"/>
    <col min="783" max="783" width="6.5703125" customWidth="1"/>
    <col min="784" max="786" width="7" customWidth="1"/>
    <col min="787" max="787" width="6.42578125" customWidth="1"/>
    <col min="788" max="788" width="6.7109375" customWidth="1"/>
    <col min="789" max="789" width="6.42578125" customWidth="1"/>
    <col min="790" max="792" width="6.7109375" customWidth="1"/>
    <col min="793" max="793" width="7.28515625" customWidth="1"/>
    <col min="794" max="794" width="6.7109375" customWidth="1"/>
    <col min="795" max="795" width="6.42578125" customWidth="1"/>
    <col min="799" max="800" width="6.85546875" customWidth="1"/>
    <col min="801" max="801" width="6.5703125" customWidth="1"/>
    <col min="1025" max="1025" width="24.85546875" customWidth="1"/>
    <col min="1026" max="1026" width="8.42578125" customWidth="1"/>
    <col min="1027" max="1029" width="7.28515625" customWidth="1"/>
    <col min="1030" max="1032" width="7.140625" customWidth="1"/>
    <col min="1033" max="1033" width="7" customWidth="1"/>
    <col min="1034" max="1035" width="6.85546875" customWidth="1"/>
    <col min="1036" max="1036" width="6.5703125" customWidth="1"/>
    <col min="1037" max="1038" width="7" customWidth="1"/>
    <col min="1039" max="1039" width="6.5703125" customWidth="1"/>
    <col min="1040" max="1042" width="7" customWidth="1"/>
    <col min="1043" max="1043" width="6.42578125" customWidth="1"/>
    <col min="1044" max="1044" width="6.7109375" customWidth="1"/>
    <col min="1045" max="1045" width="6.42578125" customWidth="1"/>
    <col min="1046" max="1048" width="6.7109375" customWidth="1"/>
    <col min="1049" max="1049" width="7.28515625" customWidth="1"/>
    <col min="1050" max="1050" width="6.7109375" customWidth="1"/>
    <col min="1051" max="1051" width="6.42578125" customWidth="1"/>
    <col min="1055" max="1056" width="6.85546875" customWidth="1"/>
    <col min="1057" max="1057" width="6.5703125" customWidth="1"/>
    <col min="1281" max="1281" width="24.85546875" customWidth="1"/>
    <col min="1282" max="1282" width="8.42578125" customWidth="1"/>
    <col min="1283" max="1285" width="7.28515625" customWidth="1"/>
    <col min="1286" max="1288" width="7.140625" customWidth="1"/>
    <col min="1289" max="1289" width="7" customWidth="1"/>
    <col min="1290" max="1291" width="6.85546875" customWidth="1"/>
    <col min="1292" max="1292" width="6.5703125" customWidth="1"/>
    <col min="1293" max="1294" width="7" customWidth="1"/>
    <col min="1295" max="1295" width="6.5703125" customWidth="1"/>
    <col min="1296" max="1298" width="7" customWidth="1"/>
    <col min="1299" max="1299" width="6.42578125" customWidth="1"/>
    <col min="1300" max="1300" width="6.7109375" customWidth="1"/>
    <col min="1301" max="1301" width="6.42578125" customWidth="1"/>
    <col min="1302" max="1304" width="6.7109375" customWidth="1"/>
    <col min="1305" max="1305" width="7.28515625" customWidth="1"/>
    <col min="1306" max="1306" width="6.7109375" customWidth="1"/>
    <col min="1307" max="1307" width="6.42578125" customWidth="1"/>
    <col min="1311" max="1312" width="6.85546875" customWidth="1"/>
    <col min="1313" max="1313" width="6.5703125" customWidth="1"/>
    <col min="1537" max="1537" width="24.85546875" customWidth="1"/>
    <col min="1538" max="1538" width="8.42578125" customWidth="1"/>
    <col min="1539" max="1541" width="7.28515625" customWidth="1"/>
    <col min="1542" max="1544" width="7.140625" customWidth="1"/>
    <col min="1545" max="1545" width="7" customWidth="1"/>
    <col min="1546" max="1547" width="6.85546875" customWidth="1"/>
    <col min="1548" max="1548" width="6.5703125" customWidth="1"/>
    <col min="1549" max="1550" width="7" customWidth="1"/>
    <col min="1551" max="1551" width="6.5703125" customWidth="1"/>
    <col min="1552" max="1554" width="7" customWidth="1"/>
    <col min="1555" max="1555" width="6.42578125" customWidth="1"/>
    <col min="1556" max="1556" width="6.7109375" customWidth="1"/>
    <col min="1557" max="1557" width="6.42578125" customWidth="1"/>
    <col min="1558" max="1560" width="6.7109375" customWidth="1"/>
    <col min="1561" max="1561" width="7.28515625" customWidth="1"/>
    <col min="1562" max="1562" width="6.7109375" customWidth="1"/>
    <col min="1563" max="1563" width="6.42578125" customWidth="1"/>
    <col min="1567" max="1568" width="6.85546875" customWidth="1"/>
    <col min="1569" max="1569" width="6.5703125" customWidth="1"/>
    <col min="1793" max="1793" width="24.85546875" customWidth="1"/>
    <col min="1794" max="1794" width="8.42578125" customWidth="1"/>
    <col min="1795" max="1797" width="7.28515625" customWidth="1"/>
    <col min="1798" max="1800" width="7.140625" customWidth="1"/>
    <col min="1801" max="1801" width="7" customWidth="1"/>
    <col min="1802" max="1803" width="6.85546875" customWidth="1"/>
    <col min="1804" max="1804" width="6.5703125" customWidth="1"/>
    <col min="1805" max="1806" width="7" customWidth="1"/>
    <col min="1807" max="1807" width="6.5703125" customWidth="1"/>
    <col min="1808" max="1810" width="7" customWidth="1"/>
    <col min="1811" max="1811" width="6.42578125" customWidth="1"/>
    <col min="1812" max="1812" width="6.7109375" customWidth="1"/>
    <col min="1813" max="1813" width="6.42578125" customWidth="1"/>
    <col min="1814" max="1816" width="6.7109375" customWidth="1"/>
    <col min="1817" max="1817" width="7.28515625" customWidth="1"/>
    <col min="1818" max="1818" width="6.7109375" customWidth="1"/>
    <col min="1819" max="1819" width="6.42578125" customWidth="1"/>
    <col min="1823" max="1824" width="6.85546875" customWidth="1"/>
    <col min="1825" max="1825" width="6.5703125" customWidth="1"/>
    <col min="2049" max="2049" width="24.85546875" customWidth="1"/>
    <col min="2050" max="2050" width="8.42578125" customWidth="1"/>
    <col min="2051" max="2053" width="7.28515625" customWidth="1"/>
    <col min="2054" max="2056" width="7.140625" customWidth="1"/>
    <col min="2057" max="2057" width="7" customWidth="1"/>
    <col min="2058" max="2059" width="6.85546875" customWidth="1"/>
    <col min="2060" max="2060" width="6.5703125" customWidth="1"/>
    <col min="2061" max="2062" width="7" customWidth="1"/>
    <col min="2063" max="2063" width="6.5703125" customWidth="1"/>
    <col min="2064" max="2066" width="7" customWidth="1"/>
    <col min="2067" max="2067" width="6.42578125" customWidth="1"/>
    <col min="2068" max="2068" width="6.7109375" customWidth="1"/>
    <col min="2069" max="2069" width="6.42578125" customWidth="1"/>
    <col min="2070" max="2072" width="6.7109375" customWidth="1"/>
    <col min="2073" max="2073" width="7.28515625" customWidth="1"/>
    <col min="2074" max="2074" width="6.7109375" customWidth="1"/>
    <col min="2075" max="2075" width="6.42578125" customWidth="1"/>
    <col min="2079" max="2080" width="6.85546875" customWidth="1"/>
    <col min="2081" max="2081" width="6.5703125" customWidth="1"/>
    <col min="2305" max="2305" width="24.85546875" customWidth="1"/>
    <col min="2306" max="2306" width="8.42578125" customWidth="1"/>
    <col min="2307" max="2309" width="7.28515625" customWidth="1"/>
    <col min="2310" max="2312" width="7.140625" customWidth="1"/>
    <col min="2313" max="2313" width="7" customWidth="1"/>
    <col min="2314" max="2315" width="6.85546875" customWidth="1"/>
    <col min="2316" max="2316" width="6.5703125" customWidth="1"/>
    <col min="2317" max="2318" width="7" customWidth="1"/>
    <col min="2319" max="2319" width="6.5703125" customWidth="1"/>
    <col min="2320" max="2322" width="7" customWidth="1"/>
    <col min="2323" max="2323" width="6.42578125" customWidth="1"/>
    <col min="2324" max="2324" width="6.7109375" customWidth="1"/>
    <col min="2325" max="2325" width="6.42578125" customWidth="1"/>
    <col min="2326" max="2328" width="6.7109375" customWidth="1"/>
    <col min="2329" max="2329" width="7.28515625" customWidth="1"/>
    <col min="2330" max="2330" width="6.7109375" customWidth="1"/>
    <col min="2331" max="2331" width="6.42578125" customWidth="1"/>
    <col min="2335" max="2336" width="6.85546875" customWidth="1"/>
    <col min="2337" max="2337" width="6.5703125" customWidth="1"/>
    <col min="2561" max="2561" width="24.85546875" customWidth="1"/>
    <col min="2562" max="2562" width="8.42578125" customWidth="1"/>
    <col min="2563" max="2565" width="7.28515625" customWidth="1"/>
    <col min="2566" max="2568" width="7.140625" customWidth="1"/>
    <col min="2569" max="2569" width="7" customWidth="1"/>
    <col min="2570" max="2571" width="6.85546875" customWidth="1"/>
    <col min="2572" max="2572" width="6.5703125" customWidth="1"/>
    <col min="2573" max="2574" width="7" customWidth="1"/>
    <col min="2575" max="2575" width="6.5703125" customWidth="1"/>
    <col min="2576" max="2578" width="7" customWidth="1"/>
    <col min="2579" max="2579" width="6.42578125" customWidth="1"/>
    <col min="2580" max="2580" width="6.7109375" customWidth="1"/>
    <col min="2581" max="2581" width="6.42578125" customWidth="1"/>
    <col min="2582" max="2584" width="6.7109375" customWidth="1"/>
    <col min="2585" max="2585" width="7.28515625" customWidth="1"/>
    <col min="2586" max="2586" width="6.7109375" customWidth="1"/>
    <col min="2587" max="2587" width="6.42578125" customWidth="1"/>
    <col min="2591" max="2592" width="6.85546875" customWidth="1"/>
    <col min="2593" max="2593" width="6.5703125" customWidth="1"/>
    <col min="2817" max="2817" width="24.85546875" customWidth="1"/>
    <col min="2818" max="2818" width="8.42578125" customWidth="1"/>
    <col min="2819" max="2821" width="7.28515625" customWidth="1"/>
    <col min="2822" max="2824" width="7.140625" customWidth="1"/>
    <col min="2825" max="2825" width="7" customWidth="1"/>
    <col min="2826" max="2827" width="6.85546875" customWidth="1"/>
    <col min="2828" max="2828" width="6.5703125" customWidth="1"/>
    <col min="2829" max="2830" width="7" customWidth="1"/>
    <col min="2831" max="2831" width="6.5703125" customWidth="1"/>
    <col min="2832" max="2834" width="7" customWidth="1"/>
    <col min="2835" max="2835" width="6.42578125" customWidth="1"/>
    <col min="2836" max="2836" width="6.7109375" customWidth="1"/>
    <col min="2837" max="2837" width="6.42578125" customWidth="1"/>
    <col min="2838" max="2840" width="6.7109375" customWidth="1"/>
    <col min="2841" max="2841" width="7.28515625" customWidth="1"/>
    <col min="2842" max="2842" width="6.7109375" customWidth="1"/>
    <col min="2843" max="2843" width="6.42578125" customWidth="1"/>
    <col min="2847" max="2848" width="6.85546875" customWidth="1"/>
    <col min="2849" max="2849" width="6.5703125" customWidth="1"/>
    <col min="3073" max="3073" width="24.85546875" customWidth="1"/>
    <col min="3074" max="3074" width="8.42578125" customWidth="1"/>
    <col min="3075" max="3077" width="7.28515625" customWidth="1"/>
    <col min="3078" max="3080" width="7.140625" customWidth="1"/>
    <col min="3081" max="3081" width="7" customWidth="1"/>
    <col min="3082" max="3083" width="6.85546875" customWidth="1"/>
    <col min="3084" max="3084" width="6.5703125" customWidth="1"/>
    <col min="3085" max="3086" width="7" customWidth="1"/>
    <col min="3087" max="3087" width="6.5703125" customWidth="1"/>
    <col min="3088" max="3090" width="7" customWidth="1"/>
    <col min="3091" max="3091" width="6.42578125" customWidth="1"/>
    <col min="3092" max="3092" width="6.7109375" customWidth="1"/>
    <col min="3093" max="3093" width="6.42578125" customWidth="1"/>
    <col min="3094" max="3096" width="6.7109375" customWidth="1"/>
    <col min="3097" max="3097" width="7.28515625" customWidth="1"/>
    <col min="3098" max="3098" width="6.7109375" customWidth="1"/>
    <col min="3099" max="3099" width="6.42578125" customWidth="1"/>
    <col min="3103" max="3104" width="6.85546875" customWidth="1"/>
    <col min="3105" max="3105" width="6.5703125" customWidth="1"/>
    <col min="3329" max="3329" width="24.85546875" customWidth="1"/>
    <col min="3330" max="3330" width="8.42578125" customWidth="1"/>
    <col min="3331" max="3333" width="7.28515625" customWidth="1"/>
    <col min="3334" max="3336" width="7.140625" customWidth="1"/>
    <col min="3337" max="3337" width="7" customWidth="1"/>
    <col min="3338" max="3339" width="6.85546875" customWidth="1"/>
    <col min="3340" max="3340" width="6.5703125" customWidth="1"/>
    <col min="3341" max="3342" width="7" customWidth="1"/>
    <col min="3343" max="3343" width="6.5703125" customWidth="1"/>
    <col min="3344" max="3346" width="7" customWidth="1"/>
    <col min="3347" max="3347" width="6.42578125" customWidth="1"/>
    <col min="3348" max="3348" width="6.7109375" customWidth="1"/>
    <col min="3349" max="3349" width="6.42578125" customWidth="1"/>
    <col min="3350" max="3352" width="6.7109375" customWidth="1"/>
    <col min="3353" max="3353" width="7.28515625" customWidth="1"/>
    <col min="3354" max="3354" width="6.7109375" customWidth="1"/>
    <col min="3355" max="3355" width="6.42578125" customWidth="1"/>
    <col min="3359" max="3360" width="6.85546875" customWidth="1"/>
    <col min="3361" max="3361" width="6.5703125" customWidth="1"/>
    <col min="3585" max="3585" width="24.85546875" customWidth="1"/>
    <col min="3586" max="3586" width="8.42578125" customWidth="1"/>
    <col min="3587" max="3589" width="7.28515625" customWidth="1"/>
    <col min="3590" max="3592" width="7.140625" customWidth="1"/>
    <col min="3593" max="3593" width="7" customWidth="1"/>
    <col min="3594" max="3595" width="6.85546875" customWidth="1"/>
    <col min="3596" max="3596" width="6.5703125" customWidth="1"/>
    <col min="3597" max="3598" width="7" customWidth="1"/>
    <col min="3599" max="3599" width="6.5703125" customWidth="1"/>
    <col min="3600" max="3602" width="7" customWidth="1"/>
    <col min="3603" max="3603" width="6.42578125" customWidth="1"/>
    <col min="3604" max="3604" width="6.7109375" customWidth="1"/>
    <col min="3605" max="3605" width="6.42578125" customWidth="1"/>
    <col min="3606" max="3608" width="6.7109375" customWidth="1"/>
    <col min="3609" max="3609" width="7.28515625" customWidth="1"/>
    <col min="3610" max="3610" width="6.7109375" customWidth="1"/>
    <col min="3611" max="3611" width="6.42578125" customWidth="1"/>
    <col min="3615" max="3616" width="6.85546875" customWidth="1"/>
    <col min="3617" max="3617" width="6.5703125" customWidth="1"/>
    <col min="3841" max="3841" width="24.85546875" customWidth="1"/>
    <col min="3842" max="3842" width="8.42578125" customWidth="1"/>
    <col min="3843" max="3845" width="7.28515625" customWidth="1"/>
    <col min="3846" max="3848" width="7.140625" customWidth="1"/>
    <col min="3849" max="3849" width="7" customWidth="1"/>
    <col min="3850" max="3851" width="6.85546875" customWidth="1"/>
    <col min="3852" max="3852" width="6.5703125" customWidth="1"/>
    <col min="3853" max="3854" width="7" customWidth="1"/>
    <col min="3855" max="3855" width="6.5703125" customWidth="1"/>
    <col min="3856" max="3858" width="7" customWidth="1"/>
    <col min="3859" max="3859" width="6.42578125" customWidth="1"/>
    <col min="3860" max="3860" width="6.7109375" customWidth="1"/>
    <col min="3861" max="3861" width="6.42578125" customWidth="1"/>
    <col min="3862" max="3864" width="6.7109375" customWidth="1"/>
    <col min="3865" max="3865" width="7.28515625" customWidth="1"/>
    <col min="3866" max="3866" width="6.7109375" customWidth="1"/>
    <col min="3867" max="3867" width="6.42578125" customWidth="1"/>
    <col min="3871" max="3872" width="6.85546875" customWidth="1"/>
    <col min="3873" max="3873" width="6.5703125" customWidth="1"/>
    <col min="4097" max="4097" width="24.85546875" customWidth="1"/>
    <col min="4098" max="4098" width="8.42578125" customWidth="1"/>
    <col min="4099" max="4101" width="7.28515625" customWidth="1"/>
    <col min="4102" max="4104" width="7.140625" customWidth="1"/>
    <col min="4105" max="4105" width="7" customWidth="1"/>
    <col min="4106" max="4107" width="6.85546875" customWidth="1"/>
    <col min="4108" max="4108" width="6.5703125" customWidth="1"/>
    <col min="4109" max="4110" width="7" customWidth="1"/>
    <col min="4111" max="4111" width="6.5703125" customWidth="1"/>
    <col min="4112" max="4114" width="7" customWidth="1"/>
    <col min="4115" max="4115" width="6.42578125" customWidth="1"/>
    <col min="4116" max="4116" width="6.7109375" customWidth="1"/>
    <col min="4117" max="4117" width="6.42578125" customWidth="1"/>
    <col min="4118" max="4120" width="6.7109375" customWidth="1"/>
    <col min="4121" max="4121" width="7.28515625" customWidth="1"/>
    <col min="4122" max="4122" width="6.7109375" customWidth="1"/>
    <col min="4123" max="4123" width="6.42578125" customWidth="1"/>
    <col min="4127" max="4128" width="6.85546875" customWidth="1"/>
    <col min="4129" max="4129" width="6.5703125" customWidth="1"/>
    <col min="4353" max="4353" width="24.85546875" customWidth="1"/>
    <col min="4354" max="4354" width="8.42578125" customWidth="1"/>
    <col min="4355" max="4357" width="7.28515625" customWidth="1"/>
    <col min="4358" max="4360" width="7.140625" customWidth="1"/>
    <col min="4361" max="4361" width="7" customWidth="1"/>
    <col min="4362" max="4363" width="6.85546875" customWidth="1"/>
    <col min="4364" max="4364" width="6.5703125" customWidth="1"/>
    <col min="4365" max="4366" width="7" customWidth="1"/>
    <col min="4367" max="4367" width="6.5703125" customWidth="1"/>
    <col min="4368" max="4370" width="7" customWidth="1"/>
    <col min="4371" max="4371" width="6.42578125" customWidth="1"/>
    <col min="4372" max="4372" width="6.7109375" customWidth="1"/>
    <col min="4373" max="4373" width="6.42578125" customWidth="1"/>
    <col min="4374" max="4376" width="6.7109375" customWidth="1"/>
    <col min="4377" max="4377" width="7.28515625" customWidth="1"/>
    <col min="4378" max="4378" width="6.7109375" customWidth="1"/>
    <col min="4379" max="4379" width="6.42578125" customWidth="1"/>
    <col min="4383" max="4384" width="6.85546875" customWidth="1"/>
    <col min="4385" max="4385" width="6.5703125" customWidth="1"/>
    <col min="4609" max="4609" width="24.85546875" customWidth="1"/>
    <col min="4610" max="4610" width="8.42578125" customWidth="1"/>
    <col min="4611" max="4613" width="7.28515625" customWidth="1"/>
    <col min="4614" max="4616" width="7.140625" customWidth="1"/>
    <col min="4617" max="4617" width="7" customWidth="1"/>
    <col min="4618" max="4619" width="6.85546875" customWidth="1"/>
    <col min="4620" max="4620" width="6.5703125" customWidth="1"/>
    <col min="4621" max="4622" width="7" customWidth="1"/>
    <col min="4623" max="4623" width="6.5703125" customWidth="1"/>
    <col min="4624" max="4626" width="7" customWidth="1"/>
    <col min="4627" max="4627" width="6.42578125" customWidth="1"/>
    <col min="4628" max="4628" width="6.7109375" customWidth="1"/>
    <col min="4629" max="4629" width="6.42578125" customWidth="1"/>
    <col min="4630" max="4632" width="6.7109375" customWidth="1"/>
    <col min="4633" max="4633" width="7.28515625" customWidth="1"/>
    <col min="4634" max="4634" width="6.7109375" customWidth="1"/>
    <col min="4635" max="4635" width="6.42578125" customWidth="1"/>
    <col min="4639" max="4640" width="6.85546875" customWidth="1"/>
    <col min="4641" max="4641" width="6.5703125" customWidth="1"/>
    <col min="4865" max="4865" width="24.85546875" customWidth="1"/>
    <col min="4866" max="4866" width="8.42578125" customWidth="1"/>
    <col min="4867" max="4869" width="7.28515625" customWidth="1"/>
    <col min="4870" max="4872" width="7.140625" customWidth="1"/>
    <col min="4873" max="4873" width="7" customWidth="1"/>
    <col min="4874" max="4875" width="6.85546875" customWidth="1"/>
    <col min="4876" max="4876" width="6.5703125" customWidth="1"/>
    <col min="4877" max="4878" width="7" customWidth="1"/>
    <col min="4879" max="4879" width="6.5703125" customWidth="1"/>
    <col min="4880" max="4882" width="7" customWidth="1"/>
    <col min="4883" max="4883" width="6.42578125" customWidth="1"/>
    <col min="4884" max="4884" width="6.7109375" customWidth="1"/>
    <col min="4885" max="4885" width="6.42578125" customWidth="1"/>
    <col min="4886" max="4888" width="6.7109375" customWidth="1"/>
    <col min="4889" max="4889" width="7.28515625" customWidth="1"/>
    <col min="4890" max="4890" width="6.7109375" customWidth="1"/>
    <col min="4891" max="4891" width="6.42578125" customWidth="1"/>
    <col min="4895" max="4896" width="6.85546875" customWidth="1"/>
    <col min="4897" max="4897" width="6.5703125" customWidth="1"/>
    <col min="5121" max="5121" width="24.85546875" customWidth="1"/>
    <col min="5122" max="5122" width="8.42578125" customWidth="1"/>
    <col min="5123" max="5125" width="7.28515625" customWidth="1"/>
    <col min="5126" max="5128" width="7.140625" customWidth="1"/>
    <col min="5129" max="5129" width="7" customWidth="1"/>
    <col min="5130" max="5131" width="6.85546875" customWidth="1"/>
    <col min="5132" max="5132" width="6.5703125" customWidth="1"/>
    <col min="5133" max="5134" width="7" customWidth="1"/>
    <col min="5135" max="5135" width="6.5703125" customWidth="1"/>
    <col min="5136" max="5138" width="7" customWidth="1"/>
    <col min="5139" max="5139" width="6.42578125" customWidth="1"/>
    <col min="5140" max="5140" width="6.7109375" customWidth="1"/>
    <col min="5141" max="5141" width="6.42578125" customWidth="1"/>
    <col min="5142" max="5144" width="6.7109375" customWidth="1"/>
    <col min="5145" max="5145" width="7.28515625" customWidth="1"/>
    <col min="5146" max="5146" width="6.7109375" customWidth="1"/>
    <col min="5147" max="5147" width="6.42578125" customWidth="1"/>
    <col min="5151" max="5152" width="6.85546875" customWidth="1"/>
    <col min="5153" max="5153" width="6.5703125" customWidth="1"/>
    <col min="5377" max="5377" width="24.85546875" customWidth="1"/>
    <col min="5378" max="5378" width="8.42578125" customWidth="1"/>
    <col min="5379" max="5381" width="7.28515625" customWidth="1"/>
    <col min="5382" max="5384" width="7.140625" customWidth="1"/>
    <col min="5385" max="5385" width="7" customWidth="1"/>
    <col min="5386" max="5387" width="6.85546875" customWidth="1"/>
    <col min="5388" max="5388" width="6.5703125" customWidth="1"/>
    <col min="5389" max="5390" width="7" customWidth="1"/>
    <col min="5391" max="5391" width="6.5703125" customWidth="1"/>
    <col min="5392" max="5394" width="7" customWidth="1"/>
    <col min="5395" max="5395" width="6.42578125" customWidth="1"/>
    <col min="5396" max="5396" width="6.7109375" customWidth="1"/>
    <col min="5397" max="5397" width="6.42578125" customWidth="1"/>
    <col min="5398" max="5400" width="6.7109375" customWidth="1"/>
    <col min="5401" max="5401" width="7.28515625" customWidth="1"/>
    <col min="5402" max="5402" width="6.7109375" customWidth="1"/>
    <col min="5403" max="5403" width="6.42578125" customWidth="1"/>
    <col min="5407" max="5408" width="6.85546875" customWidth="1"/>
    <col min="5409" max="5409" width="6.5703125" customWidth="1"/>
    <col min="5633" max="5633" width="24.85546875" customWidth="1"/>
    <col min="5634" max="5634" width="8.42578125" customWidth="1"/>
    <col min="5635" max="5637" width="7.28515625" customWidth="1"/>
    <col min="5638" max="5640" width="7.140625" customWidth="1"/>
    <col min="5641" max="5641" width="7" customWidth="1"/>
    <col min="5642" max="5643" width="6.85546875" customWidth="1"/>
    <col min="5644" max="5644" width="6.5703125" customWidth="1"/>
    <col min="5645" max="5646" width="7" customWidth="1"/>
    <col min="5647" max="5647" width="6.5703125" customWidth="1"/>
    <col min="5648" max="5650" width="7" customWidth="1"/>
    <col min="5651" max="5651" width="6.42578125" customWidth="1"/>
    <col min="5652" max="5652" width="6.7109375" customWidth="1"/>
    <col min="5653" max="5653" width="6.42578125" customWidth="1"/>
    <col min="5654" max="5656" width="6.7109375" customWidth="1"/>
    <col min="5657" max="5657" width="7.28515625" customWidth="1"/>
    <col min="5658" max="5658" width="6.7109375" customWidth="1"/>
    <col min="5659" max="5659" width="6.42578125" customWidth="1"/>
    <col min="5663" max="5664" width="6.85546875" customWidth="1"/>
    <col min="5665" max="5665" width="6.5703125" customWidth="1"/>
    <col min="5889" max="5889" width="24.85546875" customWidth="1"/>
    <col min="5890" max="5890" width="8.42578125" customWidth="1"/>
    <col min="5891" max="5893" width="7.28515625" customWidth="1"/>
    <col min="5894" max="5896" width="7.140625" customWidth="1"/>
    <col min="5897" max="5897" width="7" customWidth="1"/>
    <col min="5898" max="5899" width="6.85546875" customWidth="1"/>
    <col min="5900" max="5900" width="6.5703125" customWidth="1"/>
    <col min="5901" max="5902" width="7" customWidth="1"/>
    <col min="5903" max="5903" width="6.5703125" customWidth="1"/>
    <col min="5904" max="5906" width="7" customWidth="1"/>
    <col min="5907" max="5907" width="6.42578125" customWidth="1"/>
    <col min="5908" max="5908" width="6.7109375" customWidth="1"/>
    <col min="5909" max="5909" width="6.42578125" customWidth="1"/>
    <col min="5910" max="5912" width="6.7109375" customWidth="1"/>
    <col min="5913" max="5913" width="7.28515625" customWidth="1"/>
    <col min="5914" max="5914" width="6.7109375" customWidth="1"/>
    <col min="5915" max="5915" width="6.42578125" customWidth="1"/>
    <col min="5919" max="5920" width="6.85546875" customWidth="1"/>
    <col min="5921" max="5921" width="6.5703125" customWidth="1"/>
    <col min="6145" max="6145" width="24.85546875" customWidth="1"/>
    <col min="6146" max="6146" width="8.42578125" customWidth="1"/>
    <col min="6147" max="6149" width="7.28515625" customWidth="1"/>
    <col min="6150" max="6152" width="7.140625" customWidth="1"/>
    <col min="6153" max="6153" width="7" customWidth="1"/>
    <col min="6154" max="6155" width="6.85546875" customWidth="1"/>
    <col min="6156" max="6156" width="6.5703125" customWidth="1"/>
    <col min="6157" max="6158" width="7" customWidth="1"/>
    <col min="6159" max="6159" width="6.5703125" customWidth="1"/>
    <col min="6160" max="6162" width="7" customWidth="1"/>
    <col min="6163" max="6163" width="6.42578125" customWidth="1"/>
    <col min="6164" max="6164" width="6.7109375" customWidth="1"/>
    <col min="6165" max="6165" width="6.42578125" customWidth="1"/>
    <col min="6166" max="6168" width="6.7109375" customWidth="1"/>
    <col min="6169" max="6169" width="7.28515625" customWidth="1"/>
    <col min="6170" max="6170" width="6.7109375" customWidth="1"/>
    <col min="6171" max="6171" width="6.42578125" customWidth="1"/>
    <col min="6175" max="6176" width="6.85546875" customWidth="1"/>
    <col min="6177" max="6177" width="6.5703125" customWidth="1"/>
    <col min="6401" max="6401" width="24.85546875" customWidth="1"/>
    <col min="6402" max="6402" width="8.42578125" customWidth="1"/>
    <col min="6403" max="6405" width="7.28515625" customWidth="1"/>
    <col min="6406" max="6408" width="7.140625" customWidth="1"/>
    <col min="6409" max="6409" width="7" customWidth="1"/>
    <col min="6410" max="6411" width="6.85546875" customWidth="1"/>
    <col min="6412" max="6412" width="6.5703125" customWidth="1"/>
    <col min="6413" max="6414" width="7" customWidth="1"/>
    <col min="6415" max="6415" width="6.5703125" customWidth="1"/>
    <col min="6416" max="6418" width="7" customWidth="1"/>
    <col min="6419" max="6419" width="6.42578125" customWidth="1"/>
    <col min="6420" max="6420" width="6.7109375" customWidth="1"/>
    <col min="6421" max="6421" width="6.42578125" customWidth="1"/>
    <col min="6422" max="6424" width="6.7109375" customWidth="1"/>
    <col min="6425" max="6425" width="7.28515625" customWidth="1"/>
    <col min="6426" max="6426" width="6.7109375" customWidth="1"/>
    <col min="6427" max="6427" width="6.42578125" customWidth="1"/>
    <col min="6431" max="6432" width="6.85546875" customWidth="1"/>
    <col min="6433" max="6433" width="6.5703125" customWidth="1"/>
    <col min="6657" max="6657" width="24.85546875" customWidth="1"/>
    <col min="6658" max="6658" width="8.42578125" customWidth="1"/>
    <col min="6659" max="6661" width="7.28515625" customWidth="1"/>
    <col min="6662" max="6664" width="7.140625" customWidth="1"/>
    <col min="6665" max="6665" width="7" customWidth="1"/>
    <col min="6666" max="6667" width="6.85546875" customWidth="1"/>
    <col min="6668" max="6668" width="6.5703125" customWidth="1"/>
    <col min="6669" max="6670" width="7" customWidth="1"/>
    <col min="6671" max="6671" width="6.5703125" customWidth="1"/>
    <col min="6672" max="6674" width="7" customWidth="1"/>
    <col min="6675" max="6675" width="6.42578125" customWidth="1"/>
    <col min="6676" max="6676" width="6.7109375" customWidth="1"/>
    <col min="6677" max="6677" width="6.42578125" customWidth="1"/>
    <col min="6678" max="6680" width="6.7109375" customWidth="1"/>
    <col min="6681" max="6681" width="7.28515625" customWidth="1"/>
    <col min="6682" max="6682" width="6.7109375" customWidth="1"/>
    <col min="6683" max="6683" width="6.42578125" customWidth="1"/>
    <col min="6687" max="6688" width="6.85546875" customWidth="1"/>
    <col min="6689" max="6689" width="6.5703125" customWidth="1"/>
    <col min="6913" max="6913" width="24.85546875" customWidth="1"/>
    <col min="6914" max="6914" width="8.42578125" customWidth="1"/>
    <col min="6915" max="6917" width="7.28515625" customWidth="1"/>
    <col min="6918" max="6920" width="7.140625" customWidth="1"/>
    <col min="6921" max="6921" width="7" customWidth="1"/>
    <col min="6922" max="6923" width="6.85546875" customWidth="1"/>
    <col min="6924" max="6924" width="6.5703125" customWidth="1"/>
    <col min="6925" max="6926" width="7" customWidth="1"/>
    <col min="6927" max="6927" width="6.5703125" customWidth="1"/>
    <col min="6928" max="6930" width="7" customWidth="1"/>
    <col min="6931" max="6931" width="6.42578125" customWidth="1"/>
    <col min="6932" max="6932" width="6.7109375" customWidth="1"/>
    <col min="6933" max="6933" width="6.42578125" customWidth="1"/>
    <col min="6934" max="6936" width="6.7109375" customWidth="1"/>
    <col min="6937" max="6937" width="7.28515625" customWidth="1"/>
    <col min="6938" max="6938" width="6.7109375" customWidth="1"/>
    <col min="6939" max="6939" width="6.42578125" customWidth="1"/>
    <col min="6943" max="6944" width="6.85546875" customWidth="1"/>
    <col min="6945" max="6945" width="6.5703125" customWidth="1"/>
    <col min="7169" max="7169" width="24.85546875" customWidth="1"/>
    <col min="7170" max="7170" width="8.42578125" customWidth="1"/>
    <col min="7171" max="7173" width="7.28515625" customWidth="1"/>
    <col min="7174" max="7176" width="7.140625" customWidth="1"/>
    <col min="7177" max="7177" width="7" customWidth="1"/>
    <col min="7178" max="7179" width="6.85546875" customWidth="1"/>
    <col min="7180" max="7180" width="6.5703125" customWidth="1"/>
    <col min="7181" max="7182" width="7" customWidth="1"/>
    <col min="7183" max="7183" width="6.5703125" customWidth="1"/>
    <col min="7184" max="7186" width="7" customWidth="1"/>
    <col min="7187" max="7187" width="6.42578125" customWidth="1"/>
    <col min="7188" max="7188" width="6.7109375" customWidth="1"/>
    <col min="7189" max="7189" width="6.42578125" customWidth="1"/>
    <col min="7190" max="7192" width="6.7109375" customWidth="1"/>
    <col min="7193" max="7193" width="7.28515625" customWidth="1"/>
    <col min="7194" max="7194" width="6.7109375" customWidth="1"/>
    <col min="7195" max="7195" width="6.42578125" customWidth="1"/>
    <col min="7199" max="7200" width="6.85546875" customWidth="1"/>
    <col min="7201" max="7201" width="6.5703125" customWidth="1"/>
    <col min="7425" max="7425" width="24.85546875" customWidth="1"/>
    <col min="7426" max="7426" width="8.42578125" customWidth="1"/>
    <col min="7427" max="7429" width="7.28515625" customWidth="1"/>
    <col min="7430" max="7432" width="7.140625" customWidth="1"/>
    <col min="7433" max="7433" width="7" customWidth="1"/>
    <col min="7434" max="7435" width="6.85546875" customWidth="1"/>
    <col min="7436" max="7436" width="6.5703125" customWidth="1"/>
    <col min="7437" max="7438" width="7" customWidth="1"/>
    <col min="7439" max="7439" width="6.5703125" customWidth="1"/>
    <col min="7440" max="7442" width="7" customWidth="1"/>
    <col min="7443" max="7443" width="6.42578125" customWidth="1"/>
    <col min="7444" max="7444" width="6.7109375" customWidth="1"/>
    <col min="7445" max="7445" width="6.42578125" customWidth="1"/>
    <col min="7446" max="7448" width="6.7109375" customWidth="1"/>
    <col min="7449" max="7449" width="7.28515625" customWidth="1"/>
    <col min="7450" max="7450" width="6.7109375" customWidth="1"/>
    <col min="7451" max="7451" width="6.42578125" customWidth="1"/>
    <col min="7455" max="7456" width="6.85546875" customWidth="1"/>
    <col min="7457" max="7457" width="6.5703125" customWidth="1"/>
    <col min="7681" max="7681" width="24.85546875" customWidth="1"/>
    <col min="7682" max="7682" width="8.42578125" customWidth="1"/>
    <col min="7683" max="7685" width="7.28515625" customWidth="1"/>
    <col min="7686" max="7688" width="7.140625" customWidth="1"/>
    <col min="7689" max="7689" width="7" customWidth="1"/>
    <col min="7690" max="7691" width="6.85546875" customWidth="1"/>
    <col min="7692" max="7692" width="6.5703125" customWidth="1"/>
    <col min="7693" max="7694" width="7" customWidth="1"/>
    <col min="7695" max="7695" width="6.5703125" customWidth="1"/>
    <col min="7696" max="7698" width="7" customWidth="1"/>
    <col min="7699" max="7699" width="6.42578125" customWidth="1"/>
    <col min="7700" max="7700" width="6.7109375" customWidth="1"/>
    <col min="7701" max="7701" width="6.42578125" customWidth="1"/>
    <col min="7702" max="7704" width="6.7109375" customWidth="1"/>
    <col min="7705" max="7705" width="7.28515625" customWidth="1"/>
    <col min="7706" max="7706" width="6.7109375" customWidth="1"/>
    <col min="7707" max="7707" width="6.42578125" customWidth="1"/>
    <col min="7711" max="7712" width="6.85546875" customWidth="1"/>
    <col min="7713" max="7713" width="6.5703125" customWidth="1"/>
    <col min="7937" max="7937" width="24.85546875" customWidth="1"/>
    <col min="7938" max="7938" width="8.42578125" customWidth="1"/>
    <col min="7939" max="7941" width="7.28515625" customWidth="1"/>
    <col min="7942" max="7944" width="7.140625" customWidth="1"/>
    <col min="7945" max="7945" width="7" customWidth="1"/>
    <col min="7946" max="7947" width="6.85546875" customWidth="1"/>
    <col min="7948" max="7948" width="6.5703125" customWidth="1"/>
    <col min="7949" max="7950" width="7" customWidth="1"/>
    <col min="7951" max="7951" width="6.5703125" customWidth="1"/>
    <col min="7952" max="7954" width="7" customWidth="1"/>
    <col min="7955" max="7955" width="6.42578125" customWidth="1"/>
    <col min="7956" max="7956" width="6.7109375" customWidth="1"/>
    <col min="7957" max="7957" width="6.42578125" customWidth="1"/>
    <col min="7958" max="7960" width="6.7109375" customWidth="1"/>
    <col min="7961" max="7961" width="7.28515625" customWidth="1"/>
    <col min="7962" max="7962" width="6.7109375" customWidth="1"/>
    <col min="7963" max="7963" width="6.42578125" customWidth="1"/>
    <col min="7967" max="7968" width="6.85546875" customWidth="1"/>
    <col min="7969" max="7969" width="6.5703125" customWidth="1"/>
    <col min="8193" max="8193" width="24.85546875" customWidth="1"/>
    <col min="8194" max="8194" width="8.42578125" customWidth="1"/>
    <col min="8195" max="8197" width="7.28515625" customWidth="1"/>
    <col min="8198" max="8200" width="7.140625" customWidth="1"/>
    <col min="8201" max="8201" width="7" customWidth="1"/>
    <col min="8202" max="8203" width="6.85546875" customWidth="1"/>
    <col min="8204" max="8204" width="6.5703125" customWidth="1"/>
    <col min="8205" max="8206" width="7" customWidth="1"/>
    <col min="8207" max="8207" width="6.5703125" customWidth="1"/>
    <col min="8208" max="8210" width="7" customWidth="1"/>
    <col min="8211" max="8211" width="6.42578125" customWidth="1"/>
    <col min="8212" max="8212" width="6.7109375" customWidth="1"/>
    <col min="8213" max="8213" width="6.42578125" customWidth="1"/>
    <col min="8214" max="8216" width="6.7109375" customWidth="1"/>
    <col min="8217" max="8217" width="7.28515625" customWidth="1"/>
    <col min="8218" max="8218" width="6.7109375" customWidth="1"/>
    <col min="8219" max="8219" width="6.42578125" customWidth="1"/>
    <col min="8223" max="8224" width="6.85546875" customWidth="1"/>
    <col min="8225" max="8225" width="6.5703125" customWidth="1"/>
    <col min="8449" max="8449" width="24.85546875" customWidth="1"/>
    <col min="8450" max="8450" width="8.42578125" customWidth="1"/>
    <col min="8451" max="8453" width="7.28515625" customWidth="1"/>
    <col min="8454" max="8456" width="7.140625" customWidth="1"/>
    <col min="8457" max="8457" width="7" customWidth="1"/>
    <col min="8458" max="8459" width="6.85546875" customWidth="1"/>
    <col min="8460" max="8460" width="6.5703125" customWidth="1"/>
    <col min="8461" max="8462" width="7" customWidth="1"/>
    <col min="8463" max="8463" width="6.5703125" customWidth="1"/>
    <col min="8464" max="8466" width="7" customWidth="1"/>
    <col min="8467" max="8467" width="6.42578125" customWidth="1"/>
    <col min="8468" max="8468" width="6.7109375" customWidth="1"/>
    <col min="8469" max="8469" width="6.42578125" customWidth="1"/>
    <col min="8470" max="8472" width="6.7109375" customWidth="1"/>
    <col min="8473" max="8473" width="7.28515625" customWidth="1"/>
    <col min="8474" max="8474" width="6.7109375" customWidth="1"/>
    <col min="8475" max="8475" width="6.42578125" customWidth="1"/>
    <col min="8479" max="8480" width="6.85546875" customWidth="1"/>
    <col min="8481" max="8481" width="6.5703125" customWidth="1"/>
    <col min="8705" max="8705" width="24.85546875" customWidth="1"/>
    <col min="8706" max="8706" width="8.42578125" customWidth="1"/>
    <col min="8707" max="8709" width="7.28515625" customWidth="1"/>
    <col min="8710" max="8712" width="7.140625" customWidth="1"/>
    <col min="8713" max="8713" width="7" customWidth="1"/>
    <col min="8714" max="8715" width="6.85546875" customWidth="1"/>
    <col min="8716" max="8716" width="6.5703125" customWidth="1"/>
    <col min="8717" max="8718" width="7" customWidth="1"/>
    <col min="8719" max="8719" width="6.5703125" customWidth="1"/>
    <col min="8720" max="8722" width="7" customWidth="1"/>
    <col min="8723" max="8723" width="6.42578125" customWidth="1"/>
    <col min="8724" max="8724" width="6.7109375" customWidth="1"/>
    <col min="8725" max="8725" width="6.42578125" customWidth="1"/>
    <col min="8726" max="8728" width="6.7109375" customWidth="1"/>
    <col min="8729" max="8729" width="7.28515625" customWidth="1"/>
    <col min="8730" max="8730" width="6.7109375" customWidth="1"/>
    <col min="8731" max="8731" width="6.42578125" customWidth="1"/>
    <col min="8735" max="8736" width="6.85546875" customWidth="1"/>
    <col min="8737" max="8737" width="6.5703125" customWidth="1"/>
    <col min="8961" max="8961" width="24.85546875" customWidth="1"/>
    <col min="8962" max="8962" width="8.42578125" customWidth="1"/>
    <col min="8963" max="8965" width="7.28515625" customWidth="1"/>
    <col min="8966" max="8968" width="7.140625" customWidth="1"/>
    <col min="8969" max="8969" width="7" customWidth="1"/>
    <col min="8970" max="8971" width="6.85546875" customWidth="1"/>
    <col min="8972" max="8972" width="6.5703125" customWidth="1"/>
    <col min="8973" max="8974" width="7" customWidth="1"/>
    <col min="8975" max="8975" width="6.5703125" customWidth="1"/>
    <col min="8976" max="8978" width="7" customWidth="1"/>
    <col min="8979" max="8979" width="6.42578125" customWidth="1"/>
    <col min="8980" max="8980" width="6.7109375" customWidth="1"/>
    <col min="8981" max="8981" width="6.42578125" customWidth="1"/>
    <col min="8982" max="8984" width="6.7109375" customWidth="1"/>
    <col min="8985" max="8985" width="7.28515625" customWidth="1"/>
    <col min="8986" max="8986" width="6.7109375" customWidth="1"/>
    <col min="8987" max="8987" width="6.42578125" customWidth="1"/>
    <col min="8991" max="8992" width="6.85546875" customWidth="1"/>
    <col min="8993" max="8993" width="6.5703125" customWidth="1"/>
    <col min="9217" max="9217" width="24.85546875" customWidth="1"/>
    <col min="9218" max="9218" width="8.42578125" customWidth="1"/>
    <col min="9219" max="9221" width="7.28515625" customWidth="1"/>
    <col min="9222" max="9224" width="7.140625" customWidth="1"/>
    <col min="9225" max="9225" width="7" customWidth="1"/>
    <col min="9226" max="9227" width="6.85546875" customWidth="1"/>
    <col min="9228" max="9228" width="6.5703125" customWidth="1"/>
    <col min="9229" max="9230" width="7" customWidth="1"/>
    <col min="9231" max="9231" width="6.5703125" customWidth="1"/>
    <col min="9232" max="9234" width="7" customWidth="1"/>
    <col min="9235" max="9235" width="6.42578125" customWidth="1"/>
    <col min="9236" max="9236" width="6.7109375" customWidth="1"/>
    <col min="9237" max="9237" width="6.42578125" customWidth="1"/>
    <col min="9238" max="9240" width="6.7109375" customWidth="1"/>
    <col min="9241" max="9241" width="7.28515625" customWidth="1"/>
    <col min="9242" max="9242" width="6.7109375" customWidth="1"/>
    <col min="9243" max="9243" width="6.42578125" customWidth="1"/>
    <col min="9247" max="9248" width="6.85546875" customWidth="1"/>
    <col min="9249" max="9249" width="6.5703125" customWidth="1"/>
    <col min="9473" max="9473" width="24.85546875" customWidth="1"/>
    <col min="9474" max="9474" width="8.42578125" customWidth="1"/>
    <col min="9475" max="9477" width="7.28515625" customWidth="1"/>
    <col min="9478" max="9480" width="7.140625" customWidth="1"/>
    <col min="9481" max="9481" width="7" customWidth="1"/>
    <col min="9482" max="9483" width="6.85546875" customWidth="1"/>
    <col min="9484" max="9484" width="6.5703125" customWidth="1"/>
    <col min="9485" max="9486" width="7" customWidth="1"/>
    <col min="9487" max="9487" width="6.5703125" customWidth="1"/>
    <col min="9488" max="9490" width="7" customWidth="1"/>
    <col min="9491" max="9491" width="6.42578125" customWidth="1"/>
    <col min="9492" max="9492" width="6.7109375" customWidth="1"/>
    <col min="9493" max="9493" width="6.42578125" customWidth="1"/>
    <col min="9494" max="9496" width="6.7109375" customWidth="1"/>
    <col min="9497" max="9497" width="7.28515625" customWidth="1"/>
    <col min="9498" max="9498" width="6.7109375" customWidth="1"/>
    <col min="9499" max="9499" width="6.42578125" customWidth="1"/>
    <col min="9503" max="9504" width="6.85546875" customWidth="1"/>
    <col min="9505" max="9505" width="6.5703125" customWidth="1"/>
    <col min="9729" max="9729" width="24.85546875" customWidth="1"/>
    <col min="9730" max="9730" width="8.42578125" customWidth="1"/>
    <col min="9731" max="9733" width="7.28515625" customWidth="1"/>
    <col min="9734" max="9736" width="7.140625" customWidth="1"/>
    <col min="9737" max="9737" width="7" customWidth="1"/>
    <col min="9738" max="9739" width="6.85546875" customWidth="1"/>
    <col min="9740" max="9740" width="6.5703125" customWidth="1"/>
    <col min="9741" max="9742" width="7" customWidth="1"/>
    <col min="9743" max="9743" width="6.5703125" customWidth="1"/>
    <col min="9744" max="9746" width="7" customWidth="1"/>
    <col min="9747" max="9747" width="6.42578125" customWidth="1"/>
    <col min="9748" max="9748" width="6.7109375" customWidth="1"/>
    <col min="9749" max="9749" width="6.42578125" customWidth="1"/>
    <col min="9750" max="9752" width="6.7109375" customWidth="1"/>
    <col min="9753" max="9753" width="7.28515625" customWidth="1"/>
    <col min="9754" max="9754" width="6.7109375" customWidth="1"/>
    <col min="9755" max="9755" width="6.42578125" customWidth="1"/>
    <col min="9759" max="9760" width="6.85546875" customWidth="1"/>
    <col min="9761" max="9761" width="6.5703125" customWidth="1"/>
    <col min="9985" max="9985" width="24.85546875" customWidth="1"/>
    <col min="9986" max="9986" width="8.42578125" customWidth="1"/>
    <col min="9987" max="9989" width="7.28515625" customWidth="1"/>
    <col min="9990" max="9992" width="7.140625" customWidth="1"/>
    <col min="9993" max="9993" width="7" customWidth="1"/>
    <col min="9994" max="9995" width="6.85546875" customWidth="1"/>
    <col min="9996" max="9996" width="6.5703125" customWidth="1"/>
    <col min="9997" max="9998" width="7" customWidth="1"/>
    <col min="9999" max="9999" width="6.5703125" customWidth="1"/>
    <col min="10000" max="10002" width="7" customWidth="1"/>
    <col min="10003" max="10003" width="6.42578125" customWidth="1"/>
    <col min="10004" max="10004" width="6.7109375" customWidth="1"/>
    <col min="10005" max="10005" width="6.42578125" customWidth="1"/>
    <col min="10006" max="10008" width="6.7109375" customWidth="1"/>
    <col min="10009" max="10009" width="7.28515625" customWidth="1"/>
    <col min="10010" max="10010" width="6.7109375" customWidth="1"/>
    <col min="10011" max="10011" width="6.42578125" customWidth="1"/>
    <col min="10015" max="10016" width="6.85546875" customWidth="1"/>
    <col min="10017" max="10017" width="6.5703125" customWidth="1"/>
    <col min="10241" max="10241" width="24.85546875" customWidth="1"/>
    <col min="10242" max="10242" width="8.42578125" customWidth="1"/>
    <col min="10243" max="10245" width="7.28515625" customWidth="1"/>
    <col min="10246" max="10248" width="7.140625" customWidth="1"/>
    <col min="10249" max="10249" width="7" customWidth="1"/>
    <col min="10250" max="10251" width="6.85546875" customWidth="1"/>
    <col min="10252" max="10252" width="6.5703125" customWidth="1"/>
    <col min="10253" max="10254" width="7" customWidth="1"/>
    <col min="10255" max="10255" width="6.5703125" customWidth="1"/>
    <col min="10256" max="10258" width="7" customWidth="1"/>
    <col min="10259" max="10259" width="6.42578125" customWidth="1"/>
    <col min="10260" max="10260" width="6.7109375" customWidth="1"/>
    <col min="10261" max="10261" width="6.42578125" customWidth="1"/>
    <col min="10262" max="10264" width="6.7109375" customWidth="1"/>
    <col min="10265" max="10265" width="7.28515625" customWidth="1"/>
    <col min="10266" max="10266" width="6.7109375" customWidth="1"/>
    <col min="10267" max="10267" width="6.42578125" customWidth="1"/>
    <col min="10271" max="10272" width="6.85546875" customWidth="1"/>
    <col min="10273" max="10273" width="6.5703125" customWidth="1"/>
    <col min="10497" max="10497" width="24.85546875" customWidth="1"/>
    <col min="10498" max="10498" width="8.42578125" customWidth="1"/>
    <col min="10499" max="10501" width="7.28515625" customWidth="1"/>
    <col min="10502" max="10504" width="7.140625" customWidth="1"/>
    <col min="10505" max="10505" width="7" customWidth="1"/>
    <col min="10506" max="10507" width="6.85546875" customWidth="1"/>
    <col min="10508" max="10508" width="6.5703125" customWidth="1"/>
    <col min="10509" max="10510" width="7" customWidth="1"/>
    <col min="10511" max="10511" width="6.5703125" customWidth="1"/>
    <col min="10512" max="10514" width="7" customWidth="1"/>
    <col min="10515" max="10515" width="6.42578125" customWidth="1"/>
    <col min="10516" max="10516" width="6.7109375" customWidth="1"/>
    <col min="10517" max="10517" width="6.42578125" customWidth="1"/>
    <col min="10518" max="10520" width="6.7109375" customWidth="1"/>
    <col min="10521" max="10521" width="7.28515625" customWidth="1"/>
    <col min="10522" max="10522" width="6.7109375" customWidth="1"/>
    <col min="10523" max="10523" width="6.42578125" customWidth="1"/>
    <col min="10527" max="10528" width="6.85546875" customWidth="1"/>
    <col min="10529" max="10529" width="6.5703125" customWidth="1"/>
    <col min="10753" max="10753" width="24.85546875" customWidth="1"/>
    <col min="10754" max="10754" width="8.42578125" customWidth="1"/>
    <col min="10755" max="10757" width="7.28515625" customWidth="1"/>
    <col min="10758" max="10760" width="7.140625" customWidth="1"/>
    <col min="10761" max="10761" width="7" customWidth="1"/>
    <col min="10762" max="10763" width="6.85546875" customWidth="1"/>
    <col min="10764" max="10764" width="6.5703125" customWidth="1"/>
    <col min="10765" max="10766" width="7" customWidth="1"/>
    <col min="10767" max="10767" width="6.5703125" customWidth="1"/>
    <col min="10768" max="10770" width="7" customWidth="1"/>
    <col min="10771" max="10771" width="6.42578125" customWidth="1"/>
    <col min="10772" max="10772" width="6.7109375" customWidth="1"/>
    <col min="10773" max="10773" width="6.42578125" customWidth="1"/>
    <col min="10774" max="10776" width="6.7109375" customWidth="1"/>
    <col min="10777" max="10777" width="7.28515625" customWidth="1"/>
    <col min="10778" max="10778" width="6.7109375" customWidth="1"/>
    <col min="10779" max="10779" width="6.42578125" customWidth="1"/>
    <col min="10783" max="10784" width="6.85546875" customWidth="1"/>
    <col min="10785" max="10785" width="6.5703125" customWidth="1"/>
    <col min="11009" max="11009" width="24.85546875" customWidth="1"/>
    <col min="11010" max="11010" width="8.42578125" customWidth="1"/>
    <col min="11011" max="11013" width="7.28515625" customWidth="1"/>
    <col min="11014" max="11016" width="7.140625" customWidth="1"/>
    <col min="11017" max="11017" width="7" customWidth="1"/>
    <col min="11018" max="11019" width="6.85546875" customWidth="1"/>
    <col min="11020" max="11020" width="6.5703125" customWidth="1"/>
    <col min="11021" max="11022" width="7" customWidth="1"/>
    <col min="11023" max="11023" width="6.5703125" customWidth="1"/>
    <col min="11024" max="11026" width="7" customWidth="1"/>
    <col min="11027" max="11027" width="6.42578125" customWidth="1"/>
    <col min="11028" max="11028" width="6.7109375" customWidth="1"/>
    <col min="11029" max="11029" width="6.42578125" customWidth="1"/>
    <col min="11030" max="11032" width="6.7109375" customWidth="1"/>
    <col min="11033" max="11033" width="7.28515625" customWidth="1"/>
    <col min="11034" max="11034" width="6.7109375" customWidth="1"/>
    <col min="11035" max="11035" width="6.42578125" customWidth="1"/>
    <col min="11039" max="11040" width="6.85546875" customWidth="1"/>
    <col min="11041" max="11041" width="6.5703125" customWidth="1"/>
    <col min="11265" max="11265" width="24.85546875" customWidth="1"/>
    <col min="11266" max="11266" width="8.42578125" customWidth="1"/>
    <col min="11267" max="11269" width="7.28515625" customWidth="1"/>
    <col min="11270" max="11272" width="7.140625" customWidth="1"/>
    <col min="11273" max="11273" width="7" customWidth="1"/>
    <col min="11274" max="11275" width="6.85546875" customWidth="1"/>
    <col min="11276" max="11276" width="6.5703125" customWidth="1"/>
    <col min="11277" max="11278" width="7" customWidth="1"/>
    <col min="11279" max="11279" width="6.5703125" customWidth="1"/>
    <col min="11280" max="11282" width="7" customWidth="1"/>
    <col min="11283" max="11283" width="6.42578125" customWidth="1"/>
    <col min="11284" max="11284" width="6.7109375" customWidth="1"/>
    <col min="11285" max="11285" width="6.42578125" customWidth="1"/>
    <col min="11286" max="11288" width="6.7109375" customWidth="1"/>
    <col min="11289" max="11289" width="7.28515625" customWidth="1"/>
    <col min="11290" max="11290" width="6.7109375" customWidth="1"/>
    <col min="11291" max="11291" width="6.42578125" customWidth="1"/>
    <col min="11295" max="11296" width="6.85546875" customWidth="1"/>
    <col min="11297" max="11297" width="6.5703125" customWidth="1"/>
    <col min="11521" max="11521" width="24.85546875" customWidth="1"/>
    <col min="11522" max="11522" width="8.42578125" customWidth="1"/>
    <col min="11523" max="11525" width="7.28515625" customWidth="1"/>
    <col min="11526" max="11528" width="7.140625" customWidth="1"/>
    <col min="11529" max="11529" width="7" customWidth="1"/>
    <col min="11530" max="11531" width="6.85546875" customWidth="1"/>
    <col min="11532" max="11532" width="6.5703125" customWidth="1"/>
    <col min="11533" max="11534" width="7" customWidth="1"/>
    <col min="11535" max="11535" width="6.5703125" customWidth="1"/>
    <col min="11536" max="11538" width="7" customWidth="1"/>
    <col min="11539" max="11539" width="6.42578125" customWidth="1"/>
    <col min="11540" max="11540" width="6.7109375" customWidth="1"/>
    <col min="11541" max="11541" width="6.42578125" customWidth="1"/>
    <col min="11542" max="11544" width="6.7109375" customWidth="1"/>
    <col min="11545" max="11545" width="7.28515625" customWidth="1"/>
    <col min="11546" max="11546" width="6.7109375" customWidth="1"/>
    <col min="11547" max="11547" width="6.42578125" customWidth="1"/>
    <col min="11551" max="11552" width="6.85546875" customWidth="1"/>
    <col min="11553" max="11553" width="6.5703125" customWidth="1"/>
    <col min="11777" max="11777" width="24.85546875" customWidth="1"/>
    <col min="11778" max="11778" width="8.42578125" customWidth="1"/>
    <col min="11779" max="11781" width="7.28515625" customWidth="1"/>
    <col min="11782" max="11784" width="7.140625" customWidth="1"/>
    <col min="11785" max="11785" width="7" customWidth="1"/>
    <col min="11786" max="11787" width="6.85546875" customWidth="1"/>
    <col min="11788" max="11788" width="6.5703125" customWidth="1"/>
    <col min="11789" max="11790" width="7" customWidth="1"/>
    <col min="11791" max="11791" width="6.5703125" customWidth="1"/>
    <col min="11792" max="11794" width="7" customWidth="1"/>
    <col min="11795" max="11795" width="6.42578125" customWidth="1"/>
    <col min="11796" max="11796" width="6.7109375" customWidth="1"/>
    <col min="11797" max="11797" width="6.42578125" customWidth="1"/>
    <col min="11798" max="11800" width="6.7109375" customWidth="1"/>
    <col min="11801" max="11801" width="7.28515625" customWidth="1"/>
    <col min="11802" max="11802" width="6.7109375" customWidth="1"/>
    <col min="11803" max="11803" width="6.42578125" customWidth="1"/>
    <col min="11807" max="11808" width="6.85546875" customWidth="1"/>
    <col min="11809" max="11809" width="6.5703125" customWidth="1"/>
    <col min="12033" max="12033" width="24.85546875" customWidth="1"/>
    <col min="12034" max="12034" width="8.42578125" customWidth="1"/>
    <col min="12035" max="12037" width="7.28515625" customWidth="1"/>
    <col min="12038" max="12040" width="7.140625" customWidth="1"/>
    <col min="12041" max="12041" width="7" customWidth="1"/>
    <col min="12042" max="12043" width="6.85546875" customWidth="1"/>
    <col min="12044" max="12044" width="6.5703125" customWidth="1"/>
    <col min="12045" max="12046" width="7" customWidth="1"/>
    <col min="12047" max="12047" width="6.5703125" customWidth="1"/>
    <col min="12048" max="12050" width="7" customWidth="1"/>
    <col min="12051" max="12051" width="6.42578125" customWidth="1"/>
    <col min="12052" max="12052" width="6.7109375" customWidth="1"/>
    <col min="12053" max="12053" width="6.42578125" customWidth="1"/>
    <col min="12054" max="12056" width="6.7109375" customWidth="1"/>
    <col min="12057" max="12057" width="7.28515625" customWidth="1"/>
    <col min="12058" max="12058" width="6.7109375" customWidth="1"/>
    <col min="12059" max="12059" width="6.42578125" customWidth="1"/>
    <col min="12063" max="12064" width="6.85546875" customWidth="1"/>
    <col min="12065" max="12065" width="6.5703125" customWidth="1"/>
    <col min="12289" max="12289" width="24.85546875" customWidth="1"/>
    <col min="12290" max="12290" width="8.42578125" customWidth="1"/>
    <col min="12291" max="12293" width="7.28515625" customWidth="1"/>
    <col min="12294" max="12296" width="7.140625" customWidth="1"/>
    <col min="12297" max="12297" width="7" customWidth="1"/>
    <col min="12298" max="12299" width="6.85546875" customWidth="1"/>
    <col min="12300" max="12300" width="6.5703125" customWidth="1"/>
    <col min="12301" max="12302" width="7" customWidth="1"/>
    <col min="12303" max="12303" width="6.5703125" customWidth="1"/>
    <col min="12304" max="12306" width="7" customWidth="1"/>
    <col min="12307" max="12307" width="6.42578125" customWidth="1"/>
    <col min="12308" max="12308" width="6.7109375" customWidth="1"/>
    <col min="12309" max="12309" width="6.42578125" customWidth="1"/>
    <col min="12310" max="12312" width="6.7109375" customWidth="1"/>
    <col min="12313" max="12313" width="7.28515625" customWidth="1"/>
    <col min="12314" max="12314" width="6.7109375" customWidth="1"/>
    <col min="12315" max="12315" width="6.42578125" customWidth="1"/>
    <col min="12319" max="12320" width="6.85546875" customWidth="1"/>
    <col min="12321" max="12321" width="6.5703125" customWidth="1"/>
    <col min="12545" max="12545" width="24.85546875" customWidth="1"/>
    <col min="12546" max="12546" width="8.42578125" customWidth="1"/>
    <col min="12547" max="12549" width="7.28515625" customWidth="1"/>
    <col min="12550" max="12552" width="7.140625" customWidth="1"/>
    <col min="12553" max="12553" width="7" customWidth="1"/>
    <col min="12554" max="12555" width="6.85546875" customWidth="1"/>
    <col min="12556" max="12556" width="6.5703125" customWidth="1"/>
    <col min="12557" max="12558" width="7" customWidth="1"/>
    <col min="12559" max="12559" width="6.5703125" customWidth="1"/>
    <col min="12560" max="12562" width="7" customWidth="1"/>
    <col min="12563" max="12563" width="6.42578125" customWidth="1"/>
    <col min="12564" max="12564" width="6.7109375" customWidth="1"/>
    <col min="12565" max="12565" width="6.42578125" customWidth="1"/>
    <col min="12566" max="12568" width="6.7109375" customWidth="1"/>
    <col min="12569" max="12569" width="7.28515625" customWidth="1"/>
    <col min="12570" max="12570" width="6.7109375" customWidth="1"/>
    <col min="12571" max="12571" width="6.42578125" customWidth="1"/>
    <col min="12575" max="12576" width="6.85546875" customWidth="1"/>
    <col min="12577" max="12577" width="6.5703125" customWidth="1"/>
    <col min="12801" max="12801" width="24.85546875" customWidth="1"/>
    <col min="12802" max="12802" width="8.42578125" customWidth="1"/>
    <col min="12803" max="12805" width="7.28515625" customWidth="1"/>
    <col min="12806" max="12808" width="7.140625" customWidth="1"/>
    <col min="12809" max="12809" width="7" customWidth="1"/>
    <col min="12810" max="12811" width="6.85546875" customWidth="1"/>
    <col min="12812" max="12812" width="6.5703125" customWidth="1"/>
    <col min="12813" max="12814" width="7" customWidth="1"/>
    <col min="12815" max="12815" width="6.5703125" customWidth="1"/>
    <col min="12816" max="12818" width="7" customWidth="1"/>
    <col min="12819" max="12819" width="6.42578125" customWidth="1"/>
    <col min="12820" max="12820" width="6.7109375" customWidth="1"/>
    <col min="12821" max="12821" width="6.42578125" customWidth="1"/>
    <col min="12822" max="12824" width="6.7109375" customWidth="1"/>
    <col min="12825" max="12825" width="7.28515625" customWidth="1"/>
    <col min="12826" max="12826" width="6.7109375" customWidth="1"/>
    <col min="12827" max="12827" width="6.42578125" customWidth="1"/>
    <col min="12831" max="12832" width="6.85546875" customWidth="1"/>
    <col min="12833" max="12833" width="6.5703125" customWidth="1"/>
    <col min="13057" max="13057" width="24.85546875" customWidth="1"/>
    <col min="13058" max="13058" width="8.42578125" customWidth="1"/>
    <col min="13059" max="13061" width="7.28515625" customWidth="1"/>
    <col min="13062" max="13064" width="7.140625" customWidth="1"/>
    <col min="13065" max="13065" width="7" customWidth="1"/>
    <col min="13066" max="13067" width="6.85546875" customWidth="1"/>
    <col min="13068" max="13068" width="6.5703125" customWidth="1"/>
    <col min="13069" max="13070" width="7" customWidth="1"/>
    <col min="13071" max="13071" width="6.5703125" customWidth="1"/>
    <col min="13072" max="13074" width="7" customWidth="1"/>
    <col min="13075" max="13075" width="6.42578125" customWidth="1"/>
    <col min="13076" max="13076" width="6.7109375" customWidth="1"/>
    <col min="13077" max="13077" width="6.42578125" customWidth="1"/>
    <col min="13078" max="13080" width="6.7109375" customWidth="1"/>
    <col min="13081" max="13081" width="7.28515625" customWidth="1"/>
    <col min="13082" max="13082" width="6.7109375" customWidth="1"/>
    <col min="13083" max="13083" width="6.42578125" customWidth="1"/>
    <col min="13087" max="13088" width="6.85546875" customWidth="1"/>
    <col min="13089" max="13089" width="6.5703125" customWidth="1"/>
    <col min="13313" max="13313" width="24.85546875" customWidth="1"/>
    <col min="13314" max="13314" width="8.42578125" customWidth="1"/>
    <col min="13315" max="13317" width="7.28515625" customWidth="1"/>
    <col min="13318" max="13320" width="7.140625" customWidth="1"/>
    <col min="13321" max="13321" width="7" customWidth="1"/>
    <col min="13322" max="13323" width="6.85546875" customWidth="1"/>
    <col min="13324" max="13324" width="6.5703125" customWidth="1"/>
    <col min="13325" max="13326" width="7" customWidth="1"/>
    <col min="13327" max="13327" width="6.5703125" customWidth="1"/>
    <col min="13328" max="13330" width="7" customWidth="1"/>
    <col min="13331" max="13331" width="6.42578125" customWidth="1"/>
    <col min="13332" max="13332" width="6.7109375" customWidth="1"/>
    <col min="13333" max="13333" width="6.42578125" customWidth="1"/>
    <col min="13334" max="13336" width="6.7109375" customWidth="1"/>
    <col min="13337" max="13337" width="7.28515625" customWidth="1"/>
    <col min="13338" max="13338" width="6.7109375" customWidth="1"/>
    <col min="13339" max="13339" width="6.42578125" customWidth="1"/>
    <col min="13343" max="13344" width="6.85546875" customWidth="1"/>
    <col min="13345" max="13345" width="6.5703125" customWidth="1"/>
    <col min="13569" max="13569" width="24.85546875" customWidth="1"/>
    <col min="13570" max="13570" width="8.42578125" customWidth="1"/>
    <col min="13571" max="13573" width="7.28515625" customWidth="1"/>
    <col min="13574" max="13576" width="7.140625" customWidth="1"/>
    <col min="13577" max="13577" width="7" customWidth="1"/>
    <col min="13578" max="13579" width="6.85546875" customWidth="1"/>
    <col min="13580" max="13580" width="6.5703125" customWidth="1"/>
    <col min="13581" max="13582" width="7" customWidth="1"/>
    <col min="13583" max="13583" width="6.5703125" customWidth="1"/>
    <col min="13584" max="13586" width="7" customWidth="1"/>
    <col min="13587" max="13587" width="6.42578125" customWidth="1"/>
    <col min="13588" max="13588" width="6.7109375" customWidth="1"/>
    <col min="13589" max="13589" width="6.42578125" customWidth="1"/>
    <col min="13590" max="13592" width="6.7109375" customWidth="1"/>
    <col min="13593" max="13593" width="7.28515625" customWidth="1"/>
    <col min="13594" max="13594" width="6.7109375" customWidth="1"/>
    <col min="13595" max="13595" width="6.42578125" customWidth="1"/>
    <col min="13599" max="13600" width="6.85546875" customWidth="1"/>
    <col min="13601" max="13601" width="6.5703125" customWidth="1"/>
    <col min="13825" max="13825" width="24.85546875" customWidth="1"/>
    <col min="13826" max="13826" width="8.42578125" customWidth="1"/>
    <col min="13827" max="13829" width="7.28515625" customWidth="1"/>
    <col min="13830" max="13832" width="7.140625" customWidth="1"/>
    <col min="13833" max="13833" width="7" customWidth="1"/>
    <col min="13834" max="13835" width="6.85546875" customWidth="1"/>
    <col min="13836" max="13836" width="6.5703125" customWidth="1"/>
    <col min="13837" max="13838" width="7" customWidth="1"/>
    <col min="13839" max="13839" width="6.5703125" customWidth="1"/>
    <col min="13840" max="13842" width="7" customWidth="1"/>
    <col min="13843" max="13843" width="6.42578125" customWidth="1"/>
    <col min="13844" max="13844" width="6.7109375" customWidth="1"/>
    <col min="13845" max="13845" width="6.42578125" customWidth="1"/>
    <col min="13846" max="13848" width="6.7109375" customWidth="1"/>
    <col min="13849" max="13849" width="7.28515625" customWidth="1"/>
    <col min="13850" max="13850" width="6.7109375" customWidth="1"/>
    <col min="13851" max="13851" width="6.42578125" customWidth="1"/>
    <col min="13855" max="13856" width="6.85546875" customWidth="1"/>
    <col min="13857" max="13857" width="6.5703125" customWidth="1"/>
    <col min="14081" max="14081" width="24.85546875" customWidth="1"/>
    <col min="14082" max="14082" width="8.42578125" customWidth="1"/>
    <col min="14083" max="14085" width="7.28515625" customWidth="1"/>
    <col min="14086" max="14088" width="7.140625" customWidth="1"/>
    <col min="14089" max="14089" width="7" customWidth="1"/>
    <col min="14090" max="14091" width="6.85546875" customWidth="1"/>
    <col min="14092" max="14092" width="6.5703125" customWidth="1"/>
    <col min="14093" max="14094" width="7" customWidth="1"/>
    <col min="14095" max="14095" width="6.5703125" customWidth="1"/>
    <col min="14096" max="14098" width="7" customWidth="1"/>
    <col min="14099" max="14099" width="6.42578125" customWidth="1"/>
    <col min="14100" max="14100" width="6.7109375" customWidth="1"/>
    <col min="14101" max="14101" width="6.42578125" customWidth="1"/>
    <col min="14102" max="14104" width="6.7109375" customWidth="1"/>
    <col min="14105" max="14105" width="7.28515625" customWidth="1"/>
    <col min="14106" max="14106" width="6.7109375" customWidth="1"/>
    <col min="14107" max="14107" width="6.42578125" customWidth="1"/>
    <col min="14111" max="14112" width="6.85546875" customWidth="1"/>
    <col min="14113" max="14113" width="6.5703125" customWidth="1"/>
    <col min="14337" max="14337" width="24.85546875" customWidth="1"/>
    <col min="14338" max="14338" width="8.42578125" customWidth="1"/>
    <col min="14339" max="14341" width="7.28515625" customWidth="1"/>
    <col min="14342" max="14344" width="7.140625" customWidth="1"/>
    <col min="14345" max="14345" width="7" customWidth="1"/>
    <col min="14346" max="14347" width="6.85546875" customWidth="1"/>
    <col min="14348" max="14348" width="6.5703125" customWidth="1"/>
    <col min="14349" max="14350" width="7" customWidth="1"/>
    <col min="14351" max="14351" width="6.5703125" customWidth="1"/>
    <col min="14352" max="14354" width="7" customWidth="1"/>
    <col min="14355" max="14355" width="6.42578125" customWidth="1"/>
    <col min="14356" max="14356" width="6.7109375" customWidth="1"/>
    <col min="14357" max="14357" width="6.42578125" customWidth="1"/>
    <col min="14358" max="14360" width="6.7109375" customWidth="1"/>
    <col min="14361" max="14361" width="7.28515625" customWidth="1"/>
    <col min="14362" max="14362" width="6.7109375" customWidth="1"/>
    <col min="14363" max="14363" width="6.42578125" customWidth="1"/>
    <col min="14367" max="14368" width="6.85546875" customWidth="1"/>
    <col min="14369" max="14369" width="6.5703125" customWidth="1"/>
    <col min="14593" max="14593" width="24.85546875" customWidth="1"/>
    <col min="14594" max="14594" width="8.42578125" customWidth="1"/>
    <col min="14595" max="14597" width="7.28515625" customWidth="1"/>
    <col min="14598" max="14600" width="7.140625" customWidth="1"/>
    <col min="14601" max="14601" width="7" customWidth="1"/>
    <col min="14602" max="14603" width="6.85546875" customWidth="1"/>
    <col min="14604" max="14604" width="6.5703125" customWidth="1"/>
    <col min="14605" max="14606" width="7" customWidth="1"/>
    <col min="14607" max="14607" width="6.5703125" customWidth="1"/>
    <col min="14608" max="14610" width="7" customWidth="1"/>
    <col min="14611" max="14611" width="6.42578125" customWidth="1"/>
    <col min="14612" max="14612" width="6.7109375" customWidth="1"/>
    <col min="14613" max="14613" width="6.42578125" customWidth="1"/>
    <col min="14614" max="14616" width="6.7109375" customWidth="1"/>
    <col min="14617" max="14617" width="7.28515625" customWidth="1"/>
    <col min="14618" max="14618" width="6.7109375" customWidth="1"/>
    <col min="14619" max="14619" width="6.42578125" customWidth="1"/>
    <col min="14623" max="14624" width="6.85546875" customWidth="1"/>
    <col min="14625" max="14625" width="6.5703125" customWidth="1"/>
    <col min="14849" max="14849" width="24.85546875" customWidth="1"/>
    <col min="14850" max="14850" width="8.42578125" customWidth="1"/>
    <col min="14851" max="14853" width="7.28515625" customWidth="1"/>
    <col min="14854" max="14856" width="7.140625" customWidth="1"/>
    <col min="14857" max="14857" width="7" customWidth="1"/>
    <col min="14858" max="14859" width="6.85546875" customWidth="1"/>
    <col min="14860" max="14860" width="6.5703125" customWidth="1"/>
    <col min="14861" max="14862" width="7" customWidth="1"/>
    <col min="14863" max="14863" width="6.5703125" customWidth="1"/>
    <col min="14864" max="14866" width="7" customWidth="1"/>
    <col min="14867" max="14867" width="6.42578125" customWidth="1"/>
    <col min="14868" max="14868" width="6.7109375" customWidth="1"/>
    <col min="14869" max="14869" width="6.42578125" customWidth="1"/>
    <col min="14870" max="14872" width="6.7109375" customWidth="1"/>
    <col min="14873" max="14873" width="7.28515625" customWidth="1"/>
    <col min="14874" max="14874" width="6.7109375" customWidth="1"/>
    <col min="14875" max="14875" width="6.42578125" customWidth="1"/>
    <col min="14879" max="14880" width="6.85546875" customWidth="1"/>
    <col min="14881" max="14881" width="6.5703125" customWidth="1"/>
    <col min="15105" max="15105" width="24.85546875" customWidth="1"/>
    <col min="15106" max="15106" width="8.42578125" customWidth="1"/>
    <col min="15107" max="15109" width="7.28515625" customWidth="1"/>
    <col min="15110" max="15112" width="7.140625" customWidth="1"/>
    <col min="15113" max="15113" width="7" customWidth="1"/>
    <col min="15114" max="15115" width="6.85546875" customWidth="1"/>
    <col min="15116" max="15116" width="6.5703125" customWidth="1"/>
    <col min="15117" max="15118" width="7" customWidth="1"/>
    <col min="15119" max="15119" width="6.5703125" customWidth="1"/>
    <col min="15120" max="15122" width="7" customWidth="1"/>
    <col min="15123" max="15123" width="6.42578125" customWidth="1"/>
    <col min="15124" max="15124" width="6.7109375" customWidth="1"/>
    <col min="15125" max="15125" width="6.42578125" customWidth="1"/>
    <col min="15126" max="15128" width="6.7109375" customWidth="1"/>
    <col min="15129" max="15129" width="7.28515625" customWidth="1"/>
    <col min="15130" max="15130" width="6.7109375" customWidth="1"/>
    <col min="15131" max="15131" width="6.42578125" customWidth="1"/>
    <col min="15135" max="15136" width="6.85546875" customWidth="1"/>
    <col min="15137" max="15137" width="6.5703125" customWidth="1"/>
    <col min="15361" max="15361" width="24.85546875" customWidth="1"/>
    <col min="15362" max="15362" width="8.42578125" customWidth="1"/>
    <col min="15363" max="15365" width="7.28515625" customWidth="1"/>
    <col min="15366" max="15368" width="7.140625" customWidth="1"/>
    <col min="15369" max="15369" width="7" customWidth="1"/>
    <col min="15370" max="15371" width="6.85546875" customWidth="1"/>
    <col min="15372" max="15372" width="6.5703125" customWidth="1"/>
    <col min="15373" max="15374" width="7" customWidth="1"/>
    <col min="15375" max="15375" width="6.5703125" customWidth="1"/>
    <col min="15376" max="15378" width="7" customWidth="1"/>
    <col min="15379" max="15379" width="6.42578125" customWidth="1"/>
    <col min="15380" max="15380" width="6.7109375" customWidth="1"/>
    <col min="15381" max="15381" width="6.42578125" customWidth="1"/>
    <col min="15382" max="15384" width="6.7109375" customWidth="1"/>
    <col min="15385" max="15385" width="7.28515625" customWidth="1"/>
    <col min="15386" max="15386" width="6.7109375" customWidth="1"/>
    <col min="15387" max="15387" width="6.42578125" customWidth="1"/>
    <col min="15391" max="15392" width="6.85546875" customWidth="1"/>
    <col min="15393" max="15393" width="6.5703125" customWidth="1"/>
    <col min="15617" max="15617" width="24.85546875" customWidth="1"/>
    <col min="15618" max="15618" width="8.42578125" customWidth="1"/>
    <col min="15619" max="15621" width="7.28515625" customWidth="1"/>
    <col min="15622" max="15624" width="7.140625" customWidth="1"/>
    <col min="15625" max="15625" width="7" customWidth="1"/>
    <col min="15626" max="15627" width="6.85546875" customWidth="1"/>
    <col min="15628" max="15628" width="6.5703125" customWidth="1"/>
    <col min="15629" max="15630" width="7" customWidth="1"/>
    <col min="15631" max="15631" width="6.5703125" customWidth="1"/>
    <col min="15632" max="15634" width="7" customWidth="1"/>
    <col min="15635" max="15635" width="6.42578125" customWidth="1"/>
    <col min="15636" max="15636" width="6.7109375" customWidth="1"/>
    <col min="15637" max="15637" width="6.42578125" customWidth="1"/>
    <col min="15638" max="15640" width="6.7109375" customWidth="1"/>
    <col min="15641" max="15641" width="7.28515625" customWidth="1"/>
    <col min="15642" max="15642" width="6.7109375" customWidth="1"/>
    <col min="15643" max="15643" width="6.42578125" customWidth="1"/>
    <col min="15647" max="15648" width="6.85546875" customWidth="1"/>
    <col min="15649" max="15649" width="6.5703125" customWidth="1"/>
    <col min="15873" max="15873" width="24.85546875" customWidth="1"/>
    <col min="15874" max="15874" width="8.42578125" customWidth="1"/>
    <col min="15875" max="15877" width="7.28515625" customWidth="1"/>
    <col min="15878" max="15880" width="7.140625" customWidth="1"/>
    <col min="15881" max="15881" width="7" customWidth="1"/>
    <col min="15882" max="15883" width="6.85546875" customWidth="1"/>
    <col min="15884" max="15884" width="6.5703125" customWidth="1"/>
    <col min="15885" max="15886" width="7" customWidth="1"/>
    <col min="15887" max="15887" width="6.5703125" customWidth="1"/>
    <col min="15888" max="15890" width="7" customWidth="1"/>
    <col min="15891" max="15891" width="6.42578125" customWidth="1"/>
    <col min="15892" max="15892" width="6.7109375" customWidth="1"/>
    <col min="15893" max="15893" width="6.42578125" customWidth="1"/>
    <col min="15894" max="15896" width="6.7109375" customWidth="1"/>
    <col min="15897" max="15897" width="7.28515625" customWidth="1"/>
    <col min="15898" max="15898" width="6.7109375" customWidth="1"/>
    <col min="15899" max="15899" width="6.42578125" customWidth="1"/>
    <col min="15903" max="15904" width="6.85546875" customWidth="1"/>
    <col min="15905" max="15905" width="6.5703125" customWidth="1"/>
    <col min="16129" max="16129" width="24.85546875" customWidth="1"/>
    <col min="16130" max="16130" width="8.42578125" customWidth="1"/>
    <col min="16131" max="16133" width="7.28515625" customWidth="1"/>
    <col min="16134" max="16136" width="7.140625" customWidth="1"/>
    <col min="16137" max="16137" width="7" customWidth="1"/>
    <col min="16138" max="16139" width="6.85546875" customWidth="1"/>
    <col min="16140" max="16140" width="6.5703125" customWidth="1"/>
    <col min="16141" max="16142" width="7" customWidth="1"/>
    <col min="16143" max="16143" width="6.5703125" customWidth="1"/>
    <col min="16144" max="16146" width="7" customWidth="1"/>
    <col min="16147" max="16147" width="6.42578125" customWidth="1"/>
    <col min="16148" max="16148" width="6.7109375" customWidth="1"/>
    <col min="16149" max="16149" width="6.42578125" customWidth="1"/>
    <col min="16150" max="16152" width="6.7109375" customWidth="1"/>
    <col min="16153" max="16153" width="7.28515625" customWidth="1"/>
    <col min="16154" max="16154" width="6.7109375" customWidth="1"/>
    <col min="16155" max="16155" width="6.42578125" customWidth="1"/>
    <col min="16159" max="16160" width="6.85546875" customWidth="1"/>
    <col min="16161" max="16161" width="6.5703125" customWidth="1"/>
  </cols>
  <sheetData>
    <row r="1" spans="1:32" x14ac:dyDescent="0.2">
      <c r="A1" t="s">
        <v>386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s="33">
        <v>26</v>
      </c>
      <c r="AF1" s="33"/>
    </row>
    <row r="2" spans="1:32" x14ac:dyDescent="0.2">
      <c r="A2" t="s">
        <v>287</v>
      </c>
      <c r="B2" s="34" t="s">
        <v>550</v>
      </c>
      <c r="C2" s="34" t="s">
        <v>551</v>
      </c>
      <c r="D2" s="34" t="s">
        <v>552</v>
      </c>
      <c r="E2" s="34" t="s">
        <v>553</v>
      </c>
      <c r="F2" s="33" t="s">
        <v>453</v>
      </c>
      <c r="G2" s="33" t="s">
        <v>554</v>
      </c>
      <c r="H2" s="33" t="s">
        <v>555</v>
      </c>
      <c r="I2" s="33" t="s">
        <v>556</v>
      </c>
      <c r="J2" s="33" t="s">
        <v>557</v>
      </c>
      <c r="K2" s="33" t="s">
        <v>558</v>
      </c>
      <c r="L2" s="33" t="s">
        <v>559</v>
      </c>
      <c r="M2" s="33" t="s">
        <v>560</v>
      </c>
      <c r="N2" s="33" t="s">
        <v>561</v>
      </c>
      <c r="O2" s="33" t="s">
        <v>562</v>
      </c>
      <c r="P2" s="33" t="s">
        <v>563</v>
      </c>
      <c r="Q2" s="33" t="s">
        <v>564</v>
      </c>
      <c r="R2" s="33" t="s">
        <v>565</v>
      </c>
      <c r="S2" s="33" t="s">
        <v>566</v>
      </c>
      <c r="T2" s="33" t="s">
        <v>567</v>
      </c>
      <c r="U2" s="33" t="s">
        <v>568</v>
      </c>
      <c r="V2" s="33" t="s">
        <v>569</v>
      </c>
      <c r="W2" s="33" t="s">
        <v>570</v>
      </c>
      <c r="X2" s="33" t="s">
        <v>571</v>
      </c>
      <c r="Y2" s="34" t="s">
        <v>572</v>
      </c>
      <c r="Z2" s="33" t="s">
        <v>573</v>
      </c>
      <c r="AA2" s="33" t="s">
        <v>574</v>
      </c>
      <c r="AB2" s="33" t="s">
        <v>315</v>
      </c>
      <c r="AC2" s="34" t="s">
        <v>460</v>
      </c>
      <c r="AF2" s="33"/>
    </row>
    <row r="3" spans="1:32" x14ac:dyDescent="0.2">
      <c r="A3" s="27" t="s">
        <v>1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1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3</v>
      </c>
      <c r="Q3" s="33">
        <v>0</v>
      </c>
      <c r="R3" s="33">
        <v>5</v>
      </c>
      <c r="S3" s="33">
        <v>0</v>
      </c>
      <c r="T3" s="33">
        <v>2</v>
      </c>
      <c r="U3" s="33">
        <v>0</v>
      </c>
      <c r="V3" s="33">
        <v>0</v>
      </c>
      <c r="W3" s="33">
        <v>0</v>
      </c>
      <c r="X3" s="33">
        <v>0</v>
      </c>
      <c r="Y3" s="33">
        <v>6</v>
      </c>
      <c r="Z3" s="33">
        <v>0</v>
      </c>
      <c r="AA3" s="33">
        <v>9</v>
      </c>
      <c r="AB3" s="33">
        <f t="shared" ref="AB3:AB32" si="0">SUM(B3:AA3)</f>
        <v>26</v>
      </c>
      <c r="AC3" s="36" t="s">
        <v>575</v>
      </c>
      <c r="AF3" s="33"/>
    </row>
    <row r="4" spans="1:32" x14ac:dyDescent="0.2">
      <c r="A4" s="27" t="s">
        <v>3</v>
      </c>
      <c r="B4" s="33">
        <v>0</v>
      </c>
      <c r="C4" s="33">
        <v>0</v>
      </c>
      <c r="D4" s="33">
        <v>0</v>
      </c>
      <c r="E4" s="33">
        <v>8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1</v>
      </c>
      <c r="O4" s="33">
        <v>1</v>
      </c>
      <c r="P4" s="33">
        <v>29</v>
      </c>
      <c r="Q4" s="33">
        <v>1</v>
      </c>
      <c r="R4" s="33">
        <v>12</v>
      </c>
      <c r="S4" s="33">
        <v>15</v>
      </c>
      <c r="T4" s="33">
        <v>24</v>
      </c>
      <c r="U4" s="33">
        <v>7</v>
      </c>
      <c r="V4" s="33">
        <v>0</v>
      </c>
      <c r="W4" s="33">
        <v>5</v>
      </c>
      <c r="X4" s="33">
        <v>0</v>
      </c>
      <c r="Y4" s="33">
        <v>47</v>
      </c>
      <c r="Z4" s="33">
        <v>0</v>
      </c>
      <c r="AA4" s="33">
        <v>17</v>
      </c>
      <c r="AB4" s="33">
        <f t="shared" si="0"/>
        <v>167</v>
      </c>
      <c r="AC4" s="36" t="s">
        <v>576</v>
      </c>
      <c r="AF4" s="33"/>
    </row>
    <row r="5" spans="1:32" x14ac:dyDescent="0.2">
      <c r="A5" s="27" t="s">
        <v>4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1</v>
      </c>
      <c r="Q5" s="33">
        <v>0</v>
      </c>
      <c r="R5" s="33">
        <v>1</v>
      </c>
      <c r="S5" s="33">
        <v>0</v>
      </c>
      <c r="T5" s="33">
        <v>3</v>
      </c>
      <c r="U5" s="33">
        <v>0</v>
      </c>
      <c r="V5" s="33">
        <v>0</v>
      </c>
      <c r="W5" s="33">
        <v>0</v>
      </c>
      <c r="X5" s="33">
        <v>0</v>
      </c>
      <c r="Y5" s="33">
        <v>4</v>
      </c>
      <c r="Z5" s="33">
        <v>0</v>
      </c>
      <c r="AA5" s="33">
        <v>1</v>
      </c>
      <c r="AB5" s="33">
        <f t="shared" si="0"/>
        <v>10</v>
      </c>
      <c r="AC5" s="36" t="s">
        <v>577</v>
      </c>
      <c r="AF5" s="33"/>
    </row>
    <row r="6" spans="1:32" x14ac:dyDescent="0.2">
      <c r="A6" s="27" t="s">
        <v>5</v>
      </c>
      <c r="B6" s="33">
        <v>0</v>
      </c>
      <c r="C6" s="33">
        <v>1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1</v>
      </c>
      <c r="P6" s="33">
        <v>2</v>
      </c>
      <c r="Q6" s="33">
        <v>0</v>
      </c>
      <c r="R6" s="33">
        <v>2</v>
      </c>
      <c r="S6" s="33">
        <v>1</v>
      </c>
      <c r="T6" s="33">
        <v>1</v>
      </c>
      <c r="U6" s="33">
        <v>0</v>
      </c>
      <c r="V6" s="33">
        <v>0</v>
      </c>
      <c r="W6" s="33">
        <v>0</v>
      </c>
      <c r="X6" s="33">
        <v>0</v>
      </c>
      <c r="Y6" s="33">
        <v>1</v>
      </c>
      <c r="Z6" s="33">
        <v>0</v>
      </c>
      <c r="AA6" s="33">
        <v>5</v>
      </c>
      <c r="AB6" s="33">
        <f t="shared" si="0"/>
        <v>14</v>
      </c>
      <c r="AC6" s="36" t="s">
        <v>578</v>
      </c>
      <c r="AF6" s="33"/>
    </row>
    <row r="7" spans="1:32" x14ac:dyDescent="0.2">
      <c r="A7" s="27" t="s">
        <v>6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1</v>
      </c>
      <c r="Z7" s="33">
        <v>0</v>
      </c>
      <c r="AA7" s="33">
        <v>1</v>
      </c>
      <c r="AB7" s="33">
        <f t="shared" si="0"/>
        <v>2</v>
      </c>
      <c r="AC7" s="36" t="s">
        <v>579</v>
      </c>
      <c r="AF7" s="33"/>
    </row>
    <row r="8" spans="1:32" x14ac:dyDescent="0.2">
      <c r="A8" s="27" t="s">
        <v>40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1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f t="shared" si="0"/>
        <v>1</v>
      </c>
      <c r="AC8" s="36" t="s">
        <v>580</v>
      </c>
      <c r="AF8" s="33"/>
    </row>
    <row r="9" spans="1:32" x14ac:dyDescent="0.2">
      <c r="A9" s="27" t="s">
        <v>7</v>
      </c>
      <c r="B9" s="33">
        <v>0</v>
      </c>
      <c r="C9" s="33">
        <v>1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7</v>
      </c>
      <c r="Q9" s="33">
        <v>0</v>
      </c>
      <c r="R9" s="33">
        <v>1</v>
      </c>
      <c r="S9" s="33">
        <v>1</v>
      </c>
      <c r="T9" s="33">
        <v>3</v>
      </c>
      <c r="U9" s="33">
        <v>1</v>
      </c>
      <c r="V9" s="33">
        <v>0</v>
      </c>
      <c r="W9" s="33">
        <v>0</v>
      </c>
      <c r="X9" s="33">
        <v>0</v>
      </c>
      <c r="Y9" s="33">
        <v>4</v>
      </c>
      <c r="Z9" s="33">
        <v>0</v>
      </c>
      <c r="AA9" s="33">
        <v>5</v>
      </c>
      <c r="AB9" s="33">
        <f t="shared" si="0"/>
        <v>23</v>
      </c>
      <c r="AC9" s="36" t="s">
        <v>581</v>
      </c>
      <c r="AF9" s="33"/>
    </row>
    <row r="10" spans="1:32" x14ac:dyDescent="0.2">
      <c r="A10" s="27" t="s">
        <v>9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1</v>
      </c>
      <c r="X10" s="33">
        <v>0</v>
      </c>
      <c r="Y10" s="33">
        <v>0</v>
      </c>
      <c r="Z10" s="33">
        <v>0</v>
      </c>
      <c r="AA10" s="33">
        <v>0</v>
      </c>
      <c r="AB10" s="33">
        <f t="shared" si="0"/>
        <v>1</v>
      </c>
      <c r="AC10" s="36" t="s">
        <v>580</v>
      </c>
      <c r="AF10" s="33"/>
    </row>
    <row r="11" spans="1:32" x14ac:dyDescent="0.2">
      <c r="A11" s="27" t="s">
        <v>10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2</v>
      </c>
      <c r="Q11" s="33">
        <v>0</v>
      </c>
      <c r="R11" s="33">
        <v>0</v>
      </c>
      <c r="S11" s="33">
        <v>0</v>
      </c>
      <c r="T11" s="33">
        <v>1</v>
      </c>
      <c r="U11" s="33">
        <v>0</v>
      </c>
      <c r="V11" s="33">
        <v>0</v>
      </c>
      <c r="W11" s="33">
        <v>0</v>
      </c>
      <c r="X11" s="33">
        <v>0</v>
      </c>
      <c r="Y11" s="33">
        <v>1</v>
      </c>
      <c r="Z11" s="33">
        <v>0</v>
      </c>
      <c r="AA11" s="33">
        <v>0</v>
      </c>
      <c r="AB11" s="33">
        <f t="shared" si="0"/>
        <v>4</v>
      </c>
      <c r="AC11" s="36" t="s">
        <v>582</v>
      </c>
      <c r="AF11" s="33"/>
    </row>
    <row r="12" spans="1:32" x14ac:dyDescent="0.2">
      <c r="A12" s="27" t="s">
        <v>13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1</v>
      </c>
      <c r="Z12" s="33">
        <v>0</v>
      </c>
      <c r="AA12" s="33">
        <v>0</v>
      </c>
      <c r="AB12" s="33">
        <f t="shared" si="0"/>
        <v>1</v>
      </c>
      <c r="AC12" s="36" t="s">
        <v>580</v>
      </c>
      <c r="AF12" s="33"/>
    </row>
    <row r="13" spans="1:32" x14ac:dyDescent="0.2">
      <c r="A13" s="27" t="s">
        <v>16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1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f t="shared" si="0"/>
        <v>1</v>
      </c>
      <c r="AC13" s="36" t="s">
        <v>580</v>
      </c>
      <c r="AF13" s="33"/>
    </row>
    <row r="14" spans="1:32" x14ac:dyDescent="0.2">
      <c r="A14" s="27" t="s">
        <v>17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3</v>
      </c>
      <c r="Q14" s="33">
        <v>0</v>
      </c>
      <c r="R14" s="33">
        <v>0</v>
      </c>
      <c r="S14" s="33">
        <v>0</v>
      </c>
      <c r="T14" s="33">
        <v>1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f t="shared" si="0"/>
        <v>4</v>
      </c>
      <c r="AC14" s="36" t="s">
        <v>582</v>
      </c>
      <c r="AF14" s="33"/>
    </row>
    <row r="15" spans="1:32" x14ac:dyDescent="0.2">
      <c r="A15" s="27" t="s">
        <v>18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4</v>
      </c>
      <c r="Q15" s="33">
        <v>0</v>
      </c>
      <c r="R15" s="33">
        <v>5</v>
      </c>
      <c r="S15" s="33">
        <v>2</v>
      </c>
      <c r="T15" s="33">
        <v>3</v>
      </c>
      <c r="U15" s="33">
        <v>1</v>
      </c>
      <c r="V15" s="33">
        <v>0</v>
      </c>
      <c r="W15" s="33">
        <v>0</v>
      </c>
      <c r="X15" s="33">
        <v>0</v>
      </c>
      <c r="Y15" s="33">
        <v>8</v>
      </c>
      <c r="Z15" s="33">
        <v>0</v>
      </c>
      <c r="AA15" s="33">
        <v>10</v>
      </c>
      <c r="AB15" s="33">
        <f t="shared" si="0"/>
        <v>33</v>
      </c>
      <c r="AC15" s="36" t="s">
        <v>583</v>
      </c>
      <c r="AF15" s="33"/>
    </row>
    <row r="16" spans="1:32" x14ac:dyDescent="0.2">
      <c r="A16" s="27" t="s">
        <v>19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21</v>
      </c>
      <c r="Q16" s="33">
        <v>0</v>
      </c>
      <c r="R16" s="33">
        <v>5</v>
      </c>
      <c r="S16" s="33">
        <v>5</v>
      </c>
      <c r="T16" s="33">
        <v>9</v>
      </c>
      <c r="U16" s="33">
        <v>2</v>
      </c>
      <c r="V16" s="33">
        <v>0</v>
      </c>
      <c r="W16" s="33">
        <v>0</v>
      </c>
      <c r="X16" s="33">
        <v>0</v>
      </c>
      <c r="Y16" s="33">
        <v>8</v>
      </c>
      <c r="Z16" s="33">
        <v>0</v>
      </c>
      <c r="AA16" s="33">
        <v>12</v>
      </c>
      <c r="AB16" s="33">
        <f t="shared" si="0"/>
        <v>62</v>
      </c>
      <c r="AC16" s="36" t="s">
        <v>584</v>
      </c>
      <c r="AF16" s="33"/>
    </row>
    <row r="17" spans="1:32" x14ac:dyDescent="0.2">
      <c r="A17" s="27" t="s">
        <v>20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4</v>
      </c>
      <c r="Q17" s="33">
        <v>0</v>
      </c>
      <c r="R17" s="33">
        <v>1</v>
      </c>
      <c r="S17" s="33">
        <v>2</v>
      </c>
      <c r="T17" s="33">
        <v>0</v>
      </c>
      <c r="U17" s="33">
        <v>4</v>
      </c>
      <c r="V17" s="33">
        <v>0</v>
      </c>
      <c r="W17" s="33">
        <v>0</v>
      </c>
      <c r="X17" s="33">
        <v>0</v>
      </c>
      <c r="Y17" s="33">
        <v>6</v>
      </c>
      <c r="Z17" s="33">
        <v>0</v>
      </c>
      <c r="AA17" s="33">
        <v>4</v>
      </c>
      <c r="AB17" s="33">
        <f t="shared" si="0"/>
        <v>21</v>
      </c>
      <c r="AC17" s="36" t="s">
        <v>585</v>
      </c>
      <c r="AF17" s="33"/>
    </row>
    <row r="18" spans="1:32" x14ac:dyDescent="0.2">
      <c r="A18" s="27" t="s">
        <v>586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2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f t="shared" si="0"/>
        <v>2</v>
      </c>
      <c r="AC18" s="36" t="s">
        <v>579</v>
      </c>
      <c r="AF18" s="33"/>
    </row>
    <row r="19" spans="1:32" x14ac:dyDescent="0.2">
      <c r="A19" s="27" t="s">
        <v>200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2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f t="shared" si="0"/>
        <v>2</v>
      </c>
      <c r="AC19" s="36" t="s">
        <v>579</v>
      </c>
      <c r="AF19" s="33"/>
    </row>
    <row r="20" spans="1:32" x14ac:dyDescent="0.2">
      <c r="A20" s="27" t="s">
        <v>435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1</v>
      </c>
      <c r="Q20" s="33">
        <v>0</v>
      </c>
      <c r="R20" s="33">
        <v>2</v>
      </c>
      <c r="S20" s="33">
        <v>0</v>
      </c>
      <c r="T20" s="33">
        <v>0</v>
      </c>
      <c r="U20" s="33">
        <v>1</v>
      </c>
      <c r="V20" s="33">
        <v>0</v>
      </c>
      <c r="W20" s="33">
        <v>0</v>
      </c>
      <c r="X20" s="33">
        <v>0</v>
      </c>
      <c r="Y20" s="33">
        <v>3</v>
      </c>
      <c r="Z20" s="33">
        <v>0</v>
      </c>
      <c r="AA20" s="33">
        <v>0</v>
      </c>
      <c r="AB20" s="33">
        <f t="shared" si="0"/>
        <v>7</v>
      </c>
      <c r="AC20" s="36" t="s">
        <v>587</v>
      </c>
      <c r="AF20" s="33"/>
    </row>
    <row r="21" spans="1:32" x14ac:dyDescent="0.2">
      <c r="A21" s="27" t="s">
        <v>22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3</v>
      </c>
      <c r="U21" s="33">
        <v>1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f t="shared" si="0"/>
        <v>4</v>
      </c>
      <c r="AC21" s="36" t="s">
        <v>582</v>
      </c>
      <c r="AF21" s="33"/>
    </row>
    <row r="22" spans="1:32" x14ac:dyDescent="0.2">
      <c r="A22" s="27" t="s">
        <v>214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1</v>
      </c>
      <c r="Q22" s="33">
        <v>0</v>
      </c>
      <c r="R22" s="33">
        <v>0</v>
      </c>
      <c r="S22" s="33">
        <v>1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f t="shared" si="0"/>
        <v>2</v>
      </c>
      <c r="AC22" s="36" t="s">
        <v>579</v>
      </c>
      <c r="AF22" s="33"/>
    </row>
    <row r="23" spans="1:32" x14ac:dyDescent="0.2">
      <c r="A23" s="27" t="s">
        <v>195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3</v>
      </c>
      <c r="Q23" s="33">
        <v>0</v>
      </c>
      <c r="R23" s="33">
        <v>1</v>
      </c>
      <c r="S23" s="33">
        <v>1</v>
      </c>
      <c r="T23" s="33">
        <v>2</v>
      </c>
      <c r="U23" s="33">
        <v>0</v>
      </c>
      <c r="V23" s="33">
        <v>0</v>
      </c>
      <c r="W23" s="33">
        <v>0</v>
      </c>
      <c r="X23" s="33">
        <v>0</v>
      </c>
      <c r="Y23" s="33">
        <v>4</v>
      </c>
      <c r="Z23" s="33">
        <v>0</v>
      </c>
      <c r="AA23" s="33">
        <v>0</v>
      </c>
      <c r="AB23" s="33">
        <f t="shared" si="0"/>
        <v>11</v>
      </c>
      <c r="AC23" s="36" t="s">
        <v>588</v>
      </c>
      <c r="AF23" s="33"/>
    </row>
    <row r="24" spans="1:32" x14ac:dyDescent="0.2">
      <c r="A24" s="27" t="s">
        <v>25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1</v>
      </c>
      <c r="Q24" s="33">
        <v>0</v>
      </c>
      <c r="R24" s="33">
        <v>0</v>
      </c>
      <c r="S24" s="33">
        <v>0</v>
      </c>
      <c r="T24" s="33">
        <v>1</v>
      </c>
      <c r="U24" s="33">
        <v>0</v>
      </c>
      <c r="V24" s="33">
        <v>0</v>
      </c>
      <c r="W24" s="33">
        <v>0</v>
      </c>
      <c r="X24" s="33">
        <v>0</v>
      </c>
      <c r="Y24" s="33">
        <v>2</v>
      </c>
      <c r="Z24" s="33">
        <v>0</v>
      </c>
      <c r="AA24" s="33">
        <v>0</v>
      </c>
      <c r="AB24" s="33">
        <f t="shared" si="0"/>
        <v>4</v>
      </c>
      <c r="AC24" s="36" t="s">
        <v>582</v>
      </c>
      <c r="AF24" s="33"/>
    </row>
    <row r="25" spans="1:32" x14ac:dyDescent="0.2">
      <c r="A25" s="27" t="s">
        <v>26</v>
      </c>
      <c r="B25" s="33">
        <v>0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1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f t="shared" si="0"/>
        <v>1</v>
      </c>
      <c r="AC25" s="36" t="s">
        <v>580</v>
      </c>
      <c r="AF25" s="33"/>
    </row>
    <row r="26" spans="1:32" x14ac:dyDescent="0.2">
      <c r="A26" s="27" t="s">
        <v>27</v>
      </c>
      <c r="B26" s="33">
        <v>1</v>
      </c>
      <c r="C26" s="33">
        <v>1</v>
      </c>
      <c r="D26" s="33">
        <v>0</v>
      </c>
      <c r="E26" s="33">
        <v>1</v>
      </c>
      <c r="F26" s="33">
        <v>1</v>
      </c>
      <c r="G26" s="33">
        <v>4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37</v>
      </c>
      <c r="Q26" s="33">
        <v>0</v>
      </c>
      <c r="R26" s="33">
        <v>28</v>
      </c>
      <c r="S26" s="33">
        <v>13</v>
      </c>
      <c r="T26" s="33">
        <v>14</v>
      </c>
      <c r="U26" s="33">
        <v>6</v>
      </c>
      <c r="V26" s="33">
        <v>0</v>
      </c>
      <c r="W26" s="33">
        <v>2</v>
      </c>
      <c r="X26" s="33">
        <v>0</v>
      </c>
      <c r="Y26" s="33">
        <v>52</v>
      </c>
      <c r="Z26" s="33">
        <v>0</v>
      </c>
      <c r="AA26" s="33">
        <v>35</v>
      </c>
      <c r="AB26" s="33">
        <f t="shared" si="0"/>
        <v>195</v>
      </c>
      <c r="AC26" s="36" t="s">
        <v>589</v>
      </c>
      <c r="AF26" s="33"/>
    </row>
    <row r="27" spans="1:32" x14ac:dyDescent="0.2">
      <c r="A27" s="27" t="s">
        <v>28</v>
      </c>
      <c r="B27" s="33">
        <v>0</v>
      </c>
      <c r="C27" s="33">
        <v>0</v>
      </c>
      <c r="D27" s="33">
        <v>0</v>
      </c>
      <c r="E27" s="33">
        <v>0</v>
      </c>
      <c r="F27" s="33">
        <v>0</v>
      </c>
      <c r="G27" s="33">
        <v>1</v>
      </c>
      <c r="H27" s="33">
        <v>0</v>
      </c>
      <c r="I27" s="33">
        <v>1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2</v>
      </c>
      <c r="P27" s="33">
        <v>0</v>
      </c>
      <c r="Q27" s="33">
        <v>0</v>
      </c>
      <c r="R27" s="33">
        <v>1</v>
      </c>
      <c r="S27" s="33">
        <v>0</v>
      </c>
      <c r="T27" s="33">
        <v>5</v>
      </c>
      <c r="U27" s="33">
        <v>1</v>
      </c>
      <c r="V27" s="33">
        <v>0</v>
      </c>
      <c r="W27" s="33">
        <v>0</v>
      </c>
      <c r="X27" s="33">
        <v>0</v>
      </c>
      <c r="Y27" s="33">
        <v>2</v>
      </c>
      <c r="Z27" s="33">
        <v>0</v>
      </c>
      <c r="AA27" s="33">
        <v>4</v>
      </c>
      <c r="AB27" s="33">
        <f t="shared" si="0"/>
        <v>17</v>
      </c>
      <c r="AC27" s="36" t="s">
        <v>590</v>
      </c>
      <c r="AF27" s="33"/>
    </row>
    <row r="28" spans="1:32" x14ac:dyDescent="0.2">
      <c r="A28" s="27" t="s">
        <v>29</v>
      </c>
      <c r="B28" s="33">
        <v>0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1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1</v>
      </c>
      <c r="Z28" s="33">
        <v>0</v>
      </c>
      <c r="AA28" s="33">
        <v>0</v>
      </c>
      <c r="AB28" s="33">
        <f t="shared" si="0"/>
        <v>2</v>
      </c>
      <c r="AC28" s="36" t="s">
        <v>579</v>
      </c>
      <c r="AF28" s="33"/>
    </row>
    <row r="29" spans="1:32" x14ac:dyDescent="0.2">
      <c r="A29" s="27" t="s">
        <v>31</v>
      </c>
      <c r="B29" s="33">
        <v>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6</v>
      </c>
      <c r="Q29" s="33">
        <v>0</v>
      </c>
      <c r="R29" s="33">
        <v>3</v>
      </c>
      <c r="S29" s="33">
        <v>0</v>
      </c>
      <c r="T29" s="33">
        <v>0</v>
      </c>
      <c r="U29" s="33">
        <v>4</v>
      </c>
      <c r="V29" s="33">
        <v>0</v>
      </c>
      <c r="W29" s="33">
        <v>0</v>
      </c>
      <c r="X29" s="33">
        <v>0</v>
      </c>
      <c r="Y29" s="33">
        <v>6</v>
      </c>
      <c r="Z29" s="33">
        <v>0</v>
      </c>
      <c r="AA29" s="33">
        <v>3</v>
      </c>
      <c r="AB29" s="33">
        <f t="shared" si="0"/>
        <v>22</v>
      </c>
      <c r="AC29" s="36" t="s">
        <v>591</v>
      </c>
      <c r="AF29" s="33"/>
    </row>
    <row r="30" spans="1:32" x14ac:dyDescent="0.2">
      <c r="A30" s="27" t="s">
        <v>32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1</v>
      </c>
      <c r="Z30" s="33">
        <v>0</v>
      </c>
      <c r="AA30" s="33">
        <v>0</v>
      </c>
      <c r="AB30" s="33">
        <f t="shared" si="0"/>
        <v>1</v>
      </c>
      <c r="AC30" s="36" t="s">
        <v>580</v>
      </c>
      <c r="AF30" s="33"/>
    </row>
    <row r="31" spans="1:32" x14ac:dyDescent="0.2">
      <c r="A31" s="27" t="s">
        <v>33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1</v>
      </c>
      <c r="Q31" s="33">
        <v>0</v>
      </c>
      <c r="R31" s="33">
        <v>0</v>
      </c>
      <c r="S31" s="33">
        <v>0</v>
      </c>
      <c r="T31" s="33">
        <v>0</v>
      </c>
      <c r="U31" s="33">
        <v>1</v>
      </c>
      <c r="V31" s="33">
        <v>0</v>
      </c>
      <c r="W31" s="33">
        <v>0</v>
      </c>
      <c r="X31" s="33">
        <v>0</v>
      </c>
      <c r="Y31" s="33">
        <v>2</v>
      </c>
      <c r="Z31" s="33">
        <v>0</v>
      </c>
      <c r="AA31" s="33">
        <v>0</v>
      </c>
      <c r="AB31" s="33">
        <f t="shared" si="0"/>
        <v>4</v>
      </c>
      <c r="AC31" s="36" t="s">
        <v>582</v>
      </c>
      <c r="AF31" s="33"/>
    </row>
    <row r="32" spans="1:32" x14ac:dyDescent="0.2">
      <c r="A32" t="s">
        <v>344</v>
      </c>
      <c r="B32" s="33">
        <f t="shared" ref="B32:AA32" si="1">SUM(B3:B31)</f>
        <v>1</v>
      </c>
      <c r="C32" s="33">
        <f t="shared" si="1"/>
        <v>3</v>
      </c>
      <c r="D32" s="33">
        <f t="shared" si="1"/>
        <v>0</v>
      </c>
      <c r="E32" s="33">
        <f t="shared" si="1"/>
        <v>9</v>
      </c>
      <c r="F32" s="33">
        <f t="shared" si="1"/>
        <v>1</v>
      </c>
      <c r="G32" s="33">
        <f t="shared" si="1"/>
        <v>5</v>
      </c>
      <c r="H32" s="33">
        <f t="shared" si="1"/>
        <v>0</v>
      </c>
      <c r="I32" s="33">
        <f t="shared" si="1"/>
        <v>2</v>
      </c>
      <c r="J32" s="33">
        <f t="shared" si="1"/>
        <v>0</v>
      </c>
      <c r="K32" s="33">
        <f t="shared" si="1"/>
        <v>0</v>
      </c>
      <c r="L32" s="33">
        <f t="shared" si="1"/>
        <v>0</v>
      </c>
      <c r="M32" s="33">
        <f t="shared" si="1"/>
        <v>0</v>
      </c>
      <c r="N32" s="33">
        <f t="shared" si="1"/>
        <v>1</v>
      </c>
      <c r="O32" s="33">
        <f t="shared" si="1"/>
        <v>4</v>
      </c>
      <c r="P32" s="33">
        <f t="shared" si="1"/>
        <v>132</v>
      </c>
      <c r="Q32" s="33">
        <f t="shared" si="1"/>
        <v>1</v>
      </c>
      <c r="R32" s="33">
        <f t="shared" si="1"/>
        <v>67</v>
      </c>
      <c r="S32" s="33">
        <f t="shared" si="1"/>
        <v>41</v>
      </c>
      <c r="T32" s="33">
        <f t="shared" si="1"/>
        <v>73</v>
      </c>
      <c r="U32" s="33">
        <f t="shared" si="1"/>
        <v>30</v>
      </c>
      <c r="V32" s="33">
        <f t="shared" si="1"/>
        <v>0</v>
      </c>
      <c r="W32" s="33">
        <f t="shared" si="1"/>
        <v>8</v>
      </c>
      <c r="X32" s="33">
        <f t="shared" si="1"/>
        <v>0</v>
      </c>
      <c r="Y32" s="33">
        <f t="shared" si="1"/>
        <v>160</v>
      </c>
      <c r="Z32" s="33">
        <f t="shared" si="1"/>
        <v>0</v>
      </c>
      <c r="AA32" s="33">
        <f t="shared" si="1"/>
        <v>106</v>
      </c>
      <c r="AB32" s="33">
        <f t="shared" si="0"/>
        <v>644</v>
      </c>
      <c r="AC32" s="36" t="s">
        <v>592</v>
      </c>
      <c r="AF32" s="33"/>
    </row>
    <row r="34" spans="1:1" x14ac:dyDescent="0.2">
      <c r="A34" s="27" t="s">
        <v>1462</v>
      </c>
    </row>
    <row r="35" spans="1:1" x14ac:dyDescent="0.2">
      <c r="A35" s="27" t="s">
        <v>1463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39"/>
  <sheetViews>
    <sheetView workbookViewId="0">
      <pane ySplit="2" topLeftCell="A15" activePane="bottomLeft" state="frozen"/>
      <selection pane="bottomLeft" activeCell="A42" sqref="A42"/>
    </sheetView>
  </sheetViews>
  <sheetFormatPr defaultRowHeight="12.75" x14ac:dyDescent="0.2"/>
  <cols>
    <col min="1" max="1" width="24.85546875" customWidth="1"/>
    <col min="2" max="2" width="8.42578125" style="33" customWidth="1"/>
    <col min="3" max="5" width="7.28515625" style="33" customWidth="1"/>
    <col min="6" max="8" width="7.140625" style="33" customWidth="1"/>
    <col min="9" max="9" width="7" style="33" customWidth="1"/>
    <col min="10" max="12" width="6.85546875" style="33" customWidth="1"/>
    <col min="13" max="14" width="7" style="33" customWidth="1"/>
    <col min="15" max="15" width="6.85546875" style="33" customWidth="1"/>
    <col min="16" max="16" width="6.5703125" style="33" customWidth="1"/>
    <col min="17" max="17" width="6.42578125" style="33" customWidth="1"/>
    <col min="18" max="18" width="6.7109375" style="33" customWidth="1"/>
    <col min="19" max="21" width="7" style="33" customWidth="1"/>
    <col min="22" max="22" width="7.28515625" customWidth="1"/>
    <col min="23" max="26" width="7" style="33" customWidth="1"/>
    <col min="27" max="27" width="6.42578125" style="33" customWidth="1"/>
    <col min="28" max="28" width="7" style="33" customWidth="1"/>
    <col min="31" max="31" width="6.42578125" style="33" customWidth="1"/>
    <col min="32" max="34" width="6.7109375" style="33" customWidth="1"/>
    <col min="36" max="36" width="6.7109375" style="33" customWidth="1"/>
    <col min="38" max="38" width="9.140625" style="33"/>
    <col min="41" max="41" width="6.85546875" style="33" customWidth="1"/>
    <col min="42" max="42" width="6.85546875" customWidth="1"/>
    <col min="43" max="43" width="6.5703125" style="33" customWidth="1"/>
    <col min="44" max="44" width="9.140625" style="34"/>
    <col min="257" max="257" width="24.85546875" customWidth="1"/>
    <col min="258" max="258" width="8.42578125" customWidth="1"/>
    <col min="259" max="261" width="7.28515625" customWidth="1"/>
    <col min="262" max="264" width="7.140625" customWidth="1"/>
    <col min="265" max="265" width="7" customWidth="1"/>
    <col min="266" max="268" width="6.85546875" customWidth="1"/>
    <col min="269" max="270" width="7" customWidth="1"/>
    <col min="271" max="271" width="6.85546875" customWidth="1"/>
    <col min="272" max="272" width="6.5703125" customWidth="1"/>
    <col min="273" max="273" width="6.42578125" customWidth="1"/>
    <col min="274" max="274" width="6.7109375" customWidth="1"/>
    <col min="275" max="277" width="7" customWidth="1"/>
    <col min="278" max="278" width="7.28515625" customWidth="1"/>
    <col min="279" max="282" width="7" customWidth="1"/>
    <col min="283" max="283" width="6.42578125" customWidth="1"/>
    <col min="284" max="284" width="7" customWidth="1"/>
    <col min="287" max="287" width="6.42578125" customWidth="1"/>
    <col min="288" max="290" width="6.7109375" customWidth="1"/>
    <col min="292" max="292" width="6.7109375" customWidth="1"/>
    <col min="297" max="298" width="6.85546875" customWidth="1"/>
    <col min="299" max="299" width="6.5703125" customWidth="1"/>
    <col min="513" max="513" width="24.85546875" customWidth="1"/>
    <col min="514" max="514" width="8.42578125" customWidth="1"/>
    <col min="515" max="517" width="7.28515625" customWidth="1"/>
    <col min="518" max="520" width="7.140625" customWidth="1"/>
    <col min="521" max="521" width="7" customWidth="1"/>
    <col min="522" max="524" width="6.85546875" customWidth="1"/>
    <col min="525" max="526" width="7" customWidth="1"/>
    <col min="527" max="527" width="6.85546875" customWidth="1"/>
    <col min="528" max="528" width="6.5703125" customWidth="1"/>
    <col min="529" max="529" width="6.42578125" customWidth="1"/>
    <col min="530" max="530" width="6.7109375" customWidth="1"/>
    <col min="531" max="533" width="7" customWidth="1"/>
    <col min="534" max="534" width="7.28515625" customWidth="1"/>
    <col min="535" max="538" width="7" customWidth="1"/>
    <col min="539" max="539" width="6.42578125" customWidth="1"/>
    <col min="540" max="540" width="7" customWidth="1"/>
    <col min="543" max="543" width="6.42578125" customWidth="1"/>
    <col min="544" max="546" width="6.7109375" customWidth="1"/>
    <col min="548" max="548" width="6.7109375" customWidth="1"/>
    <col min="553" max="554" width="6.85546875" customWidth="1"/>
    <col min="555" max="555" width="6.5703125" customWidth="1"/>
    <col min="769" max="769" width="24.85546875" customWidth="1"/>
    <col min="770" max="770" width="8.42578125" customWidth="1"/>
    <col min="771" max="773" width="7.28515625" customWidth="1"/>
    <col min="774" max="776" width="7.140625" customWidth="1"/>
    <col min="777" max="777" width="7" customWidth="1"/>
    <col min="778" max="780" width="6.85546875" customWidth="1"/>
    <col min="781" max="782" width="7" customWidth="1"/>
    <col min="783" max="783" width="6.85546875" customWidth="1"/>
    <col min="784" max="784" width="6.5703125" customWidth="1"/>
    <col min="785" max="785" width="6.42578125" customWidth="1"/>
    <col min="786" max="786" width="6.7109375" customWidth="1"/>
    <col min="787" max="789" width="7" customWidth="1"/>
    <col min="790" max="790" width="7.28515625" customWidth="1"/>
    <col min="791" max="794" width="7" customWidth="1"/>
    <col min="795" max="795" width="6.42578125" customWidth="1"/>
    <col min="796" max="796" width="7" customWidth="1"/>
    <col min="799" max="799" width="6.42578125" customWidth="1"/>
    <col min="800" max="802" width="6.7109375" customWidth="1"/>
    <col min="804" max="804" width="6.7109375" customWidth="1"/>
    <col min="809" max="810" width="6.85546875" customWidth="1"/>
    <col min="811" max="811" width="6.5703125" customWidth="1"/>
    <col min="1025" max="1025" width="24.85546875" customWidth="1"/>
    <col min="1026" max="1026" width="8.42578125" customWidth="1"/>
    <col min="1027" max="1029" width="7.28515625" customWidth="1"/>
    <col min="1030" max="1032" width="7.140625" customWidth="1"/>
    <col min="1033" max="1033" width="7" customWidth="1"/>
    <col min="1034" max="1036" width="6.85546875" customWidth="1"/>
    <col min="1037" max="1038" width="7" customWidth="1"/>
    <col min="1039" max="1039" width="6.85546875" customWidth="1"/>
    <col min="1040" max="1040" width="6.5703125" customWidth="1"/>
    <col min="1041" max="1041" width="6.42578125" customWidth="1"/>
    <col min="1042" max="1042" width="6.7109375" customWidth="1"/>
    <col min="1043" max="1045" width="7" customWidth="1"/>
    <col min="1046" max="1046" width="7.28515625" customWidth="1"/>
    <col min="1047" max="1050" width="7" customWidth="1"/>
    <col min="1051" max="1051" width="6.42578125" customWidth="1"/>
    <col min="1052" max="1052" width="7" customWidth="1"/>
    <col min="1055" max="1055" width="6.42578125" customWidth="1"/>
    <col min="1056" max="1058" width="6.7109375" customWidth="1"/>
    <col min="1060" max="1060" width="6.7109375" customWidth="1"/>
    <col min="1065" max="1066" width="6.85546875" customWidth="1"/>
    <col min="1067" max="1067" width="6.5703125" customWidth="1"/>
    <col min="1281" max="1281" width="24.85546875" customWidth="1"/>
    <col min="1282" max="1282" width="8.42578125" customWidth="1"/>
    <col min="1283" max="1285" width="7.28515625" customWidth="1"/>
    <col min="1286" max="1288" width="7.140625" customWidth="1"/>
    <col min="1289" max="1289" width="7" customWidth="1"/>
    <col min="1290" max="1292" width="6.85546875" customWidth="1"/>
    <col min="1293" max="1294" width="7" customWidth="1"/>
    <col min="1295" max="1295" width="6.85546875" customWidth="1"/>
    <col min="1296" max="1296" width="6.5703125" customWidth="1"/>
    <col min="1297" max="1297" width="6.42578125" customWidth="1"/>
    <col min="1298" max="1298" width="6.7109375" customWidth="1"/>
    <col min="1299" max="1301" width="7" customWidth="1"/>
    <col min="1302" max="1302" width="7.28515625" customWidth="1"/>
    <col min="1303" max="1306" width="7" customWidth="1"/>
    <col min="1307" max="1307" width="6.42578125" customWidth="1"/>
    <col min="1308" max="1308" width="7" customWidth="1"/>
    <col min="1311" max="1311" width="6.42578125" customWidth="1"/>
    <col min="1312" max="1314" width="6.7109375" customWidth="1"/>
    <col min="1316" max="1316" width="6.7109375" customWidth="1"/>
    <col min="1321" max="1322" width="6.85546875" customWidth="1"/>
    <col min="1323" max="1323" width="6.5703125" customWidth="1"/>
    <col min="1537" max="1537" width="24.85546875" customWidth="1"/>
    <col min="1538" max="1538" width="8.42578125" customWidth="1"/>
    <col min="1539" max="1541" width="7.28515625" customWidth="1"/>
    <col min="1542" max="1544" width="7.140625" customWidth="1"/>
    <col min="1545" max="1545" width="7" customWidth="1"/>
    <col min="1546" max="1548" width="6.85546875" customWidth="1"/>
    <col min="1549" max="1550" width="7" customWidth="1"/>
    <col min="1551" max="1551" width="6.85546875" customWidth="1"/>
    <col min="1552" max="1552" width="6.5703125" customWidth="1"/>
    <col min="1553" max="1553" width="6.42578125" customWidth="1"/>
    <col min="1554" max="1554" width="6.7109375" customWidth="1"/>
    <col min="1555" max="1557" width="7" customWidth="1"/>
    <col min="1558" max="1558" width="7.28515625" customWidth="1"/>
    <col min="1559" max="1562" width="7" customWidth="1"/>
    <col min="1563" max="1563" width="6.42578125" customWidth="1"/>
    <col min="1564" max="1564" width="7" customWidth="1"/>
    <col min="1567" max="1567" width="6.42578125" customWidth="1"/>
    <col min="1568" max="1570" width="6.7109375" customWidth="1"/>
    <col min="1572" max="1572" width="6.7109375" customWidth="1"/>
    <col min="1577" max="1578" width="6.85546875" customWidth="1"/>
    <col min="1579" max="1579" width="6.5703125" customWidth="1"/>
    <col min="1793" max="1793" width="24.85546875" customWidth="1"/>
    <col min="1794" max="1794" width="8.42578125" customWidth="1"/>
    <col min="1795" max="1797" width="7.28515625" customWidth="1"/>
    <col min="1798" max="1800" width="7.140625" customWidth="1"/>
    <col min="1801" max="1801" width="7" customWidth="1"/>
    <col min="1802" max="1804" width="6.85546875" customWidth="1"/>
    <col min="1805" max="1806" width="7" customWidth="1"/>
    <col min="1807" max="1807" width="6.85546875" customWidth="1"/>
    <col min="1808" max="1808" width="6.5703125" customWidth="1"/>
    <col min="1809" max="1809" width="6.42578125" customWidth="1"/>
    <col min="1810" max="1810" width="6.7109375" customWidth="1"/>
    <col min="1811" max="1813" width="7" customWidth="1"/>
    <col min="1814" max="1814" width="7.28515625" customWidth="1"/>
    <col min="1815" max="1818" width="7" customWidth="1"/>
    <col min="1819" max="1819" width="6.42578125" customWidth="1"/>
    <col min="1820" max="1820" width="7" customWidth="1"/>
    <col min="1823" max="1823" width="6.42578125" customWidth="1"/>
    <col min="1824" max="1826" width="6.7109375" customWidth="1"/>
    <col min="1828" max="1828" width="6.7109375" customWidth="1"/>
    <col min="1833" max="1834" width="6.85546875" customWidth="1"/>
    <col min="1835" max="1835" width="6.5703125" customWidth="1"/>
    <col min="2049" max="2049" width="24.85546875" customWidth="1"/>
    <col min="2050" max="2050" width="8.42578125" customWidth="1"/>
    <col min="2051" max="2053" width="7.28515625" customWidth="1"/>
    <col min="2054" max="2056" width="7.140625" customWidth="1"/>
    <col min="2057" max="2057" width="7" customWidth="1"/>
    <col min="2058" max="2060" width="6.85546875" customWidth="1"/>
    <col min="2061" max="2062" width="7" customWidth="1"/>
    <col min="2063" max="2063" width="6.85546875" customWidth="1"/>
    <col min="2064" max="2064" width="6.5703125" customWidth="1"/>
    <col min="2065" max="2065" width="6.42578125" customWidth="1"/>
    <col min="2066" max="2066" width="6.7109375" customWidth="1"/>
    <col min="2067" max="2069" width="7" customWidth="1"/>
    <col min="2070" max="2070" width="7.28515625" customWidth="1"/>
    <col min="2071" max="2074" width="7" customWidth="1"/>
    <col min="2075" max="2075" width="6.42578125" customWidth="1"/>
    <col min="2076" max="2076" width="7" customWidth="1"/>
    <col min="2079" max="2079" width="6.42578125" customWidth="1"/>
    <col min="2080" max="2082" width="6.7109375" customWidth="1"/>
    <col min="2084" max="2084" width="6.7109375" customWidth="1"/>
    <col min="2089" max="2090" width="6.85546875" customWidth="1"/>
    <col min="2091" max="2091" width="6.5703125" customWidth="1"/>
    <col min="2305" max="2305" width="24.85546875" customWidth="1"/>
    <col min="2306" max="2306" width="8.42578125" customWidth="1"/>
    <col min="2307" max="2309" width="7.28515625" customWidth="1"/>
    <col min="2310" max="2312" width="7.140625" customWidth="1"/>
    <col min="2313" max="2313" width="7" customWidth="1"/>
    <col min="2314" max="2316" width="6.85546875" customWidth="1"/>
    <col min="2317" max="2318" width="7" customWidth="1"/>
    <col min="2319" max="2319" width="6.85546875" customWidth="1"/>
    <col min="2320" max="2320" width="6.5703125" customWidth="1"/>
    <col min="2321" max="2321" width="6.42578125" customWidth="1"/>
    <col min="2322" max="2322" width="6.7109375" customWidth="1"/>
    <col min="2323" max="2325" width="7" customWidth="1"/>
    <col min="2326" max="2326" width="7.28515625" customWidth="1"/>
    <col min="2327" max="2330" width="7" customWidth="1"/>
    <col min="2331" max="2331" width="6.42578125" customWidth="1"/>
    <col min="2332" max="2332" width="7" customWidth="1"/>
    <col min="2335" max="2335" width="6.42578125" customWidth="1"/>
    <col min="2336" max="2338" width="6.7109375" customWidth="1"/>
    <col min="2340" max="2340" width="6.7109375" customWidth="1"/>
    <col min="2345" max="2346" width="6.85546875" customWidth="1"/>
    <col min="2347" max="2347" width="6.5703125" customWidth="1"/>
    <col min="2561" max="2561" width="24.85546875" customWidth="1"/>
    <col min="2562" max="2562" width="8.42578125" customWidth="1"/>
    <col min="2563" max="2565" width="7.28515625" customWidth="1"/>
    <col min="2566" max="2568" width="7.140625" customWidth="1"/>
    <col min="2569" max="2569" width="7" customWidth="1"/>
    <col min="2570" max="2572" width="6.85546875" customWidth="1"/>
    <col min="2573" max="2574" width="7" customWidth="1"/>
    <col min="2575" max="2575" width="6.85546875" customWidth="1"/>
    <col min="2576" max="2576" width="6.5703125" customWidth="1"/>
    <col min="2577" max="2577" width="6.42578125" customWidth="1"/>
    <col min="2578" max="2578" width="6.7109375" customWidth="1"/>
    <col min="2579" max="2581" width="7" customWidth="1"/>
    <col min="2582" max="2582" width="7.28515625" customWidth="1"/>
    <col min="2583" max="2586" width="7" customWidth="1"/>
    <col min="2587" max="2587" width="6.42578125" customWidth="1"/>
    <col min="2588" max="2588" width="7" customWidth="1"/>
    <col min="2591" max="2591" width="6.42578125" customWidth="1"/>
    <col min="2592" max="2594" width="6.7109375" customWidth="1"/>
    <col min="2596" max="2596" width="6.7109375" customWidth="1"/>
    <col min="2601" max="2602" width="6.85546875" customWidth="1"/>
    <col min="2603" max="2603" width="6.5703125" customWidth="1"/>
    <col min="2817" max="2817" width="24.85546875" customWidth="1"/>
    <col min="2818" max="2818" width="8.42578125" customWidth="1"/>
    <col min="2819" max="2821" width="7.28515625" customWidth="1"/>
    <col min="2822" max="2824" width="7.140625" customWidth="1"/>
    <col min="2825" max="2825" width="7" customWidth="1"/>
    <col min="2826" max="2828" width="6.85546875" customWidth="1"/>
    <col min="2829" max="2830" width="7" customWidth="1"/>
    <col min="2831" max="2831" width="6.85546875" customWidth="1"/>
    <col min="2832" max="2832" width="6.5703125" customWidth="1"/>
    <col min="2833" max="2833" width="6.42578125" customWidth="1"/>
    <col min="2834" max="2834" width="6.7109375" customWidth="1"/>
    <col min="2835" max="2837" width="7" customWidth="1"/>
    <col min="2838" max="2838" width="7.28515625" customWidth="1"/>
    <col min="2839" max="2842" width="7" customWidth="1"/>
    <col min="2843" max="2843" width="6.42578125" customWidth="1"/>
    <col min="2844" max="2844" width="7" customWidth="1"/>
    <col min="2847" max="2847" width="6.42578125" customWidth="1"/>
    <col min="2848" max="2850" width="6.7109375" customWidth="1"/>
    <col min="2852" max="2852" width="6.7109375" customWidth="1"/>
    <col min="2857" max="2858" width="6.85546875" customWidth="1"/>
    <col min="2859" max="2859" width="6.5703125" customWidth="1"/>
    <col min="3073" max="3073" width="24.85546875" customWidth="1"/>
    <col min="3074" max="3074" width="8.42578125" customWidth="1"/>
    <col min="3075" max="3077" width="7.28515625" customWidth="1"/>
    <col min="3078" max="3080" width="7.140625" customWidth="1"/>
    <col min="3081" max="3081" width="7" customWidth="1"/>
    <col min="3082" max="3084" width="6.85546875" customWidth="1"/>
    <col min="3085" max="3086" width="7" customWidth="1"/>
    <col min="3087" max="3087" width="6.85546875" customWidth="1"/>
    <col min="3088" max="3088" width="6.5703125" customWidth="1"/>
    <col min="3089" max="3089" width="6.42578125" customWidth="1"/>
    <col min="3090" max="3090" width="6.7109375" customWidth="1"/>
    <col min="3091" max="3093" width="7" customWidth="1"/>
    <col min="3094" max="3094" width="7.28515625" customWidth="1"/>
    <col min="3095" max="3098" width="7" customWidth="1"/>
    <col min="3099" max="3099" width="6.42578125" customWidth="1"/>
    <col min="3100" max="3100" width="7" customWidth="1"/>
    <col min="3103" max="3103" width="6.42578125" customWidth="1"/>
    <col min="3104" max="3106" width="6.7109375" customWidth="1"/>
    <col min="3108" max="3108" width="6.7109375" customWidth="1"/>
    <col min="3113" max="3114" width="6.85546875" customWidth="1"/>
    <col min="3115" max="3115" width="6.5703125" customWidth="1"/>
    <col min="3329" max="3329" width="24.85546875" customWidth="1"/>
    <col min="3330" max="3330" width="8.42578125" customWidth="1"/>
    <col min="3331" max="3333" width="7.28515625" customWidth="1"/>
    <col min="3334" max="3336" width="7.140625" customWidth="1"/>
    <col min="3337" max="3337" width="7" customWidth="1"/>
    <col min="3338" max="3340" width="6.85546875" customWidth="1"/>
    <col min="3341" max="3342" width="7" customWidth="1"/>
    <col min="3343" max="3343" width="6.85546875" customWidth="1"/>
    <col min="3344" max="3344" width="6.5703125" customWidth="1"/>
    <col min="3345" max="3345" width="6.42578125" customWidth="1"/>
    <col min="3346" max="3346" width="6.7109375" customWidth="1"/>
    <col min="3347" max="3349" width="7" customWidth="1"/>
    <col min="3350" max="3350" width="7.28515625" customWidth="1"/>
    <col min="3351" max="3354" width="7" customWidth="1"/>
    <col min="3355" max="3355" width="6.42578125" customWidth="1"/>
    <col min="3356" max="3356" width="7" customWidth="1"/>
    <col min="3359" max="3359" width="6.42578125" customWidth="1"/>
    <col min="3360" max="3362" width="6.7109375" customWidth="1"/>
    <col min="3364" max="3364" width="6.7109375" customWidth="1"/>
    <col min="3369" max="3370" width="6.85546875" customWidth="1"/>
    <col min="3371" max="3371" width="6.5703125" customWidth="1"/>
    <col min="3585" max="3585" width="24.85546875" customWidth="1"/>
    <col min="3586" max="3586" width="8.42578125" customWidth="1"/>
    <col min="3587" max="3589" width="7.28515625" customWidth="1"/>
    <col min="3590" max="3592" width="7.140625" customWidth="1"/>
    <col min="3593" max="3593" width="7" customWidth="1"/>
    <col min="3594" max="3596" width="6.85546875" customWidth="1"/>
    <col min="3597" max="3598" width="7" customWidth="1"/>
    <col min="3599" max="3599" width="6.85546875" customWidth="1"/>
    <col min="3600" max="3600" width="6.5703125" customWidth="1"/>
    <col min="3601" max="3601" width="6.42578125" customWidth="1"/>
    <col min="3602" max="3602" width="6.7109375" customWidth="1"/>
    <col min="3603" max="3605" width="7" customWidth="1"/>
    <col min="3606" max="3606" width="7.28515625" customWidth="1"/>
    <col min="3607" max="3610" width="7" customWidth="1"/>
    <col min="3611" max="3611" width="6.42578125" customWidth="1"/>
    <col min="3612" max="3612" width="7" customWidth="1"/>
    <col min="3615" max="3615" width="6.42578125" customWidth="1"/>
    <col min="3616" max="3618" width="6.7109375" customWidth="1"/>
    <col min="3620" max="3620" width="6.7109375" customWidth="1"/>
    <col min="3625" max="3626" width="6.85546875" customWidth="1"/>
    <col min="3627" max="3627" width="6.5703125" customWidth="1"/>
    <col min="3841" max="3841" width="24.85546875" customWidth="1"/>
    <col min="3842" max="3842" width="8.42578125" customWidth="1"/>
    <col min="3843" max="3845" width="7.28515625" customWidth="1"/>
    <col min="3846" max="3848" width="7.140625" customWidth="1"/>
    <col min="3849" max="3849" width="7" customWidth="1"/>
    <col min="3850" max="3852" width="6.85546875" customWidth="1"/>
    <col min="3853" max="3854" width="7" customWidth="1"/>
    <col min="3855" max="3855" width="6.85546875" customWidth="1"/>
    <col min="3856" max="3856" width="6.5703125" customWidth="1"/>
    <col min="3857" max="3857" width="6.42578125" customWidth="1"/>
    <col min="3858" max="3858" width="6.7109375" customWidth="1"/>
    <col min="3859" max="3861" width="7" customWidth="1"/>
    <col min="3862" max="3862" width="7.28515625" customWidth="1"/>
    <col min="3863" max="3866" width="7" customWidth="1"/>
    <col min="3867" max="3867" width="6.42578125" customWidth="1"/>
    <col min="3868" max="3868" width="7" customWidth="1"/>
    <col min="3871" max="3871" width="6.42578125" customWidth="1"/>
    <col min="3872" max="3874" width="6.7109375" customWidth="1"/>
    <col min="3876" max="3876" width="6.7109375" customWidth="1"/>
    <col min="3881" max="3882" width="6.85546875" customWidth="1"/>
    <col min="3883" max="3883" width="6.5703125" customWidth="1"/>
    <col min="4097" max="4097" width="24.85546875" customWidth="1"/>
    <col min="4098" max="4098" width="8.42578125" customWidth="1"/>
    <col min="4099" max="4101" width="7.28515625" customWidth="1"/>
    <col min="4102" max="4104" width="7.140625" customWidth="1"/>
    <col min="4105" max="4105" width="7" customWidth="1"/>
    <col min="4106" max="4108" width="6.85546875" customWidth="1"/>
    <col min="4109" max="4110" width="7" customWidth="1"/>
    <col min="4111" max="4111" width="6.85546875" customWidth="1"/>
    <col min="4112" max="4112" width="6.5703125" customWidth="1"/>
    <col min="4113" max="4113" width="6.42578125" customWidth="1"/>
    <col min="4114" max="4114" width="6.7109375" customWidth="1"/>
    <col min="4115" max="4117" width="7" customWidth="1"/>
    <col min="4118" max="4118" width="7.28515625" customWidth="1"/>
    <col min="4119" max="4122" width="7" customWidth="1"/>
    <col min="4123" max="4123" width="6.42578125" customWidth="1"/>
    <col min="4124" max="4124" width="7" customWidth="1"/>
    <col min="4127" max="4127" width="6.42578125" customWidth="1"/>
    <col min="4128" max="4130" width="6.7109375" customWidth="1"/>
    <col min="4132" max="4132" width="6.7109375" customWidth="1"/>
    <col min="4137" max="4138" width="6.85546875" customWidth="1"/>
    <col min="4139" max="4139" width="6.5703125" customWidth="1"/>
    <col min="4353" max="4353" width="24.85546875" customWidth="1"/>
    <col min="4354" max="4354" width="8.42578125" customWidth="1"/>
    <col min="4355" max="4357" width="7.28515625" customWidth="1"/>
    <col min="4358" max="4360" width="7.140625" customWidth="1"/>
    <col min="4361" max="4361" width="7" customWidth="1"/>
    <col min="4362" max="4364" width="6.85546875" customWidth="1"/>
    <col min="4365" max="4366" width="7" customWidth="1"/>
    <col min="4367" max="4367" width="6.85546875" customWidth="1"/>
    <col min="4368" max="4368" width="6.5703125" customWidth="1"/>
    <col min="4369" max="4369" width="6.42578125" customWidth="1"/>
    <col min="4370" max="4370" width="6.7109375" customWidth="1"/>
    <col min="4371" max="4373" width="7" customWidth="1"/>
    <col min="4374" max="4374" width="7.28515625" customWidth="1"/>
    <col min="4375" max="4378" width="7" customWidth="1"/>
    <col min="4379" max="4379" width="6.42578125" customWidth="1"/>
    <col min="4380" max="4380" width="7" customWidth="1"/>
    <col min="4383" max="4383" width="6.42578125" customWidth="1"/>
    <col min="4384" max="4386" width="6.7109375" customWidth="1"/>
    <col min="4388" max="4388" width="6.7109375" customWidth="1"/>
    <col min="4393" max="4394" width="6.85546875" customWidth="1"/>
    <col min="4395" max="4395" width="6.5703125" customWidth="1"/>
    <col min="4609" max="4609" width="24.85546875" customWidth="1"/>
    <col min="4610" max="4610" width="8.42578125" customWidth="1"/>
    <col min="4611" max="4613" width="7.28515625" customWidth="1"/>
    <col min="4614" max="4616" width="7.140625" customWidth="1"/>
    <col min="4617" max="4617" width="7" customWidth="1"/>
    <col min="4618" max="4620" width="6.85546875" customWidth="1"/>
    <col min="4621" max="4622" width="7" customWidth="1"/>
    <col min="4623" max="4623" width="6.85546875" customWidth="1"/>
    <col min="4624" max="4624" width="6.5703125" customWidth="1"/>
    <col min="4625" max="4625" width="6.42578125" customWidth="1"/>
    <col min="4626" max="4626" width="6.7109375" customWidth="1"/>
    <col min="4627" max="4629" width="7" customWidth="1"/>
    <col min="4630" max="4630" width="7.28515625" customWidth="1"/>
    <col min="4631" max="4634" width="7" customWidth="1"/>
    <col min="4635" max="4635" width="6.42578125" customWidth="1"/>
    <col min="4636" max="4636" width="7" customWidth="1"/>
    <col min="4639" max="4639" width="6.42578125" customWidth="1"/>
    <col min="4640" max="4642" width="6.7109375" customWidth="1"/>
    <col min="4644" max="4644" width="6.7109375" customWidth="1"/>
    <col min="4649" max="4650" width="6.85546875" customWidth="1"/>
    <col min="4651" max="4651" width="6.5703125" customWidth="1"/>
    <col min="4865" max="4865" width="24.85546875" customWidth="1"/>
    <col min="4866" max="4866" width="8.42578125" customWidth="1"/>
    <col min="4867" max="4869" width="7.28515625" customWidth="1"/>
    <col min="4870" max="4872" width="7.140625" customWidth="1"/>
    <col min="4873" max="4873" width="7" customWidth="1"/>
    <col min="4874" max="4876" width="6.85546875" customWidth="1"/>
    <col min="4877" max="4878" width="7" customWidth="1"/>
    <col min="4879" max="4879" width="6.85546875" customWidth="1"/>
    <col min="4880" max="4880" width="6.5703125" customWidth="1"/>
    <col min="4881" max="4881" width="6.42578125" customWidth="1"/>
    <col min="4882" max="4882" width="6.7109375" customWidth="1"/>
    <col min="4883" max="4885" width="7" customWidth="1"/>
    <col min="4886" max="4886" width="7.28515625" customWidth="1"/>
    <col min="4887" max="4890" width="7" customWidth="1"/>
    <col min="4891" max="4891" width="6.42578125" customWidth="1"/>
    <col min="4892" max="4892" width="7" customWidth="1"/>
    <col min="4895" max="4895" width="6.42578125" customWidth="1"/>
    <col min="4896" max="4898" width="6.7109375" customWidth="1"/>
    <col min="4900" max="4900" width="6.7109375" customWidth="1"/>
    <col min="4905" max="4906" width="6.85546875" customWidth="1"/>
    <col min="4907" max="4907" width="6.5703125" customWidth="1"/>
    <col min="5121" max="5121" width="24.85546875" customWidth="1"/>
    <col min="5122" max="5122" width="8.42578125" customWidth="1"/>
    <col min="5123" max="5125" width="7.28515625" customWidth="1"/>
    <col min="5126" max="5128" width="7.140625" customWidth="1"/>
    <col min="5129" max="5129" width="7" customWidth="1"/>
    <col min="5130" max="5132" width="6.85546875" customWidth="1"/>
    <col min="5133" max="5134" width="7" customWidth="1"/>
    <col min="5135" max="5135" width="6.85546875" customWidth="1"/>
    <col min="5136" max="5136" width="6.5703125" customWidth="1"/>
    <col min="5137" max="5137" width="6.42578125" customWidth="1"/>
    <col min="5138" max="5138" width="6.7109375" customWidth="1"/>
    <col min="5139" max="5141" width="7" customWidth="1"/>
    <col min="5142" max="5142" width="7.28515625" customWidth="1"/>
    <col min="5143" max="5146" width="7" customWidth="1"/>
    <col min="5147" max="5147" width="6.42578125" customWidth="1"/>
    <col min="5148" max="5148" width="7" customWidth="1"/>
    <col min="5151" max="5151" width="6.42578125" customWidth="1"/>
    <col min="5152" max="5154" width="6.7109375" customWidth="1"/>
    <col min="5156" max="5156" width="6.7109375" customWidth="1"/>
    <col min="5161" max="5162" width="6.85546875" customWidth="1"/>
    <col min="5163" max="5163" width="6.5703125" customWidth="1"/>
    <col min="5377" max="5377" width="24.85546875" customWidth="1"/>
    <col min="5378" max="5378" width="8.42578125" customWidth="1"/>
    <col min="5379" max="5381" width="7.28515625" customWidth="1"/>
    <col min="5382" max="5384" width="7.140625" customWidth="1"/>
    <col min="5385" max="5385" width="7" customWidth="1"/>
    <col min="5386" max="5388" width="6.85546875" customWidth="1"/>
    <col min="5389" max="5390" width="7" customWidth="1"/>
    <col min="5391" max="5391" width="6.85546875" customWidth="1"/>
    <col min="5392" max="5392" width="6.5703125" customWidth="1"/>
    <col min="5393" max="5393" width="6.42578125" customWidth="1"/>
    <col min="5394" max="5394" width="6.7109375" customWidth="1"/>
    <col min="5395" max="5397" width="7" customWidth="1"/>
    <col min="5398" max="5398" width="7.28515625" customWidth="1"/>
    <col min="5399" max="5402" width="7" customWidth="1"/>
    <col min="5403" max="5403" width="6.42578125" customWidth="1"/>
    <col min="5404" max="5404" width="7" customWidth="1"/>
    <col min="5407" max="5407" width="6.42578125" customWidth="1"/>
    <col min="5408" max="5410" width="6.7109375" customWidth="1"/>
    <col min="5412" max="5412" width="6.7109375" customWidth="1"/>
    <col min="5417" max="5418" width="6.85546875" customWidth="1"/>
    <col min="5419" max="5419" width="6.5703125" customWidth="1"/>
    <col min="5633" max="5633" width="24.85546875" customWidth="1"/>
    <col min="5634" max="5634" width="8.42578125" customWidth="1"/>
    <col min="5635" max="5637" width="7.28515625" customWidth="1"/>
    <col min="5638" max="5640" width="7.140625" customWidth="1"/>
    <col min="5641" max="5641" width="7" customWidth="1"/>
    <col min="5642" max="5644" width="6.85546875" customWidth="1"/>
    <col min="5645" max="5646" width="7" customWidth="1"/>
    <col min="5647" max="5647" width="6.85546875" customWidth="1"/>
    <col min="5648" max="5648" width="6.5703125" customWidth="1"/>
    <col min="5649" max="5649" width="6.42578125" customWidth="1"/>
    <col min="5650" max="5650" width="6.7109375" customWidth="1"/>
    <col min="5651" max="5653" width="7" customWidth="1"/>
    <col min="5654" max="5654" width="7.28515625" customWidth="1"/>
    <col min="5655" max="5658" width="7" customWidth="1"/>
    <col min="5659" max="5659" width="6.42578125" customWidth="1"/>
    <col min="5660" max="5660" width="7" customWidth="1"/>
    <col min="5663" max="5663" width="6.42578125" customWidth="1"/>
    <col min="5664" max="5666" width="6.7109375" customWidth="1"/>
    <col min="5668" max="5668" width="6.7109375" customWidth="1"/>
    <col min="5673" max="5674" width="6.85546875" customWidth="1"/>
    <col min="5675" max="5675" width="6.5703125" customWidth="1"/>
    <col min="5889" max="5889" width="24.85546875" customWidth="1"/>
    <col min="5890" max="5890" width="8.42578125" customWidth="1"/>
    <col min="5891" max="5893" width="7.28515625" customWidth="1"/>
    <col min="5894" max="5896" width="7.140625" customWidth="1"/>
    <col min="5897" max="5897" width="7" customWidth="1"/>
    <col min="5898" max="5900" width="6.85546875" customWidth="1"/>
    <col min="5901" max="5902" width="7" customWidth="1"/>
    <col min="5903" max="5903" width="6.85546875" customWidth="1"/>
    <col min="5904" max="5904" width="6.5703125" customWidth="1"/>
    <col min="5905" max="5905" width="6.42578125" customWidth="1"/>
    <col min="5906" max="5906" width="6.7109375" customWidth="1"/>
    <col min="5907" max="5909" width="7" customWidth="1"/>
    <col min="5910" max="5910" width="7.28515625" customWidth="1"/>
    <col min="5911" max="5914" width="7" customWidth="1"/>
    <col min="5915" max="5915" width="6.42578125" customWidth="1"/>
    <col min="5916" max="5916" width="7" customWidth="1"/>
    <col min="5919" max="5919" width="6.42578125" customWidth="1"/>
    <col min="5920" max="5922" width="6.7109375" customWidth="1"/>
    <col min="5924" max="5924" width="6.7109375" customWidth="1"/>
    <col min="5929" max="5930" width="6.85546875" customWidth="1"/>
    <col min="5931" max="5931" width="6.5703125" customWidth="1"/>
    <col min="6145" max="6145" width="24.85546875" customWidth="1"/>
    <col min="6146" max="6146" width="8.42578125" customWidth="1"/>
    <col min="6147" max="6149" width="7.28515625" customWidth="1"/>
    <col min="6150" max="6152" width="7.140625" customWidth="1"/>
    <col min="6153" max="6153" width="7" customWidth="1"/>
    <col min="6154" max="6156" width="6.85546875" customWidth="1"/>
    <col min="6157" max="6158" width="7" customWidth="1"/>
    <col min="6159" max="6159" width="6.85546875" customWidth="1"/>
    <col min="6160" max="6160" width="6.5703125" customWidth="1"/>
    <col min="6161" max="6161" width="6.42578125" customWidth="1"/>
    <col min="6162" max="6162" width="6.7109375" customWidth="1"/>
    <col min="6163" max="6165" width="7" customWidth="1"/>
    <col min="6166" max="6166" width="7.28515625" customWidth="1"/>
    <col min="6167" max="6170" width="7" customWidth="1"/>
    <col min="6171" max="6171" width="6.42578125" customWidth="1"/>
    <col min="6172" max="6172" width="7" customWidth="1"/>
    <col min="6175" max="6175" width="6.42578125" customWidth="1"/>
    <col min="6176" max="6178" width="6.7109375" customWidth="1"/>
    <col min="6180" max="6180" width="6.7109375" customWidth="1"/>
    <col min="6185" max="6186" width="6.85546875" customWidth="1"/>
    <col min="6187" max="6187" width="6.5703125" customWidth="1"/>
    <col min="6401" max="6401" width="24.85546875" customWidth="1"/>
    <col min="6402" max="6402" width="8.42578125" customWidth="1"/>
    <col min="6403" max="6405" width="7.28515625" customWidth="1"/>
    <col min="6406" max="6408" width="7.140625" customWidth="1"/>
    <col min="6409" max="6409" width="7" customWidth="1"/>
    <col min="6410" max="6412" width="6.85546875" customWidth="1"/>
    <col min="6413" max="6414" width="7" customWidth="1"/>
    <col min="6415" max="6415" width="6.85546875" customWidth="1"/>
    <col min="6416" max="6416" width="6.5703125" customWidth="1"/>
    <col min="6417" max="6417" width="6.42578125" customWidth="1"/>
    <col min="6418" max="6418" width="6.7109375" customWidth="1"/>
    <col min="6419" max="6421" width="7" customWidth="1"/>
    <col min="6422" max="6422" width="7.28515625" customWidth="1"/>
    <col min="6423" max="6426" width="7" customWidth="1"/>
    <col min="6427" max="6427" width="6.42578125" customWidth="1"/>
    <col min="6428" max="6428" width="7" customWidth="1"/>
    <col min="6431" max="6431" width="6.42578125" customWidth="1"/>
    <col min="6432" max="6434" width="6.7109375" customWidth="1"/>
    <col min="6436" max="6436" width="6.7109375" customWidth="1"/>
    <col min="6441" max="6442" width="6.85546875" customWidth="1"/>
    <col min="6443" max="6443" width="6.5703125" customWidth="1"/>
    <col min="6657" max="6657" width="24.85546875" customWidth="1"/>
    <col min="6658" max="6658" width="8.42578125" customWidth="1"/>
    <col min="6659" max="6661" width="7.28515625" customWidth="1"/>
    <col min="6662" max="6664" width="7.140625" customWidth="1"/>
    <col min="6665" max="6665" width="7" customWidth="1"/>
    <col min="6666" max="6668" width="6.85546875" customWidth="1"/>
    <col min="6669" max="6670" width="7" customWidth="1"/>
    <col min="6671" max="6671" width="6.85546875" customWidth="1"/>
    <col min="6672" max="6672" width="6.5703125" customWidth="1"/>
    <col min="6673" max="6673" width="6.42578125" customWidth="1"/>
    <col min="6674" max="6674" width="6.7109375" customWidth="1"/>
    <col min="6675" max="6677" width="7" customWidth="1"/>
    <col min="6678" max="6678" width="7.28515625" customWidth="1"/>
    <col min="6679" max="6682" width="7" customWidth="1"/>
    <col min="6683" max="6683" width="6.42578125" customWidth="1"/>
    <col min="6684" max="6684" width="7" customWidth="1"/>
    <col min="6687" max="6687" width="6.42578125" customWidth="1"/>
    <col min="6688" max="6690" width="6.7109375" customWidth="1"/>
    <col min="6692" max="6692" width="6.7109375" customWidth="1"/>
    <col min="6697" max="6698" width="6.85546875" customWidth="1"/>
    <col min="6699" max="6699" width="6.5703125" customWidth="1"/>
    <col min="6913" max="6913" width="24.85546875" customWidth="1"/>
    <col min="6914" max="6914" width="8.42578125" customWidth="1"/>
    <col min="6915" max="6917" width="7.28515625" customWidth="1"/>
    <col min="6918" max="6920" width="7.140625" customWidth="1"/>
    <col min="6921" max="6921" width="7" customWidth="1"/>
    <col min="6922" max="6924" width="6.85546875" customWidth="1"/>
    <col min="6925" max="6926" width="7" customWidth="1"/>
    <col min="6927" max="6927" width="6.85546875" customWidth="1"/>
    <col min="6928" max="6928" width="6.5703125" customWidth="1"/>
    <col min="6929" max="6929" width="6.42578125" customWidth="1"/>
    <col min="6930" max="6930" width="6.7109375" customWidth="1"/>
    <col min="6931" max="6933" width="7" customWidth="1"/>
    <col min="6934" max="6934" width="7.28515625" customWidth="1"/>
    <col min="6935" max="6938" width="7" customWidth="1"/>
    <col min="6939" max="6939" width="6.42578125" customWidth="1"/>
    <col min="6940" max="6940" width="7" customWidth="1"/>
    <col min="6943" max="6943" width="6.42578125" customWidth="1"/>
    <col min="6944" max="6946" width="6.7109375" customWidth="1"/>
    <col min="6948" max="6948" width="6.7109375" customWidth="1"/>
    <col min="6953" max="6954" width="6.85546875" customWidth="1"/>
    <col min="6955" max="6955" width="6.5703125" customWidth="1"/>
    <col min="7169" max="7169" width="24.85546875" customWidth="1"/>
    <col min="7170" max="7170" width="8.42578125" customWidth="1"/>
    <col min="7171" max="7173" width="7.28515625" customWidth="1"/>
    <col min="7174" max="7176" width="7.140625" customWidth="1"/>
    <col min="7177" max="7177" width="7" customWidth="1"/>
    <col min="7178" max="7180" width="6.85546875" customWidth="1"/>
    <col min="7181" max="7182" width="7" customWidth="1"/>
    <col min="7183" max="7183" width="6.85546875" customWidth="1"/>
    <col min="7184" max="7184" width="6.5703125" customWidth="1"/>
    <col min="7185" max="7185" width="6.42578125" customWidth="1"/>
    <col min="7186" max="7186" width="6.7109375" customWidth="1"/>
    <col min="7187" max="7189" width="7" customWidth="1"/>
    <col min="7190" max="7190" width="7.28515625" customWidth="1"/>
    <col min="7191" max="7194" width="7" customWidth="1"/>
    <col min="7195" max="7195" width="6.42578125" customWidth="1"/>
    <col min="7196" max="7196" width="7" customWidth="1"/>
    <col min="7199" max="7199" width="6.42578125" customWidth="1"/>
    <col min="7200" max="7202" width="6.7109375" customWidth="1"/>
    <col min="7204" max="7204" width="6.7109375" customWidth="1"/>
    <col min="7209" max="7210" width="6.85546875" customWidth="1"/>
    <col min="7211" max="7211" width="6.5703125" customWidth="1"/>
    <col min="7425" max="7425" width="24.85546875" customWidth="1"/>
    <col min="7426" max="7426" width="8.42578125" customWidth="1"/>
    <col min="7427" max="7429" width="7.28515625" customWidth="1"/>
    <col min="7430" max="7432" width="7.140625" customWidth="1"/>
    <col min="7433" max="7433" width="7" customWidth="1"/>
    <col min="7434" max="7436" width="6.85546875" customWidth="1"/>
    <col min="7437" max="7438" width="7" customWidth="1"/>
    <col min="7439" max="7439" width="6.85546875" customWidth="1"/>
    <col min="7440" max="7440" width="6.5703125" customWidth="1"/>
    <col min="7441" max="7441" width="6.42578125" customWidth="1"/>
    <col min="7442" max="7442" width="6.7109375" customWidth="1"/>
    <col min="7443" max="7445" width="7" customWidth="1"/>
    <col min="7446" max="7446" width="7.28515625" customWidth="1"/>
    <col min="7447" max="7450" width="7" customWidth="1"/>
    <col min="7451" max="7451" width="6.42578125" customWidth="1"/>
    <col min="7452" max="7452" width="7" customWidth="1"/>
    <col min="7455" max="7455" width="6.42578125" customWidth="1"/>
    <col min="7456" max="7458" width="6.7109375" customWidth="1"/>
    <col min="7460" max="7460" width="6.7109375" customWidth="1"/>
    <col min="7465" max="7466" width="6.85546875" customWidth="1"/>
    <col min="7467" max="7467" width="6.5703125" customWidth="1"/>
    <col min="7681" max="7681" width="24.85546875" customWidth="1"/>
    <col min="7682" max="7682" width="8.42578125" customWidth="1"/>
    <col min="7683" max="7685" width="7.28515625" customWidth="1"/>
    <col min="7686" max="7688" width="7.140625" customWidth="1"/>
    <col min="7689" max="7689" width="7" customWidth="1"/>
    <col min="7690" max="7692" width="6.85546875" customWidth="1"/>
    <col min="7693" max="7694" width="7" customWidth="1"/>
    <col min="7695" max="7695" width="6.85546875" customWidth="1"/>
    <col min="7696" max="7696" width="6.5703125" customWidth="1"/>
    <col min="7697" max="7697" width="6.42578125" customWidth="1"/>
    <col min="7698" max="7698" width="6.7109375" customWidth="1"/>
    <col min="7699" max="7701" width="7" customWidth="1"/>
    <col min="7702" max="7702" width="7.28515625" customWidth="1"/>
    <col min="7703" max="7706" width="7" customWidth="1"/>
    <col min="7707" max="7707" width="6.42578125" customWidth="1"/>
    <col min="7708" max="7708" width="7" customWidth="1"/>
    <col min="7711" max="7711" width="6.42578125" customWidth="1"/>
    <col min="7712" max="7714" width="6.7109375" customWidth="1"/>
    <col min="7716" max="7716" width="6.7109375" customWidth="1"/>
    <col min="7721" max="7722" width="6.85546875" customWidth="1"/>
    <col min="7723" max="7723" width="6.5703125" customWidth="1"/>
    <col min="7937" max="7937" width="24.85546875" customWidth="1"/>
    <col min="7938" max="7938" width="8.42578125" customWidth="1"/>
    <col min="7939" max="7941" width="7.28515625" customWidth="1"/>
    <col min="7942" max="7944" width="7.140625" customWidth="1"/>
    <col min="7945" max="7945" width="7" customWidth="1"/>
    <col min="7946" max="7948" width="6.85546875" customWidth="1"/>
    <col min="7949" max="7950" width="7" customWidth="1"/>
    <col min="7951" max="7951" width="6.85546875" customWidth="1"/>
    <col min="7952" max="7952" width="6.5703125" customWidth="1"/>
    <col min="7953" max="7953" width="6.42578125" customWidth="1"/>
    <col min="7954" max="7954" width="6.7109375" customWidth="1"/>
    <col min="7955" max="7957" width="7" customWidth="1"/>
    <col min="7958" max="7958" width="7.28515625" customWidth="1"/>
    <col min="7959" max="7962" width="7" customWidth="1"/>
    <col min="7963" max="7963" width="6.42578125" customWidth="1"/>
    <col min="7964" max="7964" width="7" customWidth="1"/>
    <col min="7967" max="7967" width="6.42578125" customWidth="1"/>
    <col min="7968" max="7970" width="6.7109375" customWidth="1"/>
    <col min="7972" max="7972" width="6.7109375" customWidth="1"/>
    <col min="7977" max="7978" width="6.85546875" customWidth="1"/>
    <col min="7979" max="7979" width="6.5703125" customWidth="1"/>
    <col min="8193" max="8193" width="24.85546875" customWidth="1"/>
    <col min="8194" max="8194" width="8.42578125" customWidth="1"/>
    <col min="8195" max="8197" width="7.28515625" customWidth="1"/>
    <col min="8198" max="8200" width="7.140625" customWidth="1"/>
    <col min="8201" max="8201" width="7" customWidth="1"/>
    <col min="8202" max="8204" width="6.85546875" customWidth="1"/>
    <col min="8205" max="8206" width="7" customWidth="1"/>
    <col min="8207" max="8207" width="6.85546875" customWidth="1"/>
    <col min="8208" max="8208" width="6.5703125" customWidth="1"/>
    <col min="8209" max="8209" width="6.42578125" customWidth="1"/>
    <col min="8210" max="8210" width="6.7109375" customWidth="1"/>
    <col min="8211" max="8213" width="7" customWidth="1"/>
    <col min="8214" max="8214" width="7.28515625" customWidth="1"/>
    <col min="8215" max="8218" width="7" customWidth="1"/>
    <col min="8219" max="8219" width="6.42578125" customWidth="1"/>
    <col min="8220" max="8220" width="7" customWidth="1"/>
    <col min="8223" max="8223" width="6.42578125" customWidth="1"/>
    <col min="8224" max="8226" width="6.7109375" customWidth="1"/>
    <col min="8228" max="8228" width="6.7109375" customWidth="1"/>
    <col min="8233" max="8234" width="6.85546875" customWidth="1"/>
    <col min="8235" max="8235" width="6.5703125" customWidth="1"/>
    <col min="8449" max="8449" width="24.85546875" customWidth="1"/>
    <col min="8450" max="8450" width="8.42578125" customWidth="1"/>
    <col min="8451" max="8453" width="7.28515625" customWidth="1"/>
    <col min="8454" max="8456" width="7.140625" customWidth="1"/>
    <col min="8457" max="8457" width="7" customWidth="1"/>
    <col min="8458" max="8460" width="6.85546875" customWidth="1"/>
    <col min="8461" max="8462" width="7" customWidth="1"/>
    <col min="8463" max="8463" width="6.85546875" customWidth="1"/>
    <col min="8464" max="8464" width="6.5703125" customWidth="1"/>
    <col min="8465" max="8465" width="6.42578125" customWidth="1"/>
    <col min="8466" max="8466" width="6.7109375" customWidth="1"/>
    <col min="8467" max="8469" width="7" customWidth="1"/>
    <col min="8470" max="8470" width="7.28515625" customWidth="1"/>
    <col min="8471" max="8474" width="7" customWidth="1"/>
    <col min="8475" max="8475" width="6.42578125" customWidth="1"/>
    <col min="8476" max="8476" width="7" customWidth="1"/>
    <col min="8479" max="8479" width="6.42578125" customWidth="1"/>
    <col min="8480" max="8482" width="6.7109375" customWidth="1"/>
    <col min="8484" max="8484" width="6.7109375" customWidth="1"/>
    <col min="8489" max="8490" width="6.85546875" customWidth="1"/>
    <col min="8491" max="8491" width="6.5703125" customWidth="1"/>
    <col min="8705" max="8705" width="24.85546875" customWidth="1"/>
    <col min="8706" max="8706" width="8.42578125" customWidth="1"/>
    <col min="8707" max="8709" width="7.28515625" customWidth="1"/>
    <col min="8710" max="8712" width="7.140625" customWidth="1"/>
    <col min="8713" max="8713" width="7" customWidth="1"/>
    <col min="8714" max="8716" width="6.85546875" customWidth="1"/>
    <col min="8717" max="8718" width="7" customWidth="1"/>
    <col min="8719" max="8719" width="6.85546875" customWidth="1"/>
    <col min="8720" max="8720" width="6.5703125" customWidth="1"/>
    <col min="8721" max="8721" width="6.42578125" customWidth="1"/>
    <col min="8722" max="8722" width="6.7109375" customWidth="1"/>
    <col min="8723" max="8725" width="7" customWidth="1"/>
    <col min="8726" max="8726" width="7.28515625" customWidth="1"/>
    <col min="8727" max="8730" width="7" customWidth="1"/>
    <col min="8731" max="8731" width="6.42578125" customWidth="1"/>
    <col min="8732" max="8732" width="7" customWidth="1"/>
    <col min="8735" max="8735" width="6.42578125" customWidth="1"/>
    <col min="8736" max="8738" width="6.7109375" customWidth="1"/>
    <col min="8740" max="8740" width="6.7109375" customWidth="1"/>
    <col min="8745" max="8746" width="6.85546875" customWidth="1"/>
    <col min="8747" max="8747" width="6.5703125" customWidth="1"/>
    <col min="8961" max="8961" width="24.85546875" customWidth="1"/>
    <col min="8962" max="8962" width="8.42578125" customWidth="1"/>
    <col min="8963" max="8965" width="7.28515625" customWidth="1"/>
    <col min="8966" max="8968" width="7.140625" customWidth="1"/>
    <col min="8969" max="8969" width="7" customWidth="1"/>
    <col min="8970" max="8972" width="6.85546875" customWidth="1"/>
    <col min="8973" max="8974" width="7" customWidth="1"/>
    <col min="8975" max="8975" width="6.85546875" customWidth="1"/>
    <col min="8976" max="8976" width="6.5703125" customWidth="1"/>
    <col min="8977" max="8977" width="6.42578125" customWidth="1"/>
    <col min="8978" max="8978" width="6.7109375" customWidth="1"/>
    <col min="8979" max="8981" width="7" customWidth="1"/>
    <col min="8982" max="8982" width="7.28515625" customWidth="1"/>
    <col min="8983" max="8986" width="7" customWidth="1"/>
    <col min="8987" max="8987" width="6.42578125" customWidth="1"/>
    <col min="8988" max="8988" width="7" customWidth="1"/>
    <col min="8991" max="8991" width="6.42578125" customWidth="1"/>
    <col min="8992" max="8994" width="6.7109375" customWidth="1"/>
    <col min="8996" max="8996" width="6.7109375" customWidth="1"/>
    <col min="9001" max="9002" width="6.85546875" customWidth="1"/>
    <col min="9003" max="9003" width="6.5703125" customWidth="1"/>
    <col min="9217" max="9217" width="24.85546875" customWidth="1"/>
    <col min="9218" max="9218" width="8.42578125" customWidth="1"/>
    <col min="9219" max="9221" width="7.28515625" customWidth="1"/>
    <col min="9222" max="9224" width="7.140625" customWidth="1"/>
    <col min="9225" max="9225" width="7" customWidth="1"/>
    <col min="9226" max="9228" width="6.85546875" customWidth="1"/>
    <col min="9229" max="9230" width="7" customWidth="1"/>
    <col min="9231" max="9231" width="6.85546875" customWidth="1"/>
    <col min="9232" max="9232" width="6.5703125" customWidth="1"/>
    <col min="9233" max="9233" width="6.42578125" customWidth="1"/>
    <col min="9234" max="9234" width="6.7109375" customWidth="1"/>
    <col min="9235" max="9237" width="7" customWidth="1"/>
    <col min="9238" max="9238" width="7.28515625" customWidth="1"/>
    <col min="9239" max="9242" width="7" customWidth="1"/>
    <col min="9243" max="9243" width="6.42578125" customWidth="1"/>
    <col min="9244" max="9244" width="7" customWidth="1"/>
    <col min="9247" max="9247" width="6.42578125" customWidth="1"/>
    <col min="9248" max="9250" width="6.7109375" customWidth="1"/>
    <col min="9252" max="9252" width="6.7109375" customWidth="1"/>
    <col min="9257" max="9258" width="6.85546875" customWidth="1"/>
    <col min="9259" max="9259" width="6.5703125" customWidth="1"/>
    <col min="9473" max="9473" width="24.85546875" customWidth="1"/>
    <col min="9474" max="9474" width="8.42578125" customWidth="1"/>
    <col min="9475" max="9477" width="7.28515625" customWidth="1"/>
    <col min="9478" max="9480" width="7.140625" customWidth="1"/>
    <col min="9481" max="9481" width="7" customWidth="1"/>
    <col min="9482" max="9484" width="6.85546875" customWidth="1"/>
    <col min="9485" max="9486" width="7" customWidth="1"/>
    <col min="9487" max="9487" width="6.85546875" customWidth="1"/>
    <col min="9488" max="9488" width="6.5703125" customWidth="1"/>
    <col min="9489" max="9489" width="6.42578125" customWidth="1"/>
    <col min="9490" max="9490" width="6.7109375" customWidth="1"/>
    <col min="9491" max="9493" width="7" customWidth="1"/>
    <col min="9494" max="9494" width="7.28515625" customWidth="1"/>
    <col min="9495" max="9498" width="7" customWidth="1"/>
    <col min="9499" max="9499" width="6.42578125" customWidth="1"/>
    <col min="9500" max="9500" width="7" customWidth="1"/>
    <col min="9503" max="9503" width="6.42578125" customWidth="1"/>
    <col min="9504" max="9506" width="6.7109375" customWidth="1"/>
    <col min="9508" max="9508" width="6.7109375" customWidth="1"/>
    <col min="9513" max="9514" width="6.85546875" customWidth="1"/>
    <col min="9515" max="9515" width="6.5703125" customWidth="1"/>
    <col min="9729" max="9729" width="24.85546875" customWidth="1"/>
    <col min="9730" max="9730" width="8.42578125" customWidth="1"/>
    <col min="9731" max="9733" width="7.28515625" customWidth="1"/>
    <col min="9734" max="9736" width="7.140625" customWidth="1"/>
    <col min="9737" max="9737" width="7" customWidth="1"/>
    <col min="9738" max="9740" width="6.85546875" customWidth="1"/>
    <col min="9741" max="9742" width="7" customWidth="1"/>
    <col min="9743" max="9743" width="6.85546875" customWidth="1"/>
    <col min="9744" max="9744" width="6.5703125" customWidth="1"/>
    <col min="9745" max="9745" width="6.42578125" customWidth="1"/>
    <col min="9746" max="9746" width="6.7109375" customWidth="1"/>
    <col min="9747" max="9749" width="7" customWidth="1"/>
    <col min="9750" max="9750" width="7.28515625" customWidth="1"/>
    <col min="9751" max="9754" width="7" customWidth="1"/>
    <col min="9755" max="9755" width="6.42578125" customWidth="1"/>
    <col min="9756" max="9756" width="7" customWidth="1"/>
    <col min="9759" max="9759" width="6.42578125" customWidth="1"/>
    <col min="9760" max="9762" width="6.7109375" customWidth="1"/>
    <col min="9764" max="9764" width="6.7109375" customWidth="1"/>
    <col min="9769" max="9770" width="6.85546875" customWidth="1"/>
    <col min="9771" max="9771" width="6.5703125" customWidth="1"/>
    <col min="9985" max="9985" width="24.85546875" customWidth="1"/>
    <col min="9986" max="9986" width="8.42578125" customWidth="1"/>
    <col min="9987" max="9989" width="7.28515625" customWidth="1"/>
    <col min="9990" max="9992" width="7.140625" customWidth="1"/>
    <col min="9993" max="9993" width="7" customWidth="1"/>
    <col min="9994" max="9996" width="6.85546875" customWidth="1"/>
    <col min="9997" max="9998" width="7" customWidth="1"/>
    <col min="9999" max="9999" width="6.85546875" customWidth="1"/>
    <col min="10000" max="10000" width="6.5703125" customWidth="1"/>
    <col min="10001" max="10001" width="6.42578125" customWidth="1"/>
    <col min="10002" max="10002" width="6.7109375" customWidth="1"/>
    <col min="10003" max="10005" width="7" customWidth="1"/>
    <col min="10006" max="10006" width="7.28515625" customWidth="1"/>
    <col min="10007" max="10010" width="7" customWidth="1"/>
    <col min="10011" max="10011" width="6.42578125" customWidth="1"/>
    <col min="10012" max="10012" width="7" customWidth="1"/>
    <col min="10015" max="10015" width="6.42578125" customWidth="1"/>
    <col min="10016" max="10018" width="6.7109375" customWidth="1"/>
    <col min="10020" max="10020" width="6.7109375" customWidth="1"/>
    <col min="10025" max="10026" width="6.85546875" customWidth="1"/>
    <col min="10027" max="10027" width="6.5703125" customWidth="1"/>
    <col min="10241" max="10241" width="24.85546875" customWidth="1"/>
    <col min="10242" max="10242" width="8.42578125" customWidth="1"/>
    <col min="10243" max="10245" width="7.28515625" customWidth="1"/>
    <col min="10246" max="10248" width="7.140625" customWidth="1"/>
    <col min="10249" max="10249" width="7" customWidth="1"/>
    <col min="10250" max="10252" width="6.85546875" customWidth="1"/>
    <col min="10253" max="10254" width="7" customWidth="1"/>
    <col min="10255" max="10255" width="6.85546875" customWidth="1"/>
    <col min="10256" max="10256" width="6.5703125" customWidth="1"/>
    <col min="10257" max="10257" width="6.42578125" customWidth="1"/>
    <col min="10258" max="10258" width="6.7109375" customWidth="1"/>
    <col min="10259" max="10261" width="7" customWidth="1"/>
    <col min="10262" max="10262" width="7.28515625" customWidth="1"/>
    <col min="10263" max="10266" width="7" customWidth="1"/>
    <col min="10267" max="10267" width="6.42578125" customWidth="1"/>
    <col min="10268" max="10268" width="7" customWidth="1"/>
    <col min="10271" max="10271" width="6.42578125" customWidth="1"/>
    <col min="10272" max="10274" width="6.7109375" customWidth="1"/>
    <col min="10276" max="10276" width="6.7109375" customWidth="1"/>
    <col min="10281" max="10282" width="6.85546875" customWidth="1"/>
    <col min="10283" max="10283" width="6.5703125" customWidth="1"/>
    <col min="10497" max="10497" width="24.85546875" customWidth="1"/>
    <col min="10498" max="10498" width="8.42578125" customWidth="1"/>
    <col min="10499" max="10501" width="7.28515625" customWidth="1"/>
    <col min="10502" max="10504" width="7.140625" customWidth="1"/>
    <col min="10505" max="10505" width="7" customWidth="1"/>
    <col min="10506" max="10508" width="6.85546875" customWidth="1"/>
    <col min="10509" max="10510" width="7" customWidth="1"/>
    <col min="10511" max="10511" width="6.85546875" customWidth="1"/>
    <col min="10512" max="10512" width="6.5703125" customWidth="1"/>
    <col min="10513" max="10513" width="6.42578125" customWidth="1"/>
    <col min="10514" max="10514" width="6.7109375" customWidth="1"/>
    <col min="10515" max="10517" width="7" customWidth="1"/>
    <col min="10518" max="10518" width="7.28515625" customWidth="1"/>
    <col min="10519" max="10522" width="7" customWidth="1"/>
    <col min="10523" max="10523" width="6.42578125" customWidth="1"/>
    <col min="10524" max="10524" width="7" customWidth="1"/>
    <col min="10527" max="10527" width="6.42578125" customWidth="1"/>
    <col min="10528" max="10530" width="6.7109375" customWidth="1"/>
    <col min="10532" max="10532" width="6.7109375" customWidth="1"/>
    <col min="10537" max="10538" width="6.85546875" customWidth="1"/>
    <col min="10539" max="10539" width="6.5703125" customWidth="1"/>
    <col min="10753" max="10753" width="24.85546875" customWidth="1"/>
    <col min="10754" max="10754" width="8.42578125" customWidth="1"/>
    <col min="10755" max="10757" width="7.28515625" customWidth="1"/>
    <col min="10758" max="10760" width="7.140625" customWidth="1"/>
    <col min="10761" max="10761" width="7" customWidth="1"/>
    <col min="10762" max="10764" width="6.85546875" customWidth="1"/>
    <col min="10765" max="10766" width="7" customWidth="1"/>
    <col min="10767" max="10767" width="6.85546875" customWidth="1"/>
    <col min="10768" max="10768" width="6.5703125" customWidth="1"/>
    <col min="10769" max="10769" width="6.42578125" customWidth="1"/>
    <col min="10770" max="10770" width="6.7109375" customWidth="1"/>
    <col min="10771" max="10773" width="7" customWidth="1"/>
    <col min="10774" max="10774" width="7.28515625" customWidth="1"/>
    <col min="10775" max="10778" width="7" customWidth="1"/>
    <col min="10779" max="10779" width="6.42578125" customWidth="1"/>
    <col min="10780" max="10780" width="7" customWidth="1"/>
    <col min="10783" max="10783" width="6.42578125" customWidth="1"/>
    <col min="10784" max="10786" width="6.7109375" customWidth="1"/>
    <col min="10788" max="10788" width="6.7109375" customWidth="1"/>
    <col min="10793" max="10794" width="6.85546875" customWidth="1"/>
    <col min="10795" max="10795" width="6.5703125" customWidth="1"/>
    <col min="11009" max="11009" width="24.85546875" customWidth="1"/>
    <col min="11010" max="11010" width="8.42578125" customWidth="1"/>
    <col min="11011" max="11013" width="7.28515625" customWidth="1"/>
    <col min="11014" max="11016" width="7.140625" customWidth="1"/>
    <col min="11017" max="11017" width="7" customWidth="1"/>
    <col min="11018" max="11020" width="6.85546875" customWidth="1"/>
    <col min="11021" max="11022" width="7" customWidth="1"/>
    <col min="11023" max="11023" width="6.85546875" customWidth="1"/>
    <col min="11024" max="11024" width="6.5703125" customWidth="1"/>
    <col min="11025" max="11025" width="6.42578125" customWidth="1"/>
    <col min="11026" max="11026" width="6.7109375" customWidth="1"/>
    <col min="11027" max="11029" width="7" customWidth="1"/>
    <col min="11030" max="11030" width="7.28515625" customWidth="1"/>
    <col min="11031" max="11034" width="7" customWidth="1"/>
    <col min="11035" max="11035" width="6.42578125" customWidth="1"/>
    <col min="11036" max="11036" width="7" customWidth="1"/>
    <col min="11039" max="11039" width="6.42578125" customWidth="1"/>
    <col min="11040" max="11042" width="6.7109375" customWidth="1"/>
    <col min="11044" max="11044" width="6.7109375" customWidth="1"/>
    <col min="11049" max="11050" width="6.85546875" customWidth="1"/>
    <col min="11051" max="11051" width="6.5703125" customWidth="1"/>
    <col min="11265" max="11265" width="24.85546875" customWidth="1"/>
    <col min="11266" max="11266" width="8.42578125" customWidth="1"/>
    <col min="11267" max="11269" width="7.28515625" customWidth="1"/>
    <col min="11270" max="11272" width="7.140625" customWidth="1"/>
    <col min="11273" max="11273" width="7" customWidth="1"/>
    <col min="11274" max="11276" width="6.85546875" customWidth="1"/>
    <col min="11277" max="11278" width="7" customWidth="1"/>
    <col min="11279" max="11279" width="6.85546875" customWidth="1"/>
    <col min="11280" max="11280" width="6.5703125" customWidth="1"/>
    <col min="11281" max="11281" width="6.42578125" customWidth="1"/>
    <col min="11282" max="11282" width="6.7109375" customWidth="1"/>
    <col min="11283" max="11285" width="7" customWidth="1"/>
    <col min="11286" max="11286" width="7.28515625" customWidth="1"/>
    <col min="11287" max="11290" width="7" customWidth="1"/>
    <col min="11291" max="11291" width="6.42578125" customWidth="1"/>
    <col min="11292" max="11292" width="7" customWidth="1"/>
    <col min="11295" max="11295" width="6.42578125" customWidth="1"/>
    <col min="11296" max="11298" width="6.7109375" customWidth="1"/>
    <col min="11300" max="11300" width="6.7109375" customWidth="1"/>
    <col min="11305" max="11306" width="6.85546875" customWidth="1"/>
    <col min="11307" max="11307" width="6.5703125" customWidth="1"/>
    <col min="11521" max="11521" width="24.85546875" customWidth="1"/>
    <col min="11522" max="11522" width="8.42578125" customWidth="1"/>
    <col min="11523" max="11525" width="7.28515625" customWidth="1"/>
    <col min="11526" max="11528" width="7.140625" customWidth="1"/>
    <col min="11529" max="11529" width="7" customWidth="1"/>
    <col min="11530" max="11532" width="6.85546875" customWidth="1"/>
    <col min="11533" max="11534" width="7" customWidth="1"/>
    <col min="11535" max="11535" width="6.85546875" customWidth="1"/>
    <col min="11536" max="11536" width="6.5703125" customWidth="1"/>
    <col min="11537" max="11537" width="6.42578125" customWidth="1"/>
    <col min="11538" max="11538" width="6.7109375" customWidth="1"/>
    <col min="11539" max="11541" width="7" customWidth="1"/>
    <col min="11542" max="11542" width="7.28515625" customWidth="1"/>
    <col min="11543" max="11546" width="7" customWidth="1"/>
    <col min="11547" max="11547" width="6.42578125" customWidth="1"/>
    <col min="11548" max="11548" width="7" customWidth="1"/>
    <col min="11551" max="11551" width="6.42578125" customWidth="1"/>
    <col min="11552" max="11554" width="6.7109375" customWidth="1"/>
    <col min="11556" max="11556" width="6.7109375" customWidth="1"/>
    <col min="11561" max="11562" width="6.85546875" customWidth="1"/>
    <col min="11563" max="11563" width="6.5703125" customWidth="1"/>
    <col min="11777" max="11777" width="24.85546875" customWidth="1"/>
    <col min="11778" max="11778" width="8.42578125" customWidth="1"/>
    <col min="11779" max="11781" width="7.28515625" customWidth="1"/>
    <col min="11782" max="11784" width="7.140625" customWidth="1"/>
    <col min="11785" max="11785" width="7" customWidth="1"/>
    <col min="11786" max="11788" width="6.85546875" customWidth="1"/>
    <col min="11789" max="11790" width="7" customWidth="1"/>
    <col min="11791" max="11791" width="6.85546875" customWidth="1"/>
    <col min="11792" max="11792" width="6.5703125" customWidth="1"/>
    <col min="11793" max="11793" width="6.42578125" customWidth="1"/>
    <col min="11794" max="11794" width="6.7109375" customWidth="1"/>
    <col min="11795" max="11797" width="7" customWidth="1"/>
    <col min="11798" max="11798" width="7.28515625" customWidth="1"/>
    <col min="11799" max="11802" width="7" customWidth="1"/>
    <col min="11803" max="11803" width="6.42578125" customWidth="1"/>
    <col min="11804" max="11804" width="7" customWidth="1"/>
    <col min="11807" max="11807" width="6.42578125" customWidth="1"/>
    <col min="11808" max="11810" width="6.7109375" customWidth="1"/>
    <col min="11812" max="11812" width="6.7109375" customWidth="1"/>
    <col min="11817" max="11818" width="6.85546875" customWidth="1"/>
    <col min="11819" max="11819" width="6.5703125" customWidth="1"/>
    <col min="12033" max="12033" width="24.85546875" customWidth="1"/>
    <col min="12034" max="12034" width="8.42578125" customWidth="1"/>
    <col min="12035" max="12037" width="7.28515625" customWidth="1"/>
    <col min="12038" max="12040" width="7.140625" customWidth="1"/>
    <col min="12041" max="12041" width="7" customWidth="1"/>
    <col min="12042" max="12044" width="6.85546875" customWidth="1"/>
    <col min="12045" max="12046" width="7" customWidth="1"/>
    <col min="12047" max="12047" width="6.85546875" customWidth="1"/>
    <col min="12048" max="12048" width="6.5703125" customWidth="1"/>
    <col min="12049" max="12049" width="6.42578125" customWidth="1"/>
    <col min="12050" max="12050" width="6.7109375" customWidth="1"/>
    <col min="12051" max="12053" width="7" customWidth="1"/>
    <col min="12054" max="12054" width="7.28515625" customWidth="1"/>
    <col min="12055" max="12058" width="7" customWidth="1"/>
    <col min="12059" max="12059" width="6.42578125" customWidth="1"/>
    <col min="12060" max="12060" width="7" customWidth="1"/>
    <col min="12063" max="12063" width="6.42578125" customWidth="1"/>
    <col min="12064" max="12066" width="6.7109375" customWidth="1"/>
    <col min="12068" max="12068" width="6.7109375" customWidth="1"/>
    <col min="12073" max="12074" width="6.85546875" customWidth="1"/>
    <col min="12075" max="12075" width="6.5703125" customWidth="1"/>
    <col min="12289" max="12289" width="24.85546875" customWidth="1"/>
    <col min="12290" max="12290" width="8.42578125" customWidth="1"/>
    <col min="12291" max="12293" width="7.28515625" customWidth="1"/>
    <col min="12294" max="12296" width="7.140625" customWidth="1"/>
    <col min="12297" max="12297" width="7" customWidth="1"/>
    <col min="12298" max="12300" width="6.85546875" customWidth="1"/>
    <col min="12301" max="12302" width="7" customWidth="1"/>
    <col min="12303" max="12303" width="6.85546875" customWidth="1"/>
    <col min="12304" max="12304" width="6.5703125" customWidth="1"/>
    <col min="12305" max="12305" width="6.42578125" customWidth="1"/>
    <col min="12306" max="12306" width="6.7109375" customWidth="1"/>
    <col min="12307" max="12309" width="7" customWidth="1"/>
    <col min="12310" max="12310" width="7.28515625" customWidth="1"/>
    <col min="12311" max="12314" width="7" customWidth="1"/>
    <col min="12315" max="12315" width="6.42578125" customWidth="1"/>
    <col min="12316" max="12316" width="7" customWidth="1"/>
    <col min="12319" max="12319" width="6.42578125" customWidth="1"/>
    <col min="12320" max="12322" width="6.7109375" customWidth="1"/>
    <col min="12324" max="12324" width="6.7109375" customWidth="1"/>
    <col min="12329" max="12330" width="6.85546875" customWidth="1"/>
    <col min="12331" max="12331" width="6.5703125" customWidth="1"/>
    <col min="12545" max="12545" width="24.85546875" customWidth="1"/>
    <col min="12546" max="12546" width="8.42578125" customWidth="1"/>
    <col min="12547" max="12549" width="7.28515625" customWidth="1"/>
    <col min="12550" max="12552" width="7.140625" customWidth="1"/>
    <col min="12553" max="12553" width="7" customWidth="1"/>
    <col min="12554" max="12556" width="6.85546875" customWidth="1"/>
    <col min="12557" max="12558" width="7" customWidth="1"/>
    <col min="12559" max="12559" width="6.85546875" customWidth="1"/>
    <col min="12560" max="12560" width="6.5703125" customWidth="1"/>
    <col min="12561" max="12561" width="6.42578125" customWidth="1"/>
    <col min="12562" max="12562" width="6.7109375" customWidth="1"/>
    <col min="12563" max="12565" width="7" customWidth="1"/>
    <col min="12566" max="12566" width="7.28515625" customWidth="1"/>
    <col min="12567" max="12570" width="7" customWidth="1"/>
    <col min="12571" max="12571" width="6.42578125" customWidth="1"/>
    <col min="12572" max="12572" width="7" customWidth="1"/>
    <col min="12575" max="12575" width="6.42578125" customWidth="1"/>
    <col min="12576" max="12578" width="6.7109375" customWidth="1"/>
    <col min="12580" max="12580" width="6.7109375" customWidth="1"/>
    <col min="12585" max="12586" width="6.85546875" customWidth="1"/>
    <col min="12587" max="12587" width="6.5703125" customWidth="1"/>
    <col min="12801" max="12801" width="24.85546875" customWidth="1"/>
    <col min="12802" max="12802" width="8.42578125" customWidth="1"/>
    <col min="12803" max="12805" width="7.28515625" customWidth="1"/>
    <col min="12806" max="12808" width="7.140625" customWidth="1"/>
    <col min="12809" max="12809" width="7" customWidth="1"/>
    <col min="12810" max="12812" width="6.85546875" customWidth="1"/>
    <col min="12813" max="12814" width="7" customWidth="1"/>
    <col min="12815" max="12815" width="6.85546875" customWidth="1"/>
    <col min="12816" max="12816" width="6.5703125" customWidth="1"/>
    <col min="12817" max="12817" width="6.42578125" customWidth="1"/>
    <col min="12818" max="12818" width="6.7109375" customWidth="1"/>
    <col min="12819" max="12821" width="7" customWidth="1"/>
    <col min="12822" max="12822" width="7.28515625" customWidth="1"/>
    <col min="12823" max="12826" width="7" customWidth="1"/>
    <col min="12827" max="12827" width="6.42578125" customWidth="1"/>
    <col min="12828" max="12828" width="7" customWidth="1"/>
    <col min="12831" max="12831" width="6.42578125" customWidth="1"/>
    <col min="12832" max="12834" width="6.7109375" customWidth="1"/>
    <col min="12836" max="12836" width="6.7109375" customWidth="1"/>
    <col min="12841" max="12842" width="6.85546875" customWidth="1"/>
    <col min="12843" max="12843" width="6.5703125" customWidth="1"/>
    <col min="13057" max="13057" width="24.85546875" customWidth="1"/>
    <col min="13058" max="13058" width="8.42578125" customWidth="1"/>
    <col min="13059" max="13061" width="7.28515625" customWidth="1"/>
    <col min="13062" max="13064" width="7.140625" customWidth="1"/>
    <col min="13065" max="13065" width="7" customWidth="1"/>
    <col min="13066" max="13068" width="6.85546875" customWidth="1"/>
    <col min="13069" max="13070" width="7" customWidth="1"/>
    <col min="13071" max="13071" width="6.85546875" customWidth="1"/>
    <col min="13072" max="13072" width="6.5703125" customWidth="1"/>
    <col min="13073" max="13073" width="6.42578125" customWidth="1"/>
    <col min="13074" max="13074" width="6.7109375" customWidth="1"/>
    <col min="13075" max="13077" width="7" customWidth="1"/>
    <col min="13078" max="13078" width="7.28515625" customWidth="1"/>
    <col min="13079" max="13082" width="7" customWidth="1"/>
    <col min="13083" max="13083" width="6.42578125" customWidth="1"/>
    <col min="13084" max="13084" width="7" customWidth="1"/>
    <col min="13087" max="13087" width="6.42578125" customWidth="1"/>
    <col min="13088" max="13090" width="6.7109375" customWidth="1"/>
    <col min="13092" max="13092" width="6.7109375" customWidth="1"/>
    <col min="13097" max="13098" width="6.85546875" customWidth="1"/>
    <col min="13099" max="13099" width="6.5703125" customWidth="1"/>
    <col min="13313" max="13313" width="24.85546875" customWidth="1"/>
    <col min="13314" max="13314" width="8.42578125" customWidth="1"/>
    <col min="13315" max="13317" width="7.28515625" customWidth="1"/>
    <col min="13318" max="13320" width="7.140625" customWidth="1"/>
    <col min="13321" max="13321" width="7" customWidth="1"/>
    <col min="13322" max="13324" width="6.85546875" customWidth="1"/>
    <col min="13325" max="13326" width="7" customWidth="1"/>
    <col min="13327" max="13327" width="6.85546875" customWidth="1"/>
    <col min="13328" max="13328" width="6.5703125" customWidth="1"/>
    <col min="13329" max="13329" width="6.42578125" customWidth="1"/>
    <col min="13330" max="13330" width="6.7109375" customWidth="1"/>
    <col min="13331" max="13333" width="7" customWidth="1"/>
    <col min="13334" max="13334" width="7.28515625" customWidth="1"/>
    <col min="13335" max="13338" width="7" customWidth="1"/>
    <col min="13339" max="13339" width="6.42578125" customWidth="1"/>
    <col min="13340" max="13340" width="7" customWidth="1"/>
    <col min="13343" max="13343" width="6.42578125" customWidth="1"/>
    <col min="13344" max="13346" width="6.7109375" customWidth="1"/>
    <col min="13348" max="13348" width="6.7109375" customWidth="1"/>
    <col min="13353" max="13354" width="6.85546875" customWidth="1"/>
    <col min="13355" max="13355" width="6.5703125" customWidth="1"/>
    <col min="13569" max="13569" width="24.85546875" customWidth="1"/>
    <col min="13570" max="13570" width="8.42578125" customWidth="1"/>
    <col min="13571" max="13573" width="7.28515625" customWidth="1"/>
    <col min="13574" max="13576" width="7.140625" customWidth="1"/>
    <col min="13577" max="13577" width="7" customWidth="1"/>
    <col min="13578" max="13580" width="6.85546875" customWidth="1"/>
    <col min="13581" max="13582" width="7" customWidth="1"/>
    <col min="13583" max="13583" width="6.85546875" customWidth="1"/>
    <col min="13584" max="13584" width="6.5703125" customWidth="1"/>
    <col min="13585" max="13585" width="6.42578125" customWidth="1"/>
    <col min="13586" max="13586" width="6.7109375" customWidth="1"/>
    <col min="13587" max="13589" width="7" customWidth="1"/>
    <col min="13590" max="13590" width="7.28515625" customWidth="1"/>
    <col min="13591" max="13594" width="7" customWidth="1"/>
    <col min="13595" max="13595" width="6.42578125" customWidth="1"/>
    <col min="13596" max="13596" width="7" customWidth="1"/>
    <col min="13599" max="13599" width="6.42578125" customWidth="1"/>
    <col min="13600" max="13602" width="6.7109375" customWidth="1"/>
    <col min="13604" max="13604" width="6.7109375" customWidth="1"/>
    <col min="13609" max="13610" width="6.85546875" customWidth="1"/>
    <col min="13611" max="13611" width="6.5703125" customWidth="1"/>
    <col min="13825" max="13825" width="24.85546875" customWidth="1"/>
    <col min="13826" max="13826" width="8.42578125" customWidth="1"/>
    <col min="13827" max="13829" width="7.28515625" customWidth="1"/>
    <col min="13830" max="13832" width="7.140625" customWidth="1"/>
    <col min="13833" max="13833" width="7" customWidth="1"/>
    <col min="13834" max="13836" width="6.85546875" customWidth="1"/>
    <col min="13837" max="13838" width="7" customWidth="1"/>
    <col min="13839" max="13839" width="6.85546875" customWidth="1"/>
    <col min="13840" max="13840" width="6.5703125" customWidth="1"/>
    <col min="13841" max="13841" width="6.42578125" customWidth="1"/>
    <col min="13842" max="13842" width="6.7109375" customWidth="1"/>
    <col min="13843" max="13845" width="7" customWidth="1"/>
    <col min="13846" max="13846" width="7.28515625" customWidth="1"/>
    <col min="13847" max="13850" width="7" customWidth="1"/>
    <col min="13851" max="13851" width="6.42578125" customWidth="1"/>
    <col min="13852" max="13852" width="7" customWidth="1"/>
    <col min="13855" max="13855" width="6.42578125" customWidth="1"/>
    <col min="13856" max="13858" width="6.7109375" customWidth="1"/>
    <col min="13860" max="13860" width="6.7109375" customWidth="1"/>
    <col min="13865" max="13866" width="6.85546875" customWidth="1"/>
    <col min="13867" max="13867" width="6.5703125" customWidth="1"/>
    <col min="14081" max="14081" width="24.85546875" customWidth="1"/>
    <col min="14082" max="14082" width="8.42578125" customWidth="1"/>
    <col min="14083" max="14085" width="7.28515625" customWidth="1"/>
    <col min="14086" max="14088" width="7.140625" customWidth="1"/>
    <col min="14089" max="14089" width="7" customWidth="1"/>
    <col min="14090" max="14092" width="6.85546875" customWidth="1"/>
    <col min="14093" max="14094" width="7" customWidth="1"/>
    <col min="14095" max="14095" width="6.85546875" customWidth="1"/>
    <col min="14096" max="14096" width="6.5703125" customWidth="1"/>
    <col min="14097" max="14097" width="6.42578125" customWidth="1"/>
    <col min="14098" max="14098" width="6.7109375" customWidth="1"/>
    <col min="14099" max="14101" width="7" customWidth="1"/>
    <col min="14102" max="14102" width="7.28515625" customWidth="1"/>
    <col min="14103" max="14106" width="7" customWidth="1"/>
    <col min="14107" max="14107" width="6.42578125" customWidth="1"/>
    <col min="14108" max="14108" width="7" customWidth="1"/>
    <col min="14111" max="14111" width="6.42578125" customWidth="1"/>
    <col min="14112" max="14114" width="6.7109375" customWidth="1"/>
    <col min="14116" max="14116" width="6.7109375" customWidth="1"/>
    <col min="14121" max="14122" width="6.85546875" customWidth="1"/>
    <col min="14123" max="14123" width="6.5703125" customWidth="1"/>
    <col min="14337" max="14337" width="24.85546875" customWidth="1"/>
    <col min="14338" max="14338" width="8.42578125" customWidth="1"/>
    <col min="14339" max="14341" width="7.28515625" customWidth="1"/>
    <col min="14342" max="14344" width="7.140625" customWidth="1"/>
    <col min="14345" max="14345" width="7" customWidth="1"/>
    <col min="14346" max="14348" width="6.85546875" customWidth="1"/>
    <col min="14349" max="14350" width="7" customWidth="1"/>
    <col min="14351" max="14351" width="6.85546875" customWidth="1"/>
    <col min="14352" max="14352" width="6.5703125" customWidth="1"/>
    <col min="14353" max="14353" width="6.42578125" customWidth="1"/>
    <col min="14354" max="14354" width="6.7109375" customWidth="1"/>
    <col min="14355" max="14357" width="7" customWidth="1"/>
    <col min="14358" max="14358" width="7.28515625" customWidth="1"/>
    <col min="14359" max="14362" width="7" customWidth="1"/>
    <col min="14363" max="14363" width="6.42578125" customWidth="1"/>
    <col min="14364" max="14364" width="7" customWidth="1"/>
    <col min="14367" max="14367" width="6.42578125" customWidth="1"/>
    <col min="14368" max="14370" width="6.7109375" customWidth="1"/>
    <col min="14372" max="14372" width="6.7109375" customWidth="1"/>
    <col min="14377" max="14378" width="6.85546875" customWidth="1"/>
    <col min="14379" max="14379" width="6.5703125" customWidth="1"/>
    <col min="14593" max="14593" width="24.85546875" customWidth="1"/>
    <col min="14594" max="14594" width="8.42578125" customWidth="1"/>
    <col min="14595" max="14597" width="7.28515625" customWidth="1"/>
    <col min="14598" max="14600" width="7.140625" customWidth="1"/>
    <col min="14601" max="14601" width="7" customWidth="1"/>
    <col min="14602" max="14604" width="6.85546875" customWidth="1"/>
    <col min="14605" max="14606" width="7" customWidth="1"/>
    <col min="14607" max="14607" width="6.85546875" customWidth="1"/>
    <col min="14608" max="14608" width="6.5703125" customWidth="1"/>
    <col min="14609" max="14609" width="6.42578125" customWidth="1"/>
    <col min="14610" max="14610" width="6.7109375" customWidth="1"/>
    <col min="14611" max="14613" width="7" customWidth="1"/>
    <col min="14614" max="14614" width="7.28515625" customWidth="1"/>
    <col min="14615" max="14618" width="7" customWidth="1"/>
    <col min="14619" max="14619" width="6.42578125" customWidth="1"/>
    <col min="14620" max="14620" width="7" customWidth="1"/>
    <col min="14623" max="14623" width="6.42578125" customWidth="1"/>
    <col min="14624" max="14626" width="6.7109375" customWidth="1"/>
    <col min="14628" max="14628" width="6.7109375" customWidth="1"/>
    <col min="14633" max="14634" width="6.85546875" customWidth="1"/>
    <col min="14635" max="14635" width="6.5703125" customWidth="1"/>
    <col min="14849" max="14849" width="24.85546875" customWidth="1"/>
    <col min="14850" max="14850" width="8.42578125" customWidth="1"/>
    <col min="14851" max="14853" width="7.28515625" customWidth="1"/>
    <col min="14854" max="14856" width="7.140625" customWidth="1"/>
    <col min="14857" max="14857" width="7" customWidth="1"/>
    <col min="14858" max="14860" width="6.85546875" customWidth="1"/>
    <col min="14861" max="14862" width="7" customWidth="1"/>
    <col min="14863" max="14863" width="6.85546875" customWidth="1"/>
    <col min="14864" max="14864" width="6.5703125" customWidth="1"/>
    <col min="14865" max="14865" width="6.42578125" customWidth="1"/>
    <col min="14866" max="14866" width="6.7109375" customWidth="1"/>
    <col min="14867" max="14869" width="7" customWidth="1"/>
    <col min="14870" max="14870" width="7.28515625" customWidth="1"/>
    <col min="14871" max="14874" width="7" customWidth="1"/>
    <col min="14875" max="14875" width="6.42578125" customWidth="1"/>
    <col min="14876" max="14876" width="7" customWidth="1"/>
    <col min="14879" max="14879" width="6.42578125" customWidth="1"/>
    <col min="14880" max="14882" width="6.7109375" customWidth="1"/>
    <col min="14884" max="14884" width="6.7109375" customWidth="1"/>
    <col min="14889" max="14890" width="6.85546875" customWidth="1"/>
    <col min="14891" max="14891" width="6.5703125" customWidth="1"/>
    <col min="15105" max="15105" width="24.85546875" customWidth="1"/>
    <col min="15106" max="15106" width="8.42578125" customWidth="1"/>
    <col min="15107" max="15109" width="7.28515625" customWidth="1"/>
    <col min="15110" max="15112" width="7.140625" customWidth="1"/>
    <col min="15113" max="15113" width="7" customWidth="1"/>
    <col min="15114" max="15116" width="6.85546875" customWidth="1"/>
    <col min="15117" max="15118" width="7" customWidth="1"/>
    <col min="15119" max="15119" width="6.85546875" customWidth="1"/>
    <col min="15120" max="15120" width="6.5703125" customWidth="1"/>
    <col min="15121" max="15121" width="6.42578125" customWidth="1"/>
    <col min="15122" max="15122" width="6.7109375" customWidth="1"/>
    <col min="15123" max="15125" width="7" customWidth="1"/>
    <col min="15126" max="15126" width="7.28515625" customWidth="1"/>
    <col min="15127" max="15130" width="7" customWidth="1"/>
    <col min="15131" max="15131" width="6.42578125" customWidth="1"/>
    <col min="15132" max="15132" width="7" customWidth="1"/>
    <col min="15135" max="15135" width="6.42578125" customWidth="1"/>
    <col min="15136" max="15138" width="6.7109375" customWidth="1"/>
    <col min="15140" max="15140" width="6.7109375" customWidth="1"/>
    <col min="15145" max="15146" width="6.85546875" customWidth="1"/>
    <col min="15147" max="15147" width="6.5703125" customWidth="1"/>
    <col min="15361" max="15361" width="24.85546875" customWidth="1"/>
    <col min="15362" max="15362" width="8.42578125" customWidth="1"/>
    <col min="15363" max="15365" width="7.28515625" customWidth="1"/>
    <col min="15366" max="15368" width="7.140625" customWidth="1"/>
    <col min="15369" max="15369" width="7" customWidth="1"/>
    <col min="15370" max="15372" width="6.85546875" customWidth="1"/>
    <col min="15373" max="15374" width="7" customWidth="1"/>
    <col min="15375" max="15375" width="6.85546875" customWidth="1"/>
    <col min="15376" max="15376" width="6.5703125" customWidth="1"/>
    <col min="15377" max="15377" width="6.42578125" customWidth="1"/>
    <col min="15378" max="15378" width="6.7109375" customWidth="1"/>
    <col min="15379" max="15381" width="7" customWidth="1"/>
    <col min="15382" max="15382" width="7.28515625" customWidth="1"/>
    <col min="15383" max="15386" width="7" customWidth="1"/>
    <col min="15387" max="15387" width="6.42578125" customWidth="1"/>
    <col min="15388" max="15388" width="7" customWidth="1"/>
    <col min="15391" max="15391" width="6.42578125" customWidth="1"/>
    <col min="15392" max="15394" width="6.7109375" customWidth="1"/>
    <col min="15396" max="15396" width="6.7109375" customWidth="1"/>
    <col min="15401" max="15402" width="6.85546875" customWidth="1"/>
    <col min="15403" max="15403" width="6.5703125" customWidth="1"/>
    <col min="15617" max="15617" width="24.85546875" customWidth="1"/>
    <col min="15618" max="15618" width="8.42578125" customWidth="1"/>
    <col min="15619" max="15621" width="7.28515625" customWidth="1"/>
    <col min="15622" max="15624" width="7.140625" customWidth="1"/>
    <col min="15625" max="15625" width="7" customWidth="1"/>
    <col min="15626" max="15628" width="6.85546875" customWidth="1"/>
    <col min="15629" max="15630" width="7" customWidth="1"/>
    <col min="15631" max="15631" width="6.85546875" customWidth="1"/>
    <col min="15632" max="15632" width="6.5703125" customWidth="1"/>
    <col min="15633" max="15633" width="6.42578125" customWidth="1"/>
    <col min="15634" max="15634" width="6.7109375" customWidth="1"/>
    <col min="15635" max="15637" width="7" customWidth="1"/>
    <col min="15638" max="15638" width="7.28515625" customWidth="1"/>
    <col min="15639" max="15642" width="7" customWidth="1"/>
    <col min="15643" max="15643" width="6.42578125" customWidth="1"/>
    <col min="15644" max="15644" width="7" customWidth="1"/>
    <col min="15647" max="15647" width="6.42578125" customWidth="1"/>
    <col min="15648" max="15650" width="6.7109375" customWidth="1"/>
    <col min="15652" max="15652" width="6.7109375" customWidth="1"/>
    <col min="15657" max="15658" width="6.85546875" customWidth="1"/>
    <col min="15659" max="15659" width="6.5703125" customWidth="1"/>
    <col min="15873" max="15873" width="24.85546875" customWidth="1"/>
    <col min="15874" max="15874" width="8.42578125" customWidth="1"/>
    <col min="15875" max="15877" width="7.28515625" customWidth="1"/>
    <col min="15878" max="15880" width="7.140625" customWidth="1"/>
    <col min="15881" max="15881" width="7" customWidth="1"/>
    <col min="15882" max="15884" width="6.85546875" customWidth="1"/>
    <col min="15885" max="15886" width="7" customWidth="1"/>
    <col min="15887" max="15887" width="6.85546875" customWidth="1"/>
    <col min="15888" max="15888" width="6.5703125" customWidth="1"/>
    <col min="15889" max="15889" width="6.42578125" customWidth="1"/>
    <col min="15890" max="15890" width="6.7109375" customWidth="1"/>
    <col min="15891" max="15893" width="7" customWidth="1"/>
    <col min="15894" max="15894" width="7.28515625" customWidth="1"/>
    <col min="15895" max="15898" width="7" customWidth="1"/>
    <col min="15899" max="15899" width="6.42578125" customWidth="1"/>
    <col min="15900" max="15900" width="7" customWidth="1"/>
    <col min="15903" max="15903" width="6.42578125" customWidth="1"/>
    <col min="15904" max="15906" width="6.7109375" customWidth="1"/>
    <col min="15908" max="15908" width="6.7109375" customWidth="1"/>
    <col min="15913" max="15914" width="6.85546875" customWidth="1"/>
    <col min="15915" max="15915" width="6.5703125" customWidth="1"/>
    <col min="16129" max="16129" width="24.85546875" customWidth="1"/>
    <col min="16130" max="16130" width="8.42578125" customWidth="1"/>
    <col min="16131" max="16133" width="7.28515625" customWidth="1"/>
    <col min="16134" max="16136" width="7.140625" customWidth="1"/>
    <col min="16137" max="16137" width="7" customWidth="1"/>
    <col min="16138" max="16140" width="6.85546875" customWidth="1"/>
    <col min="16141" max="16142" width="7" customWidth="1"/>
    <col min="16143" max="16143" width="6.85546875" customWidth="1"/>
    <col min="16144" max="16144" width="6.5703125" customWidth="1"/>
    <col min="16145" max="16145" width="6.42578125" customWidth="1"/>
    <col min="16146" max="16146" width="6.7109375" customWidth="1"/>
    <col min="16147" max="16149" width="7" customWidth="1"/>
    <col min="16150" max="16150" width="7.28515625" customWidth="1"/>
    <col min="16151" max="16154" width="7" customWidth="1"/>
    <col min="16155" max="16155" width="6.42578125" customWidth="1"/>
    <col min="16156" max="16156" width="7" customWidth="1"/>
    <col min="16159" max="16159" width="6.42578125" customWidth="1"/>
    <col min="16160" max="16162" width="6.7109375" customWidth="1"/>
    <col min="16164" max="16164" width="6.7109375" customWidth="1"/>
    <col min="16169" max="16170" width="6.85546875" customWidth="1"/>
    <col min="16171" max="16171" width="6.5703125" customWidth="1"/>
  </cols>
  <sheetData>
    <row r="1" spans="1:42" x14ac:dyDescent="0.2">
      <c r="A1" t="s">
        <v>386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s="33">
        <v>26</v>
      </c>
      <c r="AP1" s="33"/>
    </row>
    <row r="2" spans="1:42" x14ac:dyDescent="0.2">
      <c r="A2" t="s">
        <v>287</v>
      </c>
      <c r="B2" s="34" t="s">
        <v>593</v>
      </c>
      <c r="C2" s="34" t="s">
        <v>594</v>
      </c>
      <c r="D2" s="34" t="s">
        <v>595</v>
      </c>
      <c r="E2" s="34" t="s">
        <v>596</v>
      </c>
      <c r="F2" s="33" t="s">
        <v>597</v>
      </c>
      <c r="G2" s="33" t="s">
        <v>598</v>
      </c>
      <c r="H2" s="33" t="s">
        <v>599</v>
      </c>
      <c r="I2" s="33" t="s">
        <v>600</v>
      </c>
      <c r="J2" s="33" t="s">
        <v>601</v>
      </c>
      <c r="K2" s="33" t="s">
        <v>602</v>
      </c>
      <c r="L2" s="33" t="s">
        <v>603</v>
      </c>
      <c r="M2" s="33" t="s">
        <v>563</v>
      </c>
      <c r="N2" s="33" t="s">
        <v>565</v>
      </c>
      <c r="O2" s="33" t="s">
        <v>604</v>
      </c>
      <c r="P2" s="33" t="s">
        <v>605</v>
      </c>
      <c r="Q2" s="33" t="s">
        <v>566</v>
      </c>
      <c r="R2" s="33" t="s">
        <v>567</v>
      </c>
      <c r="S2" s="33" t="s">
        <v>606</v>
      </c>
      <c r="T2" s="33" t="s">
        <v>607</v>
      </c>
      <c r="U2" s="33" t="s">
        <v>608</v>
      </c>
      <c r="V2" s="34" t="s">
        <v>572</v>
      </c>
      <c r="W2" s="33" t="s">
        <v>609</v>
      </c>
      <c r="X2" s="33" t="s">
        <v>610</v>
      </c>
      <c r="Y2" s="33" t="s">
        <v>611</v>
      </c>
      <c r="Z2" s="33" t="s">
        <v>612</v>
      </c>
      <c r="AA2" s="33" t="s">
        <v>574</v>
      </c>
      <c r="AB2" s="33" t="s">
        <v>315</v>
      </c>
      <c r="AC2" s="33" t="s">
        <v>613</v>
      </c>
      <c r="AM2" s="33"/>
      <c r="AP2" s="33"/>
    </row>
    <row r="3" spans="1:42" x14ac:dyDescent="0.2">
      <c r="A3" s="27" t="s">
        <v>1</v>
      </c>
      <c r="B3" s="33">
        <v>0</v>
      </c>
      <c r="C3" s="33">
        <v>0</v>
      </c>
      <c r="D3" s="33">
        <v>4</v>
      </c>
      <c r="E3" s="33">
        <v>0</v>
      </c>
      <c r="F3" s="33">
        <v>0</v>
      </c>
      <c r="G3" s="33">
        <v>3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3</v>
      </c>
      <c r="N3" s="33">
        <v>5</v>
      </c>
      <c r="O3" s="33">
        <v>4</v>
      </c>
      <c r="P3" s="33">
        <v>0</v>
      </c>
      <c r="Q3" s="33">
        <v>0</v>
      </c>
      <c r="R3" s="33">
        <v>2</v>
      </c>
      <c r="S3" s="33">
        <v>5</v>
      </c>
      <c r="T3" s="33">
        <v>12</v>
      </c>
      <c r="U3" s="33">
        <v>1</v>
      </c>
      <c r="V3" s="33">
        <v>6</v>
      </c>
      <c r="W3" s="33">
        <v>4</v>
      </c>
      <c r="X3" s="33">
        <v>0</v>
      </c>
      <c r="Y3" s="33">
        <v>0</v>
      </c>
      <c r="Z3" s="33">
        <v>12</v>
      </c>
      <c r="AA3" s="33">
        <v>9</v>
      </c>
      <c r="AB3" s="33">
        <f t="shared" ref="AB3:AB34" si="0">SUM(B3:AA3)</f>
        <v>70</v>
      </c>
      <c r="AC3" s="33">
        <v>4.3</v>
      </c>
      <c r="AP3" s="33"/>
    </row>
    <row r="4" spans="1:42" x14ac:dyDescent="0.2">
      <c r="A4" s="27" t="s">
        <v>3</v>
      </c>
      <c r="B4" s="33">
        <v>1</v>
      </c>
      <c r="C4" s="33">
        <v>2</v>
      </c>
      <c r="D4" s="33">
        <v>10</v>
      </c>
      <c r="E4" s="33">
        <v>3</v>
      </c>
      <c r="F4" s="33">
        <v>2</v>
      </c>
      <c r="G4" s="33">
        <v>10</v>
      </c>
      <c r="H4" s="33">
        <v>1</v>
      </c>
      <c r="I4" s="33">
        <v>0</v>
      </c>
      <c r="J4" s="33">
        <v>0</v>
      </c>
      <c r="K4" s="33">
        <v>2</v>
      </c>
      <c r="L4" s="33">
        <v>3</v>
      </c>
      <c r="M4" s="33">
        <v>29</v>
      </c>
      <c r="N4" s="33">
        <v>12</v>
      </c>
      <c r="O4" s="33">
        <v>44</v>
      </c>
      <c r="P4" s="33">
        <v>2</v>
      </c>
      <c r="Q4" s="33">
        <v>15</v>
      </c>
      <c r="R4" s="33">
        <v>24</v>
      </c>
      <c r="S4" s="33">
        <v>26</v>
      </c>
      <c r="T4" s="33">
        <v>17</v>
      </c>
      <c r="U4" s="33">
        <v>33</v>
      </c>
      <c r="V4" s="33">
        <v>47</v>
      </c>
      <c r="W4" s="33">
        <v>36</v>
      </c>
      <c r="X4" s="33">
        <v>33</v>
      </c>
      <c r="Y4" s="33">
        <v>0</v>
      </c>
      <c r="Z4" s="33">
        <v>25</v>
      </c>
      <c r="AA4" s="33">
        <v>17</v>
      </c>
      <c r="AB4" s="33">
        <f t="shared" si="0"/>
        <v>394</v>
      </c>
      <c r="AC4" s="33">
        <v>24.4</v>
      </c>
      <c r="AP4" s="33"/>
    </row>
    <row r="5" spans="1:42" x14ac:dyDescent="0.2">
      <c r="A5" s="27" t="s">
        <v>4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1</v>
      </c>
      <c r="N5" s="33">
        <v>1</v>
      </c>
      <c r="O5" s="33">
        <v>0</v>
      </c>
      <c r="P5" s="33">
        <v>0</v>
      </c>
      <c r="Q5" s="33">
        <v>0</v>
      </c>
      <c r="R5" s="33">
        <v>3</v>
      </c>
      <c r="S5" s="33">
        <v>1</v>
      </c>
      <c r="T5" s="33">
        <v>3</v>
      </c>
      <c r="U5" s="33">
        <v>4</v>
      </c>
      <c r="V5" s="33">
        <v>4</v>
      </c>
      <c r="W5" s="33">
        <v>0</v>
      </c>
      <c r="X5" s="33">
        <v>2</v>
      </c>
      <c r="Y5" s="33">
        <v>1</v>
      </c>
      <c r="Z5" s="33">
        <v>6</v>
      </c>
      <c r="AA5" s="33">
        <v>1</v>
      </c>
      <c r="AB5" s="33">
        <f t="shared" si="0"/>
        <v>27</v>
      </c>
      <c r="AC5" s="33">
        <v>1.7</v>
      </c>
      <c r="AP5" s="33"/>
    </row>
    <row r="6" spans="1:42" x14ac:dyDescent="0.2">
      <c r="A6" s="27" t="s">
        <v>5</v>
      </c>
      <c r="B6" s="33">
        <v>0</v>
      </c>
      <c r="C6" s="33">
        <v>1</v>
      </c>
      <c r="D6" s="33">
        <v>2</v>
      </c>
      <c r="E6" s="33">
        <v>0</v>
      </c>
      <c r="F6" s="33">
        <v>0</v>
      </c>
      <c r="G6" s="33">
        <v>4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2</v>
      </c>
      <c r="N6" s="33">
        <v>2</v>
      </c>
      <c r="O6" s="33">
        <v>0</v>
      </c>
      <c r="P6" s="33">
        <v>1</v>
      </c>
      <c r="Q6" s="33">
        <v>1</v>
      </c>
      <c r="R6" s="33">
        <v>1</v>
      </c>
      <c r="S6" s="33">
        <v>4</v>
      </c>
      <c r="T6" s="33">
        <v>5</v>
      </c>
      <c r="U6" s="33">
        <v>0</v>
      </c>
      <c r="V6" s="33">
        <v>1</v>
      </c>
      <c r="W6" s="33">
        <v>3</v>
      </c>
      <c r="X6" s="33">
        <v>12</v>
      </c>
      <c r="Y6" s="33">
        <v>1</v>
      </c>
      <c r="Z6" s="33">
        <v>6</v>
      </c>
      <c r="AA6" s="33">
        <v>5</v>
      </c>
      <c r="AB6" s="33">
        <f t="shared" si="0"/>
        <v>51</v>
      </c>
      <c r="AC6" s="33">
        <v>3.2</v>
      </c>
      <c r="AP6" s="33"/>
    </row>
    <row r="7" spans="1:42" x14ac:dyDescent="0.2">
      <c r="A7" s="27" t="s">
        <v>6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1</v>
      </c>
      <c r="T7" s="33">
        <v>2</v>
      </c>
      <c r="U7" s="33">
        <v>0</v>
      </c>
      <c r="V7" s="33">
        <v>1</v>
      </c>
      <c r="W7" s="33">
        <v>1</v>
      </c>
      <c r="X7" s="33">
        <v>0</v>
      </c>
      <c r="Y7" s="33">
        <v>0</v>
      </c>
      <c r="Z7" s="33">
        <v>3</v>
      </c>
      <c r="AA7" s="33">
        <v>1</v>
      </c>
      <c r="AB7" s="33">
        <f t="shared" si="0"/>
        <v>9</v>
      </c>
      <c r="AC7" s="33">
        <v>0.6</v>
      </c>
      <c r="AP7" s="33"/>
    </row>
    <row r="8" spans="1:42" x14ac:dyDescent="0.2">
      <c r="A8" s="27" t="s">
        <v>40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1</v>
      </c>
      <c r="P8" s="33">
        <v>1</v>
      </c>
      <c r="Q8" s="33">
        <v>0</v>
      </c>
      <c r="R8" s="33">
        <v>1</v>
      </c>
      <c r="S8" s="33">
        <v>0</v>
      </c>
      <c r="T8" s="33">
        <v>0</v>
      </c>
      <c r="U8" s="33">
        <v>1</v>
      </c>
      <c r="V8" s="33">
        <v>0</v>
      </c>
      <c r="W8" s="33">
        <v>0</v>
      </c>
      <c r="X8" s="33">
        <v>2</v>
      </c>
      <c r="Y8" s="33">
        <v>0</v>
      </c>
      <c r="Z8" s="33">
        <v>1</v>
      </c>
      <c r="AA8" s="33">
        <v>0</v>
      </c>
      <c r="AB8" s="33">
        <f t="shared" si="0"/>
        <v>7</v>
      </c>
      <c r="AC8" s="33">
        <v>0.4</v>
      </c>
      <c r="AP8" s="33"/>
    </row>
    <row r="9" spans="1:42" x14ac:dyDescent="0.2">
      <c r="A9" s="27" t="s">
        <v>7</v>
      </c>
      <c r="B9" s="33">
        <v>0</v>
      </c>
      <c r="C9" s="33">
        <v>0</v>
      </c>
      <c r="D9" s="33">
        <v>3</v>
      </c>
      <c r="E9" s="33">
        <v>0</v>
      </c>
      <c r="F9" s="33">
        <v>2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</v>
      </c>
      <c r="M9" s="33">
        <v>7</v>
      </c>
      <c r="N9" s="33">
        <v>1</v>
      </c>
      <c r="O9" s="33">
        <v>5</v>
      </c>
      <c r="P9" s="33">
        <v>1</v>
      </c>
      <c r="Q9" s="33">
        <v>1</v>
      </c>
      <c r="R9" s="33">
        <v>3</v>
      </c>
      <c r="S9" s="33">
        <v>3</v>
      </c>
      <c r="T9" s="33">
        <v>3</v>
      </c>
      <c r="U9" s="33">
        <v>4</v>
      </c>
      <c r="V9" s="33">
        <v>4</v>
      </c>
      <c r="W9" s="33">
        <v>4</v>
      </c>
      <c r="X9" s="33">
        <v>6</v>
      </c>
      <c r="Y9" s="33">
        <v>0</v>
      </c>
      <c r="Z9" s="33">
        <v>4</v>
      </c>
      <c r="AA9" s="33">
        <v>5</v>
      </c>
      <c r="AB9" s="33">
        <f t="shared" si="0"/>
        <v>57</v>
      </c>
      <c r="AC9" s="33">
        <v>3.5</v>
      </c>
      <c r="AP9" s="33"/>
    </row>
    <row r="10" spans="1:42" x14ac:dyDescent="0.2">
      <c r="A10" s="27" t="s">
        <v>9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1</v>
      </c>
      <c r="X10" s="33">
        <v>0</v>
      </c>
      <c r="Y10" s="33">
        <v>0</v>
      </c>
      <c r="Z10" s="33">
        <v>0</v>
      </c>
      <c r="AA10" s="33">
        <v>0</v>
      </c>
      <c r="AB10" s="33">
        <f t="shared" si="0"/>
        <v>1</v>
      </c>
      <c r="AC10" s="33">
        <v>0.1</v>
      </c>
      <c r="AP10" s="33"/>
    </row>
    <row r="11" spans="1:42" x14ac:dyDescent="0.2">
      <c r="A11" s="27" t="s">
        <v>10</v>
      </c>
      <c r="B11" s="33">
        <v>0</v>
      </c>
      <c r="C11" s="33">
        <v>0</v>
      </c>
      <c r="D11" s="33">
        <v>2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2</v>
      </c>
      <c r="N11" s="33">
        <v>0</v>
      </c>
      <c r="O11" s="33">
        <v>0</v>
      </c>
      <c r="P11" s="33">
        <v>0</v>
      </c>
      <c r="Q11" s="33">
        <v>0</v>
      </c>
      <c r="R11" s="33">
        <v>1</v>
      </c>
      <c r="S11" s="33">
        <v>0</v>
      </c>
      <c r="T11" s="33">
        <v>1</v>
      </c>
      <c r="U11" s="33">
        <v>1</v>
      </c>
      <c r="V11" s="33">
        <v>1</v>
      </c>
      <c r="W11" s="33">
        <v>1</v>
      </c>
      <c r="X11" s="33">
        <v>0</v>
      </c>
      <c r="Y11" s="33">
        <v>0</v>
      </c>
      <c r="Z11" s="33">
        <v>1</v>
      </c>
      <c r="AA11" s="33">
        <v>0</v>
      </c>
      <c r="AB11" s="33">
        <f t="shared" si="0"/>
        <v>10</v>
      </c>
      <c r="AC11" s="33">
        <v>0.6</v>
      </c>
      <c r="AP11" s="33"/>
    </row>
    <row r="12" spans="1:42" x14ac:dyDescent="0.2">
      <c r="A12" s="27" t="s">
        <v>11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1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1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f t="shared" si="0"/>
        <v>2</v>
      </c>
      <c r="AC12" s="33">
        <v>0.1</v>
      </c>
      <c r="AP12" s="33"/>
    </row>
    <row r="13" spans="1:42" x14ac:dyDescent="0.2">
      <c r="A13" s="27" t="s">
        <v>13</v>
      </c>
      <c r="B13" s="33">
        <v>0</v>
      </c>
      <c r="C13" s="33">
        <v>0</v>
      </c>
      <c r="D13" s="33">
        <v>0</v>
      </c>
      <c r="E13" s="33">
        <v>1</v>
      </c>
      <c r="F13" s="33">
        <v>0</v>
      </c>
      <c r="G13" s="33">
        <v>0</v>
      </c>
      <c r="H13" s="33">
        <v>1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1</v>
      </c>
      <c r="W13" s="33">
        <v>0</v>
      </c>
      <c r="X13" s="33">
        <v>0</v>
      </c>
      <c r="Y13" s="33">
        <v>0</v>
      </c>
      <c r="Z13" s="33">
        <v>1</v>
      </c>
      <c r="AA13" s="33">
        <v>0</v>
      </c>
      <c r="AB13" s="33">
        <f t="shared" si="0"/>
        <v>4</v>
      </c>
      <c r="AC13" s="33">
        <v>0.2</v>
      </c>
      <c r="AP13" s="33"/>
    </row>
    <row r="14" spans="1:42" x14ac:dyDescent="0.2">
      <c r="A14" s="27" t="s">
        <v>16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1</v>
      </c>
      <c r="L14" s="33">
        <v>0</v>
      </c>
      <c r="M14" s="33">
        <v>0</v>
      </c>
      <c r="N14" s="33">
        <v>0</v>
      </c>
      <c r="O14" s="33">
        <v>1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1</v>
      </c>
      <c r="Y14" s="33">
        <v>0</v>
      </c>
      <c r="Z14" s="33">
        <v>0</v>
      </c>
      <c r="AA14" s="33">
        <v>0</v>
      </c>
      <c r="AB14" s="33">
        <f t="shared" si="0"/>
        <v>3</v>
      </c>
      <c r="AC14" s="33">
        <v>0.2</v>
      </c>
      <c r="AP14" s="33"/>
    </row>
    <row r="15" spans="1:42" x14ac:dyDescent="0.2">
      <c r="A15" s="27" t="s">
        <v>17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1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3</v>
      </c>
      <c r="N15" s="33">
        <v>0</v>
      </c>
      <c r="O15" s="33">
        <v>1</v>
      </c>
      <c r="P15" s="33">
        <v>0</v>
      </c>
      <c r="Q15" s="33">
        <v>0</v>
      </c>
      <c r="R15" s="33">
        <v>1</v>
      </c>
      <c r="S15" s="33">
        <v>1</v>
      </c>
      <c r="T15" s="33">
        <v>1</v>
      </c>
      <c r="U15" s="33">
        <v>1</v>
      </c>
      <c r="V15" s="33">
        <v>0</v>
      </c>
      <c r="W15" s="33">
        <v>5</v>
      </c>
      <c r="X15" s="33">
        <v>1</v>
      </c>
      <c r="Y15" s="33">
        <v>0</v>
      </c>
      <c r="Z15" s="33">
        <v>3</v>
      </c>
      <c r="AA15" s="33">
        <v>0</v>
      </c>
      <c r="AB15" s="33">
        <f t="shared" si="0"/>
        <v>18</v>
      </c>
      <c r="AC15" s="33">
        <v>1.1000000000000001</v>
      </c>
      <c r="AP15" s="33"/>
    </row>
    <row r="16" spans="1:42" x14ac:dyDescent="0.2">
      <c r="A16" s="27" t="s">
        <v>18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1</v>
      </c>
      <c r="H16" s="33">
        <v>0</v>
      </c>
      <c r="I16" s="33">
        <v>1</v>
      </c>
      <c r="J16" s="33">
        <v>0</v>
      </c>
      <c r="K16" s="33">
        <v>0</v>
      </c>
      <c r="L16" s="33">
        <v>0</v>
      </c>
      <c r="M16" s="33">
        <v>4</v>
      </c>
      <c r="N16" s="33">
        <v>5</v>
      </c>
      <c r="O16" s="33">
        <v>4</v>
      </c>
      <c r="P16" s="33">
        <v>0</v>
      </c>
      <c r="Q16" s="33">
        <v>2</v>
      </c>
      <c r="R16" s="33">
        <v>3</v>
      </c>
      <c r="S16" s="33">
        <v>4</v>
      </c>
      <c r="T16" s="33">
        <v>1</v>
      </c>
      <c r="U16" s="33">
        <v>1</v>
      </c>
      <c r="V16" s="33">
        <v>8</v>
      </c>
      <c r="W16" s="33">
        <v>6</v>
      </c>
      <c r="X16" s="33">
        <v>1</v>
      </c>
      <c r="Y16" s="33">
        <v>1</v>
      </c>
      <c r="Z16" s="33">
        <v>2</v>
      </c>
      <c r="AA16" s="33">
        <v>10</v>
      </c>
      <c r="AB16" s="33">
        <f t="shared" si="0"/>
        <v>54</v>
      </c>
      <c r="AC16" s="33">
        <v>3.3</v>
      </c>
      <c r="AP16" s="33"/>
    </row>
    <row r="17" spans="1:42" x14ac:dyDescent="0.2">
      <c r="A17" s="27" t="s">
        <v>19</v>
      </c>
      <c r="B17" s="33">
        <v>0</v>
      </c>
      <c r="C17" s="33">
        <v>0</v>
      </c>
      <c r="D17" s="33">
        <v>2</v>
      </c>
      <c r="E17" s="33">
        <v>2</v>
      </c>
      <c r="F17" s="33">
        <v>1</v>
      </c>
      <c r="G17" s="33">
        <v>4</v>
      </c>
      <c r="H17" s="33">
        <v>0</v>
      </c>
      <c r="I17" s="33">
        <v>2</v>
      </c>
      <c r="J17" s="33">
        <v>4</v>
      </c>
      <c r="K17" s="33">
        <v>0</v>
      </c>
      <c r="L17" s="33">
        <v>3</v>
      </c>
      <c r="M17" s="33">
        <v>21</v>
      </c>
      <c r="N17" s="33">
        <v>5</v>
      </c>
      <c r="O17" s="33">
        <v>14</v>
      </c>
      <c r="P17" s="33">
        <v>6</v>
      </c>
      <c r="Q17" s="33">
        <v>5</v>
      </c>
      <c r="R17" s="33">
        <v>9</v>
      </c>
      <c r="S17" s="33">
        <v>5</v>
      </c>
      <c r="T17" s="33">
        <v>8</v>
      </c>
      <c r="U17" s="33">
        <v>13</v>
      </c>
      <c r="V17" s="33">
        <v>8</v>
      </c>
      <c r="W17" s="33">
        <v>13</v>
      </c>
      <c r="X17" s="33">
        <v>12</v>
      </c>
      <c r="Y17" s="33">
        <v>11</v>
      </c>
      <c r="Z17" s="33">
        <v>21</v>
      </c>
      <c r="AA17" s="33">
        <v>12</v>
      </c>
      <c r="AB17" s="33">
        <f t="shared" si="0"/>
        <v>181</v>
      </c>
      <c r="AC17" s="33">
        <v>11.2</v>
      </c>
      <c r="AP17" s="33"/>
    </row>
    <row r="18" spans="1:42" x14ac:dyDescent="0.2">
      <c r="A18" s="27" t="s">
        <v>20</v>
      </c>
      <c r="B18" s="33">
        <v>0</v>
      </c>
      <c r="C18" s="33">
        <v>0</v>
      </c>
      <c r="D18" s="33">
        <v>1</v>
      </c>
      <c r="E18" s="33">
        <v>2</v>
      </c>
      <c r="F18" s="33">
        <v>0</v>
      </c>
      <c r="G18" s="33">
        <v>1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4</v>
      </c>
      <c r="N18" s="33">
        <v>1</v>
      </c>
      <c r="O18" s="33">
        <v>10</v>
      </c>
      <c r="P18" s="33">
        <v>2</v>
      </c>
      <c r="Q18" s="33">
        <v>2</v>
      </c>
      <c r="R18" s="33">
        <v>0</v>
      </c>
      <c r="S18" s="33">
        <v>5</v>
      </c>
      <c r="T18" s="33">
        <v>4</v>
      </c>
      <c r="U18" s="33">
        <v>0</v>
      </c>
      <c r="V18" s="33">
        <v>6</v>
      </c>
      <c r="W18" s="33">
        <v>11</v>
      </c>
      <c r="X18" s="33">
        <v>10</v>
      </c>
      <c r="Y18" s="33">
        <v>0</v>
      </c>
      <c r="Z18" s="33">
        <v>8</v>
      </c>
      <c r="AA18" s="33">
        <v>4</v>
      </c>
      <c r="AB18" s="33">
        <f t="shared" si="0"/>
        <v>71</v>
      </c>
      <c r="AC18" s="33">
        <v>4.4000000000000004</v>
      </c>
      <c r="AP18" s="33"/>
    </row>
    <row r="19" spans="1:42" x14ac:dyDescent="0.2">
      <c r="A19" s="27" t="s">
        <v>586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2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2</v>
      </c>
      <c r="AA19" s="33">
        <v>0</v>
      </c>
      <c r="AB19" s="33">
        <f t="shared" si="0"/>
        <v>4</v>
      </c>
      <c r="AC19" s="33">
        <v>0.2</v>
      </c>
      <c r="AP19" s="33"/>
    </row>
    <row r="20" spans="1:42" x14ac:dyDescent="0.2">
      <c r="A20" s="27" t="s">
        <v>200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2</v>
      </c>
      <c r="N20" s="33">
        <v>0</v>
      </c>
      <c r="O20" s="33">
        <v>1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2</v>
      </c>
      <c r="Y20" s="33">
        <v>0</v>
      </c>
      <c r="Z20" s="33">
        <v>1</v>
      </c>
      <c r="AA20" s="33">
        <v>0</v>
      </c>
      <c r="AB20" s="33">
        <f t="shared" si="0"/>
        <v>6</v>
      </c>
      <c r="AC20" s="33">
        <v>0.4</v>
      </c>
      <c r="AP20" s="33"/>
    </row>
    <row r="21" spans="1:42" x14ac:dyDescent="0.2">
      <c r="A21" s="27" t="s">
        <v>435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1</v>
      </c>
      <c r="N21" s="33">
        <v>2</v>
      </c>
      <c r="O21" s="33">
        <v>3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1</v>
      </c>
      <c r="V21" s="33">
        <v>3</v>
      </c>
      <c r="W21" s="33">
        <v>2</v>
      </c>
      <c r="X21" s="33">
        <v>4</v>
      </c>
      <c r="Y21" s="33">
        <v>0</v>
      </c>
      <c r="Z21" s="33">
        <v>1</v>
      </c>
      <c r="AA21" s="33">
        <v>0</v>
      </c>
      <c r="AB21" s="33">
        <f t="shared" si="0"/>
        <v>17</v>
      </c>
      <c r="AC21" s="33">
        <v>1.1000000000000001</v>
      </c>
      <c r="AP21" s="33"/>
    </row>
    <row r="22" spans="1:42" x14ac:dyDescent="0.2">
      <c r="A22" s="27" t="s">
        <v>22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1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3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f t="shared" si="0"/>
        <v>4</v>
      </c>
      <c r="AC22" s="33">
        <v>0.2</v>
      </c>
      <c r="AP22" s="33"/>
    </row>
    <row r="23" spans="1:42" x14ac:dyDescent="0.2">
      <c r="A23" s="27" t="s">
        <v>23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1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1</v>
      </c>
      <c r="P23" s="33">
        <v>0</v>
      </c>
      <c r="Q23" s="33">
        <v>0</v>
      </c>
      <c r="R23" s="33">
        <v>0</v>
      </c>
      <c r="S23" s="33">
        <v>1</v>
      </c>
      <c r="T23" s="33">
        <v>0</v>
      </c>
      <c r="U23" s="33">
        <v>0</v>
      </c>
      <c r="V23" s="33">
        <v>0</v>
      </c>
      <c r="W23" s="33">
        <v>0</v>
      </c>
      <c r="X23" s="33">
        <v>2</v>
      </c>
      <c r="Y23" s="33">
        <v>0</v>
      </c>
      <c r="Z23" s="33">
        <v>0</v>
      </c>
      <c r="AA23" s="33">
        <v>0</v>
      </c>
      <c r="AB23" s="33">
        <f t="shared" si="0"/>
        <v>5</v>
      </c>
      <c r="AC23" s="33">
        <v>0.3</v>
      </c>
      <c r="AP23" s="33"/>
    </row>
    <row r="24" spans="1:42" x14ac:dyDescent="0.2">
      <c r="A24" s="27" t="s">
        <v>214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1</v>
      </c>
      <c r="N24" s="33">
        <v>0</v>
      </c>
      <c r="O24" s="33">
        <v>0</v>
      </c>
      <c r="P24" s="33">
        <v>1</v>
      </c>
      <c r="Q24" s="33">
        <v>1</v>
      </c>
      <c r="R24" s="33">
        <v>0</v>
      </c>
      <c r="S24" s="33">
        <v>1</v>
      </c>
      <c r="T24" s="33">
        <v>0</v>
      </c>
      <c r="U24" s="33">
        <v>0</v>
      </c>
      <c r="V24" s="33">
        <v>0</v>
      </c>
      <c r="W24" s="33">
        <v>1</v>
      </c>
      <c r="X24" s="33">
        <v>1</v>
      </c>
      <c r="Y24" s="33">
        <v>0</v>
      </c>
      <c r="Z24" s="33">
        <v>1</v>
      </c>
      <c r="AA24" s="33">
        <v>0</v>
      </c>
      <c r="AB24" s="33">
        <f t="shared" si="0"/>
        <v>7</v>
      </c>
      <c r="AC24" s="33">
        <v>0.4</v>
      </c>
      <c r="AP24" s="33"/>
    </row>
    <row r="25" spans="1:42" x14ac:dyDescent="0.2">
      <c r="A25" s="27" t="s">
        <v>194</v>
      </c>
      <c r="B25" s="33">
        <v>0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1</v>
      </c>
      <c r="X25" s="33">
        <v>0</v>
      </c>
      <c r="Y25" s="33">
        <v>0</v>
      </c>
      <c r="Z25" s="33">
        <v>0</v>
      </c>
      <c r="AA25" s="33">
        <v>0</v>
      </c>
      <c r="AB25" s="33">
        <f t="shared" si="0"/>
        <v>1</v>
      </c>
      <c r="AC25" s="33">
        <v>0.1</v>
      </c>
      <c r="AP25" s="33"/>
    </row>
    <row r="26" spans="1:42" x14ac:dyDescent="0.2">
      <c r="A26" s="27" t="s">
        <v>195</v>
      </c>
      <c r="B26" s="33">
        <v>0</v>
      </c>
      <c r="C26" s="33">
        <v>0</v>
      </c>
      <c r="D26" s="33">
        <v>1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1</v>
      </c>
      <c r="K26" s="33">
        <v>0</v>
      </c>
      <c r="L26" s="33">
        <v>0</v>
      </c>
      <c r="M26" s="33">
        <v>3</v>
      </c>
      <c r="N26" s="33">
        <v>1</v>
      </c>
      <c r="O26" s="33">
        <v>2</v>
      </c>
      <c r="P26" s="33">
        <v>0</v>
      </c>
      <c r="Q26" s="33">
        <v>1</v>
      </c>
      <c r="R26" s="33">
        <v>2</v>
      </c>
      <c r="S26" s="33">
        <v>1</v>
      </c>
      <c r="T26" s="33">
        <v>3</v>
      </c>
      <c r="U26" s="33">
        <v>0</v>
      </c>
      <c r="V26" s="33">
        <v>4</v>
      </c>
      <c r="W26" s="33">
        <v>2</v>
      </c>
      <c r="X26" s="33">
        <v>3</v>
      </c>
      <c r="Y26" s="33">
        <v>0</v>
      </c>
      <c r="Z26" s="33">
        <v>4</v>
      </c>
      <c r="AA26" s="33">
        <v>0</v>
      </c>
      <c r="AB26" s="33">
        <f t="shared" si="0"/>
        <v>28</v>
      </c>
      <c r="AC26" s="33">
        <v>1.7</v>
      </c>
      <c r="AP26" s="33"/>
    </row>
    <row r="27" spans="1:42" x14ac:dyDescent="0.2">
      <c r="A27" s="27" t="s">
        <v>25</v>
      </c>
      <c r="B27" s="33">
        <v>0</v>
      </c>
      <c r="C27" s="33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1</v>
      </c>
      <c r="N27" s="33">
        <v>0</v>
      </c>
      <c r="O27" s="33">
        <v>2</v>
      </c>
      <c r="P27" s="33">
        <v>0</v>
      </c>
      <c r="Q27" s="33">
        <v>0</v>
      </c>
      <c r="R27" s="33">
        <v>1</v>
      </c>
      <c r="S27" s="33">
        <v>1</v>
      </c>
      <c r="T27" s="33">
        <v>0</v>
      </c>
      <c r="U27" s="33">
        <v>0</v>
      </c>
      <c r="V27" s="33">
        <v>2</v>
      </c>
      <c r="W27" s="33">
        <v>0</v>
      </c>
      <c r="X27" s="33">
        <v>1</v>
      </c>
      <c r="Y27" s="33">
        <v>0</v>
      </c>
      <c r="Z27" s="33">
        <v>1</v>
      </c>
      <c r="AA27" s="33">
        <v>0</v>
      </c>
      <c r="AB27" s="33">
        <f t="shared" si="0"/>
        <v>9</v>
      </c>
      <c r="AC27" s="33">
        <v>0.6</v>
      </c>
      <c r="AP27" s="33"/>
    </row>
    <row r="28" spans="1:42" x14ac:dyDescent="0.2">
      <c r="A28" s="27" t="s">
        <v>26</v>
      </c>
      <c r="B28" s="33">
        <v>0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1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1</v>
      </c>
      <c r="U28" s="33">
        <v>1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f t="shared" si="0"/>
        <v>3</v>
      </c>
      <c r="AC28" s="33">
        <v>0.2</v>
      </c>
      <c r="AP28" s="33"/>
    </row>
    <row r="29" spans="1:42" x14ac:dyDescent="0.2">
      <c r="A29" s="27" t="s">
        <v>27</v>
      </c>
      <c r="B29" s="33">
        <v>1</v>
      </c>
      <c r="C29" s="33">
        <v>1</v>
      </c>
      <c r="D29" s="33">
        <v>5</v>
      </c>
      <c r="E29" s="33">
        <v>5</v>
      </c>
      <c r="F29" s="33">
        <v>3</v>
      </c>
      <c r="G29" s="33">
        <v>11</v>
      </c>
      <c r="H29" s="33">
        <v>0</v>
      </c>
      <c r="I29" s="33">
        <v>1</v>
      </c>
      <c r="J29" s="33">
        <v>2</v>
      </c>
      <c r="K29" s="33">
        <v>1</v>
      </c>
      <c r="L29" s="33">
        <v>2</v>
      </c>
      <c r="M29" s="33">
        <v>37</v>
      </c>
      <c r="N29" s="33">
        <v>28</v>
      </c>
      <c r="O29" s="33">
        <v>46</v>
      </c>
      <c r="P29" s="33">
        <v>17</v>
      </c>
      <c r="Q29" s="33">
        <v>13</v>
      </c>
      <c r="R29" s="33">
        <v>14</v>
      </c>
      <c r="S29" s="33">
        <v>36</v>
      </c>
      <c r="T29" s="33">
        <v>29</v>
      </c>
      <c r="U29" s="33">
        <v>16</v>
      </c>
      <c r="V29" s="33">
        <v>52</v>
      </c>
      <c r="W29" s="33">
        <v>36</v>
      </c>
      <c r="X29" s="33">
        <v>27</v>
      </c>
      <c r="Y29" s="33">
        <v>5</v>
      </c>
      <c r="Z29" s="33">
        <v>52</v>
      </c>
      <c r="AA29" s="33">
        <v>35</v>
      </c>
      <c r="AB29" s="33">
        <f t="shared" si="0"/>
        <v>475</v>
      </c>
      <c r="AC29" s="33">
        <v>29.5</v>
      </c>
      <c r="AP29" s="33"/>
    </row>
    <row r="30" spans="1:42" x14ac:dyDescent="0.2">
      <c r="A30" s="27" t="s">
        <v>28</v>
      </c>
      <c r="B30" s="33">
        <v>0</v>
      </c>
      <c r="C30" s="33">
        <v>0</v>
      </c>
      <c r="D30" s="33">
        <v>2</v>
      </c>
      <c r="E30" s="33">
        <v>0</v>
      </c>
      <c r="F30" s="33">
        <v>2</v>
      </c>
      <c r="G30" s="33">
        <v>2</v>
      </c>
      <c r="H30" s="33">
        <v>1</v>
      </c>
      <c r="I30" s="33">
        <v>0</v>
      </c>
      <c r="J30" s="33">
        <v>0</v>
      </c>
      <c r="K30" s="33">
        <v>1</v>
      </c>
      <c r="L30" s="33">
        <v>0</v>
      </c>
      <c r="M30" s="33">
        <v>0</v>
      </c>
      <c r="N30" s="33">
        <v>1</v>
      </c>
      <c r="O30" s="33">
        <v>4</v>
      </c>
      <c r="P30" s="33">
        <v>0</v>
      </c>
      <c r="Q30" s="33">
        <v>0</v>
      </c>
      <c r="R30" s="33">
        <v>5</v>
      </c>
      <c r="S30" s="33">
        <v>5</v>
      </c>
      <c r="T30" s="33">
        <v>3</v>
      </c>
      <c r="U30" s="33">
        <v>1</v>
      </c>
      <c r="V30" s="33">
        <v>2</v>
      </c>
      <c r="W30" s="33">
        <v>2</v>
      </c>
      <c r="X30" s="33">
        <v>1</v>
      </c>
      <c r="Y30" s="33">
        <v>0</v>
      </c>
      <c r="Z30" s="33">
        <v>0</v>
      </c>
      <c r="AA30" s="33">
        <v>4</v>
      </c>
      <c r="AB30" s="33">
        <f t="shared" si="0"/>
        <v>36</v>
      </c>
      <c r="AC30" s="33">
        <v>2.2000000000000002</v>
      </c>
      <c r="AP30" s="33"/>
    </row>
    <row r="31" spans="1:42" x14ac:dyDescent="0.2">
      <c r="A31" s="27" t="s">
        <v>29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1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1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f t="shared" si="0"/>
        <v>2</v>
      </c>
      <c r="AC31" s="33">
        <v>0.1</v>
      </c>
      <c r="AP31" s="33"/>
    </row>
    <row r="32" spans="1:42" x14ac:dyDescent="0.2">
      <c r="A32" s="27" t="s">
        <v>31</v>
      </c>
      <c r="B32" s="33">
        <v>0</v>
      </c>
      <c r="C32" s="33">
        <v>0</v>
      </c>
      <c r="D32" s="33">
        <v>0</v>
      </c>
      <c r="E32" s="33">
        <v>0</v>
      </c>
      <c r="F32" s="33">
        <v>1</v>
      </c>
      <c r="G32" s="33">
        <v>0</v>
      </c>
      <c r="H32" s="33">
        <v>0</v>
      </c>
      <c r="I32" s="33">
        <v>0</v>
      </c>
      <c r="J32" s="33">
        <v>1</v>
      </c>
      <c r="K32" s="33">
        <v>0</v>
      </c>
      <c r="L32" s="33">
        <v>0</v>
      </c>
      <c r="M32" s="33">
        <v>6</v>
      </c>
      <c r="N32" s="33">
        <v>3</v>
      </c>
      <c r="O32" s="33">
        <v>8</v>
      </c>
      <c r="P32" s="33">
        <v>2</v>
      </c>
      <c r="Q32" s="33">
        <v>0</v>
      </c>
      <c r="R32" s="33">
        <v>0</v>
      </c>
      <c r="S32" s="33">
        <v>3</v>
      </c>
      <c r="T32" s="33">
        <v>2</v>
      </c>
      <c r="U32" s="33">
        <v>2</v>
      </c>
      <c r="V32" s="33">
        <v>6</v>
      </c>
      <c r="W32" s="33">
        <v>7</v>
      </c>
      <c r="X32" s="33">
        <v>1</v>
      </c>
      <c r="Y32" s="33">
        <v>0</v>
      </c>
      <c r="Z32" s="33">
        <v>2</v>
      </c>
      <c r="AA32" s="33">
        <v>3</v>
      </c>
      <c r="AB32" s="33">
        <f t="shared" si="0"/>
        <v>47</v>
      </c>
      <c r="AC32" s="33">
        <v>2.9</v>
      </c>
      <c r="AP32" s="33"/>
    </row>
    <row r="33" spans="1:42" x14ac:dyDescent="0.2">
      <c r="A33" s="27" t="s">
        <v>32</v>
      </c>
      <c r="B33" s="33">
        <v>0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1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f t="shared" si="0"/>
        <v>1</v>
      </c>
      <c r="AC33" s="33">
        <v>0.1</v>
      </c>
      <c r="AP33" s="33"/>
    </row>
    <row r="34" spans="1:42" x14ac:dyDescent="0.2">
      <c r="A34" s="27" t="s">
        <v>33</v>
      </c>
      <c r="B34" s="33">
        <v>0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1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2</v>
      </c>
      <c r="W34" s="33">
        <v>2</v>
      </c>
      <c r="X34" s="33">
        <v>0</v>
      </c>
      <c r="Y34" s="33">
        <v>1</v>
      </c>
      <c r="Z34" s="33">
        <v>2</v>
      </c>
      <c r="AA34" s="33">
        <v>0</v>
      </c>
      <c r="AB34" s="33">
        <f t="shared" si="0"/>
        <v>8</v>
      </c>
      <c r="AC34" s="33">
        <v>0.5</v>
      </c>
      <c r="AP34" s="33"/>
    </row>
    <row r="35" spans="1:42" x14ac:dyDescent="0.2">
      <c r="A35" t="s">
        <v>344</v>
      </c>
      <c r="B35" s="33">
        <f t="shared" ref="B35:AB35" si="1">SUM(B3:B34)</f>
        <v>2</v>
      </c>
      <c r="C35" s="33">
        <f t="shared" si="1"/>
        <v>4</v>
      </c>
      <c r="D35" s="33">
        <f t="shared" si="1"/>
        <v>32</v>
      </c>
      <c r="E35" s="33">
        <f t="shared" si="1"/>
        <v>13</v>
      </c>
      <c r="F35" s="33">
        <f t="shared" si="1"/>
        <v>11</v>
      </c>
      <c r="G35" s="33">
        <f t="shared" si="1"/>
        <v>39</v>
      </c>
      <c r="H35" s="33">
        <f t="shared" si="1"/>
        <v>3</v>
      </c>
      <c r="I35" s="33">
        <f t="shared" si="1"/>
        <v>5</v>
      </c>
      <c r="J35" s="33">
        <f t="shared" si="1"/>
        <v>8</v>
      </c>
      <c r="K35" s="33">
        <f t="shared" si="1"/>
        <v>5</v>
      </c>
      <c r="L35" s="33">
        <f t="shared" si="1"/>
        <v>9</v>
      </c>
      <c r="M35" s="33">
        <f t="shared" si="1"/>
        <v>132</v>
      </c>
      <c r="N35" s="33">
        <f t="shared" si="1"/>
        <v>67</v>
      </c>
      <c r="O35" s="33">
        <f t="shared" si="1"/>
        <v>151</v>
      </c>
      <c r="P35" s="33">
        <f t="shared" si="1"/>
        <v>33</v>
      </c>
      <c r="Q35" s="33">
        <f t="shared" si="1"/>
        <v>41</v>
      </c>
      <c r="R35" s="33">
        <f t="shared" si="1"/>
        <v>73</v>
      </c>
      <c r="S35" s="33">
        <f t="shared" si="1"/>
        <v>104</v>
      </c>
      <c r="T35" s="33">
        <f t="shared" si="1"/>
        <v>95</v>
      </c>
      <c r="U35" s="33">
        <f t="shared" si="1"/>
        <v>80</v>
      </c>
      <c r="V35" s="33">
        <f t="shared" si="1"/>
        <v>160</v>
      </c>
      <c r="W35" s="33">
        <f t="shared" si="1"/>
        <v>138</v>
      </c>
      <c r="X35" s="33">
        <f t="shared" si="1"/>
        <v>122</v>
      </c>
      <c r="Y35" s="33">
        <f t="shared" si="1"/>
        <v>20</v>
      </c>
      <c r="Z35" s="33">
        <f t="shared" si="1"/>
        <v>159</v>
      </c>
      <c r="AA35" s="33">
        <f t="shared" si="1"/>
        <v>106</v>
      </c>
      <c r="AB35" s="33">
        <f t="shared" si="1"/>
        <v>1612</v>
      </c>
      <c r="AC35" s="33">
        <f>SUM(AC3:AC34)</f>
        <v>99.800000000000011</v>
      </c>
      <c r="AP35" s="33"/>
    </row>
    <row r="37" spans="1:42" x14ac:dyDescent="0.2">
      <c r="A37" s="27" t="s">
        <v>1464</v>
      </c>
    </row>
    <row r="38" spans="1:42" x14ac:dyDescent="0.2">
      <c r="A38" s="27" t="s">
        <v>1465</v>
      </c>
    </row>
    <row r="39" spans="1:42" x14ac:dyDescent="0.2">
      <c r="A39" s="27" t="s">
        <v>1466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workbookViewId="0">
      <selection activeCell="F18" sqref="F18"/>
    </sheetView>
  </sheetViews>
  <sheetFormatPr defaultColWidth="11.42578125" defaultRowHeight="15" x14ac:dyDescent="0.25"/>
  <cols>
    <col min="1" max="1" width="18.42578125" style="37" customWidth="1"/>
    <col min="2" max="3" width="11.42578125" style="38"/>
    <col min="4" max="4" width="12.85546875" style="38" customWidth="1"/>
    <col min="5" max="5" width="11.42578125" style="38"/>
    <col min="6" max="6" width="13.28515625" style="38" customWidth="1"/>
    <col min="7" max="7" width="13" style="38" customWidth="1"/>
    <col min="8" max="8" width="17.140625" style="38" customWidth="1"/>
    <col min="9" max="16384" width="11.42578125" style="38"/>
  </cols>
  <sheetData>
    <row r="1" spans="1:8" ht="45" x14ac:dyDescent="0.25">
      <c r="A1" s="37" t="s">
        <v>614</v>
      </c>
      <c r="B1" s="38" t="s">
        <v>615</v>
      </c>
      <c r="C1" s="38" t="s">
        <v>616</v>
      </c>
      <c r="D1" s="38" t="s">
        <v>617</v>
      </c>
      <c r="E1" s="39" t="s">
        <v>618</v>
      </c>
      <c r="F1" s="38" t="s">
        <v>619</v>
      </c>
      <c r="G1" s="38" t="s">
        <v>620</v>
      </c>
      <c r="H1" s="38" t="s">
        <v>621</v>
      </c>
    </row>
    <row r="3" spans="1:8" ht="30" x14ac:dyDescent="0.25">
      <c r="A3" s="37" t="s">
        <v>622</v>
      </c>
      <c r="B3" s="38" t="s">
        <v>623</v>
      </c>
      <c r="C3" s="38" t="s">
        <v>624</v>
      </c>
      <c r="D3" s="38">
        <v>28</v>
      </c>
      <c r="E3" s="39" t="s">
        <v>625</v>
      </c>
      <c r="F3" s="38">
        <v>27</v>
      </c>
      <c r="G3" s="39" t="s">
        <v>626</v>
      </c>
      <c r="H3" s="38" t="s">
        <v>627</v>
      </c>
    </row>
    <row r="5" spans="1:8" ht="30" x14ac:dyDescent="0.25">
      <c r="A5" s="37" t="s">
        <v>622</v>
      </c>
      <c r="B5" s="38" t="s">
        <v>628</v>
      </c>
      <c r="C5" s="38" t="s">
        <v>629</v>
      </c>
      <c r="D5" s="38">
        <v>25</v>
      </c>
      <c r="E5" s="38" t="s">
        <v>630</v>
      </c>
      <c r="F5" s="38">
        <v>25</v>
      </c>
      <c r="G5" s="39" t="s">
        <v>631</v>
      </c>
      <c r="H5" s="39" t="s">
        <v>632</v>
      </c>
    </row>
    <row r="7" spans="1:8" ht="30" x14ac:dyDescent="0.25">
      <c r="A7" s="37" t="s">
        <v>633</v>
      </c>
      <c r="B7" s="38" t="s">
        <v>628</v>
      </c>
      <c r="C7" s="38" t="s">
        <v>629</v>
      </c>
      <c r="D7" s="38">
        <v>26</v>
      </c>
      <c r="E7" s="38" t="s">
        <v>634</v>
      </c>
      <c r="F7" s="38">
        <v>11</v>
      </c>
      <c r="G7" s="39" t="s">
        <v>635</v>
      </c>
      <c r="H7" s="39" t="s">
        <v>636</v>
      </c>
    </row>
    <row r="9" spans="1:8" ht="30" x14ac:dyDescent="0.25">
      <c r="A9" s="37" t="s">
        <v>633</v>
      </c>
      <c r="B9" s="38" t="s">
        <v>637</v>
      </c>
      <c r="C9" s="38" t="s">
        <v>638</v>
      </c>
      <c r="D9" s="38">
        <v>26</v>
      </c>
      <c r="E9" s="38" t="s">
        <v>639</v>
      </c>
      <c r="F9" s="38">
        <v>28</v>
      </c>
      <c r="G9" s="39" t="s">
        <v>640</v>
      </c>
      <c r="H9" s="39" t="s">
        <v>641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2"/>
  <sheetViews>
    <sheetView topLeftCell="A16" workbookViewId="0">
      <selection activeCell="B42" sqref="B42"/>
    </sheetView>
  </sheetViews>
  <sheetFormatPr defaultRowHeight="12.75" x14ac:dyDescent="0.2"/>
  <cols>
    <col min="1" max="1" width="26" bestFit="1" customWidth="1"/>
    <col min="13" max="13" width="9.140625" style="41"/>
  </cols>
  <sheetData>
    <row r="1" spans="1:13" x14ac:dyDescent="0.2">
      <c r="A1" t="s">
        <v>448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 t="s">
        <v>449</v>
      </c>
      <c r="M1" s="40"/>
    </row>
    <row r="2" spans="1:13" x14ac:dyDescent="0.2">
      <c r="A2" t="s">
        <v>287</v>
      </c>
      <c r="B2" s="34" t="s">
        <v>642</v>
      </c>
      <c r="C2" s="33" t="s">
        <v>643</v>
      </c>
      <c r="D2" s="33" t="s">
        <v>644</v>
      </c>
      <c r="E2" s="33" t="s">
        <v>292</v>
      </c>
      <c r="F2" s="33" t="s">
        <v>647</v>
      </c>
      <c r="G2" s="33" t="s">
        <v>648</v>
      </c>
      <c r="H2" s="33" t="s">
        <v>649</v>
      </c>
      <c r="I2" s="33" t="s">
        <v>405</v>
      </c>
      <c r="J2" s="33" t="s">
        <v>650</v>
      </c>
      <c r="K2" s="33" t="s">
        <v>651</v>
      </c>
      <c r="L2" s="33" t="s">
        <v>315</v>
      </c>
      <c r="M2" s="40" t="s">
        <v>460</v>
      </c>
    </row>
    <row r="3" spans="1:13" x14ac:dyDescent="0.2">
      <c r="A3" s="27" t="s">
        <v>1</v>
      </c>
      <c r="B3" s="33">
        <v>1</v>
      </c>
      <c r="C3" s="33">
        <v>1</v>
      </c>
      <c r="D3" s="33">
        <v>5</v>
      </c>
      <c r="E3" s="33">
        <v>0</v>
      </c>
      <c r="F3" s="33">
        <v>6</v>
      </c>
      <c r="G3" s="33">
        <v>1</v>
      </c>
      <c r="H3" s="33">
        <v>10</v>
      </c>
      <c r="I3" s="33">
        <v>3</v>
      </c>
      <c r="J3" s="33">
        <v>1</v>
      </c>
      <c r="K3" s="33">
        <v>2</v>
      </c>
      <c r="L3" s="33">
        <f t="shared" ref="L3:L39" si="0">SUM(B3:K3)</f>
        <v>30</v>
      </c>
      <c r="M3" s="40">
        <f t="shared" ref="M3:M12" si="1">(L3/$L$40)*100</f>
        <v>3.1847133757961785</v>
      </c>
    </row>
    <row r="4" spans="1:13" x14ac:dyDescent="0.2">
      <c r="A4" s="27" t="s">
        <v>3</v>
      </c>
      <c r="B4" s="33">
        <v>18</v>
      </c>
      <c r="C4" s="33">
        <v>16</v>
      </c>
      <c r="D4" s="33">
        <v>8</v>
      </c>
      <c r="E4" s="33">
        <v>13</v>
      </c>
      <c r="F4" s="33">
        <v>19</v>
      </c>
      <c r="G4" s="33">
        <v>2</v>
      </c>
      <c r="H4" s="33">
        <v>10</v>
      </c>
      <c r="I4" s="33">
        <v>4</v>
      </c>
      <c r="J4" s="33">
        <v>2</v>
      </c>
      <c r="K4" s="33">
        <v>4</v>
      </c>
      <c r="L4" s="33">
        <f t="shared" si="0"/>
        <v>96</v>
      </c>
      <c r="M4" s="40">
        <f t="shared" si="1"/>
        <v>10.191082802547772</v>
      </c>
    </row>
    <row r="5" spans="1:13" x14ac:dyDescent="0.2">
      <c r="A5" s="27" t="s">
        <v>4</v>
      </c>
      <c r="B5" s="33">
        <v>0</v>
      </c>
      <c r="C5" s="33">
        <v>2</v>
      </c>
      <c r="D5" s="33">
        <v>4</v>
      </c>
      <c r="E5" s="33">
        <v>5</v>
      </c>
      <c r="F5" s="33">
        <v>1</v>
      </c>
      <c r="G5" s="33">
        <v>2</v>
      </c>
      <c r="H5" s="33">
        <v>0</v>
      </c>
      <c r="I5" s="33">
        <v>2</v>
      </c>
      <c r="J5" s="33">
        <v>1</v>
      </c>
      <c r="K5" s="33">
        <v>0</v>
      </c>
      <c r="L5" s="33">
        <f t="shared" si="0"/>
        <v>17</v>
      </c>
      <c r="M5" s="40">
        <f t="shared" si="1"/>
        <v>1.8046709129511678</v>
      </c>
    </row>
    <row r="6" spans="1:13" x14ac:dyDescent="0.2">
      <c r="A6" s="27" t="s">
        <v>5</v>
      </c>
      <c r="B6" s="33">
        <v>1</v>
      </c>
      <c r="C6" s="33">
        <v>2</v>
      </c>
      <c r="D6" s="33">
        <v>1</v>
      </c>
      <c r="E6" s="33">
        <v>7</v>
      </c>
      <c r="F6" s="33">
        <v>4</v>
      </c>
      <c r="G6" s="33">
        <v>6</v>
      </c>
      <c r="H6" s="33">
        <v>3</v>
      </c>
      <c r="I6" s="33">
        <v>2</v>
      </c>
      <c r="J6" s="33">
        <v>3</v>
      </c>
      <c r="K6" s="33">
        <v>1</v>
      </c>
      <c r="L6" s="33">
        <f t="shared" si="0"/>
        <v>30</v>
      </c>
      <c r="M6" s="40">
        <f t="shared" si="1"/>
        <v>3.1847133757961785</v>
      </c>
    </row>
    <row r="7" spans="1:13" x14ac:dyDescent="0.2">
      <c r="A7" s="27" t="s">
        <v>6</v>
      </c>
      <c r="B7" s="33">
        <v>3</v>
      </c>
      <c r="C7" s="33">
        <v>3</v>
      </c>
      <c r="D7" s="33">
        <v>2</v>
      </c>
      <c r="E7" s="33">
        <v>13</v>
      </c>
      <c r="F7" s="33">
        <v>4</v>
      </c>
      <c r="G7" s="33">
        <v>19</v>
      </c>
      <c r="H7" s="33">
        <v>6</v>
      </c>
      <c r="I7" s="33">
        <v>5</v>
      </c>
      <c r="J7" s="33">
        <v>2</v>
      </c>
      <c r="K7" s="33">
        <v>0</v>
      </c>
      <c r="L7" s="33">
        <f t="shared" si="0"/>
        <v>57</v>
      </c>
      <c r="M7" s="40">
        <f t="shared" si="1"/>
        <v>6.0509554140127388</v>
      </c>
    </row>
    <row r="8" spans="1:13" x14ac:dyDescent="0.2">
      <c r="A8" s="27" t="s">
        <v>40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1</v>
      </c>
      <c r="I8" s="33">
        <v>0</v>
      </c>
      <c r="J8" s="33">
        <v>0</v>
      </c>
      <c r="K8" s="33">
        <v>0</v>
      </c>
      <c r="L8" s="33">
        <f t="shared" si="0"/>
        <v>1</v>
      </c>
      <c r="M8" s="40">
        <f t="shared" si="1"/>
        <v>0.10615711252653928</v>
      </c>
    </row>
    <row r="9" spans="1:13" x14ac:dyDescent="0.2">
      <c r="A9" s="27" t="s">
        <v>7</v>
      </c>
      <c r="B9" s="33">
        <v>1</v>
      </c>
      <c r="C9" s="33">
        <v>12</v>
      </c>
      <c r="D9" s="33">
        <v>7</v>
      </c>
      <c r="E9" s="33">
        <v>11</v>
      </c>
      <c r="F9" s="33">
        <v>20</v>
      </c>
      <c r="G9" s="33">
        <v>15</v>
      </c>
      <c r="H9" s="33">
        <v>31</v>
      </c>
      <c r="I9" s="33">
        <v>10</v>
      </c>
      <c r="J9" s="33">
        <v>6</v>
      </c>
      <c r="K9" s="33">
        <v>2</v>
      </c>
      <c r="L9" s="33">
        <f t="shared" si="0"/>
        <v>115</v>
      </c>
      <c r="M9" s="40">
        <f t="shared" si="1"/>
        <v>12.208067940552016</v>
      </c>
    </row>
    <row r="10" spans="1:13" x14ac:dyDescent="0.2">
      <c r="A10" s="27" t="s">
        <v>9</v>
      </c>
      <c r="B10" s="33">
        <v>0</v>
      </c>
      <c r="C10" s="33">
        <v>0</v>
      </c>
      <c r="D10" s="33">
        <v>1</v>
      </c>
      <c r="E10" s="33">
        <v>0</v>
      </c>
      <c r="F10" s="33">
        <v>0</v>
      </c>
      <c r="G10" s="33">
        <v>1</v>
      </c>
      <c r="H10" s="33">
        <v>0</v>
      </c>
      <c r="I10" s="33">
        <v>0</v>
      </c>
      <c r="J10" s="33">
        <v>0</v>
      </c>
      <c r="K10" s="33">
        <v>0</v>
      </c>
      <c r="L10" s="33">
        <f t="shared" si="0"/>
        <v>2</v>
      </c>
      <c r="M10" s="40">
        <f t="shared" si="1"/>
        <v>0.21231422505307856</v>
      </c>
    </row>
    <row r="11" spans="1:13" x14ac:dyDescent="0.2">
      <c r="A11" s="27" t="s">
        <v>10</v>
      </c>
      <c r="B11" s="33">
        <v>0</v>
      </c>
      <c r="C11" s="33">
        <v>1</v>
      </c>
      <c r="D11" s="33">
        <v>0</v>
      </c>
      <c r="E11" s="33">
        <v>0</v>
      </c>
      <c r="F11" s="33">
        <v>0</v>
      </c>
      <c r="G11" s="33">
        <v>0</v>
      </c>
      <c r="H11" s="33">
        <v>1</v>
      </c>
      <c r="I11" s="33">
        <v>1</v>
      </c>
      <c r="J11" s="33">
        <v>0</v>
      </c>
      <c r="K11" s="33">
        <v>0</v>
      </c>
      <c r="L11" s="33">
        <f t="shared" si="0"/>
        <v>3</v>
      </c>
      <c r="M11" s="40">
        <f t="shared" si="1"/>
        <v>0.31847133757961787</v>
      </c>
    </row>
    <row r="12" spans="1:13" x14ac:dyDescent="0.2">
      <c r="A12" s="27" t="s">
        <v>11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1</v>
      </c>
      <c r="H12" s="33">
        <v>1</v>
      </c>
      <c r="I12" s="33">
        <v>0</v>
      </c>
      <c r="J12" s="33">
        <v>0</v>
      </c>
      <c r="K12" s="33">
        <v>0</v>
      </c>
      <c r="L12" s="33">
        <f t="shared" si="0"/>
        <v>2</v>
      </c>
      <c r="M12" s="40">
        <f t="shared" si="1"/>
        <v>0.21231422505307856</v>
      </c>
    </row>
    <row r="13" spans="1:13" x14ac:dyDescent="0.2">
      <c r="A13" s="27" t="s">
        <v>503</v>
      </c>
      <c r="B13" s="33">
        <v>0</v>
      </c>
      <c r="C13" s="33">
        <v>0</v>
      </c>
      <c r="D13" s="33">
        <v>1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f t="shared" si="0"/>
        <v>1</v>
      </c>
      <c r="M13" s="40">
        <f t="shared" ref="M13:M35" si="2">(L13/$L$40)*100</f>
        <v>0.10615711252653928</v>
      </c>
    </row>
    <row r="14" spans="1:13" x14ac:dyDescent="0.2">
      <c r="A14" s="27" t="s">
        <v>469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f t="shared" si="0"/>
        <v>0</v>
      </c>
      <c r="M14" s="40">
        <f t="shared" si="2"/>
        <v>0</v>
      </c>
    </row>
    <row r="15" spans="1:13" x14ac:dyDescent="0.2">
      <c r="A15" s="27" t="s">
        <v>13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1</v>
      </c>
      <c r="K15" s="33">
        <v>1</v>
      </c>
      <c r="L15" s="33">
        <f t="shared" si="0"/>
        <v>2</v>
      </c>
      <c r="M15" s="40">
        <f t="shared" si="2"/>
        <v>0.21231422505307856</v>
      </c>
    </row>
    <row r="16" spans="1:13" x14ac:dyDescent="0.2">
      <c r="A16" s="27" t="s">
        <v>427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f t="shared" si="0"/>
        <v>0</v>
      </c>
      <c r="M16" s="40">
        <f t="shared" si="2"/>
        <v>0</v>
      </c>
    </row>
    <row r="17" spans="1:13" x14ac:dyDescent="0.2">
      <c r="A17" s="27" t="s">
        <v>15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f t="shared" si="0"/>
        <v>0</v>
      </c>
      <c r="M17" s="40">
        <f t="shared" si="2"/>
        <v>0</v>
      </c>
    </row>
    <row r="18" spans="1:13" x14ac:dyDescent="0.2">
      <c r="A18" s="27" t="s">
        <v>16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f t="shared" si="0"/>
        <v>0</v>
      </c>
      <c r="M18" s="40">
        <f t="shared" si="2"/>
        <v>0</v>
      </c>
    </row>
    <row r="19" spans="1:13" x14ac:dyDescent="0.2">
      <c r="A19" s="27" t="s">
        <v>17</v>
      </c>
      <c r="B19" s="33">
        <v>1</v>
      </c>
      <c r="C19" s="33">
        <v>0</v>
      </c>
      <c r="D19" s="33">
        <v>2</v>
      </c>
      <c r="E19" s="33">
        <v>0</v>
      </c>
      <c r="F19" s="33">
        <v>3</v>
      </c>
      <c r="G19" s="33">
        <v>3</v>
      </c>
      <c r="H19" s="33">
        <v>1</v>
      </c>
      <c r="I19" s="33">
        <v>0</v>
      </c>
      <c r="J19" s="33">
        <v>0</v>
      </c>
      <c r="K19" s="33">
        <v>0</v>
      </c>
      <c r="L19" s="33">
        <f t="shared" si="0"/>
        <v>10</v>
      </c>
      <c r="M19" s="40">
        <f t="shared" si="2"/>
        <v>1.0615711252653928</v>
      </c>
    </row>
    <row r="20" spans="1:13" x14ac:dyDescent="0.2">
      <c r="A20" s="27" t="s">
        <v>18</v>
      </c>
      <c r="B20" s="33">
        <v>5</v>
      </c>
      <c r="C20" s="33">
        <v>0</v>
      </c>
      <c r="D20" s="33">
        <v>4</v>
      </c>
      <c r="E20" s="33">
        <v>10</v>
      </c>
      <c r="F20" s="33">
        <v>2</v>
      </c>
      <c r="G20" s="33">
        <v>4</v>
      </c>
      <c r="H20" s="33">
        <v>8</v>
      </c>
      <c r="I20" s="33">
        <v>5</v>
      </c>
      <c r="J20" s="33">
        <v>3</v>
      </c>
      <c r="K20" s="33">
        <v>4</v>
      </c>
      <c r="L20" s="33">
        <f t="shared" si="0"/>
        <v>45</v>
      </c>
      <c r="M20" s="40">
        <f t="shared" si="2"/>
        <v>4.7770700636942678</v>
      </c>
    </row>
    <row r="21" spans="1:13" x14ac:dyDescent="0.2">
      <c r="A21" s="27" t="s">
        <v>19</v>
      </c>
      <c r="B21" s="33">
        <v>10</v>
      </c>
      <c r="C21" s="33">
        <v>0</v>
      </c>
      <c r="D21" s="33">
        <v>24</v>
      </c>
      <c r="E21" s="33">
        <v>9</v>
      </c>
      <c r="F21" s="33">
        <v>4</v>
      </c>
      <c r="G21" s="33">
        <v>5</v>
      </c>
      <c r="H21" s="33">
        <v>23</v>
      </c>
      <c r="I21" s="33">
        <v>24</v>
      </c>
      <c r="J21" s="33">
        <v>17</v>
      </c>
      <c r="K21" s="33">
        <v>0</v>
      </c>
      <c r="L21" s="33">
        <f t="shared" si="0"/>
        <v>116</v>
      </c>
      <c r="M21" s="40">
        <f t="shared" si="2"/>
        <v>12.314225053078557</v>
      </c>
    </row>
    <row r="22" spans="1:13" x14ac:dyDescent="0.2">
      <c r="A22" s="27" t="s">
        <v>20</v>
      </c>
      <c r="B22" s="33">
        <v>14</v>
      </c>
      <c r="C22" s="33">
        <v>0</v>
      </c>
      <c r="D22" s="33">
        <v>0</v>
      </c>
      <c r="E22" s="33">
        <v>9</v>
      </c>
      <c r="F22" s="33">
        <v>3</v>
      </c>
      <c r="G22" s="33">
        <v>2</v>
      </c>
      <c r="H22" s="33">
        <v>4</v>
      </c>
      <c r="I22" s="33">
        <v>1</v>
      </c>
      <c r="J22" s="33">
        <v>1</v>
      </c>
      <c r="K22" s="33">
        <v>1</v>
      </c>
      <c r="L22" s="33">
        <f t="shared" si="0"/>
        <v>35</v>
      </c>
      <c r="M22" s="40">
        <f t="shared" si="2"/>
        <v>3.7154989384288748</v>
      </c>
    </row>
    <row r="23" spans="1:13" x14ac:dyDescent="0.2">
      <c r="A23" s="27" t="s">
        <v>645</v>
      </c>
      <c r="B23" s="33">
        <v>0</v>
      </c>
      <c r="C23" s="33">
        <v>0</v>
      </c>
      <c r="D23" s="33">
        <v>22</v>
      </c>
      <c r="E23" s="33">
        <v>0</v>
      </c>
      <c r="F23" s="33">
        <v>1</v>
      </c>
      <c r="G23" s="33">
        <v>7</v>
      </c>
      <c r="H23" s="33">
        <v>8</v>
      </c>
      <c r="I23" s="33">
        <v>0</v>
      </c>
      <c r="J23" s="33">
        <v>1</v>
      </c>
      <c r="K23" s="33">
        <v>0</v>
      </c>
      <c r="L23" s="33">
        <f t="shared" si="0"/>
        <v>39</v>
      </c>
      <c r="M23" s="40">
        <f t="shared" si="2"/>
        <v>4.1401273885350314</v>
      </c>
    </row>
    <row r="24" spans="1:13" x14ac:dyDescent="0.2">
      <c r="A24" s="27" t="s">
        <v>200</v>
      </c>
      <c r="B24" s="33">
        <v>0</v>
      </c>
      <c r="C24" s="33">
        <v>2</v>
      </c>
      <c r="D24" s="33">
        <v>2</v>
      </c>
      <c r="E24" s="33">
        <v>9</v>
      </c>
      <c r="F24" s="33">
        <v>1</v>
      </c>
      <c r="G24" s="33">
        <v>12</v>
      </c>
      <c r="H24" s="33">
        <v>1</v>
      </c>
      <c r="I24" s="33">
        <v>0</v>
      </c>
      <c r="J24" s="33">
        <v>2</v>
      </c>
      <c r="K24" s="33">
        <v>0</v>
      </c>
      <c r="L24" s="33">
        <f t="shared" si="0"/>
        <v>29</v>
      </c>
      <c r="M24" s="40">
        <f t="shared" si="2"/>
        <v>3.0785562632696393</v>
      </c>
    </row>
    <row r="25" spans="1:13" x14ac:dyDescent="0.2">
      <c r="A25" s="27" t="s">
        <v>435</v>
      </c>
      <c r="B25" s="33">
        <v>3</v>
      </c>
      <c r="C25" s="33">
        <v>0</v>
      </c>
      <c r="D25" s="33">
        <v>9</v>
      </c>
      <c r="E25" s="33">
        <v>0</v>
      </c>
      <c r="F25" s="33">
        <v>0</v>
      </c>
      <c r="G25" s="33">
        <v>0</v>
      </c>
      <c r="H25" s="33">
        <v>4</v>
      </c>
      <c r="I25" s="33">
        <v>1</v>
      </c>
      <c r="J25" s="33">
        <v>1</v>
      </c>
      <c r="K25" s="33">
        <v>0</v>
      </c>
      <c r="L25" s="33">
        <f t="shared" si="0"/>
        <v>18</v>
      </c>
      <c r="M25" s="40">
        <f t="shared" si="2"/>
        <v>1.910828025477707</v>
      </c>
    </row>
    <row r="26" spans="1:13" x14ac:dyDescent="0.2">
      <c r="A26" s="27" t="s">
        <v>22</v>
      </c>
      <c r="B26" s="33">
        <v>2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v>1</v>
      </c>
      <c r="I26" s="33">
        <v>0</v>
      </c>
      <c r="J26" s="33">
        <v>1</v>
      </c>
      <c r="K26" s="33">
        <v>0</v>
      </c>
      <c r="L26" s="33">
        <f t="shared" si="0"/>
        <v>4</v>
      </c>
      <c r="M26" s="40">
        <f t="shared" si="2"/>
        <v>0.42462845010615713</v>
      </c>
    </row>
    <row r="27" spans="1:13" x14ac:dyDescent="0.2">
      <c r="A27" s="27" t="s">
        <v>23</v>
      </c>
      <c r="B27" s="33">
        <v>0</v>
      </c>
      <c r="C27" s="33">
        <v>0</v>
      </c>
      <c r="D27" s="33">
        <v>1</v>
      </c>
      <c r="E27" s="33">
        <v>0</v>
      </c>
      <c r="F27" s="33">
        <v>0</v>
      </c>
      <c r="G27" s="33">
        <v>2</v>
      </c>
      <c r="H27" s="33">
        <v>0</v>
      </c>
      <c r="I27" s="33">
        <v>1</v>
      </c>
      <c r="J27" s="33">
        <v>0</v>
      </c>
      <c r="K27" s="33">
        <v>0</v>
      </c>
      <c r="L27" s="33">
        <f t="shared" si="0"/>
        <v>4</v>
      </c>
      <c r="M27" s="40">
        <f t="shared" si="2"/>
        <v>0.42462845010615713</v>
      </c>
    </row>
    <row r="28" spans="1:13" x14ac:dyDescent="0.2">
      <c r="A28" s="27" t="s">
        <v>194</v>
      </c>
      <c r="B28" s="33">
        <v>0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f t="shared" si="0"/>
        <v>0</v>
      </c>
      <c r="M28" s="40">
        <f t="shared" si="2"/>
        <v>0</v>
      </c>
    </row>
    <row r="29" spans="1:13" x14ac:dyDescent="0.2">
      <c r="A29" s="27" t="s">
        <v>195</v>
      </c>
      <c r="B29" s="33">
        <v>0</v>
      </c>
      <c r="C29" s="33">
        <v>0</v>
      </c>
      <c r="D29" s="33">
        <v>4</v>
      </c>
      <c r="E29" s="33">
        <v>3</v>
      </c>
      <c r="F29" s="33">
        <v>0</v>
      </c>
      <c r="G29" s="33">
        <v>0</v>
      </c>
      <c r="H29" s="33">
        <v>2</v>
      </c>
      <c r="I29" s="33">
        <v>1</v>
      </c>
      <c r="J29" s="33">
        <v>0</v>
      </c>
      <c r="K29" s="33">
        <v>0</v>
      </c>
      <c r="L29" s="33">
        <f t="shared" si="0"/>
        <v>10</v>
      </c>
      <c r="M29" s="40">
        <f t="shared" si="2"/>
        <v>1.0615711252653928</v>
      </c>
    </row>
    <row r="30" spans="1:13" x14ac:dyDescent="0.2">
      <c r="A30" s="27" t="s">
        <v>25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1</v>
      </c>
      <c r="H30" s="33">
        <v>0</v>
      </c>
      <c r="I30" s="33">
        <v>1</v>
      </c>
      <c r="J30" s="33">
        <v>0</v>
      </c>
      <c r="K30" s="33">
        <v>0</v>
      </c>
      <c r="L30" s="33">
        <f t="shared" si="0"/>
        <v>2</v>
      </c>
      <c r="M30" s="40">
        <f t="shared" si="2"/>
        <v>0.21231422505307856</v>
      </c>
    </row>
    <row r="31" spans="1:13" x14ac:dyDescent="0.2">
      <c r="A31" s="27" t="s">
        <v>646</v>
      </c>
      <c r="B31" s="33">
        <v>0</v>
      </c>
      <c r="C31" s="33">
        <v>0</v>
      </c>
      <c r="D31" s="33">
        <v>0</v>
      </c>
      <c r="E31" s="33">
        <v>1</v>
      </c>
      <c r="F31" s="33">
        <v>0</v>
      </c>
      <c r="G31" s="33">
        <v>0</v>
      </c>
      <c r="H31" s="33">
        <v>0</v>
      </c>
      <c r="I31" s="33">
        <v>1</v>
      </c>
      <c r="J31" s="33">
        <v>0</v>
      </c>
      <c r="K31" s="33">
        <v>0</v>
      </c>
      <c r="L31" s="33">
        <f t="shared" si="0"/>
        <v>2</v>
      </c>
      <c r="M31" s="40">
        <f t="shared" si="2"/>
        <v>0.21231422505307856</v>
      </c>
    </row>
    <row r="32" spans="1:13" x14ac:dyDescent="0.2">
      <c r="A32" s="27" t="s">
        <v>26</v>
      </c>
      <c r="B32" s="33">
        <v>0</v>
      </c>
      <c r="C32" s="33">
        <v>0</v>
      </c>
      <c r="D32" s="33">
        <v>0</v>
      </c>
      <c r="E32" s="33">
        <v>0</v>
      </c>
      <c r="F32" s="33">
        <v>0</v>
      </c>
      <c r="G32" s="33">
        <v>1</v>
      </c>
      <c r="H32" s="33">
        <v>0</v>
      </c>
      <c r="I32" s="33">
        <v>0</v>
      </c>
      <c r="J32" s="33">
        <v>0</v>
      </c>
      <c r="K32" s="33">
        <v>0</v>
      </c>
      <c r="L32" s="33">
        <f t="shared" si="0"/>
        <v>1</v>
      </c>
      <c r="M32" s="40">
        <f t="shared" si="2"/>
        <v>0.10615711252653928</v>
      </c>
    </row>
    <row r="33" spans="1:13" x14ac:dyDescent="0.2">
      <c r="A33" s="27" t="s">
        <v>27</v>
      </c>
      <c r="B33" s="33">
        <v>26</v>
      </c>
      <c r="C33" s="33">
        <v>0</v>
      </c>
      <c r="D33" s="33">
        <v>16</v>
      </c>
      <c r="E33" s="33">
        <v>31</v>
      </c>
      <c r="F33" s="33">
        <v>18</v>
      </c>
      <c r="G33" s="33">
        <v>36</v>
      </c>
      <c r="H33" s="33">
        <v>35</v>
      </c>
      <c r="I33" s="33">
        <v>35</v>
      </c>
      <c r="J33" s="33">
        <v>21</v>
      </c>
      <c r="K33" s="33">
        <v>7</v>
      </c>
      <c r="L33" s="33">
        <f t="shared" si="0"/>
        <v>225</v>
      </c>
      <c r="M33" s="40">
        <f t="shared" si="2"/>
        <v>23.885350318471339</v>
      </c>
    </row>
    <row r="34" spans="1:13" x14ac:dyDescent="0.2">
      <c r="A34" s="27" t="s">
        <v>28</v>
      </c>
      <c r="B34" s="33">
        <v>1</v>
      </c>
      <c r="C34" s="33">
        <v>0</v>
      </c>
      <c r="D34" s="33">
        <v>3</v>
      </c>
      <c r="E34" s="33">
        <v>1</v>
      </c>
      <c r="F34" s="33">
        <v>2</v>
      </c>
      <c r="G34" s="33">
        <v>0</v>
      </c>
      <c r="H34" s="33">
        <v>2</v>
      </c>
      <c r="I34" s="33">
        <v>0</v>
      </c>
      <c r="J34" s="33">
        <v>0</v>
      </c>
      <c r="K34" s="33">
        <v>0</v>
      </c>
      <c r="L34" s="33">
        <f t="shared" si="0"/>
        <v>9</v>
      </c>
      <c r="M34" s="40">
        <f t="shared" si="2"/>
        <v>0.95541401273885351</v>
      </c>
    </row>
    <row r="35" spans="1:13" x14ac:dyDescent="0.2">
      <c r="A35" s="27" t="s">
        <v>29</v>
      </c>
      <c r="B35" s="33">
        <v>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f t="shared" si="0"/>
        <v>0</v>
      </c>
      <c r="M35" s="40">
        <f t="shared" si="2"/>
        <v>0</v>
      </c>
    </row>
    <row r="36" spans="1:13" x14ac:dyDescent="0.2">
      <c r="A36" s="27" t="s">
        <v>30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f t="shared" si="0"/>
        <v>0</v>
      </c>
      <c r="M36" s="40">
        <f>(L36/$L$40)*100</f>
        <v>0</v>
      </c>
    </row>
    <row r="37" spans="1:13" x14ac:dyDescent="0.2">
      <c r="A37" s="27" t="s">
        <v>31</v>
      </c>
      <c r="B37" s="33">
        <v>0</v>
      </c>
      <c r="C37" s="33">
        <v>0</v>
      </c>
      <c r="D37" s="33">
        <v>2</v>
      </c>
      <c r="E37" s="33">
        <v>1</v>
      </c>
      <c r="F37" s="33">
        <v>0</v>
      </c>
      <c r="G37" s="33">
        <v>3</v>
      </c>
      <c r="H37" s="33">
        <v>4</v>
      </c>
      <c r="I37" s="33">
        <v>1</v>
      </c>
      <c r="J37" s="33">
        <v>1</v>
      </c>
      <c r="K37" s="33">
        <v>0</v>
      </c>
      <c r="L37" s="33">
        <f t="shared" si="0"/>
        <v>12</v>
      </c>
      <c r="M37" s="40">
        <f>(L37/$L$40)*100</f>
        <v>1.2738853503184715</v>
      </c>
    </row>
    <row r="38" spans="1:13" x14ac:dyDescent="0.2">
      <c r="A38" s="27" t="s">
        <v>32</v>
      </c>
      <c r="B38" s="33">
        <v>0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f t="shared" si="0"/>
        <v>0</v>
      </c>
      <c r="M38" s="40">
        <f>(L38/$L$40)*100</f>
        <v>0</v>
      </c>
    </row>
    <row r="39" spans="1:13" x14ac:dyDescent="0.2">
      <c r="A39" s="27" t="s">
        <v>33</v>
      </c>
      <c r="B39" s="33">
        <v>1</v>
      </c>
      <c r="C39" s="33">
        <v>0</v>
      </c>
      <c r="D39" s="33">
        <v>4</v>
      </c>
      <c r="E39" s="33">
        <v>2</v>
      </c>
      <c r="F39" s="33">
        <v>2</v>
      </c>
      <c r="G39" s="33">
        <v>1</v>
      </c>
      <c r="H39" s="33">
        <v>9</v>
      </c>
      <c r="I39" s="33">
        <v>2</v>
      </c>
      <c r="J39" s="33">
        <v>4</v>
      </c>
      <c r="K39" s="33">
        <v>0</v>
      </c>
      <c r="L39" s="33">
        <f t="shared" si="0"/>
        <v>25</v>
      </c>
      <c r="M39" s="40">
        <f>(L39/$L$40)*100</f>
        <v>2.6539278131634823</v>
      </c>
    </row>
    <row r="40" spans="1:13" x14ac:dyDescent="0.2">
      <c r="A40" t="s">
        <v>344</v>
      </c>
      <c r="B40" s="33">
        <f>SUM(B3:B39)</f>
        <v>87</v>
      </c>
      <c r="C40" s="33">
        <f>SUM(C3:C39)</f>
        <v>39</v>
      </c>
      <c r="D40" s="33">
        <f>SUM(D3:D39)</f>
        <v>122</v>
      </c>
      <c r="E40" s="33">
        <f t="shared" ref="E40:K40" si="3">SUM(E3:E39)</f>
        <v>125</v>
      </c>
      <c r="F40" s="33">
        <f t="shared" si="3"/>
        <v>90</v>
      </c>
      <c r="G40" s="33">
        <f t="shared" si="3"/>
        <v>124</v>
      </c>
      <c r="H40" s="33">
        <f t="shared" si="3"/>
        <v>165</v>
      </c>
      <c r="I40" s="33">
        <f t="shared" si="3"/>
        <v>100</v>
      </c>
      <c r="J40" s="33">
        <f t="shared" si="3"/>
        <v>68</v>
      </c>
      <c r="K40" s="33">
        <f t="shared" si="3"/>
        <v>22</v>
      </c>
      <c r="L40" s="33">
        <f>SUM(L3:L39)</f>
        <v>942</v>
      </c>
      <c r="M40" s="40">
        <f>(L40/$L$40)*100</f>
        <v>100</v>
      </c>
    </row>
    <row r="42" spans="1:13" x14ac:dyDescent="0.2">
      <c r="A42" s="27" t="s">
        <v>1467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5"/>
  <sheetViews>
    <sheetView topLeftCell="A22" workbookViewId="0">
      <selection activeCell="A46" sqref="A46"/>
    </sheetView>
  </sheetViews>
  <sheetFormatPr defaultRowHeight="12.75" x14ac:dyDescent="0.2"/>
  <cols>
    <col min="1" max="1" width="26" bestFit="1" customWidth="1"/>
    <col min="5" max="11" width="9.140625" customWidth="1"/>
    <col min="28" max="28" width="13.28515625" style="41" bestFit="1" customWidth="1"/>
  </cols>
  <sheetData>
    <row r="1" spans="1:28" x14ac:dyDescent="0.2">
      <c r="A1" t="s">
        <v>448</v>
      </c>
      <c r="B1" s="33">
        <v>1</v>
      </c>
      <c r="C1" s="33">
        <v>3</v>
      </c>
      <c r="D1" s="33">
        <v>4</v>
      </c>
      <c r="E1" s="33">
        <v>5</v>
      </c>
      <c r="F1" s="33">
        <v>6</v>
      </c>
      <c r="G1" s="33">
        <v>7</v>
      </c>
      <c r="H1" s="33">
        <v>8</v>
      </c>
      <c r="I1" s="33">
        <v>9</v>
      </c>
      <c r="J1" s="33">
        <v>10</v>
      </c>
      <c r="K1" s="33">
        <v>11</v>
      </c>
      <c r="L1" s="33">
        <v>12</v>
      </c>
      <c r="M1" s="33">
        <v>13</v>
      </c>
      <c r="N1" s="33">
        <v>14</v>
      </c>
      <c r="O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s="33" t="s">
        <v>449</v>
      </c>
      <c r="AB1" s="40"/>
    </row>
    <row r="2" spans="1:28" x14ac:dyDescent="0.2">
      <c r="A2" t="s">
        <v>287</v>
      </c>
      <c r="B2" s="34" t="s">
        <v>652</v>
      </c>
      <c r="C2" s="33" t="s">
        <v>654</v>
      </c>
      <c r="D2" s="33" t="s">
        <v>653</v>
      </c>
      <c r="E2" s="33" t="s">
        <v>655</v>
      </c>
      <c r="F2" s="33" t="s">
        <v>656</v>
      </c>
      <c r="G2" s="33" t="s">
        <v>657</v>
      </c>
      <c r="H2" s="33" t="s">
        <v>658</v>
      </c>
      <c r="I2" s="33" t="s">
        <v>659</v>
      </c>
      <c r="J2" s="33" t="s">
        <v>660</v>
      </c>
      <c r="K2" s="33" t="s">
        <v>661</v>
      </c>
      <c r="L2" s="33" t="s">
        <v>662</v>
      </c>
      <c r="M2" s="33" t="s">
        <v>663</v>
      </c>
      <c r="N2" s="33" t="s">
        <v>664</v>
      </c>
      <c r="O2" s="33" t="s">
        <v>665</v>
      </c>
      <c r="P2" s="43"/>
      <c r="Q2" s="33" t="s">
        <v>666</v>
      </c>
      <c r="R2" s="33" t="s">
        <v>601</v>
      </c>
      <c r="S2" s="33" t="s">
        <v>668</v>
      </c>
      <c r="T2" s="33" t="s">
        <v>669</v>
      </c>
      <c r="U2" s="33" t="s">
        <v>670</v>
      </c>
      <c r="V2" s="33" t="s">
        <v>671</v>
      </c>
      <c r="W2" s="33" t="s">
        <v>672</v>
      </c>
      <c r="X2" s="33" t="s">
        <v>673</v>
      </c>
      <c r="Y2" s="33" t="s">
        <v>674</v>
      </c>
      <c r="Z2" s="33" t="s">
        <v>675</v>
      </c>
      <c r="AA2" s="33" t="s">
        <v>315</v>
      </c>
      <c r="AB2" s="40" t="s">
        <v>460</v>
      </c>
    </row>
    <row r="3" spans="1:28" x14ac:dyDescent="0.2">
      <c r="A3" s="27" t="s">
        <v>1</v>
      </c>
      <c r="B3" s="33">
        <v>0</v>
      </c>
      <c r="C3" s="33">
        <v>0</v>
      </c>
      <c r="D3" s="33">
        <v>0</v>
      </c>
      <c r="E3" s="33">
        <v>0</v>
      </c>
      <c r="F3" s="33">
        <v>1</v>
      </c>
      <c r="G3" s="33">
        <v>0</v>
      </c>
      <c r="H3" s="33">
        <v>0</v>
      </c>
      <c r="I3" s="33">
        <v>0</v>
      </c>
      <c r="J3" s="33">
        <v>2</v>
      </c>
      <c r="K3" s="33">
        <v>0</v>
      </c>
      <c r="L3" s="33">
        <v>2</v>
      </c>
      <c r="M3" s="33">
        <v>0</v>
      </c>
      <c r="N3" s="33">
        <v>1</v>
      </c>
      <c r="O3" s="33">
        <v>2</v>
      </c>
      <c r="P3" s="43"/>
      <c r="Q3" s="33">
        <v>0</v>
      </c>
      <c r="R3" s="33">
        <v>1</v>
      </c>
      <c r="S3" s="33">
        <v>0</v>
      </c>
      <c r="T3" s="33">
        <v>0</v>
      </c>
      <c r="U3" s="33">
        <v>0</v>
      </c>
      <c r="V3" s="33">
        <v>6</v>
      </c>
      <c r="W3" s="33">
        <v>4</v>
      </c>
      <c r="X3" s="33">
        <v>7</v>
      </c>
      <c r="Y3" s="33">
        <v>3</v>
      </c>
      <c r="Z3" s="33">
        <v>3</v>
      </c>
      <c r="AA3" s="33">
        <f t="shared" ref="AA3:AA41" si="0">SUM(B3:Z3)</f>
        <v>32</v>
      </c>
      <c r="AB3" s="40">
        <f t="shared" ref="AB3:AB42" si="1">(AA3/$AA$42)*100</f>
        <v>2.1178027796161483</v>
      </c>
    </row>
    <row r="4" spans="1:28" x14ac:dyDescent="0.2">
      <c r="A4" s="27" t="s">
        <v>3</v>
      </c>
      <c r="B4" s="33">
        <v>0</v>
      </c>
      <c r="C4" s="33">
        <v>1</v>
      </c>
      <c r="D4" s="33">
        <v>3</v>
      </c>
      <c r="E4" s="33">
        <v>0</v>
      </c>
      <c r="F4" s="33">
        <v>4</v>
      </c>
      <c r="G4" s="33">
        <v>3</v>
      </c>
      <c r="H4" s="33">
        <v>4</v>
      </c>
      <c r="I4" s="33">
        <v>16</v>
      </c>
      <c r="J4" s="33">
        <v>3</v>
      </c>
      <c r="K4" s="33">
        <v>9</v>
      </c>
      <c r="L4" s="33">
        <v>7</v>
      </c>
      <c r="M4" s="33">
        <v>14</v>
      </c>
      <c r="N4" s="33">
        <v>5</v>
      </c>
      <c r="O4" s="33">
        <v>7</v>
      </c>
      <c r="P4" s="43"/>
      <c r="Q4" s="33">
        <v>1</v>
      </c>
      <c r="R4" s="33">
        <v>5</v>
      </c>
      <c r="S4" s="33">
        <v>0</v>
      </c>
      <c r="T4" s="33">
        <v>1</v>
      </c>
      <c r="U4" s="33">
        <v>1</v>
      </c>
      <c r="V4" s="33">
        <v>7</v>
      </c>
      <c r="W4" s="33">
        <v>8</v>
      </c>
      <c r="X4" s="33">
        <v>22</v>
      </c>
      <c r="Y4" s="33">
        <v>5</v>
      </c>
      <c r="Z4" s="33">
        <v>10</v>
      </c>
      <c r="AA4" s="33">
        <f t="shared" si="0"/>
        <v>136</v>
      </c>
      <c r="AB4" s="40">
        <f t="shared" si="1"/>
        <v>9.0006618133686302</v>
      </c>
    </row>
    <row r="5" spans="1:28" x14ac:dyDescent="0.2">
      <c r="A5" s="27" t="s">
        <v>4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1</v>
      </c>
      <c r="K5" s="33">
        <v>2</v>
      </c>
      <c r="L5" s="33">
        <v>1</v>
      </c>
      <c r="M5" s="33">
        <v>0</v>
      </c>
      <c r="N5" s="33">
        <v>1</v>
      </c>
      <c r="O5" s="33">
        <v>2</v>
      </c>
      <c r="P5" s="43"/>
      <c r="Q5" s="33">
        <v>1</v>
      </c>
      <c r="R5" s="33">
        <v>1</v>
      </c>
      <c r="S5" s="33">
        <v>0</v>
      </c>
      <c r="T5" s="33">
        <v>0</v>
      </c>
      <c r="U5" s="33">
        <v>1</v>
      </c>
      <c r="V5" s="33">
        <v>3</v>
      </c>
      <c r="W5" s="33">
        <v>4</v>
      </c>
      <c r="X5" s="33">
        <v>7</v>
      </c>
      <c r="Y5" s="33">
        <v>1</v>
      </c>
      <c r="Z5" s="33">
        <v>4</v>
      </c>
      <c r="AA5" s="33">
        <f t="shared" si="0"/>
        <v>29</v>
      </c>
      <c r="AB5" s="40">
        <f t="shared" si="1"/>
        <v>1.9192587690271343</v>
      </c>
    </row>
    <row r="6" spans="1:28" x14ac:dyDescent="0.2">
      <c r="A6" s="27" t="s">
        <v>5</v>
      </c>
      <c r="B6" s="33">
        <v>0</v>
      </c>
      <c r="C6" s="33">
        <v>1</v>
      </c>
      <c r="D6" s="33">
        <v>2</v>
      </c>
      <c r="E6" s="33">
        <v>0</v>
      </c>
      <c r="F6" s="33">
        <v>0</v>
      </c>
      <c r="G6" s="33">
        <v>1</v>
      </c>
      <c r="H6" s="33">
        <v>0</v>
      </c>
      <c r="I6" s="33">
        <v>3</v>
      </c>
      <c r="J6" s="33">
        <v>2</v>
      </c>
      <c r="K6" s="33">
        <v>0</v>
      </c>
      <c r="L6" s="33">
        <v>1</v>
      </c>
      <c r="M6" s="33">
        <v>1</v>
      </c>
      <c r="N6" s="33">
        <v>1</v>
      </c>
      <c r="O6" s="33">
        <v>3</v>
      </c>
      <c r="P6" s="43"/>
      <c r="Q6" s="33">
        <v>4</v>
      </c>
      <c r="R6" s="33">
        <v>0</v>
      </c>
      <c r="S6" s="33">
        <v>0</v>
      </c>
      <c r="T6" s="33">
        <v>1</v>
      </c>
      <c r="U6" s="33">
        <v>0</v>
      </c>
      <c r="V6" s="33">
        <v>4</v>
      </c>
      <c r="W6" s="33">
        <v>0</v>
      </c>
      <c r="X6" s="33">
        <v>2</v>
      </c>
      <c r="Y6" s="33">
        <v>5</v>
      </c>
      <c r="Z6" s="33">
        <v>3</v>
      </c>
      <c r="AA6" s="33">
        <f t="shared" si="0"/>
        <v>34</v>
      </c>
      <c r="AB6" s="40">
        <f t="shared" si="1"/>
        <v>2.2501654533421576</v>
      </c>
    </row>
    <row r="7" spans="1:28" x14ac:dyDescent="0.2">
      <c r="A7" s="27" t="s">
        <v>6</v>
      </c>
      <c r="B7" s="33">
        <v>0</v>
      </c>
      <c r="C7" s="33">
        <v>0</v>
      </c>
      <c r="D7" s="33">
        <v>4</v>
      </c>
      <c r="E7" s="33">
        <v>0</v>
      </c>
      <c r="F7" s="33">
        <v>2</v>
      </c>
      <c r="G7" s="33">
        <v>1</v>
      </c>
      <c r="H7" s="33">
        <v>2</v>
      </c>
      <c r="I7" s="33">
        <v>9</v>
      </c>
      <c r="J7" s="33">
        <v>2</v>
      </c>
      <c r="K7" s="33">
        <v>2</v>
      </c>
      <c r="L7" s="33">
        <v>7</v>
      </c>
      <c r="M7" s="33">
        <v>2</v>
      </c>
      <c r="N7" s="33">
        <v>3</v>
      </c>
      <c r="O7" s="33">
        <v>2</v>
      </c>
      <c r="P7" s="43"/>
      <c r="Q7" s="33">
        <v>1</v>
      </c>
      <c r="R7" s="33">
        <v>2</v>
      </c>
      <c r="S7" s="33">
        <v>0</v>
      </c>
      <c r="T7" s="33">
        <v>0</v>
      </c>
      <c r="U7" s="33">
        <v>1</v>
      </c>
      <c r="V7" s="33">
        <v>17</v>
      </c>
      <c r="W7" s="33">
        <v>8</v>
      </c>
      <c r="X7" s="33">
        <v>17</v>
      </c>
      <c r="Y7" s="33">
        <v>5</v>
      </c>
      <c r="Z7" s="33">
        <v>7</v>
      </c>
      <c r="AA7" s="33">
        <f t="shared" si="0"/>
        <v>94</v>
      </c>
      <c r="AB7" s="40">
        <f t="shared" si="1"/>
        <v>6.2210456651224355</v>
      </c>
    </row>
    <row r="8" spans="1:28" x14ac:dyDescent="0.2">
      <c r="A8" s="27" t="s">
        <v>40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43"/>
      <c r="Q8" s="33">
        <v>1</v>
      </c>
      <c r="R8" s="33">
        <v>0</v>
      </c>
      <c r="S8" s="33">
        <v>1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2</v>
      </c>
      <c r="AA8" s="33">
        <f t="shared" si="0"/>
        <v>4</v>
      </c>
      <c r="AB8" s="40">
        <f t="shared" si="1"/>
        <v>0.26472534745201853</v>
      </c>
    </row>
    <row r="9" spans="1:28" x14ac:dyDescent="0.2">
      <c r="A9" s="27" t="s">
        <v>7</v>
      </c>
      <c r="B9" s="33">
        <v>0</v>
      </c>
      <c r="C9" s="33">
        <v>0</v>
      </c>
      <c r="D9" s="33">
        <v>9</v>
      </c>
      <c r="E9" s="33">
        <v>0</v>
      </c>
      <c r="F9" s="33">
        <v>2</v>
      </c>
      <c r="G9" s="33">
        <v>0</v>
      </c>
      <c r="H9" s="33">
        <v>2</v>
      </c>
      <c r="I9" s="33">
        <v>11</v>
      </c>
      <c r="J9" s="33">
        <v>4</v>
      </c>
      <c r="K9" s="33">
        <v>5</v>
      </c>
      <c r="L9" s="33">
        <v>4</v>
      </c>
      <c r="M9" s="33">
        <v>2</v>
      </c>
      <c r="N9" s="33">
        <v>1</v>
      </c>
      <c r="O9" s="33">
        <v>6</v>
      </c>
      <c r="P9" s="43"/>
      <c r="Q9" s="33">
        <v>2</v>
      </c>
      <c r="R9" s="33">
        <v>6</v>
      </c>
      <c r="S9" s="33">
        <v>2</v>
      </c>
      <c r="T9" s="33">
        <v>0</v>
      </c>
      <c r="U9" s="33">
        <v>1</v>
      </c>
      <c r="V9" s="33">
        <v>1</v>
      </c>
      <c r="W9" s="33">
        <v>4</v>
      </c>
      <c r="X9" s="33">
        <v>7</v>
      </c>
      <c r="Y9" s="33">
        <v>40</v>
      </c>
      <c r="Z9" s="33">
        <v>9</v>
      </c>
      <c r="AA9" s="33">
        <f t="shared" si="0"/>
        <v>118</v>
      </c>
      <c r="AB9" s="40">
        <f t="shared" si="1"/>
        <v>7.809397749834547</v>
      </c>
    </row>
    <row r="10" spans="1:28" x14ac:dyDescent="0.2">
      <c r="A10" s="27" t="s">
        <v>9</v>
      </c>
      <c r="B10" s="33">
        <v>0</v>
      </c>
      <c r="C10" s="33">
        <v>0</v>
      </c>
      <c r="D10" s="33">
        <v>1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1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43"/>
      <c r="Q10" s="33">
        <v>0</v>
      </c>
      <c r="R10" s="33">
        <v>0</v>
      </c>
      <c r="S10" s="33">
        <v>1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1</v>
      </c>
      <c r="AA10" s="33">
        <f t="shared" si="0"/>
        <v>4</v>
      </c>
      <c r="AB10" s="40">
        <f t="shared" si="1"/>
        <v>0.26472534745201853</v>
      </c>
    </row>
    <row r="11" spans="1:28" x14ac:dyDescent="0.2">
      <c r="A11" s="27" t="s">
        <v>10</v>
      </c>
      <c r="B11" s="33">
        <v>1</v>
      </c>
      <c r="C11" s="33">
        <v>0</v>
      </c>
      <c r="D11" s="33">
        <v>0</v>
      </c>
      <c r="E11" s="33">
        <v>1</v>
      </c>
      <c r="F11" s="33">
        <v>0</v>
      </c>
      <c r="G11" s="33">
        <v>0</v>
      </c>
      <c r="H11" s="33">
        <v>0</v>
      </c>
      <c r="I11" s="33">
        <v>1</v>
      </c>
      <c r="J11" s="33">
        <v>2</v>
      </c>
      <c r="K11" s="33">
        <v>0</v>
      </c>
      <c r="L11" s="33">
        <v>0</v>
      </c>
      <c r="M11" s="33">
        <v>0</v>
      </c>
      <c r="N11" s="33">
        <v>0</v>
      </c>
      <c r="O11" s="33">
        <v>2</v>
      </c>
      <c r="P11" s="43"/>
      <c r="Q11" s="33">
        <v>0</v>
      </c>
      <c r="R11" s="33">
        <v>2</v>
      </c>
      <c r="S11" s="33">
        <v>0</v>
      </c>
      <c r="T11" s="33">
        <v>0</v>
      </c>
      <c r="U11" s="33">
        <v>0</v>
      </c>
      <c r="V11" s="33">
        <v>1</v>
      </c>
      <c r="W11" s="33">
        <v>0</v>
      </c>
      <c r="X11" s="33">
        <v>1</v>
      </c>
      <c r="Y11" s="33">
        <v>0</v>
      </c>
      <c r="Z11" s="33">
        <v>0</v>
      </c>
      <c r="AA11" s="33">
        <f t="shared" si="0"/>
        <v>11</v>
      </c>
      <c r="AB11" s="40">
        <f t="shared" si="1"/>
        <v>0.72799470549305101</v>
      </c>
    </row>
    <row r="12" spans="1:28" x14ac:dyDescent="0.2">
      <c r="A12" s="27" t="s">
        <v>11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1</v>
      </c>
      <c r="N12" s="33">
        <v>0</v>
      </c>
      <c r="O12" s="33">
        <v>0</v>
      </c>
      <c r="P12" s="43"/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2</v>
      </c>
      <c r="W12" s="33">
        <v>0</v>
      </c>
      <c r="X12" s="33">
        <v>0</v>
      </c>
      <c r="Y12" s="33">
        <v>0</v>
      </c>
      <c r="Z12" s="33">
        <v>1</v>
      </c>
      <c r="AA12" s="33">
        <f t="shared" si="0"/>
        <v>4</v>
      </c>
      <c r="AB12" s="40">
        <f t="shared" si="1"/>
        <v>0.26472534745201853</v>
      </c>
    </row>
    <row r="13" spans="1:28" x14ac:dyDescent="0.2">
      <c r="A13" s="27" t="s">
        <v>503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43"/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f t="shared" si="0"/>
        <v>0</v>
      </c>
      <c r="AB13" s="40">
        <f t="shared" si="1"/>
        <v>0</v>
      </c>
    </row>
    <row r="14" spans="1:28" x14ac:dyDescent="0.2">
      <c r="A14" s="27" t="s">
        <v>469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43"/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f t="shared" si="0"/>
        <v>0</v>
      </c>
      <c r="AB14" s="40">
        <f t="shared" si="1"/>
        <v>0</v>
      </c>
    </row>
    <row r="15" spans="1:28" x14ac:dyDescent="0.2">
      <c r="A15" s="27" t="s">
        <v>13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1</v>
      </c>
      <c r="N15" s="33">
        <v>0</v>
      </c>
      <c r="O15" s="33">
        <v>0</v>
      </c>
      <c r="P15" s="43"/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1</v>
      </c>
      <c r="W15" s="33">
        <v>0</v>
      </c>
      <c r="X15" s="33">
        <v>0</v>
      </c>
      <c r="Y15" s="33">
        <v>0</v>
      </c>
      <c r="Z15" s="33">
        <v>1</v>
      </c>
      <c r="AA15" s="33">
        <f t="shared" si="0"/>
        <v>3</v>
      </c>
      <c r="AB15" s="40">
        <f t="shared" si="1"/>
        <v>0.19854401058901389</v>
      </c>
    </row>
    <row r="16" spans="1:28" x14ac:dyDescent="0.2">
      <c r="A16" s="27" t="s">
        <v>427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6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43"/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f t="shared" si="0"/>
        <v>6</v>
      </c>
      <c r="AB16" s="40">
        <f t="shared" si="1"/>
        <v>0.39708802117802777</v>
      </c>
    </row>
    <row r="17" spans="1:28" x14ac:dyDescent="0.2">
      <c r="A17" s="27" t="s">
        <v>15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43"/>
      <c r="Q17" s="33">
        <v>0</v>
      </c>
      <c r="R17" s="33">
        <v>1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f t="shared" si="0"/>
        <v>1</v>
      </c>
      <c r="AB17" s="40">
        <f t="shared" si="1"/>
        <v>6.6181336863004633E-2</v>
      </c>
    </row>
    <row r="18" spans="1:28" x14ac:dyDescent="0.2">
      <c r="A18" s="27" t="s">
        <v>16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43"/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f t="shared" si="0"/>
        <v>0</v>
      </c>
      <c r="AB18" s="40">
        <f t="shared" si="1"/>
        <v>0</v>
      </c>
    </row>
    <row r="19" spans="1:28" x14ac:dyDescent="0.2">
      <c r="A19" s="27" t="s">
        <v>17</v>
      </c>
      <c r="B19" s="33">
        <v>0</v>
      </c>
      <c r="C19" s="33">
        <v>0</v>
      </c>
      <c r="D19" s="33">
        <v>1</v>
      </c>
      <c r="E19" s="33">
        <v>0</v>
      </c>
      <c r="F19" s="33">
        <v>1</v>
      </c>
      <c r="G19" s="33">
        <v>0</v>
      </c>
      <c r="H19" s="33">
        <v>0</v>
      </c>
      <c r="I19" s="33">
        <v>5</v>
      </c>
      <c r="J19" s="33">
        <v>0</v>
      </c>
      <c r="K19" s="33">
        <v>1</v>
      </c>
      <c r="L19" s="33">
        <v>0</v>
      </c>
      <c r="M19" s="33">
        <v>1</v>
      </c>
      <c r="N19" s="33">
        <v>0</v>
      </c>
      <c r="O19" s="33">
        <v>0</v>
      </c>
      <c r="P19" s="43" t="s">
        <v>667</v>
      </c>
      <c r="Q19" s="33">
        <v>0</v>
      </c>
      <c r="R19" s="33">
        <v>1</v>
      </c>
      <c r="S19" s="33">
        <v>0</v>
      </c>
      <c r="T19" s="33">
        <v>0</v>
      </c>
      <c r="U19" s="33">
        <v>0</v>
      </c>
      <c r="V19" s="33">
        <v>0</v>
      </c>
      <c r="W19" s="33">
        <v>2</v>
      </c>
      <c r="X19" s="33">
        <v>0</v>
      </c>
      <c r="Y19" s="33">
        <v>0</v>
      </c>
      <c r="Z19" s="33">
        <v>0</v>
      </c>
      <c r="AA19" s="33">
        <f t="shared" si="0"/>
        <v>12</v>
      </c>
      <c r="AB19" s="40">
        <f t="shared" si="1"/>
        <v>0.79417604235605554</v>
      </c>
    </row>
    <row r="20" spans="1:28" x14ac:dyDescent="0.2">
      <c r="A20" s="27" t="s">
        <v>18</v>
      </c>
      <c r="B20" s="33">
        <v>0</v>
      </c>
      <c r="C20" s="33">
        <v>0</v>
      </c>
      <c r="D20" s="33">
        <v>2</v>
      </c>
      <c r="E20" s="33">
        <v>0</v>
      </c>
      <c r="F20" s="33">
        <v>0</v>
      </c>
      <c r="G20" s="33">
        <v>0</v>
      </c>
      <c r="H20" s="33">
        <v>1</v>
      </c>
      <c r="I20" s="33">
        <v>6</v>
      </c>
      <c r="J20" s="33">
        <v>2</v>
      </c>
      <c r="K20" s="33">
        <v>1</v>
      </c>
      <c r="L20" s="33">
        <v>0</v>
      </c>
      <c r="M20" s="33">
        <v>2</v>
      </c>
      <c r="N20" s="33">
        <v>0</v>
      </c>
      <c r="O20" s="33">
        <v>4</v>
      </c>
      <c r="P20" s="43"/>
      <c r="Q20" s="33">
        <v>0</v>
      </c>
      <c r="R20" s="33">
        <v>4</v>
      </c>
      <c r="S20" s="33">
        <v>0</v>
      </c>
      <c r="T20" s="33">
        <v>0</v>
      </c>
      <c r="U20" s="33">
        <v>0</v>
      </c>
      <c r="V20" s="33">
        <v>6</v>
      </c>
      <c r="W20" s="33">
        <v>3</v>
      </c>
      <c r="X20" s="33">
        <v>7</v>
      </c>
      <c r="Y20" s="33">
        <v>0</v>
      </c>
      <c r="Z20" s="33">
        <v>4</v>
      </c>
      <c r="AA20" s="33">
        <f t="shared" si="0"/>
        <v>42</v>
      </c>
      <c r="AB20" s="40">
        <f t="shared" si="1"/>
        <v>2.7796161482461947</v>
      </c>
    </row>
    <row r="21" spans="1:28" x14ac:dyDescent="0.2">
      <c r="A21" s="27" t="s">
        <v>19</v>
      </c>
      <c r="B21" s="33">
        <v>0</v>
      </c>
      <c r="C21" s="33">
        <v>1</v>
      </c>
      <c r="D21" s="33">
        <v>10</v>
      </c>
      <c r="E21" s="33">
        <v>1</v>
      </c>
      <c r="F21" s="33">
        <v>12</v>
      </c>
      <c r="G21" s="33">
        <v>8</v>
      </c>
      <c r="H21" s="33">
        <v>24</v>
      </c>
      <c r="I21" s="33">
        <v>10</v>
      </c>
      <c r="J21" s="33">
        <v>17</v>
      </c>
      <c r="K21" s="33">
        <v>30</v>
      </c>
      <c r="L21" s="33">
        <v>16</v>
      </c>
      <c r="M21" s="33">
        <v>8</v>
      </c>
      <c r="N21" s="33">
        <v>23</v>
      </c>
      <c r="O21" s="33">
        <v>31</v>
      </c>
      <c r="P21" s="43"/>
      <c r="Q21" s="33">
        <v>22</v>
      </c>
      <c r="R21" s="33">
        <v>24</v>
      </c>
      <c r="S21" s="33">
        <v>7</v>
      </c>
      <c r="T21" s="33">
        <v>12</v>
      </c>
      <c r="U21" s="33">
        <v>12</v>
      </c>
      <c r="V21" s="33">
        <v>26</v>
      </c>
      <c r="W21" s="33">
        <v>1</v>
      </c>
      <c r="X21" s="33">
        <v>24</v>
      </c>
      <c r="Y21" s="33">
        <v>26</v>
      </c>
      <c r="Z21" s="33">
        <v>30</v>
      </c>
      <c r="AA21" s="33">
        <f t="shared" si="0"/>
        <v>375</v>
      </c>
      <c r="AB21" s="40">
        <f t="shared" si="1"/>
        <v>24.818001323626738</v>
      </c>
    </row>
    <row r="22" spans="1:28" x14ac:dyDescent="0.2">
      <c r="A22" s="27" t="s">
        <v>20</v>
      </c>
      <c r="B22" s="33">
        <v>0</v>
      </c>
      <c r="C22" s="33">
        <v>0</v>
      </c>
      <c r="D22" s="33">
        <v>0</v>
      </c>
      <c r="E22" s="33">
        <v>0</v>
      </c>
      <c r="F22" s="33">
        <v>3</v>
      </c>
      <c r="G22" s="33">
        <v>0</v>
      </c>
      <c r="H22" s="33">
        <v>1</v>
      </c>
      <c r="I22" s="33">
        <v>3</v>
      </c>
      <c r="J22" s="33">
        <v>1</v>
      </c>
      <c r="K22" s="33">
        <v>0</v>
      </c>
      <c r="L22" s="33">
        <v>3</v>
      </c>
      <c r="M22" s="33">
        <v>3</v>
      </c>
      <c r="N22" s="33">
        <v>0</v>
      </c>
      <c r="O22" s="33">
        <v>1</v>
      </c>
      <c r="P22" s="43"/>
      <c r="Q22" s="33">
        <v>0</v>
      </c>
      <c r="R22" s="33">
        <v>1</v>
      </c>
      <c r="S22" s="33">
        <v>0</v>
      </c>
      <c r="T22" s="33">
        <v>0</v>
      </c>
      <c r="U22" s="33">
        <v>1</v>
      </c>
      <c r="V22" s="33">
        <v>0</v>
      </c>
      <c r="W22" s="33">
        <v>3</v>
      </c>
      <c r="X22" s="33">
        <v>4</v>
      </c>
      <c r="Y22" s="33">
        <v>1</v>
      </c>
      <c r="Z22" s="33">
        <v>3</v>
      </c>
      <c r="AA22" s="33">
        <f t="shared" si="0"/>
        <v>28</v>
      </c>
      <c r="AB22" s="40">
        <f t="shared" si="1"/>
        <v>1.8530774321641297</v>
      </c>
    </row>
    <row r="23" spans="1:28" x14ac:dyDescent="0.2">
      <c r="A23" s="27" t="s">
        <v>645</v>
      </c>
      <c r="B23" s="33">
        <v>0</v>
      </c>
      <c r="C23" s="33">
        <v>1</v>
      </c>
      <c r="D23" s="33">
        <v>1</v>
      </c>
      <c r="E23" s="33">
        <v>0</v>
      </c>
      <c r="F23" s="33">
        <v>3</v>
      </c>
      <c r="G23" s="33">
        <v>0</v>
      </c>
      <c r="H23" s="33">
        <v>2</v>
      </c>
      <c r="I23" s="33">
        <v>9</v>
      </c>
      <c r="J23" s="33">
        <v>1</v>
      </c>
      <c r="K23" s="33">
        <v>5</v>
      </c>
      <c r="L23" s="33">
        <v>2</v>
      </c>
      <c r="M23" s="33">
        <v>4</v>
      </c>
      <c r="N23" s="33">
        <v>1</v>
      </c>
      <c r="O23" s="33">
        <v>6</v>
      </c>
      <c r="P23" s="43"/>
      <c r="Q23" s="33">
        <v>0</v>
      </c>
      <c r="R23" s="33">
        <v>4</v>
      </c>
      <c r="S23" s="33">
        <v>0</v>
      </c>
      <c r="T23" s="33">
        <v>0</v>
      </c>
      <c r="U23" s="33">
        <v>2</v>
      </c>
      <c r="V23" s="33">
        <v>25</v>
      </c>
      <c r="W23" s="33">
        <v>10</v>
      </c>
      <c r="X23" s="33">
        <v>22</v>
      </c>
      <c r="Y23" s="33">
        <v>2</v>
      </c>
      <c r="Z23" s="33">
        <v>3</v>
      </c>
      <c r="AA23" s="33">
        <f t="shared" si="0"/>
        <v>103</v>
      </c>
      <c r="AB23" s="40">
        <f t="shared" si="1"/>
        <v>6.8166776968894771</v>
      </c>
    </row>
    <row r="24" spans="1:28" x14ac:dyDescent="0.2">
      <c r="A24" s="27" t="s">
        <v>200</v>
      </c>
      <c r="B24" s="33">
        <v>0</v>
      </c>
      <c r="C24" s="33">
        <v>0</v>
      </c>
      <c r="D24" s="33">
        <v>0</v>
      </c>
      <c r="E24" s="33">
        <v>0</v>
      </c>
      <c r="F24" s="33">
        <v>1</v>
      </c>
      <c r="G24" s="33">
        <v>0</v>
      </c>
      <c r="H24" s="33">
        <v>0</v>
      </c>
      <c r="I24" s="33">
        <v>0</v>
      </c>
      <c r="J24" s="33">
        <v>0</v>
      </c>
      <c r="K24" s="33">
        <v>2</v>
      </c>
      <c r="L24" s="33">
        <v>1</v>
      </c>
      <c r="M24" s="33">
        <v>0</v>
      </c>
      <c r="N24" s="33">
        <v>0</v>
      </c>
      <c r="O24" s="33">
        <v>1</v>
      </c>
      <c r="P24" s="43"/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1</v>
      </c>
      <c r="W24" s="33">
        <v>1</v>
      </c>
      <c r="X24" s="33">
        <v>0</v>
      </c>
      <c r="Y24" s="33">
        <v>1</v>
      </c>
      <c r="Z24" s="33">
        <v>1</v>
      </c>
      <c r="AA24" s="33">
        <f t="shared" si="0"/>
        <v>9</v>
      </c>
      <c r="AB24" s="40">
        <f t="shared" si="1"/>
        <v>0.59563203176704171</v>
      </c>
    </row>
    <row r="25" spans="1:28" x14ac:dyDescent="0.2">
      <c r="A25" s="27" t="s">
        <v>435</v>
      </c>
      <c r="B25" s="33">
        <v>0</v>
      </c>
      <c r="C25" s="33">
        <v>1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1</v>
      </c>
      <c r="N25" s="33">
        <v>0</v>
      </c>
      <c r="O25" s="33">
        <v>0</v>
      </c>
      <c r="P25" s="43"/>
      <c r="Q25" s="33">
        <v>0</v>
      </c>
      <c r="R25" s="33">
        <v>0</v>
      </c>
      <c r="S25" s="33">
        <v>0</v>
      </c>
      <c r="T25" s="33">
        <v>0</v>
      </c>
      <c r="U25" s="33">
        <v>1</v>
      </c>
      <c r="V25" s="33">
        <v>5</v>
      </c>
      <c r="W25" s="33">
        <v>4</v>
      </c>
      <c r="X25" s="33">
        <v>7</v>
      </c>
      <c r="Y25" s="33">
        <v>5</v>
      </c>
      <c r="Z25" s="33">
        <v>0</v>
      </c>
      <c r="AA25" s="33">
        <f t="shared" si="0"/>
        <v>24</v>
      </c>
      <c r="AB25" s="40">
        <f t="shared" si="1"/>
        <v>1.5883520847121111</v>
      </c>
    </row>
    <row r="26" spans="1:28" x14ac:dyDescent="0.2">
      <c r="A26" s="27" t="s">
        <v>22</v>
      </c>
      <c r="B26" s="33">
        <v>0</v>
      </c>
      <c r="C26" s="33">
        <v>0</v>
      </c>
      <c r="D26" s="33">
        <v>0</v>
      </c>
      <c r="E26" s="33">
        <v>0</v>
      </c>
      <c r="F26" s="33">
        <v>1</v>
      </c>
      <c r="G26" s="33">
        <v>4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2</v>
      </c>
      <c r="N26" s="33">
        <v>0</v>
      </c>
      <c r="O26" s="33">
        <v>0</v>
      </c>
      <c r="P26" s="43"/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1</v>
      </c>
      <c r="Y26" s="33">
        <v>0</v>
      </c>
      <c r="Z26" s="33">
        <v>1</v>
      </c>
      <c r="AA26" s="33">
        <f t="shared" si="0"/>
        <v>9</v>
      </c>
      <c r="AB26" s="40">
        <f t="shared" si="1"/>
        <v>0.59563203176704171</v>
      </c>
    </row>
    <row r="27" spans="1:28" x14ac:dyDescent="0.2">
      <c r="A27" s="27" t="s">
        <v>23</v>
      </c>
      <c r="B27" s="33">
        <v>0</v>
      </c>
      <c r="C27" s="33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1</v>
      </c>
      <c r="L27" s="33">
        <v>0</v>
      </c>
      <c r="M27" s="33">
        <v>0</v>
      </c>
      <c r="N27" s="33">
        <v>0</v>
      </c>
      <c r="O27" s="33">
        <v>0</v>
      </c>
      <c r="P27" s="43"/>
      <c r="Q27" s="33">
        <v>0</v>
      </c>
      <c r="R27" s="33">
        <v>1</v>
      </c>
      <c r="S27" s="33">
        <v>0</v>
      </c>
      <c r="T27" s="33">
        <v>0</v>
      </c>
      <c r="U27" s="33">
        <v>0</v>
      </c>
      <c r="V27" s="33">
        <v>1</v>
      </c>
      <c r="W27" s="33">
        <v>1</v>
      </c>
      <c r="X27" s="33">
        <v>4</v>
      </c>
      <c r="Y27" s="33">
        <v>0</v>
      </c>
      <c r="Z27" s="33">
        <v>1</v>
      </c>
      <c r="AA27" s="33">
        <f t="shared" si="0"/>
        <v>9</v>
      </c>
      <c r="AB27" s="40">
        <f t="shared" si="1"/>
        <v>0.59563203176704171</v>
      </c>
    </row>
    <row r="28" spans="1:28" x14ac:dyDescent="0.2">
      <c r="A28" s="27" t="s">
        <v>214</v>
      </c>
      <c r="B28" s="33">
        <v>0</v>
      </c>
      <c r="C28" s="33">
        <v>0</v>
      </c>
      <c r="D28" s="33">
        <v>2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43"/>
      <c r="Q28" s="33">
        <v>0</v>
      </c>
      <c r="R28" s="33">
        <v>2</v>
      </c>
      <c r="S28" s="33">
        <v>0</v>
      </c>
      <c r="T28" s="33">
        <v>0</v>
      </c>
      <c r="U28" s="33">
        <v>0</v>
      </c>
      <c r="V28" s="33">
        <v>0</v>
      </c>
      <c r="W28" s="33">
        <v>1</v>
      </c>
      <c r="X28" s="33">
        <v>1</v>
      </c>
      <c r="Y28" s="33">
        <v>3</v>
      </c>
      <c r="Z28" s="33">
        <v>0</v>
      </c>
      <c r="AA28" s="33">
        <f t="shared" si="0"/>
        <v>9</v>
      </c>
      <c r="AB28" s="40">
        <f t="shared" si="1"/>
        <v>0.59563203176704171</v>
      </c>
    </row>
    <row r="29" spans="1:28" x14ac:dyDescent="0.2">
      <c r="A29" s="27" t="s">
        <v>194</v>
      </c>
      <c r="B29" s="33">
        <v>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43"/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f t="shared" si="0"/>
        <v>0</v>
      </c>
      <c r="AB29" s="40">
        <f t="shared" si="1"/>
        <v>0</v>
      </c>
    </row>
    <row r="30" spans="1:28" x14ac:dyDescent="0.2">
      <c r="A30" s="27" t="s">
        <v>195</v>
      </c>
      <c r="B30" s="33">
        <v>0</v>
      </c>
      <c r="C30" s="33">
        <v>0</v>
      </c>
      <c r="D30" s="33">
        <v>2</v>
      </c>
      <c r="E30" s="33">
        <v>2</v>
      </c>
      <c r="F30" s="33">
        <v>1</v>
      </c>
      <c r="G30" s="33">
        <v>0</v>
      </c>
      <c r="H30" s="33">
        <v>0</v>
      </c>
      <c r="I30" s="33">
        <v>2</v>
      </c>
      <c r="J30" s="33">
        <v>1</v>
      </c>
      <c r="K30" s="33">
        <v>2</v>
      </c>
      <c r="L30" s="33">
        <v>0</v>
      </c>
      <c r="M30" s="33">
        <v>0</v>
      </c>
      <c r="N30" s="33">
        <v>0</v>
      </c>
      <c r="O30" s="33">
        <v>0</v>
      </c>
      <c r="P30" s="43"/>
      <c r="Q30" s="33">
        <v>0</v>
      </c>
      <c r="R30" s="33">
        <v>3</v>
      </c>
      <c r="S30" s="33">
        <v>0</v>
      </c>
      <c r="T30" s="33">
        <v>0</v>
      </c>
      <c r="U30" s="33">
        <v>0</v>
      </c>
      <c r="V30" s="33">
        <v>0</v>
      </c>
      <c r="W30" s="33">
        <v>1</v>
      </c>
      <c r="X30" s="33">
        <v>2</v>
      </c>
      <c r="Y30" s="33">
        <v>1</v>
      </c>
      <c r="Z30" s="33">
        <v>0</v>
      </c>
      <c r="AA30" s="33">
        <f t="shared" si="0"/>
        <v>17</v>
      </c>
      <c r="AB30" s="40">
        <f t="shared" si="1"/>
        <v>1.1250827266710788</v>
      </c>
    </row>
    <row r="31" spans="1:28" x14ac:dyDescent="0.2">
      <c r="A31" s="27" t="s">
        <v>25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1</v>
      </c>
      <c r="K31" s="33">
        <v>1</v>
      </c>
      <c r="L31" s="33">
        <v>4</v>
      </c>
      <c r="M31" s="33">
        <v>0</v>
      </c>
      <c r="N31" s="33">
        <v>1</v>
      </c>
      <c r="O31" s="33">
        <v>0</v>
      </c>
      <c r="P31" s="43"/>
      <c r="Q31" s="33">
        <v>0</v>
      </c>
      <c r="R31" s="33">
        <v>0</v>
      </c>
      <c r="S31" s="33">
        <v>1</v>
      </c>
      <c r="T31" s="33">
        <v>0</v>
      </c>
      <c r="U31" s="33">
        <v>0</v>
      </c>
      <c r="V31" s="33">
        <v>4</v>
      </c>
      <c r="W31" s="33">
        <v>0</v>
      </c>
      <c r="X31" s="33">
        <v>1</v>
      </c>
      <c r="Y31" s="33">
        <v>0</v>
      </c>
      <c r="Z31" s="33">
        <v>7</v>
      </c>
      <c r="AA31" s="33">
        <f t="shared" si="0"/>
        <v>20</v>
      </c>
      <c r="AB31" s="40">
        <f t="shared" si="1"/>
        <v>1.3236267372600927</v>
      </c>
    </row>
    <row r="32" spans="1:28" x14ac:dyDescent="0.2">
      <c r="A32" s="27" t="s">
        <v>646</v>
      </c>
      <c r="B32" s="33">
        <v>0</v>
      </c>
      <c r="C32" s="33">
        <v>0</v>
      </c>
      <c r="D32" s="33">
        <v>0</v>
      </c>
      <c r="E32" s="33">
        <v>0</v>
      </c>
      <c r="F32" s="33">
        <v>1</v>
      </c>
      <c r="G32" s="33">
        <v>0</v>
      </c>
      <c r="H32" s="33">
        <v>0</v>
      </c>
      <c r="I32" s="33">
        <v>2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43"/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1</v>
      </c>
      <c r="AA32" s="33">
        <f t="shared" si="0"/>
        <v>4</v>
      </c>
      <c r="AB32" s="40">
        <f t="shared" si="1"/>
        <v>0.26472534745201853</v>
      </c>
    </row>
    <row r="33" spans="1:28" x14ac:dyDescent="0.2">
      <c r="A33" s="27" t="s">
        <v>26</v>
      </c>
      <c r="B33" s="33">
        <v>0</v>
      </c>
      <c r="C33" s="33">
        <v>0</v>
      </c>
      <c r="D33" s="33">
        <v>1</v>
      </c>
      <c r="E33" s="33">
        <v>0</v>
      </c>
      <c r="F33" s="33">
        <v>2</v>
      </c>
      <c r="G33" s="33">
        <v>0</v>
      </c>
      <c r="H33" s="33">
        <v>1</v>
      </c>
      <c r="I33" s="33">
        <v>0</v>
      </c>
      <c r="J33" s="33">
        <v>0</v>
      </c>
      <c r="K33" s="33">
        <v>0</v>
      </c>
      <c r="L33" s="33">
        <v>0</v>
      </c>
      <c r="M33" s="33">
        <v>1</v>
      </c>
      <c r="N33" s="33">
        <v>0</v>
      </c>
      <c r="O33" s="33">
        <v>1</v>
      </c>
      <c r="P33" s="43"/>
      <c r="Q33" s="33">
        <v>1</v>
      </c>
      <c r="R33" s="33">
        <v>2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3</v>
      </c>
      <c r="Z33" s="33">
        <v>1</v>
      </c>
      <c r="AA33" s="33">
        <f t="shared" si="0"/>
        <v>13</v>
      </c>
      <c r="AB33" s="40">
        <f t="shared" si="1"/>
        <v>0.8603573792190603</v>
      </c>
    </row>
    <row r="34" spans="1:28" x14ac:dyDescent="0.2">
      <c r="A34" s="27" t="s">
        <v>27</v>
      </c>
      <c r="B34" s="33">
        <v>0</v>
      </c>
      <c r="C34" s="33">
        <v>1</v>
      </c>
      <c r="D34" s="33">
        <v>21</v>
      </c>
      <c r="E34" s="33">
        <v>3</v>
      </c>
      <c r="F34" s="33">
        <v>8</v>
      </c>
      <c r="G34" s="33">
        <v>11</v>
      </c>
      <c r="H34" s="33">
        <v>6</v>
      </c>
      <c r="I34" s="33">
        <v>18</v>
      </c>
      <c r="J34" s="33">
        <v>12</v>
      </c>
      <c r="K34" s="33">
        <v>18</v>
      </c>
      <c r="L34" s="33">
        <v>18</v>
      </c>
      <c r="M34" s="33">
        <v>11</v>
      </c>
      <c r="N34" s="33">
        <v>11</v>
      </c>
      <c r="O34" s="33">
        <v>24</v>
      </c>
      <c r="P34" s="43"/>
      <c r="Q34" s="33">
        <v>7</v>
      </c>
      <c r="R34" s="33">
        <v>23</v>
      </c>
      <c r="S34" s="33">
        <v>8</v>
      </c>
      <c r="T34" s="33">
        <v>15</v>
      </c>
      <c r="U34" s="33">
        <v>6</v>
      </c>
      <c r="V34" s="33">
        <v>30</v>
      </c>
      <c r="W34" s="33">
        <v>6</v>
      </c>
      <c r="X34" s="33">
        <v>18</v>
      </c>
      <c r="Y34" s="33">
        <v>18</v>
      </c>
      <c r="Z34" s="33">
        <v>18</v>
      </c>
      <c r="AA34" s="33">
        <f t="shared" si="0"/>
        <v>311</v>
      </c>
      <c r="AB34" s="40">
        <f t="shared" si="1"/>
        <v>20.582395764394441</v>
      </c>
    </row>
    <row r="35" spans="1:28" x14ac:dyDescent="0.2">
      <c r="A35" s="27" t="s">
        <v>28</v>
      </c>
      <c r="B35" s="33">
        <v>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1</v>
      </c>
      <c r="I35" s="33">
        <v>2</v>
      </c>
      <c r="J35" s="33">
        <v>2</v>
      </c>
      <c r="K35" s="33">
        <v>1</v>
      </c>
      <c r="L35" s="33">
        <v>0</v>
      </c>
      <c r="M35" s="33">
        <v>0</v>
      </c>
      <c r="N35" s="33">
        <v>1</v>
      </c>
      <c r="O35" s="33">
        <v>2</v>
      </c>
      <c r="P35" s="43"/>
      <c r="Q35" s="33">
        <v>0</v>
      </c>
      <c r="R35" s="33">
        <v>1</v>
      </c>
      <c r="S35" s="33">
        <v>0</v>
      </c>
      <c r="T35" s="33">
        <v>0</v>
      </c>
      <c r="U35" s="33">
        <v>0</v>
      </c>
      <c r="V35" s="33">
        <v>1</v>
      </c>
      <c r="W35" s="33">
        <v>2</v>
      </c>
      <c r="X35" s="33">
        <v>1</v>
      </c>
      <c r="Y35" s="33">
        <v>0</v>
      </c>
      <c r="Z35" s="33">
        <v>0</v>
      </c>
      <c r="AA35" s="33">
        <f t="shared" si="0"/>
        <v>14</v>
      </c>
      <c r="AB35" s="40">
        <f t="shared" si="1"/>
        <v>0.92653871608206484</v>
      </c>
    </row>
    <row r="36" spans="1:28" x14ac:dyDescent="0.2">
      <c r="A36" s="27" t="s">
        <v>29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43"/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f t="shared" si="0"/>
        <v>0</v>
      </c>
      <c r="AB36" s="40">
        <f t="shared" si="1"/>
        <v>0</v>
      </c>
    </row>
    <row r="37" spans="1:28" x14ac:dyDescent="0.2">
      <c r="A37" s="27" t="s">
        <v>30</v>
      </c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43"/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f t="shared" si="0"/>
        <v>0</v>
      </c>
      <c r="AB37" s="40">
        <f t="shared" si="1"/>
        <v>0</v>
      </c>
    </row>
    <row r="38" spans="1:28" x14ac:dyDescent="0.2">
      <c r="A38" s="27" t="s">
        <v>31</v>
      </c>
      <c r="B38" s="33">
        <v>0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1</v>
      </c>
      <c r="L38" s="33">
        <v>0</v>
      </c>
      <c r="M38" s="33">
        <v>0</v>
      </c>
      <c r="N38" s="33">
        <v>0</v>
      </c>
      <c r="O38" s="33">
        <v>0</v>
      </c>
      <c r="P38" s="43"/>
      <c r="Q38" s="33">
        <v>0</v>
      </c>
      <c r="R38" s="33">
        <v>0</v>
      </c>
      <c r="S38" s="33">
        <v>4</v>
      </c>
      <c r="T38" s="33">
        <v>0</v>
      </c>
      <c r="U38" s="33">
        <v>0</v>
      </c>
      <c r="V38" s="33">
        <v>1</v>
      </c>
      <c r="W38" s="33">
        <v>1</v>
      </c>
      <c r="X38" s="33">
        <v>0</v>
      </c>
      <c r="Y38" s="33">
        <v>0</v>
      </c>
      <c r="Z38" s="33">
        <v>0</v>
      </c>
      <c r="AA38" s="33">
        <f t="shared" si="0"/>
        <v>7</v>
      </c>
      <c r="AB38" s="40">
        <f t="shared" si="1"/>
        <v>0.46326935804103242</v>
      </c>
    </row>
    <row r="39" spans="1:28" x14ac:dyDescent="0.2">
      <c r="A39" s="27" t="s">
        <v>32</v>
      </c>
      <c r="B39" s="33">
        <v>0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43"/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1</v>
      </c>
      <c r="Y39" s="33">
        <v>0</v>
      </c>
      <c r="Z39" s="33">
        <v>0</v>
      </c>
      <c r="AA39" s="33">
        <f t="shared" si="0"/>
        <v>1</v>
      </c>
      <c r="AB39" s="40">
        <f t="shared" si="1"/>
        <v>6.6181336863004633E-2</v>
      </c>
    </row>
    <row r="40" spans="1:28" x14ac:dyDescent="0.2">
      <c r="A40" s="27" t="s">
        <v>33</v>
      </c>
      <c r="B40" s="33">
        <v>0</v>
      </c>
      <c r="C40" s="33">
        <v>0</v>
      </c>
      <c r="D40" s="33">
        <v>3</v>
      </c>
      <c r="E40" s="33">
        <v>0</v>
      </c>
      <c r="F40" s="33">
        <v>2</v>
      </c>
      <c r="G40" s="33">
        <v>1</v>
      </c>
      <c r="H40" s="33">
        <v>0</v>
      </c>
      <c r="I40" s="33">
        <v>0</v>
      </c>
      <c r="J40" s="33">
        <v>1</v>
      </c>
      <c r="K40" s="33">
        <v>6</v>
      </c>
      <c r="L40" s="33">
        <v>1</v>
      </c>
      <c r="M40" s="33">
        <v>0</v>
      </c>
      <c r="N40" s="33">
        <v>0</v>
      </c>
      <c r="O40" s="33">
        <v>4</v>
      </c>
      <c r="P40" s="43"/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3</v>
      </c>
      <c r="W40" s="33">
        <v>3</v>
      </c>
      <c r="X40" s="33">
        <v>1</v>
      </c>
      <c r="Y40" s="33">
        <v>0</v>
      </c>
      <c r="Z40" s="33">
        <v>3</v>
      </c>
      <c r="AA40" s="33">
        <f t="shared" si="0"/>
        <v>28</v>
      </c>
      <c r="AB40" s="40">
        <f t="shared" si="1"/>
        <v>1.8530774321641297</v>
      </c>
    </row>
    <row r="41" spans="1:28" x14ac:dyDescent="0.2">
      <c r="A41" s="27" t="s">
        <v>36</v>
      </c>
      <c r="B41" s="33">
        <v>0</v>
      </c>
      <c r="C41" s="33">
        <v>0</v>
      </c>
      <c r="D41" s="33">
        <v>0</v>
      </c>
      <c r="E41" s="33"/>
      <c r="F41" s="33"/>
      <c r="G41" s="33"/>
      <c r="H41" s="33"/>
      <c r="I41" s="33"/>
      <c r="J41" s="33"/>
      <c r="K41" s="33"/>
      <c r="L41" s="33">
        <v>0</v>
      </c>
      <c r="M41" s="33">
        <v>0</v>
      </c>
      <c r="N41" s="33">
        <v>0</v>
      </c>
      <c r="O41" s="33">
        <v>0</v>
      </c>
      <c r="P41" s="43"/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1</v>
      </c>
      <c r="Y41" s="33">
        <v>0</v>
      </c>
      <c r="Z41" s="33">
        <v>0</v>
      </c>
      <c r="AA41" s="33">
        <f t="shared" si="0"/>
        <v>1</v>
      </c>
      <c r="AB41" s="40">
        <f t="shared" si="1"/>
        <v>6.6181336863004633E-2</v>
      </c>
    </row>
    <row r="42" spans="1:28" x14ac:dyDescent="0.2">
      <c r="A42" t="s">
        <v>344</v>
      </c>
      <c r="B42" s="33">
        <f>SUM(B3:B41)</f>
        <v>1</v>
      </c>
      <c r="C42" s="33">
        <f>SUM(C3:C41)</f>
        <v>6</v>
      </c>
      <c r="D42" s="33">
        <f>SUM(D3:D41)</f>
        <v>62</v>
      </c>
      <c r="E42" s="33">
        <f t="shared" ref="E42:J42" si="2">SUM(E3:E40)</f>
        <v>7</v>
      </c>
      <c r="F42" s="33">
        <f t="shared" si="2"/>
        <v>44</v>
      </c>
      <c r="G42" s="33">
        <f>SUM(G3:G40)</f>
        <v>29</v>
      </c>
      <c r="H42" s="33">
        <f t="shared" si="2"/>
        <v>44</v>
      </c>
      <c r="I42" s="33">
        <f t="shared" si="2"/>
        <v>103</v>
      </c>
      <c r="J42" s="33">
        <f t="shared" si="2"/>
        <v>55</v>
      </c>
      <c r="K42" s="33">
        <f>SUM(K3:K40)</f>
        <v>87</v>
      </c>
      <c r="L42" s="33">
        <f>SUM(L3:L41)</f>
        <v>67</v>
      </c>
      <c r="M42" s="33">
        <f>SUM(M3:M41)</f>
        <v>54</v>
      </c>
      <c r="N42" s="33">
        <f>SUM(N3:N41)</f>
        <v>49</v>
      </c>
      <c r="O42" s="33">
        <f>SUM(O3:O41)</f>
        <v>98</v>
      </c>
      <c r="P42" s="42"/>
      <c r="Q42" s="33">
        <f t="shared" ref="Q42:Z42" si="3">SUM(Q3:Q41)</f>
        <v>40</v>
      </c>
      <c r="R42" s="33">
        <f t="shared" si="3"/>
        <v>84</v>
      </c>
      <c r="S42" s="33">
        <f t="shared" si="3"/>
        <v>24</v>
      </c>
      <c r="T42" s="33">
        <f t="shared" si="3"/>
        <v>29</v>
      </c>
      <c r="U42" s="33">
        <f t="shared" si="3"/>
        <v>26</v>
      </c>
      <c r="V42" s="33">
        <f t="shared" si="3"/>
        <v>145</v>
      </c>
      <c r="W42" s="33">
        <f t="shared" si="3"/>
        <v>67</v>
      </c>
      <c r="X42" s="33">
        <f t="shared" si="3"/>
        <v>158</v>
      </c>
      <c r="Y42" s="33">
        <f t="shared" si="3"/>
        <v>119</v>
      </c>
      <c r="Z42" s="33">
        <f t="shared" si="3"/>
        <v>114</v>
      </c>
      <c r="AA42" s="33">
        <f>SUM(AA3:AA40)</f>
        <v>1511</v>
      </c>
      <c r="AB42" s="40">
        <f t="shared" si="1"/>
        <v>100</v>
      </c>
    </row>
    <row r="44" spans="1:28" x14ac:dyDescent="0.2">
      <c r="A44" s="27" t="s">
        <v>1468</v>
      </c>
    </row>
    <row r="45" spans="1:28" x14ac:dyDescent="0.2">
      <c r="A45" s="27" t="s">
        <v>1469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7"/>
  <sheetViews>
    <sheetView topLeftCell="A28" workbookViewId="0">
      <selection activeCell="A47" sqref="A47"/>
    </sheetView>
  </sheetViews>
  <sheetFormatPr defaultRowHeight="12.75" x14ac:dyDescent="0.2"/>
  <cols>
    <col min="1" max="1" width="26" bestFit="1" customWidth="1"/>
    <col min="3" max="6" width="9.140625" customWidth="1"/>
    <col min="7" max="7" width="9.7109375" customWidth="1"/>
    <col min="8" max="12" width="9.140625" customWidth="1"/>
    <col min="14" max="14" width="9.140625" style="41"/>
  </cols>
  <sheetData>
    <row r="1" spans="1:14" x14ac:dyDescent="0.2">
      <c r="A1" t="s">
        <v>448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 t="s">
        <v>449</v>
      </c>
      <c r="N1" s="40"/>
    </row>
    <row r="2" spans="1:14" x14ac:dyDescent="0.2">
      <c r="A2" t="s">
        <v>287</v>
      </c>
      <c r="B2" s="34" t="s">
        <v>744</v>
      </c>
      <c r="C2" s="34" t="s">
        <v>757</v>
      </c>
      <c r="D2" s="34" t="s">
        <v>758</v>
      </c>
      <c r="E2" s="34" t="s">
        <v>759</v>
      </c>
      <c r="F2" s="34" t="s">
        <v>760</v>
      </c>
      <c r="G2" s="34" t="s">
        <v>761</v>
      </c>
      <c r="H2" s="34" t="s">
        <v>762</v>
      </c>
      <c r="I2" s="34" t="s">
        <v>292</v>
      </c>
      <c r="J2" s="34" t="s">
        <v>763</v>
      </c>
      <c r="K2" s="34" t="s">
        <v>764</v>
      </c>
      <c r="L2" s="34" t="s">
        <v>765</v>
      </c>
      <c r="M2" s="33" t="s">
        <v>315</v>
      </c>
      <c r="N2" s="40" t="s">
        <v>460</v>
      </c>
    </row>
    <row r="3" spans="1:14" x14ac:dyDescent="0.2">
      <c r="A3" s="27" t="s">
        <v>1</v>
      </c>
      <c r="B3" s="33">
        <v>3</v>
      </c>
      <c r="C3" s="33">
        <v>3</v>
      </c>
      <c r="D3" s="33">
        <v>2</v>
      </c>
      <c r="E3" s="33">
        <v>12</v>
      </c>
      <c r="F3" s="33">
        <v>7</v>
      </c>
      <c r="G3" s="33">
        <v>13</v>
      </c>
      <c r="H3" s="33">
        <v>13</v>
      </c>
      <c r="I3" s="33">
        <v>8</v>
      </c>
      <c r="J3" s="33">
        <v>13</v>
      </c>
      <c r="K3" s="33">
        <v>16</v>
      </c>
      <c r="L3" s="33">
        <v>14</v>
      </c>
      <c r="M3" s="33">
        <f>SUM(B3:L3)</f>
        <v>104</v>
      </c>
      <c r="N3" s="40">
        <f>(M3/$M$44)*100</f>
        <v>7.9027355623100304</v>
      </c>
    </row>
    <row r="4" spans="1:14" x14ac:dyDescent="0.2">
      <c r="A4" s="27" t="s">
        <v>3</v>
      </c>
      <c r="B4" s="33">
        <v>16</v>
      </c>
      <c r="C4" s="33">
        <v>1</v>
      </c>
      <c r="D4" s="33">
        <v>1</v>
      </c>
      <c r="E4" s="33">
        <v>9</v>
      </c>
      <c r="F4" s="33">
        <v>3</v>
      </c>
      <c r="G4" s="33">
        <v>10</v>
      </c>
      <c r="H4" s="33">
        <v>5</v>
      </c>
      <c r="I4" s="33">
        <v>32</v>
      </c>
      <c r="J4" s="33">
        <v>1</v>
      </c>
      <c r="K4" s="33">
        <v>0</v>
      </c>
      <c r="L4" s="33">
        <v>2</v>
      </c>
      <c r="M4" s="33">
        <f t="shared" ref="M4:M43" si="0">SUM(B4:L4)</f>
        <v>80</v>
      </c>
      <c r="N4" s="40">
        <f>(M4/$M$44)*100</f>
        <v>6.0790273556231007</v>
      </c>
    </row>
    <row r="5" spans="1:14" x14ac:dyDescent="0.2">
      <c r="A5" s="27" t="s">
        <v>4</v>
      </c>
      <c r="B5" s="33">
        <v>2</v>
      </c>
      <c r="C5" s="33">
        <v>1</v>
      </c>
      <c r="D5" s="33">
        <v>2</v>
      </c>
      <c r="E5" s="33">
        <v>10</v>
      </c>
      <c r="F5" s="33">
        <v>0</v>
      </c>
      <c r="G5" s="33">
        <v>3</v>
      </c>
      <c r="H5" s="33">
        <v>9</v>
      </c>
      <c r="I5" s="33">
        <v>2</v>
      </c>
      <c r="J5" s="33">
        <v>4</v>
      </c>
      <c r="K5" s="33">
        <v>4</v>
      </c>
      <c r="L5" s="33">
        <v>7</v>
      </c>
      <c r="M5" s="33">
        <f t="shared" si="0"/>
        <v>44</v>
      </c>
      <c r="N5" s="40">
        <f t="shared" ref="N5:N44" si="1">(M5/$M$44)*100</f>
        <v>3.3434650455927049</v>
      </c>
    </row>
    <row r="6" spans="1:14" x14ac:dyDescent="0.2">
      <c r="A6" s="27" t="s">
        <v>5</v>
      </c>
      <c r="B6" s="33">
        <v>3</v>
      </c>
      <c r="C6" s="33">
        <v>0</v>
      </c>
      <c r="D6" s="33">
        <v>0</v>
      </c>
      <c r="E6" s="33">
        <v>0</v>
      </c>
      <c r="F6" s="33">
        <v>2</v>
      </c>
      <c r="G6" s="33">
        <v>0</v>
      </c>
      <c r="H6" s="33">
        <v>1</v>
      </c>
      <c r="I6" s="33">
        <v>1</v>
      </c>
      <c r="J6" s="33">
        <v>0</v>
      </c>
      <c r="K6" s="33">
        <v>0</v>
      </c>
      <c r="L6" s="33">
        <v>1</v>
      </c>
      <c r="M6" s="33">
        <f t="shared" si="0"/>
        <v>8</v>
      </c>
      <c r="N6" s="40">
        <f t="shared" si="1"/>
        <v>0.60790273556231</v>
      </c>
    </row>
    <row r="7" spans="1:14" x14ac:dyDescent="0.2">
      <c r="A7" s="27" t="s">
        <v>6</v>
      </c>
      <c r="B7" s="33">
        <v>17</v>
      </c>
      <c r="C7" s="33">
        <v>3</v>
      </c>
      <c r="D7" s="33">
        <v>3</v>
      </c>
      <c r="E7" s="33">
        <v>24</v>
      </c>
      <c r="F7" s="33">
        <v>3</v>
      </c>
      <c r="G7" s="33">
        <v>6</v>
      </c>
      <c r="H7" s="33">
        <v>48</v>
      </c>
      <c r="I7" s="33">
        <v>21</v>
      </c>
      <c r="J7" s="33">
        <v>0</v>
      </c>
      <c r="K7" s="33">
        <v>22</v>
      </c>
      <c r="L7" s="33">
        <v>22</v>
      </c>
      <c r="M7" s="33">
        <f t="shared" si="0"/>
        <v>169</v>
      </c>
      <c r="N7" s="40">
        <f t="shared" si="1"/>
        <v>12.8419452887538</v>
      </c>
    </row>
    <row r="8" spans="1:14" x14ac:dyDescent="0.2">
      <c r="A8" s="27" t="s">
        <v>40</v>
      </c>
      <c r="B8" s="33">
        <v>0</v>
      </c>
      <c r="C8" s="33">
        <v>0</v>
      </c>
      <c r="D8" s="33">
        <v>0</v>
      </c>
      <c r="E8" s="33">
        <v>6</v>
      </c>
      <c r="F8" s="33">
        <v>3</v>
      </c>
      <c r="G8" s="33">
        <v>0</v>
      </c>
      <c r="H8" s="33">
        <v>5</v>
      </c>
      <c r="I8" s="33">
        <v>1</v>
      </c>
      <c r="J8" s="33">
        <v>5</v>
      </c>
      <c r="K8" s="33">
        <v>1</v>
      </c>
      <c r="L8" s="33">
        <v>1</v>
      </c>
      <c r="M8" s="33">
        <f t="shared" si="0"/>
        <v>22</v>
      </c>
      <c r="N8" s="40">
        <f t="shared" si="1"/>
        <v>1.6717325227963524</v>
      </c>
    </row>
    <row r="9" spans="1:14" x14ac:dyDescent="0.2">
      <c r="A9" s="27" t="s">
        <v>7</v>
      </c>
      <c r="B9" s="33">
        <v>11</v>
      </c>
      <c r="C9" s="33">
        <v>6</v>
      </c>
      <c r="D9" s="33">
        <v>0</v>
      </c>
      <c r="E9" s="33">
        <v>6</v>
      </c>
      <c r="F9" s="33">
        <v>4</v>
      </c>
      <c r="G9" s="33">
        <v>9</v>
      </c>
      <c r="H9" s="33">
        <v>31</v>
      </c>
      <c r="I9" s="33">
        <v>16</v>
      </c>
      <c r="J9" s="33">
        <v>29</v>
      </c>
      <c r="K9" s="33">
        <v>11</v>
      </c>
      <c r="L9" s="33">
        <v>22</v>
      </c>
      <c r="M9" s="33">
        <f t="shared" si="0"/>
        <v>145</v>
      </c>
      <c r="N9" s="40">
        <f t="shared" si="1"/>
        <v>11.018237082066868</v>
      </c>
    </row>
    <row r="10" spans="1:14" x14ac:dyDescent="0.2">
      <c r="A10" s="27" t="s">
        <v>9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f t="shared" si="0"/>
        <v>0</v>
      </c>
      <c r="N10" s="40">
        <f t="shared" si="1"/>
        <v>0</v>
      </c>
    </row>
    <row r="11" spans="1:14" x14ac:dyDescent="0.2">
      <c r="A11" s="27" t="s">
        <v>10</v>
      </c>
      <c r="B11" s="33">
        <v>1</v>
      </c>
      <c r="C11" s="33">
        <v>0</v>
      </c>
      <c r="D11" s="33">
        <v>0</v>
      </c>
      <c r="E11" s="33">
        <v>0</v>
      </c>
      <c r="F11" s="33">
        <v>0</v>
      </c>
      <c r="G11" s="33">
        <v>1</v>
      </c>
      <c r="H11" s="33">
        <v>0</v>
      </c>
      <c r="I11" s="33">
        <v>1</v>
      </c>
      <c r="J11" s="33">
        <v>1</v>
      </c>
      <c r="K11" s="33">
        <v>1</v>
      </c>
      <c r="L11" s="33">
        <v>0</v>
      </c>
      <c r="M11" s="33">
        <f t="shared" si="0"/>
        <v>5</v>
      </c>
      <c r="N11" s="40">
        <f t="shared" si="1"/>
        <v>0.37993920972644379</v>
      </c>
    </row>
    <row r="12" spans="1:14" x14ac:dyDescent="0.2">
      <c r="A12" s="27" t="s">
        <v>11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1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f t="shared" si="0"/>
        <v>1</v>
      </c>
      <c r="N12" s="40">
        <f t="shared" si="1"/>
        <v>7.598784194528875E-2</v>
      </c>
    </row>
    <row r="13" spans="1:14" x14ac:dyDescent="0.2">
      <c r="A13" s="27" t="s">
        <v>503</v>
      </c>
      <c r="B13" s="33">
        <v>0</v>
      </c>
      <c r="C13" s="33">
        <v>0</v>
      </c>
      <c r="D13" s="33">
        <v>0</v>
      </c>
      <c r="E13" s="33">
        <v>3</v>
      </c>
      <c r="F13" s="33">
        <v>0</v>
      </c>
      <c r="G13" s="33">
        <v>1</v>
      </c>
      <c r="H13" s="33">
        <v>2</v>
      </c>
      <c r="I13" s="33">
        <v>0</v>
      </c>
      <c r="J13" s="33">
        <v>0</v>
      </c>
      <c r="K13" s="33">
        <v>2</v>
      </c>
      <c r="L13" s="33">
        <v>2</v>
      </c>
      <c r="M13" s="33">
        <f t="shared" si="0"/>
        <v>10</v>
      </c>
      <c r="N13" s="40">
        <f t="shared" si="1"/>
        <v>0.75987841945288759</v>
      </c>
    </row>
    <row r="14" spans="1:14" x14ac:dyDescent="0.2">
      <c r="A14" s="27" t="s">
        <v>469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f t="shared" si="0"/>
        <v>0</v>
      </c>
      <c r="N14" s="40">
        <f t="shared" si="1"/>
        <v>0</v>
      </c>
    </row>
    <row r="15" spans="1:14" x14ac:dyDescent="0.2">
      <c r="A15" s="27" t="s">
        <v>13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f t="shared" si="0"/>
        <v>0</v>
      </c>
      <c r="N15" s="40">
        <f t="shared" si="1"/>
        <v>0</v>
      </c>
    </row>
    <row r="16" spans="1:14" x14ac:dyDescent="0.2">
      <c r="A16" s="27" t="s">
        <v>14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f t="shared" si="0"/>
        <v>0</v>
      </c>
      <c r="N16" s="40">
        <f t="shared" si="1"/>
        <v>0</v>
      </c>
    </row>
    <row r="17" spans="1:14" x14ac:dyDescent="0.2">
      <c r="A17" s="27" t="s">
        <v>427</v>
      </c>
      <c r="B17" s="33">
        <v>1</v>
      </c>
      <c r="C17" s="33">
        <v>1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f t="shared" si="0"/>
        <v>2</v>
      </c>
      <c r="N17" s="40">
        <f t="shared" si="1"/>
        <v>0.1519756838905775</v>
      </c>
    </row>
    <row r="18" spans="1:14" x14ac:dyDescent="0.2">
      <c r="A18" s="27" t="s">
        <v>15</v>
      </c>
      <c r="B18" s="33">
        <v>0</v>
      </c>
      <c r="C18" s="33">
        <v>0</v>
      </c>
      <c r="D18" s="33">
        <v>0</v>
      </c>
      <c r="E18" s="33">
        <v>1</v>
      </c>
      <c r="F18" s="33">
        <v>0</v>
      </c>
      <c r="G18" s="33">
        <v>0</v>
      </c>
      <c r="H18" s="33">
        <v>1</v>
      </c>
      <c r="I18" s="33">
        <v>0</v>
      </c>
      <c r="J18" s="33">
        <v>0</v>
      </c>
      <c r="K18" s="33">
        <v>0</v>
      </c>
      <c r="L18" s="33">
        <v>0</v>
      </c>
      <c r="M18" s="33">
        <f t="shared" si="0"/>
        <v>2</v>
      </c>
      <c r="N18" s="40">
        <f t="shared" si="1"/>
        <v>0.1519756838905775</v>
      </c>
    </row>
    <row r="19" spans="1:14" x14ac:dyDescent="0.2">
      <c r="A19" s="27" t="s">
        <v>16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f t="shared" si="0"/>
        <v>0</v>
      </c>
      <c r="N19" s="40">
        <f t="shared" si="1"/>
        <v>0</v>
      </c>
    </row>
    <row r="20" spans="1:14" x14ac:dyDescent="0.2">
      <c r="A20" s="27" t="s">
        <v>17</v>
      </c>
      <c r="B20" s="33">
        <v>1</v>
      </c>
      <c r="C20" s="33">
        <v>1</v>
      </c>
      <c r="D20" s="33">
        <v>0</v>
      </c>
      <c r="E20" s="33">
        <v>0</v>
      </c>
      <c r="F20" s="33">
        <v>1</v>
      </c>
      <c r="G20" s="33">
        <v>1</v>
      </c>
      <c r="H20" s="33">
        <v>2</v>
      </c>
      <c r="I20" s="33">
        <v>1</v>
      </c>
      <c r="J20" s="33">
        <v>1</v>
      </c>
      <c r="K20" s="33">
        <v>1</v>
      </c>
      <c r="L20" s="33">
        <v>1</v>
      </c>
      <c r="M20" s="33">
        <f t="shared" si="0"/>
        <v>10</v>
      </c>
      <c r="N20" s="40">
        <f t="shared" si="1"/>
        <v>0.75987841945288759</v>
      </c>
    </row>
    <row r="21" spans="1:14" x14ac:dyDescent="0.2">
      <c r="A21" s="27" t="s">
        <v>18</v>
      </c>
      <c r="B21" s="33">
        <v>4</v>
      </c>
      <c r="C21" s="33">
        <v>4</v>
      </c>
      <c r="D21" s="33">
        <v>0</v>
      </c>
      <c r="E21" s="33">
        <v>1</v>
      </c>
      <c r="F21" s="33">
        <v>2</v>
      </c>
      <c r="G21" s="33">
        <v>3</v>
      </c>
      <c r="H21" s="33">
        <v>0</v>
      </c>
      <c r="I21" s="33">
        <v>0</v>
      </c>
      <c r="J21" s="33">
        <v>0</v>
      </c>
      <c r="K21" s="33">
        <v>2</v>
      </c>
      <c r="L21" s="33">
        <v>3</v>
      </c>
      <c r="M21" s="33">
        <f t="shared" si="0"/>
        <v>19</v>
      </c>
      <c r="N21" s="40">
        <f t="shared" si="1"/>
        <v>1.4437689969604863</v>
      </c>
    </row>
    <row r="22" spans="1:14" x14ac:dyDescent="0.2">
      <c r="A22" s="27" t="s">
        <v>19</v>
      </c>
      <c r="B22" s="33">
        <v>16</v>
      </c>
      <c r="C22" s="33">
        <v>7</v>
      </c>
      <c r="D22" s="33">
        <v>2</v>
      </c>
      <c r="E22" s="33">
        <v>6</v>
      </c>
      <c r="F22" s="33">
        <v>6</v>
      </c>
      <c r="G22" s="33">
        <v>19</v>
      </c>
      <c r="H22" s="33">
        <v>2</v>
      </c>
      <c r="I22" s="33">
        <v>4</v>
      </c>
      <c r="J22" s="33">
        <v>6</v>
      </c>
      <c r="K22" s="33">
        <v>10</v>
      </c>
      <c r="L22" s="33">
        <v>5</v>
      </c>
      <c r="M22" s="33">
        <f t="shared" si="0"/>
        <v>83</v>
      </c>
      <c r="N22" s="40">
        <f t="shared" si="1"/>
        <v>6.306990881458967</v>
      </c>
    </row>
    <row r="23" spans="1:14" x14ac:dyDescent="0.2">
      <c r="A23" s="27" t="s">
        <v>20</v>
      </c>
      <c r="B23" s="33">
        <v>1</v>
      </c>
      <c r="C23" s="33">
        <v>0</v>
      </c>
      <c r="D23" s="33">
        <v>0</v>
      </c>
      <c r="E23" s="33">
        <v>0</v>
      </c>
      <c r="F23" s="33">
        <v>0</v>
      </c>
      <c r="G23" s="33">
        <v>1</v>
      </c>
      <c r="H23" s="33">
        <v>2</v>
      </c>
      <c r="I23" s="33">
        <v>2</v>
      </c>
      <c r="J23" s="33">
        <v>0</v>
      </c>
      <c r="K23" s="33">
        <v>0</v>
      </c>
      <c r="L23" s="33">
        <v>0</v>
      </c>
      <c r="M23" s="33">
        <f t="shared" si="0"/>
        <v>6</v>
      </c>
      <c r="N23" s="40">
        <f t="shared" si="1"/>
        <v>0.45592705167173248</v>
      </c>
    </row>
    <row r="24" spans="1:14" x14ac:dyDescent="0.2">
      <c r="A24" s="27" t="s">
        <v>645</v>
      </c>
      <c r="B24" s="33">
        <v>13</v>
      </c>
      <c r="C24" s="33">
        <v>5</v>
      </c>
      <c r="D24" s="33">
        <v>0</v>
      </c>
      <c r="E24" s="33">
        <v>6</v>
      </c>
      <c r="F24" s="33">
        <v>4</v>
      </c>
      <c r="G24" s="33">
        <v>5</v>
      </c>
      <c r="H24" s="33">
        <v>18</v>
      </c>
      <c r="I24" s="33">
        <v>2</v>
      </c>
      <c r="J24" s="33">
        <v>9</v>
      </c>
      <c r="K24" s="33">
        <v>9</v>
      </c>
      <c r="L24" s="33">
        <v>5</v>
      </c>
      <c r="M24" s="33">
        <f t="shared" si="0"/>
        <v>76</v>
      </c>
      <c r="N24" s="40">
        <f t="shared" si="1"/>
        <v>5.7750759878419453</v>
      </c>
    </row>
    <row r="25" spans="1:14" x14ac:dyDescent="0.2">
      <c r="A25" s="27" t="s">
        <v>200</v>
      </c>
      <c r="B25" s="33">
        <v>0</v>
      </c>
      <c r="C25" s="33">
        <v>0</v>
      </c>
      <c r="D25" s="33">
        <v>0</v>
      </c>
      <c r="E25" s="33">
        <v>2</v>
      </c>
      <c r="F25" s="33">
        <v>0</v>
      </c>
      <c r="G25" s="33">
        <v>2</v>
      </c>
      <c r="H25" s="33">
        <v>3</v>
      </c>
      <c r="I25" s="33">
        <v>3</v>
      </c>
      <c r="J25" s="33">
        <v>2</v>
      </c>
      <c r="K25" s="33">
        <v>0</v>
      </c>
      <c r="L25" s="33">
        <v>1</v>
      </c>
      <c r="M25" s="33">
        <f t="shared" si="0"/>
        <v>13</v>
      </c>
      <c r="N25" s="40">
        <f t="shared" si="1"/>
        <v>0.9878419452887538</v>
      </c>
    </row>
    <row r="26" spans="1:14" x14ac:dyDescent="0.2">
      <c r="A26" s="27" t="s">
        <v>435</v>
      </c>
      <c r="B26" s="33">
        <v>2</v>
      </c>
      <c r="C26" s="33">
        <v>3</v>
      </c>
      <c r="D26" s="33">
        <v>1</v>
      </c>
      <c r="E26" s="33">
        <v>2</v>
      </c>
      <c r="F26" s="33">
        <v>1</v>
      </c>
      <c r="G26" s="33">
        <v>1</v>
      </c>
      <c r="H26" s="33">
        <v>0</v>
      </c>
      <c r="I26" s="33">
        <v>1</v>
      </c>
      <c r="J26" s="33">
        <v>1</v>
      </c>
      <c r="K26" s="33">
        <v>1</v>
      </c>
      <c r="L26" s="33">
        <v>1</v>
      </c>
      <c r="M26" s="33">
        <f t="shared" si="0"/>
        <v>14</v>
      </c>
      <c r="N26" s="40">
        <f t="shared" si="1"/>
        <v>1.0638297872340425</v>
      </c>
    </row>
    <row r="27" spans="1:14" x14ac:dyDescent="0.2">
      <c r="A27" s="27" t="s">
        <v>22</v>
      </c>
      <c r="B27" s="33">
        <v>0</v>
      </c>
      <c r="C27" s="33">
        <v>1</v>
      </c>
      <c r="D27" s="33">
        <v>0</v>
      </c>
      <c r="E27" s="33">
        <v>0</v>
      </c>
      <c r="F27" s="33">
        <v>0</v>
      </c>
      <c r="G27" s="33">
        <v>3</v>
      </c>
      <c r="H27" s="33">
        <v>1</v>
      </c>
      <c r="I27" s="33">
        <v>0</v>
      </c>
      <c r="J27" s="33">
        <v>0</v>
      </c>
      <c r="K27" s="33">
        <v>0</v>
      </c>
      <c r="L27" s="33">
        <v>0</v>
      </c>
      <c r="M27" s="33">
        <f t="shared" si="0"/>
        <v>5</v>
      </c>
      <c r="N27" s="40">
        <f t="shared" si="1"/>
        <v>0.37993920972644379</v>
      </c>
    </row>
    <row r="28" spans="1:14" x14ac:dyDescent="0.2">
      <c r="A28" s="27" t="s">
        <v>23</v>
      </c>
      <c r="B28" s="33">
        <v>1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1</v>
      </c>
      <c r="I28" s="33">
        <v>1</v>
      </c>
      <c r="J28" s="33">
        <v>1</v>
      </c>
      <c r="K28" s="33">
        <v>0</v>
      </c>
      <c r="L28" s="33">
        <v>0</v>
      </c>
      <c r="M28" s="33">
        <f t="shared" si="0"/>
        <v>4</v>
      </c>
      <c r="N28" s="40">
        <f t="shared" si="1"/>
        <v>0.303951367781155</v>
      </c>
    </row>
    <row r="29" spans="1:14" x14ac:dyDescent="0.2">
      <c r="A29" s="27" t="s">
        <v>214</v>
      </c>
      <c r="B29" s="33">
        <v>1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1</v>
      </c>
      <c r="J29" s="33">
        <v>2</v>
      </c>
      <c r="K29" s="33">
        <v>0</v>
      </c>
      <c r="L29" s="33">
        <v>0</v>
      </c>
      <c r="M29" s="33">
        <f t="shared" si="0"/>
        <v>4</v>
      </c>
      <c r="N29" s="40">
        <f t="shared" si="1"/>
        <v>0.303951367781155</v>
      </c>
    </row>
    <row r="30" spans="1:14" x14ac:dyDescent="0.2">
      <c r="A30" s="27" t="s">
        <v>194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f t="shared" si="0"/>
        <v>0</v>
      </c>
      <c r="N30" s="40">
        <f t="shared" si="1"/>
        <v>0</v>
      </c>
    </row>
    <row r="31" spans="1:14" x14ac:dyDescent="0.2">
      <c r="A31" s="27" t="s">
        <v>195</v>
      </c>
      <c r="B31" s="33">
        <v>1</v>
      </c>
      <c r="C31" s="33">
        <v>0</v>
      </c>
      <c r="D31" s="33">
        <v>1</v>
      </c>
      <c r="E31" s="33">
        <v>2</v>
      </c>
      <c r="F31" s="33">
        <v>0</v>
      </c>
      <c r="G31" s="33">
        <v>2</v>
      </c>
      <c r="H31" s="33">
        <v>0</v>
      </c>
      <c r="I31" s="33">
        <v>0</v>
      </c>
      <c r="J31" s="33">
        <v>1</v>
      </c>
      <c r="K31" s="33">
        <v>2</v>
      </c>
      <c r="L31" s="33">
        <v>1</v>
      </c>
      <c r="M31" s="33">
        <f t="shared" si="0"/>
        <v>10</v>
      </c>
      <c r="N31" s="40">
        <f t="shared" si="1"/>
        <v>0.75987841945288759</v>
      </c>
    </row>
    <row r="32" spans="1:14" x14ac:dyDescent="0.2">
      <c r="A32" s="27" t="s">
        <v>25</v>
      </c>
      <c r="B32" s="33">
        <v>2</v>
      </c>
      <c r="C32" s="33">
        <v>2</v>
      </c>
      <c r="D32" s="33">
        <v>1</v>
      </c>
      <c r="E32" s="33">
        <v>13</v>
      </c>
      <c r="F32" s="33">
        <v>13</v>
      </c>
      <c r="G32" s="33">
        <v>14</v>
      </c>
      <c r="H32" s="33">
        <v>17</v>
      </c>
      <c r="I32" s="33">
        <v>18</v>
      </c>
      <c r="J32" s="33">
        <v>6</v>
      </c>
      <c r="K32" s="33">
        <v>18</v>
      </c>
      <c r="L32" s="33">
        <v>23</v>
      </c>
      <c r="M32" s="33">
        <f t="shared" si="0"/>
        <v>127</v>
      </c>
      <c r="N32" s="40">
        <f t="shared" si="1"/>
        <v>9.6504559270516719</v>
      </c>
    </row>
    <row r="33" spans="1:14" x14ac:dyDescent="0.2">
      <c r="A33" s="27" t="s">
        <v>646</v>
      </c>
      <c r="B33" s="33">
        <v>0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f t="shared" si="0"/>
        <v>0</v>
      </c>
      <c r="N33" s="40">
        <f t="shared" si="1"/>
        <v>0</v>
      </c>
    </row>
    <row r="34" spans="1:14" x14ac:dyDescent="0.2">
      <c r="A34" s="27" t="s">
        <v>26</v>
      </c>
      <c r="B34" s="33">
        <v>1</v>
      </c>
      <c r="C34" s="33">
        <v>0</v>
      </c>
      <c r="D34" s="33">
        <v>0</v>
      </c>
      <c r="E34" s="33">
        <v>1</v>
      </c>
      <c r="F34" s="33">
        <v>0</v>
      </c>
      <c r="G34" s="33">
        <v>0</v>
      </c>
      <c r="H34" s="33">
        <v>0</v>
      </c>
      <c r="I34" s="33">
        <v>4</v>
      </c>
      <c r="J34" s="33">
        <v>4</v>
      </c>
      <c r="K34" s="33">
        <v>0</v>
      </c>
      <c r="L34" s="33">
        <v>1</v>
      </c>
      <c r="M34" s="33">
        <f t="shared" si="0"/>
        <v>11</v>
      </c>
      <c r="N34" s="40">
        <f t="shared" si="1"/>
        <v>0.83586626139817621</v>
      </c>
    </row>
    <row r="35" spans="1:14" x14ac:dyDescent="0.2">
      <c r="A35" s="27" t="s">
        <v>27</v>
      </c>
      <c r="B35" s="33">
        <v>16</v>
      </c>
      <c r="C35" s="33">
        <v>15</v>
      </c>
      <c r="D35" s="33">
        <v>10</v>
      </c>
      <c r="E35" s="33">
        <v>19</v>
      </c>
      <c r="F35" s="33">
        <v>42</v>
      </c>
      <c r="G35" s="33">
        <v>22</v>
      </c>
      <c r="H35" s="33">
        <v>26</v>
      </c>
      <c r="I35" s="33">
        <v>38</v>
      </c>
      <c r="J35" s="33">
        <v>38</v>
      </c>
      <c r="K35" s="33">
        <v>47</v>
      </c>
      <c r="L35" s="33">
        <v>13</v>
      </c>
      <c r="M35" s="33">
        <f t="shared" si="0"/>
        <v>286</v>
      </c>
      <c r="N35" s="40">
        <f t="shared" si="1"/>
        <v>21.732522796352583</v>
      </c>
    </row>
    <row r="36" spans="1:14" x14ac:dyDescent="0.2">
      <c r="A36" s="27" t="s">
        <v>28</v>
      </c>
      <c r="B36" s="33">
        <v>0</v>
      </c>
      <c r="C36" s="33">
        <v>1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2</v>
      </c>
      <c r="M36" s="33">
        <f t="shared" si="0"/>
        <v>3</v>
      </c>
      <c r="N36" s="40">
        <f t="shared" si="1"/>
        <v>0.22796352583586624</v>
      </c>
    </row>
    <row r="37" spans="1:14" x14ac:dyDescent="0.2">
      <c r="A37" s="27" t="s">
        <v>29</v>
      </c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f t="shared" si="0"/>
        <v>0</v>
      </c>
      <c r="N37" s="40">
        <f t="shared" si="1"/>
        <v>0</v>
      </c>
    </row>
    <row r="38" spans="1:14" x14ac:dyDescent="0.2">
      <c r="A38" s="27" t="s">
        <v>30</v>
      </c>
      <c r="B38" s="33">
        <v>0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f t="shared" si="0"/>
        <v>0</v>
      </c>
      <c r="N38" s="40">
        <f t="shared" si="1"/>
        <v>0</v>
      </c>
    </row>
    <row r="39" spans="1:14" x14ac:dyDescent="0.2">
      <c r="A39" s="27" t="s">
        <v>442</v>
      </c>
      <c r="B39" s="33">
        <v>0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f t="shared" si="0"/>
        <v>0</v>
      </c>
      <c r="N39" s="40">
        <f t="shared" si="1"/>
        <v>0</v>
      </c>
    </row>
    <row r="40" spans="1:14" x14ac:dyDescent="0.2">
      <c r="A40" s="27" t="s">
        <v>31</v>
      </c>
      <c r="B40" s="33">
        <v>0</v>
      </c>
      <c r="C40" s="33">
        <v>1</v>
      </c>
      <c r="D40" s="33">
        <v>0</v>
      </c>
      <c r="E40" s="33">
        <v>0</v>
      </c>
      <c r="F40" s="33">
        <v>1</v>
      </c>
      <c r="G40" s="33">
        <v>3</v>
      </c>
      <c r="H40" s="33">
        <v>1</v>
      </c>
      <c r="I40" s="33">
        <v>1</v>
      </c>
      <c r="J40" s="33">
        <v>1</v>
      </c>
      <c r="K40" s="33">
        <v>2</v>
      </c>
      <c r="L40" s="33">
        <v>1</v>
      </c>
      <c r="M40" s="33">
        <f t="shared" si="0"/>
        <v>11</v>
      </c>
      <c r="N40" s="40">
        <f t="shared" si="1"/>
        <v>0.83586626139817621</v>
      </c>
    </row>
    <row r="41" spans="1:14" x14ac:dyDescent="0.2">
      <c r="A41" s="27" t="s">
        <v>32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1</v>
      </c>
      <c r="H41" s="33">
        <v>1</v>
      </c>
      <c r="I41" s="33">
        <v>0</v>
      </c>
      <c r="J41" s="33">
        <v>1</v>
      </c>
      <c r="K41" s="33">
        <v>0</v>
      </c>
      <c r="L41" s="33">
        <v>0</v>
      </c>
      <c r="M41" s="33">
        <f t="shared" si="0"/>
        <v>3</v>
      </c>
      <c r="N41" s="40">
        <f t="shared" si="1"/>
        <v>0.22796352583586624</v>
      </c>
    </row>
    <row r="42" spans="1:14" x14ac:dyDescent="0.2">
      <c r="A42" s="27" t="s">
        <v>33</v>
      </c>
      <c r="B42" s="33">
        <v>3</v>
      </c>
      <c r="C42" s="33">
        <v>0</v>
      </c>
      <c r="D42" s="33">
        <v>1</v>
      </c>
      <c r="E42" s="33">
        <v>2</v>
      </c>
      <c r="F42" s="33">
        <v>0</v>
      </c>
      <c r="G42" s="33">
        <v>8</v>
      </c>
      <c r="H42" s="33">
        <v>5</v>
      </c>
      <c r="I42" s="33">
        <v>0</v>
      </c>
      <c r="J42" s="33">
        <v>0</v>
      </c>
      <c r="K42" s="33">
        <v>7</v>
      </c>
      <c r="L42" s="33">
        <v>13</v>
      </c>
      <c r="M42" s="33">
        <f t="shared" si="0"/>
        <v>39</v>
      </c>
      <c r="N42" s="40">
        <f t="shared" si="1"/>
        <v>2.9635258358662613</v>
      </c>
    </row>
    <row r="43" spans="1:14" x14ac:dyDescent="0.2">
      <c r="A43" s="27" t="s">
        <v>36</v>
      </c>
      <c r="B43" s="33">
        <v>0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f t="shared" si="0"/>
        <v>0</v>
      </c>
      <c r="N43" s="40">
        <f t="shared" si="1"/>
        <v>0</v>
      </c>
    </row>
    <row r="44" spans="1:14" x14ac:dyDescent="0.2">
      <c r="A44" t="s">
        <v>344</v>
      </c>
      <c r="B44" s="33">
        <f t="shared" ref="B44:L44" si="2">SUM(B3:B43)</f>
        <v>116</v>
      </c>
      <c r="C44" s="33">
        <f t="shared" si="2"/>
        <v>55</v>
      </c>
      <c r="D44" s="33">
        <f t="shared" si="2"/>
        <v>24</v>
      </c>
      <c r="E44" s="33">
        <f t="shared" si="2"/>
        <v>125</v>
      </c>
      <c r="F44" s="33">
        <f t="shared" si="2"/>
        <v>92</v>
      </c>
      <c r="G44" s="33">
        <f t="shared" si="2"/>
        <v>129</v>
      </c>
      <c r="H44" s="33">
        <f t="shared" si="2"/>
        <v>194</v>
      </c>
      <c r="I44" s="33">
        <f t="shared" si="2"/>
        <v>158</v>
      </c>
      <c r="J44" s="33">
        <f t="shared" si="2"/>
        <v>126</v>
      </c>
      <c r="K44" s="33">
        <f t="shared" si="2"/>
        <v>156</v>
      </c>
      <c r="L44" s="33">
        <f t="shared" si="2"/>
        <v>141</v>
      </c>
      <c r="M44" s="33">
        <f>SUM(M3:M43)</f>
        <v>1316</v>
      </c>
      <c r="N44" s="40">
        <f t="shared" si="1"/>
        <v>100</v>
      </c>
    </row>
    <row r="47" spans="1:14" x14ac:dyDescent="0.2">
      <c r="A47" s="30" t="s">
        <v>1470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46"/>
  <sheetViews>
    <sheetView topLeftCell="A17" zoomScaleNormal="100" workbookViewId="0">
      <selection activeCell="F46" sqref="F46"/>
    </sheetView>
  </sheetViews>
  <sheetFormatPr defaultRowHeight="12.75" x14ac:dyDescent="0.2"/>
  <cols>
    <col min="1" max="1" width="26" bestFit="1" customWidth="1"/>
    <col min="3" max="6" width="9.140625" customWidth="1"/>
    <col min="7" max="7" width="12.5703125" customWidth="1"/>
    <col min="8" max="18" width="9.140625" customWidth="1"/>
    <col min="28" max="28" width="9.140625" style="41"/>
  </cols>
  <sheetData>
    <row r="1" spans="1:28" x14ac:dyDescent="0.2">
      <c r="A1" t="s">
        <v>448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s="33" t="s">
        <v>449</v>
      </c>
      <c r="AB1" s="40"/>
    </row>
    <row r="2" spans="1:28" ht="38.25" x14ac:dyDescent="0.2">
      <c r="A2" t="s">
        <v>287</v>
      </c>
      <c r="B2" s="34" t="s">
        <v>676</v>
      </c>
      <c r="C2" s="33" t="s">
        <v>677</v>
      </c>
      <c r="D2" s="33" t="s">
        <v>678</v>
      </c>
      <c r="E2" s="33" t="s">
        <v>679</v>
      </c>
      <c r="F2" s="33" t="s">
        <v>680</v>
      </c>
      <c r="G2" s="44" t="s">
        <v>681</v>
      </c>
      <c r="H2" s="33" t="s">
        <v>682</v>
      </c>
      <c r="I2" s="33" t="s">
        <v>683</v>
      </c>
      <c r="J2" s="33" t="s">
        <v>684</v>
      </c>
      <c r="K2" s="33" t="s">
        <v>685</v>
      </c>
      <c r="L2" s="33" t="s">
        <v>686</v>
      </c>
      <c r="M2" s="33" t="s">
        <v>687</v>
      </c>
      <c r="N2" s="33" t="s">
        <v>688</v>
      </c>
      <c r="O2" s="33" t="s">
        <v>689</v>
      </c>
      <c r="P2" s="33" t="s">
        <v>690</v>
      </c>
      <c r="Q2" s="33" t="s">
        <v>691</v>
      </c>
      <c r="R2" s="33" t="s">
        <v>692</v>
      </c>
      <c r="S2" s="33" t="s">
        <v>693</v>
      </c>
      <c r="T2" s="33" t="s">
        <v>694</v>
      </c>
      <c r="U2" s="33" t="s">
        <v>695</v>
      </c>
      <c r="V2" s="33" t="s">
        <v>696</v>
      </c>
      <c r="W2" s="33" t="s">
        <v>697</v>
      </c>
      <c r="X2" s="33" t="s">
        <v>698</v>
      </c>
      <c r="Y2" s="33" t="s">
        <v>699</v>
      </c>
      <c r="Z2" s="33" t="s">
        <v>700</v>
      </c>
      <c r="AA2" s="33" t="s">
        <v>315</v>
      </c>
      <c r="AB2" s="40" t="s">
        <v>460</v>
      </c>
    </row>
    <row r="3" spans="1:28" x14ac:dyDescent="0.2">
      <c r="A3" s="27" t="s">
        <v>1</v>
      </c>
      <c r="B3" s="33">
        <v>2</v>
      </c>
      <c r="C3" s="33">
        <v>4</v>
      </c>
      <c r="D3" s="33">
        <v>2</v>
      </c>
      <c r="E3" s="33">
        <v>6</v>
      </c>
      <c r="F3" s="33">
        <v>0</v>
      </c>
      <c r="G3" s="33">
        <v>0</v>
      </c>
      <c r="H3" s="33">
        <v>2</v>
      </c>
      <c r="I3" s="33">
        <v>0</v>
      </c>
      <c r="J3" s="33">
        <v>9</v>
      </c>
      <c r="K3" s="33">
        <v>5</v>
      </c>
      <c r="L3" s="33">
        <v>10</v>
      </c>
      <c r="M3" s="33">
        <v>5</v>
      </c>
      <c r="N3" s="33">
        <v>9</v>
      </c>
      <c r="O3" s="33">
        <v>2</v>
      </c>
      <c r="P3" s="33">
        <v>1</v>
      </c>
      <c r="Q3" s="33">
        <v>3</v>
      </c>
      <c r="R3" s="33">
        <v>1</v>
      </c>
      <c r="S3" s="33">
        <v>1</v>
      </c>
      <c r="T3" s="33">
        <v>5</v>
      </c>
      <c r="U3" s="33">
        <v>1</v>
      </c>
      <c r="V3" s="33">
        <v>3</v>
      </c>
      <c r="W3" s="33">
        <v>5</v>
      </c>
      <c r="X3" s="33">
        <v>0</v>
      </c>
      <c r="Y3" s="33">
        <v>1</v>
      </c>
      <c r="Z3" s="33">
        <v>5</v>
      </c>
      <c r="AA3" s="33">
        <f>SUM(B3:Z3)</f>
        <v>82</v>
      </c>
      <c r="AB3" s="40">
        <f t="shared" ref="AB3:AB43" si="0">(AA3/$AA$43)*100</f>
        <v>2.3740590619571513</v>
      </c>
    </row>
    <row r="4" spans="1:28" x14ac:dyDescent="0.2">
      <c r="A4" s="27" t="s">
        <v>3</v>
      </c>
      <c r="B4" s="33">
        <v>1</v>
      </c>
      <c r="C4" s="33">
        <v>6</v>
      </c>
      <c r="D4" s="33">
        <v>3</v>
      </c>
      <c r="E4" s="33">
        <v>2</v>
      </c>
      <c r="F4" s="33">
        <v>4</v>
      </c>
      <c r="G4" s="33">
        <v>1</v>
      </c>
      <c r="H4" s="33">
        <v>1</v>
      </c>
      <c r="I4" s="33">
        <v>4</v>
      </c>
      <c r="J4" s="33">
        <v>4</v>
      </c>
      <c r="K4" s="33">
        <v>2</v>
      </c>
      <c r="L4" s="33">
        <v>3</v>
      </c>
      <c r="M4" s="33">
        <v>3</v>
      </c>
      <c r="N4" s="33">
        <v>3</v>
      </c>
      <c r="O4" s="33">
        <v>0</v>
      </c>
      <c r="P4" s="33">
        <v>3</v>
      </c>
      <c r="Q4" s="33">
        <v>3</v>
      </c>
      <c r="R4" s="33">
        <v>8</v>
      </c>
      <c r="S4" s="33">
        <v>9</v>
      </c>
      <c r="T4" s="33">
        <v>5</v>
      </c>
      <c r="U4" s="33">
        <v>1</v>
      </c>
      <c r="V4" s="33">
        <v>4</v>
      </c>
      <c r="W4" s="33">
        <v>4</v>
      </c>
      <c r="X4" s="33">
        <v>3</v>
      </c>
      <c r="Y4" s="33">
        <v>5</v>
      </c>
      <c r="Z4" s="33">
        <v>4</v>
      </c>
      <c r="AA4" s="33">
        <f>SUM(B4:Z4)</f>
        <v>86</v>
      </c>
      <c r="AB4" s="40">
        <f t="shared" si="0"/>
        <v>2.4898668210770123</v>
      </c>
    </row>
    <row r="5" spans="1:28" x14ac:dyDescent="0.2">
      <c r="A5" s="27" t="s">
        <v>4</v>
      </c>
      <c r="B5" s="33">
        <v>0</v>
      </c>
      <c r="C5" s="33">
        <v>4</v>
      </c>
      <c r="D5" s="33">
        <v>0</v>
      </c>
      <c r="E5" s="33">
        <v>0</v>
      </c>
      <c r="F5" s="33">
        <v>3</v>
      </c>
      <c r="G5" s="33">
        <v>0</v>
      </c>
      <c r="H5" s="33">
        <v>1</v>
      </c>
      <c r="I5" s="33">
        <v>1</v>
      </c>
      <c r="J5" s="33">
        <v>9</v>
      </c>
      <c r="K5" s="33">
        <v>8</v>
      </c>
      <c r="L5" s="33">
        <v>3</v>
      </c>
      <c r="M5" s="33">
        <v>4</v>
      </c>
      <c r="N5" s="33">
        <v>5</v>
      </c>
      <c r="O5" s="33">
        <v>1</v>
      </c>
      <c r="P5" s="33">
        <v>0</v>
      </c>
      <c r="Q5" s="33">
        <v>3</v>
      </c>
      <c r="R5" s="33">
        <v>2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2</v>
      </c>
      <c r="AA5" s="33">
        <f>SUM(B5:Z5)</f>
        <v>46</v>
      </c>
      <c r="AB5" s="40">
        <f t="shared" si="0"/>
        <v>1.3317892298784018</v>
      </c>
    </row>
    <row r="6" spans="1:28" x14ac:dyDescent="0.2">
      <c r="A6" s="27" t="s">
        <v>5</v>
      </c>
      <c r="B6" s="33">
        <v>1</v>
      </c>
      <c r="C6" s="33">
        <v>1</v>
      </c>
      <c r="D6" s="33">
        <v>0</v>
      </c>
      <c r="E6" s="33">
        <v>5</v>
      </c>
      <c r="F6" s="33">
        <v>3</v>
      </c>
      <c r="G6" s="33">
        <v>1</v>
      </c>
      <c r="H6" s="33">
        <v>2</v>
      </c>
      <c r="I6" s="33">
        <v>0</v>
      </c>
      <c r="J6" s="33">
        <v>1</v>
      </c>
      <c r="K6" s="33">
        <v>3</v>
      </c>
      <c r="L6" s="33">
        <v>4</v>
      </c>
      <c r="M6" s="33">
        <v>2</v>
      </c>
      <c r="N6" s="33">
        <v>2</v>
      </c>
      <c r="O6" s="33">
        <v>1</v>
      </c>
      <c r="P6" s="33">
        <v>1</v>
      </c>
      <c r="Q6" s="33">
        <v>1</v>
      </c>
      <c r="R6" s="33">
        <v>2</v>
      </c>
      <c r="S6" s="33">
        <v>1</v>
      </c>
      <c r="T6" s="33">
        <v>2</v>
      </c>
      <c r="U6" s="33">
        <v>0</v>
      </c>
      <c r="V6" s="33">
        <v>4</v>
      </c>
      <c r="W6" s="33">
        <v>0</v>
      </c>
      <c r="X6" s="33">
        <v>4</v>
      </c>
      <c r="Y6" s="33">
        <v>2</v>
      </c>
      <c r="Z6" s="33">
        <v>5</v>
      </c>
      <c r="AA6" s="33">
        <f>SUM(B6:Z6)</f>
        <v>48</v>
      </c>
      <c r="AB6" s="40">
        <f t="shared" si="0"/>
        <v>1.3896931094383325</v>
      </c>
    </row>
    <row r="7" spans="1:28" x14ac:dyDescent="0.2">
      <c r="A7" s="27" t="s">
        <v>6</v>
      </c>
      <c r="B7" s="33">
        <v>26</v>
      </c>
      <c r="C7" s="33">
        <v>45</v>
      </c>
      <c r="D7" s="33">
        <v>8</v>
      </c>
      <c r="E7" s="33">
        <v>39</v>
      </c>
      <c r="F7" s="33">
        <v>7</v>
      </c>
      <c r="G7" s="33">
        <v>2</v>
      </c>
      <c r="H7" s="33">
        <v>3</v>
      </c>
      <c r="I7" s="33">
        <v>22</v>
      </c>
      <c r="J7" s="33">
        <v>48</v>
      </c>
      <c r="K7" s="33">
        <v>83</v>
      </c>
      <c r="L7" s="33">
        <v>67</v>
      </c>
      <c r="M7" s="33">
        <v>63</v>
      </c>
      <c r="N7" s="33">
        <v>38</v>
      </c>
      <c r="O7" s="33">
        <v>9</v>
      </c>
      <c r="P7" s="33">
        <v>10</v>
      </c>
      <c r="Q7" s="33">
        <v>44</v>
      </c>
      <c r="R7" s="33">
        <v>32</v>
      </c>
      <c r="S7" s="33">
        <v>30</v>
      </c>
      <c r="T7" s="33">
        <v>32</v>
      </c>
      <c r="U7" s="33">
        <v>0</v>
      </c>
      <c r="V7" s="33">
        <v>5</v>
      </c>
      <c r="W7" s="33">
        <v>8</v>
      </c>
      <c r="X7" s="33">
        <v>1</v>
      </c>
      <c r="Y7" s="33">
        <v>10</v>
      </c>
      <c r="Z7" s="33">
        <v>22</v>
      </c>
      <c r="AA7" s="33">
        <f t="shared" ref="AA7:AA42" si="1">SUM(B7:Z7)</f>
        <v>654</v>
      </c>
      <c r="AB7" s="40">
        <f t="shared" si="0"/>
        <v>18.934568616097277</v>
      </c>
    </row>
    <row r="8" spans="1:28" x14ac:dyDescent="0.2">
      <c r="A8" s="27" t="s">
        <v>40</v>
      </c>
      <c r="B8" s="33">
        <v>1</v>
      </c>
      <c r="C8" s="33">
        <v>0</v>
      </c>
      <c r="D8" s="33">
        <v>0</v>
      </c>
      <c r="E8" s="33">
        <v>0</v>
      </c>
      <c r="F8" s="33">
        <v>1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3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f>SUM(B8:Z8)</f>
        <v>5</v>
      </c>
      <c r="AB8" s="40">
        <f t="shared" si="0"/>
        <v>0.14475969889982629</v>
      </c>
    </row>
    <row r="9" spans="1:28" x14ac:dyDescent="0.2">
      <c r="A9" s="27" t="s">
        <v>7</v>
      </c>
      <c r="B9" s="33">
        <v>7</v>
      </c>
      <c r="C9" s="33">
        <v>44</v>
      </c>
      <c r="D9" s="33">
        <v>11</v>
      </c>
      <c r="E9" s="33">
        <v>32</v>
      </c>
      <c r="F9" s="33">
        <v>26</v>
      </c>
      <c r="G9" s="33">
        <v>0</v>
      </c>
      <c r="H9" s="33">
        <v>0</v>
      </c>
      <c r="I9" s="33">
        <v>4</v>
      </c>
      <c r="J9" s="33">
        <v>25</v>
      </c>
      <c r="K9" s="33">
        <v>25</v>
      </c>
      <c r="L9" s="33">
        <v>46</v>
      </c>
      <c r="M9" s="33">
        <v>25</v>
      </c>
      <c r="N9" s="33">
        <v>21</v>
      </c>
      <c r="O9" s="33">
        <v>2</v>
      </c>
      <c r="P9" s="33">
        <v>7</v>
      </c>
      <c r="Q9" s="33">
        <v>18</v>
      </c>
      <c r="R9" s="33">
        <v>45</v>
      </c>
      <c r="S9" s="33">
        <v>18</v>
      </c>
      <c r="T9" s="33">
        <v>25</v>
      </c>
      <c r="U9" s="33">
        <v>0</v>
      </c>
      <c r="V9" s="33">
        <v>11</v>
      </c>
      <c r="W9" s="33">
        <v>6</v>
      </c>
      <c r="X9" s="33">
        <v>11</v>
      </c>
      <c r="Y9" s="33">
        <v>7</v>
      </c>
      <c r="Z9" s="33">
        <v>23</v>
      </c>
      <c r="AA9" s="33">
        <f t="shared" si="1"/>
        <v>439</v>
      </c>
      <c r="AB9" s="40">
        <f t="shared" si="0"/>
        <v>12.709901563404749</v>
      </c>
    </row>
    <row r="10" spans="1:28" x14ac:dyDescent="0.2">
      <c r="A10" s="27" t="s">
        <v>9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1</v>
      </c>
      <c r="I10" s="33">
        <v>0</v>
      </c>
      <c r="J10" s="33">
        <v>1</v>
      </c>
      <c r="K10" s="33">
        <v>0</v>
      </c>
      <c r="L10" s="33">
        <v>1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1</v>
      </c>
      <c r="Y10" s="33">
        <v>1</v>
      </c>
      <c r="Z10" s="33">
        <v>0</v>
      </c>
      <c r="AA10" s="33">
        <f t="shared" si="1"/>
        <v>5</v>
      </c>
      <c r="AB10" s="40">
        <f t="shared" si="0"/>
        <v>0.14475969889982629</v>
      </c>
    </row>
    <row r="11" spans="1:28" x14ac:dyDescent="0.2">
      <c r="A11" s="27" t="s">
        <v>10</v>
      </c>
      <c r="B11" s="33">
        <v>0</v>
      </c>
      <c r="C11" s="33">
        <v>0</v>
      </c>
      <c r="D11" s="33">
        <v>0</v>
      </c>
      <c r="E11" s="33">
        <v>0</v>
      </c>
      <c r="F11" s="33">
        <v>1</v>
      </c>
      <c r="G11" s="33">
        <v>0</v>
      </c>
      <c r="H11" s="33">
        <v>1</v>
      </c>
      <c r="I11" s="33">
        <v>0</v>
      </c>
      <c r="J11" s="33">
        <v>2</v>
      </c>
      <c r="K11" s="33">
        <v>1</v>
      </c>
      <c r="L11" s="33">
        <v>4</v>
      </c>
      <c r="M11" s="33">
        <v>0</v>
      </c>
      <c r="N11" s="33">
        <v>0</v>
      </c>
      <c r="O11" s="33">
        <v>1</v>
      </c>
      <c r="P11" s="33">
        <v>3</v>
      </c>
      <c r="Q11" s="33">
        <v>0</v>
      </c>
      <c r="R11" s="33">
        <v>0</v>
      </c>
      <c r="S11" s="33">
        <v>1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f t="shared" si="1"/>
        <v>14</v>
      </c>
      <c r="AB11" s="40">
        <f t="shared" si="0"/>
        <v>0.4053271569195136</v>
      </c>
    </row>
    <row r="12" spans="1:28" x14ac:dyDescent="0.2">
      <c r="A12" s="27" t="s">
        <v>11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f>SUM(B12:Z12)</f>
        <v>0</v>
      </c>
      <c r="AB12" s="40">
        <f t="shared" si="0"/>
        <v>0</v>
      </c>
    </row>
    <row r="13" spans="1:28" x14ac:dyDescent="0.2">
      <c r="A13" s="27" t="s">
        <v>503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1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f>SUM(B13:Z13)</f>
        <v>1</v>
      </c>
      <c r="AB13" s="40">
        <f t="shared" si="0"/>
        <v>2.8951939779965255E-2</v>
      </c>
    </row>
    <row r="14" spans="1:28" x14ac:dyDescent="0.2">
      <c r="A14" s="27" t="s">
        <v>469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f>SUM(B14:Z14)</f>
        <v>0</v>
      </c>
      <c r="AB14" s="40">
        <f t="shared" si="0"/>
        <v>0</v>
      </c>
    </row>
    <row r="15" spans="1:28" x14ac:dyDescent="0.2">
      <c r="A15" s="27" t="s">
        <v>13</v>
      </c>
      <c r="B15" s="33">
        <v>0</v>
      </c>
      <c r="C15" s="33">
        <v>0</v>
      </c>
      <c r="D15" s="33">
        <v>0</v>
      </c>
      <c r="E15" s="33">
        <v>1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1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1</v>
      </c>
      <c r="T15" s="33">
        <v>0</v>
      </c>
      <c r="U15" s="33">
        <v>0</v>
      </c>
      <c r="V15" s="33">
        <v>0</v>
      </c>
      <c r="W15" s="33">
        <v>1</v>
      </c>
      <c r="X15" s="33">
        <v>0</v>
      </c>
      <c r="Y15" s="33">
        <v>0</v>
      </c>
      <c r="Z15" s="33">
        <v>0</v>
      </c>
      <c r="AA15" s="33">
        <f>SUM(B15:Z15)</f>
        <v>4</v>
      </c>
      <c r="AB15" s="40">
        <f t="shared" si="0"/>
        <v>0.11580775911986102</v>
      </c>
    </row>
    <row r="16" spans="1:28" x14ac:dyDescent="0.2">
      <c r="A16" s="27" t="s">
        <v>427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f t="shared" si="1"/>
        <v>0</v>
      </c>
      <c r="AB16" s="40">
        <f t="shared" si="0"/>
        <v>0</v>
      </c>
    </row>
    <row r="17" spans="1:28" x14ac:dyDescent="0.2">
      <c r="A17" s="27" t="s">
        <v>15</v>
      </c>
      <c r="B17" s="33">
        <v>0</v>
      </c>
      <c r="C17" s="33">
        <v>0</v>
      </c>
      <c r="D17" s="33">
        <v>0</v>
      </c>
      <c r="E17" s="33">
        <v>0</v>
      </c>
      <c r="F17" s="33">
        <v>2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1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f t="shared" si="1"/>
        <v>3</v>
      </c>
      <c r="AB17" s="40">
        <f t="shared" si="0"/>
        <v>8.6855819339895779E-2</v>
      </c>
    </row>
    <row r="18" spans="1:28" x14ac:dyDescent="0.2">
      <c r="A18" s="27" t="s">
        <v>16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f t="shared" si="1"/>
        <v>0</v>
      </c>
      <c r="AB18" s="40">
        <f t="shared" si="0"/>
        <v>0</v>
      </c>
    </row>
    <row r="19" spans="1:28" x14ac:dyDescent="0.2">
      <c r="A19" s="27" t="s">
        <v>17</v>
      </c>
      <c r="B19" s="33">
        <v>0</v>
      </c>
      <c r="C19" s="33">
        <v>5</v>
      </c>
      <c r="D19" s="33">
        <v>1</v>
      </c>
      <c r="E19" s="33">
        <v>4</v>
      </c>
      <c r="F19" s="33">
        <v>7</v>
      </c>
      <c r="G19" s="33">
        <v>9</v>
      </c>
      <c r="H19" s="33">
        <v>0</v>
      </c>
      <c r="I19" s="33">
        <v>0</v>
      </c>
      <c r="J19" s="33">
        <v>0</v>
      </c>
      <c r="K19" s="33">
        <v>7</v>
      </c>
      <c r="L19" s="33">
        <v>2</v>
      </c>
      <c r="M19" s="33">
        <v>6</v>
      </c>
      <c r="N19" s="33">
        <v>2</v>
      </c>
      <c r="O19" s="33">
        <v>0</v>
      </c>
      <c r="P19" s="33">
        <v>10</v>
      </c>
      <c r="Q19" s="33">
        <v>1</v>
      </c>
      <c r="R19" s="33">
        <v>1</v>
      </c>
      <c r="S19" s="33">
        <v>7</v>
      </c>
      <c r="T19" s="33">
        <v>0</v>
      </c>
      <c r="U19" s="33">
        <v>0</v>
      </c>
      <c r="V19" s="33">
        <v>1</v>
      </c>
      <c r="W19" s="33">
        <v>0</v>
      </c>
      <c r="X19" s="33">
        <v>3</v>
      </c>
      <c r="Y19" s="33">
        <v>0</v>
      </c>
      <c r="Z19" s="33">
        <v>1</v>
      </c>
      <c r="AA19" s="33">
        <f t="shared" si="1"/>
        <v>67</v>
      </c>
      <c r="AB19" s="40">
        <f t="shared" si="0"/>
        <v>1.9397799652576722</v>
      </c>
    </row>
    <row r="20" spans="1:28" x14ac:dyDescent="0.2">
      <c r="A20" s="27" t="s">
        <v>18</v>
      </c>
      <c r="B20" s="33">
        <v>0</v>
      </c>
      <c r="C20" s="33">
        <v>3</v>
      </c>
      <c r="D20" s="33">
        <v>0</v>
      </c>
      <c r="E20" s="33">
        <v>4</v>
      </c>
      <c r="F20" s="33">
        <v>2</v>
      </c>
      <c r="G20" s="33">
        <v>0</v>
      </c>
      <c r="H20" s="33">
        <v>4</v>
      </c>
      <c r="I20" s="33">
        <v>2</v>
      </c>
      <c r="J20" s="33">
        <v>1</v>
      </c>
      <c r="K20" s="33">
        <v>0</v>
      </c>
      <c r="L20" s="33">
        <v>3</v>
      </c>
      <c r="M20" s="33">
        <v>3</v>
      </c>
      <c r="N20" s="33">
        <v>5</v>
      </c>
      <c r="O20" s="33">
        <v>8</v>
      </c>
      <c r="P20" s="33">
        <v>0</v>
      </c>
      <c r="Q20" s="33">
        <v>1</v>
      </c>
      <c r="R20" s="33">
        <v>2</v>
      </c>
      <c r="S20" s="33">
        <v>2</v>
      </c>
      <c r="T20" s="33">
        <v>3</v>
      </c>
      <c r="U20" s="33">
        <v>1</v>
      </c>
      <c r="V20" s="33">
        <v>3</v>
      </c>
      <c r="W20" s="33">
        <v>2</v>
      </c>
      <c r="X20" s="33">
        <v>0</v>
      </c>
      <c r="Y20" s="33">
        <v>1</v>
      </c>
      <c r="Z20" s="33">
        <v>4</v>
      </c>
      <c r="AA20" s="33">
        <f t="shared" si="1"/>
        <v>54</v>
      </c>
      <c r="AB20" s="40">
        <f t="shared" si="0"/>
        <v>1.5634047481181239</v>
      </c>
    </row>
    <row r="21" spans="1:28" x14ac:dyDescent="0.2">
      <c r="A21" s="27" t="s">
        <v>19</v>
      </c>
      <c r="B21" s="33">
        <v>11</v>
      </c>
      <c r="C21" s="33">
        <v>22</v>
      </c>
      <c r="D21" s="33">
        <v>35</v>
      </c>
      <c r="E21" s="33">
        <v>35</v>
      </c>
      <c r="F21" s="33">
        <v>25</v>
      </c>
      <c r="G21" s="33">
        <v>5</v>
      </c>
      <c r="H21" s="33">
        <v>6</v>
      </c>
      <c r="I21" s="33">
        <v>11</v>
      </c>
      <c r="J21" s="33">
        <v>10</v>
      </c>
      <c r="K21" s="33">
        <v>12</v>
      </c>
      <c r="L21" s="33">
        <v>21</v>
      </c>
      <c r="M21" s="33">
        <v>12</v>
      </c>
      <c r="N21" s="33">
        <v>12</v>
      </c>
      <c r="O21" s="33">
        <v>5</v>
      </c>
      <c r="P21" s="33">
        <v>3</v>
      </c>
      <c r="Q21" s="33">
        <v>5</v>
      </c>
      <c r="R21" s="33">
        <v>30</v>
      </c>
      <c r="S21" s="33">
        <v>16</v>
      </c>
      <c r="T21" s="33">
        <v>20</v>
      </c>
      <c r="U21" s="33">
        <v>5</v>
      </c>
      <c r="V21" s="33">
        <v>30</v>
      </c>
      <c r="W21" s="33">
        <v>28</v>
      </c>
      <c r="X21" s="33">
        <v>27</v>
      </c>
      <c r="Y21" s="33">
        <v>32</v>
      </c>
      <c r="Z21" s="33">
        <v>27</v>
      </c>
      <c r="AA21" s="33">
        <f t="shared" si="1"/>
        <v>445</v>
      </c>
      <c r="AB21" s="40">
        <f t="shared" si="0"/>
        <v>12.88361320208454</v>
      </c>
    </row>
    <row r="22" spans="1:28" x14ac:dyDescent="0.2">
      <c r="A22" s="27" t="s">
        <v>20</v>
      </c>
      <c r="B22" s="33">
        <v>0</v>
      </c>
      <c r="C22" s="33">
        <v>8</v>
      </c>
      <c r="D22" s="33">
        <v>4</v>
      </c>
      <c r="E22" s="33">
        <v>0</v>
      </c>
      <c r="F22" s="33">
        <v>0</v>
      </c>
      <c r="G22" s="33">
        <v>0</v>
      </c>
      <c r="H22" s="33">
        <v>0</v>
      </c>
      <c r="I22" s="33">
        <v>3</v>
      </c>
      <c r="J22" s="33">
        <v>1</v>
      </c>
      <c r="K22" s="33">
        <v>8</v>
      </c>
      <c r="L22" s="33">
        <v>5</v>
      </c>
      <c r="M22" s="33">
        <v>1</v>
      </c>
      <c r="N22" s="33">
        <v>0</v>
      </c>
      <c r="O22" s="33">
        <v>0</v>
      </c>
      <c r="P22" s="33">
        <v>2</v>
      </c>
      <c r="Q22" s="33">
        <v>1</v>
      </c>
      <c r="R22" s="33">
        <v>1</v>
      </c>
      <c r="S22" s="33">
        <v>3</v>
      </c>
      <c r="T22" s="33">
        <v>0</v>
      </c>
      <c r="U22" s="33">
        <v>0</v>
      </c>
      <c r="V22" s="33">
        <v>1</v>
      </c>
      <c r="W22" s="33">
        <v>0</v>
      </c>
      <c r="X22" s="33">
        <v>0</v>
      </c>
      <c r="Y22" s="33">
        <v>0</v>
      </c>
      <c r="Z22" s="33">
        <v>1</v>
      </c>
      <c r="AA22" s="33">
        <f t="shared" si="1"/>
        <v>39</v>
      </c>
      <c r="AB22" s="40">
        <f t="shared" si="0"/>
        <v>1.129125651418645</v>
      </c>
    </row>
    <row r="23" spans="1:28" x14ac:dyDescent="0.2">
      <c r="A23" s="27" t="s">
        <v>645</v>
      </c>
      <c r="B23" s="33">
        <v>3</v>
      </c>
      <c r="C23" s="33">
        <v>14</v>
      </c>
      <c r="D23" s="33">
        <v>1</v>
      </c>
      <c r="E23" s="33">
        <v>6</v>
      </c>
      <c r="F23" s="33">
        <v>8</v>
      </c>
      <c r="G23" s="33">
        <v>0</v>
      </c>
      <c r="H23" s="33">
        <v>0</v>
      </c>
      <c r="I23" s="33">
        <v>5</v>
      </c>
      <c r="J23" s="33">
        <v>31</v>
      </c>
      <c r="K23" s="33">
        <v>36</v>
      </c>
      <c r="L23" s="33">
        <v>28</v>
      </c>
      <c r="M23" s="33">
        <v>12</v>
      </c>
      <c r="N23" s="33">
        <v>14</v>
      </c>
      <c r="O23" s="33">
        <v>0</v>
      </c>
      <c r="P23" s="33">
        <v>3</v>
      </c>
      <c r="Q23" s="33">
        <v>14</v>
      </c>
      <c r="R23" s="33">
        <v>47</v>
      </c>
      <c r="S23" s="33">
        <v>5</v>
      </c>
      <c r="T23" s="33">
        <v>17</v>
      </c>
      <c r="U23" s="33">
        <v>0</v>
      </c>
      <c r="V23" s="33">
        <v>9</v>
      </c>
      <c r="W23" s="33">
        <v>5</v>
      </c>
      <c r="X23" s="33">
        <v>6</v>
      </c>
      <c r="Y23" s="33">
        <v>1</v>
      </c>
      <c r="Z23" s="33">
        <v>10</v>
      </c>
      <c r="AA23" s="33">
        <f t="shared" si="1"/>
        <v>275</v>
      </c>
      <c r="AB23" s="40">
        <f t="shared" si="0"/>
        <v>7.9617834394904454</v>
      </c>
    </row>
    <row r="24" spans="1:28" x14ac:dyDescent="0.2">
      <c r="A24" s="27" t="s">
        <v>200</v>
      </c>
      <c r="B24" s="33">
        <v>0</v>
      </c>
      <c r="C24" s="33">
        <v>8</v>
      </c>
      <c r="D24" s="33">
        <v>1</v>
      </c>
      <c r="E24" s="33">
        <v>8</v>
      </c>
      <c r="F24" s="33">
        <v>0</v>
      </c>
      <c r="G24" s="33">
        <v>0</v>
      </c>
      <c r="H24" s="33">
        <v>1</v>
      </c>
      <c r="I24" s="33">
        <v>1</v>
      </c>
      <c r="J24" s="33">
        <v>3</v>
      </c>
      <c r="K24" s="33">
        <v>5</v>
      </c>
      <c r="L24" s="33">
        <v>9</v>
      </c>
      <c r="M24" s="33">
        <v>1</v>
      </c>
      <c r="N24" s="33">
        <v>7</v>
      </c>
      <c r="O24" s="33">
        <v>0</v>
      </c>
      <c r="P24" s="33">
        <v>0</v>
      </c>
      <c r="Q24" s="33">
        <v>4</v>
      </c>
      <c r="R24" s="33">
        <v>3</v>
      </c>
      <c r="S24" s="33">
        <v>3</v>
      </c>
      <c r="T24" s="33">
        <v>3</v>
      </c>
      <c r="U24" s="33">
        <v>0</v>
      </c>
      <c r="V24" s="33">
        <v>4</v>
      </c>
      <c r="W24" s="33">
        <v>2</v>
      </c>
      <c r="X24" s="33">
        <v>0</v>
      </c>
      <c r="Y24" s="33">
        <v>1</v>
      </c>
      <c r="Z24" s="33">
        <v>3</v>
      </c>
      <c r="AA24" s="33">
        <f t="shared" si="1"/>
        <v>67</v>
      </c>
      <c r="AB24" s="40">
        <f t="shared" si="0"/>
        <v>1.9397799652576722</v>
      </c>
    </row>
    <row r="25" spans="1:28" x14ac:dyDescent="0.2">
      <c r="A25" s="27" t="s">
        <v>435</v>
      </c>
      <c r="B25" s="33">
        <v>2</v>
      </c>
      <c r="C25" s="33">
        <v>3</v>
      </c>
      <c r="D25" s="33">
        <v>4</v>
      </c>
      <c r="E25" s="33">
        <v>1</v>
      </c>
      <c r="F25" s="33">
        <v>7</v>
      </c>
      <c r="G25" s="33">
        <v>0</v>
      </c>
      <c r="H25" s="33">
        <v>0</v>
      </c>
      <c r="I25" s="33">
        <v>1</v>
      </c>
      <c r="J25" s="33">
        <v>13</v>
      </c>
      <c r="K25" s="33">
        <v>13</v>
      </c>
      <c r="L25" s="33">
        <v>20</v>
      </c>
      <c r="M25" s="33">
        <v>9</v>
      </c>
      <c r="N25" s="33">
        <v>0</v>
      </c>
      <c r="O25" s="33">
        <v>0</v>
      </c>
      <c r="P25" s="33">
        <v>1</v>
      </c>
      <c r="Q25" s="33">
        <v>5</v>
      </c>
      <c r="R25" s="33">
        <v>2</v>
      </c>
      <c r="S25" s="33">
        <v>2</v>
      </c>
      <c r="T25" s="33">
        <v>0</v>
      </c>
      <c r="U25" s="33">
        <v>0</v>
      </c>
      <c r="V25" s="33">
        <v>0</v>
      </c>
      <c r="W25" s="33">
        <v>0</v>
      </c>
      <c r="X25" s="33">
        <v>4</v>
      </c>
      <c r="Y25" s="33">
        <v>0</v>
      </c>
      <c r="Z25" s="33">
        <v>0</v>
      </c>
      <c r="AA25" s="33">
        <f t="shared" si="1"/>
        <v>87</v>
      </c>
      <c r="AB25" s="40">
        <f t="shared" si="0"/>
        <v>2.5188187608569774</v>
      </c>
    </row>
    <row r="26" spans="1:28" x14ac:dyDescent="0.2">
      <c r="A26" s="27" t="s">
        <v>22</v>
      </c>
      <c r="B26" s="33">
        <v>0</v>
      </c>
      <c r="C26" s="33">
        <v>1</v>
      </c>
      <c r="D26" s="33">
        <v>0</v>
      </c>
      <c r="E26" s="33">
        <v>1</v>
      </c>
      <c r="F26" s="33">
        <v>0</v>
      </c>
      <c r="G26" s="33">
        <v>3</v>
      </c>
      <c r="H26" s="33">
        <v>0</v>
      </c>
      <c r="I26" s="33">
        <v>1</v>
      </c>
      <c r="J26" s="33">
        <v>0</v>
      </c>
      <c r="K26" s="33">
        <v>0</v>
      </c>
      <c r="L26" s="33">
        <v>1</v>
      </c>
      <c r="M26" s="33">
        <v>0</v>
      </c>
      <c r="N26" s="33">
        <v>0</v>
      </c>
      <c r="O26" s="33">
        <v>0</v>
      </c>
      <c r="P26" s="33">
        <v>1</v>
      </c>
      <c r="Q26" s="33">
        <v>0</v>
      </c>
      <c r="R26" s="33">
        <v>0</v>
      </c>
      <c r="S26" s="33">
        <v>0</v>
      </c>
      <c r="T26" s="33">
        <v>1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1</v>
      </c>
      <c r="AA26" s="33">
        <f t="shared" si="1"/>
        <v>10</v>
      </c>
      <c r="AB26" s="40">
        <f t="shared" si="0"/>
        <v>0.28951939779965258</v>
      </c>
    </row>
    <row r="27" spans="1:28" x14ac:dyDescent="0.2">
      <c r="A27" s="27" t="s">
        <v>23</v>
      </c>
      <c r="B27" s="33">
        <v>2</v>
      </c>
      <c r="C27" s="33">
        <v>1</v>
      </c>
      <c r="D27" s="33">
        <v>0</v>
      </c>
      <c r="E27" s="33">
        <v>1</v>
      </c>
      <c r="F27" s="33">
        <v>0</v>
      </c>
      <c r="G27" s="33">
        <v>0</v>
      </c>
      <c r="H27" s="33">
        <v>1</v>
      </c>
      <c r="I27" s="33">
        <v>2</v>
      </c>
      <c r="J27" s="33">
        <v>1</v>
      </c>
      <c r="K27" s="33">
        <v>1</v>
      </c>
      <c r="L27" s="33">
        <v>1</v>
      </c>
      <c r="M27" s="33">
        <v>1</v>
      </c>
      <c r="N27" s="33">
        <v>3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2</v>
      </c>
      <c r="Z27" s="33">
        <v>0</v>
      </c>
      <c r="AA27" s="33">
        <f t="shared" si="1"/>
        <v>16</v>
      </c>
      <c r="AB27" s="40">
        <f t="shared" si="0"/>
        <v>0.46323103647944408</v>
      </c>
    </row>
    <row r="28" spans="1:28" x14ac:dyDescent="0.2">
      <c r="A28" s="27" t="s">
        <v>214</v>
      </c>
      <c r="B28" s="33">
        <v>0</v>
      </c>
      <c r="C28" s="33">
        <v>1</v>
      </c>
      <c r="D28" s="33">
        <v>2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2</v>
      </c>
      <c r="M28" s="33">
        <v>0</v>
      </c>
      <c r="N28" s="33">
        <v>1</v>
      </c>
      <c r="O28" s="33">
        <v>0</v>
      </c>
      <c r="P28" s="33">
        <v>0</v>
      </c>
      <c r="Q28" s="33">
        <v>0</v>
      </c>
      <c r="R28" s="33">
        <v>1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1</v>
      </c>
      <c r="AA28" s="33">
        <f t="shared" si="1"/>
        <v>8</v>
      </c>
      <c r="AB28" s="40">
        <f t="shared" si="0"/>
        <v>0.23161551823972204</v>
      </c>
    </row>
    <row r="29" spans="1:28" x14ac:dyDescent="0.2">
      <c r="A29" s="27" t="s">
        <v>194</v>
      </c>
      <c r="B29" s="33">
        <v>0</v>
      </c>
      <c r="C29" s="33">
        <v>0</v>
      </c>
      <c r="D29" s="33">
        <v>0</v>
      </c>
      <c r="E29" s="33">
        <v>0</v>
      </c>
      <c r="F29" s="33">
        <v>1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1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1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f t="shared" si="1"/>
        <v>3</v>
      </c>
      <c r="AB29" s="40">
        <f t="shared" si="0"/>
        <v>8.6855819339895779E-2</v>
      </c>
    </row>
    <row r="30" spans="1:28" x14ac:dyDescent="0.2">
      <c r="A30" s="27" t="s">
        <v>195</v>
      </c>
      <c r="B30" s="33">
        <v>1</v>
      </c>
      <c r="C30" s="33">
        <v>0</v>
      </c>
      <c r="D30" s="33">
        <v>0</v>
      </c>
      <c r="E30" s="33">
        <v>1</v>
      </c>
      <c r="F30" s="33">
        <v>0</v>
      </c>
      <c r="G30" s="33">
        <v>0</v>
      </c>
      <c r="H30" s="33">
        <v>0</v>
      </c>
      <c r="I30" s="33">
        <v>0</v>
      </c>
      <c r="J30" s="33">
        <v>2</v>
      </c>
      <c r="K30" s="33">
        <v>1</v>
      </c>
      <c r="L30" s="33">
        <v>1</v>
      </c>
      <c r="M30" s="33">
        <v>0</v>
      </c>
      <c r="N30" s="33">
        <v>1</v>
      </c>
      <c r="O30" s="33">
        <v>1</v>
      </c>
      <c r="P30" s="33">
        <v>0</v>
      </c>
      <c r="Q30" s="33">
        <v>1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f t="shared" si="1"/>
        <v>9</v>
      </c>
      <c r="AB30" s="40">
        <f t="shared" si="0"/>
        <v>0.26056745801968734</v>
      </c>
    </row>
    <row r="31" spans="1:28" x14ac:dyDescent="0.2">
      <c r="A31" s="27" t="s">
        <v>25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3</v>
      </c>
      <c r="I31" s="33">
        <v>0</v>
      </c>
      <c r="J31" s="33">
        <v>6</v>
      </c>
      <c r="K31" s="33">
        <v>2</v>
      </c>
      <c r="L31" s="33">
        <v>5</v>
      </c>
      <c r="M31" s="33">
        <v>1</v>
      </c>
      <c r="N31" s="33">
        <v>5</v>
      </c>
      <c r="O31" s="33">
        <v>3</v>
      </c>
      <c r="P31" s="33">
        <v>0</v>
      </c>
      <c r="Q31" s="33">
        <v>1</v>
      </c>
      <c r="R31" s="33">
        <v>1</v>
      </c>
      <c r="S31" s="33">
        <v>0</v>
      </c>
      <c r="T31" s="33">
        <v>1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f t="shared" si="1"/>
        <v>28</v>
      </c>
      <c r="AB31" s="40">
        <f t="shared" si="0"/>
        <v>0.8106543138390272</v>
      </c>
    </row>
    <row r="32" spans="1:28" x14ac:dyDescent="0.2">
      <c r="A32" s="27" t="s">
        <v>646</v>
      </c>
      <c r="B32" s="33">
        <v>0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1</v>
      </c>
      <c r="X32" s="33">
        <v>0</v>
      </c>
      <c r="Y32" s="33">
        <v>0</v>
      </c>
      <c r="Z32" s="33">
        <v>0</v>
      </c>
      <c r="AA32" s="33">
        <f t="shared" si="1"/>
        <v>1</v>
      </c>
      <c r="AB32" s="40">
        <f t="shared" si="0"/>
        <v>2.8951939779965255E-2</v>
      </c>
    </row>
    <row r="33" spans="1:28" x14ac:dyDescent="0.2">
      <c r="A33" s="27" t="s">
        <v>26</v>
      </c>
      <c r="B33" s="33">
        <v>1</v>
      </c>
      <c r="C33" s="33">
        <v>11</v>
      </c>
      <c r="D33" s="33">
        <v>5</v>
      </c>
      <c r="E33" s="33">
        <v>8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2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3</v>
      </c>
      <c r="Z33" s="33">
        <v>0</v>
      </c>
      <c r="AA33" s="33">
        <f t="shared" si="1"/>
        <v>30</v>
      </c>
      <c r="AB33" s="40">
        <f t="shared" si="0"/>
        <v>0.86855819339895779</v>
      </c>
    </row>
    <row r="34" spans="1:28" x14ac:dyDescent="0.2">
      <c r="A34" s="27" t="s">
        <v>27</v>
      </c>
      <c r="B34" s="33">
        <v>17</v>
      </c>
      <c r="C34" s="33">
        <v>27</v>
      </c>
      <c r="D34" s="33">
        <v>58</v>
      </c>
      <c r="E34" s="33">
        <v>65</v>
      </c>
      <c r="F34" s="33">
        <v>35</v>
      </c>
      <c r="G34" s="33">
        <v>6</v>
      </c>
      <c r="H34" s="33">
        <v>18</v>
      </c>
      <c r="I34" s="33">
        <v>23</v>
      </c>
      <c r="J34" s="33">
        <v>41</v>
      </c>
      <c r="K34" s="33">
        <v>36</v>
      </c>
      <c r="L34" s="33">
        <v>59</v>
      </c>
      <c r="M34" s="33">
        <v>38</v>
      </c>
      <c r="N34" s="33">
        <v>45</v>
      </c>
      <c r="O34" s="33">
        <v>36</v>
      </c>
      <c r="P34" s="33">
        <v>14</v>
      </c>
      <c r="Q34" s="33">
        <v>40</v>
      </c>
      <c r="R34" s="33">
        <v>57</v>
      </c>
      <c r="S34" s="33">
        <v>33</v>
      </c>
      <c r="T34" s="33">
        <v>24</v>
      </c>
      <c r="U34" s="33">
        <v>8</v>
      </c>
      <c r="V34" s="33">
        <v>15</v>
      </c>
      <c r="W34" s="33">
        <v>22</v>
      </c>
      <c r="X34" s="33">
        <v>26</v>
      </c>
      <c r="Y34" s="33">
        <v>15</v>
      </c>
      <c r="Z34" s="33">
        <v>16</v>
      </c>
      <c r="AA34" s="33">
        <f t="shared" si="1"/>
        <v>774</v>
      </c>
      <c r="AB34" s="40">
        <f t="shared" si="0"/>
        <v>22.40880138969311</v>
      </c>
    </row>
    <row r="35" spans="1:28" x14ac:dyDescent="0.2">
      <c r="A35" s="27" t="s">
        <v>28</v>
      </c>
      <c r="B35" s="33">
        <v>0</v>
      </c>
      <c r="C35" s="33">
        <v>0</v>
      </c>
      <c r="D35" s="33">
        <v>0</v>
      </c>
      <c r="E35" s="33">
        <v>1</v>
      </c>
      <c r="F35" s="33">
        <v>0</v>
      </c>
      <c r="G35" s="33">
        <v>0</v>
      </c>
      <c r="H35" s="33">
        <v>1</v>
      </c>
      <c r="I35" s="33">
        <v>0</v>
      </c>
      <c r="J35" s="33">
        <v>0</v>
      </c>
      <c r="K35" s="33">
        <v>0</v>
      </c>
      <c r="L35" s="33">
        <v>2</v>
      </c>
      <c r="M35" s="33">
        <v>0</v>
      </c>
      <c r="N35" s="33">
        <v>1</v>
      </c>
      <c r="O35" s="33">
        <v>0</v>
      </c>
      <c r="P35" s="33">
        <v>0</v>
      </c>
      <c r="Q35" s="33">
        <v>0</v>
      </c>
      <c r="R35" s="33">
        <v>3</v>
      </c>
      <c r="S35" s="33">
        <v>0</v>
      </c>
      <c r="T35" s="33">
        <v>2</v>
      </c>
      <c r="U35" s="33">
        <v>0</v>
      </c>
      <c r="V35" s="33">
        <v>0</v>
      </c>
      <c r="W35" s="33">
        <v>1</v>
      </c>
      <c r="X35" s="33">
        <v>1</v>
      </c>
      <c r="Y35" s="33">
        <v>0</v>
      </c>
      <c r="Z35" s="33">
        <v>0</v>
      </c>
      <c r="AA35" s="33">
        <f t="shared" si="1"/>
        <v>12</v>
      </c>
      <c r="AB35" s="40">
        <f t="shared" si="0"/>
        <v>0.34742327735958312</v>
      </c>
    </row>
    <row r="36" spans="1:28" x14ac:dyDescent="0.2">
      <c r="A36" s="27" t="s">
        <v>29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2</v>
      </c>
      <c r="H36" s="33">
        <v>0</v>
      </c>
      <c r="I36" s="33">
        <v>1</v>
      </c>
      <c r="J36" s="33">
        <v>0</v>
      </c>
      <c r="K36" s="33">
        <v>1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f t="shared" si="1"/>
        <v>4</v>
      </c>
      <c r="AB36" s="40">
        <f t="shared" si="0"/>
        <v>0.11580775911986102</v>
      </c>
    </row>
    <row r="37" spans="1:28" x14ac:dyDescent="0.2">
      <c r="A37" s="27" t="s">
        <v>30</v>
      </c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f t="shared" si="1"/>
        <v>0</v>
      </c>
      <c r="AB37" s="40">
        <f t="shared" si="0"/>
        <v>0</v>
      </c>
    </row>
    <row r="38" spans="1:28" x14ac:dyDescent="0.2">
      <c r="A38" s="27" t="s">
        <v>442</v>
      </c>
      <c r="B38" s="33">
        <v>0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1</v>
      </c>
      <c r="AA38" s="33">
        <f t="shared" si="1"/>
        <v>1</v>
      </c>
      <c r="AB38" s="40">
        <f t="shared" si="0"/>
        <v>2.8951939779965255E-2</v>
      </c>
    </row>
    <row r="39" spans="1:28" x14ac:dyDescent="0.2">
      <c r="A39" s="27" t="s">
        <v>31</v>
      </c>
      <c r="B39" s="33">
        <v>0</v>
      </c>
      <c r="C39" s="33">
        <v>5</v>
      </c>
      <c r="D39" s="33">
        <v>7</v>
      </c>
      <c r="E39" s="33">
        <v>8</v>
      </c>
      <c r="F39" s="33">
        <v>5</v>
      </c>
      <c r="G39" s="33">
        <v>0</v>
      </c>
      <c r="H39" s="33">
        <v>0</v>
      </c>
      <c r="I39" s="33">
        <v>3</v>
      </c>
      <c r="J39" s="33">
        <v>1</v>
      </c>
      <c r="K39" s="33">
        <v>5</v>
      </c>
      <c r="L39" s="33">
        <v>11</v>
      </c>
      <c r="M39" s="33">
        <v>6</v>
      </c>
      <c r="N39" s="33">
        <v>1</v>
      </c>
      <c r="O39" s="33">
        <v>0</v>
      </c>
      <c r="P39" s="33">
        <v>4</v>
      </c>
      <c r="Q39" s="33">
        <v>0</v>
      </c>
      <c r="R39" s="33">
        <v>1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1</v>
      </c>
      <c r="Y39" s="33">
        <v>1</v>
      </c>
      <c r="Z39" s="33">
        <v>0</v>
      </c>
      <c r="AA39" s="33">
        <f t="shared" si="1"/>
        <v>59</v>
      </c>
      <c r="AB39" s="40">
        <f t="shared" si="0"/>
        <v>1.7081644470179502</v>
      </c>
    </row>
    <row r="40" spans="1:28" x14ac:dyDescent="0.2">
      <c r="A40" s="27" t="s">
        <v>32</v>
      </c>
      <c r="B40" s="33">
        <v>0</v>
      </c>
      <c r="C40" s="33">
        <v>0</v>
      </c>
      <c r="D40" s="33">
        <v>2</v>
      </c>
      <c r="E40" s="33">
        <v>0</v>
      </c>
      <c r="F40" s="33">
        <v>0</v>
      </c>
      <c r="G40" s="33">
        <v>0</v>
      </c>
      <c r="H40" s="33">
        <v>1</v>
      </c>
      <c r="I40" s="33">
        <v>0</v>
      </c>
      <c r="J40" s="33">
        <v>0</v>
      </c>
      <c r="K40" s="33">
        <v>2</v>
      </c>
      <c r="L40" s="33">
        <v>1</v>
      </c>
      <c r="M40" s="33">
        <v>0</v>
      </c>
      <c r="N40" s="33">
        <v>2</v>
      </c>
      <c r="O40" s="33">
        <v>0</v>
      </c>
      <c r="P40" s="33">
        <v>0</v>
      </c>
      <c r="Q40" s="33">
        <v>0</v>
      </c>
      <c r="R40" s="33">
        <v>0</v>
      </c>
      <c r="S40" s="33">
        <v>1</v>
      </c>
      <c r="T40" s="33">
        <v>1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f t="shared" si="1"/>
        <v>10</v>
      </c>
      <c r="AB40" s="40">
        <f t="shared" si="0"/>
        <v>0.28951939779965258</v>
      </c>
    </row>
    <row r="41" spans="1:28" x14ac:dyDescent="0.2">
      <c r="A41" s="27" t="s">
        <v>33</v>
      </c>
      <c r="B41" s="33">
        <v>1</v>
      </c>
      <c r="C41" s="33">
        <v>6</v>
      </c>
      <c r="D41" s="33">
        <v>3</v>
      </c>
      <c r="E41" s="33">
        <v>9</v>
      </c>
      <c r="F41" s="33">
        <v>1</v>
      </c>
      <c r="G41" s="33">
        <v>1</v>
      </c>
      <c r="H41" s="33">
        <v>3</v>
      </c>
      <c r="I41" s="33">
        <v>1</v>
      </c>
      <c r="J41" s="33">
        <v>3</v>
      </c>
      <c r="K41" s="33">
        <v>3</v>
      </c>
      <c r="L41" s="33">
        <v>4</v>
      </c>
      <c r="M41" s="33">
        <v>0</v>
      </c>
      <c r="N41" s="33">
        <v>9</v>
      </c>
      <c r="O41" s="33">
        <v>1</v>
      </c>
      <c r="P41" s="33">
        <v>4</v>
      </c>
      <c r="Q41" s="33">
        <v>3</v>
      </c>
      <c r="R41" s="33">
        <v>1</v>
      </c>
      <c r="S41" s="33">
        <v>2</v>
      </c>
      <c r="T41" s="33">
        <v>2</v>
      </c>
      <c r="U41" s="33">
        <v>0</v>
      </c>
      <c r="V41" s="33">
        <v>1</v>
      </c>
      <c r="W41" s="33">
        <v>2</v>
      </c>
      <c r="X41" s="33">
        <v>4</v>
      </c>
      <c r="Y41" s="33">
        <v>2</v>
      </c>
      <c r="Z41" s="33">
        <v>0</v>
      </c>
      <c r="AA41" s="33">
        <f t="shared" si="1"/>
        <v>66</v>
      </c>
      <c r="AB41" s="40">
        <f t="shared" si="0"/>
        <v>1.910828025477707</v>
      </c>
    </row>
    <row r="42" spans="1:28" x14ac:dyDescent="0.2">
      <c r="A42" s="27" t="s">
        <v>36</v>
      </c>
      <c r="B42" s="33">
        <v>0</v>
      </c>
      <c r="C42" s="33">
        <v>0</v>
      </c>
      <c r="D42" s="33">
        <v>0</v>
      </c>
      <c r="E42" s="33">
        <v>0</v>
      </c>
      <c r="F42" s="33">
        <v>0</v>
      </c>
      <c r="G42" s="33">
        <v>2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f t="shared" si="1"/>
        <v>2</v>
      </c>
      <c r="AB42" s="40">
        <f t="shared" si="0"/>
        <v>5.790387955993051E-2</v>
      </c>
    </row>
    <row r="43" spans="1:28" x14ac:dyDescent="0.2">
      <c r="A43" t="s">
        <v>344</v>
      </c>
      <c r="B43" s="33">
        <f t="shared" ref="B43:K43" si="2">SUM(B3:B42)</f>
        <v>76</v>
      </c>
      <c r="C43" s="33">
        <f t="shared" si="2"/>
        <v>219</v>
      </c>
      <c r="D43" s="33">
        <f t="shared" si="2"/>
        <v>147</v>
      </c>
      <c r="E43" s="33">
        <f t="shared" si="2"/>
        <v>237</v>
      </c>
      <c r="F43" s="33">
        <f t="shared" si="2"/>
        <v>138</v>
      </c>
      <c r="G43" s="33">
        <f t="shared" si="2"/>
        <v>32</v>
      </c>
      <c r="H43" s="33">
        <f t="shared" si="2"/>
        <v>49</v>
      </c>
      <c r="I43" s="33">
        <f t="shared" si="2"/>
        <v>85</v>
      </c>
      <c r="J43" s="33">
        <f t="shared" si="2"/>
        <v>212</v>
      </c>
      <c r="K43" s="33">
        <f t="shared" si="2"/>
        <v>260</v>
      </c>
      <c r="L43" s="33">
        <f t="shared" ref="L43:AA43" si="3">SUM(L3:L42)</f>
        <v>314</v>
      </c>
      <c r="M43" s="33">
        <f t="shared" si="3"/>
        <v>193</v>
      </c>
      <c r="N43" s="33">
        <f t="shared" si="3"/>
        <v>189</v>
      </c>
      <c r="O43" s="33">
        <f t="shared" si="3"/>
        <v>70</v>
      </c>
      <c r="P43" s="33">
        <f t="shared" si="3"/>
        <v>67</v>
      </c>
      <c r="Q43" s="33">
        <f t="shared" si="3"/>
        <v>148</v>
      </c>
      <c r="R43" s="33">
        <f t="shared" si="3"/>
        <v>243</v>
      </c>
      <c r="S43" s="33">
        <f t="shared" si="3"/>
        <v>136</v>
      </c>
      <c r="T43" s="33">
        <f t="shared" si="3"/>
        <v>143</v>
      </c>
      <c r="U43" s="33">
        <f t="shared" si="3"/>
        <v>16</v>
      </c>
      <c r="V43" s="33">
        <f t="shared" si="3"/>
        <v>91</v>
      </c>
      <c r="W43" s="33">
        <f t="shared" si="3"/>
        <v>87</v>
      </c>
      <c r="X43" s="33">
        <f t="shared" si="3"/>
        <v>92</v>
      </c>
      <c r="Y43" s="33">
        <f t="shared" si="3"/>
        <v>84</v>
      </c>
      <c r="Z43" s="33">
        <f t="shared" si="3"/>
        <v>126</v>
      </c>
      <c r="AA43" s="33">
        <f t="shared" si="3"/>
        <v>3454</v>
      </c>
      <c r="AB43" s="40">
        <f t="shared" si="0"/>
        <v>100</v>
      </c>
    </row>
    <row r="46" spans="1:28" ht="14.25" x14ac:dyDescent="0.2">
      <c r="A46" s="27" t="s">
        <v>1471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46"/>
  <sheetViews>
    <sheetView topLeftCell="A22" workbookViewId="0">
      <selection activeCell="A47" sqref="A47"/>
    </sheetView>
  </sheetViews>
  <sheetFormatPr defaultRowHeight="12.75" x14ac:dyDescent="0.2"/>
  <cols>
    <col min="1" max="1" width="26" bestFit="1" customWidth="1"/>
    <col min="3" max="14" width="9.140625" customWidth="1"/>
    <col min="15" max="15" width="9.7109375" customWidth="1"/>
    <col min="16" max="24" width="9.140625" customWidth="1"/>
    <col min="26" max="26" width="9.140625" style="41"/>
  </cols>
  <sheetData>
    <row r="1" spans="1:26" x14ac:dyDescent="0.2">
      <c r="A1" t="s">
        <v>448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 t="s">
        <v>449</v>
      </c>
      <c r="Z1" s="40"/>
    </row>
    <row r="2" spans="1:26" x14ac:dyDescent="0.2">
      <c r="A2" t="s">
        <v>287</v>
      </c>
      <c r="B2" s="34" t="s">
        <v>701</v>
      </c>
      <c r="C2" s="33" t="s">
        <v>702</v>
      </c>
      <c r="D2" s="33" t="s">
        <v>703</v>
      </c>
      <c r="E2" s="33" t="s">
        <v>704</v>
      </c>
      <c r="F2" s="33" t="s">
        <v>705</v>
      </c>
      <c r="G2" s="33" t="s">
        <v>901</v>
      </c>
      <c r="H2" s="33" t="s">
        <v>902</v>
      </c>
      <c r="I2" s="33" t="s">
        <v>903</v>
      </c>
      <c r="J2" s="33" t="s">
        <v>904</v>
      </c>
      <c r="K2" s="33" t="s">
        <v>905</v>
      </c>
      <c r="L2" s="33" t="s">
        <v>399</v>
      </c>
      <c r="M2" s="33" t="s">
        <v>877</v>
      </c>
      <c r="N2" s="33" t="s">
        <v>906</v>
      </c>
      <c r="O2" s="34" t="s">
        <v>706</v>
      </c>
      <c r="P2" s="33" t="s">
        <v>707</v>
      </c>
      <c r="Q2" s="34" t="s">
        <v>708</v>
      </c>
      <c r="R2" s="34" t="s">
        <v>709</v>
      </c>
      <c r="S2" s="34" t="s">
        <v>710</v>
      </c>
      <c r="T2" s="34" t="s">
        <v>711</v>
      </c>
      <c r="U2" s="34" t="s">
        <v>712</v>
      </c>
      <c r="V2" s="34" t="s">
        <v>713</v>
      </c>
      <c r="W2" s="34" t="s">
        <v>714</v>
      </c>
      <c r="X2" s="34" t="s">
        <v>715</v>
      </c>
      <c r="Y2" s="33" t="s">
        <v>315</v>
      </c>
      <c r="Z2" s="40" t="s">
        <v>460</v>
      </c>
    </row>
    <row r="3" spans="1:26" x14ac:dyDescent="0.2">
      <c r="A3" s="27" t="s">
        <v>1</v>
      </c>
      <c r="B3" s="33">
        <v>21</v>
      </c>
      <c r="C3" s="33">
        <v>3</v>
      </c>
      <c r="D3" s="33">
        <v>3</v>
      </c>
      <c r="E3" s="33">
        <v>18</v>
      </c>
      <c r="F3" s="33">
        <v>0</v>
      </c>
      <c r="G3" s="33">
        <v>11</v>
      </c>
      <c r="H3" s="33">
        <v>17</v>
      </c>
      <c r="I3" s="33">
        <v>15</v>
      </c>
      <c r="J3" s="33">
        <v>20</v>
      </c>
      <c r="K3" s="33">
        <v>21</v>
      </c>
      <c r="L3" s="33">
        <v>13</v>
      </c>
      <c r="M3" s="33">
        <v>17</v>
      </c>
      <c r="N3" s="33">
        <v>15</v>
      </c>
      <c r="O3" s="33">
        <v>2</v>
      </c>
      <c r="P3" s="33">
        <v>27</v>
      </c>
      <c r="Q3" s="33">
        <v>15</v>
      </c>
      <c r="R3" s="33">
        <v>22</v>
      </c>
      <c r="S3" s="33">
        <v>2</v>
      </c>
      <c r="T3" s="33">
        <v>6</v>
      </c>
      <c r="U3" s="33">
        <v>9</v>
      </c>
      <c r="V3" s="33">
        <v>12</v>
      </c>
      <c r="W3" s="33">
        <v>2</v>
      </c>
      <c r="X3" s="33">
        <v>5</v>
      </c>
      <c r="Y3" s="33">
        <f t="shared" ref="Y3:Y43" si="0">SUM(B3:X3)</f>
        <v>276</v>
      </c>
      <c r="Z3" s="40">
        <f t="shared" ref="Z3:Z44" si="1">(Y3/$Y$44)*100</f>
        <v>11.480865224625623</v>
      </c>
    </row>
    <row r="4" spans="1:26" x14ac:dyDescent="0.2">
      <c r="A4" s="27" t="s">
        <v>3</v>
      </c>
      <c r="B4" s="33">
        <v>24</v>
      </c>
      <c r="C4" s="33">
        <v>4</v>
      </c>
      <c r="D4" s="33">
        <v>3</v>
      </c>
      <c r="E4" s="33">
        <v>17</v>
      </c>
      <c r="F4" s="33">
        <v>2</v>
      </c>
      <c r="G4" s="33">
        <v>12</v>
      </c>
      <c r="H4" s="33">
        <v>8</v>
      </c>
      <c r="I4" s="33">
        <v>13</v>
      </c>
      <c r="J4" s="33">
        <v>19</v>
      </c>
      <c r="K4" s="33">
        <v>6</v>
      </c>
      <c r="L4" s="33">
        <v>8</v>
      </c>
      <c r="M4" s="33">
        <v>12</v>
      </c>
      <c r="N4" s="33">
        <v>9</v>
      </c>
      <c r="O4" s="33">
        <v>2</v>
      </c>
      <c r="P4" s="33">
        <v>11</v>
      </c>
      <c r="Q4" s="33">
        <v>4</v>
      </c>
      <c r="R4" s="33">
        <v>5</v>
      </c>
      <c r="S4" s="33">
        <v>2</v>
      </c>
      <c r="T4" s="33">
        <v>0</v>
      </c>
      <c r="U4" s="33">
        <v>8</v>
      </c>
      <c r="V4" s="33">
        <v>12</v>
      </c>
      <c r="W4" s="33">
        <v>8</v>
      </c>
      <c r="X4" s="33">
        <v>14</v>
      </c>
      <c r="Y4" s="33">
        <f t="shared" si="0"/>
        <v>203</v>
      </c>
      <c r="Z4" s="40">
        <f t="shared" si="1"/>
        <v>8.4442595673876859</v>
      </c>
    </row>
    <row r="5" spans="1:26" x14ac:dyDescent="0.2">
      <c r="A5" s="27" t="s">
        <v>4</v>
      </c>
      <c r="B5" s="33">
        <v>18</v>
      </c>
      <c r="C5" s="33">
        <v>3</v>
      </c>
      <c r="D5" s="33">
        <v>0</v>
      </c>
      <c r="E5" s="33">
        <v>20</v>
      </c>
      <c r="F5" s="33">
        <v>0</v>
      </c>
      <c r="G5" s="33">
        <v>3</v>
      </c>
      <c r="H5" s="33">
        <v>2</v>
      </c>
      <c r="I5" s="33">
        <v>3</v>
      </c>
      <c r="J5" s="33">
        <v>15</v>
      </c>
      <c r="K5" s="33">
        <v>0</v>
      </c>
      <c r="L5" s="33">
        <v>6</v>
      </c>
      <c r="M5" s="33">
        <v>3</v>
      </c>
      <c r="N5" s="33">
        <v>4</v>
      </c>
      <c r="O5" s="33">
        <v>1</v>
      </c>
      <c r="P5" s="33">
        <v>9</v>
      </c>
      <c r="Q5" s="33">
        <v>2</v>
      </c>
      <c r="R5" s="33">
        <v>1</v>
      </c>
      <c r="S5" s="33">
        <v>1</v>
      </c>
      <c r="T5" s="33">
        <v>11</v>
      </c>
      <c r="U5" s="33">
        <v>4</v>
      </c>
      <c r="V5" s="33">
        <v>2</v>
      </c>
      <c r="W5" s="33">
        <v>0</v>
      </c>
      <c r="X5" s="33">
        <v>3</v>
      </c>
      <c r="Y5" s="33">
        <f t="shared" si="0"/>
        <v>111</v>
      </c>
      <c r="Z5" s="40">
        <f t="shared" si="1"/>
        <v>4.6173044925124795</v>
      </c>
    </row>
    <row r="6" spans="1:26" x14ac:dyDescent="0.2">
      <c r="A6" s="27" t="s">
        <v>5</v>
      </c>
      <c r="B6" s="33">
        <v>1</v>
      </c>
      <c r="C6" s="33">
        <v>0</v>
      </c>
      <c r="D6" s="33">
        <v>2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2</v>
      </c>
      <c r="O6" s="33">
        <v>0</v>
      </c>
      <c r="P6" s="33">
        <v>0</v>
      </c>
      <c r="Q6" s="33">
        <v>0</v>
      </c>
      <c r="R6" s="33">
        <v>1</v>
      </c>
      <c r="S6" s="33">
        <v>0</v>
      </c>
      <c r="T6" s="33">
        <v>0</v>
      </c>
      <c r="U6" s="33">
        <v>0</v>
      </c>
      <c r="V6" s="33">
        <v>2</v>
      </c>
      <c r="W6" s="33">
        <v>0</v>
      </c>
      <c r="X6" s="33">
        <v>1</v>
      </c>
      <c r="Y6" s="33">
        <f t="shared" si="0"/>
        <v>9</v>
      </c>
      <c r="Z6" s="40">
        <f t="shared" si="1"/>
        <v>0.37437603993344426</v>
      </c>
    </row>
    <row r="7" spans="1:26" x14ac:dyDescent="0.2">
      <c r="A7" s="27" t="s">
        <v>6</v>
      </c>
      <c r="B7" s="33">
        <v>36</v>
      </c>
      <c r="C7" s="33">
        <v>2</v>
      </c>
      <c r="D7" s="33">
        <v>0</v>
      </c>
      <c r="E7" s="33">
        <v>67</v>
      </c>
      <c r="F7" s="33">
        <v>2</v>
      </c>
      <c r="G7" s="33">
        <v>32</v>
      </c>
      <c r="H7" s="33">
        <v>16</v>
      </c>
      <c r="I7" s="33">
        <v>16</v>
      </c>
      <c r="J7" s="33">
        <v>62</v>
      </c>
      <c r="K7" s="33">
        <v>48</v>
      </c>
      <c r="L7" s="33">
        <v>23</v>
      </c>
      <c r="M7" s="33">
        <v>36</v>
      </c>
      <c r="N7" s="33">
        <v>22</v>
      </c>
      <c r="O7" s="33">
        <v>0</v>
      </c>
      <c r="P7" s="33">
        <v>41</v>
      </c>
      <c r="Q7" s="33">
        <v>4</v>
      </c>
      <c r="R7" s="33">
        <v>10</v>
      </c>
      <c r="S7" s="33">
        <v>1</v>
      </c>
      <c r="T7" s="33">
        <v>14</v>
      </c>
      <c r="U7" s="33">
        <v>8</v>
      </c>
      <c r="V7" s="33">
        <v>25</v>
      </c>
      <c r="W7" s="33">
        <v>3</v>
      </c>
      <c r="X7" s="33">
        <v>6</v>
      </c>
      <c r="Y7" s="33">
        <f t="shared" si="0"/>
        <v>474</v>
      </c>
      <c r="Z7" s="40">
        <f t="shared" si="1"/>
        <v>19.717138103161396</v>
      </c>
    </row>
    <row r="8" spans="1:26" x14ac:dyDescent="0.2">
      <c r="A8" s="27" t="s">
        <v>40</v>
      </c>
      <c r="B8" s="33">
        <v>0</v>
      </c>
      <c r="C8" s="33">
        <v>0</v>
      </c>
      <c r="D8" s="33">
        <v>0</v>
      </c>
      <c r="E8" s="33">
        <v>1</v>
      </c>
      <c r="F8" s="33">
        <v>0</v>
      </c>
      <c r="G8" s="33">
        <v>1</v>
      </c>
      <c r="H8" s="33">
        <v>2</v>
      </c>
      <c r="I8" s="33">
        <v>1</v>
      </c>
      <c r="J8" s="33">
        <v>0</v>
      </c>
      <c r="K8" s="33">
        <v>5</v>
      </c>
      <c r="L8" s="33">
        <v>0</v>
      </c>
      <c r="M8" s="33">
        <v>1</v>
      </c>
      <c r="N8" s="33">
        <v>0</v>
      </c>
      <c r="O8" s="33">
        <v>0</v>
      </c>
      <c r="P8" s="33">
        <v>2</v>
      </c>
      <c r="Q8" s="33">
        <v>0</v>
      </c>
      <c r="R8" s="33">
        <v>1</v>
      </c>
      <c r="S8" s="33">
        <v>0</v>
      </c>
      <c r="T8" s="33">
        <v>0</v>
      </c>
      <c r="U8" s="33">
        <v>3</v>
      </c>
      <c r="V8" s="33">
        <v>1</v>
      </c>
      <c r="W8" s="33">
        <v>0</v>
      </c>
      <c r="X8" s="33">
        <v>1</v>
      </c>
      <c r="Y8" s="33">
        <f t="shared" si="0"/>
        <v>19</v>
      </c>
      <c r="Z8" s="40">
        <f t="shared" si="1"/>
        <v>0.79034941763727118</v>
      </c>
    </row>
    <row r="9" spans="1:26" x14ac:dyDescent="0.2">
      <c r="A9" s="27" t="s">
        <v>7</v>
      </c>
      <c r="B9" s="33">
        <v>42</v>
      </c>
      <c r="C9" s="33">
        <v>0</v>
      </c>
      <c r="D9" s="33">
        <v>0</v>
      </c>
      <c r="E9" s="33">
        <v>64</v>
      </c>
      <c r="F9" s="33">
        <v>0</v>
      </c>
      <c r="G9" s="33">
        <v>14</v>
      </c>
      <c r="H9" s="33">
        <v>17</v>
      </c>
      <c r="I9" s="33">
        <v>13</v>
      </c>
      <c r="J9" s="33">
        <v>52</v>
      </c>
      <c r="K9" s="33">
        <v>9</v>
      </c>
      <c r="L9" s="33">
        <v>17</v>
      </c>
      <c r="M9" s="33">
        <v>30</v>
      </c>
      <c r="N9" s="33">
        <v>24</v>
      </c>
      <c r="O9" s="33">
        <v>0</v>
      </c>
      <c r="P9" s="33">
        <v>19</v>
      </c>
      <c r="Q9" s="33">
        <v>5</v>
      </c>
      <c r="R9" s="33">
        <v>15</v>
      </c>
      <c r="S9" s="33">
        <v>0</v>
      </c>
      <c r="T9" s="33">
        <v>9</v>
      </c>
      <c r="U9" s="33">
        <v>10</v>
      </c>
      <c r="V9" s="33">
        <v>12</v>
      </c>
      <c r="W9" s="33">
        <v>3</v>
      </c>
      <c r="X9" s="33">
        <v>11</v>
      </c>
      <c r="Y9" s="33">
        <f t="shared" si="0"/>
        <v>366</v>
      </c>
      <c r="Z9" s="40">
        <f t="shared" si="1"/>
        <v>15.224625623960067</v>
      </c>
    </row>
    <row r="10" spans="1:26" x14ac:dyDescent="0.2">
      <c r="A10" s="27" t="s">
        <v>9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f t="shared" si="0"/>
        <v>0</v>
      </c>
      <c r="Z10" s="40">
        <f t="shared" si="1"/>
        <v>0</v>
      </c>
    </row>
    <row r="11" spans="1:26" x14ac:dyDescent="0.2">
      <c r="A11" s="27" t="s">
        <v>10</v>
      </c>
      <c r="B11" s="33">
        <v>0</v>
      </c>
      <c r="C11" s="33">
        <v>1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</v>
      </c>
      <c r="M11" s="33">
        <v>1</v>
      </c>
      <c r="N11" s="33">
        <v>0</v>
      </c>
      <c r="O11" s="33">
        <v>1</v>
      </c>
      <c r="P11" s="33">
        <v>0</v>
      </c>
      <c r="Q11" s="33">
        <v>1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f t="shared" si="0"/>
        <v>5</v>
      </c>
      <c r="Z11" s="40">
        <f t="shared" si="1"/>
        <v>0.20798668885191346</v>
      </c>
    </row>
    <row r="12" spans="1:26" x14ac:dyDescent="0.2">
      <c r="A12" s="27" t="s">
        <v>11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f t="shared" si="0"/>
        <v>0</v>
      </c>
      <c r="Z12" s="40">
        <f t="shared" si="1"/>
        <v>0</v>
      </c>
    </row>
    <row r="13" spans="1:26" x14ac:dyDescent="0.2">
      <c r="A13" s="27" t="s">
        <v>503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f t="shared" si="0"/>
        <v>0</v>
      </c>
      <c r="Z13" s="40">
        <f t="shared" si="1"/>
        <v>0</v>
      </c>
    </row>
    <row r="14" spans="1:26" x14ac:dyDescent="0.2">
      <c r="A14" s="27" t="s">
        <v>469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f t="shared" si="0"/>
        <v>0</v>
      </c>
      <c r="Z14" s="40">
        <f t="shared" si="1"/>
        <v>0</v>
      </c>
    </row>
    <row r="15" spans="1:26" x14ac:dyDescent="0.2">
      <c r="A15" s="27" t="s">
        <v>13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1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f t="shared" si="0"/>
        <v>1</v>
      </c>
      <c r="Z15" s="40">
        <f t="shared" si="1"/>
        <v>4.1597337770382693E-2</v>
      </c>
    </row>
    <row r="16" spans="1:26" x14ac:dyDescent="0.2">
      <c r="A16" s="27" t="s">
        <v>14</v>
      </c>
      <c r="B16" s="33">
        <v>1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1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f t="shared" si="0"/>
        <v>2</v>
      </c>
      <c r="Z16" s="40">
        <f t="shared" si="1"/>
        <v>8.3194675540765387E-2</v>
      </c>
    </row>
    <row r="17" spans="1:26" x14ac:dyDescent="0.2">
      <c r="A17" s="27" t="s">
        <v>427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f t="shared" si="0"/>
        <v>0</v>
      </c>
      <c r="Z17" s="40">
        <f t="shared" si="1"/>
        <v>0</v>
      </c>
    </row>
    <row r="18" spans="1:26" x14ac:dyDescent="0.2">
      <c r="A18" s="27" t="s">
        <v>15</v>
      </c>
      <c r="B18" s="33">
        <v>1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1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f t="shared" si="0"/>
        <v>2</v>
      </c>
      <c r="Z18" s="40">
        <f t="shared" si="1"/>
        <v>8.3194675540765387E-2</v>
      </c>
    </row>
    <row r="19" spans="1:26" x14ac:dyDescent="0.2">
      <c r="A19" s="27" t="s">
        <v>16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2</v>
      </c>
      <c r="L19" s="33">
        <v>0</v>
      </c>
      <c r="M19" s="33">
        <v>0</v>
      </c>
      <c r="N19" s="33">
        <v>0</v>
      </c>
      <c r="O19" s="33">
        <v>0</v>
      </c>
      <c r="P19" s="33">
        <v>1</v>
      </c>
      <c r="Q19" s="33">
        <v>2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2</v>
      </c>
      <c r="X19" s="33">
        <v>1</v>
      </c>
      <c r="Y19" s="33">
        <f t="shared" si="0"/>
        <v>8</v>
      </c>
      <c r="Z19" s="40">
        <f t="shared" si="1"/>
        <v>0.33277870216306155</v>
      </c>
    </row>
    <row r="20" spans="1:26" x14ac:dyDescent="0.2">
      <c r="A20" s="27" t="s">
        <v>17</v>
      </c>
      <c r="B20" s="33">
        <v>1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f t="shared" si="0"/>
        <v>1</v>
      </c>
      <c r="Z20" s="40">
        <f t="shared" si="1"/>
        <v>4.1597337770382693E-2</v>
      </c>
    </row>
    <row r="21" spans="1:26" x14ac:dyDescent="0.2">
      <c r="A21" s="27" t="s">
        <v>18</v>
      </c>
      <c r="B21" s="33">
        <v>6</v>
      </c>
      <c r="C21" s="33">
        <v>0</v>
      </c>
      <c r="D21" s="33">
        <v>2</v>
      </c>
      <c r="E21" s="33">
        <v>4</v>
      </c>
      <c r="F21" s="33">
        <v>0</v>
      </c>
      <c r="G21" s="33">
        <v>0</v>
      </c>
      <c r="H21" s="33">
        <v>3</v>
      </c>
      <c r="I21" s="33">
        <v>0</v>
      </c>
      <c r="J21" s="33">
        <v>6</v>
      </c>
      <c r="K21" s="33">
        <v>0</v>
      </c>
      <c r="L21" s="33">
        <v>0</v>
      </c>
      <c r="M21" s="33">
        <v>5</v>
      </c>
      <c r="N21" s="33">
        <v>2</v>
      </c>
      <c r="O21" s="33">
        <v>1</v>
      </c>
      <c r="P21" s="33">
        <v>3</v>
      </c>
      <c r="Q21" s="33">
        <v>2</v>
      </c>
      <c r="R21" s="33">
        <v>2</v>
      </c>
      <c r="S21" s="33">
        <v>0</v>
      </c>
      <c r="T21" s="33">
        <v>0</v>
      </c>
      <c r="U21" s="33">
        <v>2</v>
      </c>
      <c r="V21" s="33">
        <v>1</v>
      </c>
      <c r="W21" s="33">
        <v>0</v>
      </c>
      <c r="X21" s="33">
        <v>3</v>
      </c>
      <c r="Y21" s="33">
        <f t="shared" si="0"/>
        <v>42</v>
      </c>
      <c r="Z21" s="40">
        <f t="shared" si="1"/>
        <v>1.747088186356073</v>
      </c>
    </row>
    <row r="22" spans="1:26" x14ac:dyDescent="0.2">
      <c r="A22" s="27" t="s">
        <v>19</v>
      </c>
      <c r="B22" s="33">
        <v>3</v>
      </c>
      <c r="C22" s="33">
        <v>1</v>
      </c>
      <c r="D22" s="33">
        <v>9</v>
      </c>
      <c r="E22" s="33">
        <v>1</v>
      </c>
      <c r="F22" s="33">
        <v>0</v>
      </c>
      <c r="G22" s="33">
        <v>0</v>
      </c>
      <c r="H22" s="33">
        <v>0</v>
      </c>
      <c r="I22" s="33">
        <v>2</v>
      </c>
      <c r="J22" s="33">
        <v>5</v>
      </c>
      <c r="K22" s="33">
        <v>1</v>
      </c>
      <c r="L22" s="33">
        <v>3</v>
      </c>
      <c r="M22" s="33">
        <v>5</v>
      </c>
      <c r="N22" s="33">
        <v>4</v>
      </c>
      <c r="O22" s="33">
        <v>2</v>
      </c>
      <c r="P22" s="33">
        <v>0</v>
      </c>
      <c r="Q22" s="33">
        <v>4</v>
      </c>
      <c r="R22" s="33">
        <v>2</v>
      </c>
      <c r="S22" s="33">
        <v>1</v>
      </c>
      <c r="T22" s="33">
        <v>0</v>
      </c>
      <c r="U22" s="33">
        <v>1</v>
      </c>
      <c r="V22" s="33">
        <v>1</v>
      </c>
      <c r="W22" s="33">
        <v>1</v>
      </c>
      <c r="X22" s="33">
        <v>3</v>
      </c>
      <c r="Y22" s="33">
        <f t="shared" si="0"/>
        <v>49</v>
      </c>
      <c r="Z22" s="40">
        <f t="shared" si="1"/>
        <v>2.038269550748752</v>
      </c>
    </row>
    <row r="23" spans="1:26" x14ac:dyDescent="0.2">
      <c r="A23" s="27" t="s">
        <v>20</v>
      </c>
      <c r="B23" s="33">
        <v>1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f t="shared" si="0"/>
        <v>1</v>
      </c>
      <c r="Z23" s="40">
        <f t="shared" si="1"/>
        <v>4.1597337770382693E-2</v>
      </c>
    </row>
    <row r="24" spans="1:26" x14ac:dyDescent="0.2">
      <c r="A24" s="27" t="s">
        <v>645</v>
      </c>
      <c r="B24" s="33">
        <v>30</v>
      </c>
      <c r="C24" s="33">
        <v>1</v>
      </c>
      <c r="D24" s="33">
        <v>1</v>
      </c>
      <c r="E24" s="33">
        <v>35</v>
      </c>
      <c r="F24" s="33">
        <v>0</v>
      </c>
      <c r="G24" s="33">
        <v>4</v>
      </c>
      <c r="H24" s="33">
        <v>22</v>
      </c>
      <c r="I24" s="33">
        <v>9</v>
      </c>
      <c r="J24" s="33">
        <v>27</v>
      </c>
      <c r="K24" s="33">
        <v>2</v>
      </c>
      <c r="L24" s="33">
        <v>11</v>
      </c>
      <c r="M24" s="33">
        <v>22</v>
      </c>
      <c r="N24" s="33">
        <v>17</v>
      </c>
      <c r="O24" s="33">
        <v>1</v>
      </c>
      <c r="P24" s="33">
        <v>27</v>
      </c>
      <c r="Q24" s="33">
        <v>8</v>
      </c>
      <c r="R24" s="33">
        <v>6</v>
      </c>
      <c r="S24" s="33">
        <v>2</v>
      </c>
      <c r="T24" s="33">
        <v>9</v>
      </c>
      <c r="U24" s="33">
        <v>13</v>
      </c>
      <c r="V24" s="33">
        <v>6</v>
      </c>
      <c r="W24" s="33">
        <v>4</v>
      </c>
      <c r="X24" s="33">
        <v>10</v>
      </c>
      <c r="Y24" s="33">
        <f t="shared" si="0"/>
        <v>267</v>
      </c>
      <c r="Z24" s="40">
        <f t="shared" si="1"/>
        <v>11.10648918469218</v>
      </c>
    </row>
    <row r="25" spans="1:26" x14ac:dyDescent="0.2">
      <c r="A25" s="27" t="s">
        <v>200</v>
      </c>
      <c r="B25" s="33">
        <v>12</v>
      </c>
      <c r="C25" s="33">
        <v>0</v>
      </c>
      <c r="D25" s="33">
        <v>0</v>
      </c>
      <c r="E25" s="33">
        <v>0</v>
      </c>
      <c r="F25" s="33">
        <v>0</v>
      </c>
      <c r="G25" s="33">
        <v>6</v>
      </c>
      <c r="H25" s="33">
        <v>13</v>
      </c>
      <c r="I25" s="33">
        <v>1</v>
      </c>
      <c r="J25" s="33">
        <v>7</v>
      </c>
      <c r="K25" s="33">
        <v>5</v>
      </c>
      <c r="L25" s="33">
        <v>3</v>
      </c>
      <c r="M25" s="33">
        <v>8</v>
      </c>
      <c r="N25" s="33">
        <v>4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1</v>
      </c>
      <c r="U25" s="33">
        <v>1</v>
      </c>
      <c r="V25" s="33">
        <v>4</v>
      </c>
      <c r="W25" s="33">
        <v>3</v>
      </c>
      <c r="X25" s="33">
        <v>1</v>
      </c>
      <c r="Y25" s="33">
        <f t="shared" si="0"/>
        <v>69</v>
      </c>
      <c r="Z25" s="40">
        <f t="shared" si="1"/>
        <v>2.8702163061564057</v>
      </c>
    </row>
    <row r="26" spans="1:26" x14ac:dyDescent="0.2">
      <c r="A26" s="27" t="s">
        <v>435</v>
      </c>
      <c r="B26" s="33">
        <v>3</v>
      </c>
      <c r="C26" s="33">
        <v>0</v>
      </c>
      <c r="D26" s="33">
        <v>0</v>
      </c>
      <c r="E26" s="33">
        <v>14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1</v>
      </c>
      <c r="O26" s="33">
        <v>0</v>
      </c>
      <c r="P26" s="33">
        <v>0</v>
      </c>
      <c r="Q26" s="33">
        <v>0</v>
      </c>
      <c r="R26" s="33">
        <v>1</v>
      </c>
      <c r="S26" s="33">
        <v>0</v>
      </c>
      <c r="T26" s="33">
        <v>0</v>
      </c>
      <c r="U26" s="33">
        <v>0</v>
      </c>
      <c r="V26" s="33">
        <v>0</v>
      </c>
      <c r="W26" s="33">
        <v>1</v>
      </c>
      <c r="X26" s="33">
        <v>1</v>
      </c>
      <c r="Y26" s="33">
        <f t="shared" si="0"/>
        <v>21</v>
      </c>
      <c r="Z26" s="40">
        <f t="shared" si="1"/>
        <v>0.8735440931780365</v>
      </c>
    </row>
    <row r="27" spans="1:26" x14ac:dyDescent="0.2">
      <c r="A27" s="27" t="s">
        <v>22</v>
      </c>
      <c r="B27" s="33">
        <v>0</v>
      </c>
      <c r="C27" s="33">
        <v>0</v>
      </c>
      <c r="D27" s="33">
        <v>0</v>
      </c>
      <c r="E27" s="33">
        <v>1</v>
      </c>
      <c r="F27" s="33">
        <v>1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f t="shared" si="0"/>
        <v>2</v>
      </c>
      <c r="Z27" s="40">
        <f t="shared" si="1"/>
        <v>8.3194675540765387E-2</v>
      </c>
    </row>
    <row r="28" spans="1:26" x14ac:dyDescent="0.2">
      <c r="A28" s="27" t="s">
        <v>23</v>
      </c>
      <c r="B28" s="33">
        <v>2</v>
      </c>
      <c r="C28" s="33">
        <v>1</v>
      </c>
      <c r="D28" s="33">
        <v>0</v>
      </c>
      <c r="E28" s="33">
        <v>6</v>
      </c>
      <c r="F28" s="33">
        <v>0</v>
      </c>
      <c r="G28" s="33">
        <v>2</v>
      </c>
      <c r="H28" s="33">
        <v>1</v>
      </c>
      <c r="I28" s="33">
        <v>2</v>
      </c>
      <c r="J28" s="33">
        <v>1</v>
      </c>
      <c r="K28" s="33">
        <v>1</v>
      </c>
      <c r="L28" s="33">
        <v>2</v>
      </c>
      <c r="M28" s="33">
        <v>1</v>
      </c>
      <c r="N28" s="33">
        <v>1</v>
      </c>
      <c r="O28" s="33">
        <v>0</v>
      </c>
      <c r="P28" s="33">
        <v>3</v>
      </c>
      <c r="Q28" s="33">
        <v>0</v>
      </c>
      <c r="R28" s="33">
        <v>1</v>
      </c>
      <c r="S28" s="33">
        <v>1</v>
      </c>
      <c r="T28" s="33">
        <v>4</v>
      </c>
      <c r="U28" s="33">
        <v>1</v>
      </c>
      <c r="V28" s="33">
        <v>0</v>
      </c>
      <c r="W28" s="33">
        <v>0</v>
      </c>
      <c r="X28" s="33">
        <v>0</v>
      </c>
      <c r="Y28" s="33">
        <f t="shared" si="0"/>
        <v>30</v>
      </c>
      <c r="Z28" s="40">
        <f t="shared" si="1"/>
        <v>1.2479201331114809</v>
      </c>
    </row>
    <row r="29" spans="1:26" x14ac:dyDescent="0.2">
      <c r="A29" s="27" t="s">
        <v>214</v>
      </c>
      <c r="B29" s="33">
        <v>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1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f t="shared" si="0"/>
        <v>1</v>
      </c>
      <c r="Z29" s="40">
        <f t="shared" si="1"/>
        <v>4.1597337770382693E-2</v>
      </c>
    </row>
    <row r="30" spans="1:26" x14ac:dyDescent="0.2">
      <c r="A30" s="27" t="s">
        <v>194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3</v>
      </c>
      <c r="K30" s="33">
        <v>0</v>
      </c>
      <c r="L30" s="33">
        <v>0</v>
      </c>
      <c r="M30" s="33">
        <v>0</v>
      </c>
      <c r="N30" s="33">
        <v>0</v>
      </c>
      <c r="O30" s="33">
        <v>2</v>
      </c>
      <c r="P30" s="33">
        <v>0</v>
      </c>
      <c r="Q30" s="33">
        <v>0</v>
      </c>
      <c r="R30" s="33">
        <v>1</v>
      </c>
      <c r="S30" s="33">
        <v>0</v>
      </c>
      <c r="T30" s="33">
        <v>2</v>
      </c>
      <c r="U30" s="33">
        <v>0</v>
      </c>
      <c r="V30" s="33">
        <v>0</v>
      </c>
      <c r="W30" s="33">
        <v>0</v>
      </c>
      <c r="X30" s="33">
        <v>0</v>
      </c>
      <c r="Y30" s="33">
        <f t="shared" si="0"/>
        <v>8</v>
      </c>
      <c r="Z30" s="40">
        <f t="shared" si="1"/>
        <v>0.33277870216306155</v>
      </c>
    </row>
    <row r="31" spans="1:26" x14ac:dyDescent="0.2">
      <c r="A31" s="27" t="s">
        <v>195</v>
      </c>
      <c r="B31" s="33">
        <v>1</v>
      </c>
      <c r="C31" s="33">
        <v>0</v>
      </c>
      <c r="D31" s="33">
        <v>0</v>
      </c>
      <c r="E31" s="33">
        <v>1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f t="shared" si="0"/>
        <v>2</v>
      </c>
      <c r="Z31" s="40">
        <f t="shared" si="1"/>
        <v>8.3194675540765387E-2</v>
      </c>
    </row>
    <row r="32" spans="1:26" x14ac:dyDescent="0.2">
      <c r="A32" s="27" t="s">
        <v>25</v>
      </c>
      <c r="B32" s="33">
        <v>10</v>
      </c>
      <c r="C32" s="33">
        <v>3</v>
      </c>
      <c r="D32" s="33">
        <v>1</v>
      </c>
      <c r="E32" s="33">
        <v>13</v>
      </c>
      <c r="F32" s="33">
        <v>0</v>
      </c>
      <c r="G32" s="33">
        <v>6</v>
      </c>
      <c r="H32" s="33">
        <v>14</v>
      </c>
      <c r="I32" s="33">
        <v>1</v>
      </c>
      <c r="J32" s="33">
        <v>10</v>
      </c>
      <c r="K32" s="33">
        <v>8</v>
      </c>
      <c r="L32" s="33">
        <v>2</v>
      </c>
      <c r="M32" s="33">
        <v>5</v>
      </c>
      <c r="N32" s="33">
        <v>5</v>
      </c>
      <c r="O32" s="33">
        <v>0</v>
      </c>
      <c r="P32" s="33">
        <v>6</v>
      </c>
      <c r="Q32" s="33">
        <v>2</v>
      </c>
      <c r="R32" s="33">
        <v>0</v>
      </c>
      <c r="S32" s="33">
        <v>1</v>
      </c>
      <c r="T32" s="33">
        <v>8</v>
      </c>
      <c r="U32" s="33">
        <v>8</v>
      </c>
      <c r="V32" s="33">
        <v>6</v>
      </c>
      <c r="W32" s="33">
        <v>6</v>
      </c>
      <c r="X32" s="33">
        <v>8</v>
      </c>
      <c r="Y32" s="33">
        <f t="shared" si="0"/>
        <v>123</v>
      </c>
      <c r="Z32" s="40">
        <f t="shared" si="1"/>
        <v>5.1164725457570714</v>
      </c>
    </row>
    <row r="33" spans="1:26" x14ac:dyDescent="0.2">
      <c r="A33" s="27" t="s">
        <v>646</v>
      </c>
      <c r="B33" s="33">
        <v>0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f t="shared" si="0"/>
        <v>0</v>
      </c>
      <c r="Z33" s="40">
        <f t="shared" si="1"/>
        <v>0</v>
      </c>
    </row>
    <row r="34" spans="1:26" x14ac:dyDescent="0.2">
      <c r="A34" s="27" t="s">
        <v>26</v>
      </c>
      <c r="B34" s="33">
        <v>0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f t="shared" si="0"/>
        <v>0</v>
      </c>
      <c r="Z34" s="40">
        <f t="shared" si="1"/>
        <v>0</v>
      </c>
    </row>
    <row r="35" spans="1:26" x14ac:dyDescent="0.2">
      <c r="A35" s="27" t="s">
        <v>27</v>
      </c>
      <c r="B35" s="33">
        <v>8</v>
      </c>
      <c r="C35" s="33">
        <v>9</v>
      </c>
      <c r="D35" s="33">
        <v>17</v>
      </c>
      <c r="E35" s="33">
        <v>14</v>
      </c>
      <c r="F35" s="33">
        <v>1</v>
      </c>
      <c r="G35" s="33">
        <v>17</v>
      </c>
      <c r="H35" s="33">
        <v>18</v>
      </c>
      <c r="I35" s="33">
        <v>9</v>
      </c>
      <c r="J35" s="33">
        <v>10</v>
      </c>
      <c r="K35" s="33">
        <v>5</v>
      </c>
      <c r="L35" s="33">
        <v>8</v>
      </c>
      <c r="M35" s="33">
        <v>13</v>
      </c>
      <c r="N35" s="33">
        <v>11</v>
      </c>
      <c r="O35" s="33">
        <v>7</v>
      </c>
      <c r="P35" s="33">
        <v>16</v>
      </c>
      <c r="Q35" s="33">
        <v>8</v>
      </c>
      <c r="R35" s="33">
        <v>16</v>
      </c>
      <c r="S35" s="33">
        <v>6</v>
      </c>
      <c r="T35" s="33">
        <v>13</v>
      </c>
      <c r="U35" s="33">
        <v>7</v>
      </c>
      <c r="V35" s="33">
        <v>7</v>
      </c>
      <c r="W35" s="33">
        <v>11</v>
      </c>
      <c r="X35" s="33">
        <v>14</v>
      </c>
      <c r="Y35" s="33">
        <f t="shared" si="0"/>
        <v>245</v>
      </c>
      <c r="Z35" s="40">
        <f t="shared" si="1"/>
        <v>10.191347753743761</v>
      </c>
    </row>
    <row r="36" spans="1:26" x14ac:dyDescent="0.2">
      <c r="A36" s="27" t="s">
        <v>28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f t="shared" si="0"/>
        <v>0</v>
      </c>
      <c r="Z36" s="40">
        <f t="shared" si="1"/>
        <v>0</v>
      </c>
    </row>
    <row r="37" spans="1:26" x14ac:dyDescent="0.2">
      <c r="A37" s="27" t="s">
        <v>29</v>
      </c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1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f t="shared" si="0"/>
        <v>1</v>
      </c>
      <c r="Z37" s="40">
        <f t="shared" si="1"/>
        <v>4.1597337770382693E-2</v>
      </c>
    </row>
    <row r="38" spans="1:26" x14ac:dyDescent="0.2">
      <c r="A38" s="27" t="s">
        <v>30</v>
      </c>
      <c r="B38" s="33">
        <v>0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f t="shared" si="0"/>
        <v>0</v>
      </c>
      <c r="Z38" s="40">
        <f t="shared" si="1"/>
        <v>0</v>
      </c>
    </row>
    <row r="39" spans="1:26" x14ac:dyDescent="0.2">
      <c r="A39" s="27" t="s">
        <v>442</v>
      </c>
      <c r="B39" s="33">
        <v>0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f t="shared" si="0"/>
        <v>0</v>
      </c>
      <c r="Z39" s="40">
        <f t="shared" si="1"/>
        <v>0</v>
      </c>
    </row>
    <row r="40" spans="1:26" x14ac:dyDescent="0.2">
      <c r="A40" s="27" t="s">
        <v>31</v>
      </c>
      <c r="B40" s="33">
        <v>2</v>
      </c>
      <c r="C40" s="33">
        <v>0</v>
      </c>
      <c r="D40" s="33">
        <v>1</v>
      </c>
      <c r="E40" s="33">
        <v>1</v>
      </c>
      <c r="F40" s="33">
        <v>0</v>
      </c>
      <c r="G40" s="33">
        <v>1</v>
      </c>
      <c r="H40" s="33">
        <v>2</v>
      </c>
      <c r="I40" s="33">
        <v>0</v>
      </c>
      <c r="J40" s="33">
        <v>1</v>
      </c>
      <c r="K40" s="33">
        <v>0</v>
      </c>
      <c r="L40" s="33">
        <v>0</v>
      </c>
      <c r="M40" s="33">
        <v>2</v>
      </c>
      <c r="N40" s="33">
        <v>0</v>
      </c>
      <c r="O40" s="33">
        <v>0</v>
      </c>
      <c r="P40" s="33">
        <v>2</v>
      </c>
      <c r="Q40" s="33">
        <v>0</v>
      </c>
      <c r="R40" s="33">
        <v>2</v>
      </c>
      <c r="S40" s="33">
        <v>1</v>
      </c>
      <c r="T40" s="33">
        <v>1</v>
      </c>
      <c r="U40" s="33">
        <v>2</v>
      </c>
      <c r="V40" s="33">
        <v>0</v>
      </c>
      <c r="W40" s="33">
        <v>2</v>
      </c>
      <c r="X40" s="33">
        <v>0</v>
      </c>
      <c r="Y40" s="33">
        <f t="shared" si="0"/>
        <v>20</v>
      </c>
      <c r="Z40" s="40">
        <f t="shared" si="1"/>
        <v>0.83194675540765384</v>
      </c>
    </row>
    <row r="41" spans="1:26" x14ac:dyDescent="0.2">
      <c r="A41" s="27" t="s">
        <v>32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1</v>
      </c>
      <c r="T41" s="33">
        <v>0</v>
      </c>
      <c r="U41" s="33">
        <v>1</v>
      </c>
      <c r="V41" s="33">
        <v>0</v>
      </c>
      <c r="W41" s="33">
        <v>0</v>
      </c>
      <c r="X41" s="33">
        <v>1</v>
      </c>
      <c r="Y41" s="33">
        <f t="shared" si="0"/>
        <v>3</v>
      </c>
      <c r="Z41" s="40">
        <f t="shared" si="1"/>
        <v>0.12479201331114809</v>
      </c>
    </row>
    <row r="42" spans="1:26" x14ac:dyDescent="0.2">
      <c r="A42" s="27" t="s">
        <v>33</v>
      </c>
      <c r="B42" s="33">
        <v>3</v>
      </c>
      <c r="C42" s="33">
        <v>0</v>
      </c>
      <c r="D42" s="33">
        <v>1</v>
      </c>
      <c r="E42" s="33">
        <v>6</v>
      </c>
      <c r="F42" s="33">
        <v>0</v>
      </c>
      <c r="G42" s="33">
        <v>0</v>
      </c>
      <c r="H42" s="33">
        <v>1</v>
      </c>
      <c r="I42" s="33">
        <v>3</v>
      </c>
      <c r="J42" s="33">
        <v>11</v>
      </c>
      <c r="K42" s="33">
        <v>0</v>
      </c>
      <c r="L42" s="33">
        <v>2</v>
      </c>
      <c r="M42" s="33">
        <v>2</v>
      </c>
      <c r="N42" s="33">
        <v>1</v>
      </c>
      <c r="O42" s="33">
        <v>0</v>
      </c>
      <c r="P42" s="33">
        <v>2</v>
      </c>
      <c r="Q42" s="33">
        <v>1</v>
      </c>
      <c r="R42" s="33">
        <v>1</v>
      </c>
      <c r="S42" s="33">
        <v>0</v>
      </c>
      <c r="T42" s="33">
        <v>4</v>
      </c>
      <c r="U42" s="33">
        <v>2</v>
      </c>
      <c r="V42" s="33">
        <v>3</v>
      </c>
      <c r="W42" s="33">
        <v>0</v>
      </c>
      <c r="X42" s="33">
        <v>0</v>
      </c>
      <c r="Y42" s="33">
        <f t="shared" si="0"/>
        <v>43</v>
      </c>
      <c r="Z42" s="40">
        <f t="shared" si="1"/>
        <v>1.7886855241264561</v>
      </c>
    </row>
    <row r="43" spans="1:26" x14ac:dyDescent="0.2">
      <c r="A43" s="27" t="s">
        <v>36</v>
      </c>
      <c r="B43" s="33">
        <v>0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f t="shared" si="0"/>
        <v>0</v>
      </c>
      <c r="Z43" s="40">
        <f t="shared" si="1"/>
        <v>0</v>
      </c>
    </row>
    <row r="44" spans="1:26" x14ac:dyDescent="0.2">
      <c r="A44" t="s">
        <v>344</v>
      </c>
      <c r="B44" s="33">
        <f t="shared" ref="B44:S44" si="2">SUM(B3:B43)</f>
        <v>226</v>
      </c>
      <c r="C44" s="33">
        <f t="shared" si="2"/>
        <v>28</v>
      </c>
      <c r="D44" s="33">
        <f t="shared" si="2"/>
        <v>40</v>
      </c>
      <c r="E44" s="33">
        <f t="shared" si="2"/>
        <v>283</v>
      </c>
      <c r="F44" s="33">
        <f t="shared" si="2"/>
        <v>6</v>
      </c>
      <c r="G44" s="33">
        <f>SUM(G3:G43)</f>
        <v>109</v>
      </c>
      <c r="H44" s="33">
        <f>SUM(H3:H43)</f>
        <v>136</v>
      </c>
      <c r="I44" s="33">
        <f t="shared" si="2"/>
        <v>88</v>
      </c>
      <c r="J44" s="33">
        <f t="shared" si="2"/>
        <v>250</v>
      </c>
      <c r="K44" s="33">
        <f t="shared" si="2"/>
        <v>113</v>
      </c>
      <c r="L44" s="33">
        <f t="shared" si="2"/>
        <v>99</v>
      </c>
      <c r="M44" s="33">
        <f t="shared" si="2"/>
        <v>164</v>
      </c>
      <c r="N44" s="33">
        <f t="shared" si="2"/>
        <v>123</v>
      </c>
      <c r="O44" s="33">
        <f t="shared" si="2"/>
        <v>19</v>
      </c>
      <c r="P44" s="33">
        <f t="shared" si="2"/>
        <v>170</v>
      </c>
      <c r="Q44" s="33">
        <f t="shared" si="2"/>
        <v>58</v>
      </c>
      <c r="R44" s="33">
        <f t="shared" si="2"/>
        <v>88</v>
      </c>
      <c r="S44" s="33">
        <f t="shared" si="2"/>
        <v>19</v>
      </c>
      <c r="T44" s="33">
        <f t="shared" ref="T44:X44" si="3">SUM(T3:T43)</f>
        <v>82</v>
      </c>
      <c r="U44" s="33">
        <f t="shared" si="3"/>
        <v>80</v>
      </c>
      <c r="V44" s="33">
        <f t="shared" si="3"/>
        <v>94</v>
      </c>
      <c r="W44" s="33">
        <f t="shared" si="3"/>
        <v>46</v>
      </c>
      <c r="X44" s="33">
        <f t="shared" si="3"/>
        <v>83</v>
      </c>
      <c r="Y44" s="33">
        <f>SUM(Y3:Y43)</f>
        <v>2404</v>
      </c>
      <c r="Z44" s="40">
        <f t="shared" si="1"/>
        <v>100</v>
      </c>
    </row>
    <row r="46" spans="1:26" x14ac:dyDescent="0.2">
      <c r="A46" s="27" t="s">
        <v>1472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47"/>
  <sheetViews>
    <sheetView topLeftCell="A25" workbookViewId="0">
      <selection activeCell="D46" sqref="D46"/>
    </sheetView>
  </sheetViews>
  <sheetFormatPr defaultRowHeight="12.75" x14ac:dyDescent="0.2"/>
  <cols>
    <col min="1" max="1" width="26" bestFit="1" customWidth="1"/>
    <col min="3" max="7" width="9.140625" customWidth="1"/>
    <col min="8" max="8" width="9.7109375" customWidth="1"/>
    <col min="9" max="26" width="9.140625" customWidth="1"/>
    <col min="28" max="28" width="9.140625" style="41"/>
  </cols>
  <sheetData>
    <row r="1" spans="1:28" x14ac:dyDescent="0.2">
      <c r="A1" t="s">
        <v>448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s="33" t="s">
        <v>449</v>
      </c>
      <c r="AB1" s="40"/>
    </row>
    <row r="2" spans="1:28" x14ac:dyDescent="0.2">
      <c r="A2" t="s">
        <v>287</v>
      </c>
      <c r="B2" s="34" t="s">
        <v>737</v>
      </c>
      <c r="C2" s="33" t="s">
        <v>738</v>
      </c>
      <c r="D2" s="33" t="s">
        <v>808</v>
      </c>
      <c r="E2" s="34" t="s">
        <v>739</v>
      </c>
      <c r="F2" s="34" t="s">
        <v>740</v>
      </c>
      <c r="G2" s="34" t="s">
        <v>741</v>
      </c>
      <c r="H2" s="34" t="s">
        <v>742</v>
      </c>
      <c r="I2" s="34" t="s">
        <v>743</v>
      </c>
      <c r="J2" s="34" t="s">
        <v>644</v>
      </c>
      <c r="K2" s="34" t="s">
        <v>744</v>
      </c>
      <c r="L2" s="34" t="s">
        <v>745</v>
      </c>
      <c r="M2" s="34" t="s">
        <v>746</v>
      </c>
      <c r="N2" s="34" t="s">
        <v>747</v>
      </c>
      <c r="O2" s="34" t="s">
        <v>748</v>
      </c>
      <c r="P2" s="34" t="s">
        <v>519</v>
      </c>
      <c r="Q2" s="34" t="s">
        <v>749</v>
      </c>
      <c r="R2" s="34" t="s">
        <v>750</v>
      </c>
      <c r="S2" s="33" t="s">
        <v>354</v>
      </c>
      <c r="T2" s="34" t="s">
        <v>647</v>
      </c>
      <c r="U2" s="34" t="s">
        <v>751</v>
      </c>
      <c r="V2" s="34" t="s">
        <v>752</v>
      </c>
      <c r="W2" s="34" t="s">
        <v>753</v>
      </c>
      <c r="X2" s="34" t="s">
        <v>754</v>
      </c>
      <c r="Y2" s="34" t="s">
        <v>755</v>
      </c>
      <c r="Z2" s="34" t="s">
        <v>756</v>
      </c>
      <c r="AA2" s="33" t="s">
        <v>315</v>
      </c>
      <c r="AB2" s="40" t="s">
        <v>460</v>
      </c>
    </row>
    <row r="3" spans="1:28" x14ac:dyDescent="0.2">
      <c r="A3" s="27" t="s">
        <v>1</v>
      </c>
      <c r="B3" s="33">
        <v>52</v>
      </c>
      <c r="C3" s="33">
        <v>54</v>
      </c>
      <c r="D3" s="33">
        <v>44</v>
      </c>
      <c r="E3" s="33">
        <v>77</v>
      </c>
      <c r="F3" s="33">
        <v>1</v>
      </c>
      <c r="G3" s="33">
        <v>45</v>
      </c>
      <c r="H3" s="33">
        <v>34</v>
      </c>
      <c r="I3" s="33">
        <v>8</v>
      </c>
      <c r="J3" s="33">
        <v>1</v>
      </c>
      <c r="K3" s="33">
        <v>19</v>
      </c>
      <c r="L3" s="33">
        <v>4</v>
      </c>
      <c r="M3" s="33">
        <v>1</v>
      </c>
      <c r="N3" s="33">
        <v>4</v>
      </c>
      <c r="O3" s="33">
        <v>3</v>
      </c>
      <c r="P3" s="33">
        <v>13</v>
      </c>
      <c r="Q3" s="33">
        <v>10</v>
      </c>
      <c r="R3" s="33">
        <v>40</v>
      </c>
      <c r="S3" s="33">
        <v>24</v>
      </c>
      <c r="T3" s="33">
        <v>36</v>
      </c>
      <c r="U3" s="33">
        <v>9</v>
      </c>
      <c r="V3" s="33">
        <v>15</v>
      </c>
      <c r="W3" s="33">
        <v>16</v>
      </c>
      <c r="X3" s="33">
        <v>4</v>
      </c>
      <c r="Y3" s="33">
        <v>1</v>
      </c>
      <c r="Z3" s="33">
        <v>51</v>
      </c>
      <c r="AA3" s="33">
        <f t="shared" ref="AA3:AA43" si="0">SUM(B3:Z3)</f>
        <v>566</v>
      </c>
      <c r="AB3" s="40">
        <f>(AA3/$AA$44)*100</f>
        <v>13.120074177097822</v>
      </c>
    </row>
    <row r="4" spans="1:28" x14ac:dyDescent="0.2">
      <c r="A4" s="27" t="s">
        <v>3</v>
      </c>
      <c r="B4" s="33">
        <v>36</v>
      </c>
      <c r="C4" s="33">
        <v>63</v>
      </c>
      <c r="D4" s="33">
        <v>36</v>
      </c>
      <c r="E4" s="33">
        <v>70</v>
      </c>
      <c r="F4" s="33">
        <v>4</v>
      </c>
      <c r="G4" s="33">
        <v>23</v>
      </c>
      <c r="H4" s="33">
        <v>29</v>
      </c>
      <c r="I4" s="33">
        <v>24</v>
      </c>
      <c r="J4" s="33">
        <v>1</v>
      </c>
      <c r="K4" s="33">
        <v>5</v>
      </c>
      <c r="L4" s="33">
        <v>0</v>
      </c>
      <c r="M4" s="33">
        <v>0</v>
      </c>
      <c r="N4" s="33">
        <v>2</v>
      </c>
      <c r="O4" s="33">
        <v>9</v>
      </c>
      <c r="P4" s="33">
        <v>18</v>
      </c>
      <c r="Q4" s="33">
        <v>8</v>
      </c>
      <c r="R4" s="33">
        <v>23</v>
      </c>
      <c r="S4" s="33">
        <v>21</v>
      </c>
      <c r="T4" s="33">
        <v>20</v>
      </c>
      <c r="U4" s="33">
        <v>2</v>
      </c>
      <c r="V4" s="33">
        <v>22</v>
      </c>
      <c r="W4" s="33">
        <v>10</v>
      </c>
      <c r="X4" s="33">
        <v>2</v>
      </c>
      <c r="Y4" s="33">
        <v>4</v>
      </c>
      <c r="Z4" s="33">
        <v>18</v>
      </c>
      <c r="AA4" s="33">
        <f t="shared" si="0"/>
        <v>450</v>
      </c>
      <c r="AB4" s="40">
        <f>(AA4/$AA$44)*100</f>
        <v>10.431154381084839</v>
      </c>
    </row>
    <row r="5" spans="1:28" x14ac:dyDescent="0.2">
      <c r="A5" s="27" t="s">
        <v>4</v>
      </c>
      <c r="B5" s="33">
        <v>17</v>
      </c>
      <c r="C5" s="33">
        <v>28</v>
      </c>
      <c r="D5" s="33">
        <v>21</v>
      </c>
      <c r="E5" s="33">
        <v>12</v>
      </c>
      <c r="F5" s="33">
        <v>0</v>
      </c>
      <c r="G5" s="33">
        <v>4</v>
      </c>
      <c r="H5" s="33">
        <v>9</v>
      </c>
      <c r="I5" s="33">
        <v>1</v>
      </c>
      <c r="J5" s="33">
        <v>0</v>
      </c>
      <c r="K5" s="33">
        <v>4</v>
      </c>
      <c r="L5" s="33">
        <v>1</v>
      </c>
      <c r="M5" s="33">
        <v>0</v>
      </c>
      <c r="N5" s="33">
        <v>3</v>
      </c>
      <c r="O5" s="33">
        <v>4</v>
      </c>
      <c r="P5" s="33">
        <v>7</v>
      </c>
      <c r="Q5" s="33">
        <v>3</v>
      </c>
      <c r="R5" s="33">
        <v>4</v>
      </c>
      <c r="S5" s="33">
        <v>3</v>
      </c>
      <c r="T5" s="33">
        <v>7</v>
      </c>
      <c r="U5" s="33">
        <v>0</v>
      </c>
      <c r="V5" s="33">
        <v>4</v>
      </c>
      <c r="W5" s="33">
        <v>7</v>
      </c>
      <c r="X5" s="33">
        <v>0</v>
      </c>
      <c r="Y5" s="33">
        <v>0</v>
      </c>
      <c r="Z5" s="33">
        <v>10</v>
      </c>
      <c r="AA5" s="33">
        <f t="shared" si="0"/>
        <v>149</v>
      </c>
      <c r="AB5" s="40">
        <f t="shared" ref="AB5:AB44" si="1">(AA5/$AA$44)*100</f>
        <v>3.453871117292536</v>
      </c>
    </row>
    <row r="6" spans="1:28" x14ac:dyDescent="0.2">
      <c r="A6" s="27" t="s">
        <v>5</v>
      </c>
      <c r="B6" s="33">
        <v>1</v>
      </c>
      <c r="C6" s="33">
        <v>2</v>
      </c>
      <c r="D6" s="33">
        <v>1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1</v>
      </c>
      <c r="R6" s="33">
        <v>1</v>
      </c>
      <c r="S6" s="33">
        <v>0</v>
      </c>
      <c r="T6" s="33">
        <v>0</v>
      </c>
      <c r="U6" s="33">
        <v>1</v>
      </c>
      <c r="V6" s="33">
        <v>1</v>
      </c>
      <c r="W6" s="33">
        <v>0</v>
      </c>
      <c r="X6" s="33">
        <v>0</v>
      </c>
      <c r="Y6" s="33">
        <v>0</v>
      </c>
      <c r="Z6" s="33">
        <v>0</v>
      </c>
      <c r="AA6" s="33">
        <f t="shared" si="0"/>
        <v>8</v>
      </c>
      <c r="AB6" s="40">
        <f t="shared" si="1"/>
        <v>0.18544274455261936</v>
      </c>
    </row>
    <row r="7" spans="1:28" x14ac:dyDescent="0.2">
      <c r="A7" s="27" t="s">
        <v>6</v>
      </c>
      <c r="B7" s="33">
        <v>49</v>
      </c>
      <c r="C7" s="33">
        <v>131</v>
      </c>
      <c r="D7" s="33">
        <v>37</v>
      </c>
      <c r="E7" s="33">
        <v>89</v>
      </c>
      <c r="F7" s="33">
        <v>0</v>
      </c>
      <c r="G7" s="33">
        <v>50</v>
      </c>
      <c r="H7" s="33">
        <v>26</v>
      </c>
      <c r="I7" s="33">
        <v>2</v>
      </c>
      <c r="J7" s="33">
        <v>0</v>
      </c>
      <c r="K7" s="33">
        <v>5</v>
      </c>
      <c r="L7" s="33">
        <v>1</v>
      </c>
      <c r="M7" s="33">
        <v>0</v>
      </c>
      <c r="N7" s="33">
        <v>1</v>
      </c>
      <c r="O7" s="33">
        <v>2</v>
      </c>
      <c r="P7" s="33">
        <v>11</v>
      </c>
      <c r="Q7" s="33">
        <v>3</v>
      </c>
      <c r="R7" s="33">
        <v>33</v>
      </c>
      <c r="S7" s="33">
        <v>16</v>
      </c>
      <c r="T7" s="33">
        <v>42</v>
      </c>
      <c r="U7" s="33">
        <v>0</v>
      </c>
      <c r="V7" s="33">
        <v>16</v>
      </c>
      <c r="W7" s="33">
        <v>12</v>
      </c>
      <c r="X7" s="33">
        <v>0</v>
      </c>
      <c r="Y7" s="33">
        <v>0</v>
      </c>
      <c r="Z7" s="33">
        <v>29</v>
      </c>
      <c r="AA7" s="33">
        <f t="shared" si="0"/>
        <v>555</v>
      </c>
      <c r="AB7" s="40">
        <f t="shared" si="1"/>
        <v>12.86509040333797</v>
      </c>
    </row>
    <row r="8" spans="1:28" x14ac:dyDescent="0.2">
      <c r="A8" s="27" t="s">
        <v>40</v>
      </c>
      <c r="B8" s="33">
        <v>4</v>
      </c>
      <c r="C8" s="33">
        <v>1</v>
      </c>
      <c r="D8" s="33">
        <v>1</v>
      </c>
      <c r="E8" s="33">
        <v>5</v>
      </c>
      <c r="F8" s="33">
        <v>0</v>
      </c>
      <c r="G8" s="33">
        <v>2</v>
      </c>
      <c r="H8" s="33">
        <v>1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1</v>
      </c>
      <c r="O8" s="33">
        <v>0</v>
      </c>
      <c r="P8" s="33">
        <v>0</v>
      </c>
      <c r="Q8" s="33">
        <v>0</v>
      </c>
      <c r="R8" s="33">
        <v>1</v>
      </c>
      <c r="S8" s="33">
        <v>0</v>
      </c>
      <c r="T8" s="33">
        <v>0</v>
      </c>
      <c r="U8" s="33">
        <v>0</v>
      </c>
      <c r="V8" s="33">
        <v>3</v>
      </c>
      <c r="W8" s="33">
        <v>0</v>
      </c>
      <c r="X8" s="33">
        <v>0</v>
      </c>
      <c r="Y8" s="33">
        <v>0</v>
      </c>
      <c r="Z8" s="33">
        <v>0</v>
      </c>
      <c r="AA8" s="33">
        <f t="shared" si="0"/>
        <v>19</v>
      </c>
      <c r="AB8" s="40">
        <f t="shared" si="1"/>
        <v>0.44042651831247098</v>
      </c>
    </row>
    <row r="9" spans="1:28" x14ac:dyDescent="0.2">
      <c r="A9" s="27" t="s">
        <v>7</v>
      </c>
      <c r="B9" s="33">
        <v>73</v>
      </c>
      <c r="C9" s="33">
        <v>136</v>
      </c>
      <c r="D9" s="33">
        <v>72</v>
      </c>
      <c r="E9" s="33">
        <v>125</v>
      </c>
      <c r="F9" s="33">
        <v>1</v>
      </c>
      <c r="G9" s="33">
        <v>34</v>
      </c>
      <c r="H9" s="33">
        <v>49</v>
      </c>
      <c r="I9" s="33">
        <v>23</v>
      </c>
      <c r="J9" s="33">
        <v>1</v>
      </c>
      <c r="K9" s="33">
        <v>10</v>
      </c>
      <c r="L9" s="33">
        <v>1</v>
      </c>
      <c r="M9" s="33">
        <v>0</v>
      </c>
      <c r="N9" s="33">
        <v>0</v>
      </c>
      <c r="O9" s="33">
        <v>2</v>
      </c>
      <c r="P9" s="33">
        <v>9</v>
      </c>
      <c r="Q9" s="33">
        <v>3</v>
      </c>
      <c r="R9" s="33">
        <v>45</v>
      </c>
      <c r="S9" s="33">
        <v>20</v>
      </c>
      <c r="T9" s="33">
        <v>21</v>
      </c>
      <c r="U9" s="33">
        <v>2</v>
      </c>
      <c r="V9" s="33">
        <v>30</v>
      </c>
      <c r="W9" s="33">
        <v>16</v>
      </c>
      <c r="X9" s="33">
        <v>0</v>
      </c>
      <c r="Y9" s="33">
        <v>0</v>
      </c>
      <c r="Z9" s="33">
        <v>15</v>
      </c>
      <c r="AA9" s="33">
        <f t="shared" si="0"/>
        <v>688</v>
      </c>
      <c r="AB9" s="40">
        <f t="shared" si="1"/>
        <v>15.948076031525266</v>
      </c>
    </row>
    <row r="10" spans="1:28" x14ac:dyDescent="0.2">
      <c r="A10" s="27" t="s">
        <v>9</v>
      </c>
      <c r="B10" s="33">
        <v>0</v>
      </c>
      <c r="C10" s="33">
        <v>0</v>
      </c>
      <c r="D10" s="33">
        <v>1</v>
      </c>
      <c r="E10" s="33">
        <v>0</v>
      </c>
      <c r="F10" s="33">
        <v>1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f t="shared" si="0"/>
        <v>2</v>
      </c>
      <c r="AB10" s="40">
        <f t="shared" si="1"/>
        <v>4.636068613815484E-2</v>
      </c>
    </row>
    <row r="11" spans="1:28" x14ac:dyDescent="0.2">
      <c r="A11" s="27" t="s">
        <v>10</v>
      </c>
      <c r="B11" s="33">
        <v>2</v>
      </c>
      <c r="C11" s="33">
        <v>0</v>
      </c>
      <c r="D11" s="33">
        <v>0</v>
      </c>
      <c r="E11" s="33">
        <v>2</v>
      </c>
      <c r="F11" s="33">
        <v>0</v>
      </c>
      <c r="G11" s="33">
        <v>1</v>
      </c>
      <c r="H11" s="33">
        <v>0</v>
      </c>
      <c r="I11" s="33">
        <v>0</v>
      </c>
      <c r="J11" s="33">
        <v>0</v>
      </c>
      <c r="K11" s="33">
        <v>0</v>
      </c>
      <c r="L11" s="33">
        <v>1</v>
      </c>
      <c r="M11" s="33">
        <v>1</v>
      </c>
      <c r="N11" s="33">
        <v>0</v>
      </c>
      <c r="O11" s="33">
        <v>1</v>
      </c>
      <c r="P11" s="33">
        <v>0</v>
      </c>
      <c r="Q11" s="33">
        <v>0</v>
      </c>
      <c r="R11" s="33">
        <v>1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1</v>
      </c>
      <c r="AA11" s="33">
        <f t="shared" si="0"/>
        <v>10</v>
      </c>
      <c r="AB11" s="40">
        <f t="shared" si="1"/>
        <v>0.23180343069077425</v>
      </c>
    </row>
    <row r="12" spans="1:28" x14ac:dyDescent="0.2">
      <c r="A12" s="27" t="s">
        <v>11</v>
      </c>
      <c r="B12" s="33">
        <v>1</v>
      </c>
      <c r="C12" s="33">
        <v>1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1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f t="shared" si="0"/>
        <v>3</v>
      </c>
      <c r="AB12" s="40">
        <f t="shared" si="1"/>
        <v>6.9541029207232263E-2</v>
      </c>
    </row>
    <row r="13" spans="1:28" x14ac:dyDescent="0.2">
      <c r="A13" s="27" t="s">
        <v>503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1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f t="shared" si="0"/>
        <v>1</v>
      </c>
      <c r="AB13" s="40">
        <f t="shared" si="1"/>
        <v>2.318034306907742E-2</v>
      </c>
    </row>
    <row r="14" spans="1:28" x14ac:dyDescent="0.2">
      <c r="A14" s="27" t="s">
        <v>469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f t="shared" si="0"/>
        <v>0</v>
      </c>
      <c r="AB14" s="40">
        <f t="shared" si="1"/>
        <v>0</v>
      </c>
    </row>
    <row r="15" spans="1:28" x14ac:dyDescent="0.2">
      <c r="A15" s="27" t="s">
        <v>13</v>
      </c>
      <c r="B15" s="33">
        <v>1</v>
      </c>
      <c r="C15" s="33">
        <v>0</v>
      </c>
      <c r="D15" s="33">
        <v>1</v>
      </c>
      <c r="E15" s="33">
        <v>0</v>
      </c>
      <c r="F15" s="33">
        <v>0</v>
      </c>
      <c r="G15" s="33">
        <v>0</v>
      </c>
      <c r="H15" s="33">
        <v>1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f t="shared" si="0"/>
        <v>3</v>
      </c>
      <c r="AB15" s="40">
        <f t="shared" si="1"/>
        <v>6.9541029207232263E-2</v>
      </c>
    </row>
    <row r="16" spans="1:28" x14ac:dyDescent="0.2">
      <c r="A16" s="27" t="s">
        <v>14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f t="shared" si="0"/>
        <v>0</v>
      </c>
      <c r="AB16" s="40">
        <f t="shared" si="1"/>
        <v>0</v>
      </c>
    </row>
    <row r="17" spans="1:28" x14ac:dyDescent="0.2">
      <c r="A17" s="27" t="s">
        <v>427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f t="shared" si="0"/>
        <v>0</v>
      </c>
      <c r="AB17" s="40">
        <f t="shared" si="1"/>
        <v>0</v>
      </c>
    </row>
    <row r="18" spans="1:28" x14ac:dyDescent="0.2">
      <c r="A18" s="27" t="s">
        <v>15</v>
      </c>
      <c r="B18" s="33">
        <v>1</v>
      </c>
      <c r="C18" s="33">
        <v>1</v>
      </c>
      <c r="D18" s="33">
        <v>1</v>
      </c>
      <c r="E18" s="33">
        <v>1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1</v>
      </c>
      <c r="L18" s="33">
        <v>0</v>
      </c>
      <c r="M18" s="33">
        <v>0</v>
      </c>
      <c r="N18" s="33">
        <v>0</v>
      </c>
      <c r="O18" s="33">
        <v>1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1</v>
      </c>
      <c r="W18" s="33">
        <v>1</v>
      </c>
      <c r="X18" s="33">
        <v>0</v>
      </c>
      <c r="Y18" s="33">
        <v>0</v>
      </c>
      <c r="Z18" s="33">
        <v>2</v>
      </c>
      <c r="AA18" s="33">
        <f t="shared" si="0"/>
        <v>10</v>
      </c>
      <c r="AB18" s="40">
        <f t="shared" si="1"/>
        <v>0.23180343069077425</v>
      </c>
    </row>
    <row r="19" spans="1:28" x14ac:dyDescent="0.2">
      <c r="A19" s="27" t="s">
        <v>16</v>
      </c>
      <c r="B19" s="33">
        <v>4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2</v>
      </c>
      <c r="J19" s="33">
        <v>0</v>
      </c>
      <c r="K19" s="33">
        <v>0</v>
      </c>
      <c r="L19" s="33">
        <v>1</v>
      </c>
      <c r="M19" s="33">
        <v>0</v>
      </c>
      <c r="N19" s="33">
        <v>0</v>
      </c>
      <c r="O19" s="33">
        <v>2</v>
      </c>
      <c r="P19" s="33">
        <v>0</v>
      </c>
      <c r="Q19" s="33">
        <v>0</v>
      </c>
      <c r="R19" s="33">
        <v>1</v>
      </c>
      <c r="S19" s="33">
        <v>1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f t="shared" si="0"/>
        <v>11</v>
      </c>
      <c r="AB19" s="40">
        <f t="shared" si="1"/>
        <v>0.25498377375985165</v>
      </c>
    </row>
    <row r="20" spans="1:28" x14ac:dyDescent="0.2">
      <c r="A20" s="27" t="s">
        <v>17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1</v>
      </c>
      <c r="H20" s="33">
        <v>1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3</v>
      </c>
      <c r="AA20" s="33">
        <f t="shared" si="0"/>
        <v>5</v>
      </c>
      <c r="AB20" s="40">
        <f t="shared" si="1"/>
        <v>0.11590171534538712</v>
      </c>
    </row>
    <row r="21" spans="1:28" x14ac:dyDescent="0.2">
      <c r="A21" s="27" t="s">
        <v>18</v>
      </c>
      <c r="B21" s="33">
        <v>13</v>
      </c>
      <c r="C21" s="33">
        <v>22</v>
      </c>
      <c r="D21" s="33">
        <v>15</v>
      </c>
      <c r="E21" s="33">
        <v>9</v>
      </c>
      <c r="F21" s="33">
        <v>2</v>
      </c>
      <c r="G21" s="33">
        <v>3</v>
      </c>
      <c r="H21" s="33">
        <v>7</v>
      </c>
      <c r="I21" s="33">
        <v>1</v>
      </c>
      <c r="J21" s="33">
        <v>0</v>
      </c>
      <c r="K21" s="33">
        <v>1</v>
      </c>
      <c r="L21" s="33">
        <v>2</v>
      </c>
      <c r="M21" s="33">
        <v>0</v>
      </c>
      <c r="N21" s="33">
        <v>0</v>
      </c>
      <c r="O21" s="33">
        <v>0</v>
      </c>
      <c r="P21" s="33">
        <v>1</v>
      </c>
      <c r="Q21" s="33">
        <v>0</v>
      </c>
      <c r="R21" s="33">
        <v>5</v>
      </c>
      <c r="S21" s="33">
        <v>6</v>
      </c>
      <c r="T21" s="33">
        <v>5</v>
      </c>
      <c r="U21" s="33">
        <v>3</v>
      </c>
      <c r="V21" s="33">
        <v>15</v>
      </c>
      <c r="W21" s="33">
        <v>0</v>
      </c>
      <c r="X21" s="33">
        <v>0</v>
      </c>
      <c r="Y21" s="33">
        <v>0</v>
      </c>
      <c r="Z21" s="33">
        <v>1</v>
      </c>
      <c r="AA21" s="33">
        <f t="shared" si="0"/>
        <v>111</v>
      </c>
      <c r="AB21" s="40">
        <f t="shared" si="1"/>
        <v>2.5730180806675937</v>
      </c>
    </row>
    <row r="22" spans="1:28" x14ac:dyDescent="0.2">
      <c r="A22" s="27" t="s">
        <v>19</v>
      </c>
      <c r="B22" s="33">
        <v>25</v>
      </c>
      <c r="C22" s="33">
        <v>37</v>
      </c>
      <c r="D22" s="33">
        <v>19</v>
      </c>
      <c r="E22" s="33">
        <v>29</v>
      </c>
      <c r="F22" s="33">
        <v>2</v>
      </c>
      <c r="G22" s="33">
        <v>9</v>
      </c>
      <c r="H22" s="33">
        <v>8</v>
      </c>
      <c r="I22" s="33">
        <v>10</v>
      </c>
      <c r="J22" s="33">
        <v>0</v>
      </c>
      <c r="K22" s="33">
        <v>7</v>
      </c>
      <c r="L22" s="33">
        <v>1</v>
      </c>
      <c r="M22" s="33">
        <v>0</v>
      </c>
      <c r="N22" s="33">
        <v>1</v>
      </c>
      <c r="O22" s="33">
        <v>2</v>
      </c>
      <c r="P22" s="33">
        <v>8</v>
      </c>
      <c r="Q22" s="33">
        <v>0</v>
      </c>
      <c r="R22" s="33">
        <v>4</v>
      </c>
      <c r="S22" s="33">
        <v>5</v>
      </c>
      <c r="T22" s="33">
        <v>11</v>
      </c>
      <c r="U22" s="33">
        <v>7</v>
      </c>
      <c r="V22" s="33">
        <v>9</v>
      </c>
      <c r="W22" s="33">
        <v>5</v>
      </c>
      <c r="X22" s="33">
        <v>4</v>
      </c>
      <c r="Y22" s="33">
        <v>0</v>
      </c>
      <c r="Z22" s="33">
        <v>4</v>
      </c>
      <c r="AA22" s="33">
        <f t="shared" si="0"/>
        <v>207</v>
      </c>
      <c r="AB22" s="40">
        <f t="shared" si="1"/>
        <v>4.7983310152990271</v>
      </c>
    </row>
    <row r="23" spans="1:28" x14ac:dyDescent="0.2">
      <c r="A23" s="27" t="s">
        <v>20</v>
      </c>
      <c r="B23" s="33">
        <v>3</v>
      </c>
      <c r="C23" s="33">
        <v>3</v>
      </c>
      <c r="D23" s="33">
        <v>2</v>
      </c>
      <c r="E23" s="33">
        <v>4</v>
      </c>
      <c r="F23" s="33">
        <v>1</v>
      </c>
      <c r="G23" s="33">
        <v>0</v>
      </c>
      <c r="H23" s="33">
        <v>1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1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1</v>
      </c>
      <c r="W23" s="33">
        <v>1</v>
      </c>
      <c r="X23" s="33">
        <v>0</v>
      </c>
      <c r="Y23" s="33">
        <v>0</v>
      </c>
      <c r="Z23" s="33">
        <v>0</v>
      </c>
      <c r="AA23" s="33">
        <f t="shared" si="0"/>
        <v>17</v>
      </c>
      <c r="AB23" s="40">
        <f t="shared" si="1"/>
        <v>0.39406583217431623</v>
      </c>
    </row>
    <row r="24" spans="1:28" x14ac:dyDescent="0.2">
      <c r="A24" s="27" t="s">
        <v>645</v>
      </c>
      <c r="B24" s="33">
        <v>52</v>
      </c>
      <c r="C24" s="33">
        <v>96</v>
      </c>
      <c r="D24" s="33">
        <v>70</v>
      </c>
      <c r="E24" s="33">
        <v>128</v>
      </c>
      <c r="F24" s="33">
        <v>2</v>
      </c>
      <c r="G24" s="33">
        <v>30</v>
      </c>
      <c r="H24" s="33">
        <v>49</v>
      </c>
      <c r="I24" s="33">
        <v>20</v>
      </c>
      <c r="J24" s="33">
        <v>0</v>
      </c>
      <c r="K24" s="33">
        <v>15</v>
      </c>
      <c r="L24" s="33">
        <v>0</v>
      </c>
      <c r="M24" s="33">
        <v>0</v>
      </c>
      <c r="N24" s="33">
        <v>2</v>
      </c>
      <c r="O24" s="33">
        <v>2</v>
      </c>
      <c r="P24" s="33">
        <v>8</v>
      </c>
      <c r="Q24" s="33">
        <v>5</v>
      </c>
      <c r="R24" s="33">
        <v>27</v>
      </c>
      <c r="S24" s="33">
        <v>10</v>
      </c>
      <c r="T24" s="33">
        <v>13</v>
      </c>
      <c r="U24" s="33">
        <v>2</v>
      </c>
      <c r="V24" s="33">
        <v>14</v>
      </c>
      <c r="W24" s="33">
        <v>15</v>
      </c>
      <c r="X24" s="33">
        <v>2</v>
      </c>
      <c r="Y24" s="33">
        <v>0</v>
      </c>
      <c r="Z24" s="33">
        <v>22</v>
      </c>
      <c r="AA24" s="33">
        <f t="shared" si="0"/>
        <v>584</v>
      </c>
      <c r="AB24" s="40">
        <f t="shared" si="1"/>
        <v>13.537320352341215</v>
      </c>
    </row>
    <row r="25" spans="1:28" x14ac:dyDescent="0.2">
      <c r="A25" s="27" t="s">
        <v>200</v>
      </c>
      <c r="B25" s="33">
        <v>25</v>
      </c>
      <c r="C25" s="33">
        <v>23</v>
      </c>
      <c r="D25" s="33">
        <v>23</v>
      </c>
      <c r="E25" s="33">
        <v>27</v>
      </c>
      <c r="F25" s="33">
        <v>0</v>
      </c>
      <c r="G25" s="33">
        <v>7</v>
      </c>
      <c r="H25" s="33">
        <v>6</v>
      </c>
      <c r="I25" s="33">
        <v>2</v>
      </c>
      <c r="J25" s="33">
        <v>0</v>
      </c>
      <c r="K25" s="33">
        <v>2</v>
      </c>
      <c r="L25" s="33">
        <v>0</v>
      </c>
      <c r="M25" s="33">
        <v>0</v>
      </c>
      <c r="N25" s="33">
        <v>1</v>
      </c>
      <c r="O25" s="33">
        <v>2</v>
      </c>
      <c r="P25" s="33">
        <v>3</v>
      </c>
      <c r="Q25" s="33">
        <v>0</v>
      </c>
      <c r="R25" s="33">
        <v>8</v>
      </c>
      <c r="S25" s="33">
        <v>1</v>
      </c>
      <c r="T25" s="33">
        <v>7</v>
      </c>
      <c r="U25" s="33">
        <v>0</v>
      </c>
      <c r="V25" s="33">
        <v>4</v>
      </c>
      <c r="W25" s="33">
        <v>4</v>
      </c>
      <c r="X25" s="33">
        <v>0</v>
      </c>
      <c r="Y25" s="33">
        <v>0</v>
      </c>
      <c r="Z25" s="33">
        <v>2</v>
      </c>
      <c r="AA25" s="33">
        <f t="shared" si="0"/>
        <v>147</v>
      </c>
      <c r="AB25" s="40">
        <f t="shared" si="1"/>
        <v>3.4075104311543813</v>
      </c>
    </row>
    <row r="26" spans="1:28" x14ac:dyDescent="0.2">
      <c r="A26" s="27" t="s">
        <v>435</v>
      </c>
      <c r="B26" s="33">
        <v>10</v>
      </c>
      <c r="C26" s="33">
        <v>8</v>
      </c>
      <c r="D26" s="33">
        <v>0</v>
      </c>
      <c r="E26" s="33">
        <v>2</v>
      </c>
      <c r="F26" s="33">
        <v>1</v>
      </c>
      <c r="G26" s="33">
        <v>0</v>
      </c>
      <c r="H26" s="33">
        <v>0</v>
      </c>
      <c r="I26" s="33">
        <v>0</v>
      </c>
      <c r="J26" s="33">
        <v>0</v>
      </c>
      <c r="K26" s="33">
        <v>5</v>
      </c>
      <c r="L26" s="33">
        <v>0</v>
      </c>
      <c r="M26" s="33">
        <v>0</v>
      </c>
      <c r="N26" s="33">
        <v>0</v>
      </c>
      <c r="O26" s="33">
        <v>2</v>
      </c>
      <c r="P26" s="33">
        <v>6</v>
      </c>
      <c r="Q26" s="33">
        <v>4</v>
      </c>
      <c r="R26" s="33">
        <v>7</v>
      </c>
      <c r="S26" s="33">
        <v>8</v>
      </c>
      <c r="T26" s="33">
        <v>3</v>
      </c>
      <c r="U26" s="33">
        <v>0</v>
      </c>
      <c r="V26" s="33">
        <v>5</v>
      </c>
      <c r="W26" s="33">
        <v>1</v>
      </c>
      <c r="X26" s="33">
        <v>0</v>
      </c>
      <c r="Y26" s="33">
        <v>0</v>
      </c>
      <c r="Z26" s="33">
        <v>1</v>
      </c>
      <c r="AA26" s="33">
        <f t="shared" si="0"/>
        <v>63</v>
      </c>
      <c r="AB26" s="40">
        <f t="shared" si="1"/>
        <v>1.4603616133518775</v>
      </c>
    </row>
    <row r="27" spans="1:28" x14ac:dyDescent="0.2">
      <c r="A27" s="27" t="s">
        <v>22</v>
      </c>
      <c r="B27" s="33">
        <v>2</v>
      </c>
      <c r="C27" s="33">
        <v>0</v>
      </c>
      <c r="D27" s="33">
        <v>0</v>
      </c>
      <c r="E27" s="33">
        <v>1</v>
      </c>
      <c r="F27" s="33">
        <v>0</v>
      </c>
      <c r="G27" s="33">
        <v>1</v>
      </c>
      <c r="H27" s="33">
        <v>0</v>
      </c>
      <c r="I27" s="33">
        <v>0</v>
      </c>
      <c r="J27" s="33">
        <v>0</v>
      </c>
      <c r="K27" s="33">
        <v>1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f t="shared" si="0"/>
        <v>5</v>
      </c>
      <c r="AB27" s="40">
        <f t="shared" si="1"/>
        <v>0.11590171534538712</v>
      </c>
    </row>
    <row r="28" spans="1:28" x14ac:dyDescent="0.2">
      <c r="A28" s="27" t="s">
        <v>23</v>
      </c>
      <c r="B28" s="33">
        <v>5</v>
      </c>
      <c r="C28" s="33">
        <v>18</v>
      </c>
      <c r="D28" s="33">
        <v>3</v>
      </c>
      <c r="E28" s="33">
        <v>12</v>
      </c>
      <c r="F28" s="33">
        <v>0</v>
      </c>
      <c r="G28" s="33">
        <v>3</v>
      </c>
      <c r="H28" s="33">
        <v>14</v>
      </c>
      <c r="I28" s="33">
        <v>1</v>
      </c>
      <c r="J28" s="33">
        <v>0</v>
      </c>
      <c r="K28" s="33">
        <v>7</v>
      </c>
      <c r="L28" s="33">
        <v>1</v>
      </c>
      <c r="M28" s="33">
        <v>0</v>
      </c>
      <c r="N28" s="33">
        <v>2</v>
      </c>
      <c r="O28" s="33">
        <v>1</v>
      </c>
      <c r="P28" s="33">
        <v>2</v>
      </c>
      <c r="Q28" s="33">
        <v>2</v>
      </c>
      <c r="R28" s="33">
        <v>8</v>
      </c>
      <c r="S28" s="33">
        <v>5</v>
      </c>
      <c r="T28" s="33">
        <v>1</v>
      </c>
      <c r="U28" s="33">
        <v>0</v>
      </c>
      <c r="V28" s="33">
        <v>1</v>
      </c>
      <c r="W28" s="33">
        <v>2</v>
      </c>
      <c r="X28" s="33">
        <v>0</v>
      </c>
      <c r="Y28" s="33">
        <v>0</v>
      </c>
      <c r="Z28" s="33">
        <v>3</v>
      </c>
      <c r="AA28" s="33">
        <f t="shared" si="0"/>
        <v>91</v>
      </c>
      <c r="AB28" s="40">
        <f t="shared" si="1"/>
        <v>2.1094112192860455</v>
      </c>
    </row>
    <row r="29" spans="1:28" x14ac:dyDescent="0.2">
      <c r="A29" s="27" t="s">
        <v>214</v>
      </c>
      <c r="B29" s="33">
        <v>0</v>
      </c>
      <c r="C29" s="33">
        <v>0</v>
      </c>
      <c r="D29" s="33">
        <v>1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f t="shared" si="0"/>
        <v>1</v>
      </c>
      <c r="AB29" s="40">
        <f t="shared" si="1"/>
        <v>2.318034306907742E-2</v>
      </c>
    </row>
    <row r="30" spans="1:28" x14ac:dyDescent="0.2">
      <c r="A30" s="27" t="s">
        <v>194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1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f t="shared" si="0"/>
        <v>1</v>
      </c>
      <c r="AB30" s="40">
        <f t="shared" si="1"/>
        <v>2.318034306907742E-2</v>
      </c>
    </row>
    <row r="31" spans="1:28" x14ac:dyDescent="0.2">
      <c r="A31" s="27" t="s">
        <v>195</v>
      </c>
      <c r="B31" s="33">
        <v>0</v>
      </c>
      <c r="C31" s="33">
        <v>1</v>
      </c>
      <c r="D31" s="33">
        <v>0</v>
      </c>
      <c r="E31" s="33">
        <v>0</v>
      </c>
      <c r="F31" s="33">
        <v>0</v>
      </c>
      <c r="G31" s="33">
        <v>1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1</v>
      </c>
      <c r="X31" s="33">
        <v>0</v>
      </c>
      <c r="Y31" s="33">
        <v>0</v>
      </c>
      <c r="Z31" s="33">
        <v>1</v>
      </c>
      <c r="AA31" s="33">
        <f t="shared" si="0"/>
        <v>4</v>
      </c>
      <c r="AB31" s="40">
        <f t="shared" si="1"/>
        <v>9.272137227630968E-2</v>
      </c>
    </row>
    <row r="32" spans="1:28" x14ac:dyDescent="0.2">
      <c r="A32" s="27" t="s">
        <v>25</v>
      </c>
      <c r="B32" s="33">
        <v>10</v>
      </c>
      <c r="C32" s="33">
        <v>7</v>
      </c>
      <c r="D32" s="33">
        <v>3</v>
      </c>
      <c r="E32" s="33">
        <v>9</v>
      </c>
      <c r="F32" s="33">
        <v>0</v>
      </c>
      <c r="G32" s="33">
        <v>1</v>
      </c>
      <c r="H32" s="33">
        <v>6</v>
      </c>
      <c r="I32" s="33">
        <v>2</v>
      </c>
      <c r="J32" s="33">
        <v>0</v>
      </c>
      <c r="K32" s="33">
        <v>6</v>
      </c>
      <c r="L32" s="33">
        <v>2</v>
      </c>
      <c r="M32" s="33">
        <v>0</v>
      </c>
      <c r="N32" s="33">
        <v>1</v>
      </c>
      <c r="O32" s="33">
        <v>1</v>
      </c>
      <c r="P32" s="33">
        <v>6</v>
      </c>
      <c r="Q32" s="33">
        <v>2</v>
      </c>
      <c r="R32" s="33">
        <v>4</v>
      </c>
      <c r="S32" s="33">
        <v>1</v>
      </c>
      <c r="T32" s="33">
        <v>9</v>
      </c>
      <c r="U32" s="33">
        <v>2</v>
      </c>
      <c r="V32" s="33">
        <v>4</v>
      </c>
      <c r="W32" s="33">
        <v>2</v>
      </c>
      <c r="X32" s="33">
        <v>0</v>
      </c>
      <c r="Y32" s="33">
        <v>0</v>
      </c>
      <c r="Z32" s="33">
        <v>2</v>
      </c>
      <c r="AA32" s="33">
        <f t="shared" si="0"/>
        <v>80</v>
      </c>
      <c r="AB32" s="40">
        <f t="shared" si="1"/>
        <v>1.854427445526194</v>
      </c>
    </row>
    <row r="33" spans="1:28" x14ac:dyDescent="0.2">
      <c r="A33" s="27" t="s">
        <v>646</v>
      </c>
      <c r="B33" s="33">
        <v>0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1</v>
      </c>
      <c r="L33" s="33">
        <v>1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1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f t="shared" si="0"/>
        <v>3</v>
      </c>
      <c r="AB33" s="40">
        <f t="shared" si="1"/>
        <v>6.9541029207232263E-2</v>
      </c>
    </row>
    <row r="34" spans="1:28" x14ac:dyDescent="0.2">
      <c r="A34" s="27" t="s">
        <v>26</v>
      </c>
      <c r="B34" s="33">
        <v>0</v>
      </c>
      <c r="C34" s="33">
        <v>2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f t="shared" si="0"/>
        <v>2</v>
      </c>
      <c r="AB34" s="40">
        <f t="shared" si="1"/>
        <v>4.636068613815484E-2</v>
      </c>
    </row>
    <row r="35" spans="1:28" x14ac:dyDescent="0.2">
      <c r="A35" s="27" t="s">
        <v>27</v>
      </c>
      <c r="B35" s="33">
        <v>34</v>
      </c>
      <c r="C35" s="33">
        <v>107</v>
      </c>
      <c r="D35" s="33">
        <v>30</v>
      </c>
      <c r="E35" s="33">
        <v>31</v>
      </c>
      <c r="F35" s="33">
        <v>1</v>
      </c>
      <c r="G35" s="33">
        <v>19</v>
      </c>
      <c r="H35" s="33">
        <v>13</v>
      </c>
      <c r="I35" s="33">
        <v>3</v>
      </c>
      <c r="J35" s="33">
        <v>3</v>
      </c>
      <c r="K35" s="33">
        <v>7</v>
      </c>
      <c r="L35" s="33">
        <v>3</v>
      </c>
      <c r="M35" s="33">
        <v>1</v>
      </c>
      <c r="N35" s="33">
        <v>0</v>
      </c>
      <c r="O35" s="33">
        <v>2</v>
      </c>
      <c r="P35" s="33">
        <v>13</v>
      </c>
      <c r="Q35" s="33">
        <v>9</v>
      </c>
      <c r="R35" s="33">
        <v>22</v>
      </c>
      <c r="S35" s="33">
        <v>27</v>
      </c>
      <c r="T35" s="33">
        <v>12</v>
      </c>
      <c r="U35" s="33">
        <v>14</v>
      </c>
      <c r="V35" s="33">
        <v>23</v>
      </c>
      <c r="W35" s="33">
        <v>8</v>
      </c>
      <c r="X35" s="33">
        <v>0</v>
      </c>
      <c r="Y35" s="33">
        <v>1</v>
      </c>
      <c r="Z35" s="33">
        <v>12</v>
      </c>
      <c r="AA35" s="33">
        <f t="shared" si="0"/>
        <v>395</v>
      </c>
      <c r="AB35" s="40">
        <f t="shared" si="1"/>
        <v>9.1562355122855816</v>
      </c>
    </row>
    <row r="36" spans="1:28" x14ac:dyDescent="0.2">
      <c r="A36" s="27" t="s">
        <v>28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f t="shared" si="0"/>
        <v>0</v>
      </c>
      <c r="AB36" s="40">
        <f t="shared" si="1"/>
        <v>0</v>
      </c>
    </row>
    <row r="37" spans="1:28" x14ac:dyDescent="0.2">
      <c r="A37" s="27" t="s">
        <v>29</v>
      </c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f t="shared" si="0"/>
        <v>0</v>
      </c>
      <c r="AB37" s="40">
        <f t="shared" si="1"/>
        <v>0</v>
      </c>
    </row>
    <row r="38" spans="1:28" x14ac:dyDescent="0.2">
      <c r="A38" s="27" t="s">
        <v>30</v>
      </c>
      <c r="B38" s="33">
        <v>0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f t="shared" si="0"/>
        <v>0</v>
      </c>
      <c r="AB38" s="40">
        <f t="shared" si="1"/>
        <v>0</v>
      </c>
    </row>
    <row r="39" spans="1:28" x14ac:dyDescent="0.2">
      <c r="A39" s="27" t="s">
        <v>442</v>
      </c>
      <c r="B39" s="33">
        <v>0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f t="shared" si="0"/>
        <v>0</v>
      </c>
      <c r="AB39" s="40">
        <f t="shared" si="1"/>
        <v>0</v>
      </c>
    </row>
    <row r="40" spans="1:28" x14ac:dyDescent="0.2">
      <c r="A40" s="27" t="s">
        <v>31</v>
      </c>
      <c r="B40" s="33">
        <v>8</v>
      </c>
      <c r="C40" s="33">
        <v>0</v>
      </c>
      <c r="D40" s="33">
        <v>5</v>
      </c>
      <c r="E40" s="33">
        <v>7</v>
      </c>
      <c r="F40" s="33">
        <v>2</v>
      </c>
      <c r="G40" s="33">
        <v>3</v>
      </c>
      <c r="H40" s="33">
        <v>3</v>
      </c>
      <c r="I40" s="33">
        <v>1</v>
      </c>
      <c r="J40" s="33">
        <v>1</v>
      </c>
      <c r="K40" s="33">
        <v>3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1</v>
      </c>
      <c r="S40" s="33">
        <v>1</v>
      </c>
      <c r="T40" s="33">
        <v>1</v>
      </c>
      <c r="U40" s="33">
        <v>1</v>
      </c>
      <c r="V40" s="33">
        <v>7</v>
      </c>
      <c r="W40" s="33">
        <v>1</v>
      </c>
      <c r="X40" s="33">
        <v>1</v>
      </c>
      <c r="Y40" s="33">
        <v>0</v>
      </c>
      <c r="Z40" s="33">
        <v>0</v>
      </c>
      <c r="AA40" s="33">
        <f t="shared" si="0"/>
        <v>46</v>
      </c>
      <c r="AB40" s="40">
        <f t="shared" si="1"/>
        <v>1.0662957811775615</v>
      </c>
    </row>
    <row r="41" spans="1:28" x14ac:dyDescent="0.2">
      <c r="A41" s="27" t="s">
        <v>32</v>
      </c>
      <c r="B41" s="33">
        <v>1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f t="shared" si="0"/>
        <v>1</v>
      </c>
      <c r="AB41" s="40">
        <f t="shared" si="1"/>
        <v>2.318034306907742E-2</v>
      </c>
    </row>
    <row r="42" spans="1:28" x14ac:dyDescent="0.2">
      <c r="A42" s="27" t="s">
        <v>33</v>
      </c>
      <c r="B42" s="33">
        <v>7</v>
      </c>
      <c r="C42" s="33">
        <v>5</v>
      </c>
      <c r="D42" s="33">
        <v>17</v>
      </c>
      <c r="E42" s="33">
        <v>3</v>
      </c>
      <c r="F42" s="33">
        <v>0</v>
      </c>
      <c r="G42" s="33">
        <v>4</v>
      </c>
      <c r="H42" s="33">
        <v>4</v>
      </c>
      <c r="I42" s="33">
        <v>3</v>
      </c>
      <c r="J42" s="33">
        <v>0</v>
      </c>
      <c r="K42" s="33">
        <v>2</v>
      </c>
      <c r="L42" s="33">
        <v>1</v>
      </c>
      <c r="M42" s="33">
        <v>0</v>
      </c>
      <c r="N42" s="33">
        <v>1</v>
      </c>
      <c r="O42" s="33">
        <v>0</v>
      </c>
      <c r="P42" s="33">
        <v>1</v>
      </c>
      <c r="Q42" s="33">
        <v>1</v>
      </c>
      <c r="R42" s="33">
        <v>1</v>
      </c>
      <c r="S42" s="33">
        <v>4</v>
      </c>
      <c r="T42" s="33">
        <v>5</v>
      </c>
      <c r="U42" s="33">
        <v>3</v>
      </c>
      <c r="V42" s="33">
        <v>2</v>
      </c>
      <c r="W42" s="33">
        <v>1</v>
      </c>
      <c r="X42" s="33">
        <v>1</v>
      </c>
      <c r="Y42" s="33">
        <v>0</v>
      </c>
      <c r="Z42" s="33">
        <v>6</v>
      </c>
      <c r="AA42" s="33">
        <f t="shared" si="0"/>
        <v>72</v>
      </c>
      <c r="AB42" s="40">
        <f t="shared" si="1"/>
        <v>1.6689847009735743</v>
      </c>
    </row>
    <row r="43" spans="1:28" x14ac:dyDescent="0.2">
      <c r="A43" s="27" t="s">
        <v>36</v>
      </c>
      <c r="B43" s="33">
        <v>3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1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f t="shared" si="0"/>
        <v>4</v>
      </c>
      <c r="AB43" s="40">
        <f t="shared" si="1"/>
        <v>9.272137227630968E-2</v>
      </c>
    </row>
    <row r="44" spans="1:28" x14ac:dyDescent="0.2">
      <c r="A44" t="s">
        <v>344</v>
      </c>
      <c r="B44" s="33">
        <f t="shared" ref="B44:L44" si="2">SUM(B3:B43)</f>
        <v>439</v>
      </c>
      <c r="C44" s="33">
        <f t="shared" si="2"/>
        <v>746</v>
      </c>
      <c r="D44" s="33">
        <f t="shared" si="2"/>
        <v>403</v>
      </c>
      <c r="E44" s="33">
        <f t="shared" si="2"/>
        <v>643</v>
      </c>
      <c r="F44" s="33">
        <f t="shared" si="2"/>
        <v>18</v>
      </c>
      <c r="G44" s="33">
        <f t="shared" si="2"/>
        <v>241</v>
      </c>
      <c r="H44" s="33">
        <f t="shared" si="2"/>
        <v>261</v>
      </c>
      <c r="I44" s="33">
        <f t="shared" si="2"/>
        <v>103</v>
      </c>
      <c r="J44" s="33">
        <f t="shared" si="2"/>
        <v>7</v>
      </c>
      <c r="K44" s="33">
        <f t="shared" si="2"/>
        <v>101</v>
      </c>
      <c r="L44" s="33">
        <f t="shared" si="2"/>
        <v>20</v>
      </c>
      <c r="M44" s="33">
        <f t="shared" ref="M44:Z44" si="3">SUM(M3:M43)</f>
        <v>3</v>
      </c>
      <c r="N44" s="33">
        <f t="shared" si="3"/>
        <v>19</v>
      </c>
      <c r="O44" s="33">
        <f t="shared" si="3"/>
        <v>36</v>
      </c>
      <c r="P44" s="33">
        <f t="shared" si="3"/>
        <v>107</v>
      </c>
      <c r="Q44" s="33">
        <f t="shared" si="3"/>
        <v>52</v>
      </c>
      <c r="R44" s="33">
        <f t="shared" si="3"/>
        <v>238</v>
      </c>
      <c r="S44" s="33">
        <f t="shared" si="3"/>
        <v>154</v>
      </c>
      <c r="T44" s="33">
        <f t="shared" si="3"/>
        <v>193</v>
      </c>
      <c r="U44" s="33">
        <f t="shared" si="3"/>
        <v>47</v>
      </c>
      <c r="V44" s="33">
        <f t="shared" si="3"/>
        <v>177</v>
      </c>
      <c r="W44" s="33">
        <f t="shared" si="3"/>
        <v>103</v>
      </c>
      <c r="X44" s="33">
        <f t="shared" si="3"/>
        <v>14</v>
      </c>
      <c r="Y44" s="33">
        <f t="shared" si="3"/>
        <v>6</v>
      </c>
      <c r="Z44" s="33">
        <f t="shared" si="3"/>
        <v>183</v>
      </c>
      <c r="AA44" s="33">
        <f>SUM(AA3:AA43)</f>
        <v>4314</v>
      </c>
      <c r="AB44" s="40">
        <f t="shared" si="1"/>
        <v>100</v>
      </c>
    </row>
    <row r="47" spans="1:28" x14ac:dyDescent="0.2">
      <c r="A47" s="27" t="s">
        <v>1473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7"/>
  <sheetViews>
    <sheetView topLeftCell="A22" workbookViewId="0">
      <selection activeCell="A48" sqref="A48"/>
    </sheetView>
  </sheetViews>
  <sheetFormatPr defaultRowHeight="12.75" x14ac:dyDescent="0.2"/>
  <cols>
    <col min="1" max="1" width="26" bestFit="1" customWidth="1"/>
    <col min="3" max="7" width="9.140625" customWidth="1"/>
    <col min="8" max="8" width="9.7109375" customWidth="1"/>
    <col min="9" max="27" width="9.140625" customWidth="1"/>
    <col min="29" max="29" width="9.140625" style="41"/>
  </cols>
  <sheetData>
    <row r="1" spans="1:29" x14ac:dyDescent="0.2">
      <c r="A1" t="s">
        <v>448</v>
      </c>
      <c r="B1" s="67">
        <v>1</v>
      </c>
      <c r="C1" s="67">
        <v>2</v>
      </c>
      <c r="D1" s="67">
        <v>3</v>
      </c>
      <c r="E1" s="68"/>
      <c r="F1" s="67">
        <v>1</v>
      </c>
      <c r="G1" s="67">
        <v>2</v>
      </c>
      <c r="H1" s="67">
        <v>3</v>
      </c>
      <c r="I1" s="67">
        <v>4</v>
      </c>
      <c r="J1" s="67">
        <v>5</v>
      </c>
      <c r="K1" s="67">
        <v>6</v>
      </c>
      <c r="L1" s="67">
        <v>7</v>
      </c>
      <c r="M1" s="67">
        <v>8</v>
      </c>
      <c r="N1" s="67">
        <v>9</v>
      </c>
      <c r="O1" s="67">
        <v>10</v>
      </c>
      <c r="P1" s="67">
        <v>11</v>
      </c>
      <c r="Q1" s="67">
        <v>12</v>
      </c>
      <c r="R1" s="67">
        <v>13</v>
      </c>
      <c r="S1" s="67">
        <v>14</v>
      </c>
      <c r="T1" s="67">
        <v>15</v>
      </c>
      <c r="U1" s="67">
        <v>16</v>
      </c>
      <c r="V1" s="67">
        <v>17</v>
      </c>
      <c r="W1" s="67">
        <v>18</v>
      </c>
      <c r="X1" s="67">
        <v>19</v>
      </c>
      <c r="Y1" s="67">
        <v>20</v>
      </c>
      <c r="Z1" s="67">
        <v>21</v>
      </c>
      <c r="AA1" s="67">
        <v>22</v>
      </c>
      <c r="AB1" s="33" t="s">
        <v>449</v>
      </c>
      <c r="AC1" s="40"/>
    </row>
    <row r="2" spans="1:29" x14ac:dyDescent="0.2">
      <c r="A2" t="s">
        <v>287</v>
      </c>
      <c r="B2" s="34" t="s">
        <v>717</v>
      </c>
      <c r="C2" s="34" t="s">
        <v>718</v>
      </c>
      <c r="D2" s="34" t="s">
        <v>716</v>
      </c>
      <c r="E2" s="69"/>
      <c r="F2" s="33" t="s">
        <v>655</v>
      </c>
      <c r="G2" s="34" t="s">
        <v>719</v>
      </c>
      <c r="H2" s="34" t="s">
        <v>720</v>
      </c>
      <c r="I2" s="34" t="s">
        <v>721</v>
      </c>
      <c r="J2" s="34" t="s">
        <v>679</v>
      </c>
      <c r="K2" s="34" t="s">
        <v>722</v>
      </c>
      <c r="L2" s="34" t="s">
        <v>723</v>
      </c>
      <c r="M2" s="34" t="s">
        <v>821</v>
      </c>
      <c r="N2" s="34" t="s">
        <v>822</v>
      </c>
      <c r="O2" s="34" t="s">
        <v>724</v>
      </c>
      <c r="P2" s="34" t="s">
        <v>725</v>
      </c>
      <c r="Q2" s="34" t="s">
        <v>726</v>
      </c>
      <c r="R2" s="34" t="s">
        <v>727</v>
      </c>
      <c r="S2" s="34" t="s">
        <v>728</v>
      </c>
      <c r="T2" s="34" t="s">
        <v>729</v>
      </c>
      <c r="U2" s="34" t="s">
        <v>730</v>
      </c>
      <c r="V2" s="34" t="s">
        <v>731</v>
      </c>
      <c r="W2" s="34" t="s">
        <v>732</v>
      </c>
      <c r="X2" s="34" t="s">
        <v>733</v>
      </c>
      <c r="Y2" s="34" t="s">
        <v>734</v>
      </c>
      <c r="Z2" s="34" t="s">
        <v>735</v>
      </c>
      <c r="AA2" s="34" t="s">
        <v>736</v>
      </c>
      <c r="AB2" s="33" t="s">
        <v>315</v>
      </c>
      <c r="AC2" s="40" t="s">
        <v>460</v>
      </c>
    </row>
    <row r="3" spans="1:29" x14ac:dyDescent="0.2">
      <c r="A3" s="27" t="s">
        <v>1</v>
      </c>
      <c r="B3" s="33">
        <v>0</v>
      </c>
      <c r="C3" s="33">
        <v>0</v>
      </c>
      <c r="D3" s="33">
        <v>0</v>
      </c>
      <c r="E3" s="42"/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1</v>
      </c>
      <c r="L3" s="33">
        <v>0</v>
      </c>
      <c r="M3" s="33">
        <v>1</v>
      </c>
      <c r="N3" s="33">
        <v>6</v>
      </c>
      <c r="O3" s="33">
        <v>12</v>
      </c>
      <c r="P3" s="33">
        <v>3</v>
      </c>
      <c r="Q3" s="33">
        <v>0</v>
      </c>
      <c r="R3" s="33">
        <v>5</v>
      </c>
      <c r="S3" s="33">
        <v>2</v>
      </c>
      <c r="T3" s="33">
        <v>21</v>
      </c>
      <c r="U3" s="33">
        <v>3</v>
      </c>
      <c r="V3" s="33">
        <v>12</v>
      </c>
      <c r="W3" s="33">
        <v>3</v>
      </c>
      <c r="X3" s="33">
        <v>20</v>
      </c>
      <c r="Y3" s="33">
        <v>0</v>
      </c>
      <c r="Z3" s="33">
        <v>4</v>
      </c>
      <c r="AA3" s="33">
        <v>11</v>
      </c>
      <c r="AB3" s="33">
        <f t="shared" ref="AB3:AB43" si="0">SUM(B3:AA3)</f>
        <v>104</v>
      </c>
      <c r="AC3" s="40">
        <f>(AB3/$AB$44)*100</f>
        <v>4.4866264020707511</v>
      </c>
    </row>
    <row r="4" spans="1:29" x14ac:dyDescent="0.2">
      <c r="A4" s="27" t="s">
        <v>3</v>
      </c>
      <c r="B4" s="33">
        <v>0</v>
      </c>
      <c r="C4" s="33">
        <v>0</v>
      </c>
      <c r="D4" s="33">
        <v>2</v>
      </c>
      <c r="E4" s="42"/>
      <c r="F4" s="33">
        <v>1</v>
      </c>
      <c r="G4" s="33">
        <v>0</v>
      </c>
      <c r="H4" s="33">
        <v>0</v>
      </c>
      <c r="I4" s="33">
        <v>0</v>
      </c>
      <c r="J4" s="33">
        <v>4</v>
      </c>
      <c r="K4" s="33">
        <v>2</v>
      </c>
      <c r="L4" s="33">
        <v>3</v>
      </c>
      <c r="M4" s="33">
        <v>9</v>
      </c>
      <c r="N4" s="33">
        <v>10</v>
      </c>
      <c r="O4" s="33">
        <v>2</v>
      </c>
      <c r="P4" s="33">
        <v>3</v>
      </c>
      <c r="Q4" s="33">
        <v>5</v>
      </c>
      <c r="R4" s="33">
        <v>8</v>
      </c>
      <c r="S4" s="33">
        <v>4</v>
      </c>
      <c r="T4" s="33">
        <v>6</v>
      </c>
      <c r="U4" s="33">
        <v>8</v>
      </c>
      <c r="V4" s="33">
        <v>6</v>
      </c>
      <c r="W4" s="33">
        <v>3</v>
      </c>
      <c r="X4" s="33">
        <v>4</v>
      </c>
      <c r="Y4" s="33">
        <v>1</v>
      </c>
      <c r="Z4" s="33">
        <v>5</v>
      </c>
      <c r="AA4" s="33">
        <v>12</v>
      </c>
      <c r="AB4" s="33">
        <f t="shared" si="0"/>
        <v>98</v>
      </c>
      <c r="AC4" s="40">
        <f>(AB4/$AB$44)*100</f>
        <v>4.227782571182054</v>
      </c>
    </row>
    <row r="5" spans="1:29" x14ac:dyDescent="0.2">
      <c r="A5" s="27" t="s">
        <v>4</v>
      </c>
      <c r="B5" s="33">
        <v>0</v>
      </c>
      <c r="C5" s="33">
        <v>0</v>
      </c>
      <c r="D5" s="33">
        <v>0</v>
      </c>
      <c r="E5" s="42"/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</v>
      </c>
      <c r="M5" s="33">
        <v>1</v>
      </c>
      <c r="N5" s="33">
        <v>2</v>
      </c>
      <c r="O5" s="33">
        <v>1</v>
      </c>
      <c r="P5" s="33">
        <v>3</v>
      </c>
      <c r="Q5" s="33">
        <v>10</v>
      </c>
      <c r="R5" s="33">
        <v>1</v>
      </c>
      <c r="S5" s="33">
        <v>1</v>
      </c>
      <c r="T5" s="33">
        <v>1</v>
      </c>
      <c r="U5" s="33">
        <v>1</v>
      </c>
      <c r="V5" s="33">
        <v>4</v>
      </c>
      <c r="W5" s="33">
        <v>0</v>
      </c>
      <c r="X5" s="33">
        <v>18</v>
      </c>
      <c r="Y5" s="33">
        <v>0</v>
      </c>
      <c r="Z5" s="33">
        <v>0</v>
      </c>
      <c r="AA5" s="33">
        <v>2</v>
      </c>
      <c r="AB5" s="33">
        <f t="shared" si="0"/>
        <v>46</v>
      </c>
      <c r="AC5" s="40">
        <f t="shared" ref="AC5:AC43" si="1">(AB5/$AB$44)*100</f>
        <v>1.984469370146678</v>
      </c>
    </row>
    <row r="6" spans="1:29" x14ac:dyDescent="0.2">
      <c r="A6" s="27" t="s">
        <v>5</v>
      </c>
      <c r="B6" s="33">
        <v>0</v>
      </c>
      <c r="C6" s="33">
        <v>0</v>
      </c>
      <c r="D6" s="33">
        <v>0</v>
      </c>
      <c r="E6" s="42"/>
      <c r="F6" s="33">
        <v>0</v>
      </c>
      <c r="G6" s="33">
        <v>1</v>
      </c>
      <c r="H6" s="33">
        <v>0</v>
      </c>
      <c r="I6" s="33">
        <v>0</v>
      </c>
      <c r="J6" s="33">
        <v>0</v>
      </c>
      <c r="K6" s="33">
        <v>2</v>
      </c>
      <c r="L6" s="33">
        <v>0</v>
      </c>
      <c r="M6" s="33">
        <v>1</v>
      </c>
      <c r="N6" s="33">
        <v>2</v>
      </c>
      <c r="O6" s="33">
        <v>9</v>
      </c>
      <c r="P6" s="33">
        <v>0</v>
      </c>
      <c r="Q6" s="33">
        <v>0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2</v>
      </c>
      <c r="Y6" s="33">
        <v>1</v>
      </c>
      <c r="Z6" s="33">
        <v>2</v>
      </c>
      <c r="AA6" s="33">
        <v>3</v>
      </c>
      <c r="AB6" s="33">
        <f t="shared" si="0"/>
        <v>29</v>
      </c>
      <c r="AC6" s="40">
        <f t="shared" si="1"/>
        <v>1.2510785159620361</v>
      </c>
    </row>
    <row r="7" spans="1:29" x14ac:dyDescent="0.2">
      <c r="A7" s="27" t="s">
        <v>6</v>
      </c>
      <c r="B7" s="33">
        <v>0</v>
      </c>
      <c r="C7" s="33">
        <v>0</v>
      </c>
      <c r="D7" s="33">
        <v>0</v>
      </c>
      <c r="E7" s="42"/>
      <c r="F7" s="33">
        <v>0</v>
      </c>
      <c r="G7" s="33">
        <v>0</v>
      </c>
      <c r="H7" s="33">
        <v>1</v>
      </c>
      <c r="I7" s="33">
        <v>0</v>
      </c>
      <c r="J7" s="33">
        <v>0</v>
      </c>
      <c r="K7" s="33">
        <v>1</v>
      </c>
      <c r="L7" s="33">
        <v>1</v>
      </c>
      <c r="M7" s="33">
        <v>0</v>
      </c>
      <c r="N7" s="33">
        <v>6</v>
      </c>
      <c r="O7" s="33">
        <v>7</v>
      </c>
      <c r="P7" s="33">
        <v>2</v>
      </c>
      <c r="Q7" s="33">
        <v>6</v>
      </c>
      <c r="R7" s="33">
        <v>4</v>
      </c>
      <c r="S7" s="33">
        <v>2</v>
      </c>
      <c r="T7" s="33">
        <v>36</v>
      </c>
      <c r="U7" s="33">
        <v>13</v>
      </c>
      <c r="V7" s="33">
        <v>6</v>
      </c>
      <c r="W7" s="33">
        <v>3</v>
      </c>
      <c r="X7" s="33">
        <v>47</v>
      </c>
      <c r="Y7" s="33">
        <v>0</v>
      </c>
      <c r="Z7" s="33">
        <v>5</v>
      </c>
      <c r="AA7" s="33">
        <v>19</v>
      </c>
      <c r="AB7" s="33">
        <f t="shared" si="0"/>
        <v>159</v>
      </c>
      <c r="AC7" s="40">
        <f t="shared" si="1"/>
        <v>6.8593615185504744</v>
      </c>
    </row>
    <row r="8" spans="1:29" x14ac:dyDescent="0.2">
      <c r="A8" s="27" t="s">
        <v>40</v>
      </c>
      <c r="B8" s="33">
        <v>0</v>
      </c>
      <c r="C8" s="33">
        <v>0</v>
      </c>
      <c r="D8" s="33">
        <v>0</v>
      </c>
      <c r="E8" s="42"/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1</v>
      </c>
      <c r="P8" s="33">
        <v>0</v>
      </c>
      <c r="Q8" s="33">
        <v>0</v>
      </c>
      <c r="R8" s="33">
        <v>1</v>
      </c>
      <c r="S8" s="33">
        <v>0</v>
      </c>
      <c r="T8" s="33">
        <v>6</v>
      </c>
      <c r="U8" s="33">
        <v>0</v>
      </c>
      <c r="V8" s="33">
        <v>0</v>
      </c>
      <c r="W8" s="33">
        <v>0</v>
      </c>
      <c r="X8" s="33">
        <v>2</v>
      </c>
      <c r="Y8" s="33">
        <v>0</v>
      </c>
      <c r="Z8" s="33">
        <v>0</v>
      </c>
      <c r="AA8" s="33">
        <v>3</v>
      </c>
      <c r="AB8" s="33">
        <f t="shared" si="0"/>
        <v>13</v>
      </c>
      <c r="AC8" s="40">
        <f t="shared" si="1"/>
        <v>0.56082830025884389</v>
      </c>
    </row>
    <row r="9" spans="1:29" x14ac:dyDescent="0.2">
      <c r="A9" s="27" t="s">
        <v>7</v>
      </c>
      <c r="B9" s="33">
        <v>0</v>
      </c>
      <c r="C9" s="33">
        <v>0</v>
      </c>
      <c r="D9" s="33">
        <v>0</v>
      </c>
      <c r="E9" s="42"/>
      <c r="F9" s="33">
        <v>6</v>
      </c>
      <c r="G9" s="33">
        <v>1</v>
      </c>
      <c r="H9" s="33">
        <v>0</v>
      </c>
      <c r="I9" s="33">
        <v>0</v>
      </c>
      <c r="J9" s="33">
        <v>0</v>
      </c>
      <c r="K9" s="33">
        <v>1</v>
      </c>
      <c r="L9" s="33">
        <v>0</v>
      </c>
      <c r="M9" s="33">
        <v>5</v>
      </c>
      <c r="N9" s="33">
        <v>16</v>
      </c>
      <c r="O9" s="33">
        <v>5</v>
      </c>
      <c r="P9" s="33">
        <v>10</v>
      </c>
      <c r="Q9" s="33">
        <v>10</v>
      </c>
      <c r="R9" s="33">
        <v>24</v>
      </c>
      <c r="S9" s="33">
        <v>4</v>
      </c>
      <c r="T9" s="33">
        <v>36</v>
      </c>
      <c r="U9" s="33">
        <v>36</v>
      </c>
      <c r="V9" s="33">
        <v>11</v>
      </c>
      <c r="W9" s="33">
        <v>2</v>
      </c>
      <c r="X9" s="33">
        <v>50</v>
      </c>
      <c r="Y9" s="33">
        <v>1</v>
      </c>
      <c r="Z9" s="33">
        <v>10</v>
      </c>
      <c r="AA9" s="33">
        <v>49</v>
      </c>
      <c r="AB9" s="33">
        <f t="shared" si="0"/>
        <v>277</v>
      </c>
      <c r="AC9" s="40">
        <f t="shared" si="1"/>
        <v>11.949956859361519</v>
      </c>
    </row>
    <row r="10" spans="1:29" x14ac:dyDescent="0.2">
      <c r="A10" s="27" t="s">
        <v>9</v>
      </c>
      <c r="B10" s="33">
        <v>0</v>
      </c>
      <c r="C10" s="33">
        <v>0</v>
      </c>
      <c r="D10" s="33">
        <v>0</v>
      </c>
      <c r="E10" s="42"/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1</v>
      </c>
      <c r="N10" s="33">
        <v>1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1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f t="shared" si="0"/>
        <v>3</v>
      </c>
      <c r="AC10" s="40">
        <f t="shared" si="1"/>
        <v>0.12942191544434856</v>
      </c>
    </row>
    <row r="11" spans="1:29" x14ac:dyDescent="0.2">
      <c r="A11" s="27" t="s">
        <v>10</v>
      </c>
      <c r="B11" s="33">
        <v>1</v>
      </c>
      <c r="C11" s="33">
        <v>0</v>
      </c>
      <c r="D11" s="33">
        <v>1</v>
      </c>
      <c r="E11" s="42"/>
      <c r="F11" s="33">
        <v>2</v>
      </c>
      <c r="G11" s="33">
        <v>2</v>
      </c>
      <c r="H11" s="33">
        <v>0</v>
      </c>
      <c r="I11" s="33">
        <v>0</v>
      </c>
      <c r="J11" s="33">
        <v>1</v>
      </c>
      <c r="K11" s="33">
        <v>1</v>
      </c>
      <c r="L11" s="33">
        <v>0</v>
      </c>
      <c r="M11" s="33">
        <v>0</v>
      </c>
      <c r="N11" s="33">
        <v>0</v>
      </c>
      <c r="O11" s="33">
        <v>1</v>
      </c>
      <c r="P11" s="33">
        <v>0</v>
      </c>
      <c r="Q11" s="33">
        <v>1</v>
      </c>
      <c r="R11" s="33">
        <v>0</v>
      </c>
      <c r="S11" s="33">
        <v>2</v>
      </c>
      <c r="T11" s="33">
        <v>4</v>
      </c>
      <c r="U11" s="33">
        <v>1</v>
      </c>
      <c r="V11" s="33">
        <v>1</v>
      </c>
      <c r="W11" s="33">
        <v>0</v>
      </c>
      <c r="X11" s="33">
        <v>0</v>
      </c>
      <c r="Y11" s="33">
        <v>1</v>
      </c>
      <c r="Z11" s="33">
        <v>0</v>
      </c>
      <c r="AA11" s="33">
        <v>0</v>
      </c>
      <c r="AB11" s="33">
        <f t="shared" si="0"/>
        <v>19</v>
      </c>
      <c r="AC11" s="40">
        <f t="shared" si="1"/>
        <v>0.81967213114754101</v>
      </c>
    </row>
    <row r="12" spans="1:29" x14ac:dyDescent="0.2">
      <c r="A12" s="27" t="s">
        <v>11</v>
      </c>
      <c r="B12" s="33">
        <v>0</v>
      </c>
      <c r="C12" s="33">
        <v>0</v>
      </c>
      <c r="D12" s="33">
        <v>0</v>
      </c>
      <c r="E12" s="42"/>
      <c r="F12" s="33">
        <v>0</v>
      </c>
      <c r="G12" s="33">
        <v>0</v>
      </c>
      <c r="H12" s="33">
        <v>0</v>
      </c>
      <c r="I12" s="33">
        <v>0</v>
      </c>
      <c r="J12" s="33">
        <v>2</v>
      </c>
      <c r="K12" s="33">
        <v>0</v>
      </c>
      <c r="L12" s="33">
        <v>0</v>
      </c>
      <c r="M12" s="33">
        <v>0</v>
      </c>
      <c r="N12" s="33">
        <v>0</v>
      </c>
      <c r="O12" s="33">
        <v>1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1</v>
      </c>
      <c r="W12" s="33">
        <v>0</v>
      </c>
      <c r="X12" s="33">
        <v>0</v>
      </c>
      <c r="Y12" s="33">
        <v>0</v>
      </c>
      <c r="Z12" s="33">
        <v>0</v>
      </c>
      <c r="AA12" s="33">
        <v>1</v>
      </c>
      <c r="AB12" s="33">
        <f t="shared" si="0"/>
        <v>5</v>
      </c>
      <c r="AC12" s="40">
        <f t="shared" si="1"/>
        <v>0.21570319240724764</v>
      </c>
    </row>
    <row r="13" spans="1:29" x14ac:dyDescent="0.2">
      <c r="A13" s="27" t="s">
        <v>503</v>
      </c>
      <c r="B13" s="33">
        <v>0</v>
      </c>
      <c r="C13" s="33">
        <v>0</v>
      </c>
      <c r="D13" s="33">
        <v>0</v>
      </c>
      <c r="E13" s="42"/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2</v>
      </c>
      <c r="AB13" s="33">
        <f t="shared" si="0"/>
        <v>2</v>
      </c>
      <c r="AC13" s="40">
        <f t="shared" si="1"/>
        <v>8.6281276962899056E-2</v>
      </c>
    </row>
    <row r="14" spans="1:29" x14ac:dyDescent="0.2">
      <c r="A14" s="27" t="s">
        <v>469</v>
      </c>
      <c r="B14" s="33">
        <v>0</v>
      </c>
      <c r="C14" s="33">
        <v>0</v>
      </c>
      <c r="D14" s="33">
        <v>0</v>
      </c>
      <c r="E14" s="42"/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f t="shared" si="0"/>
        <v>0</v>
      </c>
      <c r="AC14" s="40">
        <f t="shared" si="1"/>
        <v>0</v>
      </c>
    </row>
    <row r="15" spans="1:29" x14ac:dyDescent="0.2">
      <c r="A15" s="27" t="s">
        <v>13</v>
      </c>
      <c r="B15" s="33">
        <v>0</v>
      </c>
      <c r="C15" s="33">
        <v>0</v>
      </c>
      <c r="D15" s="33">
        <v>0</v>
      </c>
      <c r="E15" s="42"/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</v>
      </c>
      <c r="M15" s="33">
        <v>0</v>
      </c>
      <c r="N15" s="33">
        <v>0</v>
      </c>
      <c r="O15" s="33">
        <v>1</v>
      </c>
      <c r="P15" s="33">
        <v>0</v>
      </c>
      <c r="Q15" s="33">
        <v>1</v>
      </c>
      <c r="R15" s="33">
        <v>0</v>
      </c>
      <c r="S15" s="33">
        <v>2</v>
      </c>
      <c r="T15" s="33">
        <v>1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f t="shared" si="0"/>
        <v>6</v>
      </c>
      <c r="AC15" s="40">
        <f t="shared" si="1"/>
        <v>0.25884383088869711</v>
      </c>
    </row>
    <row r="16" spans="1:29" x14ac:dyDescent="0.2">
      <c r="A16" s="27" t="s">
        <v>14</v>
      </c>
      <c r="B16" s="33">
        <v>0</v>
      </c>
      <c r="C16" s="33">
        <v>0</v>
      </c>
      <c r="D16" s="33">
        <v>0</v>
      </c>
      <c r="E16" s="42"/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f t="shared" si="0"/>
        <v>0</v>
      </c>
      <c r="AC16" s="40">
        <f t="shared" si="1"/>
        <v>0</v>
      </c>
    </row>
    <row r="17" spans="1:29" x14ac:dyDescent="0.2">
      <c r="A17" s="27" t="s">
        <v>427</v>
      </c>
      <c r="B17" s="33">
        <v>0</v>
      </c>
      <c r="C17" s="33">
        <v>0</v>
      </c>
      <c r="D17" s="33">
        <v>0</v>
      </c>
      <c r="E17" s="46"/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1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f t="shared" si="0"/>
        <v>1</v>
      </c>
      <c r="AC17" s="40">
        <f t="shared" si="1"/>
        <v>4.3140638481449528E-2</v>
      </c>
    </row>
    <row r="18" spans="1:29" x14ac:dyDescent="0.2">
      <c r="A18" s="27" t="s">
        <v>15</v>
      </c>
      <c r="B18" s="33">
        <v>0</v>
      </c>
      <c r="C18" s="33">
        <v>0</v>
      </c>
      <c r="D18" s="33">
        <v>0</v>
      </c>
      <c r="E18" s="42"/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1</v>
      </c>
      <c r="V18" s="33">
        <v>1</v>
      </c>
      <c r="W18" s="33">
        <v>0</v>
      </c>
      <c r="X18" s="33">
        <v>0</v>
      </c>
      <c r="Y18" s="33">
        <v>0</v>
      </c>
      <c r="Z18" s="33">
        <v>1</v>
      </c>
      <c r="AA18" s="33">
        <v>0</v>
      </c>
      <c r="AB18" s="33">
        <f t="shared" si="0"/>
        <v>3</v>
      </c>
      <c r="AC18" s="40">
        <f t="shared" si="1"/>
        <v>0.12942191544434856</v>
      </c>
    </row>
    <row r="19" spans="1:29" x14ac:dyDescent="0.2">
      <c r="A19" s="27" t="s">
        <v>16</v>
      </c>
      <c r="B19" s="33">
        <v>0</v>
      </c>
      <c r="C19" s="33">
        <v>0</v>
      </c>
      <c r="D19" s="33">
        <v>0</v>
      </c>
      <c r="E19" s="42"/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1</v>
      </c>
      <c r="Y19" s="33">
        <v>0</v>
      </c>
      <c r="Z19" s="33">
        <v>0</v>
      </c>
      <c r="AA19" s="33">
        <v>0</v>
      </c>
      <c r="AB19" s="33">
        <f t="shared" si="0"/>
        <v>1</v>
      </c>
      <c r="AC19" s="40">
        <f t="shared" si="1"/>
        <v>4.3140638481449528E-2</v>
      </c>
    </row>
    <row r="20" spans="1:29" x14ac:dyDescent="0.2">
      <c r="A20" s="27" t="s">
        <v>17</v>
      </c>
      <c r="B20" s="33">
        <v>0</v>
      </c>
      <c r="C20" s="33">
        <v>0</v>
      </c>
      <c r="D20" s="33">
        <v>0</v>
      </c>
      <c r="E20" s="42" t="s">
        <v>667</v>
      </c>
      <c r="F20" s="33">
        <v>0</v>
      </c>
      <c r="G20" s="33">
        <v>0</v>
      </c>
      <c r="H20" s="33">
        <v>0</v>
      </c>
      <c r="I20" s="33">
        <v>1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1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f t="shared" si="0"/>
        <v>2</v>
      </c>
      <c r="AC20" s="40">
        <f t="shared" si="1"/>
        <v>8.6281276962899056E-2</v>
      </c>
    </row>
    <row r="21" spans="1:29" x14ac:dyDescent="0.2">
      <c r="A21" s="27" t="s">
        <v>18</v>
      </c>
      <c r="B21" s="33">
        <v>0</v>
      </c>
      <c r="C21" s="33">
        <v>2</v>
      </c>
      <c r="D21" s="33">
        <v>5</v>
      </c>
      <c r="E21" s="42"/>
      <c r="F21" s="33">
        <v>3</v>
      </c>
      <c r="G21" s="33">
        <v>3</v>
      </c>
      <c r="H21" s="33">
        <v>1</v>
      </c>
      <c r="I21" s="33">
        <v>0</v>
      </c>
      <c r="J21" s="33">
        <v>0</v>
      </c>
      <c r="K21" s="33">
        <v>0</v>
      </c>
      <c r="L21" s="33">
        <v>1</v>
      </c>
      <c r="M21" s="33">
        <v>4</v>
      </c>
      <c r="N21" s="33">
        <v>13</v>
      </c>
      <c r="O21" s="33">
        <v>7</v>
      </c>
      <c r="P21" s="33">
        <v>6</v>
      </c>
      <c r="Q21" s="33">
        <v>4</v>
      </c>
      <c r="R21" s="33">
        <v>4</v>
      </c>
      <c r="S21" s="33">
        <v>0</v>
      </c>
      <c r="T21" s="33">
        <v>0</v>
      </c>
      <c r="U21" s="33">
        <v>6</v>
      </c>
      <c r="V21" s="33">
        <v>4</v>
      </c>
      <c r="W21" s="33">
        <v>4</v>
      </c>
      <c r="X21" s="33">
        <v>2</v>
      </c>
      <c r="Y21" s="33">
        <v>0</v>
      </c>
      <c r="Z21" s="33">
        <v>2</v>
      </c>
      <c r="AA21" s="33">
        <v>7</v>
      </c>
      <c r="AB21" s="33">
        <f t="shared" si="0"/>
        <v>78</v>
      </c>
      <c r="AC21" s="40">
        <f t="shared" si="1"/>
        <v>3.3649698015530629</v>
      </c>
    </row>
    <row r="22" spans="1:29" x14ac:dyDescent="0.2">
      <c r="A22" s="27" t="s">
        <v>19</v>
      </c>
      <c r="B22" s="33">
        <v>10</v>
      </c>
      <c r="C22" s="33">
        <v>9</v>
      </c>
      <c r="D22" s="33">
        <v>13</v>
      </c>
      <c r="E22" s="42"/>
      <c r="F22" s="33">
        <v>42</v>
      </c>
      <c r="G22" s="33">
        <v>36</v>
      </c>
      <c r="H22" s="33">
        <v>3</v>
      </c>
      <c r="I22" s="33">
        <v>0</v>
      </c>
      <c r="J22" s="33">
        <v>8</v>
      </c>
      <c r="K22" s="33">
        <v>4</v>
      </c>
      <c r="L22" s="33">
        <v>1</v>
      </c>
      <c r="M22" s="33">
        <v>11</v>
      </c>
      <c r="N22" s="33">
        <v>22</v>
      </c>
      <c r="O22" s="33">
        <v>18</v>
      </c>
      <c r="P22" s="33">
        <v>14</v>
      </c>
      <c r="Q22" s="33">
        <v>20</v>
      </c>
      <c r="R22" s="33">
        <v>13</v>
      </c>
      <c r="S22" s="33">
        <v>10</v>
      </c>
      <c r="T22" s="33">
        <v>3</v>
      </c>
      <c r="U22" s="33">
        <v>11</v>
      </c>
      <c r="V22" s="33">
        <v>9</v>
      </c>
      <c r="W22" s="33">
        <v>7</v>
      </c>
      <c r="X22" s="33">
        <v>8</v>
      </c>
      <c r="Y22" s="33">
        <v>20</v>
      </c>
      <c r="Z22" s="33">
        <v>6</v>
      </c>
      <c r="AA22" s="33">
        <v>5</v>
      </c>
      <c r="AB22" s="33">
        <f t="shared" si="0"/>
        <v>303</v>
      </c>
      <c r="AC22" s="40">
        <f t="shared" si="1"/>
        <v>13.071613459879206</v>
      </c>
    </row>
    <row r="23" spans="1:29" x14ac:dyDescent="0.2">
      <c r="A23" s="27" t="s">
        <v>20</v>
      </c>
      <c r="B23" s="33">
        <v>0</v>
      </c>
      <c r="C23" s="33">
        <v>0</v>
      </c>
      <c r="D23" s="33">
        <v>0</v>
      </c>
      <c r="E23" s="42"/>
      <c r="F23" s="33">
        <v>1</v>
      </c>
      <c r="G23" s="33">
        <v>0</v>
      </c>
      <c r="H23" s="33">
        <v>1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1</v>
      </c>
      <c r="O23" s="33">
        <v>1</v>
      </c>
      <c r="P23" s="33">
        <v>1</v>
      </c>
      <c r="Q23" s="33">
        <v>3</v>
      </c>
      <c r="R23" s="33">
        <v>0</v>
      </c>
      <c r="S23" s="33">
        <v>1</v>
      </c>
      <c r="T23" s="33">
        <v>7</v>
      </c>
      <c r="U23" s="33">
        <v>3</v>
      </c>
      <c r="V23" s="33">
        <v>2</v>
      </c>
      <c r="W23" s="33">
        <v>2</v>
      </c>
      <c r="X23" s="33">
        <v>0</v>
      </c>
      <c r="Y23" s="33">
        <v>0</v>
      </c>
      <c r="Z23" s="33">
        <v>1</v>
      </c>
      <c r="AA23" s="33">
        <v>2</v>
      </c>
      <c r="AB23" s="33">
        <f t="shared" si="0"/>
        <v>26</v>
      </c>
      <c r="AC23" s="40">
        <f t="shared" si="1"/>
        <v>1.1216566005176878</v>
      </c>
    </row>
    <row r="24" spans="1:29" x14ac:dyDescent="0.2">
      <c r="A24" s="27" t="s">
        <v>645</v>
      </c>
      <c r="B24" s="33">
        <v>0</v>
      </c>
      <c r="C24" s="33">
        <v>0</v>
      </c>
      <c r="D24" s="33">
        <v>0</v>
      </c>
      <c r="E24" s="42"/>
      <c r="F24" s="33">
        <v>1</v>
      </c>
      <c r="G24" s="33">
        <v>1</v>
      </c>
      <c r="H24" s="33">
        <v>1</v>
      </c>
      <c r="I24" s="33">
        <v>0</v>
      </c>
      <c r="J24" s="33">
        <v>0</v>
      </c>
      <c r="K24" s="33">
        <v>2</v>
      </c>
      <c r="L24" s="33">
        <v>0</v>
      </c>
      <c r="M24" s="33">
        <v>0</v>
      </c>
      <c r="N24" s="33">
        <v>2</v>
      </c>
      <c r="O24" s="33">
        <v>0</v>
      </c>
      <c r="P24" s="33">
        <v>3</v>
      </c>
      <c r="Q24" s="33">
        <v>5</v>
      </c>
      <c r="R24" s="33">
        <v>8</v>
      </c>
      <c r="S24" s="33">
        <v>1</v>
      </c>
      <c r="T24" s="33">
        <v>8</v>
      </c>
      <c r="U24" s="33">
        <v>3</v>
      </c>
      <c r="V24" s="33">
        <v>2</v>
      </c>
      <c r="W24" s="33">
        <v>0</v>
      </c>
      <c r="X24" s="33">
        <v>15</v>
      </c>
      <c r="Y24" s="33">
        <v>0</v>
      </c>
      <c r="Z24" s="33">
        <v>2</v>
      </c>
      <c r="AA24" s="33">
        <v>9</v>
      </c>
      <c r="AB24" s="33">
        <f t="shared" si="0"/>
        <v>63</v>
      </c>
      <c r="AC24" s="40">
        <f t="shared" si="1"/>
        <v>2.7178602243313201</v>
      </c>
    </row>
    <row r="25" spans="1:29" x14ac:dyDescent="0.2">
      <c r="A25" s="27" t="s">
        <v>200</v>
      </c>
      <c r="B25" s="33">
        <v>0</v>
      </c>
      <c r="C25" s="33">
        <v>0</v>
      </c>
      <c r="D25" s="33">
        <v>0</v>
      </c>
      <c r="E25" s="42"/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2</v>
      </c>
      <c r="R25" s="33">
        <v>1</v>
      </c>
      <c r="S25" s="33">
        <v>0</v>
      </c>
      <c r="T25" s="33">
        <v>2</v>
      </c>
      <c r="U25" s="33">
        <v>1</v>
      </c>
      <c r="V25" s="33">
        <v>0</v>
      </c>
      <c r="W25" s="33">
        <v>0</v>
      </c>
      <c r="X25" s="33">
        <v>2</v>
      </c>
      <c r="Y25" s="33">
        <v>0</v>
      </c>
      <c r="Z25" s="33">
        <v>0</v>
      </c>
      <c r="AA25" s="33">
        <v>3</v>
      </c>
      <c r="AB25" s="33">
        <f t="shared" si="0"/>
        <v>11</v>
      </c>
      <c r="AC25" s="40">
        <f t="shared" si="1"/>
        <v>0.47454702329594478</v>
      </c>
    </row>
    <row r="26" spans="1:29" x14ac:dyDescent="0.2">
      <c r="A26" s="27" t="s">
        <v>435</v>
      </c>
      <c r="B26" s="33">
        <v>0</v>
      </c>
      <c r="C26" s="33">
        <v>0</v>
      </c>
      <c r="D26" s="33">
        <v>0</v>
      </c>
      <c r="E26" s="42"/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1</v>
      </c>
      <c r="Q26" s="33">
        <v>2</v>
      </c>
      <c r="R26" s="33">
        <v>2</v>
      </c>
      <c r="S26" s="33">
        <v>0</v>
      </c>
      <c r="T26" s="33">
        <v>1</v>
      </c>
      <c r="U26" s="33">
        <v>0</v>
      </c>
      <c r="V26" s="33">
        <v>1</v>
      </c>
      <c r="W26" s="33">
        <v>0</v>
      </c>
      <c r="X26" s="33">
        <v>0</v>
      </c>
      <c r="Y26" s="33">
        <v>0</v>
      </c>
      <c r="Z26" s="33">
        <v>0</v>
      </c>
      <c r="AA26" s="33">
        <v>2</v>
      </c>
      <c r="AB26" s="33">
        <f t="shared" si="0"/>
        <v>9</v>
      </c>
      <c r="AC26" s="40">
        <f t="shared" si="1"/>
        <v>0.38826574633304572</v>
      </c>
    </row>
    <row r="27" spans="1:29" x14ac:dyDescent="0.2">
      <c r="A27" s="27" t="s">
        <v>22</v>
      </c>
      <c r="B27" s="33">
        <v>1</v>
      </c>
      <c r="C27" s="33">
        <v>0</v>
      </c>
      <c r="D27" s="33">
        <v>0</v>
      </c>
      <c r="E27" s="42"/>
      <c r="F27" s="33">
        <v>1</v>
      </c>
      <c r="G27" s="33">
        <v>1</v>
      </c>
      <c r="H27" s="33">
        <v>0</v>
      </c>
      <c r="I27" s="33">
        <v>0</v>
      </c>
      <c r="J27" s="33">
        <v>1</v>
      </c>
      <c r="K27" s="33">
        <v>1</v>
      </c>
      <c r="L27" s="33">
        <v>0</v>
      </c>
      <c r="M27" s="33">
        <v>0</v>
      </c>
      <c r="N27" s="33">
        <v>0</v>
      </c>
      <c r="O27" s="33">
        <v>1</v>
      </c>
      <c r="P27" s="33">
        <v>0</v>
      </c>
      <c r="Q27" s="33">
        <v>1</v>
      </c>
      <c r="R27" s="33">
        <v>0</v>
      </c>
      <c r="S27" s="33">
        <v>1</v>
      </c>
      <c r="T27" s="33">
        <v>2</v>
      </c>
      <c r="U27" s="33">
        <v>0</v>
      </c>
      <c r="V27" s="33">
        <v>0</v>
      </c>
      <c r="W27" s="33">
        <v>1</v>
      </c>
      <c r="X27" s="33">
        <v>0</v>
      </c>
      <c r="Y27" s="33">
        <v>0</v>
      </c>
      <c r="Z27" s="33">
        <v>1</v>
      </c>
      <c r="AA27" s="33">
        <v>0</v>
      </c>
      <c r="AB27" s="33">
        <f t="shared" si="0"/>
        <v>12</v>
      </c>
      <c r="AC27" s="40">
        <f t="shared" si="1"/>
        <v>0.51768766177739423</v>
      </c>
    </row>
    <row r="28" spans="1:29" x14ac:dyDescent="0.2">
      <c r="A28" s="27" t="s">
        <v>23</v>
      </c>
      <c r="B28" s="33">
        <v>0</v>
      </c>
      <c r="C28" s="33">
        <v>0</v>
      </c>
      <c r="D28" s="33">
        <v>0</v>
      </c>
      <c r="E28" s="42"/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1</v>
      </c>
      <c r="Q28" s="33">
        <v>1</v>
      </c>
      <c r="R28" s="33">
        <v>0</v>
      </c>
      <c r="S28" s="33">
        <v>0</v>
      </c>
      <c r="T28" s="33">
        <v>0</v>
      </c>
      <c r="U28" s="33">
        <v>1</v>
      </c>
      <c r="V28" s="33">
        <v>0</v>
      </c>
      <c r="W28" s="33">
        <v>0</v>
      </c>
      <c r="X28" s="33">
        <v>2</v>
      </c>
      <c r="Y28" s="33">
        <v>0</v>
      </c>
      <c r="Z28" s="33">
        <v>2</v>
      </c>
      <c r="AA28" s="33">
        <v>1</v>
      </c>
      <c r="AB28" s="33">
        <f t="shared" si="0"/>
        <v>8</v>
      </c>
      <c r="AC28" s="40">
        <f t="shared" si="1"/>
        <v>0.34512510785159622</v>
      </c>
    </row>
    <row r="29" spans="1:29" x14ac:dyDescent="0.2">
      <c r="A29" s="27" t="s">
        <v>214</v>
      </c>
      <c r="B29" s="33">
        <v>0</v>
      </c>
      <c r="C29" s="33">
        <v>0</v>
      </c>
      <c r="D29" s="33">
        <v>1</v>
      </c>
      <c r="E29" s="42"/>
      <c r="F29" s="33">
        <v>0</v>
      </c>
      <c r="G29" s="33">
        <v>0</v>
      </c>
      <c r="H29" s="33">
        <v>0</v>
      </c>
      <c r="I29" s="33">
        <v>1</v>
      </c>
      <c r="J29" s="33">
        <v>0</v>
      </c>
      <c r="K29" s="33">
        <v>3</v>
      </c>
      <c r="L29" s="33">
        <v>0</v>
      </c>
      <c r="M29" s="33">
        <v>1</v>
      </c>
      <c r="N29" s="33">
        <v>0</v>
      </c>
      <c r="O29" s="33">
        <v>2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1</v>
      </c>
      <c r="V29" s="33">
        <v>0</v>
      </c>
      <c r="W29" s="33">
        <v>1</v>
      </c>
      <c r="X29" s="33">
        <v>2</v>
      </c>
      <c r="Y29" s="33">
        <v>0</v>
      </c>
      <c r="Z29" s="33">
        <v>0</v>
      </c>
      <c r="AA29" s="33">
        <v>0</v>
      </c>
      <c r="AB29" s="33">
        <f t="shared" si="0"/>
        <v>12</v>
      </c>
      <c r="AC29" s="40">
        <f t="shared" si="1"/>
        <v>0.51768766177739423</v>
      </c>
    </row>
    <row r="30" spans="1:29" x14ac:dyDescent="0.2">
      <c r="A30" s="27" t="s">
        <v>194</v>
      </c>
      <c r="B30" s="33">
        <v>0</v>
      </c>
      <c r="C30" s="33">
        <v>0</v>
      </c>
      <c r="D30" s="33">
        <v>0</v>
      </c>
      <c r="E30" s="42"/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2</v>
      </c>
      <c r="T30" s="33">
        <v>0</v>
      </c>
      <c r="U30" s="33">
        <v>0</v>
      </c>
      <c r="V30" s="33">
        <v>1</v>
      </c>
      <c r="W30" s="33">
        <v>0</v>
      </c>
      <c r="X30" s="33">
        <v>0</v>
      </c>
      <c r="Y30" s="33">
        <v>1</v>
      </c>
      <c r="Z30" s="33">
        <v>0</v>
      </c>
      <c r="AA30" s="33">
        <v>0</v>
      </c>
      <c r="AB30" s="33">
        <f t="shared" si="0"/>
        <v>4</v>
      </c>
      <c r="AC30" s="40">
        <f t="shared" si="1"/>
        <v>0.17256255392579811</v>
      </c>
    </row>
    <row r="31" spans="1:29" x14ac:dyDescent="0.2">
      <c r="A31" s="27" t="s">
        <v>195</v>
      </c>
      <c r="B31" s="33">
        <v>0</v>
      </c>
      <c r="C31" s="33">
        <v>0</v>
      </c>
      <c r="D31" s="33">
        <v>0</v>
      </c>
      <c r="E31" s="42"/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1</v>
      </c>
      <c r="P31" s="33">
        <v>0</v>
      </c>
      <c r="Q31" s="33">
        <v>0</v>
      </c>
      <c r="R31" s="33">
        <v>1</v>
      </c>
      <c r="S31" s="33">
        <v>0</v>
      </c>
      <c r="T31" s="33">
        <v>1</v>
      </c>
      <c r="U31" s="33">
        <v>0</v>
      </c>
      <c r="V31" s="33">
        <v>0</v>
      </c>
      <c r="W31" s="33">
        <v>1</v>
      </c>
      <c r="X31" s="33">
        <v>3</v>
      </c>
      <c r="Y31" s="33">
        <v>0</v>
      </c>
      <c r="Z31" s="33">
        <v>0</v>
      </c>
      <c r="AA31" s="33">
        <v>0</v>
      </c>
      <c r="AB31" s="33">
        <f t="shared" si="0"/>
        <v>7</v>
      </c>
      <c r="AC31" s="40">
        <f t="shared" si="1"/>
        <v>0.30198446937014667</v>
      </c>
    </row>
    <row r="32" spans="1:29" x14ac:dyDescent="0.2">
      <c r="A32" s="27" t="s">
        <v>25</v>
      </c>
      <c r="B32" s="33">
        <v>0</v>
      </c>
      <c r="C32" s="33">
        <v>0</v>
      </c>
      <c r="D32" s="33">
        <v>1</v>
      </c>
      <c r="E32" s="42"/>
      <c r="F32" s="33">
        <v>0</v>
      </c>
      <c r="G32" s="33">
        <v>4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1</v>
      </c>
      <c r="N32" s="33">
        <v>2</v>
      </c>
      <c r="O32" s="33">
        <v>5</v>
      </c>
      <c r="P32" s="33">
        <v>5</v>
      </c>
      <c r="Q32" s="33">
        <v>16</v>
      </c>
      <c r="R32" s="33">
        <v>1</v>
      </c>
      <c r="S32" s="33">
        <v>6</v>
      </c>
      <c r="T32" s="33">
        <v>5</v>
      </c>
      <c r="U32" s="33">
        <v>9</v>
      </c>
      <c r="V32" s="33">
        <v>12</v>
      </c>
      <c r="W32" s="33">
        <v>3</v>
      </c>
      <c r="X32" s="33">
        <v>26</v>
      </c>
      <c r="Y32" s="33">
        <v>0</v>
      </c>
      <c r="Z32" s="33">
        <v>1</v>
      </c>
      <c r="AA32" s="33">
        <v>5</v>
      </c>
      <c r="AB32" s="33">
        <f t="shared" si="0"/>
        <v>102</v>
      </c>
      <c r="AC32" s="40">
        <f t="shared" si="1"/>
        <v>4.4003451251078518</v>
      </c>
    </row>
    <row r="33" spans="1:29" x14ac:dyDescent="0.2">
      <c r="A33" s="27" t="s">
        <v>646</v>
      </c>
      <c r="B33" s="33">
        <v>0</v>
      </c>
      <c r="C33" s="33">
        <v>0</v>
      </c>
      <c r="D33" s="33">
        <v>0</v>
      </c>
      <c r="E33" s="42"/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1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f t="shared" si="0"/>
        <v>1</v>
      </c>
      <c r="AC33" s="40">
        <f t="shared" si="1"/>
        <v>4.3140638481449528E-2</v>
      </c>
    </row>
    <row r="34" spans="1:29" x14ac:dyDescent="0.2">
      <c r="A34" s="27" t="s">
        <v>26</v>
      </c>
      <c r="B34" s="33">
        <v>0</v>
      </c>
      <c r="C34" s="33">
        <v>0</v>
      </c>
      <c r="D34" s="33">
        <v>0</v>
      </c>
      <c r="E34" s="42"/>
      <c r="F34" s="33">
        <v>2</v>
      </c>
      <c r="G34" s="33">
        <v>0</v>
      </c>
      <c r="H34" s="33">
        <v>1</v>
      </c>
      <c r="I34" s="33">
        <v>0</v>
      </c>
      <c r="J34" s="33">
        <v>0</v>
      </c>
      <c r="K34" s="33">
        <v>0</v>
      </c>
      <c r="L34" s="33">
        <v>1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1</v>
      </c>
      <c r="Y34" s="33">
        <v>0</v>
      </c>
      <c r="Z34" s="33">
        <v>0</v>
      </c>
      <c r="AA34" s="33">
        <v>2</v>
      </c>
      <c r="AB34" s="33">
        <f t="shared" si="0"/>
        <v>7</v>
      </c>
      <c r="AC34" s="40">
        <f t="shared" si="1"/>
        <v>0.30198446937014667</v>
      </c>
    </row>
    <row r="35" spans="1:29" x14ac:dyDescent="0.2">
      <c r="A35" s="27" t="s">
        <v>27</v>
      </c>
      <c r="B35" s="33">
        <v>0</v>
      </c>
      <c r="C35" s="33">
        <v>1</v>
      </c>
      <c r="D35" s="33">
        <v>13</v>
      </c>
      <c r="E35" s="42"/>
      <c r="F35" s="33">
        <v>50</v>
      </c>
      <c r="G35" s="33">
        <v>15</v>
      </c>
      <c r="H35" s="33">
        <v>14</v>
      </c>
      <c r="I35" s="33">
        <v>1</v>
      </c>
      <c r="J35" s="33">
        <v>13</v>
      </c>
      <c r="K35" s="33">
        <v>3</v>
      </c>
      <c r="L35" s="33">
        <v>7</v>
      </c>
      <c r="M35" s="33">
        <v>14</v>
      </c>
      <c r="N35" s="33">
        <v>39</v>
      </c>
      <c r="O35" s="33">
        <v>53</v>
      </c>
      <c r="P35" s="33">
        <v>38</v>
      </c>
      <c r="Q35" s="33">
        <v>45</v>
      </c>
      <c r="R35" s="33">
        <v>42</v>
      </c>
      <c r="S35" s="33">
        <v>66</v>
      </c>
      <c r="T35" s="33">
        <v>98</v>
      </c>
      <c r="U35" s="33">
        <v>11</v>
      </c>
      <c r="V35" s="33">
        <v>23</v>
      </c>
      <c r="W35" s="33">
        <v>54</v>
      </c>
      <c r="X35" s="33">
        <v>87</v>
      </c>
      <c r="Y35" s="33">
        <v>17</v>
      </c>
      <c r="Z35" s="33">
        <v>30</v>
      </c>
      <c r="AA35" s="33">
        <v>63</v>
      </c>
      <c r="AB35" s="33">
        <f t="shared" si="0"/>
        <v>797</v>
      </c>
      <c r="AC35" s="40">
        <f t="shared" si="1"/>
        <v>34.383088869715273</v>
      </c>
    </row>
    <row r="36" spans="1:29" x14ac:dyDescent="0.2">
      <c r="A36" s="27" t="s">
        <v>28</v>
      </c>
      <c r="B36" s="33">
        <v>0</v>
      </c>
      <c r="C36" s="33">
        <v>0</v>
      </c>
      <c r="D36" s="33">
        <v>0</v>
      </c>
      <c r="E36" s="42"/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1</v>
      </c>
      <c r="O36" s="33">
        <v>0</v>
      </c>
      <c r="P36" s="33">
        <v>0</v>
      </c>
      <c r="Q36" s="33">
        <v>0</v>
      </c>
      <c r="R36" s="33">
        <v>1</v>
      </c>
      <c r="S36" s="33">
        <v>0</v>
      </c>
      <c r="T36" s="33">
        <v>0</v>
      </c>
      <c r="U36" s="33">
        <v>0</v>
      </c>
      <c r="V36" s="33">
        <v>1</v>
      </c>
      <c r="W36" s="33">
        <v>0</v>
      </c>
      <c r="X36" s="33">
        <v>0</v>
      </c>
      <c r="Y36" s="33">
        <v>0</v>
      </c>
      <c r="Z36" s="33">
        <v>0</v>
      </c>
      <c r="AA36" s="33">
        <v>6</v>
      </c>
      <c r="AB36" s="33">
        <f t="shared" si="0"/>
        <v>9</v>
      </c>
      <c r="AC36" s="40">
        <f t="shared" si="1"/>
        <v>0.38826574633304572</v>
      </c>
    </row>
    <row r="37" spans="1:29" x14ac:dyDescent="0.2">
      <c r="A37" s="27" t="s">
        <v>29</v>
      </c>
      <c r="B37" s="33">
        <v>0</v>
      </c>
      <c r="C37" s="33">
        <v>0</v>
      </c>
      <c r="D37" s="33">
        <v>0</v>
      </c>
      <c r="E37" s="42"/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1</v>
      </c>
      <c r="N37" s="33">
        <v>1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1</v>
      </c>
      <c r="U37" s="33">
        <v>1</v>
      </c>
      <c r="V37" s="33">
        <v>0</v>
      </c>
      <c r="W37" s="33">
        <v>0</v>
      </c>
      <c r="X37" s="33">
        <v>1</v>
      </c>
      <c r="Y37" s="33">
        <v>0</v>
      </c>
      <c r="Z37" s="33">
        <v>0</v>
      </c>
      <c r="AA37" s="33">
        <v>1</v>
      </c>
      <c r="AB37" s="33">
        <f t="shared" si="0"/>
        <v>6</v>
      </c>
      <c r="AC37" s="40">
        <f t="shared" si="1"/>
        <v>0.25884383088869711</v>
      </c>
    </row>
    <row r="38" spans="1:29" x14ac:dyDescent="0.2">
      <c r="A38" s="27" t="s">
        <v>30</v>
      </c>
      <c r="B38" s="33">
        <v>0</v>
      </c>
      <c r="C38" s="33">
        <v>0</v>
      </c>
      <c r="D38" s="33">
        <v>0</v>
      </c>
      <c r="E38" s="42"/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f t="shared" si="0"/>
        <v>0</v>
      </c>
      <c r="AC38" s="40">
        <f t="shared" si="1"/>
        <v>0</v>
      </c>
    </row>
    <row r="39" spans="1:29" x14ac:dyDescent="0.2">
      <c r="A39" s="27" t="s">
        <v>442</v>
      </c>
      <c r="B39" s="33">
        <v>0</v>
      </c>
      <c r="C39" s="33">
        <v>0</v>
      </c>
      <c r="D39" s="33">
        <v>0</v>
      </c>
      <c r="E39" s="42"/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f t="shared" si="0"/>
        <v>0</v>
      </c>
      <c r="AC39" s="40">
        <f t="shared" si="1"/>
        <v>0</v>
      </c>
    </row>
    <row r="40" spans="1:29" x14ac:dyDescent="0.2">
      <c r="A40" s="27" t="s">
        <v>31</v>
      </c>
      <c r="B40" s="33">
        <v>0</v>
      </c>
      <c r="C40" s="33">
        <v>0</v>
      </c>
      <c r="D40" s="33">
        <v>0</v>
      </c>
      <c r="E40" s="42"/>
      <c r="F40" s="33">
        <v>1</v>
      </c>
      <c r="G40" s="33">
        <v>0</v>
      </c>
      <c r="H40" s="33">
        <v>7</v>
      </c>
      <c r="I40" s="33">
        <v>3</v>
      </c>
      <c r="J40" s="33">
        <v>0</v>
      </c>
      <c r="K40" s="33">
        <v>0</v>
      </c>
      <c r="L40" s="33">
        <v>1</v>
      </c>
      <c r="M40" s="33">
        <v>0</v>
      </c>
      <c r="N40" s="33">
        <v>0</v>
      </c>
      <c r="O40" s="33">
        <v>0</v>
      </c>
      <c r="P40" s="33">
        <v>0</v>
      </c>
      <c r="Q40" s="33">
        <v>1</v>
      </c>
      <c r="R40" s="33">
        <v>2</v>
      </c>
      <c r="S40" s="33">
        <v>1</v>
      </c>
      <c r="T40" s="33">
        <v>6</v>
      </c>
      <c r="U40" s="33">
        <v>5</v>
      </c>
      <c r="V40" s="33">
        <v>2</v>
      </c>
      <c r="W40" s="33">
        <v>4</v>
      </c>
      <c r="X40" s="33">
        <v>6</v>
      </c>
      <c r="Y40" s="33">
        <v>1</v>
      </c>
      <c r="Z40" s="33">
        <v>2</v>
      </c>
      <c r="AA40" s="33">
        <v>0</v>
      </c>
      <c r="AB40" s="33">
        <f t="shared" si="0"/>
        <v>42</v>
      </c>
      <c r="AC40" s="40">
        <f t="shared" si="1"/>
        <v>1.81190681622088</v>
      </c>
    </row>
    <row r="41" spans="1:29" x14ac:dyDescent="0.2">
      <c r="A41" s="27" t="s">
        <v>32</v>
      </c>
      <c r="B41" s="33">
        <v>0</v>
      </c>
      <c r="C41" s="33">
        <v>0</v>
      </c>
      <c r="D41" s="33">
        <v>0</v>
      </c>
      <c r="E41" s="42"/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1</v>
      </c>
      <c r="X41" s="33">
        <v>0</v>
      </c>
      <c r="Y41" s="33">
        <v>0</v>
      </c>
      <c r="Z41" s="33">
        <v>0</v>
      </c>
      <c r="AA41" s="33">
        <v>0</v>
      </c>
      <c r="AB41" s="33">
        <f t="shared" si="0"/>
        <v>1</v>
      </c>
      <c r="AC41" s="40">
        <f t="shared" si="1"/>
        <v>4.3140638481449528E-2</v>
      </c>
    </row>
    <row r="42" spans="1:29" x14ac:dyDescent="0.2">
      <c r="A42" s="27" t="s">
        <v>33</v>
      </c>
      <c r="B42" s="33">
        <v>0</v>
      </c>
      <c r="C42" s="33">
        <v>0</v>
      </c>
      <c r="D42" s="33">
        <v>0</v>
      </c>
      <c r="E42" s="42"/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2</v>
      </c>
      <c r="N42" s="33">
        <v>3</v>
      </c>
      <c r="O42" s="33">
        <v>2</v>
      </c>
      <c r="P42" s="33">
        <v>1</v>
      </c>
      <c r="Q42" s="33">
        <v>13</v>
      </c>
      <c r="R42" s="33">
        <v>2</v>
      </c>
      <c r="S42" s="33">
        <v>0</v>
      </c>
      <c r="T42" s="33">
        <v>1</v>
      </c>
      <c r="U42" s="33">
        <v>7</v>
      </c>
      <c r="V42" s="33">
        <v>4</v>
      </c>
      <c r="W42" s="33">
        <v>4</v>
      </c>
      <c r="X42" s="33">
        <v>5</v>
      </c>
      <c r="Y42" s="33">
        <v>0</v>
      </c>
      <c r="Z42" s="33">
        <v>0</v>
      </c>
      <c r="AA42" s="33">
        <v>8</v>
      </c>
      <c r="AB42" s="33">
        <f t="shared" si="0"/>
        <v>52</v>
      </c>
      <c r="AC42" s="40">
        <f t="shared" si="1"/>
        <v>2.2433132010353756</v>
      </c>
    </row>
    <row r="43" spans="1:29" x14ac:dyDescent="0.2">
      <c r="A43" s="27" t="s">
        <v>36</v>
      </c>
      <c r="B43" s="33">
        <v>0</v>
      </c>
      <c r="C43" s="33">
        <v>0</v>
      </c>
      <c r="D43" s="33">
        <v>0</v>
      </c>
      <c r="E43" s="42"/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f t="shared" si="0"/>
        <v>0</v>
      </c>
      <c r="AC43" s="40">
        <f t="shared" si="1"/>
        <v>0</v>
      </c>
    </row>
    <row r="44" spans="1:29" x14ac:dyDescent="0.2">
      <c r="A44" t="s">
        <v>344</v>
      </c>
      <c r="B44" s="33">
        <f>SUM(B3:B43)</f>
        <v>12</v>
      </c>
      <c r="C44" s="33">
        <f>SUM(C3:C43)</f>
        <v>12</v>
      </c>
      <c r="D44" s="33">
        <f>SUM(D3:D43)</f>
        <v>36</v>
      </c>
      <c r="E44" s="42"/>
      <c r="F44" s="33">
        <f>SUM(F3:F43)</f>
        <v>110</v>
      </c>
      <c r="G44" s="33">
        <f t="shared" ref="G44:L44" si="2">SUM(G3:G43)</f>
        <v>64</v>
      </c>
      <c r="H44" s="33">
        <f t="shared" si="2"/>
        <v>29</v>
      </c>
      <c r="I44" s="33">
        <f t="shared" si="2"/>
        <v>6</v>
      </c>
      <c r="J44" s="33">
        <f t="shared" si="2"/>
        <v>29</v>
      </c>
      <c r="K44" s="33">
        <f t="shared" si="2"/>
        <v>21</v>
      </c>
      <c r="L44" s="33">
        <f t="shared" si="2"/>
        <v>17</v>
      </c>
      <c r="M44" s="33">
        <f>SUM(M3:M43)</f>
        <v>53</v>
      </c>
      <c r="N44" s="33">
        <f>SUM(N3:N43)</f>
        <v>127</v>
      </c>
      <c r="O44" s="33">
        <f t="shared" ref="O44:S44" si="3">SUM(O3:O43)</f>
        <v>130</v>
      </c>
      <c r="P44" s="33">
        <f t="shared" si="3"/>
        <v>92</v>
      </c>
      <c r="Q44" s="33">
        <f t="shared" si="3"/>
        <v>146</v>
      </c>
      <c r="R44" s="33">
        <f t="shared" si="3"/>
        <v>121</v>
      </c>
      <c r="S44" s="33">
        <f t="shared" si="3"/>
        <v>106</v>
      </c>
      <c r="T44" s="33">
        <f t="shared" ref="T44:AA44" si="4">SUM(T3:T43)</f>
        <v>247</v>
      </c>
      <c r="U44" s="33">
        <f t="shared" si="4"/>
        <v>123</v>
      </c>
      <c r="V44" s="33">
        <f t="shared" si="4"/>
        <v>106</v>
      </c>
      <c r="W44" s="33">
        <f t="shared" si="4"/>
        <v>94</v>
      </c>
      <c r="X44" s="33">
        <f t="shared" si="4"/>
        <v>304</v>
      </c>
      <c r="Y44" s="33">
        <f t="shared" si="4"/>
        <v>43</v>
      </c>
      <c r="Z44" s="33">
        <f t="shared" si="4"/>
        <v>74</v>
      </c>
      <c r="AA44" s="33">
        <f t="shared" si="4"/>
        <v>216</v>
      </c>
      <c r="AB44" s="33">
        <f>SUM(AB3:AB43)</f>
        <v>2318</v>
      </c>
      <c r="AC44" s="40">
        <f t="shared" ref="AC44" si="5">(AB44/$AB$44)*100</f>
        <v>100</v>
      </c>
    </row>
    <row r="46" spans="1:29" x14ac:dyDescent="0.2">
      <c r="A46" s="27" t="s">
        <v>1474</v>
      </c>
    </row>
    <row r="47" spans="1:29" x14ac:dyDescent="0.2">
      <c r="A47" s="27" t="s">
        <v>1475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B49"/>
  <sheetViews>
    <sheetView topLeftCell="A22" workbookViewId="0">
      <selection activeCell="A50" sqref="A50"/>
    </sheetView>
  </sheetViews>
  <sheetFormatPr defaultRowHeight="12.75" x14ac:dyDescent="0.2"/>
  <cols>
    <col min="1" max="1" width="26" bestFit="1" customWidth="1"/>
    <col min="2" max="7" width="9.140625" customWidth="1"/>
    <col min="8" max="8" width="9.7109375" customWidth="1"/>
    <col min="9" max="24" width="9.140625" customWidth="1"/>
    <col min="25" max="25" width="9.42578125" customWidth="1"/>
    <col min="26" max="27" width="9.140625" customWidth="1"/>
    <col min="28" max="28" width="9.140625" style="41" customWidth="1"/>
    <col min="29" max="36" width="9.140625" customWidth="1"/>
  </cols>
  <sheetData>
    <row r="1" spans="1:54" x14ac:dyDescent="0.2">
      <c r="A1" t="s">
        <v>448</v>
      </c>
      <c r="B1" s="42"/>
      <c r="C1" s="33">
        <v>1</v>
      </c>
      <c r="D1" s="33">
        <v>2</v>
      </c>
      <c r="E1" s="33">
        <v>3</v>
      </c>
      <c r="F1" s="33">
        <v>4</v>
      </c>
      <c r="G1" s="33">
        <v>5</v>
      </c>
      <c r="H1" s="33">
        <v>6</v>
      </c>
      <c r="I1" s="42"/>
      <c r="J1" s="33">
        <v>1</v>
      </c>
      <c r="K1" s="33">
        <v>2</v>
      </c>
      <c r="L1" s="33">
        <v>3</v>
      </c>
      <c r="M1" s="33">
        <v>4</v>
      </c>
      <c r="N1" s="33">
        <v>5</v>
      </c>
      <c r="O1" s="33">
        <v>6</v>
      </c>
      <c r="P1" s="33">
        <v>7</v>
      </c>
      <c r="Q1" s="33">
        <v>8</v>
      </c>
      <c r="R1" s="33">
        <v>9</v>
      </c>
      <c r="S1" s="33">
        <v>10</v>
      </c>
      <c r="T1" s="33">
        <v>11</v>
      </c>
      <c r="U1" s="33">
        <v>12</v>
      </c>
      <c r="V1" s="33">
        <v>13</v>
      </c>
      <c r="W1" s="33">
        <v>14</v>
      </c>
      <c r="X1" s="33">
        <v>15</v>
      </c>
      <c r="Y1" s="42"/>
      <c r="Z1" s="33">
        <v>1</v>
      </c>
      <c r="AA1" s="33">
        <v>2</v>
      </c>
      <c r="AB1" s="33">
        <v>3</v>
      </c>
      <c r="AC1" s="42"/>
      <c r="AD1" s="33">
        <v>1</v>
      </c>
      <c r="AE1" s="33">
        <v>2</v>
      </c>
      <c r="AF1" s="33">
        <v>3</v>
      </c>
      <c r="AG1" s="33">
        <v>4</v>
      </c>
      <c r="AH1" s="33">
        <v>5</v>
      </c>
      <c r="AI1" s="33">
        <v>6</v>
      </c>
      <c r="AJ1" s="33">
        <v>7</v>
      </c>
      <c r="AK1" s="33">
        <v>8</v>
      </c>
      <c r="AL1" s="33">
        <v>9</v>
      </c>
      <c r="AM1" s="33">
        <v>10</v>
      </c>
      <c r="AN1" s="33">
        <v>11</v>
      </c>
      <c r="AO1" s="33">
        <v>12</v>
      </c>
      <c r="AP1" s="33">
        <v>13</v>
      </c>
      <c r="AQ1" s="33">
        <v>14</v>
      </c>
      <c r="AR1" s="33">
        <v>15</v>
      </c>
      <c r="AS1" s="33">
        <v>16</v>
      </c>
      <c r="AT1" s="33">
        <v>17</v>
      </c>
      <c r="AU1" s="33">
        <v>18</v>
      </c>
      <c r="AV1" s="33">
        <v>19</v>
      </c>
      <c r="AW1" s="33">
        <v>20</v>
      </c>
      <c r="AX1" s="33">
        <v>21</v>
      </c>
      <c r="AY1" s="33">
        <v>22</v>
      </c>
      <c r="AZ1" s="33">
        <v>23</v>
      </c>
      <c r="BA1" s="33" t="s">
        <v>449</v>
      </c>
      <c r="BB1" s="40"/>
    </row>
    <row r="2" spans="1:54" x14ac:dyDescent="0.2">
      <c r="A2" t="s">
        <v>287</v>
      </c>
      <c r="B2" s="69"/>
      <c r="C2" s="33" t="s">
        <v>823</v>
      </c>
      <c r="D2" s="33" t="s">
        <v>824</v>
      </c>
      <c r="E2" s="34" t="s">
        <v>825</v>
      </c>
      <c r="F2" s="34" t="s">
        <v>826</v>
      </c>
      <c r="G2" s="34" t="s">
        <v>827</v>
      </c>
      <c r="H2" s="34" t="s">
        <v>828</v>
      </c>
      <c r="I2" s="69"/>
      <c r="J2" s="34" t="s">
        <v>450</v>
      </c>
      <c r="K2" s="34" t="s">
        <v>829</v>
      </c>
      <c r="L2" s="34" t="s">
        <v>830</v>
      </c>
      <c r="M2" s="34" t="s">
        <v>351</v>
      </c>
      <c r="N2" s="34" t="s">
        <v>762</v>
      </c>
      <c r="O2" s="34" t="s">
        <v>831</v>
      </c>
      <c r="P2" s="34" t="s">
        <v>832</v>
      </c>
      <c r="Q2" s="34" t="s">
        <v>833</v>
      </c>
      <c r="R2" s="34" t="s">
        <v>834</v>
      </c>
      <c r="S2" s="34" t="s">
        <v>835</v>
      </c>
      <c r="T2" s="34" t="s">
        <v>836</v>
      </c>
      <c r="U2" s="34" t="s">
        <v>837</v>
      </c>
      <c r="V2" s="34" t="s">
        <v>838</v>
      </c>
      <c r="W2" s="34" t="s">
        <v>839</v>
      </c>
      <c r="X2" s="34" t="s">
        <v>840</v>
      </c>
      <c r="Y2" s="69"/>
      <c r="Z2" s="34" t="s">
        <v>842</v>
      </c>
      <c r="AA2" s="34" t="s">
        <v>843</v>
      </c>
      <c r="AB2" s="34" t="s">
        <v>844</v>
      </c>
      <c r="AC2" s="69"/>
      <c r="AD2" s="34" t="s">
        <v>845</v>
      </c>
      <c r="AE2" s="34" t="s">
        <v>846</v>
      </c>
      <c r="AF2" s="34" t="s">
        <v>847</v>
      </c>
      <c r="AG2" s="34" t="s">
        <v>849</v>
      </c>
      <c r="AH2" s="34" t="s">
        <v>850</v>
      </c>
      <c r="AI2" s="34" t="s">
        <v>851</v>
      </c>
      <c r="AJ2" s="34" t="s">
        <v>852</v>
      </c>
      <c r="AK2" s="34" t="s">
        <v>853</v>
      </c>
      <c r="AL2" s="34" t="s">
        <v>854</v>
      </c>
      <c r="AM2" s="34" t="s">
        <v>855</v>
      </c>
      <c r="AN2" s="34" t="s">
        <v>677</v>
      </c>
      <c r="AO2" s="34" t="s">
        <v>856</v>
      </c>
      <c r="AP2" s="33" t="s">
        <v>857</v>
      </c>
      <c r="AQ2" s="33" t="s">
        <v>858</v>
      </c>
      <c r="AR2" s="33" t="s">
        <v>859</v>
      </c>
      <c r="AS2" s="33" t="s">
        <v>860</v>
      </c>
      <c r="AT2" s="33" t="s">
        <v>861</v>
      </c>
      <c r="AU2" s="33" t="s">
        <v>862</v>
      </c>
      <c r="AV2" s="33" t="s">
        <v>863</v>
      </c>
      <c r="AW2" s="33" t="s">
        <v>864</v>
      </c>
      <c r="AX2" s="33" t="s">
        <v>865</v>
      </c>
      <c r="AY2" s="33" t="s">
        <v>866</v>
      </c>
      <c r="AZ2" s="33" t="s">
        <v>867</v>
      </c>
      <c r="BA2" s="33" t="s">
        <v>315</v>
      </c>
      <c r="BB2" s="40" t="s">
        <v>460</v>
      </c>
    </row>
    <row r="3" spans="1:54" x14ac:dyDescent="0.2">
      <c r="A3" s="27" t="s">
        <v>1</v>
      </c>
      <c r="B3" s="42"/>
      <c r="C3" s="67">
        <v>0</v>
      </c>
      <c r="D3" s="67">
        <v>5</v>
      </c>
      <c r="E3" s="67">
        <v>4</v>
      </c>
      <c r="F3" s="67">
        <v>12</v>
      </c>
      <c r="G3" s="67">
        <v>3</v>
      </c>
      <c r="H3" s="67">
        <v>5</v>
      </c>
      <c r="I3" s="42"/>
      <c r="J3" s="67">
        <v>5</v>
      </c>
      <c r="K3" s="67">
        <v>5</v>
      </c>
      <c r="L3" s="67">
        <v>2</v>
      </c>
      <c r="M3" s="67">
        <v>3</v>
      </c>
      <c r="N3" s="67">
        <v>4</v>
      </c>
      <c r="O3" s="67">
        <v>3</v>
      </c>
      <c r="P3" s="67">
        <v>7</v>
      </c>
      <c r="Q3" s="67">
        <v>2</v>
      </c>
      <c r="R3" s="67">
        <v>1</v>
      </c>
      <c r="S3" s="67">
        <v>6</v>
      </c>
      <c r="T3" s="67">
        <v>10</v>
      </c>
      <c r="U3" s="67">
        <v>11</v>
      </c>
      <c r="V3" s="67">
        <v>5</v>
      </c>
      <c r="W3" s="67">
        <v>11</v>
      </c>
      <c r="X3" s="67">
        <v>6</v>
      </c>
      <c r="Y3" s="42"/>
      <c r="Z3" s="33">
        <v>5</v>
      </c>
      <c r="AA3" s="67">
        <v>1</v>
      </c>
      <c r="AB3" s="67">
        <v>2</v>
      </c>
      <c r="AC3" s="42"/>
      <c r="AD3" s="33">
        <v>2</v>
      </c>
      <c r="AE3" s="33">
        <v>0</v>
      </c>
      <c r="AF3" s="33">
        <v>10</v>
      </c>
      <c r="AG3" s="33">
        <v>0</v>
      </c>
      <c r="AH3" s="33">
        <v>3</v>
      </c>
      <c r="AI3" s="33">
        <v>8</v>
      </c>
      <c r="AJ3" s="33">
        <v>4</v>
      </c>
      <c r="AK3" s="33">
        <v>2</v>
      </c>
      <c r="AL3" s="33">
        <v>0</v>
      </c>
      <c r="AM3" s="33">
        <v>1</v>
      </c>
      <c r="AN3" s="33">
        <v>1</v>
      </c>
      <c r="AO3" s="33">
        <v>30</v>
      </c>
      <c r="AP3" s="33">
        <v>9</v>
      </c>
      <c r="AQ3" s="33">
        <v>4</v>
      </c>
      <c r="AR3" s="33">
        <v>7</v>
      </c>
      <c r="AS3" s="33">
        <v>8</v>
      </c>
      <c r="AT3" s="33">
        <v>9</v>
      </c>
      <c r="AU3" s="33">
        <v>0</v>
      </c>
      <c r="AV3" s="33">
        <v>5</v>
      </c>
      <c r="AW3" s="33">
        <v>5</v>
      </c>
      <c r="AX3" s="33">
        <v>6</v>
      </c>
      <c r="AY3" s="33">
        <v>4</v>
      </c>
      <c r="AZ3" s="33">
        <v>6</v>
      </c>
      <c r="BA3" s="33">
        <f t="shared" ref="BA3:BA44" si="0">SUM(B3:AZ3)</f>
        <v>242</v>
      </c>
      <c r="BB3" s="40">
        <f t="shared" ref="BB3:BB44" si="1">(BA3/$BA$44)*100</f>
        <v>2.7194066749072929</v>
      </c>
    </row>
    <row r="4" spans="1:54" x14ac:dyDescent="0.2">
      <c r="A4" s="27" t="s">
        <v>3</v>
      </c>
      <c r="B4" s="42"/>
      <c r="C4" s="67">
        <v>0</v>
      </c>
      <c r="D4" s="67">
        <v>14</v>
      </c>
      <c r="E4" s="67">
        <v>2</v>
      </c>
      <c r="F4" s="67">
        <v>5</v>
      </c>
      <c r="G4" s="67">
        <v>1</v>
      </c>
      <c r="H4" s="67">
        <v>15</v>
      </c>
      <c r="I4" s="42"/>
      <c r="J4" s="67">
        <v>18</v>
      </c>
      <c r="K4" s="67">
        <v>17</v>
      </c>
      <c r="L4" s="67">
        <v>6</v>
      </c>
      <c r="M4" s="67">
        <v>19</v>
      </c>
      <c r="N4" s="67">
        <v>8</v>
      </c>
      <c r="O4" s="67">
        <v>3</v>
      </c>
      <c r="P4" s="67">
        <v>6</v>
      </c>
      <c r="Q4" s="67">
        <v>24</v>
      </c>
      <c r="R4" s="67">
        <v>0</v>
      </c>
      <c r="S4" s="67">
        <v>3</v>
      </c>
      <c r="T4" s="67">
        <v>6</v>
      </c>
      <c r="U4" s="67">
        <v>7</v>
      </c>
      <c r="V4" s="67">
        <v>6</v>
      </c>
      <c r="W4" s="67">
        <v>12</v>
      </c>
      <c r="X4" s="67">
        <v>6</v>
      </c>
      <c r="Y4" s="42"/>
      <c r="Z4" s="33">
        <v>6</v>
      </c>
      <c r="AA4" s="67">
        <v>3</v>
      </c>
      <c r="AB4" s="67">
        <v>14</v>
      </c>
      <c r="AC4" s="42"/>
      <c r="AD4" s="33">
        <v>2</v>
      </c>
      <c r="AE4" s="33">
        <v>2</v>
      </c>
      <c r="AF4" s="33">
        <v>6</v>
      </c>
      <c r="AG4" s="33">
        <v>2</v>
      </c>
      <c r="AH4" s="33">
        <v>1</v>
      </c>
      <c r="AI4" s="33">
        <v>3</v>
      </c>
      <c r="AJ4" s="33">
        <v>0</v>
      </c>
      <c r="AK4" s="33">
        <v>4</v>
      </c>
      <c r="AL4" s="33">
        <v>6</v>
      </c>
      <c r="AM4" s="33">
        <v>0</v>
      </c>
      <c r="AN4" s="33">
        <v>1</v>
      </c>
      <c r="AO4" s="33">
        <v>13</v>
      </c>
      <c r="AP4" s="33">
        <v>3</v>
      </c>
      <c r="AQ4" s="33">
        <v>0</v>
      </c>
      <c r="AR4" s="33">
        <v>7</v>
      </c>
      <c r="AS4" s="33">
        <v>4</v>
      </c>
      <c r="AT4" s="33">
        <v>2</v>
      </c>
      <c r="AU4" s="33">
        <v>3</v>
      </c>
      <c r="AV4" s="33">
        <v>2</v>
      </c>
      <c r="AW4" s="33">
        <v>0</v>
      </c>
      <c r="AX4" s="33">
        <v>1</v>
      </c>
      <c r="AY4" s="33">
        <v>0</v>
      </c>
      <c r="AZ4" s="33">
        <v>1</v>
      </c>
      <c r="BA4" s="33">
        <f t="shared" si="0"/>
        <v>264</v>
      </c>
      <c r="BB4" s="40">
        <f t="shared" si="1"/>
        <v>2.9666254635352289</v>
      </c>
    </row>
    <row r="5" spans="1:54" x14ac:dyDescent="0.2">
      <c r="A5" s="27" t="s">
        <v>4</v>
      </c>
      <c r="B5" s="42"/>
      <c r="C5" s="67">
        <v>0</v>
      </c>
      <c r="D5" s="67">
        <v>2</v>
      </c>
      <c r="E5" s="67">
        <v>0</v>
      </c>
      <c r="F5" s="67">
        <v>1</v>
      </c>
      <c r="G5" s="67">
        <v>0</v>
      </c>
      <c r="H5" s="67">
        <v>0</v>
      </c>
      <c r="I5" s="42"/>
      <c r="J5" s="67">
        <v>0</v>
      </c>
      <c r="K5" s="67">
        <v>1</v>
      </c>
      <c r="L5" s="67">
        <v>0</v>
      </c>
      <c r="M5" s="67">
        <v>0</v>
      </c>
      <c r="N5" s="67">
        <v>0</v>
      </c>
      <c r="O5" s="67">
        <v>1</v>
      </c>
      <c r="P5" s="67">
        <v>0</v>
      </c>
      <c r="Q5" s="67">
        <v>0</v>
      </c>
      <c r="R5" s="67">
        <v>0</v>
      </c>
      <c r="S5" s="67">
        <v>1</v>
      </c>
      <c r="T5" s="67">
        <v>4</v>
      </c>
      <c r="U5" s="67">
        <v>3</v>
      </c>
      <c r="V5" s="67">
        <v>2</v>
      </c>
      <c r="W5" s="67">
        <v>4</v>
      </c>
      <c r="X5" s="67">
        <v>1</v>
      </c>
      <c r="Y5" s="42"/>
      <c r="Z5" s="33">
        <v>1</v>
      </c>
      <c r="AA5" s="67">
        <v>2</v>
      </c>
      <c r="AB5" s="67">
        <v>2</v>
      </c>
      <c r="AC5" s="42"/>
      <c r="AD5" s="33">
        <v>1</v>
      </c>
      <c r="AE5" s="33">
        <v>0</v>
      </c>
      <c r="AF5" s="33">
        <v>1</v>
      </c>
      <c r="AG5" s="33">
        <v>0</v>
      </c>
      <c r="AH5" s="33">
        <v>1</v>
      </c>
      <c r="AI5" s="33">
        <v>0</v>
      </c>
      <c r="AJ5" s="33">
        <v>2</v>
      </c>
      <c r="AK5" s="33">
        <v>0</v>
      </c>
      <c r="AL5" s="33">
        <v>0</v>
      </c>
      <c r="AM5" s="33">
        <v>0</v>
      </c>
      <c r="AN5" s="33">
        <v>1</v>
      </c>
      <c r="AO5" s="33">
        <v>17</v>
      </c>
      <c r="AP5" s="33">
        <v>2</v>
      </c>
      <c r="AQ5" s="33">
        <v>0</v>
      </c>
      <c r="AR5" s="33">
        <v>2</v>
      </c>
      <c r="AS5" s="33">
        <v>0</v>
      </c>
      <c r="AT5" s="33">
        <v>2</v>
      </c>
      <c r="AU5" s="33">
        <v>1</v>
      </c>
      <c r="AV5" s="33">
        <v>0</v>
      </c>
      <c r="AW5" s="33">
        <v>2</v>
      </c>
      <c r="AX5" s="33">
        <v>0</v>
      </c>
      <c r="AY5" s="33">
        <v>1</v>
      </c>
      <c r="AZ5" s="33">
        <v>0</v>
      </c>
      <c r="BA5" s="33">
        <f t="shared" si="0"/>
        <v>58</v>
      </c>
      <c r="BB5" s="40">
        <f t="shared" si="1"/>
        <v>0.6517586245645578</v>
      </c>
    </row>
    <row r="6" spans="1:54" x14ac:dyDescent="0.2">
      <c r="A6" s="27" t="s">
        <v>5</v>
      </c>
      <c r="B6" s="42"/>
      <c r="C6" s="67">
        <v>1</v>
      </c>
      <c r="D6" s="67">
        <v>1</v>
      </c>
      <c r="E6" s="67">
        <v>0</v>
      </c>
      <c r="F6" s="67">
        <v>2</v>
      </c>
      <c r="G6" s="67">
        <v>1</v>
      </c>
      <c r="H6" s="67">
        <v>0</v>
      </c>
      <c r="I6" s="42"/>
      <c r="J6" s="67">
        <v>0</v>
      </c>
      <c r="K6" s="67">
        <v>4</v>
      </c>
      <c r="L6" s="67">
        <v>1</v>
      </c>
      <c r="M6" s="67">
        <v>3</v>
      </c>
      <c r="N6" s="67">
        <v>0</v>
      </c>
      <c r="O6" s="67">
        <v>1</v>
      </c>
      <c r="P6" s="67">
        <v>1</v>
      </c>
      <c r="Q6" s="67">
        <v>2</v>
      </c>
      <c r="R6" s="67">
        <v>1</v>
      </c>
      <c r="S6" s="67">
        <v>0</v>
      </c>
      <c r="T6" s="67">
        <v>4</v>
      </c>
      <c r="U6" s="67">
        <v>3</v>
      </c>
      <c r="V6" s="67">
        <v>5</v>
      </c>
      <c r="W6" s="67">
        <v>1</v>
      </c>
      <c r="X6" s="67">
        <v>2</v>
      </c>
      <c r="Y6" s="42"/>
      <c r="Z6" s="33">
        <v>0</v>
      </c>
      <c r="AA6" s="67">
        <v>1</v>
      </c>
      <c r="AB6" s="67">
        <v>0</v>
      </c>
      <c r="AC6" s="42"/>
      <c r="AD6" s="33">
        <v>2</v>
      </c>
      <c r="AE6" s="33">
        <v>1</v>
      </c>
      <c r="AF6" s="33">
        <v>4</v>
      </c>
      <c r="AG6" s="33">
        <v>0</v>
      </c>
      <c r="AH6" s="33">
        <v>1</v>
      </c>
      <c r="AI6" s="33">
        <v>2</v>
      </c>
      <c r="AJ6" s="33">
        <v>0</v>
      </c>
      <c r="AK6" s="33">
        <v>4</v>
      </c>
      <c r="AL6" s="33">
        <v>3</v>
      </c>
      <c r="AM6" s="33">
        <v>0</v>
      </c>
      <c r="AN6" s="33">
        <v>0</v>
      </c>
      <c r="AO6" s="33">
        <v>2</v>
      </c>
      <c r="AP6" s="33">
        <v>2</v>
      </c>
      <c r="AQ6" s="33">
        <v>3</v>
      </c>
      <c r="AR6" s="33">
        <v>2</v>
      </c>
      <c r="AS6" s="33">
        <v>0</v>
      </c>
      <c r="AT6" s="33">
        <v>2</v>
      </c>
      <c r="AU6" s="33">
        <v>21</v>
      </c>
      <c r="AV6" s="33">
        <v>1</v>
      </c>
      <c r="AW6" s="33">
        <v>1</v>
      </c>
      <c r="AX6" s="33">
        <v>2</v>
      </c>
      <c r="AY6" s="33">
        <v>0</v>
      </c>
      <c r="AZ6" s="33">
        <v>2</v>
      </c>
      <c r="BA6" s="33">
        <f t="shared" si="0"/>
        <v>89</v>
      </c>
      <c r="BB6" s="40">
        <f t="shared" si="1"/>
        <v>1.0001123721766492</v>
      </c>
    </row>
    <row r="7" spans="1:54" x14ac:dyDescent="0.2">
      <c r="A7" s="27" t="s">
        <v>6</v>
      </c>
      <c r="B7" s="42"/>
      <c r="C7" s="67">
        <v>0</v>
      </c>
      <c r="D7" s="67">
        <v>96</v>
      </c>
      <c r="E7" s="67">
        <v>25</v>
      </c>
      <c r="F7" s="67">
        <v>29</v>
      </c>
      <c r="G7" s="67">
        <v>6</v>
      </c>
      <c r="H7" s="67">
        <v>40</v>
      </c>
      <c r="I7" s="42"/>
      <c r="J7" s="67">
        <v>49</v>
      </c>
      <c r="K7" s="67">
        <v>27</v>
      </c>
      <c r="L7" s="67">
        <v>46</v>
      </c>
      <c r="M7" s="67">
        <v>18</v>
      </c>
      <c r="N7" s="67">
        <v>33</v>
      </c>
      <c r="O7" s="67">
        <v>2</v>
      </c>
      <c r="P7" s="67">
        <v>0</v>
      </c>
      <c r="Q7" s="67">
        <v>109</v>
      </c>
      <c r="R7" s="67">
        <v>0</v>
      </c>
      <c r="S7" s="67">
        <v>24</v>
      </c>
      <c r="T7" s="67">
        <v>110</v>
      </c>
      <c r="U7" s="67">
        <v>136</v>
      </c>
      <c r="V7" s="67">
        <v>85</v>
      </c>
      <c r="W7" s="67">
        <v>110</v>
      </c>
      <c r="X7" s="67">
        <v>36</v>
      </c>
      <c r="Y7" s="42"/>
      <c r="Z7" s="33">
        <v>42</v>
      </c>
      <c r="AA7" s="67">
        <v>63</v>
      </c>
      <c r="AB7" s="67">
        <v>66</v>
      </c>
      <c r="AC7" s="42"/>
      <c r="AD7" s="33">
        <v>59</v>
      </c>
      <c r="AE7" s="33">
        <v>4</v>
      </c>
      <c r="AF7" s="33">
        <v>117</v>
      </c>
      <c r="AG7" s="33">
        <v>4</v>
      </c>
      <c r="AH7" s="33">
        <v>5</v>
      </c>
      <c r="AI7" s="33">
        <v>47</v>
      </c>
      <c r="AJ7" s="33">
        <v>52</v>
      </c>
      <c r="AK7" s="33">
        <v>41</v>
      </c>
      <c r="AL7" s="33">
        <v>45</v>
      </c>
      <c r="AM7" s="33">
        <v>1</v>
      </c>
      <c r="AN7" s="33">
        <v>3</v>
      </c>
      <c r="AO7" s="33">
        <v>148</v>
      </c>
      <c r="AP7" s="33">
        <v>56</v>
      </c>
      <c r="AQ7" s="33">
        <v>30</v>
      </c>
      <c r="AR7" s="33">
        <v>62</v>
      </c>
      <c r="AS7" s="33">
        <v>23</v>
      </c>
      <c r="AT7" s="33">
        <v>66</v>
      </c>
      <c r="AU7" s="33">
        <v>21</v>
      </c>
      <c r="AV7" s="33">
        <v>30</v>
      </c>
      <c r="AW7" s="33">
        <v>38</v>
      </c>
      <c r="AX7" s="33">
        <v>82</v>
      </c>
      <c r="AY7" s="33">
        <v>38</v>
      </c>
      <c r="AZ7" s="33">
        <v>50</v>
      </c>
      <c r="BA7" s="33">
        <f t="shared" si="0"/>
        <v>2174</v>
      </c>
      <c r="BB7" s="40">
        <f t="shared" si="1"/>
        <v>24.429711203506013</v>
      </c>
    </row>
    <row r="8" spans="1:54" x14ac:dyDescent="0.2">
      <c r="A8" s="27" t="s">
        <v>40</v>
      </c>
      <c r="B8" s="42"/>
      <c r="C8" s="67">
        <v>0</v>
      </c>
      <c r="D8" s="67">
        <v>0</v>
      </c>
      <c r="E8" s="67">
        <v>0</v>
      </c>
      <c r="F8" s="67">
        <v>0</v>
      </c>
      <c r="G8" s="67">
        <v>0</v>
      </c>
      <c r="H8" s="67">
        <v>0</v>
      </c>
      <c r="I8" s="42"/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2</v>
      </c>
      <c r="R8" s="67">
        <v>0</v>
      </c>
      <c r="S8" s="67">
        <v>0</v>
      </c>
      <c r="T8" s="67">
        <v>1</v>
      </c>
      <c r="U8" s="67">
        <v>1</v>
      </c>
      <c r="V8" s="67">
        <v>2</v>
      </c>
      <c r="W8" s="67">
        <v>1</v>
      </c>
      <c r="X8" s="67">
        <v>0</v>
      </c>
      <c r="Y8" s="42"/>
      <c r="Z8" s="33">
        <v>0</v>
      </c>
      <c r="AA8" s="67">
        <v>2</v>
      </c>
      <c r="AB8" s="67">
        <v>1</v>
      </c>
      <c r="AC8" s="42"/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1</v>
      </c>
      <c r="AJ8" s="33">
        <v>0</v>
      </c>
      <c r="AK8" s="33">
        <v>0</v>
      </c>
      <c r="AL8" s="33">
        <v>0</v>
      </c>
      <c r="AM8" s="33">
        <v>1</v>
      </c>
      <c r="AN8" s="33">
        <v>0</v>
      </c>
      <c r="AO8" s="33">
        <v>4</v>
      </c>
      <c r="AP8" s="33">
        <v>1</v>
      </c>
      <c r="AQ8" s="33">
        <v>0</v>
      </c>
      <c r="AR8" s="33">
        <v>1</v>
      </c>
      <c r="AS8" s="33">
        <v>1</v>
      </c>
      <c r="AT8" s="33">
        <v>2</v>
      </c>
      <c r="AU8" s="33">
        <v>0</v>
      </c>
      <c r="AV8" s="33">
        <v>0</v>
      </c>
      <c r="AW8" s="33">
        <v>0</v>
      </c>
      <c r="AX8" s="33">
        <v>0</v>
      </c>
      <c r="AY8" s="33">
        <v>1</v>
      </c>
      <c r="AZ8" s="33">
        <v>0</v>
      </c>
      <c r="BA8" s="33">
        <f t="shared" si="0"/>
        <v>22</v>
      </c>
      <c r="BB8" s="40">
        <f t="shared" si="1"/>
        <v>0.2472187886279357</v>
      </c>
    </row>
    <row r="9" spans="1:54" x14ac:dyDescent="0.2">
      <c r="A9" s="27" t="s">
        <v>7</v>
      </c>
      <c r="B9" s="42"/>
      <c r="C9" s="67">
        <v>0</v>
      </c>
      <c r="D9" s="67">
        <v>27</v>
      </c>
      <c r="E9" s="67">
        <v>7</v>
      </c>
      <c r="F9" s="67">
        <v>8</v>
      </c>
      <c r="G9" s="67">
        <v>9</v>
      </c>
      <c r="H9" s="67">
        <v>15</v>
      </c>
      <c r="I9" s="42"/>
      <c r="J9" s="67">
        <v>11</v>
      </c>
      <c r="K9" s="67">
        <v>22</v>
      </c>
      <c r="L9" s="67">
        <v>21</v>
      </c>
      <c r="M9" s="67">
        <v>29</v>
      </c>
      <c r="N9" s="67">
        <v>25</v>
      </c>
      <c r="O9" s="67">
        <v>1</v>
      </c>
      <c r="P9" s="67">
        <v>46</v>
      </c>
      <c r="Q9" s="67">
        <v>29</v>
      </c>
      <c r="R9" s="67">
        <v>1</v>
      </c>
      <c r="S9" s="67">
        <v>25</v>
      </c>
      <c r="T9" s="67">
        <v>30</v>
      </c>
      <c r="U9" s="67">
        <v>29</v>
      </c>
      <c r="V9" s="67">
        <v>14</v>
      </c>
      <c r="W9" s="67">
        <v>25</v>
      </c>
      <c r="X9" s="67">
        <v>10</v>
      </c>
      <c r="Y9" s="42"/>
      <c r="Z9" s="33">
        <v>13</v>
      </c>
      <c r="AA9" s="67">
        <v>33</v>
      </c>
      <c r="AB9" s="67">
        <v>28</v>
      </c>
      <c r="AC9" s="42"/>
      <c r="AD9" s="33">
        <v>20</v>
      </c>
      <c r="AE9" s="33">
        <v>2</v>
      </c>
      <c r="AF9" s="33">
        <v>62</v>
      </c>
      <c r="AG9" s="33">
        <v>0</v>
      </c>
      <c r="AH9" s="33">
        <v>1</v>
      </c>
      <c r="AI9" s="33">
        <v>39</v>
      </c>
      <c r="AJ9" s="33">
        <v>42</v>
      </c>
      <c r="AK9" s="33">
        <v>35</v>
      </c>
      <c r="AL9" s="33">
        <v>34</v>
      </c>
      <c r="AM9" s="33">
        <v>0</v>
      </c>
      <c r="AN9" s="33">
        <v>0</v>
      </c>
      <c r="AO9" s="33">
        <v>83</v>
      </c>
      <c r="AP9" s="33">
        <v>36</v>
      </c>
      <c r="AQ9" s="33">
        <v>23</v>
      </c>
      <c r="AR9" s="33">
        <v>38</v>
      </c>
      <c r="AS9" s="33">
        <v>4</v>
      </c>
      <c r="AT9" s="33">
        <v>32</v>
      </c>
      <c r="AU9" s="33">
        <v>4</v>
      </c>
      <c r="AV9" s="33">
        <v>7</v>
      </c>
      <c r="AW9" s="33">
        <v>10</v>
      </c>
      <c r="AX9" s="33">
        <v>27</v>
      </c>
      <c r="AY9" s="33">
        <v>20</v>
      </c>
      <c r="AZ9" s="33">
        <v>19</v>
      </c>
      <c r="BA9" s="33">
        <f t="shared" si="0"/>
        <v>996</v>
      </c>
      <c r="BB9" s="40">
        <f t="shared" si="1"/>
        <v>11.192268794246544</v>
      </c>
    </row>
    <row r="10" spans="1:54" x14ac:dyDescent="0.2">
      <c r="A10" s="27" t="s">
        <v>9</v>
      </c>
      <c r="B10" s="42"/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7">
        <v>1</v>
      </c>
      <c r="I10" s="42"/>
      <c r="J10" s="67">
        <v>0</v>
      </c>
      <c r="K10" s="67">
        <v>1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1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42"/>
      <c r="Z10" s="33">
        <v>0</v>
      </c>
      <c r="AA10" s="67">
        <v>0</v>
      </c>
      <c r="AB10" s="67">
        <v>0</v>
      </c>
      <c r="AC10" s="42"/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1</v>
      </c>
      <c r="AU10" s="33">
        <v>0</v>
      </c>
      <c r="AV10" s="33">
        <v>0</v>
      </c>
      <c r="AW10" s="33">
        <v>1</v>
      </c>
      <c r="AX10" s="33">
        <v>0</v>
      </c>
      <c r="AY10" s="33">
        <v>0</v>
      </c>
      <c r="AZ10" s="33">
        <v>0</v>
      </c>
      <c r="BA10" s="33">
        <f t="shared" si="0"/>
        <v>5</v>
      </c>
      <c r="BB10" s="40">
        <f t="shared" si="1"/>
        <v>5.6186088324530842E-2</v>
      </c>
    </row>
    <row r="11" spans="1:54" x14ac:dyDescent="0.2">
      <c r="A11" s="27" t="s">
        <v>10</v>
      </c>
      <c r="B11" s="42"/>
      <c r="C11" s="67">
        <v>1</v>
      </c>
      <c r="D11" s="67">
        <v>0</v>
      </c>
      <c r="E11" s="67">
        <v>1</v>
      </c>
      <c r="F11" s="67">
        <v>2</v>
      </c>
      <c r="G11" s="67">
        <v>0</v>
      </c>
      <c r="H11" s="67">
        <v>0</v>
      </c>
      <c r="I11" s="42"/>
      <c r="J11" s="67">
        <v>1</v>
      </c>
      <c r="K11" s="67">
        <v>0</v>
      </c>
      <c r="L11" s="67">
        <v>0</v>
      </c>
      <c r="M11" s="67">
        <v>1</v>
      </c>
      <c r="N11" s="67">
        <v>1</v>
      </c>
      <c r="O11" s="67">
        <v>1</v>
      </c>
      <c r="P11" s="67">
        <v>2</v>
      </c>
      <c r="Q11" s="67">
        <v>0</v>
      </c>
      <c r="R11" s="67">
        <v>0</v>
      </c>
      <c r="S11" s="67">
        <v>1</v>
      </c>
      <c r="T11" s="67">
        <v>1</v>
      </c>
      <c r="U11" s="67">
        <v>1</v>
      </c>
      <c r="V11" s="67">
        <v>0</v>
      </c>
      <c r="W11" s="67">
        <v>1</v>
      </c>
      <c r="X11" s="67">
        <v>0</v>
      </c>
      <c r="Y11" s="42"/>
      <c r="Z11" s="33">
        <v>3</v>
      </c>
      <c r="AA11" s="67">
        <v>1</v>
      </c>
      <c r="AB11" s="67">
        <v>1</v>
      </c>
      <c r="AC11" s="42"/>
      <c r="AD11" s="33">
        <v>1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2</v>
      </c>
      <c r="AK11" s="33">
        <v>1</v>
      </c>
      <c r="AL11" s="33">
        <v>1</v>
      </c>
      <c r="AM11" s="33">
        <v>1</v>
      </c>
      <c r="AN11" s="33">
        <v>0</v>
      </c>
      <c r="AO11" s="33">
        <v>5</v>
      </c>
      <c r="AP11" s="33">
        <v>0</v>
      </c>
      <c r="AQ11" s="33">
        <v>1</v>
      </c>
      <c r="AR11" s="33">
        <v>4</v>
      </c>
      <c r="AS11" s="33">
        <v>2</v>
      </c>
      <c r="AT11" s="33">
        <v>0</v>
      </c>
      <c r="AU11" s="33">
        <v>1</v>
      </c>
      <c r="AV11" s="33">
        <v>0</v>
      </c>
      <c r="AW11" s="33">
        <v>1</v>
      </c>
      <c r="AX11" s="33">
        <v>0</v>
      </c>
      <c r="AY11" s="33">
        <v>0</v>
      </c>
      <c r="AZ11" s="33">
        <v>1</v>
      </c>
      <c r="BA11" s="33">
        <f t="shared" si="0"/>
        <v>40</v>
      </c>
      <c r="BB11" s="40">
        <f t="shared" si="1"/>
        <v>0.44948870659624673</v>
      </c>
    </row>
    <row r="12" spans="1:54" x14ac:dyDescent="0.2">
      <c r="A12" s="27" t="s">
        <v>11</v>
      </c>
      <c r="B12" s="42"/>
      <c r="C12" s="67">
        <v>1</v>
      </c>
      <c r="D12" s="67">
        <v>0</v>
      </c>
      <c r="E12" s="67">
        <v>0</v>
      </c>
      <c r="F12" s="67">
        <v>0</v>
      </c>
      <c r="G12" s="67">
        <v>0</v>
      </c>
      <c r="H12" s="67">
        <v>1</v>
      </c>
      <c r="I12" s="42"/>
      <c r="J12" s="67">
        <v>0</v>
      </c>
      <c r="K12" s="67">
        <v>0</v>
      </c>
      <c r="L12" s="67">
        <v>1</v>
      </c>
      <c r="M12" s="67">
        <v>0</v>
      </c>
      <c r="N12" s="67">
        <v>0</v>
      </c>
      <c r="O12" s="67">
        <v>0</v>
      </c>
      <c r="P12" s="67">
        <v>0</v>
      </c>
      <c r="Q12" s="67">
        <v>1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1</v>
      </c>
      <c r="X12" s="67">
        <v>0</v>
      </c>
      <c r="Y12" s="42"/>
      <c r="Z12" s="33">
        <v>0</v>
      </c>
      <c r="AA12" s="67">
        <v>0</v>
      </c>
      <c r="AB12" s="67">
        <v>0</v>
      </c>
      <c r="AC12" s="42"/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  <c r="AR12" s="33">
        <v>0</v>
      </c>
      <c r="AS12" s="33">
        <v>0</v>
      </c>
      <c r="AT12" s="33">
        <v>0</v>
      </c>
      <c r="AU12" s="33">
        <v>0</v>
      </c>
      <c r="AV12" s="33">
        <v>0</v>
      </c>
      <c r="AW12" s="33">
        <v>0</v>
      </c>
      <c r="AX12" s="33">
        <v>0</v>
      </c>
      <c r="AY12" s="33">
        <v>0</v>
      </c>
      <c r="AZ12" s="33">
        <v>0</v>
      </c>
      <c r="BA12" s="33">
        <f t="shared" si="0"/>
        <v>5</v>
      </c>
      <c r="BB12" s="40">
        <f t="shared" si="1"/>
        <v>5.6186088324530842E-2</v>
      </c>
    </row>
    <row r="13" spans="1:54" x14ac:dyDescent="0.2">
      <c r="A13" s="27" t="s">
        <v>503</v>
      </c>
      <c r="B13" s="42"/>
      <c r="C13" s="67">
        <v>0</v>
      </c>
      <c r="D13" s="67">
        <v>0</v>
      </c>
      <c r="E13" s="67">
        <v>0</v>
      </c>
      <c r="F13" s="67">
        <v>0</v>
      </c>
      <c r="G13" s="67">
        <v>0</v>
      </c>
      <c r="H13" s="67">
        <v>0</v>
      </c>
      <c r="I13" s="42"/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67">
        <v>2</v>
      </c>
      <c r="V13" s="67">
        <v>0</v>
      </c>
      <c r="W13" s="67">
        <v>0</v>
      </c>
      <c r="X13" s="67">
        <v>0</v>
      </c>
      <c r="Y13" s="42"/>
      <c r="Z13" s="33">
        <v>0</v>
      </c>
      <c r="AA13" s="67">
        <v>0</v>
      </c>
      <c r="AB13" s="67">
        <v>0</v>
      </c>
      <c r="AC13" s="42"/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1</v>
      </c>
      <c r="AR13" s="33">
        <v>0</v>
      </c>
      <c r="AS13" s="33">
        <v>0</v>
      </c>
      <c r="AT13" s="33">
        <v>0</v>
      </c>
      <c r="AU13" s="33">
        <v>1</v>
      </c>
      <c r="AV13" s="33">
        <v>0</v>
      </c>
      <c r="AW13" s="33">
        <v>0</v>
      </c>
      <c r="AX13" s="33">
        <v>0</v>
      </c>
      <c r="AY13" s="33">
        <v>0</v>
      </c>
      <c r="AZ13" s="33">
        <v>0</v>
      </c>
      <c r="BA13" s="33">
        <f t="shared" si="0"/>
        <v>4</v>
      </c>
      <c r="BB13" s="40">
        <f t="shared" si="1"/>
        <v>4.4948870659624676E-2</v>
      </c>
    </row>
    <row r="14" spans="1:54" x14ac:dyDescent="0.2">
      <c r="A14" s="27" t="s">
        <v>469</v>
      </c>
      <c r="B14" s="42"/>
      <c r="C14" s="67">
        <v>0</v>
      </c>
      <c r="D14" s="67">
        <v>0</v>
      </c>
      <c r="E14" s="67">
        <v>0</v>
      </c>
      <c r="F14" s="67">
        <v>0</v>
      </c>
      <c r="G14" s="67">
        <v>0</v>
      </c>
      <c r="H14" s="67">
        <v>0</v>
      </c>
      <c r="I14" s="42"/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42"/>
      <c r="Z14" s="33">
        <v>0</v>
      </c>
      <c r="AA14" s="67">
        <v>0</v>
      </c>
      <c r="AB14" s="67">
        <v>0</v>
      </c>
      <c r="AC14" s="42"/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  <c r="AR14" s="33">
        <v>0</v>
      </c>
      <c r="AS14" s="33">
        <v>0</v>
      </c>
      <c r="AT14" s="33">
        <v>0</v>
      </c>
      <c r="AU14" s="33">
        <v>0</v>
      </c>
      <c r="AV14" s="33">
        <v>0</v>
      </c>
      <c r="AW14" s="33">
        <v>0</v>
      </c>
      <c r="AX14" s="33">
        <v>0</v>
      </c>
      <c r="AY14" s="33">
        <v>0</v>
      </c>
      <c r="AZ14" s="33">
        <v>0</v>
      </c>
      <c r="BA14" s="33">
        <f t="shared" si="0"/>
        <v>0</v>
      </c>
      <c r="BB14" s="40">
        <f t="shared" si="1"/>
        <v>0</v>
      </c>
    </row>
    <row r="15" spans="1:54" x14ac:dyDescent="0.2">
      <c r="A15" s="27" t="s">
        <v>13</v>
      </c>
      <c r="B15" s="42"/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1</v>
      </c>
      <c r="I15" s="42"/>
      <c r="J15" s="67">
        <v>0</v>
      </c>
      <c r="K15" s="67">
        <v>1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42"/>
      <c r="Z15" s="33">
        <v>0</v>
      </c>
      <c r="AA15" s="67">
        <v>0</v>
      </c>
      <c r="AB15" s="67">
        <v>0</v>
      </c>
      <c r="AC15" s="42"/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1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33">
        <v>0</v>
      </c>
      <c r="AT15" s="33">
        <v>0</v>
      </c>
      <c r="AU15" s="33">
        <v>0</v>
      </c>
      <c r="AV15" s="33">
        <v>0</v>
      </c>
      <c r="AW15" s="33">
        <v>0</v>
      </c>
      <c r="AX15" s="33">
        <v>0</v>
      </c>
      <c r="AY15" s="33">
        <v>0</v>
      </c>
      <c r="AZ15" s="33">
        <v>0</v>
      </c>
      <c r="BA15" s="33">
        <f t="shared" si="0"/>
        <v>3</v>
      </c>
      <c r="BB15" s="40">
        <f t="shared" si="1"/>
        <v>3.3711652994718511E-2</v>
      </c>
    </row>
    <row r="16" spans="1:54" x14ac:dyDescent="0.2">
      <c r="A16" s="27" t="s">
        <v>14</v>
      </c>
      <c r="B16" s="42"/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42"/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42"/>
      <c r="Z16" s="33">
        <v>0</v>
      </c>
      <c r="AA16" s="67">
        <v>0</v>
      </c>
      <c r="AB16" s="67">
        <v>0</v>
      </c>
      <c r="AC16" s="42"/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  <c r="AR16" s="33">
        <v>0</v>
      </c>
      <c r="AS16" s="33">
        <v>0</v>
      </c>
      <c r="AT16" s="33">
        <v>0</v>
      </c>
      <c r="AU16" s="33">
        <v>0</v>
      </c>
      <c r="AV16" s="33">
        <v>0</v>
      </c>
      <c r="AW16" s="33">
        <v>0</v>
      </c>
      <c r="AX16" s="33">
        <v>0</v>
      </c>
      <c r="AY16" s="33">
        <v>0</v>
      </c>
      <c r="AZ16" s="33">
        <v>0</v>
      </c>
      <c r="BA16" s="33">
        <f t="shared" si="0"/>
        <v>0</v>
      </c>
      <c r="BB16" s="40">
        <f t="shared" si="1"/>
        <v>0</v>
      </c>
    </row>
    <row r="17" spans="1:54" x14ac:dyDescent="0.2">
      <c r="A17" s="27" t="s">
        <v>427</v>
      </c>
      <c r="B17" s="42"/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42"/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42"/>
      <c r="Z17" s="33">
        <v>0</v>
      </c>
      <c r="AA17" s="67">
        <v>0</v>
      </c>
      <c r="AB17" s="67">
        <v>0</v>
      </c>
      <c r="AC17" s="42"/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3">
        <v>0</v>
      </c>
      <c r="AV17" s="33">
        <v>0</v>
      </c>
      <c r="AW17" s="33">
        <v>0</v>
      </c>
      <c r="AX17" s="33">
        <v>0</v>
      </c>
      <c r="AY17" s="33">
        <v>0</v>
      </c>
      <c r="AZ17" s="33">
        <v>0</v>
      </c>
      <c r="BA17" s="33">
        <f t="shared" si="0"/>
        <v>0</v>
      </c>
      <c r="BB17" s="40">
        <f t="shared" si="1"/>
        <v>0</v>
      </c>
    </row>
    <row r="18" spans="1:54" x14ac:dyDescent="0.2">
      <c r="A18" s="27" t="s">
        <v>15</v>
      </c>
      <c r="B18" s="42"/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42"/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42"/>
      <c r="Z18" s="33">
        <v>0</v>
      </c>
      <c r="AA18" s="67">
        <v>0</v>
      </c>
      <c r="AB18" s="67">
        <v>0</v>
      </c>
      <c r="AC18" s="42"/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0</v>
      </c>
      <c r="AY18" s="33">
        <v>0</v>
      </c>
      <c r="AZ18" s="33">
        <v>0</v>
      </c>
      <c r="BA18" s="33">
        <f t="shared" si="0"/>
        <v>0</v>
      </c>
      <c r="BB18" s="40">
        <f t="shared" si="1"/>
        <v>0</v>
      </c>
    </row>
    <row r="19" spans="1:54" x14ac:dyDescent="0.2">
      <c r="A19" s="27" t="s">
        <v>16</v>
      </c>
      <c r="B19" s="42"/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42"/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1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1</v>
      </c>
      <c r="X19" s="67">
        <v>0</v>
      </c>
      <c r="Y19" s="42"/>
      <c r="Z19" s="33">
        <v>0</v>
      </c>
      <c r="AA19" s="67">
        <v>0</v>
      </c>
      <c r="AB19" s="67">
        <v>0</v>
      </c>
      <c r="AC19" s="42"/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2</v>
      </c>
      <c r="AQ19" s="33">
        <v>0</v>
      </c>
      <c r="AR19" s="33">
        <v>0</v>
      </c>
      <c r="AS19" s="33">
        <v>0</v>
      </c>
      <c r="AT19" s="33">
        <v>0</v>
      </c>
      <c r="AU19" s="33">
        <v>1</v>
      </c>
      <c r="AV19" s="33">
        <v>0</v>
      </c>
      <c r="AW19" s="33">
        <v>0</v>
      </c>
      <c r="AX19" s="33">
        <v>0</v>
      </c>
      <c r="AY19" s="33">
        <v>0</v>
      </c>
      <c r="AZ19" s="33">
        <v>0</v>
      </c>
      <c r="BA19" s="33">
        <f t="shared" si="0"/>
        <v>5</v>
      </c>
      <c r="BB19" s="40">
        <f t="shared" si="1"/>
        <v>5.6186088324530842E-2</v>
      </c>
    </row>
    <row r="20" spans="1:54" x14ac:dyDescent="0.2">
      <c r="A20" s="27" t="s">
        <v>17</v>
      </c>
      <c r="B20" s="42"/>
      <c r="C20" s="67">
        <v>0</v>
      </c>
      <c r="D20" s="67">
        <v>2</v>
      </c>
      <c r="E20" s="67">
        <v>1</v>
      </c>
      <c r="F20" s="67">
        <v>1</v>
      </c>
      <c r="G20" s="67">
        <v>2</v>
      </c>
      <c r="H20" s="67">
        <v>4</v>
      </c>
      <c r="I20" s="42"/>
      <c r="J20" s="67">
        <v>8</v>
      </c>
      <c r="K20" s="67">
        <v>1</v>
      </c>
      <c r="L20" s="67">
        <v>0</v>
      </c>
      <c r="M20" s="67">
        <v>6</v>
      </c>
      <c r="N20" s="67">
        <v>4</v>
      </c>
      <c r="O20" s="67">
        <v>0</v>
      </c>
      <c r="P20" s="67">
        <v>0</v>
      </c>
      <c r="Q20" s="67">
        <v>4</v>
      </c>
      <c r="R20" s="67">
        <v>0</v>
      </c>
      <c r="S20" s="67">
        <v>1</v>
      </c>
      <c r="T20" s="67">
        <v>2</v>
      </c>
      <c r="U20" s="67">
        <v>6</v>
      </c>
      <c r="V20" s="67">
        <v>0</v>
      </c>
      <c r="W20" s="67">
        <v>5</v>
      </c>
      <c r="X20" s="67">
        <v>0</v>
      </c>
      <c r="Y20" s="42"/>
      <c r="Z20" s="33">
        <v>1</v>
      </c>
      <c r="AA20" s="67">
        <v>4</v>
      </c>
      <c r="AB20" s="67">
        <v>1</v>
      </c>
      <c r="AC20" s="42"/>
      <c r="AD20" s="33">
        <v>1</v>
      </c>
      <c r="AE20" s="33">
        <v>0</v>
      </c>
      <c r="AF20" s="33">
        <v>2</v>
      </c>
      <c r="AG20" s="33">
        <v>0</v>
      </c>
      <c r="AH20" s="33">
        <v>0</v>
      </c>
      <c r="AI20" s="33">
        <v>2</v>
      </c>
      <c r="AJ20" s="33">
        <v>0</v>
      </c>
      <c r="AK20" s="33">
        <v>1</v>
      </c>
      <c r="AL20" s="33">
        <v>1</v>
      </c>
      <c r="AM20" s="33">
        <v>0</v>
      </c>
      <c r="AN20" s="33">
        <v>0</v>
      </c>
      <c r="AO20" s="33">
        <v>0</v>
      </c>
      <c r="AP20" s="33">
        <v>2</v>
      </c>
      <c r="AQ20" s="33">
        <v>0</v>
      </c>
      <c r="AR20" s="33">
        <v>1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2</v>
      </c>
      <c r="AY20" s="33">
        <v>0</v>
      </c>
      <c r="AZ20" s="33">
        <v>0</v>
      </c>
      <c r="BA20" s="33">
        <f t="shared" si="0"/>
        <v>65</v>
      </c>
      <c r="BB20" s="40">
        <f t="shared" si="1"/>
        <v>0.73041914821890097</v>
      </c>
    </row>
    <row r="21" spans="1:54" x14ac:dyDescent="0.2">
      <c r="A21" s="27" t="s">
        <v>18</v>
      </c>
      <c r="B21" s="42" t="s">
        <v>789</v>
      </c>
      <c r="C21" s="67">
        <v>0</v>
      </c>
      <c r="D21" s="67">
        <v>0</v>
      </c>
      <c r="E21" s="67">
        <v>2</v>
      </c>
      <c r="F21" s="67">
        <v>2</v>
      </c>
      <c r="G21" s="67">
        <v>0</v>
      </c>
      <c r="H21" s="67">
        <v>0</v>
      </c>
      <c r="I21" s="42" t="s">
        <v>667</v>
      </c>
      <c r="J21" s="67">
        <v>3</v>
      </c>
      <c r="K21" s="67">
        <v>7</v>
      </c>
      <c r="L21" s="67">
        <v>2</v>
      </c>
      <c r="M21" s="67">
        <v>6</v>
      </c>
      <c r="N21" s="67">
        <v>3</v>
      </c>
      <c r="O21" s="67">
        <v>3</v>
      </c>
      <c r="P21" s="67">
        <v>3</v>
      </c>
      <c r="Q21" s="67">
        <v>1</v>
      </c>
      <c r="R21" s="67">
        <v>1</v>
      </c>
      <c r="S21" s="67">
        <v>5</v>
      </c>
      <c r="T21" s="67">
        <v>2</v>
      </c>
      <c r="U21" s="67">
        <v>3</v>
      </c>
      <c r="V21" s="67">
        <v>1</v>
      </c>
      <c r="W21" s="67">
        <v>2</v>
      </c>
      <c r="X21" s="67">
        <v>4</v>
      </c>
      <c r="Y21" s="42" t="s">
        <v>841</v>
      </c>
      <c r="Z21" s="33">
        <v>1</v>
      </c>
      <c r="AA21" s="67">
        <v>2</v>
      </c>
      <c r="AB21" s="67">
        <v>3</v>
      </c>
      <c r="AC21" s="42" t="s">
        <v>848</v>
      </c>
      <c r="AD21" s="33">
        <v>3</v>
      </c>
      <c r="AE21" s="33">
        <v>1</v>
      </c>
      <c r="AF21" s="33">
        <v>5</v>
      </c>
      <c r="AG21" s="33">
        <v>1</v>
      </c>
      <c r="AH21" s="33">
        <v>4</v>
      </c>
      <c r="AI21" s="33">
        <v>8</v>
      </c>
      <c r="AJ21" s="33">
        <v>3</v>
      </c>
      <c r="AK21" s="33">
        <v>4</v>
      </c>
      <c r="AL21" s="33">
        <v>0</v>
      </c>
      <c r="AM21" s="33">
        <v>0</v>
      </c>
      <c r="AN21" s="33">
        <v>0</v>
      </c>
      <c r="AO21" s="33">
        <v>5</v>
      </c>
      <c r="AP21" s="33">
        <v>2</v>
      </c>
      <c r="AQ21" s="33">
        <v>7</v>
      </c>
      <c r="AR21" s="33">
        <v>3</v>
      </c>
      <c r="AS21" s="33">
        <v>0</v>
      </c>
      <c r="AT21" s="33">
        <v>2</v>
      </c>
      <c r="AU21" s="33">
        <v>1</v>
      </c>
      <c r="AV21" s="33">
        <v>3</v>
      </c>
      <c r="AW21" s="33">
        <v>0</v>
      </c>
      <c r="AX21" s="33">
        <v>2</v>
      </c>
      <c r="AY21" s="33">
        <v>2</v>
      </c>
      <c r="AZ21" s="33">
        <v>1</v>
      </c>
      <c r="BA21" s="33">
        <f t="shared" si="0"/>
        <v>113</v>
      </c>
      <c r="BB21" s="40">
        <f t="shared" si="1"/>
        <v>1.269805596134397</v>
      </c>
    </row>
    <row r="22" spans="1:54" x14ac:dyDescent="0.2">
      <c r="A22" s="27" t="s">
        <v>19</v>
      </c>
      <c r="B22" s="42"/>
      <c r="C22" s="67">
        <v>9</v>
      </c>
      <c r="D22" s="67">
        <v>28</v>
      </c>
      <c r="E22" s="67">
        <v>9</v>
      </c>
      <c r="F22" s="67">
        <v>24</v>
      </c>
      <c r="G22" s="67">
        <v>29</v>
      </c>
      <c r="H22" s="67">
        <v>17</v>
      </c>
      <c r="I22" s="42"/>
      <c r="J22" s="67">
        <v>37</v>
      </c>
      <c r="K22" s="67">
        <v>38</v>
      </c>
      <c r="L22" s="67">
        <v>20</v>
      </c>
      <c r="M22" s="67">
        <v>28</v>
      </c>
      <c r="N22" s="67">
        <v>40</v>
      </c>
      <c r="O22" s="67">
        <v>28</v>
      </c>
      <c r="P22" s="67">
        <v>48</v>
      </c>
      <c r="Q22" s="67">
        <v>24</v>
      </c>
      <c r="R22" s="67">
        <v>5</v>
      </c>
      <c r="S22" s="67">
        <v>31</v>
      </c>
      <c r="T22" s="67">
        <v>21</v>
      </c>
      <c r="U22" s="67">
        <v>22</v>
      </c>
      <c r="V22" s="67">
        <v>19</v>
      </c>
      <c r="W22" s="67">
        <v>27</v>
      </c>
      <c r="X22" s="67">
        <v>24</v>
      </c>
      <c r="Y22" s="42"/>
      <c r="Z22" s="33">
        <v>5</v>
      </c>
      <c r="AA22" s="67">
        <v>24</v>
      </c>
      <c r="AB22" s="67">
        <v>29</v>
      </c>
      <c r="AC22" s="42"/>
      <c r="AD22" s="33">
        <v>20</v>
      </c>
      <c r="AE22" s="33">
        <v>26</v>
      </c>
      <c r="AF22" s="33">
        <v>44</v>
      </c>
      <c r="AG22" s="33">
        <v>9</v>
      </c>
      <c r="AH22" s="33">
        <v>16</v>
      </c>
      <c r="AI22" s="33">
        <v>32</v>
      </c>
      <c r="AJ22" s="33">
        <v>42</v>
      </c>
      <c r="AK22" s="33">
        <v>44</v>
      </c>
      <c r="AL22" s="33">
        <v>40</v>
      </c>
      <c r="AM22" s="33">
        <v>5</v>
      </c>
      <c r="AN22" s="33">
        <v>3</v>
      </c>
      <c r="AO22" s="33">
        <v>59</v>
      </c>
      <c r="AP22" s="33">
        <v>16</v>
      </c>
      <c r="AQ22" s="33">
        <v>29</v>
      </c>
      <c r="AR22" s="33">
        <v>40</v>
      </c>
      <c r="AS22" s="33">
        <v>16</v>
      </c>
      <c r="AT22" s="33">
        <v>16</v>
      </c>
      <c r="AU22" s="33">
        <v>12</v>
      </c>
      <c r="AV22" s="33">
        <v>15</v>
      </c>
      <c r="AW22" s="33">
        <v>15</v>
      </c>
      <c r="AX22" s="33">
        <v>27</v>
      </c>
      <c r="AY22" s="33">
        <v>12</v>
      </c>
      <c r="AZ22" s="33">
        <v>35</v>
      </c>
      <c r="BA22" s="33">
        <f t="shared" si="0"/>
        <v>1159</v>
      </c>
      <c r="BB22" s="40">
        <f t="shared" si="1"/>
        <v>13.02393527362625</v>
      </c>
    </row>
    <row r="23" spans="1:54" x14ac:dyDescent="0.2">
      <c r="A23" s="27" t="s">
        <v>20</v>
      </c>
      <c r="B23" s="42"/>
      <c r="C23" s="67">
        <v>1</v>
      </c>
      <c r="D23" s="67">
        <v>7</v>
      </c>
      <c r="E23" s="67">
        <v>1</v>
      </c>
      <c r="F23" s="67">
        <v>4</v>
      </c>
      <c r="G23" s="67">
        <v>13</v>
      </c>
      <c r="H23" s="67">
        <v>11</v>
      </c>
      <c r="I23" s="42"/>
      <c r="J23" s="67">
        <v>3</v>
      </c>
      <c r="K23" s="67">
        <v>6</v>
      </c>
      <c r="L23" s="67">
        <v>2</v>
      </c>
      <c r="M23" s="67">
        <v>0</v>
      </c>
      <c r="N23" s="67">
        <v>2</v>
      </c>
      <c r="O23" s="67">
        <v>0</v>
      </c>
      <c r="P23" s="67">
        <v>4</v>
      </c>
      <c r="Q23" s="67">
        <v>7</v>
      </c>
      <c r="R23" s="67">
        <v>0</v>
      </c>
      <c r="S23" s="67">
        <v>1</v>
      </c>
      <c r="T23" s="67">
        <v>3</v>
      </c>
      <c r="U23" s="67">
        <v>4</v>
      </c>
      <c r="V23" s="67">
        <v>0</v>
      </c>
      <c r="W23" s="67">
        <v>5</v>
      </c>
      <c r="X23" s="67">
        <v>5</v>
      </c>
      <c r="Y23" s="42"/>
      <c r="Z23" s="33">
        <v>0</v>
      </c>
      <c r="AA23" s="67">
        <v>0</v>
      </c>
      <c r="AB23" s="67">
        <v>1</v>
      </c>
      <c r="AC23" s="42"/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1</v>
      </c>
      <c r="AJ23" s="33">
        <v>1</v>
      </c>
      <c r="AK23" s="33">
        <v>0</v>
      </c>
      <c r="AL23" s="33">
        <v>0</v>
      </c>
      <c r="AM23" s="33">
        <v>0</v>
      </c>
      <c r="AN23" s="33">
        <v>0</v>
      </c>
      <c r="AO23" s="33">
        <v>20</v>
      </c>
      <c r="AP23" s="33">
        <v>0</v>
      </c>
      <c r="AQ23" s="33">
        <v>2</v>
      </c>
      <c r="AR23" s="33">
        <v>1</v>
      </c>
      <c r="AS23" s="33">
        <v>1</v>
      </c>
      <c r="AT23" s="33">
        <v>0</v>
      </c>
      <c r="AU23" s="33">
        <v>0</v>
      </c>
      <c r="AV23" s="33">
        <v>0</v>
      </c>
      <c r="AW23" s="33">
        <v>0</v>
      </c>
      <c r="AX23" s="33">
        <v>0</v>
      </c>
      <c r="AY23" s="33">
        <v>1</v>
      </c>
      <c r="AZ23" s="33">
        <v>0</v>
      </c>
      <c r="BA23" s="33">
        <f t="shared" si="0"/>
        <v>107</v>
      </c>
      <c r="BB23" s="40">
        <f t="shared" si="1"/>
        <v>1.2023822901449601</v>
      </c>
    </row>
    <row r="24" spans="1:54" x14ac:dyDescent="0.2">
      <c r="A24" s="27" t="s">
        <v>645</v>
      </c>
      <c r="B24" s="42"/>
      <c r="C24" s="67">
        <v>0</v>
      </c>
      <c r="D24" s="67">
        <v>14</v>
      </c>
      <c r="E24" s="67">
        <v>4</v>
      </c>
      <c r="F24" s="67">
        <v>5</v>
      </c>
      <c r="G24" s="67">
        <v>16</v>
      </c>
      <c r="H24" s="67">
        <v>14</v>
      </c>
      <c r="I24" s="42"/>
      <c r="J24" s="67">
        <v>24</v>
      </c>
      <c r="K24" s="67">
        <v>7</v>
      </c>
      <c r="L24" s="67">
        <v>8</v>
      </c>
      <c r="M24" s="67">
        <v>13</v>
      </c>
      <c r="N24" s="67">
        <v>7</v>
      </c>
      <c r="O24" s="67">
        <v>6</v>
      </c>
      <c r="P24" s="67">
        <v>18</v>
      </c>
      <c r="Q24" s="67">
        <v>9</v>
      </c>
      <c r="R24" s="67">
        <v>0</v>
      </c>
      <c r="S24" s="67">
        <v>22</v>
      </c>
      <c r="T24" s="67">
        <v>16</v>
      </c>
      <c r="U24" s="67">
        <v>58</v>
      </c>
      <c r="V24" s="67">
        <v>16</v>
      </c>
      <c r="W24" s="67">
        <v>36</v>
      </c>
      <c r="X24" s="67">
        <v>13</v>
      </c>
      <c r="Y24" s="42"/>
      <c r="Z24" s="33">
        <v>19</v>
      </c>
      <c r="AA24" s="67">
        <v>29</v>
      </c>
      <c r="AB24" s="67">
        <v>25</v>
      </c>
      <c r="AC24" s="42"/>
      <c r="AD24" s="33">
        <v>12</v>
      </c>
      <c r="AE24" s="33">
        <v>4</v>
      </c>
      <c r="AF24" s="33">
        <v>43</v>
      </c>
      <c r="AG24" s="33">
        <v>1</v>
      </c>
      <c r="AH24" s="33">
        <v>3</v>
      </c>
      <c r="AI24" s="33">
        <v>23</v>
      </c>
      <c r="AJ24" s="33">
        <v>20</v>
      </c>
      <c r="AK24" s="33">
        <v>17</v>
      </c>
      <c r="AL24" s="33">
        <v>20</v>
      </c>
      <c r="AM24" s="33">
        <v>0</v>
      </c>
      <c r="AN24" s="33">
        <v>0</v>
      </c>
      <c r="AO24" s="33">
        <v>144</v>
      </c>
      <c r="AP24" s="33">
        <v>42</v>
      </c>
      <c r="AQ24" s="33">
        <v>18</v>
      </c>
      <c r="AR24" s="33">
        <v>33</v>
      </c>
      <c r="AS24" s="33">
        <v>16</v>
      </c>
      <c r="AT24" s="33">
        <v>19</v>
      </c>
      <c r="AU24" s="33">
        <v>3</v>
      </c>
      <c r="AV24" s="33">
        <v>22</v>
      </c>
      <c r="AW24" s="33">
        <v>9</v>
      </c>
      <c r="AX24" s="33">
        <v>27</v>
      </c>
      <c r="AY24" s="33">
        <v>12</v>
      </c>
      <c r="AZ24" s="33">
        <v>22</v>
      </c>
      <c r="BA24" s="33">
        <f t="shared" si="0"/>
        <v>889</v>
      </c>
      <c r="BB24" s="40">
        <f t="shared" si="1"/>
        <v>9.9898865041015839</v>
      </c>
    </row>
    <row r="25" spans="1:54" x14ac:dyDescent="0.2">
      <c r="A25" s="27" t="s">
        <v>200</v>
      </c>
      <c r="B25" s="42"/>
      <c r="C25" s="67">
        <v>0</v>
      </c>
      <c r="D25" s="67">
        <v>3</v>
      </c>
      <c r="E25" s="67">
        <v>4</v>
      </c>
      <c r="F25" s="67">
        <v>0</v>
      </c>
      <c r="G25" s="67">
        <v>2</v>
      </c>
      <c r="H25" s="67">
        <v>0</v>
      </c>
      <c r="I25" s="42"/>
      <c r="J25" s="67">
        <v>7</v>
      </c>
      <c r="K25" s="67">
        <v>6</v>
      </c>
      <c r="L25" s="67">
        <v>8</v>
      </c>
      <c r="M25" s="67">
        <v>12</v>
      </c>
      <c r="N25" s="67">
        <v>5</v>
      </c>
      <c r="O25" s="67">
        <v>0</v>
      </c>
      <c r="P25" s="67">
        <v>4</v>
      </c>
      <c r="Q25" s="67">
        <v>5</v>
      </c>
      <c r="R25" s="67">
        <v>0</v>
      </c>
      <c r="S25" s="67">
        <v>3</v>
      </c>
      <c r="T25" s="67">
        <v>9</v>
      </c>
      <c r="U25" s="67">
        <v>12</v>
      </c>
      <c r="V25" s="67">
        <v>12</v>
      </c>
      <c r="W25" s="67">
        <v>22</v>
      </c>
      <c r="X25" s="67">
        <v>2</v>
      </c>
      <c r="Y25" s="42"/>
      <c r="Z25" s="33">
        <v>6</v>
      </c>
      <c r="AA25" s="67">
        <v>12</v>
      </c>
      <c r="AB25" s="67">
        <v>7</v>
      </c>
      <c r="AC25" s="42"/>
      <c r="AD25" s="33">
        <v>11</v>
      </c>
      <c r="AE25" s="33">
        <v>1</v>
      </c>
      <c r="AF25" s="33">
        <v>7</v>
      </c>
      <c r="AG25" s="33">
        <v>0</v>
      </c>
      <c r="AH25" s="33">
        <v>1</v>
      </c>
      <c r="AI25" s="33">
        <v>5</v>
      </c>
      <c r="AJ25" s="33">
        <v>9</v>
      </c>
      <c r="AK25" s="33">
        <v>11</v>
      </c>
      <c r="AL25" s="33">
        <v>4</v>
      </c>
      <c r="AM25" s="33">
        <v>1</v>
      </c>
      <c r="AN25" s="33">
        <v>3</v>
      </c>
      <c r="AO25" s="33">
        <v>53</v>
      </c>
      <c r="AP25" s="33">
        <v>31</v>
      </c>
      <c r="AQ25" s="33">
        <v>10</v>
      </c>
      <c r="AR25" s="33">
        <v>4</v>
      </c>
      <c r="AS25" s="33">
        <v>4</v>
      </c>
      <c r="AT25" s="33">
        <v>10</v>
      </c>
      <c r="AU25" s="33">
        <v>4</v>
      </c>
      <c r="AV25" s="33">
        <v>4</v>
      </c>
      <c r="AW25" s="33">
        <v>1</v>
      </c>
      <c r="AX25" s="33">
        <v>2</v>
      </c>
      <c r="AY25" s="33">
        <v>2</v>
      </c>
      <c r="AZ25" s="33">
        <v>6</v>
      </c>
      <c r="BA25" s="33">
        <f t="shared" si="0"/>
        <v>325</v>
      </c>
      <c r="BB25" s="40">
        <f t="shared" si="1"/>
        <v>3.652095741094505</v>
      </c>
    </row>
    <row r="26" spans="1:54" x14ac:dyDescent="0.2">
      <c r="A26" s="27" t="s">
        <v>435</v>
      </c>
      <c r="B26" s="42"/>
      <c r="C26" s="67">
        <v>0</v>
      </c>
      <c r="D26" s="67">
        <v>7</v>
      </c>
      <c r="E26" s="67">
        <v>3</v>
      </c>
      <c r="F26" s="67">
        <v>1</v>
      </c>
      <c r="G26" s="67">
        <v>4</v>
      </c>
      <c r="H26" s="67">
        <v>7</v>
      </c>
      <c r="I26" s="42"/>
      <c r="J26" s="67">
        <v>5</v>
      </c>
      <c r="K26" s="67">
        <v>0</v>
      </c>
      <c r="L26" s="67">
        <v>3</v>
      </c>
      <c r="M26" s="67">
        <v>3</v>
      </c>
      <c r="N26" s="67">
        <v>2</v>
      </c>
      <c r="O26" s="67">
        <v>0</v>
      </c>
      <c r="P26" s="67">
        <v>26</v>
      </c>
      <c r="Q26" s="67">
        <v>6</v>
      </c>
      <c r="R26" s="67">
        <v>0</v>
      </c>
      <c r="S26" s="67">
        <v>12</v>
      </c>
      <c r="T26" s="67">
        <v>14</v>
      </c>
      <c r="U26" s="67">
        <v>15</v>
      </c>
      <c r="V26" s="67">
        <v>0</v>
      </c>
      <c r="W26" s="67">
        <v>6</v>
      </c>
      <c r="X26" s="67">
        <v>0</v>
      </c>
      <c r="Y26" s="42"/>
      <c r="Z26" s="33">
        <v>0</v>
      </c>
      <c r="AA26" s="67">
        <v>0</v>
      </c>
      <c r="AB26" s="67">
        <v>0</v>
      </c>
      <c r="AC26" s="42"/>
      <c r="AD26" s="33">
        <v>0</v>
      </c>
      <c r="AE26" s="33">
        <v>0</v>
      </c>
      <c r="AF26" s="33">
        <v>1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3</v>
      </c>
      <c r="AQ26" s="33">
        <v>0</v>
      </c>
      <c r="AR26" s="33">
        <v>0</v>
      </c>
      <c r="AS26" s="33">
        <v>0</v>
      </c>
      <c r="AT26" s="33">
        <v>0</v>
      </c>
      <c r="AU26" s="33">
        <v>0</v>
      </c>
      <c r="AV26" s="33">
        <v>0</v>
      </c>
      <c r="AW26" s="33">
        <v>0</v>
      </c>
      <c r="AX26" s="33">
        <v>0</v>
      </c>
      <c r="AY26" s="33">
        <v>0</v>
      </c>
      <c r="AZ26" s="33">
        <v>0</v>
      </c>
      <c r="BA26" s="33">
        <f t="shared" si="0"/>
        <v>118</v>
      </c>
      <c r="BB26" s="40">
        <f t="shared" si="1"/>
        <v>1.3259916844589281</v>
      </c>
    </row>
    <row r="27" spans="1:54" x14ac:dyDescent="0.2">
      <c r="A27" s="27" t="s">
        <v>22</v>
      </c>
      <c r="B27" s="42"/>
      <c r="C27" s="67">
        <v>0</v>
      </c>
      <c r="D27" s="67">
        <v>0</v>
      </c>
      <c r="E27" s="67">
        <v>0</v>
      </c>
      <c r="F27" s="67">
        <v>0</v>
      </c>
      <c r="G27" s="67">
        <v>2</v>
      </c>
      <c r="H27" s="67">
        <v>2</v>
      </c>
      <c r="I27" s="42"/>
      <c r="J27" s="67">
        <v>0</v>
      </c>
      <c r="K27" s="67">
        <v>0</v>
      </c>
      <c r="L27" s="67">
        <v>0</v>
      </c>
      <c r="M27" s="67">
        <v>0</v>
      </c>
      <c r="N27" s="67">
        <v>0</v>
      </c>
      <c r="O27" s="67">
        <v>0</v>
      </c>
      <c r="P27" s="67">
        <v>0</v>
      </c>
      <c r="Q27" s="67">
        <v>0</v>
      </c>
      <c r="R27" s="67">
        <v>0</v>
      </c>
      <c r="S27" s="67">
        <v>0</v>
      </c>
      <c r="T27" s="67">
        <v>0</v>
      </c>
      <c r="U27" s="67">
        <v>3</v>
      </c>
      <c r="V27" s="67">
        <v>0</v>
      </c>
      <c r="W27" s="67">
        <v>0</v>
      </c>
      <c r="X27" s="67">
        <v>0</v>
      </c>
      <c r="Y27" s="42"/>
      <c r="Z27" s="33">
        <v>0</v>
      </c>
      <c r="AA27" s="67">
        <v>0</v>
      </c>
      <c r="AB27" s="67">
        <v>0</v>
      </c>
      <c r="AC27" s="42"/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  <c r="AR27" s="33">
        <v>0</v>
      </c>
      <c r="AS27" s="33">
        <v>0</v>
      </c>
      <c r="AT27" s="33">
        <v>0</v>
      </c>
      <c r="AU27" s="33">
        <v>0</v>
      </c>
      <c r="AV27" s="33">
        <v>0</v>
      </c>
      <c r="AW27" s="33">
        <v>0</v>
      </c>
      <c r="AX27" s="33">
        <v>0</v>
      </c>
      <c r="AY27" s="33">
        <v>0</v>
      </c>
      <c r="AZ27" s="33">
        <v>0</v>
      </c>
      <c r="BA27" s="33">
        <f t="shared" si="0"/>
        <v>7</v>
      </c>
      <c r="BB27" s="40">
        <f t="shared" si="1"/>
        <v>7.8660523654343187E-2</v>
      </c>
    </row>
    <row r="28" spans="1:54" x14ac:dyDescent="0.2">
      <c r="A28" s="27" t="s">
        <v>23</v>
      </c>
      <c r="B28" s="42"/>
      <c r="C28" s="67">
        <v>0</v>
      </c>
      <c r="D28" s="67">
        <v>2</v>
      </c>
      <c r="E28" s="67">
        <v>1</v>
      </c>
      <c r="F28" s="67">
        <v>1</v>
      </c>
      <c r="G28" s="67">
        <v>0</v>
      </c>
      <c r="H28" s="67">
        <v>0</v>
      </c>
      <c r="I28" s="42"/>
      <c r="J28" s="67">
        <v>0</v>
      </c>
      <c r="K28" s="67">
        <v>1</v>
      </c>
      <c r="L28" s="67">
        <v>0</v>
      </c>
      <c r="M28" s="67">
        <v>0</v>
      </c>
      <c r="N28" s="67">
        <v>0</v>
      </c>
      <c r="O28" s="67">
        <v>0</v>
      </c>
      <c r="P28" s="67">
        <v>1</v>
      </c>
      <c r="Q28" s="67">
        <v>1</v>
      </c>
      <c r="R28" s="67">
        <v>1</v>
      </c>
      <c r="S28" s="67">
        <v>0</v>
      </c>
      <c r="T28" s="67">
        <v>0</v>
      </c>
      <c r="U28" s="67">
        <v>2</v>
      </c>
      <c r="V28" s="67">
        <v>1</v>
      </c>
      <c r="W28" s="67">
        <v>3</v>
      </c>
      <c r="X28" s="67">
        <v>0</v>
      </c>
      <c r="Y28" s="42"/>
      <c r="Z28" s="33">
        <v>1</v>
      </c>
      <c r="AA28" s="67">
        <v>2</v>
      </c>
      <c r="AB28" s="67">
        <v>0</v>
      </c>
      <c r="AC28" s="42"/>
      <c r="AD28" s="33">
        <v>2</v>
      </c>
      <c r="AE28" s="33">
        <v>1</v>
      </c>
      <c r="AF28" s="33">
        <v>4</v>
      </c>
      <c r="AG28" s="33">
        <v>1</v>
      </c>
      <c r="AH28" s="33">
        <v>0</v>
      </c>
      <c r="AI28" s="33">
        <v>2</v>
      </c>
      <c r="AJ28" s="33">
        <v>1</v>
      </c>
      <c r="AK28" s="33">
        <v>0</v>
      </c>
      <c r="AL28" s="33">
        <v>0</v>
      </c>
      <c r="AM28" s="33">
        <v>0</v>
      </c>
      <c r="AN28" s="33">
        <v>1</v>
      </c>
      <c r="AO28" s="33">
        <v>0</v>
      </c>
      <c r="AP28" s="33">
        <v>0</v>
      </c>
      <c r="AQ28" s="33">
        <v>2</v>
      </c>
      <c r="AR28" s="33">
        <v>3</v>
      </c>
      <c r="AS28" s="33">
        <v>0</v>
      </c>
      <c r="AT28" s="33">
        <v>2</v>
      </c>
      <c r="AU28" s="33">
        <v>0</v>
      </c>
      <c r="AV28" s="33">
        <v>0</v>
      </c>
      <c r="AW28" s="33">
        <v>1</v>
      </c>
      <c r="AX28" s="33">
        <v>1</v>
      </c>
      <c r="AY28" s="33">
        <v>0</v>
      </c>
      <c r="AZ28" s="33">
        <v>0</v>
      </c>
      <c r="BA28" s="33">
        <f t="shared" si="0"/>
        <v>38</v>
      </c>
      <c r="BB28" s="40">
        <f t="shared" si="1"/>
        <v>0.42701427126643443</v>
      </c>
    </row>
    <row r="29" spans="1:54" x14ac:dyDescent="0.2">
      <c r="A29" s="27" t="s">
        <v>214</v>
      </c>
      <c r="B29" s="42"/>
      <c r="C29" s="67">
        <v>0</v>
      </c>
      <c r="D29" s="67">
        <v>0</v>
      </c>
      <c r="E29" s="67">
        <v>1</v>
      </c>
      <c r="F29" s="67">
        <v>0</v>
      </c>
      <c r="G29" s="67">
        <v>1</v>
      </c>
      <c r="H29" s="67">
        <v>0</v>
      </c>
      <c r="I29" s="42"/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7">
        <v>1</v>
      </c>
      <c r="P29" s="67">
        <v>0</v>
      </c>
      <c r="Q29" s="67">
        <v>1</v>
      </c>
      <c r="R29" s="67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42"/>
      <c r="Z29" s="33">
        <v>0</v>
      </c>
      <c r="AA29" s="67">
        <v>0</v>
      </c>
      <c r="AB29" s="67">
        <v>0</v>
      </c>
      <c r="AC29" s="42"/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f t="shared" si="0"/>
        <v>4</v>
      </c>
      <c r="BB29" s="40">
        <f t="shared" si="1"/>
        <v>4.4948870659624676E-2</v>
      </c>
    </row>
    <row r="30" spans="1:54" x14ac:dyDescent="0.2">
      <c r="A30" s="27" t="s">
        <v>194</v>
      </c>
      <c r="B30" s="42"/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42"/>
      <c r="J30" s="67">
        <v>0</v>
      </c>
      <c r="K30" s="67">
        <v>0</v>
      </c>
      <c r="L30" s="67">
        <v>1</v>
      </c>
      <c r="M30" s="67">
        <v>0</v>
      </c>
      <c r="N30" s="67">
        <v>0</v>
      </c>
      <c r="O30" s="67">
        <v>0</v>
      </c>
      <c r="P30" s="67">
        <v>1</v>
      </c>
      <c r="Q30" s="67">
        <v>0</v>
      </c>
      <c r="R30" s="67">
        <v>0</v>
      </c>
      <c r="S30" s="67">
        <v>1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42"/>
      <c r="Z30" s="33">
        <v>0</v>
      </c>
      <c r="AA30" s="67">
        <v>0</v>
      </c>
      <c r="AB30" s="67">
        <v>0</v>
      </c>
      <c r="AC30" s="42"/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1</v>
      </c>
      <c r="AL30" s="33">
        <v>0</v>
      </c>
      <c r="AM30" s="33">
        <v>0</v>
      </c>
      <c r="AN30" s="33">
        <v>0</v>
      </c>
      <c r="AO30" s="33">
        <v>3</v>
      </c>
      <c r="AP30" s="33">
        <v>2</v>
      </c>
      <c r="AQ30" s="33">
        <v>0</v>
      </c>
      <c r="AR30" s="33">
        <v>0</v>
      </c>
      <c r="AS30" s="33">
        <v>0</v>
      </c>
      <c r="AT30" s="33">
        <v>0</v>
      </c>
      <c r="AU30" s="33">
        <v>0</v>
      </c>
      <c r="AV30" s="33">
        <v>0</v>
      </c>
      <c r="AW30" s="33">
        <v>0</v>
      </c>
      <c r="AX30" s="33">
        <v>0</v>
      </c>
      <c r="AY30" s="33">
        <v>0</v>
      </c>
      <c r="AZ30" s="33">
        <v>0</v>
      </c>
      <c r="BA30" s="33">
        <f t="shared" si="0"/>
        <v>9</v>
      </c>
      <c r="BB30" s="40">
        <f t="shared" si="1"/>
        <v>0.10113495898415553</v>
      </c>
    </row>
    <row r="31" spans="1:54" x14ac:dyDescent="0.2">
      <c r="A31" s="27" t="s">
        <v>195</v>
      </c>
      <c r="B31" s="42"/>
      <c r="C31" s="67">
        <v>0</v>
      </c>
      <c r="D31" s="67">
        <v>0</v>
      </c>
      <c r="E31" s="67">
        <v>0</v>
      </c>
      <c r="F31" s="67">
        <v>0</v>
      </c>
      <c r="G31" s="67">
        <v>1</v>
      </c>
      <c r="H31" s="67">
        <v>0</v>
      </c>
      <c r="I31" s="42"/>
      <c r="J31" s="67">
        <v>0</v>
      </c>
      <c r="K31" s="67">
        <v>0</v>
      </c>
      <c r="L31" s="67">
        <v>1</v>
      </c>
      <c r="M31" s="67">
        <v>2</v>
      </c>
      <c r="N31" s="67">
        <v>0</v>
      </c>
      <c r="O31" s="67">
        <v>0</v>
      </c>
      <c r="P31" s="67">
        <v>2</v>
      </c>
      <c r="Q31" s="67">
        <v>0</v>
      </c>
      <c r="R31" s="67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42"/>
      <c r="Z31" s="33">
        <v>0</v>
      </c>
      <c r="AA31" s="67">
        <v>0</v>
      </c>
      <c r="AB31" s="67">
        <v>0</v>
      </c>
      <c r="AC31" s="42"/>
      <c r="AD31" s="33">
        <v>0</v>
      </c>
      <c r="AE31" s="33">
        <v>0</v>
      </c>
      <c r="AF31" s="33">
        <v>2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2</v>
      </c>
      <c r="AP31" s="33">
        <v>0</v>
      </c>
      <c r="AQ31" s="33">
        <v>0</v>
      </c>
      <c r="AR31" s="33">
        <v>1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0</v>
      </c>
      <c r="AZ31" s="33">
        <v>0</v>
      </c>
      <c r="BA31" s="33">
        <f t="shared" si="0"/>
        <v>11</v>
      </c>
      <c r="BB31" s="40">
        <f t="shared" si="1"/>
        <v>0.12360939431396785</v>
      </c>
    </row>
    <row r="32" spans="1:54" x14ac:dyDescent="0.2">
      <c r="A32" s="27" t="s">
        <v>25</v>
      </c>
      <c r="B32" s="42"/>
      <c r="C32" s="67">
        <v>0</v>
      </c>
      <c r="D32" s="67">
        <v>0</v>
      </c>
      <c r="E32" s="67">
        <v>1</v>
      </c>
      <c r="F32" s="67">
        <v>1</v>
      </c>
      <c r="G32" s="67">
        <v>0</v>
      </c>
      <c r="H32" s="67">
        <v>0</v>
      </c>
      <c r="I32" s="42"/>
      <c r="J32" s="67">
        <v>1</v>
      </c>
      <c r="K32" s="67">
        <v>1</v>
      </c>
      <c r="L32" s="67">
        <v>0</v>
      </c>
      <c r="M32" s="67">
        <v>1</v>
      </c>
      <c r="N32" s="67">
        <v>0</v>
      </c>
      <c r="O32" s="67">
        <v>2</v>
      </c>
      <c r="P32" s="67">
        <v>2</v>
      </c>
      <c r="Q32" s="67">
        <v>2</v>
      </c>
      <c r="R32" s="67">
        <v>5</v>
      </c>
      <c r="S32" s="67">
        <v>3</v>
      </c>
      <c r="T32" s="67">
        <v>7</v>
      </c>
      <c r="U32" s="67">
        <v>7</v>
      </c>
      <c r="V32" s="67">
        <v>5</v>
      </c>
      <c r="W32" s="67">
        <v>10</v>
      </c>
      <c r="X32" s="67">
        <v>4</v>
      </c>
      <c r="Y32" s="42"/>
      <c r="Z32" s="33">
        <v>2</v>
      </c>
      <c r="AA32" s="67">
        <v>1</v>
      </c>
      <c r="AB32" s="67">
        <v>5</v>
      </c>
      <c r="AC32" s="42"/>
      <c r="AD32" s="33">
        <v>1</v>
      </c>
      <c r="AE32" s="33">
        <v>2</v>
      </c>
      <c r="AF32" s="33">
        <v>1</v>
      </c>
      <c r="AG32" s="33">
        <v>2</v>
      </c>
      <c r="AH32" s="33">
        <v>1</v>
      </c>
      <c r="AI32" s="33">
        <v>6</v>
      </c>
      <c r="AJ32" s="33">
        <v>4</v>
      </c>
      <c r="AK32" s="33">
        <v>4</v>
      </c>
      <c r="AL32" s="33">
        <v>1</v>
      </c>
      <c r="AM32" s="33">
        <v>0</v>
      </c>
      <c r="AN32" s="33">
        <v>5</v>
      </c>
      <c r="AO32" s="33">
        <v>29</v>
      </c>
      <c r="AP32" s="33">
        <v>3</v>
      </c>
      <c r="AQ32" s="33">
        <v>1</v>
      </c>
      <c r="AR32" s="33">
        <v>1</v>
      </c>
      <c r="AS32" s="33">
        <v>1</v>
      </c>
      <c r="AT32" s="33">
        <v>3</v>
      </c>
      <c r="AU32" s="33">
        <v>7</v>
      </c>
      <c r="AV32" s="33">
        <v>6</v>
      </c>
      <c r="AW32" s="33">
        <v>2</v>
      </c>
      <c r="AX32" s="33">
        <v>5</v>
      </c>
      <c r="AY32" s="33">
        <v>7</v>
      </c>
      <c r="AZ32" s="33">
        <v>7</v>
      </c>
      <c r="BA32" s="33">
        <f t="shared" si="0"/>
        <v>159</v>
      </c>
      <c r="BB32" s="40">
        <f t="shared" si="1"/>
        <v>1.7867176087200807</v>
      </c>
    </row>
    <row r="33" spans="1:54" x14ac:dyDescent="0.2">
      <c r="A33" s="27" t="s">
        <v>646</v>
      </c>
      <c r="B33" s="42"/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42"/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v>6</v>
      </c>
      <c r="Q33" s="67">
        <v>1</v>
      </c>
      <c r="R33" s="67">
        <v>0</v>
      </c>
      <c r="S33" s="67">
        <v>1</v>
      </c>
      <c r="T33" s="67">
        <v>3</v>
      </c>
      <c r="U33" s="67">
        <v>1</v>
      </c>
      <c r="V33" s="67">
        <v>0</v>
      </c>
      <c r="W33" s="67">
        <v>3</v>
      </c>
      <c r="X33" s="67">
        <v>0</v>
      </c>
      <c r="Y33" s="42"/>
      <c r="Z33" s="33">
        <v>1</v>
      </c>
      <c r="AA33" s="67">
        <v>0</v>
      </c>
      <c r="AB33" s="67">
        <v>0</v>
      </c>
      <c r="AC33" s="42"/>
      <c r="AD33" s="33">
        <v>0</v>
      </c>
      <c r="AE33" s="33">
        <v>1</v>
      </c>
      <c r="AF33" s="33">
        <v>2</v>
      </c>
      <c r="AG33" s="33">
        <v>0</v>
      </c>
      <c r="AH33" s="33">
        <v>0</v>
      </c>
      <c r="AI33" s="33">
        <v>2</v>
      </c>
      <c r="AJ33" s="33">
        <v>0</v>
      </c>
      <c r="AK33" s="33">
        <v>2</v>
      </c>
      <c r="AL33" s="33">
        <v>3</v>
      </c>
      <c r="AM33" s="33">
        <v>0</v>
      </c>
      <c r="AN33" s="33">
        <v>0</v>
      </c>
      <c r="AO33" s="33">
        <v>0</v>
      </c>
      <c r="AP33" s="33">
        <v>2</v>
      </c>
      <c r="AQ33" s="33">
        <v>2</v>
      </c>
      <c r="AR33" s="33">
        <v>2</v>
      </c>
      <c r="AS33" s="33">
        <v>0</v>
      </c>
      <c r="AT33" s="33">
        <v>0</v>
      </c>
      <c r="AU33" s="33">
        <v>1</v>
      </c>
      <c r="AV33" s="33">
        <v>0</v>
      </c>
      <c r="AW33" s="33">
        <v>0</v>
      </c>
      <c r="AX33" s="33">
        <v>1</v>
      </c>
      <c r="AY33" s="33">
        <v>0</v>
      </c>
      <c r="AZ33" s="33">
        <v>0</v>
      </c>
      <c r="BA33" s="33">
        <f t="shared" si="0"/>
        <v>34</v>
      </c>
      <c r="BB33" s="40">
        <f t="shared" si="1"/>
        <v>0.38206540060680977</v>
      </c>
    </row>
    <row r="34" spans="1:54" x14ac:dyDescent="0.2">
      <c r="A34" s="27" t="s">
        <v>26</v>
      </c>
      <c r="B34" s="42"/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42"/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42"/>
      <c r="Z34" s="33">
        <v>0</v>
      </c>
      <c r="AA34" s="67">
        <v>0</v>
      </c>
      <c r="AB34" s="67">
        <v>0</v>
      </c>
      <c r="AC34" s="42"/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1</v>
      </c>
      <c r="AJ34" s="33">
        <v>1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  <c r="AQ34" s="33">
        <v>0</v>
      </c>
      <c r="AR34" s="33">
        <v>0</v>
      </c>
      <c r="AS34" s="33">
        <v>2</v>
      </c>
      <c r="AT34" s="33">
        <v>0</v>
      </c>
      <c r="AU34" s="33">
        <v>0</v>
      </c>
      <c r="AV34" s="33">
        <v>0</v>
      </c>
      <c r="AW34" s="33">
        <v>0</v>
      </c>
      <c r="AX34" s="33">
        <v>0</v>
      </c>
      <c r="AY34" s="33">
        <v>0</v>
      </c>
      <c r="AZ34" s="33">
        <v>1</v>
      </c>
      <c r="BA34" s="33">
        <f t="shared" si="0"/>
        <v>5</v>
      </c>
      <c r="BB34" s="40">
        <f t="shared" si="1"/>
        <v>5.6186088324530842E-2</v>
      </c>
    </row>
    <row r="35" spans="1:54" x14ac:dyDescent="0.2">
      <c r="A35" s="27" t="s">
        <v>27</v>
      </c>
      <c r="B35" s="42"/>
      <c r="C35" s="67">
        <v>3</v>
      </c>
      <c r="D35" s="67">
        <v>41</v>
      </c>
      <c r="E35" s="67">
        <v>35</v>
      </c>
      <c r="F35" s="67">
        <v>47</v>
      </c>
      <c r="G35" s="67">
        <v>76</v>
      </c>
      <c r="H35" s="67">
        <v>66</v>
      </c>
      <c r="I35" s="42"/>
      <c r="J35" s="67">
        <v>53</v>
      </c>
      <c r="K35" s="67">
        <v>39</v>
      </c>
      <c r="L35" s="67">
        <v>45</v>
      </c>
      <c r="M35" s="67">
        <v>49</v>
      </c>
      <c r="N35" s="67">
        <v>42</v>
      </c>
      <c r="O35" s="67">
        <v>32</v>
      </c>
      <c r="P35" s="67">
        <v>86</v>
      </c>
      <c r="Q35" s="67">
        <v>49</v>
      </c>
      <c r="R35" s="67">
        <v>10</v>
      </c>
      <c r="S35" s="67">
        <v>68</v>
      </c>
      <c r="T35" s="67">
        <v>49</v>
      </c>
      <c r="U35" s="67">
        <v>76</v>
      </c>
      <c r="V35" s="67">
        <v>39</v>
      </c>
      <c r="W35" s="67">
        <v>79</v>
      </c>
      <c r="X35" s="67">
        <v>46</v>
      </c>
      <c r="Y35" s="42"/>
      <c r="Z35" s="33">
        <v>30</v>
      </c>
      <c r="AA35" s="67">
        <v>46</v>
      </c>
      <c r="AB35" s="67">
        <v>46</v>
      </c>
      <c r="AC35" s="42"/>
      <c r="AD35" s="33">
        <v>20</v>
      </c>
      <c r="AE35" s="33">
        <v>11</v>
      </c>
      <c r="AF35" s="33">
        <v>2</v>
      </c>
      <c r="AG35" s="33">
        <v>15</v>
      </c>
      <c r="AH35" s="33">
        <v>23</v>
      </c>
      <c r="AI35" s="33">
        <v>39</v>
      </c>
      <c r="AJ35" s="33">
        <v>27</v>
      </c>
      <c r="AK35" s="33">
        <v>45</v>
      </c>
      <c r="AL35" s="33">
        <v>33</v>
      </c>
      <c r="AM35" s="33">
        <v>7</v>
      </c>
      <c r="AN35" s="33">
        <v>31</v>
      </c>
      <c r="AO35" s="33">
        <v>96</v>
      </c>
      <c r="AP35" s="33">
        <v>31</v>
      </c>
      <c r="AQ35" s="33">
        <v>21</v>
      </c>
      <c r="AR35" s="33">
        <v>29</v>
      </c>
      <c r="AS35" s="33">
        <v>30</v>
      </c>
      <c r="AT35" s="33">
        <v>22</v>
      </c>
      <c r="AU35" s="33">
        <v>11</v>
      </c>
      <c r="AV35" s="33">
        <v>16</v>
      </c>
      <c r="AW35" s="33">
        <v>19</v>
      </c>
      <c r="AX35" s="33">
        <v>33</v>
      </c>
      <c r="AY35" s="33">
        <v>18</v>
      </c>
      <c r="AZ35" s="33">
        <v>17</v>
      </c>
      <c r="BA35" s="33">
        <f t="shared" si="0"/>
        <v>1748</v>
      </c>
      <c r="BB35" s="40">
        <f t="shared" si="1"/>
        <v>19.642656478255986</v>
      </c>
    </row>
    <row r="36" spans="1:54" x14ac:dyDescent="0.2">
      <c r="A36" s="27" t="s">
        <v>28</v>
      </c>
      <c r="B36" s="42"/>
      <c r="C36" s="67">
        <v>0</v>
      </c>
      <c r="D36" s="67">
        <v>1</v>
      </c>
      <c r="E36" s="67">
        <v>0</v>
      </c>
      <c r="F36" s="67">
        <v>0</v>
      </c>
      <c r="G36" s="67">
        <v>2</v>
      </c>
      <c r="H36" s="67">
        <v>1</v>
      </c>
      <c r="I36" s="42"/>
      <c r="J36" s="67">
        <v>1</v>
      </c>
      <c r="K36" s="67">
        <v>2</v>
      </c>
      <c r="L36" s="67">
        <v>1</v>
      </c>
      <c r="M36" s="67">
        <v>1</v>
      </c>
      <c r="N36" s="67">
        <v>2</v>
      </c>
      <c r="O36" s="67">
        <v>0</v>
      </c>
      <c r="P36" s="67">
        <v>0</v>
      </c>
      <c r="Q36" s="67">
        <v>0</v>
      </c>
      <c r="R36" s="67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42"/>
      <c r="Z36" s="33">
        <v>0</v>
      </c>
      <c r="AA36" s="67">
        <v>0</v>
      </c>
      <c r="AB36" s="67">
        <v>0</v>
      </c>
      <c r="AC36" s="42"/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  <c r="AR36" s="33">
        <v>0</v>
      </c>
      <c r="AS36" s="33">
        <v>0</v>
      </c>
      <c r="AT36" s="33">
        <v>0</v>
      </c>
      <c r="AU36" s="33">
        <v>0</v>
      </c>
      <c r="AV36" s="33">
        <v>0</v>
      </c>
      <c r="AW36" s="33">
        <v>0</v>
      </c>
      <c r="AX36" s="33">
        <v>0</v>
      </c>
      <c r="AY36" s="33">
        <v>0</v>
      </c>
      <c r="AZ36" s="33">
        <v>0</v>
      </c>
      <c r="BA36" s="33">
        <f t="shared" si="0"/>
        <v>11</v>
      </c>
      <c r="BB36" s="40">
        <f t="shared" si="1"/>
        <v>0.12360939431396785</v>
      </c>
    </row>
    <row r="37" spans="1:54" x14ac:dyDescent="0.2">
      <c r="A37" s="27" t="s">
        <v>29</v>
      </c>
      <c r="B37" s="42"/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42"/>
      <c r="J37" s="67">
        <v>0</v>
      </c>
      <c r="K37" s="67">
        <v>0</v>
      </c>
      <c r="L37" s="67">
        <v>0</v>
      </c>
      <c r="M37" s="67">
        <v>1</v>
      </c>
      <c r="N37" s="67">
        <v>0</v>
      </c>
      <c r="O37" s="67">
        <v>0</v>
      </c>
      <c r="P37" s="67">
        <v>0</v>
      </c>
      <c r="Q37" s="67">
        <v>0</v>
      </c>
      <c r="R37" s="67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42"/>
      <c r="Z37" s="33">
        <v>1</v>
      </c>
      <c r="AA37" s="67">
        <v>0</v>
      </c>
      <c r="AB37" s="67">
        <v>1</v>
      </c>
      <c r="AC37" s="42"/>
      <c r="AD37" s="33">
        <v>0</v>
      </c>
      <c r="AE37" s="33">
        <v>0</v>
      </c>
      <c r="AF37" s="33">
        <v>1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1</v>
      </c>
      <c r="AN37" s="33">
        <v>0</v>
      </c>
      <c r="AO37" s="33">
        <v>1</v>
      </c>
      <c r="AP37" s="33">
        <v>2</v>
      </c>
      <c r="AQ37" s="33">
        <v>0</v>
      </c>
      <c r="AR37" s="33">
        <v>1</v>
      </c>
      <c r="AS37" s="33">
        <v>0</v>
      </c>
      <c r="AT37" s="33">
        <v>1</v>
      </c>
      <c r="AU37" s="33">
        <v>0</v>
      </c>
      <c r="AV37" s="33">
        <v>0</v>
      </c>
      <c r="AW37" s="33">
        <v>0</v>
      </c>
      <c r="AX37" s="33">
        <v>1</v>
      </c>
      <c r="AY37" s="33">
        <v>0</v>
      </c>
      <c r="AZ37" s="33">
        <v>0</v>
      </c>
      <c r="BA37" s="33">
        <f t="shared" si="0"/>
        <v>11</v>
      </c>
      <c r="BB37" s="40">
        <f t="shared" si="1"/>
        <v>0.12360939431396785</v>
      </c>
    </row>
    <row r="38" spans="1:54" x14ac:dyDescent="0.2">
      <c r="A38" s="27" t="s">
        <v>30</v>
      </c>
      <c r="B38" s="42"/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42"/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42"/>
      <c r="Z38" s="33">
        <v>0</v>
      </c>
      <c r="AA38" s="67">
        <v>0</v>
      </c>
      <c r="AB38" s="67">
        <v>0</v>
      </c>
      <c r="AC38" s="42"/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f t="shared" si="0"/>
        <v>0</v>
      </c>
      <c r="BB38" s="40">
        <f t="shared" si="1"/>
        <v>0</v>
      </c>
    </row>
    <row r="39" spans="1:54" x14ac:dyDescent="0.2">
      <c r="A39" s="27" t="s">
        <v>442</v>
      </c>
      <c r="B39" s="42"/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42"/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42"/>
      <c r="Z39" s="33">
        <v>0</v>
      </c>
      <c r="AA39" s="67">
        <v>0</v>
      </c>
      <c r="AB39" s="67">
        <v>0</v>
      </c>
      <c r="AC39" s="42"/>
      <c r="AD39" s="33">
        <v>0</v>
      </c>
      <c r="AE39" s="33">
        <v>0</v>
      </c>
      <c r="AF39" s="33">
        <v>0</v>
      </c>
      <c r="AG39" s="33">
        <v>0</v>
      </c>
      <c r="AH39" s="33">
        <v>0</v>
      </c>
      <c r="AI39" s="33">
        <v>0</v>
      </c>
      <c r="AJ39" s="33">
        <v>0</v>
      </c>
      <c r="AK39" s="33">
        <v>0</v>
      </c>
      <c r="AL39" s="33">
        <v>0</v>
      </c>
      <c r="AM39" s="33">
        <v>0</v>
      </c>
      <c r="AN39" s="33">
        <v>0</v>
      </c>
      <c r="AO39" s="33">
        <v>0</v>
      </c>
      <c r="AP39" s="33">
        <v>0</v>
      </c>
      <c r="AQ39" s="33">
        <v>0</v>
      </c>
      <c r="AR39" s="33">
        <v>0</v>
      </c>
      <c r="AS39" s="33">
        <v>0</v>
      </c>
      <c r="AT39" s="33">
        <v>0</v>
      </c>
      <c r="AU39" s="33">
        <v>0</v>
      </c>
      <c r="AV39" s="33">
        <v>0</v>
      </c>
      <c r="AW39" s="33">
        <v>0</v>
      </c>
      <c r="AX39" s="33">
        <v>0</v>
      </c>
      <c r="AY39" s="33">
        <v>0</v>
      </c>
      <c r="AZ39" s="33">
        <v>0</v>
      </c>
      <c r="BA39" s="33">
        <f t="shared" si="0"/>
        <v>0</v>
      </c>
      <c r="BB39" s="40">
        <f t="shared" si="1"/>
        <v>0</v>
      </c>
    </row>
    <row r="40" spans="1:54" x14ac:dyDescent="0.2">
      <c r="A40" s="27" t="s">
        <v>31</v>
      </c>
      <c r="B40" s="42"/>
      <c r="C40" s="67">
        <v>0</v>
      </c>
      <c r="D40" s="67">
        <v>0</v>
      </c>
      <c r="E40" s="67">
        <v>0</v>
      </c>
      <c r="F40" s="67">
        <v>2</v>
      </c>
      <c r="G40" s="67">
        <v>0</v>
      </c>
      <c r="H40" s="67">
        <v>2</v>
      </c>
      <c r="I40" s="42"/>
      <c r="J40" s="67">
        <v>1</v>
      </c>
      <c r="K40" s="67">
        <v>1</v>
      </c>
      <c r="L40" s="67">
        <v>1</v>
      </c>
      <c r="M40" s="67">
        <v>0</v>
      </c>
      <c r="N40" s="67">
        <v>2</v>
      </c>
      <c r="O40" s="67">
        <v>0</v>
      </c>
      <c r="P40" s="67">
        <v>1</v>
      </c>
      <c r="Q40" s="67">
        <v>3</v>
      </c>
      <c r="R40" s="67">
        <v>0</v>
      </c>
      <c r="S40" s="67">
        <v>0</v>
      </c>
      <c r="T40" s="67">
        <v>1</v>
      </c>
      <c r="U40" s="67">
        <v>1</v>
      </c>
      <c r="V40" s="67">
        <v>1</v>
      </c>
      <c r="W40" s="67">
        <v>2</v>
      </c>
      <c r="X40" s="67">
        <v>1</v>
      </c>
      <c r="Y40" s="42"/>
      <c r="Z40" s="33">
        <v>0</v>
      </c>
      <c r="AA40" s="67">
        <v>1</v>
      </c>
      <c r="AB40" s="67">
        <v>0</v>
      </c>
      <c r="AC40" s="42"/>
      <c r="AD40" s="33">
        <v>0</v>
      </c>
      <c r="AE40" s="33">
        <v>1</v>
      </c>
      <c r="AF40" s="33">
        <v>0</v>
      </c>
      <c r="AG40" s="33">
        <v>0</v>
      </c>
      <c r="AH40" s="33">
        <v>0</v>
      </c>
      <c r="AI40" s="33">
        <v>1</v>
      </c>
      <c r="AJ40" s="33">
        <v>2</v>
      </c>
      <c r="AK40" s="33">
        <v>0</v>
      </c>
      <c r="AL40" s="33">
        <v>1</v>
      </c>
      <c r="AM40" s="33">
        <v>0</v>
      </c>
      <c r="AN40" s="33">
        <v>0</v>
      </c>
      <c r="AO40" s="33">
        <v>4</v>
      </c>
      <c r="AP40" s="33">
        <v>3</v>
      </c>
      <c r="AQ40" s="33">
        <v>0</v>
      </c>
      <c r="AR40" s="33">
        <v>0</v>
      </c>
      <c r="AS40" s="33">
        <v>1</v>
      </c>
      <c r="AT40" s="33">
        <v>0</v>
      </c>
      <c r="AU40" s="33">
        <v>0</v>
      </c>
      <c r="AV40" s="33">
        <v>0</v>
      </c>
      <c r="AW40" s="33">
        <v>2</v>
      </c>
      <c r="AX40" s="33">
        <v>0</v>
      </c>
      <c r="AY40" s="33">
        <v>0</v>
      </c>
      <c r="AZ40" s="33">
        <v>1</v>
      </c>
      <c r="BA40" s="33">
        <f t="shared" si="0"/>
        <v>36</v>
      </c>
      <c r="BB40" s="40">
        <f t="shared" si="1"/>
        <v>0.40453983593662213</v>
      </c>
    </row>
    <row r="41" spans="1:54" x14ac:dyDescent="0.2">
      <c r="A41" s="27" t="s">
        <v>32</v>
      </c>
      <c r="B41" s="42"/>
      <c r="C41" s="67">
        <v>0</v>
      </c>
      <c r="D41" s="67">
        <v>0</v>
      </c>
      <c r="E41" s="67">
        <v>0</v>
      </c>
      <c r="F41" s="67">
        <v>0</v>
      </c>
      <c r="G41" s="67">
        <v>0</v>
      </c>
      <c r="H41" s="67">
        <v>0</v>
      </c>
      <c r="I41" s="42"/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>
        <v>0</v>
      </c>
      <c r="Y41" s="42"/>
      <c r="Z41" s="33">
        <v>0</v>
      </c>
      <c r="AA41" s="67">
        <v>0</v>
      </c>
      <c r="AB41" s="67">
        <v>0</v>
      </c>
      <c r="AC41" s="42"/>
      <c r="AD41" s="33">
        <v>0</v>
      </c>
      <c r="AE41" s="33">
        <v>0</v>
      </c>
      <c r="AF41" s="33">
        <v>0</v>
      </c>
      <c r="AG41" s="33">
        <v>0</v>
      </c>
      <c r="AH41" s="33">
        <v>0</v>
      </c>
      <c r="AI41" s="33">
        <v>0</v>
      </c>
      <c r="AJ41" s="33">
        <v>0</v>
      </c>
      <c r="AK41" s="33">
        <v>0</v>
      </c>
      <c r="AL41" s="33">
        <v>0</v>
      </c>
      <c r="AM41" s="33">
        <v>0</v>
      </c>
      <c r="AN41" s="33">
        <v>0</v>
      </c>
      <c r="AO41" s="33">
        <v>0</v>
      </c>
      <c r="AP41" s="33">
        <v>1</v>
      </c>
      <c r="AQ41" s="33">
        <v>0</v>
      </c>
      <c r="AR41" s="33">
        <v>0</v>
      </c>
      <c r="AS41" s="33">
        <v>0</v>
      </c>
      <c r="AT41" s="33">
        <v>0</v>
      </c>
      <c r="AU41" s="33">
        <v>0</v>
      </c>
      <c r="AV41" s="33">
        <v>0</v>
      </c>
      <c r="AW41" s="33">
        <v>1</v>
      </c>
      <c r="AX41" s="33">
        <v>0</v>
      </c>
      <c r="AY41" s="33">
        <v>0</v>
      </c>
      <c r="AZ41" s="33">
        <v>1</v>
      </c>
      <c r="BA41" s="33">
        <f t="shared" si="0"/>
        <v>3</v>
      </c>
      <c r="BB41" s="40">
        <f t="shared" si="1"/>
        <v>3.3711652994718511E-2</v>
      </c>
    </row>
    <row r="42" spans="1:54" x14ac:dyDescent="0.2">
      <c r="A42" s="27" t="s">
        <v>33</v>
      </c>
      <c r="B42" s="42"/>
      <c r="C42" s="67">
        <v>0</v>
      </c>
      <c r="D42" s="67">
        <v>2</v>
      </c>
      <c r="E42" s="67">
        <v>1</v>
      </c>
      <c r="F42" s="67">
        <v>4</v>
      </c>
      <c r="G42" s="67">
        <v>2</v>
      </c>
      <c r="H42" s="67">
        <v>1</v>
      </c>
      <c r="I42" s="42"/>
      <c r="J42" s="67">
        <v>2</v>
      </c>
      <c r="K42" s="67">
        <v>4</v>
      </c>
      <c r="L42" s="67">
        <v>2</v>
      </c>
      <c r="M42" s="67">
        <v>2</v>
      </c>
      <c r="N42" s="67">
        <v>0</v>
      </c>
      <c r="O42" s="67">
        <v>4</v>
      </c>
      <c r="P42" s="67">
        <v>6</v>
      </c>
      <c r="Q42" s="67">
        <v>3</v>
      </c>
      <c r="R42" s="67">
        <v>0</v>
      </c>
      <c r="S42" s="67">
        <v>6</v>
      </c>
      <c r="T42" s="67">
        <v>6</v>
      </c>
      <c r="U42" s="67">
        <v>2</v>
      </c>
      <c r="V42" s="67">
        <v>4</v>
      </c>
      <c r="W42" s="67">
        <v>3</v>
      </c>
      <c r="X42" s="67">
        <v>7</v>
      </c>
      <c r="Y42" s="42"/>
      <c r="Z42" s="33">
        <v>1</v>
      </c>
      <c r="AA42" s="67">
        <v>0</v>
      </c>
      <c r="AB42" s="67">
        <v>5</v>
      </c>
      <c r="AC42" s="42"/>
      <c r="AD42" s="33">
        <v>4</v>
      </c>
      <c r="AE42" s="33">
        <v>3</v>
      </c>
      <c r="AF42" s="33">
        <v>8</v>
      </c>
      <c r="AG42" s="33">
        <v>0</v>
      </c>
      <c r="AH42" s="33">
        <v>3</v>
      </c>
      <c r="AI42" s="33">
        <v>5</v>
      </c>
      <c r="AJ42" s="33">
        <v>2</v>
      </c>
      <c r="AK42" s="33">
        <v>3</v>
      </c>
      <c r="AL42" s="33">
        <v>5</v>
      </c>
      <c r="AM42" s="33">
        <v>1</v>
      </c>
      <c r="AN42" s="33">
        <v>1</v>
      </c>
      <c r="AO42" s="33">
        <v>5</v>
      </c>
      <c r="AP42" s="33">
        <v>8</v>
      </c>
      <c r="AQ42" s="33">
        <v>1</v>
      </c>
      <c r="AR42" s="33">
        <v>2</v>
      </c>
      <c r="AS42" s="33">
        <v>2</v>
      </c>
      <c r="AT42" s="33">
        <v>1</v>
      </c>
      <c r="AU42" s="33">
        <v>0</v>
      </c>
      <c r="AV42" s="33">
        <v>6</v>
      </c>
      <c r="AW42" s="33">
        <v>3</v>
      </c>
      <c r="AX42" s="33">
        <v>2</v>
      </c>
      <c r="AY42" s="33">
        <v>4</v>
      </c>
      <c r="AZ42" s="33">
        <v>4</v>
      </c>
      <c r="BA42" s="33">
        <f t="shared" si="0"/>
        <v>140</v>
      </c>
      <c r="BB42" s="40">
        <f t="shared" si="1"/>
        <v>1.5732104730868637</v>
      </c>
    </row>
    <row r="43" spans="1:54" x14ac:dyDescent="0.2">
      <c r="A43" s="27" t="s">
        <v>36</v>
      </c>
      <c r="B43" s="42"/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42"/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</v>
      </c>
      <c r="W43" s="67">
        <v>0</v>
      </c>
      <c r="X43" s="67">
        <v>0</v>
      </c>
      <c r="Y43" s="42"/>
      <c r="Z43" s="33">
        <v>0</v>
      </c>
      <c r="AA43" s="67">
        <v>0</v>
      </c>
      <c r="AB43" s="67">
        <v>0</v>
      </c>
      <c r="AC43" s="42"/>
      <c r="AD43" s="33">
        <v>0</v>
      </c>
      <c r="AE43" s="33">
        <v>0</v>
      </c>
      <c r="AF43" s="33">
        <v>0</v>
      </c>
      <c r="AG43" s="33">
        <v>0</v>
      </c>
      <c r="AH43" s="33">
        <v>0</v>
      </c>
      <c r="AI43" s="33">
        <v>0</v>
      </c>
      <c r="AJ43" s="33">
        <v>0</v>
      </c>
      <c r="AK43" s="33">
        <v>0</v>
      </c>
      <c r="AL43" s="33">
        <v>0</v>
      </c>
      <c r="AM43" s="33">
        <v>0</v>
      </c>
      <c r="AN43" s="33">
        <v>0</v>
      </c>
      <c r="AO43" s="33">
        <v>0</v>
      </c>
      <c r="AP43" s="33">
        <v>0</v>
      </c>
      <c r="AQ43" s="33">
        <v>0</v>
      </c>
      <c r="AR43" s="33">
        <v>0</v>
      </c>
      <c r="AS43" s="33">
        <v>0</v>
      </c>
      <c r="AT43" s="33">
        <v>0</v>
      </c>
      <c r="AU43" s="33">
        <v>0</v>
      </c>
      <c r="AV43" s="33">
        <v>0</v>
      </c>
      <c r="AW43" s="33">
        <v>0</v>
      </c>
      <c r="AX43" s="33">
        <v>0</v>
      </c>
      <c r="AY43" s="33">
        <v>0</v>
      </c>
      <c r="AZ43" s="33">
        <v>0</v>
      </c>
      <c r="BA43" s="33">
        <f t="shared" si="0"/>
        <v>0</v>
      </c>
      <c r="BB43" s="40">
        <f t="shared" si="1"/>
        <v>0</v>
      </c>
    </row>
    <row r="44" spans="1:54" x14ac:dyDescent="0.2">
      <c r="A44" s="30" t="s">
        <v>344</v>
      </c>
      <c r="B44" s="42"/>
      <c r="C44" s="67">
        <f>SUM(C3:C43)</f>
        <v>16</v>
      </c>
      <c r="D44" s="67">
        <f t="shared" ref="D44:H44" si="2">SUM(D3:D43)</f>
        <v>252</v>
      </c>
      <c r="E44" s="67">
        <f>SUM(E3:E43)</f>
        <v>102</v>
      </c>
      <c r="F44" s="67">
        <f t="shared" si="2"/>
        <v>151</v>
      </c>
      <c r="G44" s="67">
        <f t="shared" si="2"/>
        <v>170</v>
      </c>
      <c r="H44" s="67">
        <f t="shared" si="2"/>
        <v>203</v>
      </c>
      <c r="I44" s="69"/>
      <c r="J44" s="67">
        <f>SUM(J3:J43)</f>
        <v>229</v>
      </c>
      <c r="K44" s="67">
        <f t="shared" ref="K44:X44" si="3">SUM(K3:K43)</f>
        <v>191</v>
      </c>
      <c r="L44" s="67">
        <f t="shared" si="3"/>
        <v>171</v>
      </c>
      <c r="M44" s="67">
        <f t="shared" si="3"/>
        <v>197</v>
      </c>
      <c r="N44" s="67">
        <f t="shared" ref="N44:S44" si="4">SUM(N3:N43)</f>
        <v>180</v>
      </c>
      <c r="O44" s="67">
        <f t="shared" si="4"/>
        <v>88</v>
      </c>
      <c r="P44" s="67">
        <f t="shared" si="4"/>
        <v>270</v>
      </c>
      <c r="Q44" s="67">
        <f t="shared" si="4"/>
        <v>287</v>
      </c>
      <c r="R44" s="67">
        <f t="shared" si="4"/>
        <v>25</v>
      </c>
      <c r="S44" s="67">
        <f t="shared" si="4"/>
        <v>214</v>
      </c>
      <c r="T44" s="67">
        <f t="shared" si="3"/>
        <v>299</v>
      </c>
      <c r="U44" s="67">
        <f t="shared" si="3"/>
        <v>405</v>
      </c>
      <c r="V44" s="67">
        <f t="shared" si="3"/>
        <v>217</v>
      </c>
      <c r="W44" s="67">
        <f t="shared" si="3"/>
        <v>370</v>
      </c>
      <c r="X44" s="67">
        <f t="shared" si="3"/>
        <v>167</v>
      </c>
      <c r="Y44" s="69"/>
      <c r="Z44" s="67">
        <f>SUM(Z3:Z43)</f>
        <v>138</v>
      </c>
      <c r="AA44" s="67">
        <f t="shared" ref="AA44:AB44" si="5">SUM(AA3:AA43)</f>
        <v>227</v>
      </c>
      <c r="AB44" s="67">
        <f t="shared" si="5"/>
        <v>237</v>
      </c>
      <c r="AC44" s="69"/>
      <c r="AD44" s="67">
        <f>SUM(AD3:AD43)</f>
        <v>161</v>
      </c>
      <c r="AE44" s="67">
        <f t="shared" ref="AE44:AL44" si="6">SUM(AE3:AE43)</f>
        <v>60</v>
      </c>
      <c r="AF44" s="67">
        <f t="shared" si="6"/>
        <v>322</v>
      </c>
      <c r="AG44" s="67">
        <f t="shared" si="6"/>
        <v>35</v>
      </c>
      <c r="AH44" s="67">
        <f t="shared" si="6"/>
        <v>63</v>
      </c>
      <c r="AI44" s="67">
        <f t="shared" si="6"/>
        <v>228</v>
      </c>
      <c r="AJ44" s="67">
        <f t="shared" si="6"/>
        <v>214</v>
      </c>
      <c r="AK44" s="67">
        <f t="shared" si="6"/>
        <v>219</v>
      </c>
      <c r="AL44" s="67">
        <f t="shared" si="6"/>
        <v>197</v>
      </c>
      <c r="AM44" s="67">
        <f t="shared" ref="AM44" si="7">SUM(AM3:AM43)</f>
        <v>19</v>
      </c>
      <c r="AN44" s="67">
        <f t="shared" ref="AN44" si="8">SUM(AN3:AN43)</f>
        <v>50</v>
      </c>
      <c r="AO44" s="67">
        <f t="shared" ref="AO44" si="9">SUM(AO3:AO43)</f>
        <v>723</v>
      </c>
      <c r="AP44" s="67">
        <f t="shared" ref="AP44" si="10">SUM(AP3:AP43)</f>
        <v>259</v>
      </c>
      <c r="AQ44" s="67">
        <f t="shared" ref="AQ44" si="11">SUM(AQ3:AQ43)</f>
        <v>155</v>
      </c>
      <c r="AR44" s="67">
        <f t="shared" ref="AR44" si="12">SUM(AR3:AR43)</f>
        <v>244</v>
      </c>
      <c r="AS44" s="67">
        <f t="shared" ref="AS44:AT44" si="13">SUM(AS3:AS43)</f>
        <v>115</v>
      </c>
      <c r="AT44" s="67">
        <f t="shared" si="13"/>
        <v>192</v>
      </c>
      <c r="AU44" s="67">
        <f t="shared" ref="AU44" si="14">SUM(AU3:AU43)</f>
        <v>92</v>
      </c>
      <c r="AV44" s="67">
        <f t="shared" ref="AV44" si="15">SUM(AV3:AV43)</f>
        <v>117</v>
      </c>
      <c r="AW44" s="67">
        <f t="shared" ref="AW44" si="16">SUM(AW3:AW43)</f>
        <v>111</v>
      </c>
      <c r="AX44" s="67">
        <f t="shared" ref="AX44" si="17">SUM(AX3:AX43)</f>
        <v>221</v>
      </c>
      <c r="AY44" s="67">
        <f t="shared" ref="AY44" si="18">SUM(AY3:AY43)</f>
        <v>122</v>
      </c>
      <c r="AZ44" s="67">
        <f t="shared" ref="AZ44" si="19">SUM(AZ3:AZ43)</f>
        <v>174</v>
      </c>
      <c r="BA44" s="33">
        <f t="shared" si="0"/>
        <v>8899</v>
      </c>
      <c r="BB44" s="40">
        <f t="shared" si="1"/>
        <v>100</v>
      </c>
    </row>
    <row r="45" spans="1:54" x14ac:dyDescent="0.2">
      <c r="BA45" s="33"/>
      <c r="BB45" s="40"/>
    </row>
    <row r="46" spans="1:54" x14ac:dyDescent="0.2">
      <c r="A46" s="27" t="s">
        <v>1476</v>
      </c>
    </row>
    <row r="47" spans="1:54" x14ac:dyDescent="0.2">
      <c r="A47" s="27" t="s">
        <v>1477</v>
      </c>
    </row>
    <row r="48" spans="1:54" x14ac:dyDescent="0.2">
      <c r="A48" s="27" t="s">
        <v>1478</v>
      </c>
    </row>
    <row r="49" spans="1:1" x14ac:dyDescent="0.2">
      <c r="A49" s="27" t="s">
        <v>1479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47"/>
  <sheetViews>
    <sheetView topLeftCell="A22" zoomScaleNormal="100" workbookViewId="0">
      <selection activeCell="A48" sqref="A48"/>
    </sheetView>
  </sheetViews>
  <sheetFormatPr defaultRowHeight="12.75" x14ac:dyDescent="0.2"/>
  <cols>
    <col min="1" max="1" width="26" bestFit="1" customWidth="1"/>
    <col min="2" max="7" width="9.140625" customWidth="1"/>
    <col min="8" max="9" width="9.7109375" customWidth="1"/>
    <col min="10" max="27" width="9.140625" customWidth="1"/>
    <col min="28" max="28" width="9.42578125" customWidth="1"/>
    <col min="29" max="30" width="9.140625" customWidth="1"/>
    <col min="31" max="31" width="9.140625" style="41" customWidth="1"/>
    <col min="32" max="33" width="9.140625" customWidth="1"/>
  </cols>
  <sheetData>
    <row r="1" spans="1:35" x14ac:dyDescent="0.2">
      <c r="A1" t="s">
        <v>448</v>
      </c>
      <c r="B1" s="42"/>
      <c r="C1" s="33">
        <v>1</v>
      </c>
      <c r="D1" s="33">
        <v>2</v>
      </c>
      <c r="E1" s="33">
        <v>3</v>
      </c>
      <c r="F1" s="33">
        <v>4</v>
      </c>
      <c r="G1" s="33">
        <v>5</v>
      </c>
      <c r="H1" s="33">
        <v>6</v>
      </c>
      <c r="I1" s="33">
        <v>7</v>
      </c>
      <c r="J1" s="33">
        <v>8</v>
      </c>
      <c r="K1" s="33">
        <v>9</v>
      </c>
      <c r="L1" s="33">
        <v>10</v>
      </c>
      <c r="M1" s="33">
        <v>11</v>
      </c>
      <c r="N1" s="33">
        <v>12</v>
      </c>
      <c r="O1" s="33">
        <v>13</v>
      </c>
      <c r="P1" s="33">
        <v>14</v>
      </c>
      <c r="Q1" s="33">
        <v>15</v>
      </c>
      <c r="R1" s="33">
        <v>16</v>
      </c>
      <c r="S1" s="33">
        <v>17</v>
      </c>
      <c r="T1" s="33">
        <v>18</v>
      </c>
      <c r="U1" s="33">
        <v>19</v>
      </c>
      <c r="V1" s="33">
        <v>20</v>
      </c>
      <c r="W1" s="33">
        <v>21</v>
      </c>
      <c r="X1" s="33">
        <v>22</v>
      </c>
      <c r="Y1" s="33">
        <v>23</v>
      </c>
      <c r="Z1" s="33">
        <v>24</v>
      </c>
      <c r="AA1" s="33">
        <v>25</v>
      </c>
      <c r="AB1" s="42"/>
      <c r="AC1" s="33">
        <v>1</v>
      </c>
      <c r="AD1" s="33">
        <v>2</v>
      </c>
      <c r="AE1" s="33">
        <v>3</v>
      </c>
      <c r="AF1" s="33">
        <v>4</v>
      </c>
      <c r="AG1" s="33">
        <v>5</v>
      </c>
      <c r="AH1" s="33" t="s">
        <v>449</v>
      </c>
      <c r="AI1" s="40"/>
    </row>
    <row r="2" spans="1:35" x14ac:dyDescent="0.2">
      <c r="A2" t="s">
        <v>287</v>
      </c>
      <c r="B2" s="69"/>
      <c r="C2" s="34" t="s">
        <v>868</v>
      </c>
      <c r="D2" s="34" t="s">
        <v>871</v>
      </c>
      <c r="E2" s="34" t="s">
        <v>869</v>
      </c>
      <c r="F2" s="34" t="s">
        <v>870</v>
      </c>
      <c r="G2" s="34" t="s">
        <v>872</v>
      </c>
      <c r="H2" s="34" t="s">
        <v>873</v>
      </c>
      <c r="I2" s="34" t="s">
        <v>874</v>
      </c>
      <c r="J2" s="34" t="s">
        <v>875</v>
      </c>
      <c r="K2" s="34" t="s">
        <v>876</v>
      </c>
      <c r="L2" s="34" t="s">
        <v>877</v>
      </c>
      <c r="M2" s="34" t="s">
        <v>878</v>
      </c>
      <c r="N2" s="34" t="s">
        <v>879</v>
      </c>
      <c r="O2" s="34" t="s">
        <v>880</v>
      </c>
      <c r="P2" s="34" t="s">
        <v>881</v>
      </c>
      <c r="Q2" s="34" t="s">
        <v>882</v>
      </c>
      <c r="R2" s="34" t="s">
        <v>883</v>
      </c>
      <c r="S2" s="34" t="s">
        <v>884</v>
      </c>
      <c r="T2" s="34" t="s">
        <v>856</v>
      </c>
      <c r="U2" s="34" t="s">
        <v>857</v>
      </c>
      <c r="V2" s="34" t="s">
        <v>885</v>
      </c>
      <c r="W2" s="34" t="s">
        <v>886</v>
      </c>
      <c r="X2" s="34" t="s">
        <v>887</v>
      </c>
      <c r="Y2" s="34" t="s">
        <v>888</v>
      </c>
      <c r="Z2" s="34" t="s">
        <v>889</v>
      </c>
      <c r="AA2" s="34" t="s">
        <v>890</v>
      </c>
      <c r="AB2" s="69"/>
      <c r="AC2" s="34" t="s">
        <v>891</v>
      </c>
      <c r="AD2" s="34" t="s">
        <v>892</v>
      </c>
      <c r="AE2" s="34" t="s">
        <v>893</v>
      </c>
      <c r="AF2" s="34" t="s">
        <v>894</v>
      </c>
      <c r="AG2" s="34" t="s">
        <v>895</v>
      </c>
      <c r="AH2" s="33" t="s">
        <v>315</v>
      </c>
      <c r="AI2" s="40" t="s">
        <v>460</v>
      </c>
    </row>
    <row r="3" spans="1:35" x14ac:dyDescent="0.2">
      <c r="A3" s="27" t="s">
        <v>1</v>
      </c>
      <c r="B3" s="42"/>
      <c r="C3" s="67">
        <v>0</v>
      </c>
      <c r="D3" s="67">
        <v>0</v>
      </c>
      <c r="E3" s="67">
        <v>5</v>
      </c>
      <c r="F3" s="67">
        <v>7</v>
      </c>
      <c r="G3" s="67">
        <v>7</v>
      </c>
      <c r="H3" s="67">
        <v>5</v>
      </c>
      <c r="I3" s="67">
        <v>11</v>
      </c>
      <c r="J3" s="67">
        <v>15</v>
      </c>
      <c r="K3" s="67">
        <v>12</v>
      </c>
      <c r="L3" s="67">
        <v>11</v>
      </c>
      <c r="M3" s="67">
        <v>2</v>
      </c>
      <c r="N3" s="67">
        <v>5</v>
      </c>
      <c r="O3" s="67">
        <v>4</v>
      </c>
      <c r="P3" s="67">
        <v>17</v>
      </c>
      <c r="Q3" s="67">
        <v>13</v>
      </c>
      <c r="R3" s="67">
        <v>18</v>
      </c>
      <c r="S3" s="67">
        <v>13</v>
      </c>
      <c r="T3" s="67">
        <v>30</v>
      </c>
      <c r="U3" s="67">
        <v>9</v>
      </c>
      <c r="V3" s="67">
        <v>18</v>
      </c>
      <c r="W3" s="67">
        <v>15</v>
      </c>
      <c r="X3" s="67">
        <v>17</v>
      </c>
      <c r="Y3" s="67">
        <v>3</v>
      </c>
      <c r="Z3" s="67">
        <v>1</v>
      </c>
      <c r="AA3" s="67">
        <v>4</v>
      </c>
      <c r="AB3" s="42"/>
      <c r="AC3" s="33">
        <v>5</v>
      </c>
      <c r="AD3" s="67">
        <v>3</v>
      </c>
      <c r="AE3" s="67">
        <v>13</v>
      </c>
      <c r="AF3" s="33">
        <v>16</v>
      </c>
      <c r="AG3" s="33">
        <v>11</v>
      </c>
      <c r="AH3" s="33">
        <f>SUM(B3:AG3)</f>
        <v>290</v>
      </c>
      <c r="AI3" s="40">
        <f t="shared" ref="AI3:AI44" si="0">(AH3/$AH$44)*100</f>
        <v>4.1369472182596292</v>
      </c>
    </row>
    <row r="4" spans="1:35" x14ac:dyDescent="0.2">
      <c r="A4" s="27" t="s">
        <v>3</v>
      </c>
      <c r="B4" s="42"/>
      <c r="C4" s="67">
        <v>0</v>
      </c>
      <c r="D4" s="67">
        <v>2</v>
      </c>
      <c r="E4" s="67">
        <v>3</v>
      </c>
      <c r="F4" s="67">
        <v>2</v>
      </c>
      <c r="G4" s="67">
        <v>8</v>
      </c>
      <c r="H4" s="67">
        <v>4</v>
      </c>
      <c r="I4" s="67">
        <v>5</v>
      </c>
      <c r="J4" s="67">
        <v>3</v>
      </c>
      <c r="K4" s="67">
        <v>7</v>
      </c>
      <c r="L4" s="67">
        <v>1</v>
      </c>
      <c r="M4" s="67">
        <v>1</v>
      </c>
      <c r="N4" s="67">
        <v>0</v>
      </c>
      <c r="O4" s="67">
        <v>2</v>
      </c>
      <c r="P4" s="67">
        <v>17</v>
      </c>
      <c r="Q4" s="67">
        <v>3</v>
      </c>
      <c r="R4" s="67">
        <v>5</v>
      </c>
      <c r="S4" s="67">
        <v>7</v>
      </c>
      <c r="T4" s="67">
        <v>13</v>
      </c>
      <c r="U4" s="67">
        <v>3</v>
      </c>
      <c r="V4" s="67">
        <v>9</v>
      </c>
      <c r="W4" s="67">
        <v>3</v>
      </c>
      <c r="X4" s="67">
        <v>7</v>
      </c>
      <c r="Y4" s="67">
        <v>1</v>
      </c>
      <c r="Z4" s="67">
        <v>0</v>
      </c>
      <c r="AA4" s="67">
        <v>4</v>
      </c>
      <c r="AB4" s="42"/>
      <c r="AC4" s="33">
        <v>5</v>
      </c>
      <c r="AD4" s="67">
        <v>4</v>
      </c>
      <c r="AE4" s="67">
        <v>17</v>
      </c>
      <c r="AF4" s="33">
        <v>7</v>
      </c>
      <c r="AG4" s="33">
        <v>6</v>
      </c>
      <c r="AH4" s="33">
        <f>SUM(B4:AG4)</f>
        <v>149</v>
      </c>
      <c r="AI4" s="40">
        <f t="shared" si="0"/>
        <v>2.1255349500713265</v>
      </c>
    </row>
    <row r="5" spans="1:35" x14ac:dyDescent="0.2">
      <c r="A5" s="27" t="s">
        <v>4</v>
      </c>
      <c r="B5" s="42"/>
      <c r="C5" s="67">
        <v>0</v>
      </c>
      <c r="D5" s="67">
        <v>0</v>
      </c>
      <c r="E5" s="67">
        <v>0</v>
      </c>
      <c r="F5" s="67">
        <v>1</v>
      </c>
      <c r="G5" s="67">
        <v>3</v>
      </c>
      <c r="H5" s="67">
        <v>2</v>
      </c>
      <c r="I5" s="67">
        <v>4</v>
      </c>
      <c r="J5" s="67">
        <v>6</v>
      </c>
      <c r="K5" s="67">
        <v>4</v>
      </c>
      <c r="L5" s="67">
        <v>0</v>
      </c>
      <c r="M5" s="67">
        <v>3</v>
      </c>
      <c r="N5" s="67">
        <v>0</v>
      </c>
      <c r="O5" s="67">
        <v>1</v>
      </c>
      <c r="P5" s="67">
        <v>6</v>
      </c>
      <c r="Q5" s="67">
        <v>3</v>
      </c>
      <c r="R5" s="67">
        <v>2</v>
      </c>
      <c r="S5" s="67">
        <v>4</v>
      </c>
      <c r="T5" s="67">
        <v>17</v>
      </c>
      <c r="U5" s="67">
        <v>2</v>
      </c>
      <c r="V5" s="67">
        <v>1</v>
      </c>
      <c r="W5" s="67">
        <v>0</v>
      </c>
      <c r="X5" s="67">
        <v>4</v>
      </c>
      <c r="Y5" s="67">
        <v>3</v>
      </c>
      <c r="Z5" s="67">
        <v>0</v>
      </c>
      <c r="AA5" s="67">
        <v>1</v>
      </c>
      <c r="AB5" s="42"/>
      <c r="AC5" s="33">
        <v>1</v>
      </c>
      <c r="AD5" s="67">
        <v>0</v>
      </c>
      <c r="AE5" s="67">
        <v>1</v>
      </c>
      <c r="AF5" s="33">
        <v>3</v>
      </c>
      <c r="AG5" s="33">
        <v>4</v>
      </c>
      <c r="AH5" s="33">
        <f>SUM(B5:AG5)</f>
        <v>76</v>
      </c>
      <c r="AI5" s="40">
        <f t="shared" si="0"/>
        <v>1.0841654778887304</v>
      </c>
    </row>
    <row r="6" spans="1:35" x14ac:dyDescent="0.2">
      <c r="A6" s="27" t="s">
        <v>5</v>
      </c>
      <c r="B6" s="42"/>
      <c r="C6" s="67">
        <v>0</v>
      </c>
      <c r="D6" s="67">
        <v>1</v>
      </c>
      <c r="E6" s="67">
        <v>6</v>
      </c>
      <c r="F6" s="67">
        <v>3</v>
      </c>
      <c r="G6" s="67">
        <v>1</v>
      </c>
      <c r="H6" s="67">
        <v>1</v>
      </c>
      <c r="I6" s="67">
        <v>0</v>
      </c>
      <c r="J6" s="67">
        <v>0</v>
      </c>
      <c r="K6" s="67">
        <v>1</v>
      </c>
      <c r="L6" s="67">
        <v>1</v>
      </c>
      <c r="M6" s="67">
        <v>2</v>
      </c>
      <c r="N6" s="67">
        <v>0</v>
      </c>
      <c r="O6" s="67">
        <v>0</v>
      </c>
      <c r="P6" s="67">
        <v>3</v>
      </c>
      <c r="Q6" s="67">
        <v>0</v>
      </c>
      <c r="R6" s="67">
        <v>2</v>
      </c>
      <c r="S6" s="67">
        <v>1</v>
      </c>
      <c r="T6" s="67">
        <v>2</v>
      </c>
      <c r="U6" s="67">
        <v>2</v>
      </c>
      <c r="V6" s="67">
        <v>0</v>
      </c>
      <c r="W6" s="67">
        <v>1</v>
      </c>
      <c r="X6" s="67">
        <v>4</v>
      </c>
      <c r="Y6" s="67">
        <v>4</v>
      </c>
      <c r="Z6" s="67">
        <v>0</v>
      </c>
      <c r="AA6" s="67">
        <v>0</v>
      </c>
      <c r="AB6" s="42"/>
      <c r="AC6" s="33">
        <v>1</v>
      </c>
      <c r="AD6" s="67">
        <v>0</v>
      </c>
      <c r="AE6" s="67">
        <v>0</v>
      </c>
      <c r="AF6" s="33">
        <v>0</v>
      </c>
      <c r="AG6" s="33">
        <v>2</v>
      </c>
      <c r="AH6" s="33">
        <f t="shared" ref="AH6:AH43" si="1">SUM(B6:AG6)</f>
        <v>38</v>
      </c>
      <c r="AI6" s="40">
        <f t="shared" si="0"/>
        <v>0.54208273894436521</v>
      </c>
    </row>
    <row r="7" spans="1:35" x14ac:dyDescent="0.2">
      <c r="A7" s="27" t="s">
        <v>6</v>
      </c>
      <c r="B7" s="42"/>
      <c r="C7" s="67">
        <v>0</v>
      </c>
      <c r="D7" s="67">
        <v>7</v>
      </c>
      <c r="E7" s="67">
        <v>21</v>
      </c>
      <c r="F7" s="67">
        <v>11</v>
      </c>
      <c r="G7" s="67">
        <v>41</v>
      </c>
      <c r="H7" s="67">
        <v>70</v>
      </c>
      <c r="I7" s="67">
        <v>91</v>
      </c>
      <c r="J7" s="67">
        <v>100</v>
      </c>
      <c r="K7" s="67">
        <v>82</v>
      </c>
      <c r="L7" s="67">
        <v>12</v>
      </c>
      <c r="M7" s="67">
        <v>7</v>
      </c>
      <c r="N7" s="67">
        <v>19</v>
      </c>
      <c r="O7" s="67">
        <v>13</v>
      </c>
      <c r="P7" s="67">
        <v>133</v>
      </c>
      <c r="Q7" s="67">
        <v>69</v>
      </c>
      <c r="R7" s="67">
        <v>124</v>
      </c>
      <c r="S7" s="67">
        <v>65</v>
      </c>
      <c r="T7" s="67">
        <v>148</v>
      </c>
      <c r="U7" s="67">
        <v>56</v>
      </c>
      <c r="V7" s="67">
        <v>131</v>
      </c>
      <c r="W7" s="67">
        <v>61</v>
      </c>
      <c r="X7" s="67">
        <v>83</v>
      </c>
      <c r="Y7" s="67">
        <v>2</v>
      </c>
      <c r="Z7" s="67">
        <v>1</v>
      </c>
      <c r="AA7" s="67">
        <v>7</v>
      </c>
      <c r="AB7" s="42"/>
      <c r="AC7" s="33">
        <v>23</v>
      </c>
      <c r="AD7" s="67">
        <v>16</v>
      </c>
      <c r="AE7" s="67">
        <v>101</v>
      </c>
      <c r="AF7" s="33">
        <v>125</v>
      </c>
      <c r="AG7" s="33">
        <v>9</v>
      </c>
      <c r="AH7" s="33">
        <f t="shared" si="1"/>
        <v>1628</v>
      </c>
      <c r="AI7" s="40">
        <f t="shared" si="0"/>
        <v>23.223965763195434</v>
      </c>
    </row>
    <row r="8" spans="1:35" x14ac:dyDescent="0.2">
      <c r="A8" s="27" t="s">
        <v>40</v>
      </c>
      <c r="B8" s="42"/>
      <c r="C8" s="67">
        <v>0</v>
      </c>
      <c r="D8" s="67">
        <v>0</v>
      </c>
      <c r="E8" s="67">
        <v>1</v>
      </c>
      <c r="F8" s="67">
        <v>0</v>
      </c>
      <c r="G8" s="67">
        <v>0</v>
      </c>
      <c r="H8" s="67">
        <v>1</v>
      </c>
      <c r="I8" s="67">
        <v>0</v>
      </c>
      <c r="J8" s="67">
        <v>0</v>
      </c>
      <c r="K8" s="67">
        <v>2</v>
      </c>
      <c r="L8" s="67">
        <v>1</v>
      </c>
      <c r="M8" s="67">
        <v>3</v>
      </c>
      <c r="N8" s="67">
        <v>2</v>
      </c>
      <c r="O8" s="67">
        <v>1</v>
      </c>
      <c r="P8" s="67">
        <v>5</v>
      </c>
      <c r="Q8" s="67">
        <v>2</v>
      </c>
      <c r="R8" s="67">
        <v>3</v>
      </c>
      <c r="S8" s="67">
        <v>3</v>
      </c>
      <c r="T8" s="67">
        <v>4</v>
      </c>
      <c r="U8" s="67">
        <v>1</v>
      </c>
      <c r="V8" s="67">
        <v>1</v>
      </c>
      <c r="W8" s="67">
        <v>0</v>
      </c>
      <c r="X8" s="67">
        <v>1</v>
      </c>
      <c r="Y8" s="67">
        <v>0</v>
      </c>
      <c r="Z8" s="67">
        <v>0</v>
      </c>
      <c r="AA8" s="67">
        <v>1</v>
      </c>
      <c r="AB8" s="42"/>
      <c r="AC8" s="33">
        <v>0</v>
      </c>
      <c r="AD8" s="67">
        <v>0</v>
      </c>
      <c r="AE8" s="67">
        <v>2</v>
      </c>
      <c r="AF8" s="33">
        <v>1</v>
      </c>
      <c r="AG8" s="33">
        <v>0</v>
      </c>
      <c r="AH8" s="33">
        <f t="shared" si="1"/>
        <v>35</v>
      </c>
      <c r="AI8" s="40">
        <f t="shared" si="0"/>
        <v>0.49928673323823108</v>
      </c>
    </row>
    <row r="9" spans="1:35" x14ac:dyDescent="0.2">
      <c r="A9" s="27" t="s">
        <v>7</v>
      </c>
      <c r="B9" s="42"/>
      <c r="C9" s="67">
        <v>2</v>
      </c>
      <c r="D9" s="67">
        <v>7</v>
      </c>
      <c r="E9" s="67">
        <v>16</v>
      </c>
      <c r="F9" s="67">
        <v>5</v>
      </c>
      <c r="G9" s="67">
        <v>31</v>
      </c>
      <c r="H9" s="67">
        <v>33</v>
      </c>
      <c r="I9" s="67">
        <v>41</v>
      </c>
      <c r="J9" s="67">
        <v>54</v>
      </c>
      <c r="K9" s="67">
        <v>20</v>
      </c>
      <c r="L9" s="67">
        <v>3</v>
      </c>
      <c r="M9" s="67">
        <v>3</v>
      </c>
      <c r="N9" s="67">
        <v>5</v>
      </c>
      <c r="O9" s="67">
        <v>6</v>
      </c>
      <c r="P9" s="67">
        <v>120</v>
      </c>
      <c r="Q9" s="67">
        <v>37</v>
      </c>
      <c r="R9" s="67">
        <v>45</v>
      </c>
      <c r="S9" s="67">
        <v>29</v>
      </c>
      <c r="T9" s="67">
        <v>83</v>
      </c>
      <c r="U9" s="67">
        <v>36</v>
      </c>
      <c r="V9" s="67">
        <v>43</v>
      </c>
      <c r="W9" s="67">
        <v>24</v>
      </c>
      <c r="X9" s="67">
        <v>34</v>
      </c>
      <c r="Y9" s="67">
        <v>2</v>
      </c>
      <c r="Z9" s="67">
        <v>0</v>
      </c>
      <c r="AA9" s="67">
        <v>6</v>
      </c>
      <c r="AB9" s="42"/>
      <c r="AC9" s="33">
        <v>17</v>
      </c>
      <c r="AD9" s="67">
        <v>9</v>
      </c>
      <c r="AE9" s="67">
        <v>2</v>
      </c>
      <c r="AF9" s="33">
        <v>4</v>
      </c>
      <c r="AG9" s="33">
        <v>32</v>
      </c>
      <c r="AH9" s="33">
        <f t="shared" si="1"/>
        <v>749</v>
      </c>
      <c r="AI9" s="40">
        <f t="shared" si="0"/>
        <v>10.684736091298145</v>
      </c>
    </row>
    <row r="10" spans="1:35" x14ac:dyDescent="0.2">
      <c r="A10" s="27" t="s">
        <v>9</v>
      </c>
      <c r="B10" s="42"/>
      <c r="C10" s="67">
        <v>0</v>
      </c>
      <c r="D10" s="67">
        <v>2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42"/>
      <c r="AC10" s="33">
        <v>0</v>
      </c>
      <c r="AD10" s="67">
        <v>0</v>
      </c>
      <c r="AE10" s="67">
        <v>0</v>
      </c>
      <c r="AF10" s="33">
        <v>0</v>
      </c>
      <c r="AG10" s="33">
        <v>0</v>
      </c>
      <c r="AH10" s="33">
        <f t="shared" si="1"/>
        <v>4</v>
      </c>
      <c r="AI10" s="40">
        <f t="shared" si="0"/>
        <v>5.7061340941512127E-2</v>
      </c>
    </row>
    <row r="11" spans="1:35" x14ac:dyDescent="0.2">
      <c r="A11" s="27" t="s">
        <v>10</v>
      </c>
      <c r="B11" s="42"/>
      <c r="C11" s="67">
        <v>0</v>
      </c>
      <c r="D11" s="67">
        <v>0</v>
      </c>
      <c r="E11" s="67">
        <v>1</v>
      </c>
      <c r="F11" s="67">
        <v>1</v>
      </c>
      <c r="G11" s="67">
        <v>0</v>
      </c>
      <c r="H11" s="67">
        <v>3</v>
      </c>
      <c r="I11" s="67">
        <v>1</v>
      </c>
      <c r="J11" s="67">
        <v>3</v>
      </c>
      <c r="K11" s="67">
        <v>2</v>
      </c>
      <c r="L11" s="67">
        <v>1</v>
      </c>
      <c r="M11" s="67">
        <v>0</v>
      </c>
      <c r="N11" s="67">
        <v>1</v>
      </c>
      <c r="O11" s="67">
        <v>3</v>
      </c>
      <c r="P11" s="67">
        <v>2</v>
      </c>
      <c r="Q11" s="67">
        <v>2</v>
      </c>
      <c r="R11" s="67">
        <v>1</v>
      </c>
      <c r="S11" s="67">
        <v>3</v>
      </c>
      <c r="T11" s="67">
        <v>5</v>
      </c>
      <c r="U11" s="67">
        <v>0</v>
      </c>
      <c r="V11" s="67">
        <v>1</v>
      </c>
      <c r="W11" s="67">
        <v>4</v>
      </c>
      <c r="X11" s="67">
        <v>0</v>
      </c>
      <c r="Y11" s="67">
        <v>0</v>
      </c>
      <c r="Z11" s="67">
        <v>1</v>
      </c>
      <c r="AA11" s="67">
        <v>0</v>
      </c>
      <c r="AB11" s="42"/>
      <c r="AC11" s="33">
        <v>0</v>
      </c>
      <c r="AD11" s="67">
        <v>0</v>
      </c>
      <c r="AE11" s="67">
        <v>0</v>
      </c>
      <c r="AF11" s="33">
        <v>1</v>
      </c>
      <c r="AG11" s="33">
        <v>0</v>
      </c>
      <c r="AH11" s="33">
        <f t="shared" si="1"/>
        <v>36</v>
      </c>
      <c r="AI11" s="40">
        <f t="shared" si="0"/>
        <v>0.51355206847360912</v>
      </c>
    </row>
    <row r="12" spans="1:35" x14ac:dyDescent="0.2">
      <c r="A12" s="27" t="s">
        <v>11</v>
      </c>
      <c r="B12" s="42"/>
      <c r="C12" s="67">
        <v>0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1</v>
      </c>
      <c r="J12" s="67">
        <v>0</v>
      </c>
      <c r="K12" s="67">
        <v>0</v>
      </c>
      <c r="L12" s="67">
        <v>0</v>
      </c>
      <c r="M12" s="67">
        <v>0</v>
      </c>
      <c r="N12" s="67">
        <v>1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0</v>
      </c>
      <c r="AA12" s="67">
        <v>0</v>
      </c>
      <c r="AB12" s="42"/>
      <c r="AC12" s="33">
        <v>0</v>
      </c>
      <c r="AD12" s="67">
        <v>0</v>
      </c>
      <c r="AE12" s="67">
        <v>0</v>
      </c>
      <c r="AF12" s="33">
        <v>0</v>
      </c>
      <c r="AG12" s="33">
        <v>0</v>
      </c>
      <c r="AH12" s="33">
        <f t="shared" si="1"/>
        <v>2</v>
      </c>
      <c r="AI12" s="40">
        <f t="shared" si="0"/>
        <v>2.8530670470756064E-2</v>
      </c>
    </row>
    <row r="13" spans="1:35" x14ac:dyDescent="0.2">
      <c r="A13" s="27" t="s">
        <v>503</v>
      </c>
      <c r="B13" s="42"/>
      <c r="C13" s="67">
        <v>0</v>
      </c>
      <c r="D13" s="67">
        <v>0</v>
      </c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3</v>
      </c>
      <c r="Y13" s="67">
        <v>0</v>
      </c>
      <c r="Z13" s="67">
        <v>2</v>
      </c>
      <c r="AA13" s="67">
        <v>0</v>
      </c>
      <c r="AB13" s="42"/>
      <c r="AC13" s="33">
        <v>0</v>
      </c>
      <c r="AD13" s="67">
        <v>0</v>
      </c>
      <c r="AE13" s="67">
        <v>1</v>
      </c>
      <c r="AF13" s="33">
        <v>0</v>
      </c>
      <c r="AG13" s="33">
        <v>0</v>
      </c>
      <c r="AH13" s="33">
        <f t="shared" si="1"/>
        <v>6</v>
      </c>
      <c r="AI13" s="40">
        <f t="shared" si="0"/>
        <v>8.5592011412268187E-2</v>
      </c>
    </row>
    <row r="14" spans="1:35" x14ac:dyDescent="0.2">
      <c r="A14" s="27" t="s">
        <v>469</v>
      </c>
      <c r="B14" s="42"/>
      <c r="C14" s="67">
        <v>0</v>
      </c>
      <c r="D14" s="67">
        <v>0</v>
      </c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v>0</v>
      </c>
      <c r="AB14" s="42"/>
      <c r="AC14" s="33">
        <v>0</v>
      </c>
      <c r="AD14" s="67">
        <v>0</v>
      </c>
      <c r="AE14" s="67">
        <v>0</v>
      </c>
      <c r="AF14" s="33">
        <v>0</v>
      </c>
      <c r="AG14" s="33">
        <v>0</v>
      </c>
      <c r="AH14" s="33">
        <f t="shared" si="1"/>
        <v>0</v>
      </c>
      <c r="AI14" s="40">
        <f t="shared" si="0"/>
        <v>0</v>
      </c>
    </row>
    <row r="15" spans="1:35" x14ac:dyDescent="0.2">
      <c r="A15" s="27" t="s">
        <v>13</v>
      </c>
      <c r="B15" s="42"/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1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1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42"/>
      <c r="AC15" s="33">
        <v>0</v>
      </c>
      <c r="AD15" s="67">
        <v>0</v>
      </c>
      <c r="AE15" s="67">
        <v>0</v>
      </c>
      <c r="AF15" s="33">
        <v>0</v>
      </c>
      <c r="AG15" s="33">
        <v>0</v>
      </c>
      <c r="AH15" s="33">
        <f t="shared" si="1"/>
        <v>2</v>
      </c>
      <c r="AI15" s="40">
        <f t="shared" si="0"/>
        <v>2.8530670470756064E-2</v>
      </c>
    </row>
    <row r="16" spans="1:35" x14ac:dyDescent="0.2">
      <c r="A16" s="27" t="s">
        <v>14</v>
      </c>
      <c r="B16" s="42"/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42"/>
      <c r="AC16" s="33">
        <v>0</v>
      </c>
      <c r="AD16" s="67">
        <v>0</v>
      </c>
      <c r="AE16" s="67">
        <v>0</v>
      </c>
      <c r="AF16" s="33">
        <v>0</v>
      </c>
      <c r="AG16" s="33">
        <v>0</v>
      </c>
      <c r="AH16" s="33">
        <f t="shared" si="1"/>
        <v>0</v>
      </c>
      <c r="AI16" s="40">
        <f t="shared" si="0"/>
        <v>0</v>
      </c>
    </row>
    <row r="17" spans="1:35" x14ac:dyDescent="0.2">
      <c r="A17" s="27" t="s">
        <v>427</v>
      </c>
      <c r="B17" s="42"/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42"/>
      <c r="AC17" s="33">
        <v>0</v>
      </c>
      <c r="AD17" s="67">
        <v>0</v>
      </c>
      <c r="AE17" s="67">
        <v>0</v>
      </c>
      <c r="AF17" s="33">
        <v>0</v>
      </c>
      <c r="AG17" s="33">
        <v>0</v>
      </c>
      <c r="AH17" s="33">
        <f t="shared" si="1"/>
        <v>0</v>
      </c>
      <c r="AI17" s="40">
        <f t="shared" si="0"/>
        <v>0</v>
      </c>
    </row>
    <row r="18" spans="1:35" x14ac:dyDescent="0.2">
      <c r="A18" s="27" t="s">
        <v>15</v>
      </c>
      <c r="B18" s="42"/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1</v>
      </c>
      <c r="Q18" s="67">
        <v>1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42"/>
      <c r="AC18" s="33">
        <v>1</v>
      </c>
      <c r="AD18" s="67">
        <v>0</v>
      </c>
      <c r="AE18" s="67">
        <v>0</v>
      </c>
      <c r="AF18" s="33">
        <v>1</v>
      </c>
      <c r="AG18" s="33">
        <v>0</v>
      </c>
      <c r="AH18" s="33">
        <f t="shared" si="1"/>
        <v>4</v>
      </c>
      <c r="AI18" s="40">
        <f t="shared" si="0"/>
        <v>5.7061340941512127E-2</v>
      </c>
    </row>
    <row r="19" spans="1:35" x14ac:dyDescent="0.2">
      <c r="A19" s="27" t="s">
        <v>16</v>
      </c>
      <c r="B19" s="42"/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2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42"/>
      <c r="AC19" s="33">
        <v>0</v>
      </c>
      <c r="AD19" s="67">
        <v>0</v>
      </c>
      <c r="AE19" s="67">
        <v>0</v>
      </c>
      <c r="AF19" s="33">
        <v>0</v>
      </c>
      <c r="AG19" s="33">
        <v>0</v>
      </c>
      <c r="AH19" s="33">
        <f t="shared" si="1"/>
        <v>2</v>
      </c>
      <c r="AI19" s="40">
        <f t="shared" si="0"/>
        <v>2.8530670470756064E-2</v>
      </c>
    </row>
    <row r="20" spans="1:35" x14ac:dyDescent="0.2">
      <c r="A20" s="27" t="s">
        <v>17</v>
      </c>
      <c r="B20" s="42"/>
      <c r="C20" s="67">
        <v>0</v>
      </c>
      <c r="D20" s="67">
        <v>0</v>
      </c>
      <c r="E20" s="67">
        <v>1</v>
      </c>
      <c r="F20" s="67">
        <v>0</v>
      </c>
      <c r="G20" s="67">
        <v>6</v>
      </c>
      <c r="H20" s="67">
        <v>3</v>
      </c>
      <c r="I20" s="67">
        <v>2</v>
      </c>
      <c r="J20" s="67">
        <v>0</v>
      </c>
      <c r="K20" s="67">
        <v>5</v>
      </c>
      <c r="L20" s="67">
        <v>0</v>
      </c>
      <c r="M20" s="67">
        <v>0</v>
      </c>
      <c r="N20" s="67">
        <v>0</v>
      </c>
      <c r="O20" s="67">
        <v>0</v>
      </c>
      <c r="P20" s="67">
        <v>8</v>
      </c>
      <c r="Q20" s="67">
        <v>3</v>
      </c>
      <c r="R20" s="67">
        <v>6</v>
      </c>
      <c r="S20" s="67">
        <v>7</v>
      </c>
      <c r="T20" s="67">
        <v>0</v>
      </c>
      <c r="U20" s="67">
        <v>2</v>
      </c>
      <c r="V20" s="67">
        <v>2</v>
      </c>
      <c r="W20" s="67">
        <v>0</v>
      </c>
      <c r="X20" s="67">
        <v>0</v>
      </c>
      <c r="Y20" s="67">
        <v>0</v>
      </c>
      <c r="Z20" s="67">
        <v>0</v>
      </c>
      <c r="AA20" s="67">
        <v>1</v>
      </c>
      <c r="AB20" s="42"/>
      <c r="AC20" s="33">
        <v>2</v>
      </c>
      <c r="AD20" s="67">
        <v>1</v>
      </c>
      <c r="AE20" s="67">
        <v>4</v>
      </c>
      <c r="AF20" s="33">
        <v>2</v>
      </c>
      <c r="AG20" s="33">
        <v>0</v>
      </c>
      <c r="AH20" s="33">
        <f t="shared" si="1"/>
        <v>55</v>
      </c>
      <c r="AI20" s="40">
        <f t="shared" si="0"/>
        <v>0.78459343794579173</v>
      </c>
    </row>
    <row r="21" spans="1:35" x14ac:dyDescent="0.2">
      <c r="A21" s="27" t="s">
        <v>18</v>
      </c>
      <c r="B21" s="42" t="s">
        <v>789</v>
      </c>
      <c r="C21" s="67">
        <v>0</v>
      </c>
      <c r="D21" s="67">
        <v>1</v>
      </c>
      <c r="E21" s="67">
        <v>1</v>
      </c>
      <c r="F21" s="67">
        <v>2</v>
      </c>
      <c r="G21" s="67">
        <v>1</v>
      </c>
      <c r="H21" s="67">
        <v>3</v>
      </c>
      <c r="I21" s="67">
        <v>2</v>
      </c>
      <c r="J21" s="67">
        <v>3</v>
      </c>
      <c r="K21" s="67">
        <v>5</v>
      </c>
      <c r="L21" s="67">
        <v>3</v>
      </c>
      <c r="M21" s="67">
        <v>2</v>
      </c>
      <c r="N21" s="67">
        <v>3</v>
      </c>
      <c r="O21" s="67">
        <v>4</v>
      </c>
      <c r="P21" s="67">
        <v>1</v>
      </c>
      <c r="Q21" s="67">
        <v>3</v>
      </c>
      <c r="R21" s="67">
        <v>4</v>
      </c>
      <c r="S21" s="67">
        <v>3</v>
      </c>
      <c r="T21" s="67">
        <v>5</v>
      </c>
      <c r="U21" s="67">
        <v>2</v>
      </c>
      <c r="V21" s="67">
        <v>0</v>
      </c>
      <c r="W21" s="67">
        <v>3</v>
      </c>
      <c r="X21" s="67">
        <v>6</v>
      </c>
      <c r="Y21" s="67">
        <v>2</v>
      </c>
      <c r="Z21" s="67">
        <v>1</v>
      </c>
      <c r="AA21" s="67">
        <v>2</v>
      </c>
      <c r="AB21" s="42" t="s">
        <v>667</v>
      </c>
      <c r="AC21" s="33">
        <v>5</v>
      </c>
      <c r="AD21" s="67">
        <v>2</v>
      </c>
      <c r="AE21" s="67">
        <v>0</v>
      </c>
      <c r="AF21" s="33">
        <v>4</v>
      </c>
      <c r="AG21" s="33">
        <v>0</v>
      </c>
      <c r="AH21" s="33">
        <f t="shared" si="1"/>
        <v>73</v>
      </c>
      <c r="AI21" s="40">
        <f t="shared" si="0"/>
        <v>1.0413694721825963</v>
      </c>
    </row>
    <row r="22" spans="1:35" x14ac:dyDescent="0.2">
      <c r="A22" s="27" t="s">
        <v>19</v>
      </c>
      <c r="B22" s="42"/>
      <c r="C22" s="67">
        <v>7</v>
      </c>
      <c r="D22" s="67">
        <v>31</v>
      </c>
      <c r="E22" s="67">
        <v>49</v>
      </c>
      <c r="F22" s="67">
        <v>26</v>
      </c>
      <c r="G22" s="67">
        <v>52</v>
      </c>
      <c r="H22" s="67">
        <v>47</v>
      </c>
      <c r="I22" s="67">
        <v>32</v>
      </c>
      <c r="J22" s="67">
        <v>31</v>
      </c>
      <c r="K22" s="67">
        <v>35</v>
      </c>
      <c r="L22" s="67">
        <v>15</v>
      </c>
      <c r="M22" s="67">
        <v>9</v>
      </c>
      <c r="N22" s="67">
        <v>21</v>
      </c>
      <c r="O22" s="67">
        <v>17</v>
      </c>
      <c r="P22" s="67">
        <v>12</v>
      </c>
      <c r="Q22" s="67">
        <v>47</v>
      </c>
      <c r="R22" s="67">
        <v>32</v>
      </c>
      <c r="S22" s="67">
        <v>46</v>
      </c>
      <c r="T22" s="67">
        <v>57</v>
      </c>
      <c r="U22" s="67">
        <v>16</v>
      </c>
      <c r="V22" s="67">
        <v>26</v>
      </c>
      <c r="W22" s="67">
        <v>32</v>
      </c>
      <c r="X22" s="67">
        <v>38</v>
      </c>
      <c r="Y22" s="67">
        <v>25</v>
      </c>
      <c r="Z22" s="67">
        <v>18</v>
      </c>
      <c r="AA22" s="67">
        <v>11</v>
      </c>
      <c r="AB22" s="42"/>
      <c r="AC22" s="33">
        <v>3</v>
      </c>
      <c r="AD22" s="67">
        <v>36</v>
      </c>
      <c r="AE22" s="67">
        <v>38</v>
      </c>
      <c r="AF22" s="33">
        <v>30</v>
      </c>
      <c r="AG22" s="33">
        <v>25</v>
      </c>
      <c r="AH22" s="33">
        <f t="shared" si="1"/>
        <v>864</v>
      </c>
      <c r="AI22" s="40">
        <f t="shared" si="0"/>
        <v>12.325249643366618</v>
      </c>
    </row>
    <row r="23" spans="1:35" x14ac:dyDescent="0.2">
      <c r="A23" s="27" t="s">
        <v>20</v>
      </c>
      <c r="B23" s="42"/>
      <c r="C23" s="67">
        <v>0</v>
      </c>
      <c r="D23" s="67">
        <v>0</v>
      </c>
      <c r="E23" s="67">
        <v>0</v>
      </c>
      <c r="F23" s="67">
        <v>0</v>
      </c>
      <c r="G23" s="67">
        <v>3</v>
      </c>
      <c r="H23" s="67">
        <v>3</v>
      </c>
      <c r="I23" s="67">
        <v>3</v>
      </c>
      <c r="J23" s="67">
        <v>3</v>
      </c>
      <c r="K23" s="67">
        <v>4</v>
      </c>
      <c r="L23" s="67">
        <v>1</v>
      </c>
      <c r="M23" s="67">
        <v>0</v>
      </c>
      <c r="N23" s="67">
        <v>3</v>
      </c>
      <c r="O23" s="67">
        <v>0</v>
      </c>
      <c r="P23" s="67">
        <v>1</v>
      </c>
      <c r="Q23" s="67">
        <v>6</v>
      </c>
      <c r="R23" s="67">
        <v>0</v>
      </c>
      <c r="S23" s="67">
        <v>3</v>
      </c>
      <c r="T23" s="67">
        <v>20</v>
      </c>
      <c r="U23" s="67">
        <v>0</v>
      </c>
      <c r="V23" s="67">
        <v>2</v>
      </c>
      <c r="W23" s="67">
        <v>2</v>
      </c>
      <c r="X23" s="67">
        <v>10</v>
      </c>
      <c r="Y23" s="67">
        <v>0</v>
      </c>
      <c r="Z23" s="67">
        <v>1</v>
      </c>
      <c r="AA23" s="67">
        <v>0</v>
      </c>
      <c r="AB23" s="42"/>
      <c r="AC23" s="33">
        <v>4</v>
      </c>
      <c r="AD23" s="67">
        <v>1</v>
      </c>
      <c r="AE23" s="67">
        <v>1</v>
      </c>
      <c r="AF23" s="33">
        <v>1</v>
      </c>
      <c r="AG23" s="33">
        <v>0</v>
      </c>
      <c r="AH23" s="33">
        <f t="shared" si="1"/>
        <v>72</v>
      </c>
      <c r="AI23" s="40">
        <f t="shared" si="0"/>
        <v>1.0271041369472182</v>
      </c>
    </row>
    <row r="24" spans="1:35" x14ac:dyDescent="0.2">
      <c r="A24" s="27" t="s">
        <v>645</v>
      </c>
      <c r="B24" s="42"/>
      <c r="C24" s="67">
        <v>1</v>
      </c>
      <c r="D24" s="67">
        <v>2</v>
      </c>
      <c r="E24" s="67">
        <v>2</v>
      </c>
      <c r="F24" s="67">
        <v>1</v>
      </c>
      <c r="G24" s="67">
        <v>3</v>
      </c>
      <c r="H24" s="67">
        <v>8</v>
      </c>
      <c r="I24" s="67">
        <v>17</v>
      </c>
      <c r="J24" s="67">
        <v>16</v>
      </c>
      <c r="K24" s="67">
        <v>30</v>
      </c>
      <c r="L24" s="67">
        <v>5</v>
      </c>
      <c r="M24" s="67">
        <v>0</v>
      </c>
      <c r="N24" s="67">
        <v>3</v>
      </c>
      <c r="O24" s="67">
        <v>1</v>
      </c>
      <c r="P24" s="67">
        <v>48</v>
      </c>
      <c r="Q24" s="67">
        <v>37</v>
      </c>
      <c r="R24" s="67">
        <v>35</v>
      </c>
      <c r="S24" s="67">
        <v>29</v>
      </c>
      <c r="T24" s="67">
        <v>144</v>
      </c>
      <c r="U24" s="67">
        <v>42</v>
      </c>
      <c r="V24" s="67">
        <v>48</v>
      </c>
      <c r="W24" s="67">
        <v>30</v>
      </c>
      <c r="X24" s="67">
        <v>64</v>
      </c>
      <c r="Y24" s="67">
        <v>3</v>
      </c>
      <c r="Z24" s="67">
        <v>0</v>
      </c>
      <c r="AA24" s="67">
        <v>13</v>
      </c>
      <c r="AB24" s="42"/>
      <c r="AC24" s="33">
        <v>8</v>
      </c>
      <c r="AD24" s="67">
        <v>9</v>
      </c>
      <c r="AE24" s="67">
        <v>19</v>
      </c>
      <c r="AF24" s="33">
        <v>77</v>
      </c>
      <c r="AG24" s="33">
        <v>50</v>
      </c>
      <c r="AH24" s="33">
        <f t="shared" si="1"/>
        <v>745</v>
      </c>
      <c r="AI24" s="40">
        <f t="shared" si="0"/>
        <v>10.627674750356633</v>
      </c>
    </row>
    <row r="25" spans="1:35" x14ac:dyDescent="0.2">
      <c r="A25" s="27" t="s">
        <v>200</v>
      </c>
      <c r="B25" s="42"/>
      <c r="C25" s="67">
        <v>0</v>
      </c>
      <c r="D25" s="67">
        <v>5</v>
      </c>
      <c r="E25" s="67">
        <v>2</v>
      </c>
      <c r="F25" s="67">
        <v>8</v>
      </c>
      <c r="G25" s="67">
        <v>7</v>
      </c>
      <c r="H25" s="67">
        <v>6</v>
      </c>
      <c r="I25" s="67">
        <v>12</v>
      </c>
      <c r="J25" s="67">
        <v>25</v>
      </c>
      <c r="K25" s="67">
        <v>7</v>
      </c>
      <c r="L25" s="67">
        <v>8</v>
      </c>
      <c r="M25" s="67">
        <v>4</v>
      </c>
      <c r="N25" s="67">
        <v>4</v>
      </c>
      <c r="O25" s="67">
        <v>12</v>
      </c>
      <c r="P25" s="67">
        <v>45</v>
      </c>
      <c r="Q25" s="67">
        <v>11</v>
      </c>
      <c r="R25" s="67">
        <v>19</v>
      </c>
      <c r="S25" s="67">
        <v>17</v>
      </c>
      <c r="T25" s="67">
        <v>53</v>
      </c>
      <c r="U25" s="67">
        <v>31</v>
      </c>
      <c r="V25" s="67">
        <v>17</v>
      </c>
      <c r="W25" s="67">
        <v>3</v>
      </c>
      <c r="X25" s="67">
        <v>12</v>
      </c>
      <c r="Y25" s="67">
        <v>0</v>
      </c>
      <c r="Z25" s="67">
        <v>0</v>
      </c>
      <c r="AA25" s="67">
        <v>3</v>
      </c>
      <c r="AB25" s="42"/>
      <c r="AC25" s="33">
        <v>0</v>
      </c>
      <c r="AD25" s="67">
        <v>0</v>
      </c>
      <c r="AE25" s="67">
        <v>8</v>
      </c>
      <c r="AF25" s="33">
        <v>9</v>
      </c>
      <c r="AG25" s="33">
        <v>6</v>
      </c>
      <c r="AH25" s="33">
        <f t="shared" si="1"/>
        <v>334</v>
      </c>
      <c r="AI25" s="40">
        <f t="shared" si="0"/>
        <v>4.7646219686162627</v>
      </c>
    </row>
    <row r="26" spans="1:35" x14ac:dyDescent="0.2">
      <c r="A26" s="27" t="s">
        <v>435</v>
      </c>
      <c r="B26" s="42"/>
      <c r="C26" s="67">
        <v>0</v>
      </c>
      <c r="D26" s="67">
        <v>0</v>
      </c>
      <c r="E26" s="67">
        <v>0</v>
      </c>
      <c r="F26" s="67">
        <v>2</v>
      </c>
      <c r="G26" s="67">
        <v>11</v>
      </c>
      <c r="H26" s="67">
        <v>5</v>
      </c>
      <c r="I26" s="67">
        <v>14</v>
      </c>
      <c r="J26" s="67">
        <v>18</v>
      </c>
      <c r="K26" s="67">
        <v>23</v>
      </c>
      <c r="L26" s="67">
        <v>2</v>
      </c>
      <c r="M26" s="67">
        <v>0</v>
      </c>
      <c r="N26" s="67">
        <v>1</v>
      </c>
      <c r="O26" s="67">
        <v>3</v>
      </c>
      <c r="P26" s="67">
        <v>13</v>
      </c>
      <c r="Q26" s="67">
        <v>0</v>
      </c>
      <c r="R26" s="67">
        <v>3</v>
      </c>
      <c r="S26" s="67">
        <v>4</v>
      </c>
      <c r="T26" s="67">
        <v>0</v>
      </c>
      <c r="U26" s="67">
        <v>3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42"/>
      <c r="AC26" s="33">
        <v>10</v>
      </c>
      <c r="AD26" s="67">
        <v>4</v>
      </c>
      <c r="AE26" s="67">
        <v>7</v>
      </c>
      <c r="AF26" s="33">
        <v>9</v>
      </c>
      <c r="AG26" s="33">
        <v>6</v>
      </c>
      <c r="AH26" s="33">
        <f t="shared" si="1"/>
        <v>138</v>
      </c>
      <c r="AI26" s="40">
        <f t="shared" si="0"/>
        <v>1.9686162624821684</v>
      </c>
    </row>
    <row r="27" spans="1:35" x14ac:dyDescent="0.2">
      <c r="A27" s="27" t="s">
        <v>22</v>
      </c>
      <c r="B27" s="42"/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67">
        <v>0</v>
      </c>
      <c r="N27" s="67">
        <v>2</v>
      </c>
      <c r="O27" s="67">
        <v>0</v>
      </c>
      <c r="P27" s="67">
        <v>0</v>
      </c>
      <c r="Q27" s="67">
        <v>0</v>
      </c>
      <c r="R27" s="67">
        <v>1</v>
      </c>
      <c r="S27" s="67">
        <v>1</v>
      </c>
      <c r="T27" s="67">
        <v>0</v>
      </c>
      <c r="U27" s="67">
        <v>0</v>
      </c>
      <c r="V27" s="67">
        <v>0</v>
      </c>
      <c r="W27" s="67">
        <v>1</v>
      </c>
      <c r="X27" s="67">
        <v>0</v>
      </c>
      <c r="Y27" s="67">
        <v>0</v>
      </c>
      <c r="Z27" s="67">
        <v>0</v>
      </c>
      <c r="AA27" s="67">
        <v>0</v>
      </c>
      <c r="AB27" s="42"/>
      <c r="AC27" s="33">
        <v>0</v>
      </c>
      <c r="AD27" s="67">
        <v>0</v>
      </c>
      <c r="AE27" s="67">
        <v>0</v>
      </c>
      <c r="AF27" s="33">
        <v>0</v>
      </c>
      <c r="AG27" s="33">
        <v>0</v>
      </c>
      <c r="AH27" s="33">
        <f t="shared" si="1"/>
        <v>6</v>
      </c>
      <c r="AI27" s="40">
        <f t="shared" si="0"/>
        <v>8.5592011412268187E-2</v>
      </c>
    </row>
    <row r="28" spans="1:35" x14ac:dyDescent="0.2">
      <c r="A28" s="27" t="s">
        <v>23</v>
      </c>
      <c r="B28" s="42"/>
      <c r="C28" s="67">
        <v>0</v>
      </c>
      <c r="D28" s="67">
        <v>0</v>
      </c>
      <c r="E28" s="67">
        <v>2</v>
      </c>
      <c r="F28" s="67">
        <v>1</v>
      </c>
      <c r="G28" s="67">
        <v>0</v>
      </c>
      <c r="H28" s="67">
        <v>2</v>
      </c>
      <c r="I28" s="67">
        <v>2</v>
      </c>
      <c r="J28" s="67">
        <v>1</v>
      </c>
      <c r="K28" s="67">
        <v>5</v>
      </c>
      <c r="L28" s="67">
        <v>2</v>
      </c>
      <c r="M28" s="67">
        <v>0</v>
      </c>
      <c r="N28" s="67">
        <v>2</v>
      </c>
      <c r="O28" s="67">
        <v>1</v>
      </c>
      <c r="P28" s="67">
        <v>1</v>
      </c>
      <c r="Q28" s="67">
        <v>3</v>
      </c>
      <c r="R28" s="67">
        <v>0</v>
      </c>
      <c r="S28" s="67">
        <v>0</v>
      </c>
      <c r="T28" s="67">
        <v>0</v>
      </c>
      <c r="U28" s="67">
        <v>0</v>
      </c>
      <c r="V28" s="67">
        <v>2</v>
      </c>
      <c r="W28" s="67">
        <v>0</v>
      </c>
      <c r="X28" s="67">
        <v>1</v>
      </c>
      <c r="Y28" s="67">
        <v>0</v>
      </c>
      <c r="Z28" s="67">
        <v>0</v>
      </c>
      <c r="AA28" s="67">
        <v>1</v>
      </c>
      <c r="AB28" s="42"/>
      <c r="AC28" s="33">
        <v>1</v>
      </c>
      <c r="AD28" s="67">
        <v>0</v>
      </c>
      <c r="AE28" s="67">
        <v>1</v>
      </c>
      <c r="AF28" s="33">
        <v>1</v>
      </c>
      <c r="AG28" s="33">
        <v>1</v>
      </c>
      <c r="AH28" s="33">
        <f t="shared" si="1"/>
        <v>30</v>
      </c>
      <c r="AI28" s="40">
        <f t="shared" si="0"/>
        <v>0.42796005706134094</v>
      </c>
    </row>
    <row r="29" spans="1:35" x14ac:dyDescent="0.2">
      <c r="A29" s="27" t="s">
        <v>214</v>
      </c>
      <c r="B29" s="42"/>
      <c r="C29" s="67">
        <v>0</v>
      </c>
      <c r="D29" s="67">
        <v>0</v>
      </c>
      <c r="E29" s="67">
        <v>0</v>
      </c>
      <c r="F29" s="67">
        <v>0</v>
      </c>
      <c r="G29" s="67">
        <v>1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7">
        <v>0</v>
      </c>
      <c r="P29" s="67">
        <v>0</v>
      </c>
      <c r="Q29" s="67">
        <v>0</v>
      </c>
      <c r="R29" s="67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42"/>
      <c r="AC29" s="33">
        <v>0</v>
      </c>
      <c r="AD29" s="67">
        <v>0</v>
      </c>
      <c r="AE29" s="67">
        <v>0</v>
      </c>
      <c r="AF29" s="33">
        <v>0</v>
      </c>
      <c r="AG29" s="33">
        <v>0</v>
      </c>
      <c r="AH29" s="33">
        <f t="shared" si="1"/>
        <v>1</v>
      </c>
      <c r="AI29" s="40">
        <f t="shared" si="0"/>
        <v>1.4265335235378032E-2</v>
      </c>
    </row>
    <row r="30" spans="1:35" x14ac:dyDescent="0.2">
      <c r="A30" s="27" t="s">
        <v>194</v>
      </c>
      <c r="B30" s="42"/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1</v>
      </c>
      <c r="J30" s="67">
        <v>1</v>
      </c>
      <c r="K30" s="67">
        <v>1</v>
      </c>
      <c r="L30" s="67">
        <v>0</v>
      </c>
      <c r="M30" s="67">
        <v>0</v>
      </c>
      <c r="N30" s="67">
        <v>0</v>
      </c>
      <c r="O30" s="67">
        <v>1</v>
      </c>
      <c r="P30" s="67">
        <v>1</v>
      </c>
      <c r="Q30" s="67">
        <v>0</v>
      </c>
      <c r="R30" s="67">
        <v>2</v>
      </c>
      <c r="S30" s="67">
        <v>0</v>
      </c>
      <c r="T30" s="67">
        <v>3</v>
      </c>
      <c r="U30" s="67">
        <v>2</v>
      </c>
      <c r="V30" s="67">
        <v>1</v>
      </c>
      <c r="W30" s="67">
        <v>0</v>
      </c>
      <c r="X30" s="67">
        <v>0</v>
      </c>
      <c r="Y30" s="67">
        <v>0</v>
      </c>
      <c r="Z30" s="67">
        <v>0</v>
      </c>
      <c r="AA30" s="67">
        <v>1</v>
      </c>
      <c r="AB30" s="42"/>
      <c r="AC30" s="33">
        <v>0</v>
      </c>
      <c r="AD30" s="67">
        <v>0</v>
      </c>
      <c r="AE30" s="67">
        <v>0</v>
      </c>
      <c r="AF30" s="33">
        <v>1</v>
      </c>
      <c r="AG30" s="33">
        <v>0</v>
      </c>
      <c r="AH30" s="33">
        <f t="shared" si="1"/>
        <v>15</v>
      </c>
      <c r="AI30" s="40">
        <f t="shared" si="0"/>
        <v>0.21398002853067047</v>
      </c>
    </row>
    <row r="31" spans="1:35" x14ac:dyDescent="0.2">
      <c r="A31" s="27" t="s">
        <v>195</v>
      </c>
      <c r="B31" s="42"/>
      <c r="C31" s="67">
        <v>0</v>
      </c>
      <c r="D31" s="67">
        <v>0</v>
      </c>
      <c r="E31" s="67">
        <v>1</v>
      </c>
      <c r="F31" s="67">
        <v>0</v>
      </c>
      <c r="G31" s="67">
        <v>1</v>
      </c>
      <c r="H31" s="67">
        <v>2</v>
      </c>
      <c r="I31" s="67">
        <v>0</v>
      </c>
      <c r="J31" s="67">
        <v>0</v>
      </c>
      <c r="K31" s="67">
        <v>1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2</v>
      </c>
      <c r="R31" s="67">
        <v>1</v>
      </c>
      <c r="S31" s="67">
        <v>0</v>
      </c>
      <c r="T31" s="67">
        <v>2</v>
      </c>
      <c r="U31" s="67">
        <v>0</v>
      </c>
      <c r="V31" s="67">
        <v>0</v>
      </c>
      <c r="W31" s="67">
        <v>1</v>
      </c>
      <c r="X31" s="67">
        <v>1</v>
      </c>
      <c r="Y31" s="67">
        <v>0</v>
      </c>
      <c r="Z31" s="67">
        <v>0</v>
      </c>
      <c r="AA31" s="67">
        <v>0</v>
      </c>
      <c r="AB31" s="42"/>
      <c r="AC31" s="33">
        <v>0</v>
      </c>
      <c r="AD31" s="67">
        <v>0</v>
      </c>
      <c r="AE31" s="67">
        <v>0</v>
      </c>
      <c r="AF31" s="33">
        <v>1</v>
      </c>
      <c r="AG31" s="33">
        <v>0</v>
      </c>
      <c r="AH31" s="33">
        <f t="shared" si="1"/>
        <v>13</v>
      </c>
      <c r="AI31" s="40">
        <f t="shared" si="0"/>
        <v>0.18544935805991442</v>
      </c>
    </row>
    <row r="32" spans="1:35" x14ac:dyDescent="0.2">
      <c r="A32" s="27" t="s">
        <v>25</v>
      </c>
      <c r="B32" s="42"/>
      <c r="C32" s="67">
        <v>0</v>
      </c>
      <c r="D32" s="67">
        <v>0</v>
      </c>
      <c r="E32" s="67">
        <v>0</v>
      </c>
      <c r="F32" s="67">
        <v>2</v>
      </c>
      <c r="G32" s="67">
        <v>6</v>
      </c>
      <c r="H32" s="67">
        <v>6</v>
      </c>
      <c r="I32" s="67">
        <v>8</v>
      </c>
      <c r="J32" s="67">
        <v>8</v>
      </c>
      <c r="K32" s="67">
        <v>3</v>
      </c>
      <c r="L32" s="67">
        <v>7</v>
      </c>
      <c r="M32" s="67">
        <v>5</v>
      </c>
      <c r="N32" s="67">
        <v>6</v>
      </c>
      <c r="O32" s="67">
        <v>2</v>
      </c>
      <c r="P32" s="67">
        <v>1</v>
      </c>
      <c r="Q32" s="67">
        <v>12</v>
      </c>
      <c r="R32" s="67">
        <v>7</v>
      </c>
      <c r="S32" s="67">
        <v>10</v>
      </c>
      <c r="T32" s="67">
        <v>29</v>
      </c>
      <c r="U32" s="67">
        <v>3</v>
      </c>
      <c r="V32" s="67">
        <v>4</v>
      </c>
      <c r="W32" s="67">
        <v>8</v>
      </c>
      <c r="X32" s="67">
        <v>14</v>
      </c>
      <c r="Y32" s="67">
        <v>8</v>
      </c>
      <c r="Z32" s="67">
        <v>2</v>
      </c>
      <c r="AA32" s="67">
        <v>4</v>
      </c>
      <c r="AB32" s="42"/>
      <c r="AC32" s="33">
        <v>0</v>
      </c>
      <c r="AD32" s="67">
        <v>0</v>
      </c>
      <c r="AE32" s="67">
        <v>8</v>
      </c>
      <c r="AF32" s="33">
        <v>8</v>
      </c>
      <c r="AG32" s="33">
        <v>4</v>
      </c>
      <c r="AH32" s="33">
        <f t="shared" si="1"/>
        <v>175</v>
      </c>
      <c r="AI32" s="40">
        <f t="shared" si="0"/>
        <v>2.4964336661911553</v>
      </c>
    </row>
    <row r="33" spans="1:35" x14ac:dyDescent="0.2">
      <c r="A33" s="27" t="s">
        <v>646</v>
      </c>
      <c r="B33" s="42"/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v>3</v>
      </c>
      <c r="Q33" s="67">
        <v>0</v>
      </c>
      <c r="R33" s="67">
        <v>2</v>
      </c>
      <c r="S33" s="67">
        <v>0</v>
      </c>
      <c r="T33" s="67">
        <v>0</v>
      </c>
      <c r="U33" s="67">
        <v>2</v>
      </c>
      <c r="V33" s="67">
        <v>0</v>
      </c>
      <c r="W33" s="67">
        <v>1</v>
      </c>
      <c r="X33" s="67">
        <v>3</v>
      </c>
      <c r="Y33" s="67">
        <v>0</v>
      </c>
      <c r="Z33" s="67">
        <v>0</v>
      </c>
      <c r="AA33" s="67">
        <v>0</v>
      </c>
      <c r="AB33" s="42"/>
      <c r="AC33" s="33">
        <v>0</v>
      </c>
      <c r="AD33" s="67">
        <v>0</v>
      </c>
      <c r="AE33" s="67">
        <v>0</v>
      </c>
      <c r="AF33" s="33">
        <v>0</v>
      </c>
      <c r="AG33" s="33">
        <v>0</v>
      </c>
      <c r="AH33" s="33">
        <f t="shared" si="1"/>
        <v>11</v>
      </c>
      <c r="AI33" s="40">
        <f t="shared" si="0"/>
        <v>0.15691868758915833</v>
      </c>
    </row>
    <row r="34" spans="1:35" x14ac:dyDescent="0.2">
      <c r="A34" s="27" t="s">
        <v>26</v>
      </c>
      <c r="B34" s="42"/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42"/>
      <c r="AC34" s="33">
        <v>2</v>
      </c>
      <c r="AD34" s="67">
        <v>0</v>
      </c>
      <c r="AE34" s="67">
        <v>0</v>
      </c>
      <c r="AF34" s="33">
        <v>0</v>
      </c>
      <c r="AG34" s="33">
        <v>0</v>
      </c>
      <c r="AH34" s="33">
        <f t="shared" si="1"/>
        <v>2</v>
      </c>
      <c r="AI34" s="40">
        <f t="shared" si="0"/>
        <v>2.8530670470756064E-2</v>
      </c>
    </row>
    <row r="35" spans="1:35" x14ac:dyDescent="0.2">
      <c r="A35" s="27" t="s">
        <v>27</v>
      </c>
      <c r="B35" s="42"/>
      <c r="C35" s="67">
        <v>4</v>
      </c>
      <c r="D35" s="67">
        <v>26</v>
      </c>
      <c r="E35" s="67">
        <v>24</v>
      </c>
      <c r="F35" s="67">
        <v>32</v>
      </c>
      <c r="G35" s="67">
        <v>41</v>
      </c>
      <c r="H35" s="67">
        <v>41</v>
      </c>
      <c r="I35" s="67">
        <v>55</v>
      </c>
      <c r="J35" s="67">
        <v>46</v>
      </c>
      <c r="K35" s="67">
        <v>65</v>
      </c>
      <c r="L35" s="67">
        <v>36</v>
      </c>
      <c r="M35" s="67">
        <v>15</v>
      </c>
      <c r="N35" s="67">
        <v>31</v>
      </c>
      <c r="O35" s="67">
        <v>22</v>
      </c>
      <c r="P35" s="67">
        <v>23</v>
      </c>
      <c r="Q35" s="67">
        <v>79</v>
      </c>
      <c r="R35" s="67">
        <v>58</v>
      </c>
      <c r="S35" s="67">
        <v>77</v>
      </c>
      <c r="T35" s="67">
        <v>96</v>
      </c>
      <c r="U35" s="67">
        <v>31</v>
      </c>
      <c r="V35" s="67">
        <v>61</v>
      </c>
      <c r="W35" s="67">
        <v>62</v>
      </c>
      <c r="X35" s="67">
        <v>48</v>
      </c>
      <c r="Y35" s="67">
        <v>37</v>
      </c>
      <c r="Z35" s="67">
        <v>8</v>
      </c>
      <c r="AA35" s="67">
        <v>22</v>
      </c>
      <c r="AB35" s="42"/>
      <c r="AC35" s="33">
        <v>42</v>
      </c>
      <c r="AD35" s="67">
        <v>40</v>
      </c>
      <c r="AE35" s="67">
        <v>61</v>
      </c>
      <c r="AF35" s="33">
        <v>47</v>
      </c>
      <c r="AG35" s="33">
        <v>57</v>
      </c>
      <c r="AH35" s="33">
        <f t="shared" si="1"/>
        <v>1287</v>
      </c>
      <c r="AI35" s="40">
        <f t="shared" si="0"/>
        <v>18.359486447931523</v>
      </c>
    </row>
    <row r="36" spans="1:35" x14ac:dyDescent="0.2">
      <c r="A36" s="27" t="s">
        <v>28</v>
      </c>
      <c r="B36" s="42"/>
      <c r="C36" s="67">
        <v>0</v>
      </c>
      <c r="D36" s="67">
        <v>0</v>
      </c>
      <c r="E36" s="67">
        <v>2</v>
      </c>
      <c r="F36" s="67">
        <v>0</v>
      </c>
      <c r="G36" s="67">
        <v>3</v>
      </c>
      <c r="H36" s="67">
        <v>0</v>
      </c>
      <c r="I36" s="67">
        <v>0</v>
      </c>
      <c r="J36" s="67">
        <v>2</v>
      </c>
      <c r="K36" s="67">
        <v>0</v>
      </c>
      <c r="L36" s="67">
        <v>0</v>
      </c>
      <c r="M36" s="67">
        <v>0</v>
      </c>
      <c r="N36" s="67">
        <v>2</v>
      </c>
      <c r="O36" s="67">
        <v>0</v>
      </c>
      <c r="P36" s="67">
        <v>0</v>
      </c>
      <c r="Q36" s="67">
        <v>0</v>
      </c>
      <c r="R36" s="67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42"/>
      <c r="AC36" s="33">
        <v>1</v>
      </c>
      <c r="AD36" s="67">
        <v>0</v>
      </c>
      <c r="AE36" s="67">
        <v>0</v>
      </c>
      <c r="AF36" s="33">
        <v>1</v>
      </c>
      <c r="AG36" s="33">
        <v>0</v>
      </c>
      <c r="AH36" s="33">
        <f t="shared" si="1"/>
        <v>11</v>
      </c>
      <c r="AI36" s="40">
        <f t="shared" si="0"/>
        <v>0.15691868758915833</v>
      </c>
    </row>
    <row r="37" spans="1:35" x14ac:dyDescent="0.2">
      <c r="A37" s="27" t="s">
        <v>29</v>
      </c>
      <c r="B37" s="42"/>
      <c r="C37" s="67">
        <v>0</v>
      </c>
      <c r="D37" s="67">
        <v>0</v>
      </c>
      <c r="E37" s="67">
        <v>1</v>
      </c>
      <c r="F37" s="67">
        <v>0</v>
      </c>
      <c r="G37" s="67">
        <v>0</v>
      </c>
      <c r="H37" s="67">
        <v>1</v>
      </c>
      <c r="I37" s="67">
        <v>0</v>
      </c>
      <c r="J37" s="67">
        <v>0</v>
      </c>
      <c r="K37" s="67">
        <v>0</v>
      </c>
      <c r="L37" s="67">
        <v>0</v>
      </c>
      <c r="M37" s="67">
        <v>1</v>
      </c>
      <c r="N37" s="67">
        <v>0</v>
      </c>
      <c r="O37" s="67">
        <v>0</v>
      </c>
      <c r="P37" s="67">
        <v>2</v>
      </c>
      <c r="Q37" s="67">
        <v>0</v>
      </c>
      <c r="R37" s="67">
        <v>2</v>
      </c>
      <c r="S37" s="67">
        <v>0</v>
      </c>
      <c r="T37" s="67">
        <v>1</v>
      </c>
      <c r="U37" s="67">
        <v>2</v>
      </c>
      <c r="V37" s="67">
        <v>2</v>
      </c>
      <c r="W37" s="67">
        <v>0</v>
      </c>
      <c r="X37" s="67">
        <v>0</v>
      </c>
      <c r="Y37" s="67">
        <v>0</v>
      </c>
      <c r="Z37" s="67">
        <v>0</v>
      </c>
      <c r="AA37" s="67">
        <v>1</v>
      </c>
      <c r="AB37" s="42"/>
      <c r="AC37" s="33">
        <v>0</v>
      </c>
      <c r="AD37" s="67">
        <v>0</v>
      </c>
      <c r="AE37" s="67">
        <v>0</v>
      </c>
      <c r="AF37" s="33">
        <v>1</v>
      </c>
      <c r="AG37" s="33">
        <v>2</v>
      </c>
      <c r="AH37" s="33">
        <f t="shared" si="1"/>
        <v>16</v>
      </c>
      <c r="AI37" s="40">
        <f t="shared" si="0"/>
        <v>0.22824536376604851</v>
      </c>
    </row>
    <row r="38" spans="1:35" x14ac:dyDescent="0.2">
      <c r="A38" s="27" t="s">
        <v>30</v>
      </c>
      <c r="B38" s="42"/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42"/>
      <c r="AC38" s="33">
        <v>0</v>
      </c>
      <c r="AD38" s="67">
        <v>0</v>
      </c>
      <c r="AE38" s="67">
        <v>0</v>
      </c>
      <c r="AF38" s="33">
        <v>0</v>
      </c>
      <c r="AG38" s="33">
        <v>0</v>
      </c>
      <c r="AH38" s="33">
        <f t="shared" si="1"/>
        <v>0</v>
      </c>
      <c r="AI38" s="40">
        <f t="shared" si="0"/>
        <v>0</v>
      </c>
    </row>
    <row r="39" spans="1:35" x14ac:dyDescent="0.2">
      <c r="A39" s="27" t="s">
        <v>442</v>
      </c>
      <c r="B39" s="42"/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42"/>
      <c r="AC39" s="33">
        <v>0</v>
      </c>
      <c r="AD39" s="67">
        <v>0</v>
      </c>
      <c r="AE39" s="67">
        <v>0</v>
      </c>
      <c r="AF39" s="33">
        <v>0</v>
      </c>
      <c r="AG39" s="33">
        <v>0</v>
      </c>
      <c r="AH39" s="33">
        <f t="shared" si="1"/>
        <v>0</v>
      </c>
      <c r="AI39" s="40">
        <f t="shared" si="0"/>
        <v>0</v>
      </c>
    </row>
    <row r="40" spans="1:35" x14ac:dyDescent="0.2">
      <c r="A40" s="27" t="s">
        <v>31</v>
      </c>
      <c r="B40" s="42"/>
      <c r="C40" s="67">
        <v>0</v>
      </c>
      <c r="D40" s="67">
        <v>1</v>
      </c>
      <c r="E40" s="67">
        <v>0</v>
      </c>
      <c r="F40" s="67">
        <v>0</v>
      </c>
      <c r="G40" s="67">
        <v>3</v>
      </c>
      <c r="H40" s="67">
        <v>4</v>
      </c>
      <c r="I40" s="67">
        <v>5</v>
      </c>
      <c r="J40" s="67">
        <v>0</v>
      </c>
      <c r="K40" s="67">
        <v>2</v>
      </c>
      <c r="L40" s="67">
        <v>0</v>
      </c>
      <c r="M40" s="67">
        <v>1</v>
      </c>
      <c r="N40" s="67">
        <v>1</v>
      </c>
      <c r="O40" s="67">
        <v>0</v>
      </c>
      <c r="P40" s="67">
        <v>2</v>
      </c>
      <c r="Q40" s="67">
        <v>3</v>
      </c>
      <c r="R40" s="67">
        <v>4</v>
      </c>
      <c r="S40" s="67">
        <v>0</v>
      </c>
      <c r="T40" s="67">
        <v>4</v>
      </c>
      <c r="U40" s="67">
        <v>3</v>
      </c>
      <c r="V40" s="67">
        <v>4</v>
      </c>
      <c r="W40" s="67">
        <v>0</v>
      </c>
      <c r="X40" s="67">
        <v>0</v>
      </c>
      <c r="Y40" s="67">
        <v>1</v>
      </c>
      <c r="Z40" s="67">
        <v>0</v>
      </c>
      <c r="AA40" s="67">
        <v>1</v>
      </c>
      <c r="AB40" s="42"/>
      <c r="AC40" s="33">
        <v>1</v>
      </c>
      <c r="AD40" s="67">
        <v>0</v>
      </c>
      <c r="AE40" s="67">
        <v>2</v>
      </c>
      <c r="AF40" s="33">
        <v>1</v>
      </c>
      <c r="AG40" s="33">
        <v>2</v>
      </c>
      <c r="AH40" s="33">
        <f t="shared" si="1"/>
        <v>45</v>
      </c>
      <c r="AI40" s="40">
        <f t="shared" si="0"/>
        <v>0.64194008559201143</v>
      </c>
    </row>
    <row r="41" spans="1:35" x14ac:dyDescent="0.2">
      <c r="A41" s="27" t="s">
        <v>32</v>
      </c>
      <c r="B41" s="42"/>
      <c r="C41" s="67">
        <v>0</v>
      </c>
      <c r="D41" s="67">
        <v>0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v>0</v>
      </c>
      <c r="T41" s="67">
        <v>0</v>
      </c>
      <c r="U41" s="67">
        <v>1</v>
      </c>
      <c r="V41" s="67">
        <v>1</v>
      </c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42"/>
      <c r="AC41" s="33">
        <v>0</v>
      </c>
      <c r="AD41" s="67">
        <v>0</v>
      </c>
      <c r="AE41" s="67">
        <v>0</v>
      </c>
      <c r="AF41" s="33">
        <v>1</v>
      </c>
      <c r="AG41" s="33">
        <v>1</v>
      </c>
      <c r="AH41" s="33">
        <f t="shared" si="1"/>
        <v>4</v>
      </c>
      <c r="AI41" s="40">
        <f t="shared" si="0"/>
        <v>5.7061340941512127E-2</v>
      </c>
    </row>
    <row r="42" spans="1:35" x14ac:dyDescent="0.2">
      <c r="A42" s="27" t="s">
        <v>33</v>
      </c>
      <c r="B42" s="42"/>
      <c r="C42" s="67">
        <v>0</v>
      </c>
      <c r="D42" s="67">
        <v>2</v>
      </c>
      <c r="E42" s="67">
        <v>4</v>
      </c>
      <c r="F42" s="67">
        <v>3</v>
      </c>
      <c r="G42" s="67">
        <v>2</v>
      </c>
      <c r="H42" s="67">
        <v>3</v>
      </c>
      <c r="I42" s="67">
        <v>2</v>
      </c>
      <c r="J42" s="67">
        <v>3</v>
      </c>
      <c r="K42" s="67">
        <v>3</v>
      </c>
      <c r="L42" s="67">
        <v>0</v>
      </c>
      <c r="M42" s="67">
        <v>0</v>
      </c>
      <c r="N42" s="67">
        <v>1</v>
      </c>
      <c r="O42" s="67">
        <v>3</v>
      </c>
      <c r="P42" s="67">
        <v>0</v>
      </c>
      <c r="Q42" s="67">
        <v>5</v>
      </c>
      <c r="R42" s="67">
        <v>0</v>
      </c>
      <c r="S42" s="67">
        <v>2</v>
      </c>
      <c r="T42" s="67">
        <v>5</v>
      </c>
      <c r="U42" s="67">
        <v>8</v>
      </c>
      <c r="V42" s="67">
        <v>6</v>
      </c>
      <c r="W42" s="67">
        <v>6</v>
      </c>
      <c r="X42" s="67">
        <v>8</v>
      </c>
      <c r="Y42" s="67">
        <v>0</v>
      </c>
      <c r="Z42" s="67">
        <v>2</v>
      </c>
      <c r="AA42" s="67">
        <v>3</v>
      </c>
      <c r="AB42" s="42"/>
      <c r="AC42" s="33">
        <v>3</v>
      </c>
      <c r="AD42" s="67">
        <v>8</v>
      </c>
      <c r="AE42" s="67">
        <v>1</v>
      </c>
      <c r="AF42" s="33">
        <v>3</v>
      </c>
      <c r="AG42" s="33">
        <v>6</v>
      </c>
      <c r="AH42" s="33">
        <f t="shared" si="1"/>
        <v>92</v>
      </c>
      <c r="AI42" s="40">
        <f t="shared" si="0"/>
        <v>1.3124108416547788</v>
      </c>
    </row>
    <row r="43" spans="1:35" x14ac:dyDescent="0.2">
      <c r="A43" s="27" t="s">
        <v>36</v>
      </c>
      <c r="B43" s="42"/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</v>
      </c>
      <c r="W43" s="67">
        <v>0</v>
      </c>
      <c r="X43" s="67">
        <v>0</v>
      </c>
      <c r="Y43" s="67">
        <v>0</v>
      </c>
      <c r="Z43" s="67">
        <v>0</v>
      </c>
      <c r="AA43" s="67">
        <v>0</v>
      </c>
      <c r="AB43" s="42"/>
      <c r="AC43" s="33">
        <v>0</v>
      </c>
      <c r="AD43" s="67">
        <v>0</v>
      </c>
      <c r="AE43" s="67">
        <v>0</v>
      </c>
      <c r="AF43" s="33">
        <v>0</v>
      </c>
      <c r="AG43" s="33">
        <v>0</v>
      </c>
      <c r="AH43" s="33">
        <f t="shared" si="1"/>
        <v>0</v>
      </c>
      <c r="AI43" s="40">
        <f t="shared" si="0"/>
        <v>0</v>
      </c>
    </row>
    <row r="44" spans="1:35" x14ac:dyDescent="0.2">
      <c r="A44" s="30" t="s">
        <v>344</v>
      </c>
      <c r="B44" s="69"/>
      <c r="C44" s="67">
        <f>SUM(C3:C43)</f>
        <v>14</v>
      </c>
      <c r="D44" s="67">
        <f t="shared" ref="D44:H44" si="2">SUM(D3:D43)</f>
        <v>87</v>
      </c>
      <c r="E44" s="67">
        <f>SUM(E3:E43)</f>
        <v>142</v>
      </c>
      <c r="F44" s="67">
        <f t="shared" si="2"/>
        <v>107</v>
      </c>
      <c r="G44" s="67">
        <f t="shared" si="2"/>
        <v>231</v>
      </c>
      <c r="H44" s="67">
        <f t="shared" si="2"/>
        <v>253</v>
      </c>
      <c r="I44" s="67">
        <f>SUM(I3:I43)</f>
        <v>309</v>
      </c>
      <c r="J44" s="67">
        <f t="shared" ref="J44:AA44" si="3">SUM(J3:J43)</f>
        <v>338</v>
      </c>
      <c r="K44" s="67">
        <f t="shared" si="3"/>
        <v>321</v>
      </c>
      <c r="L44" s="67">
        <f t="shared" si="3"/>
        <v>110</v>
      </c>
      <c r="M44" s="67">
        <f t="shared" si="3"/>
        <v>59</v>
      </c>
      <c r="N44" s="67">
        <f t="shared" si="3"/>
        <v>113</v>
      </c>
      <c r="O44" s="67">
        <f t="shared" si="3"/>
        <v>96</v>
      </c>
      <c r="P44" s="67">
        <f t="shared" si="3"/>
        <v>465</v>
      </c>
      <c r="Q44" s="67">
        <f t="shared" si="3"/>
        <v>341</v>
      </c>
      <c r="R44" s="67">
        <f t="shared" si="3"/>
        <v>376</v>
      </c>
      <c r="S44" s="67">
        <f t="shared" si="3"/>
        <v>324</v>
      </c>
      <c r="T44" s="67">
        <f t="shared" si="3"/>
        <v>722</v>
      </c>
      <c r="U44" s="67">
        <f t="shared" si="3"/>
        <v>259</v>
      </c>
      <c r="V44" s="67">
        <f t="shared" si="3"/>
        <v>380</v>
      </c>
      <c r="W44" s="67">
        <f t="shared" si="3"/>
        <v>257</v>
      </c>
      <c r="X44" s="67">
        <f t="shared" si="3"/>
        <v>358</v>
      </c>
      <c r="Y44" s="67">
        <f t="shared" si="3"/>
        <v>91</v>
      </c>
      <c r="Z44" s="67">
        <f t="shared" si="3"/>
        <v>37</v>
      </c>
      <c r="AA44" s="67">
        <f t="shared" si="3"/>
        <v>86</v>
      </c>
      <c r="AB44" s="69"/>
      <c r="AC44" s="67">
        <f>SUM(AC3:AC43)</f>
        <v>135</v>
      </c>
      <c r="AD44" s="67">
        <f t="shared" ref="AD44:AG44" si="4">SUM(AD3:AD43)</f>
        <v>133</v>
      </c>
      <c r="AE44" s="67">
        <f t="shared" si="4"/>
        <v>287</v>
      </c>
      <c r="AF44" s="67">
        <f t="shared" si="4"/>
        <v>355</v>
      </c>
      <c r="AG44" s="67">
        <f t="shared" si="4"/>
        <v>224</v>
      </c>
      <c r="AH44" s="33">
        <f>SUM(B44:AG44)</f>
        <v>7010</v>
      </c>
      <c r="AI44" s="40">
        <f t="shared" si="0"/>
        <v>100</v>
      </c>
    </row>
    <row r="45" spans="1:35" x14ac:dyDescent="0.2">
      <c r="AH45" s="33"/>
      <c r="AI45" s="40"/>
    </row>
    <row r="46" spans="1:35" x14ac:dyDescent="0.2">
      <c r="A46" s="27" t="s">
        <v>1480</v>
      </c>
    </row>
    <row r="47" spans="1:35" x14ac:dyDescent="0.2">
      <c r="A47" s="27" t="s">
        <v>1481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37"/>
  <sheetViews>
    <sheetView topLeftCell="A13" workbookViewId="0">
      <selection activeCell="A41" sqref="A41"/>
    </sheetView>
  </sheetViews>
  <sheetFormatPr defaultRowHeight="12.75" x14ac:dyDescent="0.2"/>
  <cols>
    <col min="1" max="1" width="26" bestFit="1" customWidth="1"/>
  </cols>
  <sheetData>
    <row r="1" spans="1:27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t="s">
        <v>517</v>
      </c>
    </row>
    <row r="2" spans="1:27" x14ac:dyDescent="0.2">
      <c r="A2" s="30" t="s">
        <v>287</v>
      </c>
      <c r="B2" s="70" t="s">
        <v>1434</v>
      </c>
      <c r="C2" s="70" t="s">
        <v>1435</v>
      </c>
      <c r="D2" s="70" t="s">
        <v>1436</v>
      </c>
      <c r="E2" s="70" t="s">
        <v>1437</v>
      </c>
      <c r="F2" s="70" t="s">
        <v>1438</v>
      </c>
      <c r="G2" s="70" t="s">
        <v>1439</v>
      </c>
      <c r="H2" s="70" t="s">
        <v>1453</v>
      </c>
      <c r="I2" s="70" t="s">
        <v>1440</v>
      </c>
      <c r="J2" s="70" t="s">
        <v>1441</v>
      </c>
      <c r="K2" s="70" t="s">
        <v>1442</v>
      </c>
      <c r="L2" s="70" t="s">
        <v>1443</v>
      </c>
      <c r="M2" s="70" t="s">
        <v>1444</v>
      </c>
      <c r="N2" s="70" t="s">
        <v>1445</v>
      </c>
      <c r="O2" s="70" t="s">
        <v>1446</v>
      </c>
      <c r="P2" s="70" t="s">
        <v>1447</v>
      </c>
      <c r="Q2" s="70" t="s">
        <v>1448</v>
      </c>
      <c r="R2" s="70" t="s">
        <v>1449</v>
      </c>
      <c r="S2" s="70" t="s">
        <v>1450</v>
      </c>
      <c r="T2" s="70" t="s">
        <v>1451</v>
      </c>
      <c r="U2" s="70" t="s">
        <v>1452</v>
      </c>
      <c r="V2" s="70" t="s">
        <v>1454</v>
      </c>
      <c r="W2" s="70" t="s">
        <v>1269</v>
      </c>
      <c r="X2" s="70" t="s">
        <v>1455</v>
      </c>
      <c r="Y2" s="70" t="s">
        <v>1456</v>
      </c>
      <c r="Z2" s="70" t="s">
        <v>1457</v>
      </c>
      <c r="AA2" s="70" t="s">
        <v>315</v>
      </c>
    </row>
    <row r="3" spans="1:27" x14ac:dyDescent="0.2">
      <c r="A3" s="27" t="s">
        <v>1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7</v>
      </c>
      <c r="J3">
        <v>10</v>
      </c>
      <c r="K3">
        <v>18</v>
      </c>
      <c r="L3">
        <v>16</v>
      </c>
      <c r="M3">
        <v>19</v>
      </c>
      <c r="N3">
        <v>15</v>
      </c>
      <c r="O3">
        <v>14</v>
      </c>
      <c r="P3">
        <v>27</v>
      </c>
      <c r="Q3">
        <v>31</v>
      </c>
      <c r="R3">
        <v>14</v>
      </c>
      <c r="S3">
        <v>18</v>
      </c>
      <c r="T3">
        <v>1</v>
      </c>
      <c r="U3">
        <v>21</v>
      </c>
      <c r="V3">
        <v>26</v>
      </c>
      <c r="W3">
        <v>5</v>
      </c>
      <c r="X3">
        <v>18</v>
      </c>
      <c r="Y3">
        <v>0</v>
      </c>
      <c r="Z3">
        <v>18</v>
      </c>
      <c r="AA3">
        <f>SUM(G3:Z3)</f>
        <v>279</v>
      </c>
    </row>
    <row r="4" spans="1:27" x14ac:dyDescent="0.2">
      <c r="A4" s="27" t="s">
        <v>3</v>
      </c>
      <c r="B4">
        <v>2</v>
      </c>
      <c r="C4">
        <v>0</v>
      </c>
      <c r="D4">
        <v>2</v>
      </c>
      <c r="E4">
        <v>3</v>
      </c>
      <c r="F4">
        <v>0</v>
      </c>
      <c r="G4">
        <v>4</v>
      </c>
      <c r="H4">
        <v>1</v>
      </c>
      <c r="I4">
        <v>21</v>
      </c>
      <c r="J4">
        <v>1</v>
      </c>
      <c r="K4">
        <v>2</v>
      </c>
      <c r="L4">
        <v>2</v>
      </c>
      <c r="M4">
        <v>6</v>
      </c>
      <c r="N4">
        <v>0</v>
      </c>
      <c r="O4">
        <v>3</v>
      </c>
      <c r="P4">
        <v>4</v>
      </c>
      <c r="Q4">
        <v>2</v>
      </c>
      <c r="R4">
        <v>2</v>
      </c>
      <c r="S4">
        <v>3</v>
      </c>
      <c r="T4">
        <v>2</v>
      </c>
      <c r="U4">
        <v>7</v>
      </c>
      <c r="V4">
        <v>6</v>
      </c>
      <c r="W4">
        <v>0</v>
      </c>
      <c r="X4">
        <v>1</v>
      </c>
      <c r="Y4">
        <v>3</v>
      </c>
      <c r="Z4">
        <v>29</v>
      </c>
      <c r="AA4">
        <f>SUM(B4:Z4)</f>
        <v>106</v>
      </c>
    </row>
    <row r="5" spans="1:27" x14ac:dyDescent="0.2">
      <c r="A5" s="27" t="s">
        <v>1428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4</v>
      </c>
      <c r="J5">
        <v>3</v>
      </c>
      <c r="K5">
        <v>5</v>
      </c>
      <c r="L5">
        <v>2</v>
      </c>
      <c r="M5">
        <v>8</v>
      </c>
      <c r="N5">
        <v>7</v>
      </c>
      <c r="O5">
        <v>7</v>
      </c>
      <c r="P5">
        <v>4</v>
      </c>
      <c r="Q5">
        <v>3</v>
      </c>
      <c r="R5">
        <v>5</v>
      </c>
      <c r="S5">
        <v>8</v>
      </c>
      <c r="T5">
        <v>4</v>
      </c>
      <c r="U5">
        <v>5</v>
      </c>
      <c r="V5">
        <v>12</v>
      </c>
      <c r="W5">
        <v>0</v>
      </c>
      <c r="X5">
        <v>2</v>
      </c>
      <c r="Y5">
        <v>2</v>
      </c>
      <c r="Z5">
        <v>4</v>
      </c>
      <c r="AA5">
        <f>SUM(B5:Z5)</f>
        <v>87</v>
      </c>
    </row>
    <row r="6" spans="1:27" x14ac:dyDescent="0.2">
      <c r="A6" s="27" t="s">
        <v>5</v>
      </c>
      <c r="B6">
        <v>1</v>
      </c>
      <c r="C6">
        <v>1</v>
      </c>
      <c r="D6">
        <v>1</v>
      </c>
      <c r="E6">
        <v>2</v>
      </c>
      <c r="F6">
        <v>0</v>
      </c>
      <c r="G6">
        <v>2</v>
      </c>
      <c r="H6">
        <v>1</v>
      </c>
      <c r="I6">
        <v>2</v>
      </c>
      <c r="J6">
        <v>3</v>
      </c>
      <c r="K6">
        <v>2</v>
      </c>
      <c r="L6">
        <v>1</v>
      </c>
      <c r="M6">
        <v>2</v>
      </c>
      <c r="N6">
        <v>2</v>
      </c>
      <c r="O6">
        <v>0</v>
      </c>
      <c r="P6">
        <v>3</v>
      </c>
      <c r="Q6">
        <v>1</v>
      </c>
      <c r="R6">
        <v>2</v>
      </c>
      <c r="S6">
        <v>1</v>
      </c>
      <c r="T6">
        <v>2</v>
      </c>
      <c r="U6">
        <v>3</v>
      </c>
      <c r="V6">
        <v>1</v>
      </c>
      <c r="W6">
        <v>5</v>
      </c>
      <c r="X6">
        <v>0</v>
      </c>
      <c r="Y6">
        <v>1</v>
      </c>
      <c r="Z6">
        <v>1</v>
      </c>
      <c r="AA6">
        <f>SUM(B6:Z6)</f>
        <v>40</v>
      </c>
    </row>
    <row r="7" spans="1:27" x14ac:dyDescent="0.2">
      <c r="A7" s="27" t="s">
        <v>1430</v>
      </c>
      <c r="B7">
        <v>0</v>
      </c>
      <c r="C7">
        <v>0</v>
      </c>
      <c r="D7">
        <v>0</v>
      </c>
      <c r="E7">
        <v>6</v>
      </c>
      <c r="F7">
        <v>0</v>
      </c>
      <c r="G7">
        <v>2</v>
      </c>
      <c r="H7">
        <v>3</v>
      </c>
      <c r="I7">
        <v>30</v>
      </c>
      <c r="J7">
        <v>30</v>
      </c>
      <c r="K7">
        <v>48</v>
      </c>
      <c r="L7">
        <v>57</v>
      </c>
      <c r="M7">
        <v>55</v>
      </c>
      <c r="N7">
        <v>95</v>
      </c>
      <c r="O7">
        <v>57</v>
      </c>
      <c r="P7">
        <v>79</v>
      </c>
      <c r="Q7">
        <v>74</v>
      </c>
      <c r="R7">
        <v>60</v>
      </c>
      <c r="S7">
        <v>91</v>
      </c>
      <c r="T7">
        <v>14</v>
      </c>
      <c r="U7">
        <v>55</v>
      </c>
      <c r="V7">
        <v>42</v>
      </c>
      <c r="W7">
        <v>19</v>
      </c>
      <c r="X7">
        <v>24</v>
      </c>
      <c r="Y7">
        <v>11</v>
      </c>
      <c r="Z7">
        <v>50</v>
      </c>
      <c r="AA7">
        <f>SUM(B7:Z7)</f>
        <v>902</v>
      </c>
    </row>
    <row r="8" spans="1:27" x14ac:dyDescent="0.2">
      <c r="A8" s="27" t="s">
        <v>1433</v>
      </c>
      <c r="B8">
        <v>0</v>
      </c>
      <c r="C8">
        <v>0</v>
      </c>
      <c r="D8">
        <v>1</v>
      </c>
      <c r="E8">
        <v>2</v>
      </c>
      <c r="F8">
        <v>0</v>
      </c>
      <c r="G8">
        <v>2</v>
      </c>
      <c r="H8">
        <v>1</v>
      </c>
      <c r="I8">
        <v>3</v>
      </c>
      <c r="J8">
        <v>3</v>
      </c>
      <c r="K8">
        <v>2</v>
      </c>
      <c r="L8">
        <v>3</v>
      </c>
      <c r="M8">
        <v>2</v>
      </c>
      <c r="N8">
        <v>6</v>
      </c>
      <c r="O8">
        <v>1</v>
      </c>
      <c r="P8">
        <v>2</v>
      </c>
      <c r="Q8">
        <v>1</v>
      </c>
      <c r="R8">
        <v>1</v>
      </c>
      <c r="S8">
        <v>2</v>
      </c>
      <c r="T8">
        <v>0</v>
      </c>
      <c r="U8">
        <v>3</v>
      </c>
      <c r="V8">
        <v>1</v>
      </c>
      <c r="W8">
        <v>0</v>
      </c>
      <c r="X8">
        <v>1</v>
      </c>
      <c r="Y8">
        <v>0</v>
      </c>
      <c r="Z8">
        <v>7</v>
      </c>
      <c r="AA8">
        <f>SUM(B8:Z8)</f>
        <v>44</v>
      </c>
    </row>
    <row r="9" spans="1:27" x14ac:dyDescent="0.2">
      <c r="A9" s="27" t="s">
        <v>7</v>
      </c>
      <c r="B9">
        <v>0</v>
      </c>
      <c r="C9">
        <v>0</v>
      </c>
      <c r="D9">
        <v>1</v>
      </c>
      <c r="E9">
        <v>7</v>
      </c>
      <c r="F9">
        <v>0</v>
      </c>
      <c r="G9">
        <v>1</v>
      </c>
      <c r="H9">
        <v>7</v>
      </c>
      <c r="I9">
        <v>25</v>
      </c>
      <c r="J9">
        <v>21</v>
      </c>
      <c r="K9">
        <v>18</v>
      </c>
      <c r="L9">
        <v>29</v>
      </c>
      <c r="M9">
        <v>41</v>
      </c>
      <c r="N9">
        <v>60</v>
      </c>
      <c r="O9">
        <v>15</v>
      </c>
      <c r="P9">
        <v>28</v>
      </c>
      <c r="Q9">
        <v>25</v>
      </c>
      <c r="R9">
        <v>29</v>
      </c>
      <c r="S9">
        <v>34</v>
      </c>
      <c r="T9">
        <v>3</v>
      </c>
      <c r="U9">
        <v>30</v>
      </c>
      <c r="V9">
        <v>35</v>
      </c>
      <c r="W9">
        <v>24</v>
      </c>
      <c r="X9">
        <v>12</v>
      </c>
      <c r="Y9">
        <v>12</v>
      </c>
      <c r="Z9">
        <v>49</v>
      </c>
      <c r="AA9">
        <f t="shared" ref="AA9:AA31" si="0">SUM(B9:Z9)</f>
        <v>506</v>
      </c>
    </row>
    <row r="10" spans="1:27" x14ac:dyDescent="0.2">
      <c r="A10" s="27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f t="shared" si="0"/>
        <v>4</v>
      </c>
    </row>
    <row r="11" spans="1:27" x14ac:dyDescent="0.2">
      <c r="A11" s="27" t="s">
        <v>10</v>
      </c>
      <c r="B11">
        <v>0</v>
      </c>
      <c r="C11">
        <v>0</v>
      </c>
      <c r="D11">
        <v>0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2</v>
      </c>
      <c r="M11">
        <v>1</v>
      </c>
      <c r="N11">
        <v>2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2</v>
      </c>
      <c r="Z11">
        <v>2</v>
      </c>
      <c r="AA11">
        <f t="shared" si="0"/>
        <v>18</v>
      </c>
    </row>
    <row r="12" spans="1:27" x14ac:dyDescent="0.2">
      <c r="A12" s="27" t="s">
        <v>503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f t="shared" si="0"/>
        <v>2</v>
      </c>
    </row>
    <row r="13" spans="1:27" x14ac:dyDescent="0.2">
      <c r="A13" s="27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f t="shared" si="0"/>
        <v>2</v>
      </c>
    </row>
    <row r="14" spans="1:27" x14ac:dyDescent="0.2">
      <c r="A14" s="27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f t="shared" si="0"/>
        <v>1</v>
      </c>
    </row>
    <row r="15" spans="1:27" x14ac:dyDescent="0.2">
      <c r="A15" s="27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 t="shared" si="0"/>
        <v>5</v>
      </c>
    </row>
    <row r="16" spans="1:27" x14ac:dyDescent="0.2">
      <c r="A16" s="27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4</v>
      </c>
      <c r="J16">
        <v>2</v>
      </c>
      <c r="K16">
        <v>5</v>
      </c>
      <c r="L16">
        <v>7</v>
      </c>
      <c r="M16">
        <v>2</v>
      </c>
      <c r="N16">
        <v>4</v>
      </c>
      <c r="O16">
        <v>4</v>
      </c>
      <c r="P16">
        <v>0</v>
      </c>
      <c r="Q16">
        <v>2</v>
      </c>
      <c r="R16">
        <v>1</v>
      </c>
      <c r="S16">
        <v>7</v>
      </c>
      <c r="T16">
        <v>1</v>
      </c>
      <c r="U16">
        <v>9</v>
      </c>
      <c r="V16">
        <v>0</v>
      </c>
      <c r="W16">
        <v>0</v>
      </c>
      <c r="X16">
        <v>0</v>
      </c>
      <c r="Y16">
        <v>2</v>
      </c>
      <c r="Z16">
        <v>3</v>
      </c>
      <c r="AA16">
        <f t="shared" si="0"/>
        <v>54</v>
      </c>
    </row>
    <row r="17" spans="1:27" x14ac:dyDescent="0.2">
      <c r="A17" s="27" t="s">
        <v>18</v>
      </c>
      <c r="B17">
        <v>0</v>
      </c>
      <c r="C17">
        <v>0</v>
      </c>
      <c r="D17">
        <v>2</v>
      </c>
      <c r="E17">
        <v>0</v>
      </c>
      <c r="F17">
        <v>0</v>
      </c>
      <c r="G17">
        <v>1</v>
      </c>
      <c r="H17">
        <v>1</v>
      </c>
      <c r="I17">
        <v>2</v>
      </c>
      <c r="J17">
        <v>5</v>
      </c>
      <c r="K17">
        <v>2</v>
      </c>
      <c r="M17">
        <v>1</v>
      </c>
      <c r="N17">
        <v>1</v>
      </c>
      <c r="O17">
        <v>2</v>
      </c>
      <c r="P17">
        <v>1</v>
      </c>
      <c r="Q17">
        <v>0</v>
      </c>
      <c r="R17">
        <v>2</v>
      </c>
      <c r="S17">
        <v>2</v>
      </c>
      <c r="T17">
        <v>1</v>
      </c>
      <c r="U17">
        <v>1</v>
      </c>
      <c r="V17">
        <v>2</v>
      </c>
      <c r="W17">
        <v>3</v>
      </c>
      <c r="X17">
        <v>0</v>
      </c>
      <c r="Y17">
        <v>4</v>
      </c>
      <c r="Z17">
        <v>2</v>
      </c>
      <c r="AA17">
        <f t="shared" si="0"/>
        <v>35</v>
      </c>
    </row>
    <row r="18" spans="1:27" x14ac:dyDescent="0.2">
      <c r="A18" s="27" t="s">
        <v>1431</v>
      </c>
      <c r="B18">
        <v>1</v>
      </c>
      <c r="C18">
        <v>4</v>
      </c>
      <c r="D18">
        <v>13</v>
      </c>
      <c r="E18">
        <v>23</v>
      </c>
      <c r="F18">
        <v>2</v>
      </c>
      <c r="G18">
        <v>31</v>
      </c>
      <c r="H18">
        <v>29</v>
      </c>
      <c r="I18">
        <v>32</v>
      </c>
      <c r="J18">
        <v>31</v>
      </c>
      <c r="K18">
        <v>26</v>
      </c>
      <c r="L18">
        <v>30</v>
      </c>
      <c r="M18">
        <v>22</v>
      </c>
      <c r="N18">
        <v>17</v>
      </c>
      <c r="O18">
        <v>26</v>
      </c>
      <c r="P18">
        <v>11</v>
      </c>
      <c r="Q18">
        <v>15</v>
      </c>
      <c r="R18">
        <v>8</v>
      </c>
      <c r="S18">
        <v>15</v>
      </c>
      <c r="T18">
        <v>22</v>
      </c>
      <c r="U18">
        <v>16</v>
      </c>
      <c r="V18">
        <v>13</v>
      </c>
      <c r="W18">
        <v>24</v>
      </c>
      <c r="X18">
        <v>5</v>
      </c>
      <c r="Y18">
        <v>33</v>
      </c>
      <c r="Z18">
        <v>18</v>
      </c>
      <c r="AA18">
        <f t="shared" si="0"/>
        <v>467</v>
      </c>
    </row>
    <row r="19" spans="1:27" x14ac:dyDescent="0.2">
      <c r="A19" s="27" t="s">
        <v>20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6</v>
      </c>
      <c r="J19">
        <v>3</v>
      </c>
      <c r="K19">
        <v>4</v>
      </c>
      <c r="L19">
        <v>1</v>
      </c>
      <c r="M19">
        <v>5</v>
      </c>
      <c r="N19">
        <v>1</v>
      </c>
      <c r="O19">
        <v>3</v>
      </c>
      <c r="P19">
        <v>11</v>
      </c>
      <c r="Q19">
        <v>13</v>
      </c>
      <c r="R19">
        <v>5</v>
      </c>
      <c r="S19">
        <v>7</v>
      </c>
      <c r="T19">
        <v>2</v>
      </c>
      <c r="U19">
        <v>3</v>
      </c>
      <c r="V19">
        <v>1</v>
      </c>
      <c r="W19">
        <v>0</v>
      </c>
      <c r="X19">
        <v>2</v>
      </c>
      <c r="Y19">
        <v>1</v>
      </c>
      <c r="Z19">
        <v>2</v>
      </c>
      <c r="AA19">
        <f t="shared" si="0"/>
        <v>71</v>
      </c>
    </row>
    <row r="20" spans="1:27" x14ac:dyDescent="0.2">
      <c r="A20" s="27" t="s">
        <v>200</v>
      </c>
      <c r="B20">
        <v>0</v>
      </c>
      <c r="C20">
        <v>0</v>
      </c>
      <c r="D20">
        <v>1</v>
      </c>
      <c r="E20">
        <v>6</v>
      </c>
      <c r="F20">
        <v>0</v>
      </c>
      <c r="G20">
        <v>0</v>
      </c>
      <c r="H20">
        <v>4</v>
      </c>
      <c r="I20">
        <v>10</v>
      </c>
      <c r="J20">
        <v>9</v>
      </c>
      <c r="K20">
        <v>13</v>
      </c>
      <c r="L20">
        <v>8</v>
      </c>
      <c r="M20">
        <v>9</v>
      </c>
      <c r="N20">
        <v>21</v>
      </c>
      <c r="O20">
        <v>11</v>
      </c>
      <c r="P20">
        <v>15</v>
      </c>
      <c r="Q20">
        <v>7</v>
      </c>
      <c r="R20">
        <v>15</v>
      </c>
      <c r="S20">
        <v>16</v>
      </c>
      <c r="T20">
        <v>2</v>
      </c>
      <c r="U20">
        <v>29</v>
      </c>
      <c r="V20">
        <v>22</v>
      </c>
      <c r="W20">
        <v>3</v>
      </c>
      <c r="X20">
        <v>9</v>
      </c>
      <c r="Y20">
        <v>0</v>
      </c>
      <c r="Z20">
        <v>11</v>
      </c>
      <c r="AA20">
        <f t="shared" si="0"/>
        <v>221</v>
      </c>
    </row>
    <row r="21" spans="1:27" x14ac:dyDescent="0.2">
      <c r="A21" s="27" t="s">
        <v>435</v>
      </c>
      <c r="B21">
        <v>2</v>
      </c>
      <c r="C21">
        <v>0</v>
      </c>
      <c r="D21">
        <v>0</v>
      </c>
      <c r="E21">
        <v>3</v>
      </c>
      <c r="F21">
        <v>0</v>
      </c>
      <c r="G21">
        <v>0</v>
      </c>
      <c r="H21">
        <v>6</v>
      </c>
      <c r="I21">
        <v>2</v>
      </c>
      <c r="J21">
        <v>11</v>
      </c>
      <c r="K21">
        <v>19</v>
      </c>
      <c r="L21">
        <v>17</v>
      </c>
      <c r="M21">
        <v>14</v>
      </c>
      <c r="N21">
        <v>27</v>
      </c>
      <c r="O21">
        <v>6</v>
      </c>
      <c r="P21">
        <v>6</v>
      </c>
      <c r="Q21">
        <v>16</v>
      </c>
      <c r="R21">
        <v>9</v>
      </c>
      <c r="S21">
        <v>19</v>
      </c>
      <c r="T21">
        <v>5</v>
      </c>
      <c r="U21">
        <v>30</v>
      </c>
      <c r="V21">
        <v>16</v>
      </c>
      <c r="W21">
        <v>7</v>
      </c>
      <c r="X21">
        <v>7</v>
      </c>
      <c r="Y21">
        <v>0</v>
      </c>
      <c r="Z21">
        <v>16</v>
      </c>
      <c r="AA21">
        <f t="shared" si="0"/>
        <v>238</v>
      </c>
    </row>
    <row r="22" spans="1:27" x14ac:dyDescent="0.2">
      <c r="A22" s="27" t="s">
        <v>332</v>
      </c>
      <c r="B22">
        <v>0</v>
      </c>
      <c r="C22">
        <v>0</v>
      </c>
      <c r="D22">
        <v>1</v>
      </c>
      <c r="E22">
        <v>3</v>
      </c>
      <c r="F22">
        <v>0</v>
      </c>
      <c r="G22">
        <v>5</v>
      </c>
      <c r="H22">
        <v>4</v>
      </c>
      <c r="I22">
        <v>11</v>
      </c>
      <c r="J22">
        <v>4</v>
      </c>
      <c r="K22">
        <v>8</v>
      </c>
      <c r="L22">
        <v>20</v>
      </c>
      <c r="M22">
        <v>12</v>
      </c>
      <c r="N22">
        <v>18</v>
      </c>
      <c r="O22">
        <v>8</v>
      </c>
      <c r="P22">
        <v>15</v>
      </c>
      <c r="Q22">
        <v>0</v>
      </c>
      <c r="R22">
        <v>13</v>
      </c>
      <c r="S22">
        <v>19</v>
      </c>
      <c r="T22">
        <v>0</v>
      </c>
      <c r="U22">
        <v>16</v>
      </c>
      <c r="V22">
        <v>22</v>
      </c>
      <c r="W22">
        <v>11</v>
      </c>
      <c r="X22">
        <v>4</v>
      </c>
      <c r="Y22">
        <v>6</v>
      </c>
      <c r="Z22">
        <v>14</v>
      </c>
      <c r="AA22">
        <f t="shared" si="0"/>
        <v>214</v>
      </c>
    </row>
    <row r="23" spans="1:27" x14ac:dyDescent="0.2">
      <c r="A23" s="27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f t="shared" si="0"/>
        <v>4</v>
      </c>
    </row>
    <row r="24" spans="1:27" x14ac:dyDescent="0.2">
      <c r="A24" s="27" t="s">
        <v>23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3</v>
      </c>
      <c r="K24">
        <v>2</v>
      </c>
      <c r="L24">
        <v>2</v>
      </c>
      <c r="M24">
        <v>0</v>
      </c>
      <c r="N24">
        <v>2</v>
      </c>
      <c r="O24">
        <v>3</v>
      </c>
      <c r="P24">
        <v>2</v>
      </c>
      <c r="Q24">
        <v>6</v>
      </c>
      <c r="R24">
        <v>2</v>
      </c>
      <c r="S24">
        <v>2</v>
      </c>
      <c r="T24">
        <v>2</v>
      </c>
      <c r="U24">
        <v>0</v>
      </c>
      <c r="V24">
        <v>4</v>
      </c>
      <c r="W24">
        <v>2</v>
      </c>
      <c r="X24">
        <v>3</v>
      </c>
      <c r="Y24">
        <v>0</v>
      </c>
      <c r="Z24">
        <v>6</v>
      </c>
      <c r="AA24">
        <f t="shared" si="0"/>
        <v>42</v>
      </c>
    </row>
    <row r="25" spans="1:27" x14ac:dyDescent="0.2">
      <c r="A25" s="27" t="s">
        <v>1432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  <c r="J25">
        <v>4</v>
      </c>
      <c r="K25">
        <v>7</v>
      </c>
      <c r="L25">
        <v>10</v>
      </c>
      <c r="M25">
        <v>12</v>
      </c>
      <c r="N25">
        <v>18</v>
      </c>
      <c r="O25">
        <v>14</v>
      </c>
      <c r="P25">
        <v>14</v>
      </c>
      <c r="Q25">
        <v>19</v>
      </c>
      <c r="R25">
        <v>19</v>
      </c>
      <c r="S25">
        <v>11</v>
      </c>
      <c r="T25">
        <v>5</v>
      </c>
      <c r="U25">
        <v>21</v>
      </c>
      <c r="V25">
        <v>24</v>
      </c>
      <c r="W25">
        <v>7</v>
      </c>
      <c r="X25">
        <v>1</v>
      </c>
      <c r="Y25">
        <v>10</v>
      </c>
      <c r="Z25">
        <v>20</v>
      </c>
      <c r="AA25">
        <f t="shared" si="0"/>
        <v>221</v>
      </c>
    </row>
    <row r="26" spans="1:27" x14ac:dyDescent="0.2">
      <c r="A26" s="27" t="s">
        <v>646</v>
      </c>
      <c r="B26">
        <v>0</v>
      </c>
      <c r="C26">
        <v>0</v>
      </c>
      <c r="D26">
        <v>0</v>
      </c>
      <c r="E26">
        <v>1</v>
      </c>
      <c r="F26">
        <v>0</v>
      </c>
      <c r="G26">
        <v>3</v>
      </c>
      <c r="H26">
        <v>1</v>
      </c>
      <c r="I26">
        <v>2</v>
      </c>
      <c r="J26">
        <v>1</v>
      </c>
      <c r="K26">
        <v>1</v>
      </c>
      <c r="L26">
        <v>1</v>
      </c>
      <c r="M26">
        <v>2</v>
      </c>
      <c r="N26">
        <v>1</v>
      </c>
      <c r="O26">
        <v>2</v>
      </c>
      <c r="P26">
        <v>0</v>
      </c>
      <c r="Q26">
        <v>2</v>
      </c>
      <c r="R26">
        <v>1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</v>
      </c>
      <c r="AA26">
        <f t="shared" si="0"/>
        <v>22</v>
      </c>
    </row>
    <row r="27" spans="1:27" x14ac:dyDescent="0.2">
      <c r="A27" s="27" t="s">
        <v>1458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f t="shared" si="0"/>
        <v>1</v>
      </c>
    </row>
    <row r="28" spans="1:27" x14ac:dyDescent="0.2">
      <c r="A28" s="27" t="s">
        <v>1429</v>
      </c>
      <c r="B28">
        <v>7</v>
      </c>
      <c r="C28">
        <v>9</v>
      </c>
      <c r="D28">
        <v>23</v>
      </c>
      <c r="E28">
        <v>19</v>
      </c>
      <c r="F28">
        <v>2</v>
      </c>
      <c r="G28">
        <v>33</v>
      </c>
      <c r="H28">
        <v>45</v>
      </c>
      <c r="I28">
        <v>73</v>
      </c>
      <c r="J28">
        <v>72</v>
      </c>
      <c r="K28">
        <v>51</v>
      </c>
      <c r="L28">
        <v>56</v>
      </c>
      <c r="M28">
        <v>79</v>
      </c>
      <c r="N28">
        <v>60</v>
      </c>
      <c r="O28">
        <v>53</v>
      </c>
      <c r="P28">
        <v>75</v>
      </c>
      <c r="Q28">
        <v>123</v>
      </c>
      <c r="R28">
        <v>77</v>
      </c>
      <c r="S28">
        <v>78</v>
      </c>
      <c r="T28">
        <v>27</v>
      </c>
      <c r="U28">
        <v>67</v>
      </c>
      <c r="V28">
        <v>121</v>
      </c>
      <c r="W28">
        <v>83</v>
      </c>
      <c r="X28">
        <v>52</v>
      </c>
      <c r="Y28">
        <v>82</v>
      </c>
      <c r="Z28">
        <v>91</v>
      </c>
      <c r="AA28">
        <f t="shared" si="0"/>
        <v>1458</v>
      </c>
    </row>
    <row r="29" spans="1:27" x14ac:dyDescent="0.2">
      <c r="A29" s="27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f t="shared" si="0"/>
        <v>1</v>
      </c>
    </row>
    <row r="30" spans="1:27" x14ac:dyDescent="0.2">
      <c r="A30" s="27" t="s">
        <v>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  <c r="K30">
        <v>3</v>
      </c>
      <c r="L30">
        <v>0</v>
      </c>
      <c r="M30">
        <v>7</v>
      </c>
      <c r="N30">
        <v>0</v>
      </c>
      <c r="O30">
        <v>2</v>
      </c>
      <c r="P30">
        <v>1</v>
      </c>
      <c r="Q30">
        <v>3</v>
      </c>
      <c r="R30">
        <v>3</v>
      </c>
      <c r="S30">
        <v>3</v>
      </c>
      <c r="T30">
        <v>4</v>
      </c>
      <c r="U30">
        <v>2</v>
      </c>
      <c r="V30">
        <v>1</v>
      </c>
      <c r="W30">
        <v>1</v>
      </c>
      <c r="X30">
        <v>0</v>
      </c>
      <c r="Y30">
        <v>1</v>
      </c>
      <c r="Z30">
        <v>1</v>
      </c>
      <c r="AA30">
        <f t="shared" si="0"/>
        <v>34</v>
      </c>
    </row>
    <row r="31" spans="1:27" x14ac:dyDescent="0.2">
      <c r="A31" s="27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f t="shared" si="0"/>
        <v>7</v>
      </c>
    </row>
    <row r="32" spans="1:27" x14ac:dyDescent="0.2">
      <c r="A32" s="27" t="s">
        <v>36</v>
      </c>
    </row>
    <row r="33" spans="1:27" x14ac:dyDescent="0.2">
      <c r="A33" s="30" t="s">
        <v>344</v>
      </c>
      <c r="AA33">
        <f>SUM(AA3:AA31)</f>
        <v>5086</v>
      </c>
    </row>
    <row r="36" spans="1:27" x14ac:dyDescent="0.2">
      <c r="A36" s="27" t="s">
        <v>1497</v>
      </c>
    </row>
    <row r="37" spans="1:27" x14ac:dyDescent="0.2">
      <c r="A37" s="27" t="s">
        <v>1498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47"/>
  <sheetViews>
    <sheetView topLeftCell="A19" workbookViewId="0">
      <pane xSplit="1" topLeftCell="B1" activePane="topRight" state="frozen"/>
      <selection activeCell="A2" sqref="A2"/>
      <selection pane="topRight" activeCell="A39" sqref="A39"/>
    </sheetView>
  </sheetViews>
  <sheetFormatPr defaultRowHeight="12.75" x14ac:dyDescent="0.2"/>
  <cols>
    <col min="1" max="1" width="25.7109375" customWidth="1"/>
    <col min="2" max="2" width="9.140625" style="81"/>
    <col min="12" max="12" width="9.140625" style="82"/>
    <col min="19" max="19" width="9.140625" style="41"/>
  </cols>
  <sheetData>
    <row r="1" spans="1:29" x14ac:dyDescent="0.2">
      <c r="A1" s="30" t="s">
        <v>448</v>
      </c>
      <c r="B1" s="80"/>
      <c r="C1" s="33">
        <v>1</v>
      </c>
      <c r="D1" s="33">
        <v>2</v>
      </c>
      <c r="E1" s="33">
        <v>3</v>
      </c>
      <c r="F1" s="33">
        <v>4</v>
      </c>
      <c r="G1" s="33">
        <v>5</v>
      </c>
      <c r="H1" s="33">
        <v>6</v>
      </c>
      <c r="I1" s="33">
        <v>7</v>
      </c>
      <c r="J1" s="33">
        <v>8</v>
      </c>
      <c r="K1" s="33">
        <v>9</v>
      </c>
      <c r="M1" s="33">
        <v>10</v>
      </c>
      <c r="N1" s="33">
        <v>11</v>
      </c>
      <c r="O1" s="33">
        <v>12</v>
      </c>
      <c r="P1" s="33">
        <v>13</v>
      </c>
      <c r="Q1" s="33">
        <v>14</v>
      </c>
      <c r="R1" s="35" t="s">
        <v>449</v>
      </c>
      <c r="S1" s="40"/>
      <c r="T1" s="33"/>
      <c r="U1" s="33"/>
      <c r="V1" s="33"/>
      <c r="W1" s="33"/>
      <c r="X1" s="33"/>
      <c r="Y1" s="33"/>
      <c r="Z1" s="33"/>
      <c r="AA1" s="33"/>
      <c r="AB1" s="33"/>
    </row>
    <row r="2" spans="1:29" x14ac:dyDescent="0.2">
      <c r="A2" t="s">
        <v>287</v>
      </c>
      <c r="C2" s="36" t="s">
        <v>940</v>
      </c>
      <c r="D2" s="36" t="s">
        <v>941</v>
      </c>
      <c r="E2" s="36" t="s">
        <v>942</v>
      </c>
      <c r="F2" s="36" t="s">
        <v>943</v>
      </c>
      <c r="G2" s="36" t="s">
        <v>944</v>
      </c>
      <c r="H2" s="36" t="s">
        <v>945</v>
      </c>
      <c r="I2" s="36" t="s">
        <v>946</v>
      </c>
      <c r="J2" s="36" t="s">
        <v>947</v>
      </c>
      <c r="K2" s="36" t="s">
        <v>948</v>
      </c>
      <c r="M2" s="70" t="s">
        <v>949</v>
      </c>
      <c r="N2" s="70" t="s">
        <v>950</v>
      </c>
      <c r="O2" s="70" t="s">
        <v>951</v>
      </c>
      <c r="P2" s="70" t="s">
        <v>952</v>
      </c>
      <c r="Q2" s="70" t="s">
        <v>953</v>
      </c>
      <c r="R2" s="70" t="s">
        <v>315</v>
      </c>
      <c r="S2" s="86" t="s">
        <v>1023</v>
      </c>
      <c r="T2" s="70"/>
      <c r="U2" s="63"/>
      <c r="V2" s="63"/>
      <c r="W2" s="63"/>
      <c r="X2" s="63"/>
      <c r="Y2" s="63"/>
      <c r="Z2" s="63"/>
      <c r="AA2" s="63"/>
      <c r="AB2" s="63"/>
      <c r="AC2" s="63"/>
    </row>
    <row r="3" spans="1:29" x14ac:dyDescent="0.2">
      <c r="A3" s="27" t="s">
        <v>1</v>
      </c>
      <c r="C3" s="33">
        <v>1</v>
      </c>
      <c r="D3" s="33"/>
      <c r="E3" s="33">
        <v>2</v>
      </c>
      <c r="F3" s="33">
        <v>3</v>
      </c>
      <c r="G3" s="33">
        <v>5</v>
      </c>
      <c r="H3" s="33">
        <v>1</v>
      </c>
      <c r="I3" s="33">
        <v>1</v>
      </c>
      <c r="J3" s="33">
        <v>3</v>
      </c>
      <c r="K3" s="33">
        <v>5</v>
      </c>
      <c r="Q3">
        <v>1</v>
      </c>
      <c r="R3">
        <f t="shared" ref="R3:R44" si="0">SUM(C3:Q3)</f>
        <v>22</v>
      </c>
      <c r="S3" s="85">
        <f>R3/R44</f>
        <v>2.8277634961439587E-2</v>
      </c>
    </row>
    <row r="4" spans="1:29" x14ac:dyDescent="0.2">
      <c r="A4" s="27" t="s">
        <v>3</v>
      </c>
      <c r="C4" s="33">
        <v>3</v>
      </c>
      <c r="D4" s="33">
        <v>3</v>
      </c>
      <c r="E4" s="33">
        <v>12</v>
      </c>
      <c r="F4" s="33">
        <v>10</v>
      </c>
      <c r="G4" s="33">
        <v>3</v>
      </c>
      <c r="H4" s="33"/>
      <c r="I4" s="33">
        <v>2</v>
      </c>
      <c r="J4" s="33">
        <v>4</v>
      </c>
      <c r="K4" s="33"/>
      <c r="M4">
        <v>1</v>
      </c>
      <c r="P4">
        <v>1</v>
      </c>
      <c r="Q4">
        <v>1</v>
      </c>
      <c r="R4">
        <f t="shared" si="0"/>
        <v>40</v>
      </c>
      <c r="S4" s="84">
        <f>R4/R44</f>
        <v>5.1413881748071981E-2</v>
      </c>
    </row>
    <row r="5" spans="1:29" x14ac:dyDescent="0.2">
      <c r="A5" s="27" t="s">
        <v>4</v>
      </c>
      <c r="C5" s="33"/>
      <c r="D5" s="33"/>
      <c r="E5" s="33">
        <v>2</v>
      </c>
      <c r="F5" s="33">
        <v>3</v>
      </c>
      <c r="G5" s="33">
        <v>3</v>
      </c>
      <c r="H5" s="33">
        <v>1</v>
      </c>
      <c r="I5" s="33"/>
      <c r="J5" s="33">
        <v>1</v>
      </c>
      <c r="K5" s="33"/>
      <c r="R5">
        <f t="shared" si="0"/>
        <v>10</v>
      </c>
      <c r="S5" s="84">
        <f>R5/R44</f>
        <v>1.2853470437017995E-2</v>
      </c>
    </row>
    <row r="6" spans="1:29" x14ac:dyDescent="0.2">
      <c r="A6" s="27" t="s">
        <v>5</v>
      </c>
      <c r="C6" s="33">
        <v>1</v>
      </c>
      <c r="D6" s="33">
        <v>1</v>
      </c>
      <c r="E6" s="33">
        <v>2</v>
      </c>
      <c r="F6" s="33">
        <v>1</v>
      </c>
      <c r="G6" s="33"/>
      <c r="H6" s="33">
        <v>1</v>
      </c>
      <c r="I6" s="33">
        <v>1</v>
      </c>
      <c r="J6" s="33">
        <v>1</v>
      </c>
      <c r="K6" s="33">
        <v>1</v>
      </c>
      <c r="R6">
        <f t="shared" si="0"/>
        <v>9</v>
      </c>
      <c r="S6" s="84">
        <f>R6/R44</f>
        <v>1.1568123393316195E-2</v>
      </c>
    </row>
    <row r="7" spans="1:29" x14ac:dyDescent="0.2">
      <c r="A7" s="27" t="s">
        <v>6</v>
      </c>
      <c r="C7" s="33">
        <v>3</v>
      </c>
      <c r="D7" s="33">
        <v>2</v>
      </c>
      <c r="E7" s="33">
        <v>5</v>
      </c>
      <c r="F7" s="33">
        <v>8</v>
      </c>
      <c r="G7" s="33">
        <v>6</v>
      </c>
      <c r="H7" s="33">
        <v>2</v>
      </c>
      <c r="I7" s="33"/>
      <c r="J7" s="33">
        <v>6</v>
      </c>
      <c r="K7" s="33">
        <v>1</v>
      </c>
      <c r="M7">
        <v>1</v>
      </c>
      <c r="R7">
        <f t="shared" si="0"/>
        <v>34</v>
      </c>
      <c r="S7" s="84">
        <f>R7/R44</f>
        <v>4.3701799485861184E-2</v>
      </c>
    </row>
    <row r="8" spans="1:29" x14ac:dyDescent="0.2">
      <c r="A8" s="27" t="s">
        <v>40</v>
      </c>
      <c r="C8" s="33"/>
      <c r="D8" s="33"/>
      <c r="E8" s="33"/>
      <c r="F8" s="33"/>
      <c r="G8" s="33"/>
      <c r="H8" s="33"/>
      <c r="I8" s="33"/>
      <c r="J8" s="33">
        <v>2</v>
      </c>
      <c r="K8" s="33"/>
      <c r="R8">
        <f t="shared" si="0"/>
        <v>2</v>
      </c>
      <c r="S8" s="84">
        <f>R8/R44</f>
        <v>2.5706940874035988E-3</v>
      </c>
    </row>
    <row r="9" spans="1:29" x14ac:dyDescent="0.2">
      <c r="A9" s="27" t="s">
        <v>7</v>
      </c>
      <c r="C9" s="33">
        <v>10</v>
      </c>
      <c r="D9" s="33">
        <v>2</v>
      </c>
      <c r="E9" s="33">
        <v>10</v>
      </c>
      <c r="F9" s="33">
        <v>50</v>
      </c>
      <c r="G9" s="33">
        <v>25</v>
      </c>
      <c r="H9" s="33">
        <v>8</v>
      </c>
      <c r="I9" s="33">
        <v>1</v>
      </c>
      <c r="J9" s="33">
        <v>7</v>
      </c>
      <c r="K9" s="33">
        <v>1</v>
      </c>
      <c r="Q9">
        <v>1</v>
      </c>
      <c r="R9">
        <f t="shared" si="0"/>
        <v>115</v>
      </c>
      <c r="S9" s="84">
        <f>R9/R44</f>
        <v>0.14781491002570693</v>
      </c>
    </row>
    <row r="10" spans="1:29" x14ac:dyDescent="0.2">
      <c r="A10" s="27" t="s">
        <v>9</v>
      </c>
      <c r="C10" s="33"/>
      <c r="D10" s="33"/>
      <c r="E10" s="33">
        <v>1</v>
      </c>
      <c r="F10" s="33"/>
      <c r="G10" s="33"/>
      <c r="H10" s="33"/>
      <c r="I10" s="33"/>
      <c r="J10" s="33"/>
      <c r="K10" s="33"/>
      <c r="M10" s="33"/>
      <c r="R10">
        <f t="shared" si="0"/>
        <v>1</v>
      </c>
      <c r="S10" s="84">
        <f>R10/R44</f>
        <v>1.2853470437017994E-3</v>
      </c>
    </row>
    <row r="11" spans="1:29" x14ac:dyDescent="0.2">
      <c r="A11" s="27" t="s">
        <v>10</v>
      </c>
      <c r="C11" s="33"/>
      <c r="D11" s="33">
        <v>1</v>
      </c>
      <c r="E11" s="33"/>
      <c r="F11" s="33">
        <v>2</v>
      </c>
      <c r="G11" s="33"/>
      <c r="H11" s="33"/>
      <c r="I11" s="33"/>
      <c r="J11" s="33"/>
      <c r="K11" s="33">
        <v>2</v>
      </c>
      <c r="M11" s="33"/>
      <c r="R11">
        <f t="shared" si="0"/>
        <v>5</v>
      </c>
      <c r="S11" s="84">
        <f>R11/R44</f>
        <v>6.4267352185089976E-3</v>
      </c>
    </row>
    <row r="12" spans="1:29" x14ac:dyDescent="0.2">
      <c r="A12" s="27" t="s">
        <v>11</v>
      </c>
      <c r="C12" s="33"/>
      <c r="D12" s="33"/>
      <c r="E12" s="33"/>
      <c r="F12" s="33"/>
      <c r="G12" s="33"/>
      <c r="H12" s="33"/>
      <c r="I12" s="33"/>
      <c r="J12" s="33"/>
      <c r="K12" s="33"/>
      <c r="M12" s="33"/>
      <c r="R12">
        <f t="shared" si="0"/>
        <v>0</v>
      </c>
      <c r="S12" s="84">
        <f>R12/R44</f>
        <v>0</v>
      </c>
    </row>
    <row r="13" spans="1:29" x14ac:dyDescent="0.2">
      <c r="A13" s="27" t="s">
        <v>503</v>
      </c>
      <c r="C13" s="33"/>
      <c r="D13" s="33"/>
      <c r="E13" s="33"/>
      <c r="F13" s="33">
        <v>1</v>
      </c>
      <c r="G13" s="33"/>
      <c r="H13" s="33"/>
      <c r="I13" s="33"/>
      <c r="J13" s="33"/>
      <c r="K13" s="33"/>
      <c r="M13" s="33"/>
      <c r="O13" s="33"/>
      <c r="P13" s="33"/>
      <c r="R13">
        <f t="shared" si="0"/>
        <v>1</v>
      </c>
      <c r="S13" s="84">
        <f>R13/R44</f>
        <v>1.2853470437017994E-3</v>
      </c>
    </row>
    <row r="14" spans="1:29" x14ac:dyDescent="0.2">
      <c r="A14" s="27" t="s">
        <v>469</v>
      </c>
      <c r="C14" s="33"/>
      <c r="D14" s="33"/>
      <c r="E14" s="33"/>
      <c r="F14" s="33"/>
      <c r="G14" s="33"/>
      <c r="H14" s="33"/>
      <c r="I14" s="33"/>
      <c r="J14" s="33"/>
      <c r="K14" s="33"/>
      <c r="M14" s="33"/>
      <c r="O14" s="33"/>
      <c r="P14" s="33"/>
      <c r="R14">
        <f t="shared" si="0"/>
        <v>0</v>
      </c>
      <c r="S14" s="84">
        <f>R14/R44</f>
        <v>0</v>
      </c>
    </row>
    <row r="15" spans="1:29" x14ac:dyDescent="0.2">
      <c r="A15" s="27" t="s">
        <v>13</v>
      </c>
      <c r="C15" s="33"/>
      <c r="D15" s="33"/>
      <c r="E15" s="33"/>
      <c r="F15" s="33"/>
      <c r="G15" s="33"/>
      <c r="H15" s="33"/>
      <c r="I15" s="33"/>
      <c r="J15" s="33"/>
      <c r="K15" s="33"/>
      <c r="M15" s="33"/>
      <c r="O15" s="33">
        <v>1</v>
      </c>
      <c r="P15" s="33"/>
      <c r="R15">
        <f t="shared" si="0"/>
        <v>1</v>
      </c>
      <c r="S15" s="84">
        <f>R15/R44</f>
        <v>1.2853470437017994E-3</v>
      </c>
    </row>
    <row r="16" spans="1:29" x14ac:dyDescent="0.2">
      <c r="A16" s="27" t="s">
        <v>14</v>
      </c>
      <c r="C16" s="33"/>
      <c r="D16" s="33"/>
      <c r="E16" s="33"/>
      <c r="F16" s="33"/>
      <c r="G16" s="33"/>
      <c r="H16" s="33"/>
      <c r="I16" s="33"/>
      <c r="J16" s="33"/>
      <c r="K16" s="33"/>
      <c r="M16" s="33"/>
      <c r="O16" s="33"/>
      <c r="P16" s="33"/>
      <c r="R16">
        <f t="shared" si="0"/>
        <v>0</v>
      </c>
      <c r="S16" s="84">
        <f>R16/R44</f>
        <v>0</v>
      </c>
    </row>
    <row r="17" spans="1:30" x14ac:dyDescent="0.2">
      <c r="A17" s="27" t="s">
        <v>427</v>
      </c>
      <c r="C17" s="33"/>
      <c r="D17" s="33"/>
      <c r="E17" s="33"/>
      <c r="F17" s="33"/>
      <c r="G17" s="33"/>
      <c r="H17" s="33"/>
      <c r="I17" s="33"/>
      <c r="J17" s="33"/>
      <c r="K17" s="33"/>
      <c r="M17" s="33"/>
      <c r="O17" s="33"/>
      <c r="P17" s="33"/>
      <c r="R17">
        <f t="shared" si="0"/>
        <v>0</v>
      </c>
      <c r="S17" s="84">
        <f>R17/R44</f>
        <v>0</v>
      </c>
    </row>
    <row r="18" spans="1:30" x14ac:dyDescent="0.2">
      <c r="A18" s="27" t="s">
        <v>15</v>
      </c>
      <c r="C18" s="33"/>
      <c r="D18" s="33">
        <v>1</v>
      </c>
      <c r="E18" s="33"/>
      <c r="F18" s="33"/>
      <c r="G18" s="33"/>
      <c r="H18" s="33"/>
      <c r="I18" s="33"/>
      <c r="J18" s="33"/>
      <c r="K18" s="33">
        <v>1</v>
      </c>
      <c r="M18" s="33"/>
      <c r="O18" s="33"/>
      <c r="P18" s="33"/>
      <c r="R18">
        <f t="shared" si="0"/>
        <v>2</v>
      </c>
      <c r="S18" s="84">
        <f>R18/R44</f>
        <v>2.5706940874035988E-3</v>
      </c>
    </row>
    <row r="19" spans="1:30" x14ac:dyDescent="0.2">
      <c r="A19" s="27" t="s">
        <v>16</v>
      </c>
      <c r="C19" s="33"/>
      <c r="D19" s="33"/>
      <c r="E19" s="33"/>
      <c r="F19" s="33"/>
      <c r="G19" s="33"/>
      <c r="H19" s="33"/>
      <c r="I19" s="33">
        <v>1</v>
      </c>
      <c r="J19" s="33"/>
      <c r="K19" s="33"/>
      <c r="M19" s="33"/>
      <c r="O19" s="33"/>
      <c r="P19" s="33"/>
      <c r="R19">
        <f t="shared" si="0"/>
        <v>1</v>
      </c>
      <c r="S19" s="84">
        <f>R19/R44</f>
        <v>1.2853470437017994E-3</v>
      </c>
    </row>
    <row r="20" spans="1:30" x14ac:dyDescent="0.2">
      <c r="A20" s="27" t="s">
        <v>17</v>
      </c>
      <c r="B20" s="80" t="s">
        <v>789</v>
      </c>
      <c r="C20" s="33"/>
      <c r="D20" s="33">
        <v>1</v>
      </c>
      <c r="E20" s="33"/>
      <c r="F20" s="33"/>
      <c r="G20" s="33"/>
      <c r="H20" s="33"/>
      <c r="I20" s="33">
        <v>1</v>
      </c>
      <c r="J20" s="33"/>
      <c r="K20" s="33"/>
      <c r="M20" s="33"/>
      <c r="O20" s="33"/>
      <c r="P20" s="33"/>
      <c r="R20">
        <f t="shared" si="0"/>
        <v>2</v>
      </c>
      <c r="S20" s="84">
        <f>R20/R44</f>
        <v>2.5706940874035988E-3</v>
      </c>
    </row>
    <row r="21" spans="1:30" x14ac:dyDescent="0.2">
      <c r="A21" s="27" t="s">
        <v>18</v>
      </c>
      <c r="C21" s="33">
        <v>5</v>
      </c>
      <c r="D21" s="33">
        <v>10</v>
      </c>
      <c r="E21" s="33">
        <v>8</v>
      </c>
      <c r="F21" s="33">
        <v>8</v>
      </c>
      <c r="G21" s="33">
        <v>7</v>
      </c>
      <c r="H21" s="33">
        <v>3</v>
      </c>
      <c r="I21" s="33">
        <v>3</v>
      </c>
      <c r="J21" s="33">
        <v>1</v>
      </c>
      <c r="K21" s="33"/>
      <c r="M21" s="33"/>
      <c r="R21">
        <f t="shared" si="0"/>
        <v>45</v>
      </c>
      <c r="S21" s="84">
        <f>R21/R44</f>
        <v>5.7840616966580979E-2</v>
      </c>
    </row>
    <row r="22" spans="1:30" x14ac:dyDescent="0.2">
      <c r="A22" s="27" t="s">
        <v>19</v>
      </c>
      <c r="C22" s="33">
        <v>1</v>
      </c>
      <c r="D22" s="33">
        <v>15</v>
      </c>
      <c r="E22" s="33">
        <v>11</v>
      </c>
      <c r="F22" s="33">
        <v>10</v>
      </c>
      <c r="G22" s="33">
        <v>3</v>
      </c>
      <c r="H22" s="33">
        <v>2</v>
      </c>
      <c r="I22" s="33">
        <v>6</v>
      </c>
      <c r="J22" s="33">
        <v>3</v>
      </c>
      <c r="K22" s="33">
        <v>6</v>
      </c>
      <c r="M22" s="33">
        <v>2</v>
      </c>
      <c r="N22" s="33">
        <v>1</v>
      </c>
      <c r="O22" s="33">
        <v>4</v>
      </c>
      <c r="Q22" s="33">
        <v>1</v>
      </c>
      <c r="R22">
        <f t="shared" si="0"/>
        <v>65</v>
      </c>
      <c r="S22" s="84">
        <f>R22/R44</f>
        <v>8.3547557840616973E-2</v>
      </c>
    </row>
    <row r="23" spans="1:30" x14ac:dyDescent="0.2">
      <c r="A23" s="27" t="s">
        <v>20</v>
      </c>
      <c r="C23" s="33">
        <v>2</v>
      </c>
      <c r="D23" s="33">
        <v>1</v>
      </c>
      <c r="E23" s="33">
        <v>2</v>
      </c>
      <c r="F23" s="33">
        <v>1</v>
      </c>
      <c r="G23" s="33"/>
      <c r="H23" s="33"/>
      <c r="I23" s="33"/>
      <c r="J23" s="33"/>
      <c r="K23" s="33"/>
      <c r="L23" s="83" t="s">
        <v>667</v>
      </c>
      <c r="M23" s="33"/>
      <c r="R23">
        <f t="shared" si="0"/>
        <v>6</v>
      </c>
      <c r="S23" s="84">
        <f>R23/R44</f>
        <v>7.7120822622107968E-3</v>
      </c>
      <c r="AD23" s="30"/>
    </row>
    <row r="24" spans="1:30" x14ac:dyDescent="0.2">
      <c r="A24" s="27" t="s">
        <v>645</v>
      </c>
      <c r="C24" s="33">
        <v>4</v>
      </c>
      <c r="D24" s="33">
        <v>1</v>
      </c>
      <c r="E24" s="33"/>
      <c r="F24" s="33">
        <v>5</v>
      </c>
      <c r="G24" s="33">
        <v>2</v>
      </c>
      <c r="H24" s="33"/>
      <c r="I24" s="33"/>
      <c r="J24" s="33">
        <v>2</v>
      </c>
      <c r="K24" s="33"/>
      <c r="M24" s="33"/>
      <c r="R24">
        <f t="shared" si="0"/>
        <v>14</v>
      </c>
      <c r="S24" s="85">
        <f>R24/R44</f>
        <v>1.7994858611825194E-2</v>
      </c>
    </row>
    <row r="25" spans="1:30" x14ac:dyDescent="0.2">
      <c r="A25" s="27" t="s">
        <v>200</v>
      </c>
      <c r="C25" s="33"/>
      <c r="D25" s="33"/>
      <c r="E25" s="33"/>
      <c r="F25" s="33">
        <v>1</v>
      </c>
      <c r="G25" s="33"/>
      <c r="H25" s="33"/>
      <c r="I25" s="33"/>
      <c r="J25" s="33"/>
      <c r="K25" s="33"/>
      <c r="M25" s="33"/>
      <c r="R25">
        <f t="shared" si="0"/>
        <v>1</v>
      </c>
      <c r="S25" s="84">
        <f>R25/R44</f>
        <v>1.2853470437017994E-3</v>
      </c>
    </row>
    <row r="26" spans="1:30" x14ac:dyDescent="0.2">
      <c r="A26" s="27" t="s">
        <v>435</v>
      </c>
      <c r="C26" s="33">
        <v>1</v>
      </c>
      <c r="D26" s="33"/>
      <c r="E26" s="33"/>
      <c r="F26" s="33">
        <v>3</v>
      </c>
      <c r="G26" s="33">
        <v>1</v>
      </c>
      <c r="H26" s="33"/>
      <c r="I26" s="33"/>
      <c r="J26" s="33"/>
      <c r="K26" s="33"/>
      <c r="M26" s="33"/>
      <c r="R26">
        <f t="shared" si="0"/>
        <v>5</v>
      </c>
      <c r="S26" s="84">
        <f>R26/R44</f>
        <v>6.4267352185089976E-3</v>
      </c>
    </row>
    <row r="27" spans="1:30" x14ac:dyDescent="0.2">
      <c r="A27" s="27" t="s">
        <v>22</v>
      </c>
      <c r="C27" s="33"/>
      <c r="D27" s="33">
        <v>1</v>
      </c>
      <c r="E27" s="33"/>
      <c r="F27" s="33"/>
      <c r="G27" s="33"/>
      <c r="H27" s="33">
        <v>1</v>
      </c>
      <c r="I27" s="33">
        <v>2</v>
      </c>
      <c r="J27" s="33">
        <v>1</v>
      </c>
      <c r="K27" s="33"/>
      <c r="M27" s="33"/>
      <c r="R27">
        <f t="shared" si="0"/>
        <v>5</v>
      </c>
      <c r="S27" s="84">
        <f>R27/R44</f>
        <v>6.4267352185089976E-3</v>
      </c>
    </row>
    <row r="28" spans="1:30" x14ac:dyDescent="0.2">
      <c r="A28" s="27" t="s">
        <v>23</v>
      </c>
      <c r="C28" s="33"/>
      <c r="D28" s="33">
        <v>1</v>
      </c>
      <c r="E28" s="33"/>
      <c r="F28" s="33"/>
      <c r="G28" s="33"/>
      <c r="H28" s="33"/>
      <c r="I28" s="33"/>
      <c r="J28" s="33"/>
      <c r="K28" s="33"/>
      <c r="M28" s="33"/>
      <c r="R28">
        <f t="shared" si="0"/>
        <v>1</v>
      </c>
      <c r="S28" s="84">
        <f>R28/R44</f>
        <v>1.2853470437017994E-3</v>
      </c>
    </row>
    <row r="29" spans="1:30" x14ac:dyDescent="0.2">
      <c r="A29" s="27" t="s">
        <v>214</v>
      </c>
      <c r="C29" s="33"/>
      <c r="D29" s="33"/>
      <c r="E29" s="33"/>
      <c r="F29" s="33"/>
      <c r="G29" s="33"/>
      <c r="H29" s="33"/>
      <c r="I29" s="33"/>
      <c r="J29" s="33"/>
      <c r="K29" s="33"/>
      <c r="M29" s="33"/>
      <c r="R29">
        <f t="shared" si="0"/>
        <v>0</v>
      </c>
      <c r="S29" s="84">
        <f>R29/R44</f>
        <v>0</v>
      </c>
    </row>
    <row r="30" spans="1:30" x14ac:dyDescent="0.2">
      <c r="A30" s="27" t="s">
        <v>194</v>
      </c>
      <c r="C30" s="33"/>
      <c r="D30" s="33"/>
      <c r="E30" s="33"/>
      <c r="F30" s="33"/>
      <c r="G30" s="33"/>
      <c r="H30" s="33"/>
      <c r="I30" s="33">
        <v>1</v>
      </c>
      <c r="J30" s="33"/>
      <c r="K30" s="33"/>
      <c r="M30" s="33"/>
      <c r="R30">
        <f t="shared" si="0"/>
        <v>1</v>
      </c>
      <c r="S30" s="84">
        <f>R30/R44</f>
        <v>1.2853470437017994E-3</v>
      </c>
    </row>
    <row r="31" spans="1:30" x14ac:dyDescent="0.2">
      <c r="A31" s="27" t="s">
        <v>195</v>
      </c>
      <c r="C31" s="33"/>
      <c r="D31" s="33"/>
      <c r="E31" s="33">
        <v>4</v>
      </c>
      <c r="F31" s="33">
        <v>1</v>
      </c>
      <c r="G31" s="33">
        <v>1</v>
      </c>
      <c r="H31" s="33">
        <v>2</v>
      </c>
      <c r="I31" s="33"/>
      <c r="J31" s="33"/>
      <c r="K31" s="33"/>
      <c r="M31" s="33"/>
      <c r="R31">
        <f t="shared" si="0"/>
        <v>8</v>
      </c>
      <c r="S31" s="84">
        <f>R31/R44</f>
        <v>1.0282776349614395E-2</v>
      </c>
    </row>
    <row r="32" spans="1:30" x14ac:dyDescent="0.2">
      <c r="A32" s="27" t="s">
        <v>25</v>
      </c>
      <c r="C32" s="33"/>
      <c r="D32" s="33"/>
      <c r="E32" s="33">
        <v>1</v>
      </c>
      <c r="F32" s="33">
        <v>2</v>
      </c>
      <c r="G32" s="33">
        <v>2</v>
      </c>
      <c r="H32" s="33">
        <v>1</v>
      </c>
      <c r="I32" s="33"/>
      <c r="J32" s="33">
        <v>2</v>
      </c>
      <c r="K32" s="33">
        <v>1</v>
      </c>
      <c r="M32" s="33">
        <v>2</v>
      </c>
      <c r="P32">
        <v>1</v>
      </c>
      <c r="R32">
        <f t="shared" si="0"/>
        <v>12</v>
      </c>
      <c r="S32" s="84">
        <f>R32/R44</f>
        <v>1.5424164524421594E-2</v>
      </c>
    </row>
    <row r="33" spans="1:19" x14ac:dyDescent="0.2">
      <c r="A33" s="27" t="s">
        <v>646</v>
      </c>
      <c r="C33" s="33"/>
      <c r="D33" s="33"/>
      <c r="E33" s="33"/>
      <c r="F33" s="33"/>
      <c r="G33" s="33"/>
      <c r="H33" s="33"/>
      <c r="I33" s="33"/>
      <c r="J33" s="33"/>
      <c r="K33" s="33"/>
      <c r="M33" s="33"/>
      <c r="R33">
        <f t="shared" si="0"/>
        <v>0</v>
      </c>
      <c r="S33" s="84">
        <f>R33/R44</f>
        <v>0</v>
      </c>
    </row>
    <row r="34" spans="1:19" x14ac:dyDescent="0.2">
      <c r="A34" s="27" t="s">
        <v>26</v>
      </c>
      <c r="C34" s="33"/>
      <c r="D34" s="33"/>
      <c r="E34" s="33"/>
      <c r="F34" s="33"/>
      <c r="G34" s="33"/>
      <c r="H34" s="33"/>
      <c r="I34" s="33"/>
      <c r="J34" s="33"/>
      <c r="K34" s="33"/>
      <c r="M34" s="33"/>
      <c r="R34">
        <f t="shared" si="0"/>
        <v>0</v>
      </c>
      <c r="S34" s="84">
        <f>R34/R44</f>
        <v>0</v>
      </c>
    </row>
    <row r="35" spans="1:19" x14ac:dyDescent="0.2">
      <c r="A35" s="27" t="s">
        <v>27</v>
      </c>
      <c r="C35" s="33">
        <v>20</v>
      </c>
      <c r="D35" s="33">
        <v>41</v>
      </c>
      <c r="E35" s="33">
        <v>62</v>
      </c>
      <c r="F35" s="33">
        <v>52</v>
      </c>
      <c r="G35" s="33">
        <v>38</v>
      </c>
      <c r="H35" s="33">
        <v>45</v>
      </c>
      <c r="I35" s="33">
        <v>6</v>
      </c>
      <c r="J35" s="33">
        <v>23</v>
      </c>
      <c r="K35" s="33">
        <v>24</v>
      </c>
      <c r="M35" s="33">
        <v>8</v>
      </c>
      <c r="N35" s="33">
        <v>1</v>
      </c>
      <c r="O35" s="33">
        <v>3</v>
      </c>
      <c r="P35" s="33">
        <v>17</v>
      </c>
      <c r="Q35" s="33">
        <v>10</v>
      </c>
      <c r="R35">
        <f t="shared" si="0"/>
        <v>350</v>
      </c>
      <c r="S35" s="84">
        <f>R35/R44</f>
        <v>0.44987146529562982</v>
      </c>
    </row>
    <row r="36" spans="1:19" x14ac:dyDescent="0.2">
      <c r="A36" s="27" t="s">
        <v>28</v>
      </c>
      <c r="C36" s="33">
        <v>5</v>
      </c>
      <c r="D36" s="33"/>
      <c r="E36" s="33"/>
      <c r="F36" s="33">
        <v>3</v>
      </c>
      <c r="G36" s="33">
        <v>4</v>
      </c>
      <c r="H36" s="33">
        <v>1</v>
      </c>
      <c r="I36" s="33"/>
      <c r="J36" s="33"/>
      <c r="K36" s="33"/>
      <c r="M36" s="33"/>
      <c r="R36">
        <f t="shared" si="0"/>
        <v>13</v>
      </c>
      <c r="S36" s="84">
        <f>R36/R44</f>
        <v>1.6709511568123392E-2</v>
      </c>
    </row>
    <row r="37" spans="1:19" x14ac:dyDescent="0.2">
      <c r="A37" s="27" t="s">
        <v>29</v>
      </c>
      <c r="C37" s="33"/>
      <c r="D37" s="33"/>
      <c r="E37" s="33"/>
      <c r="F37" s="33">
        <v>1</v>
      </c>
      <c r="G37" s="33"/>
      <c r="H37" s="33"/>
      <c r="I37" s="33"/>
      <c r="J37" s="33"/>
      <c r="K37" s="33"/>
      <c r="R37">
        <f t="shared" si="0"/>
        <v>1</v>
      </c>
      <c r="S37" s="84">
        <f>R37/R44</f>
        <v>1.2853470437017994E-3</v>
      </c>
    </row>
    <row r="38" spans="1:19" x14ac:dyDescent="0.2">
      <c r="A38" s="27" t="s">
        <v>30</v>
      </c>
      <c r="C38" s="33"/>
      <c r="D38" s="33"/>
      <c r="E38" s="33"/>
      <c r="F38" s="33"/>
      <c r="G38" s="33"/>
      <c r="H38" s="33"/>
      <c r="I38" s="33"/>
      <c r="J38" s="33"/>
      <c r="K38" s="33"/>
      <c r="R38">
        <f t="shared" si="0"/>
        <v>0</v>
      </c>
      <c r="S38" s="84">
        <f>R38/R44</f>
        <v>0</v>
      </c>
    </row>
    <row r="39" spans="1:19" x14ac:dyDescent="0.2">
      <c r="A39" s="27" t="s">
        <v>442</v>
      </c>
      <c r="C39" s="33"/>
      <c r="D39" s="33"/>
      <c r="E39" s="33"/>
      <c r="F39" s="33"/>
      <c r="G39" s="33"/>
      <c r="H39" s="33"/>
      <c r="I39" s="33"/>
      <c r="J39" s="33"/>
      <c r="K39" s="33"/>
      <c r="R39">
        <f t="shared" si="0"/>
        <v>0</v>
      </c>
      <c r="S39" s="84">
        <f>R39/R44</f>
        <v>0</v>
      </c>
    </row>
    <row r="40" spans="1:19" x14ac:dyDescent="0.2">
      <c r="A40" s="27" t="s">
        <v>31</v>
      </c>
      <c r="C40" s="33"/>
      <c r="D40" s="33"/>
      <c r="E40" s="33"/>
      <c r="F40" s="33"/>
      <c r="G40" s="33"/>
      <c r="H40" s="33">
        <v>1</v>
      </c>
      <c r="O40">
        <v>1</v>
      </c>
      <c r="R40">
        <f t="shared" si="0"/>
        <v>2</v>
      </c>
      <c r="S40" s="84">
        <f>R40/R44</f>
        <v>2.5706940874035988E-3</v>
      </c>
    </row>
    <row r="41" spans="1:19" x14ac:dyDescent="0.2">
      <c r="A41" s="27" t="s">
        <v>32</v>
      </c>
      <c r="C41" s="33"/>
      <c r="D41" s="33"/>
      <c r="E41" s="33"/>
      <c r="F41" s="33"/>
      <c r="G41" s="33"/>
      <c r="H41" s="33"/>
      <c r="R41">
        <f t="shared" si="0"/>
        <v>0</v>
      </c>
      <c r="S41" s="84">
        <f>R41/R44</f>
        <v>0</v>
      </c>
    </row>
    <row r="42" spans="1:19" x14ac:dyDescent="0.2">
      <c r="A42" s="27" t="s">
        <v>33</v>
      </c>
      <c r="C42" s="33"/>
      <c r="D42" s="33"/>
      <c r="E42" s="33">
        <v>1</v>
      </c>
      <c r="F42" s="33">
        <v>1</v>
      </c>
      <c r="G42" s="33">
        <v>2</v>
      </c>
      <c r="H42" s="33"/>
      <c r="R42">
        <f t="shared" si="0"/>
        <v>4</v>
      </c>
      <c r="S42" s="84">
        <f>R42/R44</f>
        <v>5.1413881748071976E-3</v>
      </c>
    </row>
    <row r="43" spans="1:19" x14ac:dyDescent="0.2">
      <c r="A43" s="27" t="s">
        <v>36</v>
      </c>
      <c r="R43">
        <f t="shared" si="0"/>
        <v>0</v>
      </c>
      <c r="S43" s="84">
        <f>R43/R44</f>
        <v>0</v>
      </c>
    </row>
    <row r="44" spans="1:19" x14ac:dyDescent="0.2">
      <c r="A44" s="30" t="s">
        <v>344</v>
      </c>
      <c r="C44">
        <f t="shared" ref="C44:K44" si="1">SUM(C3:C43)</f>
        <v>56</v>
      </c>
      <c r="D44">
        <f t="shared" si="1"/>
        <v>81</v>
      </c>
      <c r="E44">
        <f t="shared" si="1"/>
        <v>123</v>
      </c>
      <c r="F44">
        <f t="shared" si="1"/>
        <v>166</v>
      </c>
      <c r="G44">
        <f t="shared" si="1"/>
        <v>102</v>
      </c>
      <c r="H44">
        <f t="shared" si="1"/>
        <v>69</v>
      </c>
      <c r="I44">
        <f t="shared" si="1"/>
        <v>25</v>
      </c>
      <c r="J44">
        <f t="shared" si="1"/>
        <v>56</v>
      </c>
      <c r="K44">
        <f t="shared" si="1"/>
        <v>42</v>
      </c>
      <c r="M44">
        <f>SUM(M3:M43)</f>
        <v>14</v>
      </c>
      <c r="N44">
        <f>SUM(N3:N43)</f>
        <v>2</v>
      </c>
      <c r="O44">
        <f>SUM(O3:O43)</f>
        <v>9</v>
      </c>
      <c r="P44">
        <f>SUM(P3:P43)</f>
        <v>19</v>
      </c>
      <c r="Q44">
        <f>SUM(Q3:Q43)</f>
        <v>14</v>
      </c>
      <c r="R44">
        <f t="shared" si="0"/>
        <v>778</v>
      </c>
      <c r="S44" s="84">
        <f>R44/R44</f>
        <v>1</v>
      </c>
    </row>
    <row r="47" spans="1:19" x14ac:dyDescent="0.2">
      <c r="A47" s="27" t="s">
        <v>1482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47"/>
  <sheetViews>
    <sheetView topLeftCell="A22" workbookViewId="0">
      <pane xSplit="1" topLeftCell="K1" activePane="topRight" state="frozen"/>
      <selection pane="topRight" activeCell="M44" sqref="M44"/>
    </sheetView>
  </sheetViews>
  <sheetFormatPr defaultRowHeight="12.75" x14ac:dyDescent="0.2"/>
  <cols>
    <col min="1" max="1" width="25.7109375" customWidth="1"/>
    <col min="28" max="28" width="9.140625" style="87"/>
  </cols>
  <sheetData>
    <row r="1" spans="1:28" x14ac:dyDescent="0.2">
      <c r="A1" s="30" t="s">
        <v>448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t="s">
        <v>449</v>
      </c>
    </row>
    <row r="2" spans="1:28" x14ac:dyDescent="0.2">
      <c r="A2" t="s">
        <v>287</v>
      </c>
      <c r="B2" s="36" t="s">
        <v>954</v>
      </c>
      <c r="C2" s="36" t="s">
        <v>955</v>
      </c>
      <c r="D2" s="36" t="s">
        <v>956</v>
      </c>
      <c r="E2" s="36" t="s">
        <v>726</v>
      </c>
      <c r="F2" s="36" t="s">
        <v>957</v>
      </c>
      <c r="G2" s="36" t="s">
        <v>958</v>
      </c>
      <c r="H2" s="36" t="s">
        <v>959</v>
      </c>
      <c r="I2" s="36" t="s">
        <v>960</v>
      </c>
      <c r="J2" s="36" t="s">
        <v>961</v>
      </c>
      <c r="K2" s="36" t="s">
        <v>962</v>
      </c>
      <c r="L2" s="36" t="s">
        <v>963</v>
      </c>
      <c r="M2" s="36" t="s">
        <v>964</v>
      </c>
      <c r="N2" s="36" t="s">
        <v>965</v>
      </c>
      <c r="O2" s="36" t="s">
        <v>966</v>
      </c>
      <c r="P2" s="70" t="s">
        <v>967</v>
      </c>
      <c r="Q2" s="36" t="s">
        <v>348</v>
      </c>
      <c r="R2" s="36" t="s">
        <v>968</v>
      </c>
      <c r="S2" s="36" t="s">
        <v>969</v>
      </c>
      <c r="T2" s="36" t="s">
        <v>970</v>
      </c>
      <c r="U2" s="36" t="s">
        <v>971</v>
      </c>
      <c r="V2" s="36" t="s">
        <v>972</v>
      </c>
      <c r="W2" s="36" t="s">
        <v>973</v>
      </c>
      <c r="X2" s="36" t="s">
        <v>765</v>
      </c>
      <c r="Y2" s="36" t="s">
        <v>974</v>
      </c>
      <c r="Z2" s="36" t="s">
        <v>975</v>
      </c>
      <c r="AA2" t="s">
        <v>315</v>
      </c>
      <c r="AB2" s="88" t="s">
        <v>1023</v>
      </c>
    </row>
    <row r="3" spans="1:28" x14ac:dyDescent="0.2">
      <c r="A3" s="27" t="s">
        <v>1</v>
      </c>
      <c r="B3" s="33"/>
      <c r="C3" s="33"/>
      <c r="D3" s="33">
        <v>1</v>
      </c>
      <c r="E3" s="33">
        <v>5</v>
      </c>
      <c r="F3" s="33">
        <v>7</v>
      </c>
      <c r="G3" s="33"/>
      <c r="H3" s="33">
        <v>5</v>
      </c>
      <c r="I3" s="33">
        <v>6</v>
      </c>
      <c r="J3" s="33">
        <v>10</v>
      </c>
      <c r="K3" s="33">
        <v>11</v>
      </c>
      <c r="L3" s="33">
        <v>3</v>
      </c>
      <c r="M3" s="33"/>
      <c r="N3" s="33">
        <v>12</v>
      </c>
      <c r="O3" s="33">
        <v>2</v>
      </c>
      <c r="P3" s="33">
        <v>3</v>
      </c>
      <c r="Q3" s="33">
        <v>6</v>
      </c>
      <c r="R3" s="33">
        <v>2</v>
      </c>
      <c r="S3" s="33">
        <v>3</v>
      </c>
      <c r="T3" s="33"/>
      <c r="U3" s="33">
        <v>3</v>
      </c>
      <c r="V3" s="33"/>
      <c r="W3" s="33"/>
      <c r="X3" s="33">
        <v>8</v>
      </c>
      <c r="Y3" s="33">
        <v>3</v>
      </c>
      <c r="Z3" s="33">
        <v>6</v>
      </c>
      <c r="AA3">
        <f t="shared" ref="AA3:AA44" si="0">SUM(B3:Z3)</f>
        <v>96</v>
      </c>
      <c r="AB3" s="87">
        <f>AA3/AA44</f>
        <v>4.4219253800092125E-2</v>
      </c>
    </row>
    <row r="4" spans="1:28" x14ac:dyDescent="0.2">
      <c r="A4" s="27" t="s">
        <v>3</v>
      </c>
      <c r="B4" s="33">
        <v>1</v>
      </c>
      <c r="C4" s="33">
        <v>1</v>
      </c>
      <c r="D4" s="33">
        <v>3</v>
      </c>
      <c r="E4" s="33">
        <v>3</v>
      </c>
      <c r="F4" s="33">
        <v>1</v>
      </c>
      <c r="G4" s="33"/>
      <c r="H4" s="33">
        <v>2</v>
      </c>
      <c r="I4" s="33">
        <v>1</v>
      </c>
      <c r="J4" s="33">
        <v>2</v>
      </c>
      <c r="K4" s="33"/>
      <c r="L4" s="33">
        <v>1</v>
      </c>
      <c r="M4" s="33"/>
      <c r="N4" s="33">
        <v>2</v>
      </c>
      <c r="O4" s="33">
        <v>1</v>
      </c>
      <c r="P4" s="33">
        <v>3</v>
      </c>
      <c r="Q4" s="33">
        <v>2</v>
      </c>
      <c r="R4" s="33"/>
      <c r="S4" s="33">
        <v>4</v>
      </c>
      <c r="T4" s="33">
        <v>1</v>
      </c>
      <c r="U4" s="33">
        <v>1</v>
      </c>
      <c r="V4" s="33"/>
      <c r="W4" s="33">
        <v>2</v>
      </c>
      <c r="X4" s="33">
        <v>2</v>
      </c>
      <c r="Y4" s="33">
        <v>1</v>
      </c>
      <c r="Z4" s="33">
        <v>3</v>
      </c>
      <c r="AA4">
        <f t="shared" si="0"/>
        <v>37</v>
      </c>
      <c r="AB4" s="87">
        <f>AA4/AA44</f>
        <v>1.704283740211884E-2</v>
      </c>
    </row>
    <row r="5" spans="1:28" x14ac:dyDescent="0.2">
      <c r="A5" s="27" t="s">
        <v>4</v>
      </c>
      <c r="B5" s="33">
        <v>1</v>
      </c>
      <c r="C5" s="33"/>
      <c r="D5" s="33">
        <v>1</v>
      </c>
      <c r="E5" s="33">
        <v>2</v>
      </c>
      <c r="F5" s="33">
        <v>1</v>
      </c>
      <c r="G5" s="33"/>
      <c r="H5" s="33"/>
      <c r="I5" s="33">
        <v>4</v>
      </c>
      <c r="J5" s="33">
        <v>5</v>
      </c>
      <c r="K5" s="33">
        <v>1</v>
      </c>
      <c r="L5" s="33"/>
      <c r="M5" s="33"/>
      <c r="N5" s="33">
        <v>2</v>
      </c>
      <c r="O5" s="33">
        <v>2</v>
      </c>
      <c r="P5" s="33">
        <v>1</v>
      </c>
      <c r="Q5" s="33">
        <v>2</v>
      </c>
      <c r="R5" s="33"/>
      <c r="S5" s="33"/>
      <c r="T5" s="33">
        <v>1</v>
      </c>
      <c r="U5" s="33">
        <v>3</v>
      </c>
      <c r="V5" s="33"/>
      <c r="W5" s="33"/>
      <c r="X5" s="33">
        <v>1</v>
      </c>
      <c r="Y5" s="33">
        <v>1</v>
      </c>
      <c r="Z5" s="33"/>
      <c r="AA5">
        <f t="shared" si="0"/>
        <v>28</v>
      </c>
      <c r="AB5" s="87">
        <f>AA5/AA44</f>
        <v>1.2897282358360202E-2</v>
      </c>
    </row>
    <row r="6" spans="1:28" x14ac:dyDescent="0.2">
      <c r="A6" s="27" t="s">
        <v>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>
        <v>1</v>
      </c>
      <c r="P6" s="33">
        <v>1</v>
      </c>
      <c r="Q6" s="33">
        <v>1</v>
      </c>
      <c r="R6" s="33">
        <v>1</v>
      </c>
      <c r="S6" s="33"/>
      <c r="T6" s="33"/>
      <c r="U6" s="33"/>
      <c r="V6" s="33"/>
      <c r="W6" s="33"/>
      <c r="X6" s="33"/>
      <c r="Y6" s="33"/>
      <c r="Z6" s="33"/>
      <c r="AA6">
        <f t="shared" si="0"/>
        <v>4</v>
      </c>
      <c r="AB6" s="87">
        <f>AA6/AA44</f>
        <v>1.8424689083371719E-3</v>
      </c>
    </row>
    <row r="7" spans="1:28" x14ac:dyDescent="0.2">
      <c r="A7" s="27" t="s">
        <v>6</v>
      </c>
      <c r="B7" s="33">
        <v>7</v>
      </c>
      <c r="C7" s="33">
        <v>23</v>
      </c>
      <c r="D7" s="33">
        <v>2</v>
      </c>
      <c r="E7" s="33">
        <v>47</v>
      </c>
      <c r="F7" s="33">
        <v>43</v>
      </c>
      <c r="G7" s="33">
        <v>12</v>
      </c>
      <c r="H7" s="33">
        <v>34</v>
      </c>
      <c r="I7" s="33">
        <v>53</v>
      </c>
      <c r="J7" s="33">
        <v>42</v>
      </c>
      <c r="K7" s="33">
        <v>23</v>
      </c>
      <c r="L7" s="33">
        <v>10</v>
      </c>
      <c r="M7" s="33"/>
      <c r="N7" s="33">
        <v>52</v>
      </c>
      <c r="O7" s="33">
        <v>9</v>
      </c>
      <c r="P7" s="33">
        <v>13</v>
      </c>
      <c r="Q7" s="33">
        <v>30</v>
      </c>
      <c r="R7" s="33">
        <v>3</v>
      </c>
      <c r="S7" s="33">
        <v>20</v>
      </c>
      <c r="T7" s="33">
        <v>5</v>
      </c>
      <c r="U7" s="33">
        <v>5</v>
      </c>
      <c r="V7" s="33">
        <v>2</v>
      </c>
      <c r="W7" s="33">
        <v>17</v>
      </c>
      <c r="X7" s="33">
        <v>59</v>
      </c>
      <c r="Y7" s="33">
        <v>89</v>
      </c>
      <c r="Z7" s="33">
        <v>21</v>
      </c>
      <c r="AA7">
        <f t="shared" si="0"/>
        <v>621</v>
      </c>
      <c r="AB7" s="87">
        <f>AA7/AA44</f>
        <v>0.28604329801934592</v>
      </c>
    </row>
    <row r="8" spans="1:28" x14ac:dyDescent="0.2">
      <c r="A8" s="27" t="s">
        <v>40</v>
      </c>
      <c r="B8" s="33"/>
      <c r="C8" s="33">
        <v>1</v>
      </c>
      <c r="D8" s="33"/>
      <c r="E8" s="33">
        <v>1</v>
      </c>
      <c r="F8" s="33"/>
      <c r="G8" s="33"/>
      <c r="H8" s="33"/>
      <c r="I8" s="33"/>
      <c r="J8" s="33"/>
      <c r="K8" s="33"/>
      <c r="L8" s="33"/>
      <c r="M8" s="33"/>
      <c r="N8" s="33"/>
      <c r="O8" s="33"/>
      <c r="Q8" s="33">
        <v>1</v>
      </c>
      <c r="R8" s="33"/>
      <c r="S8" s="33"/>
      <c r="T8" s="33"/>
      <c r="U8" s="33"/>
      <c r="V8" s="33"/>
      <c r="W8" s="33">
        <v>2</v>
      </c>
      <c r="X8" s="33"/>
      <c r="Y8" s="33"/>
      <c r="Z8" s="33"/>
      <c r="AA8">
        <f t="shared" si="0"/>
        <v>5</v>
      </c>
      <c r="AB8" s="87">
        <f>AA8/AA44</f>
        <v>2.3030861354214646E-3</v>
      </c>
    </row>
    <row r="9" spans="1:28" x14ac:dyDescent="0.2">
      <c r="A9" s="27" t="s">
        <v>7</v>
      </c>
      <c r="B9" s="33">
        <v>4</v>
      </c>
      <c r="C9" s="33">
        <v>6</v>
      </c>
      <c r="D9" s="33">
        <v>1</v>
      </c>
      <c r="E9" s="33">
        <v>12</v>
      </c>
      <c r="F9" s="33">
        <v>26</v>
      </c>
      <c r="G9" s="33">
        <v>9</v>
      </c>
      <c r="H9" s="33">
        <v>12</v>
      </c>
      <c r="I9" s="33">
        <v>19</v>
      </c>
      <c r="J9" s="33">
        <v>20</v>
      </c>
      <c r="K9" s="33">
        <v>9</v>
      </c>
      <c r="L9" s="33">
        <v>16</v>
      </c>
      <c r="M9" s="33"/>
      <c r="N9" s="33">
        <v>8</v>
      </c>
      <c r="O9" s="33">
        <v>4</v>
      </c>
      <c r="P9" s="33">
        <v>7</v>
      </c>
      <c r="Q9" s="33">
        <v>14</v>
      </c>
      <c r="R9" s="33">
        <v>1</v>
      </c>
      <c r="S9" s="33">
        <v>3</v>
      </c>
      <c r="T9" s="33">
        <v>2</v>
      </c>
      <c r="U9" s="33"/>
      <c r="V9" s="33"/>
      <c r="W9" s="33"/>
      <c r="X9" s="33"/>
      <c r="Y9" s="33">
        <v>10</v>
      </c>
      <c r="Z9" s="33">
        <v>7</v>
      </c>
      <c r="AA9">
        <f t="shared" si="0"/>
        <v>190</v>
      </c>
      <c r="AB9" s="87">
        <f>AA9/AA44</f>
        <v>8.7517273146015664E-2</v>
      </c>
    </row>
    <row r="10" spans="1:28" x14ac:dyDescent="0.2">
      <c r="A10" s="27" t="s">
        <v>9</v>
      </c>
      <c r="B10" s="33"/>
      <c r="C10" s="33"/>
      <c r="D10" s="33"/>
      <c r="E10" s="33"/>
      <c r="F10" s="33">
        <v>1</v>
      </c>
      <c r="G10" s="33"/>
      <c r="H10" s="33"/>
      <c r="I10" s="33"/>
      <c r="J10" s="33"/>
      <c r="K10" s="33"/>
      <c r="L10" s="33"/>
      <c r="M10" s="33"/>
      <c r="N10" s="33"/>
      <c r="O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>
        <f t="shared" si="0"/>
        <v>1</v>
      </c>
      <c r="AB10" s="87">
        <f>AA10/AA44</f>
        <v>4.6061722708429296E-4</v>
      </c>
    </row>
    <row r="11" spans="1:28" x14ac:dyDescent="0.2">
      <c r="A11" s="27" t="s">
        <v>10</v>
      </c>
      <c r="B11" s="33"/>
      <c r="C11" s="33"/>
      <c r="D11" s="33"/>
      <c r="E11" s="33"/>
      <c r="F11" s="33"/>
      <c r="G11" s="33"/>
      <c r="H11" s="33"/>
      <c r="I11" s="33"/>
      <c r="J11" s="33"/>
      <c r="K11" s="33">
        <v>1</v>
      </c>
      <c r="L11" s="33"/>
      <c r="M11" s="33"/>
      <c r="N11" s="33">
        <v>1</v>
      </c>
      <c r="O11" s="33"/>
      <c r="P11" s="33">
        <v>1</v>
      </c>
      <c r="Q11" s="33">
        <v>1</v>
      </c>
      <c r="R11" s="33"/>
      <c r="S11" s="33"/>
      <c r="T11" s="33">
        <v>1</v>
      </c>
      <c r="U11" s="33"/>
      <c r="V11" s="33"/>
      <c r="W11" s="33">
        <v>1</v>
      </c>
      <c r="X11" s="33"/>
      <c r="Y11" s="33">
        <v>2</v>
      </c>
      <c r="Z11" s="33"/>
      <c r="AA11">
        <f t="shared" si="0"/>
        <v>8</v>
      </c>
      <c r="AB11" s="87">
        <f>AA11/AA44</f>
        <v>3.6849378166743437E-3</v>
      </c>
    </row>
    <row r="12" spans="1:28" x14ac:dyDescent="0.2">
      <c r="A12" s="27" t="s">
        <v>11</v>
      </c>
      <c r="B12" s="33"/>
      <c r="C12" s="33"/>
      <c r="D12" s="33"/>
      <c r="E12" s="33">
        <v>1</v>
      </c>
      <c r="F12" s="33">
        <v>1</v>
      </c>
      <c r="G12" s="33"/>
      <c r="H12" s="33"/>
      <c r="I12" s="33"/>
      <c r="J12" s="33"/>
      <c r="K12" s="33"/>
      <c r="L12" s="33"/>
      <c r="M12" s="33"/>
      <c r="N12" s="33"/>
      <c r="O12" s="33"/>
      <c r="Q12" s="33"/>
      <c r="R12" s="33"/>
      <c r="S12" s="33">
        <v>1</v>
      </c>
      <c r="T12" s="33"/>
      <c r="U12" s="33"/>
      <c r="V12" s="33"/>
      <c r="W12" s="33">
        <v>1</v>
      </c>
      <c r="X12" s="33"/>
      <c r="Y12" s="33"/>
      <c r="Z12" s="33"/>
      <c r="AA12">
        <f t="shared" si="0"/>
        <v>4</v>
      </c>
      <c r="AB12" s="87">
        <f>AA12/AA44</f>
        <v>1.8424689083371719E-3</v>
      </c>
    </row>
    <row r="13" spans="1:28" x14ac:dyDescent="0.2">
      <c r="A13" s="27" t="s">
        <v>503</v>
      </c>
      <c r="B13" s="33"/>
      <c r="C13" s="33"/>
      <c r="D13" s="33"/>
      <c r="E13" s="33"/>
      <c r="F13" s="33"/>
      <c r="G13" s="33"/>
      <c r="H13" s="33"/>
      <c r="I13" s="33">
        <v>1</v>
      </c>
      <c r="J13" s="33"/>
      <c r="K13" s="33"/>
      <c r="L13" s="33"/>
      <c r="M13" s="33"/>
      <c r="N13" s="33">
        <v>1</v>
      </c>
      <c r="O13" s="33"/>
      <c r="Q13" s="33">
        <v>1</v>
      </c>
      <c r="R13" s="33"/>
      <c r="S13" s="33"/>
      <c r="T13" s="33"/>
      <c r="U13" s="33"/>
      <c r="V13" s="33"/>
      <c r="W13" s="33"/>
      <c r="X13" s="33"/>
      <c r="Y13" s="33"/>
      <c r="Z13" s="33"/>
      <c r="AA13">
        <f t="shared" si="0"/>
        <v>3</v>
      </c>
      <c r="AB13" s="87">
        <f>AA13/AA44</f>
        <v>1.3818516812528789E-3</v>
      </c>
    </row>
    <row r="14" spans="1:28" x14ac:dyDescent="0.2">
      <c r="A14" s="27" t="s">
        <v>469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>
        <f t="shared" si="0"/>
        <v>0</v>
      </c>
      <c r="AB14" s="87">
        <f>AA14/AA44</f>
        <v>0</v>
      </c>
    </row>
    <row r="15" spans="1:28" x14ac:dyDescent="0.2">
      <c r="A15" s="27" t="s">
        <v>13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>
        <f t="shared" si="0"/>
        <v>0</v>
      </c>
      <c r="AB15" s="87">
        <f>AA15/AA44</f>
        <v>0</v>
      </c>
    </row>
    <row r="16" spans="1:28" x14ac:dyDescent="0.2">
      <c r="A16" s="27" t="s">
        <v>14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>
        <f t="shared" si="0"/>
        <v>0</v>
      </c>
      <c r="AB16" s="87">
        <f>AA16/AA44</f>
        <v>0</v>
      </c>
    </row>
    <row r="17" spans="1:28" x14ac:dyDescent="0.2">
      <c r="A17" s="27" t="s">
        <v>427</v>
      </c>
      <c r="B17" s="33"/>
      <c r="C17" s="33"/>
      <c r="D17" s="33">
        <v>1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>
        <f t="shared" si="0"/>
        <v>1</v>
      </c>
      <c r="AB17" s="87">
        <f>AA17/AA44</f>
        <v>4.6061722708429296E-4</v>
      </c>
    </row>
    <row r="18" spans="1:28" x14ac:dyDescent="0.2">
      <c r="A18" s="27" t="s">
        <v>15</v>
      </c>
      <c r="B18" s="33"/>
      <c r="C18" s="33"/>
      <c r="D18" s="33"/>
      <c r="E18" s="33"/>
      <c r="F18" s="33"/>
      <c r="G18" s="33">
        <v>1</v>
      </c>
      <c r="H18" s="33">
        <v>1</v>
      </c>
      <c r="I18" s="33"/>
      <c r="J18" s="33">
        <v>1</v>
      </c>
      <c r="K18" s="33">
        <v>1</v>
      </c>
      <c r="L18" s="33"/>
      <c r="M18" s="33"/>
      <c r="N18" s="33"/>
      <c r="O18" s="33"/>
      <c r="Q18" s="33">
        <v>1</v>
      </c>
      <c r="R18" s="33"/>
      <c r="S18" s="33"/>
      <c r="T18" s="33"/>
      <c r="U18" s="33"/>
      <c r="V18" s="33"/>
      <c r="W18" s="33"/>
      <c r="X18" s="33"/>
      <c r="Y18" s="33">
        <v>2</v>
      </c>
      <c r="Z18" s="33"/>
      <c r="AA18">
        <f t="shared" si="0"/>
        <v>7</v>
      </c>
      <c r="AB18" s="87">
        <f>AA18/AA44</f>
        <v>3.2243205895900505E-3</v>
      </c>
    </row>
    <row r="19" spans="1:28" x14ac:dyDescent="0.2">
      <c r="A19" s="27" t="s">
        <v>16</v>
      </c>
      <c r="B19" s="33"/>
      <c r="C19" s="33"/>
      <c r="D19" s="33"/>
      <c r="E19" s="33"/>
      <c r="F19" s="33"/>
      <c r="G19" s="33"/>
      <c r="H19" s="33">
        <v>1</v>
      </c>
      <c r="I19" s="33"/>
      <c r="J19" s="33"/>
      <c r="K19" s="33"/>
      <c r="L19" s="33"/>
      <c r="M19" s="33"/>
      <c r="N19" s="33"/>
      <c r="O19" s="33"/>
      <c r="P19">
        <v>1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>
        <f t="shared" si="0"/>
        <v>2</v>
      </c>
      <c r="AB19" s="87">
        <f>AA19/AA44</f>
        <v>9.2123445416858593E-4</v>
      </c>
    </row>
    <row r="20" spans="1:28" x14ac:dyDescent="0.2">
      <c r="A20" s="27" t="s">
        <v>17</v>
      </c>
      <c r="B20" s="33"/>
      <c r="C20" s="33"/>
      <c r="D20" s="33"/>
      <c r="E20" s="33"/>
      <c r="F20" s="33"/>
      <c r="G20" s="33"/>
      <c r="H20" s="33">
        <v>1</v>
      </c>
      <c r="I20" s="33"/>
      <c r="J20" s="33"/>
      <c r="K20" s="33"/>
      <c r="L20" s="33"/>
      <c r="M20" s="33"/>
      <c r="N20" s="33">
        <v>1</v>
      </c>
      <c r="O20" s="33"/>
      <c r="Q20" s="33">
        <v>1</v>
      </c>
      <c r="R20" s="33"/>
      <c r="S20" s="33"/>
      <c r="T20" s="33"/>
      <c r="U20" s="33"/>
      <c r="V20" s="33"/>
      <c r="W20" s="33"/>
      <c r="X20" s="33"/>
      <c r="Y20" s="33">
        <v>2</v>
      </c>
      <c r="Z20" s="33">
        <v>1</v>
      </c>
      <c r="AA20">
        <f t="shared" si="0"/>
        <v>6</v>
      </c>
      <c r="AB20" s="87">
        <f>AA20/AA44</f>
        <v>2.7637033625057578E-3</v>
      </c>
    </row>
    <row r="21" spans="1:28" x14ac:dyDescent="0.2">
      <c r="A21" s="27" t="s">
        <v>18</v>
      </c>
      <c r="B21" s="33">
        <v>1</v>
      </c>
      <c r="C21" s="33">
        <v>4</v>
      </c>
      <c r="D21" s="33"/>
      <c r="E21" s="33"/>
      <c r="F21" s="33">
        <v>1</v>
      </c>
      <c r="G21" s="33"/>
      <c r="H21" s="33">
        <v>1</v>
      </c>
      <c r="I21" s="33">
        <v>1</v>
      </c>
      <c r="J21" s="33">
        <v>1</v>
      </c>
      <c r="K21" s="33">
        <v>1</v>
      </c>
      <c r="L21" s="33"/>
      <c r="M21" s="33"/>
      <c r="N21" s="33">
        <v>2</v>
      </c>
      <c r="O21" s="33">
        <v>1</v>
      </c>
      <c r="P21" s="33">
        <v>1</v>
      </c>
      <c r="Q21" s="33">
        <v>3</v>
      </c>
      <c r="R21" s="33">
        <v>2</v>
      </c>
      <c r="S21" s="33">
        <v>4</v>
      </c>
      <c r="T21" s="33"/>
      <c r="U21" s="33">
        <v>1</v>
      </c>
      <c r="V21" s="33"/>
      <c r="W21" s="33">
        <v>1</v>
      </c>
      <c r="X21" s="33">
        <v>1</v>
      </c>
      <c r="Y21" s="33">
        <v>2</v>
      </c>
      <c r="Z21" s="33">
        <v>2</v>
      </c>
      <c r="AA21">
        <f t="shared" si="0"/>
        <v>30</v>
      </c>
      <c r="AB21" s="87">
        <f>AA21/AA44</f>
        <v>1.3818516812528788E-2</v>
      </c>
    </row>
    <row r="22" spans="1:28" x14ac:dyDescent="0.2">
      <c r="A22" s="27" t="s">
        <v>19</v>
      </c>
      <c r="B22" s="33">
        <v>1</v>
      </c>
      <c r="C22" s="33">
        <v>4</v>
      </c>
      <c r="D22" s="33">
        <v>3</v>
      </c>
      <c r="E22" s="33"/>
      <c r="F22" s="33">
        <v>10</v>
      </c>
      <c r="G22" s="33"/>
      <c r="H22" s="33">
        <v>3</v>
      </c>
      <c r="I22" s="33">
        <v>3</v>
      </c>
      <c r="J22" s="33">
        <v>7</v>
      </c>
      <c r="K22" s="33">
        <v>4</v>
      </c>
      <c r="L22" s="33"/>
      <c r="M22" s="33"/>
      <c r="N22" s="33">
        <v>10</v>
      </c>
      <c r="O22" s="33">
        <v>6</v>
      </c>
      <c r="P22" s="33">
        <v>7</v>
      </c>
      <c r="Q22" s="33">
        <v>4</v>
      </c>
      <c r="R22" s="33"/>
      <c r="S22" s="33">
        <v>1</v>
      </c>
      <c r="T22" s="33">
        <v>1</v>
      </c>
      <c r="U22" s="33"/>
      <c r="V22" s="33"/>
      <c r="W22" s="33">
        <v>4</v>
      </c>
      <c r="X22" s="33">
        <v>3</v>
      </c>
      <c r="Y22" s="33">
        <v>4</v>
      </c>
      <c r="Z22" s="33">
        <v>3</v>
      </c>
      <c r="AA22">
        <f t="shared" si="0"/>
        <v>78</v>
      </c>
      <c r="AB22" s="87">
        <f>AA22/AA44</f>
        <v>3.5928143712574849E-2</v>
      </c>
    </row>
    <row r="23" spans="1:28" x14ac:dyDescent="0.2">
      <c r="A23" s="27" t="s">
        <v>20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>
        <v>1</v>
      </c>
      <c r="O23" s="33"/>
      <c r="Q23" s="33"/>
      <c r="R23" s="33"/>
      <c r="S23" s="33"/>
      <c r="T23" s="33"/>
      <c r="U23" s="33"/>
      <c r="V23" s="33"/>
      <c r="W23" s="33"/>
      <c r="X23" s="33"/>
      <c r="Y23" s="33">
        <v>1</v>
      </c>
      <c r="Z23" s="33"/>
      <c r="AA23">
        <f t="shared" si="0"/>
        <v>2</v>
      </c>
      <c r="AB23" s="87">
        <f>AA23/AA44</f>
        <v>9.2123445416858593E-4</v>
      </c>
    </row>
    <row r="24" spans="1:28" x14ac:dyDescent="0.2">
      <c r="A24" s="27" t="s">
        <v>645</v>
      </c>
      <c r="B24" s="33">
        <v>4</v>
      </c>
      <c r="C24" s="33">
        <v>5</v>
      </c>
      <c r="D24" s="33">
        <v>11</v>
      </c>
      <c r="E24" s="33">
        <v>19</v>
      </c>
      <c r="F24" s="33">
        <v>34</v>
      </c>
      <c r="G24" s="33">
        <v>3</v>
      </c>
      <c r="H24" s="33">
        <v>7</v>
      </c>
      <c r="I24" s="33">
        <v>8</v>
      </c>
      <c r="J24" s="33">
        <v>13</v>
      </c>
      <c r="K24" s="33">
        <v>4</v>
      </c>
      <c r="L24" s="33">
        <v>7</v>
      </c>
      <c r="M24" s="33"/>
      <c r="N24" s="33">
        <v>37</v>
      </c>
      <c r="O24" s="33">
        <v>11</v>
      </c>
      <c r="P24" s="33">
        <v>28</v>
      </c>
      <c r="Q24" s="33">
        <v>15</v>
      </c>
      <c r="R24" s="33">
        <v>9</v>
      </c>
      <c r="S24" s="33">
        <v>22</v>
      </c>
      <c r="T24" s="33">
        <v>14</v>
      </c>
      <c r="U24" s="33">
        <v>15</v>
      </c>
      <c r="V24" s="33">
        <v>3</v>
      </c>
      <c r="W24" s="33">
        <v>18</v>
      </c>
      <c r="X24" s="33">
        <v>15</v>
      </c>
      <c r="Y24" s="33">
        <v>33</v>
      </c>
      <c r="Z24" s="33">
        <v>31</v>
      </c>
      <c r="AA24">
        <f t="shared" si="0"/>
        <v>366</v>
      </c>
      <c r="AB24" s="87">
        <f>AA24/AA44</f>
        <v>0.16858590511285121</v>
      </c>
    </row>
    <row r="25" spans="1:28" x14ac:dyDescent="0.2">
      <c r="A25" s="27" t="s">
        <v>200</v>
      </c>
      <c r="B25" s="33"/>
      <c r="C25" s="33"/>
      <c r="D25" s="33"/>
      <c r="E25" s="33">
        <v>3</v>
      </c>
      <c r="F25" s="33">
        <v>3</v>
      </c>
      <c r="G25" s="33"/>
      <c r="H25" s="33"/>
      <c r="I25" s="33">
        <v>1</v>
      </c>
      <c r="J25" s="33">
        <v>1</v>
      </c>
      <c r="K25" s="33">
        <v>1</v>
      </c>
      <c r="L25" s="33"/>
      <c r="M25" s="33"/>
      <c r="N25" s="33">
        <v>1</v>
      </c>
      <c r="O25" s="33">
        <v>1</v>
      </c>
      <c r="Q25" s="33">
        <v>3</v>
      </c>
      <c r="R25" s="33"/>
      <c r="S25" s="33">
        <v>2</v>
      </c>
      <c r="T25" s="33">
        <v>1</v>
      </c>
      <c r="U25" s="33">
        <v>1</v>
      </c>
      <c r="V25" s="33">
        <v>1</v>
      </c>
      <c r="W25" s="33">
        <v>4</v>
      </c>
      <c r="X25" s="33">
        <v>1</v>
      </c>
      <c r="Y25" s="33">
        <v>5</v>
      </c>
      <c r="Z25" s="33">
        <v>1</v>
      </c>
      <c r="AA25">
        <f t="shared" si="0"/>
        <v>30</v>
      </c>
      <c r="AB25" s="87">
        <f>AA25/AA44</f>
        <v>1.3818516812528788E-2</v>
      </c>
    </row>
    <row r="26" spans="1:28" x14ac:dyDescent="0.2">
      <c r="A26" s="27" t="s">
        <v>435</v>
      </c>
      <c r="B26" s="33"/>
      <c r="C26" s="33"/>
      <c r="D26" s="33">
        <v>1</v>
      </c>
      <c r="E26" s="33">
        <v>1</v>
      </c>
      <c r="F26" s="33"/>
      <c r="G26" s="33"/>
      <c r="H26" s="33">
        <v>1</v>
      </c>
      <c r="I26" s="33">
        <v>1</v>
      </c>
      <c r="J26" s="33"/>
      <c r="K26" s="33"/>
      <c r="L26" s="33">
        <v>1</v>
      </c>
      <c r="M26" s="33"/>
      <c r="N26" s="33">
        <v>4</v>
      </c>
      <c r="O26" s="33">
        <v>4</v>
      </c>
      <c r="Q26" s="33"/>
      <c r="R26" s="33"/>
      <c r="S26" s="33">
        <v>1</v>
      </c>
      <c r="T26" s="33">
        <v>2</v>
      </c>
      <c r="U26" s="33">
        <v>7</v>
      </c>
      <c r="V26" s="33">
        <v>3</v>
      </c>
      <c r="W26" s="33">
        <v>4</v>
      </c>
      <c r="X26" s="33">
        <v>3</v>
      </c>
      <c r="Y26" s="33">
        <v>3</v>
      </c>
      <c r="Z26" s="33">
        <v>6</v>
      </c>
      <c r="AA26">
        <f t="shared" si="0"/>
        <v>42</v>
      </c>
      <c r="AB26" s="87">
        <f>AA26/AA44</f>
        <v>1.9345923537540305E-2</v>
      </c>
    </row>
    <row r="27" spans="1:28" x14ac:dyDescent="0.2">
      <c r="A27" s="27" t="s">
        <v>22</v>
      </c>
      <c r="B27" s="33"/>
      <c r="C27" s="33"/>
      <c r="D27" s="33"/>
      <c r="E27" s="33"/>
      <c r="F27" s="33"/>
      <c r="G27" s="33"/>
      <c r="H27" s="33">
        <v>1</v>
      </c>
      <c r="I27" s="33"/>
      <c r="J27" s="33"/>
      <c r="K27" s="33"/>
      <c r="L27" s="33"/>
      <c r="M27" s="33"/>
      <c r="N27" s="33"/>
      <c r="O27" s="33"/>
      <c r="Q27" s="33"/>
      <c r="R27" s="33"/>
      <c r="S27" s="33"/>
      <c r="T27" s="33"/>
      <c r="U27" s="33"/>
      <c r="V27" s="33"/>
      <c r="W27" s="33"/>
      <c r="X27" s="33">
        <v>1</v>
      </c>
      <c r="Y27" s="33"/>
      <c r="Z27" s="33"/>
      <c r="AA27">
        <f t="shared" si="0"/>
        <v>2</v>
      </c>
      <c r="AB27" s="87">
        <f>AA27/AA44</f>
        <v>9.2123445416858593E-4</v>
      </c>
    </row>
    <row r="28" spans="1:28" x14ac:dyDescent="0.2">
      <c r="A28" s="27" t="s">
        <v>23</v>
      </c>
      <c r="B28" s="33">
        <v>3</v>
      </c>
      <c r="C28" s="33"/>
      <c r="D28" s="33"/>
      <c r="E28" s="33">
        <v>6</v>
      </c>
      <c r="F28" s="33">
        <v>9</v>
      </c>
      <c r="G28" s="33"/>
      <c r="H28" s="33"/>
      <c r="I28" s="33">
        <v>1</v>
      </c>
      <c r="J28" s="33"/>
      <c r="K28" s="33"/>
      <c r="L28" s="33"/>
      <c r="M28" s="33"/>
      <c r="N28" s="33"/>
      <c r="O28" s="33">
        <v>2</v>
      </c>
      <c r="Q28" s="33"/>
      <c r="R28" s="33"/>
      <c r="S28" s="33"/>
      <c r="T28" s="33"/>
      <c r="U28" s="33"/>
      <c r="V28" s="33">
        <v>1</v>
      </c>
      <c r="W28" s="33">
        <v>1</v>
      </c>
      <c r="X28" s="33"/>
      <c r="Y28" s="33">
        <v>4</v>
      </c>
      <c r="Z28" s="33"/>
      <c r="AA28">
        <f t="shared" si="0"/>
        <v>27</v>
      </c>
      <c r="AB28" s="87">
        <f>AA28/AA44</f>
        <v>1.243666513127591E-2</v>
      </c>
    </row>
    <row r="29" spans="1:28" x14ac:dyDescent="0.2">
      <c r="A29" s="27" t="s">
        <v>214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>
        <v>1</v>
      </c>
      <c r="O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>
        <f t="shared" si="0"/>
        <v>1</v>
      </c>
      <c r="AB29" s="87">
        <f>AA29/AA44</f>
        <v>4.6061722708429296E-4</v>
      </c>
    </row>
    <row r="30" spans="1:28" x14ac:dyDescent="0.2">
      <c r="A30" s="27" t="s">
        <v>194</v>
      </c>
      <c r="B30" s="33"/>
      <c r="C30" s="33"/>
      <c r="D30" s="33"/>
      <c r="E30" s="33"/>
      <c r="F30" s="33"/>
      <c r="G30" s="33"/>
      <c r="H30" s="33"/>
      <c r="I30" s="33"/>
      <c r="J30" s="33">
        <v>1</v>
      </c>
      <c r="K30" s="33">
        <v>2</v>
      </c>
      <c r="L30" s="33"/>
      <c r="M30" s="33"/>
      <c r="N30" s="33"/>
      <c r="O30" s="33"/>
      <c r="Q30" s="33">
        <v>1</v>
      </c>
      <c r="R30" s="33"/>
      <c r="S30" s="33"/>
      <c r="T30" s="33"/>
      <c r="U30" s="33"/>
      <c r="V30" s="33"/>
      <c r="W30" s="33"/>
      <c r="X30" s="33"/>
      <c r="Y30" s="33"/>
      <c r="Z30" s="33"/>
      <c r="AA30">
        <f t="shared" si="0"/>
        <v>4</v>
      </c>
      <c r="AB30" s="87">
        <f>AA30/AA44</f>
        <v>1.8424689083371719E-3</v>
      </c>
    </row>
    <row r="31" spans="1:28" x14ac:dyDescent="0.2">
      <c r="A31" s="27" t="s">
        <v>195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Q31" s="33"/>
      <c r="R31" s="33"/>
      <c r="S31" s="33"/>
      <c r="T31" s="33"/>
      <c r="U31" s="33"/>
      <c r="V31" s="33">
        <v>1</v>
      </c>
      <c r="W31" s="33">
        <v>1</v>
      </c>
      <c r="X31" s="33"/>
      <c r="Y31" s="33">
        <v>1</v>
      </c>
      <c r="Z31" s="33"/>
      <c r="AA31">
        <f t="shared" si="0"/>
        <v>3</v>
      </c>
      <c r="AB31" s="87">
        <f>AA31/AA44</f>
        <v>1.3818516812528789E-3</v>
      </c>
    </row>
    <row r="32" spans="1:28" x14ac:dyDescent="0.2">
      <c r="A32" s="27" t="s">
        <v>25</v>
      </c>
      <c r="B32" s="33">
        <v>2</v>
      </c>
      <c r="C32" s="33"/>
      <c r="D32" s="33"/>
      <c r="E32" s="33">
        <v>5</v>
      </c>
      <c r="F32" s="33">
        <v>6</v>
      </c>
      <c r="G32" s="33">
        <v>3</v>
      </c>
      <c r="H32" s="33">
        <v>7</v>
      </c>
      <c r="I32" s="33">
        <v>6</v>
      </c>
      <c r="J32" s="33">
        <v>8</v>
      </c>
      <c r="K32" s="33">
        <v>6</v>
      </c>
      <c r="L32" s="33"/>
      <c r="M32" s="33"/>
      <c r="N32" s="33">
        <v>5</v>
      </c>
      <c r="O32" s="33">
        <v>4</v>
      </c>
      <c r="Q32" s="33">
        <v>2</v>
      </c>
      <c r="R32" s="33"/>
      <c r="S32" s="33"/>
      <c r="T32" s="33">
        <v>3</v>
      </c>
      <c r="U32" s="33">
        <v>1</v>
      </c>
      <c r="V32" s="33"/>
      <c r="W32" s="33">
        <v>2</v>
      </c>
      <c r="X32" s="33">
        <v>4</v>
      </c>
      <c r="Y32" s="33">
        <v>19</v>
      </c>
      <c r="Z32" s="33">
        <v>6</v>
      </c>
      <c r="AA32">
        <f t="shared" si="0"/>
        <v>89</v>
      </c>
      <c r="AB32" s="87">
        <f>AA32/AA44</f>
        <v>4.0994933210502071E-2</v>
      </c>
    </row>
    <row r="33" spans="1:28" x14ac:dyDescent="0.2">
      <c r="A33" s="27" t="s">
        <v>646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>
        <f t="shared" si="0"/>
        <v>0</v>
      </c>
      <c r="AB33" s="87">
        <f>AA33/AA44</f>
        <v>0</v>
      </c>
    </row>
    <row r="34" spans="1:28" x14ac:dyDescent="0.2">
      <c r="A34" s="27" t="s">
        <v>26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>
        <f t="shared" si="0"/>
        <v>0</v>
      </c>
      <c r="AB34" s="87">
        <f>AA34/AA44</f>
        <v>0</v>
      </c>
    </row>
    <row r="35" spans="1:28" x14ac:dyDescent="0.2">
      <c r="A35" s="27" t="s">
        <v>27</v>
      </c>
      <c r="B35" s="33">
        <v>9</v>
      </c>
      <c r="C35" s="33"/>
      <c r="D35" s="33">
        <v>5</v>
      </c>
      <c r="E35" s="33">
        <v>12</v>
      </c>
      <c r="F35" s="33">
        <v>21</v>
      </c>
      <c r="G35" s="33">
        <v>11</v>
      </c>
      <c r="H35" s="33">
        <v>15</v>
      </c>
      <c r="I35" s="33">
        <v>18</v>
      </c>
      <c r="J35" s="33">
        <v>16</v>
      </c>
      <c r="K35" s="33">
        <v>16</v>
      </c>
      <c r="L35" s="33">
        <v>6</v>
      </c>
      <c r="M35" s="33">
        <v>1</v>
      </c>
      <c r="N35" s="33">
        <v>28</v>
      </c>
      <c r="O35" s="33">
        <v>15</v>
      </c>
      <c r="P35" s="33">
        <v>14</v>
      </c>
      <c r="Q35" s="33">
        <v>32</v>
      </c>
      <c r="R35" s="33">
        <v>14</v>
      </c>
      <c r="S35" s="33">
        <v>13</v>
      </c>
      <c r="T35" s="33">
        <v>16</v>
      </c>
      <c r="U35" s="33">
        <v>14</v>
      </c>
      <c r="V35" s="33">
        <v>4</v>
      </c>
      <c r="W35" s="33">
        <v>16</v>
      </c>
      <c r="X35" s="33">
        <v>15</v>
      </c>
      <c r="Y35" s="33">
        <v>32</v>
      </c>
      <c r="Z35" s="33">
        <v>19</v>
      </c>
      <c r="AA35">
        <f t="shared" si="0"/>
        <v>362</v>
      </c>
      <c r="AB35" s="87">
        <f>AA35/AA44</f>
        <v>0.16674343620451404</v>
      </c>
    </row>
    <row r="36" spans="1:28" x14ac:dyDescent="0.2">
      <c r="A36" s="27" t="s">
        <v>28</v>
      </c>
      <c r="B36" s="33">
        <v>1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Q36" s="33">
        <v>1</v>
      </c>
      <c r="R36" s="33"/>
      <c r="S36" s="33"/>
      <c r="T36" s="33"/>
      <c r="U36" s="33"/>
      <c r="V36" s="33"/>
      <c r="W36" s="33"/>
      <c r="X36" s="33"/>
      <c r="Y36" s="33">
        <v>1</v>
      </c>
      <c r="Z36" s="33"/>
      <c r="AA36">
        <f t="shared" si="0"/>
        <v>3</v>
      </c>
      <c r="AB36" s="87">
        <f>AA36/AA44</f>
        <v>1.3818516812528789E-3</v>
      </c>
    </row>
    <row r="37" spans="1:28" x14ac:dyDescent="0.2">
      <c r="A37" s="27" t="s">
        <v>29</v>
      </c>
      <c r="B37" s="33"/>
      <c r="C37" s="33"/>
      <c r="D37" s="33"/>
      <c r="E37" s="33">
        <v>2</v>
      </c>
      <c r="F37" s="33"/>
      <c r="G37" s="33"/>
      <c r="H37" s="33">
        <v>3</v>
      </c>
      <c r="I37" s="33"/>
      <c r="J37" s="33">
        <v>1</v>
      </c>
      <c r="K37" s="33"/>
      <c r="L37" s="33"/>
      <c r="M37" s="33"/>
      <c r="N37" s="33"/>
      <c r="O37" s="33"/>
      <c r="Q37" s="33"/>
      <c r="R37" s="33"/>
      <c r="S37" s="33"/>
      <c r="T37" s="33"/>
      <c r="U37" s="33"/>
      <c r="V37" s="33"/>
      <c r="W37" s="33"/>
      <c r="X37" s="33"/>
      <c r="Y37" s="33">
        <v>1</v>
      </c>
      <c r="Z37" s="33"/>
      <c r="AA37">
        <f t="shared" si="0"/>
        <v>7</v>
      </c>
      <c r="AB37" s="87">
        <f>AA37/AA44</f>
        <v>3.2243205895900505E-3</v>
      </c>
    </row>
    <row r="38" spans="1:28" x14ac:dyDescent="0.2">
      <c r="A38" s="27" t="s">
        <v>30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>
        <f t="shared" si="0"/>
        <v>0</v>
      </c>
      <c r="AB38" s="87">
        <f>AA38/AA44</f>
        <v>0</v>
      </c>
    </row>
    <row r="39" spans="1:28" x14ac:dyDescent="0.2">
      <c r="A39" s="27" t="s">
        <v>442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>
        <f t="shared" si="0"/>
        <v>0</v>
      </c>
      <c r="AB39" s="87">
        <f>AA39/AA44</f>
        <v>0</v>
      </c>
    </row>
    <row r="40" spans="1:28" x14ac:dyDescent="0.2">
      <c r="A40" s="27" t="s">
        <v>31</v>
      </c>
      <c r="B40" s="33"/>
      <c r="C40" s="33"/>
      <c r="D40" s="33"/>
      <c r="E40" s="33">
        <v>2</v>
      </c>
      <c r="F40" s="33">
        <v>2</v>
      </c>
      <c r="G40" s="33">
        <v>1</v>
      </c>
      <c r="H40" s="33"/>
      <c r="I40" s="33">
        <v>1</v>
      </c>
      <c r="J40" s="33">
        <v>2</v>
      </c>
      <c r="K40" s="33">
        <v>8</v>
      </c>
      <c r="L40" s="33">
        <v>1</v>
      </c>
      <c r="M40" s="33"/>
      <c r="N40" s="33">
        <v>3</v>
      </c>
      <c r="O40" s="33"/>
      <c r="P40" s="33">
        <v>3</v>
      </c>
      <c r="Q40" s="33">
        <v>1</v>
      </c>
      <c r="R40" s="33"/>
      <c r="S40" s="33">
        <v>1</v>
      </c>
      <c r="T40" s="33">
        <v>1</v>
      </c>
      <c r="U40" s="33">
        <v>2</v>
      </c>
      <c r="V40" s="33">
        <v>1</v>
      </c>
      <c r="W40" s="33">
        <v>3</v>
      </c>
      <c r="X40" s="33">
        <v>4</v>
      </c>
      <c r="Y40" s="33">
        <v>3</v>
      </c>
      <c r="Z40" s="33">
        <v>1</v>
      </c>
      <c r="AA40">
        <f t="shared" si="0"/>
        <v>40</v>
      </c>
      <c r="AB40" s="87">
        <f>AA40/AA44</f>
        <v>1.8424689083371717E-2</v>
      </c>
    </row>
    <row r="41" spans="1:28" x14ac:dyDescent="0.2">
      <c r="A41" s="27" t="s">
        <v>32</v>
      </c>
      <c r="B41" s="33"/>
      <c r="C41" s="33"/>
      <c r="D41" s="33"/>
      <c r="E41" s="33"/>
      <c r="F41" s="33">
        <v>1</v>
      </c>
      <c r="G41" s="33"/>
      <c r="H41" s="33"/>
      <c r="I41" s="33">
        <v>3</v>
      </c>
      <c r="J41" s="33"/>
      <c r="K41" s="33"/>
      <c r="L41" s="33"/>
      <c r="M41" s="33"/>
      <c r="N41" s="33">
        <v>1</v>
      </c>
      <c r="O41" s="33"/>
      <c r="Q41" s="33"/>
      <c r="R41" s="33"/>
      <c r="S41" s="33"/>
      <c r="T41" s="33">
        <v>1</v>
      </c>
      <c r="U41" s="33"/>
      <c r="V41" s="33"/>
      <c r="W41" s="33"/>
      <c r="X41" s="33"/>
      <c r="Y41" s="33">
        <v>1</v>
      </c>
      <c r="Z41" s="33">
        <v>1</v>
      </c>
      <c r="AA41">
        <f t="shared" si="0"/>
        <v>8</v>
      </c>
      <c r="AB41" s="87">
        <f>AA41/AA44</f>
        <v>3.6849378166743437E-3</v>
      </c>
    </row>
    <row r="42" spans="1:28" x14ac:dyDescent="0.2">
      <c r="A42" s="27" t="s">
        <v>33</v>
      </c>
      <c r="B42" s="33"/>
      <c r="C42" s="33">
        <v>1</v>
      </c>
      <c r="D42" s="33"/>
      <c r="E42" s="33">
        <v>3</v>
      </c>
      <c r="F42" s="33">
        <v>6</v>
      </c>
      <c r="G42" s="33">
        <v>3</v>
      </c>
      <c r="H42" s="33">
        <v>3</v>
      </c>
      <c r="I42" s="33"/>
      <c r="J42" s="33">
        <v>4</v>
      </c>
      <c r="K42" s="33">
        <v>7</v>
      </c>
      <c r="L42" s="33">
        <v>2</v>
      </c>
      <c r="M42" s="33"/>
      <c r="N42" s="33">
        <v>3</v>
      </c>
      <c r="O42" s="33">
        <v>2</v>
      </c>
      <c r="P42" s="33">
        <v>1</v>
      </c>
      <c r="Q42" s="33">
        <v>2</v>
      </c>
      <c r="R42" s="33"/>
      <c r="S42" s="33">
        <v>4</v>
      </c>
      <c r="T42" s="33">
        <v>2</v>
      </c>
      <c r="U42" s="33">
        <v>1</v>
      </c>
      <c r="V42" s="33">
        <v>1</v>
      </c>
      <c r="W42" s="33">
        <v>4</v>
      </c>
      <c r="X42" s="33">
        <v>5</v>
      </c>
      <c r="Y42" s="33">
        <v>6</v>
      </c>
      <c r="Z42" s="33">
        <v>4</v>
      </c>
      <c r="AA42">
        <f t="shared" si="0"/>
        <v>64</v>
      </c>
      <c r="AB42" s="87">
        <f>AA42/AA44</f>
        <v>2.947950253339475E-2</v>
      </c>
    </row>
    <row r="43" spans="1:28" x14ac:dyDescent="0.2">
      <c r="A43" s="27" t="s">
        <v>36</v>
      </c>
      <c r="AA43">
        <f t="shared" si="0"/>
        <v>0</v>
      </c>
      <c r="AB43" s="87">
        <f>AA43/AA44</f>
        <v>0</v>
      </c>
    </row>
    <row r="44" spans="1:28" x14ac:dyDescent="0.2">
      <c r="A44" s="30" t="s">
        <v>344</v>
      </c>
      <c r="B44">
        <f t="shared" ref="B44:Z44" si="1">SUM(B3:B43)</f>
        <v>34</v>
      </c>
      <c r="C44">
        <f t="shared" si="1"/>
        <v>45</v>
      </c>
      <c r="D44">
        <f t="shared" si="1"/>
        <v>29</v>
      </c>
      <c r="E44">
        <f t="shared" si="1"/>
        <v>124</v>
      </c>
      <c r="F44">
        <f t="shared" si="1"/>
        <v>173</v>
      </c>
      <c r="G44">
        <f t="shared" si="1"/>
        <v>43</v>
      </c>
      <c r="H44">
        <f t="shared" si="1"/>
        <v>97</v>
      </c>
      <c r="I44">
        <f t="shared" si="1"/>
        <v>127</v>
      </c>
      <c r="J44">
        <f t="shared" si="1"/>
        <v>134</v>
      </c>
      <c r="K44">
        <f t="shared" si="1"/>
        <v>95</v>
      </c>
      <c r="L44">
        <f t="shared" si="1"/>
        <v>47</v>
      </c>
      <c r="M44">
        <f t="shared" si="1"/>
        <v>1</v>
      </c>
      <c r="N44">
        <f t="shared" si="1"/>
        <v>175</v>
      </c>
      <c r="O44">
        <f t="shared" si="1"/>
        <v>65</v>
      </c>
      <c r="P44">
        <f t="shared" si="1"/>
        <v>84</v>
      </c>
      <c r="Q44">
        <f t="shared" si="1"/>
        <v>124</v>
      </c>
      <c r="R44">
        <f t="shared" si="1"/>
        <v>32</v>
      </c>
      <c r="S44">
        <f t="shared" si="1"/>
        <v>79</v>
      </c>
      <c r="T44">
        <f t="shared" si="1"/>
        <v>51</v>
      </c>
      <c r="U44">
        <f t="shared" si="1"/>
        <v>54</v>
      </c>
      <c r="V44">
        <f t="shared" si="1"/>
        <v>17</v>
      </c>
      <c r="W44">
        <f t="shared" si="1"/>
        <v>81</v>
      </c>
      <c r="X44">
        <f t="shared" si="1"/>
        <v>122</v>
      </c>
      <c r="Y44">
        <f t="shared" si="1"/>
        <v>226</v>
      </c>
      <c r="Z44">
        <f t="shared" si="1"/>
        <v>112</v>
      </c>
      <c r="AA44">
        <f t="shared" si="0"/>
        <v>2171</v>
      </c>
      <c r="AB44" s="87">
        <f>AA44/AA44</f>
        <v>1</v>
      </c>
    </row>
    <row r="47" spans="1:28" x14ac:dyDescent="0.2">
      <c r="A47" s="27" t="s">
        <v>1483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49"/>
  <sheetViews>
    <sheetView topLeftCell="A22" workbookViewId="0">
      <pane xSplit="1" topLeftCell="F1" activePane="topRight" state="frozen"/>
      <selection pane="topRight" activeCell="A50" sqref="A50"/>
    </sheetView>
  </sheetViews>
  <sheetFormatPr defaultRowHeight="12.75" x14ac:dyDescent="0.2"/>
  <cols>
    <col min="1" max="1" width="25.7109375" customWidth="1"/>
    <col min="2" max="2" width="9.140625" style="82"/>
    <col min="23" max="23" width="9.140625" style="82"/>
    <col min="30" max="30" width="9.140625" style="87"/>
  </cols>
  <sheetData>
    <row r="1" spans="1:30" x14ac:dyDescent="0.2">
      <c r="A1" s="30" t="s">
        <v>448</v>
      </c>
      <c r="C1" s="33">
        <v>1</v>
      </c>
      <c r="D1" s="33">
        <v>2</v>
      </c>
      <c r="E1" s="33">
        <v>3</v>
      </c>
      <c r="F1" s="33">
        <v>4</v>
      </c>
      <c r="G1" s="33">
        <v>5</v>
      </c>
      <c r="H1" s="33">
        <v>6</v>
      </c>
      <c r="I1" s="33">
        <v>7</v>
      </c>
      <c r="J1" s="33">
        <v>8</v>
      </c>
      <c r="K1" s="33">
        <v>9</v>
      </c>
      <c r="L1" s="33">
        <v>10</v>
      </c>
      <c r="M1" s="33">
        <v>11</v>
      </c>
      <c r="N1" s="33">
        <v>12</v>
      </c>
      <c r="O1" s="33">
        <v>13</v>
      </c>
      <c r="P1" s="33">
        <v>14</v>
      </c>
      <c r="Q1" s="33">
        <v>15</v>
      </c>
      <c r="R1" s="33">
        <v>16</v>
      </c>
      <c r="S1" s="33">
        <v>17</v>
      </c>
      <c r="T1" s="33">
        <v>18</v>
      </c>
      <c r="U1" s="33">
        <v>19</v>
      </c>
      <c r="V1" s="33">
        <v>20</v>
      </c>
      <c r="X1" s="33">
        <v>21</v>
      </c>
      <c r="Y1" s="33">
        <v>22</v>
      </c>
      <c r="Z1" s="33">
        <v>23</v>
      </c>
      <c r="AA1" s="33">
        <v>24</v>
      </c>
      <c r="AB1" s="33">
        <v>25</v>
      </c>
      <c r="AC1" t="s">
        <v>449</v>
      </c>
    </row>
    <row r="2" spans="1:30" x14ac:dyDescent="0.2">
      <c r="A2" t="s">
        <v>287</v>
      </c>
      <c r="C2" s="35" t="s">
        <v>976</v>
      </c>
      <c r="D2" s="35" t="s">
        <v>977</v>
      </c>
      <c r="E2" s="35" t="s">
        <v>978</v>
      </c>
      <c r="F2" s="35" t="s">
        <v>979</v>
      </c>
      <c r="G2" s="35" t="s">
        <v>980</v>
      </c>
      <c r="H2" s="35" t="s">
        <v>981</v>
      </c>
      <c r="I2" s="35" t="s">
        <v>982</v>
      </c>
      <c r="J2" s="35" t="s">
        <v>983</v>
      </c>
      <c r="K2" s="36" t="s">
        <v>984</v>
      </c>
      <c r="L2" s="36" t="s">
        <v>985</v>
      </c>
      <c r="M2" s="36" t="s">
        <v>986</v>
      </c>
      <c r="N2" s="36" t="s">
        <v>987</v>
      </c>
      <c r="O2" s="36" t="s">
        <v>988</v>
      </c>
      <c r="P2" s="36" t="s">
        <v>989</v>
      </c>
      <c r="Q2" s="36" t="s">
        <v>990</v>
      </c>
      <c r="R2" s="36" t="s">
        <v>955</v>
      </c>
      <c r="S2" s="36" t="s">
        <v>991</v>
      </c>
      <c r="T2" s="36" t="s">
        <v>992</v>
      </c>
      <c r="U2" s="36" t="s">
        <v>993</v>
      </c>
      <c r="V2" s="36" t="s">
        <v>994</v>
      </c>
      <c r="X2" s="36" t="s">
        <v>996</v>
      </c>
      <c r="Y2" s="36" t="s">
        <v>997</v>
      </c>
      <c r="Z2" s="36" t="s">
        <v>1000</v>
      </c>
      <c r="AA2" s="36" t="s">
        <v>998</v>
      </c>
      <c r="AB2" s="36" t="s">
        <v>999</v>
      </c>
      <c r="AC2" t="s">
        <v>315</v>
      </c>
      <c r="AD2" s="88" t="s">
        <v>1023</v>
      </c>
    </row>
    <row r="3" spans="1:30" x14ac:dyDescent="0.2">
      <c r="A3" s="27" t="s">
        <v>1</v>
      </c>
      <c r="C3" s="33"/>
      <c r="D3" s="33"/>
      <c r="E3" s="33">
        <v>3</v>
      </c>
      <c r="F3" s="33"/>
      <c r="G3" s="33">
        <v>13</v>
      </c>
      <c r="H3" s="33">
        <v>13</v>
      </c>
      <c r="I3" s="33">
        <v>3</v>
      </c>
      <c r="J3" s="33">
        <v>17</v>
      </c>
      <c r="K3" s="33">
        <v>17</v>
      </c>
      <c r="L3" s="33">
        <v>19</v>
      </c>
      <c r="M3" s="33">
        <v>17</v>
      </c>
      <c r="N3" s="33">
        <v>24</v>
      </c>
      <c r="O3" s="33">
        <v>4</v>
      </c>
      <c r="P3" s="33">
        <v>33</v>
      </c>
      <c r="Q3" s="33">
        <v>22</v>
      </c>
      <c r="R3" s="33">
        <v>19</v>
      </c>
      <c r="S3" s="33">
        <v>9</v>
      </c>
      <c r="T3" s="33">
        <v>2</v>
      </c>
      <c r="U3" s="33">
        <v>19</v>
      </c>
      <c r="V3" s="33">
        <v>1</v>
      </c>
      <c r="X3" s="33"/>
      <c r="Y3" s="33">
        <v>6</v>
      </c>
      <c r="Z3" s="33">
        <v>2</v>
      </c>
      <c r="AA3" s="33">
        <v>2</v>
      </c>
      <c r="AB3" s="33">
        <v>7</v>
      </c>
      <c r="AC3" s="33">
        <f t="shared" ref="AC3:AC44" si="0">SUM(C3:AB3)</f>
        <v>252</v>
      </c>
      <c r="AD3" s="87">
        <f>AC3/AC45</f>
        <v>4.9910873440285206E-2</v>
      </c>
    </row>
    <row r="4" spans="1:30" x14ac:dyDescent="0.2">
      <c r="A4" s="27" t="s">
        <v>3</v>
      </c>
      <c r="C4" s="33">
        <v>5</v>
      </c>
      <c r="D4" s="33">
        <v>1</v>
      </c>
      <c r="E4" s="33">
        <v>1</v>
      </c>
      <c r="F4" s="33"/>
      <c r="G4" s="33">
        <v>4</v>
      </c>
      <c r="H4" s="33">
        <v>1</v>
      </c>
      <c r="I4" s="33"/>
      <c r="J4" s="33">
        <v>5</v>
      </c>
      <c r="K4" s="33">
        <v>3</v>
      </c>
      <c r="L4" s="33">
        <v>4</v>
      </c>
      <c r="M4" s="33">
        <v>2</v>
      </c>
      <c r="N4" s="33">
        <v>5</v>
      </c>
      <c r="O4" s="33">
        <v>7</v>
      </c>
      <c r="P4" s="33">
        <v>5</v>
      </c>
      <c r="Q4" s="33">
        <v>6</v>
      </c>
      <c r="R4" s="33">
        <v>7</v>
      </c>
      <c r="S4" s="33">
        <v>2</v>
      </c>
      <c r="T4" s="33">
        <v>5</v>
      </c>
      <c r="U4" s="33"/>
      <c r="V4" s="33">
        <v>7</v>
      </c>
      <c r="X4" s="33">
        <v>3</v>
      </c>
      <c r="Y4" s="33">
        <v>1</v>
      </c>
      <c r="Z4" s="33"/>
      <c r="AA4" s="33">
        <v>1</v>
      </c>
      <c r="AB4" s="33">
        <v>6</v>
      </c>
      <c r="AC4" s="33">
        <f t="shared" si="0"/>
        <v>81</v>
      </c>
      <c r="AD4" s="87">
        <f>AC4/AC45</f>
        <v>1.6042780748663103E-2</v>
      </c>
    </row>
    <row r="5" spans="1:30" x14ac:dyDescent="0.2">
      <c r="A5" s="27" t="s">
        <v>4</v>
      </c>
      <c r="C5" s="33"/>
      <c r="D5" s="33"/>
      <c r="E5" s="33">
        <v>4</v>
      </c>
      <c r="F5" s="33">
        <v>1</v>
      </c>
      <c r="G5" s="33">
        <v>3</v>
      </c>
      <c r="H5" s="33">
        <v>4</v>
      </c>
      <c r="I5" s="33">
        <v>1</v>
      </c>
      <c r="J5" s="33">
        <v>4</v>
      </c>
      <c r="K5" s="33">
        <v>2</v>
      </c>
      <c r="L5" s="33">
        <v>6</v>
      </c>
      <c r="M5" s="33">
        <v>4</v>
      </c>
      <c r="N5" s="33">
        <v>4</v>
      </c>
      <c r="O5" s="33">
        <v>2</v>
      </c>
      <c r="P5" s="33">
        <v>4</v>
      </c>
      <c r="Q5" s="33">
        <v>3</v>
      </c>
      <c r="R5" s="33">
        <v>2</v>
      </c>
      <c r="S5" s="33">
        <v>2</v>
      </c>
      <c r="T5" s="33"/>
      <c r="U5" s="33">
        <v>4</v>
      </c>
      <c r="V5" s="33"/>
      <c r="X5" s="33"/>
      <c r="Y5" s="33"/>
      <c r="Z5" s="33">
        <v>1</v>
      </c>
      <c r="AA5" s="33">
        <v>1</v>
      </c>
      <c r="AB5" s="33">
        <v>3</v>
      </c>
      <c r="AC5" s="33">
        <f t="shared" si="0"/>
        <v>55</v>
      </c>
      <c r="AD5" s="87">
        <f>AC5/AC45</f>
        <v>1.0893246187363835E-2</v>
      </c>
    </row>
    <row r="6" spans="1:30" x14ac:dyDescent="0.2">
      <c r="A6" s="27" t="s">
        <v>5</v>
      </c>
      <c r="C6" s="33"/>
      <c r="D6" s="33"/>
      <c r="E6" s="33"/>
      <c r="F6" s="33"/>
      <c r="G6" s="33">
        <v>4</v>
      </c>
      <c r="H6" s="33">
        <v>1</v>
      </c>
      <c r="I6" s="33">
        <v>6</v>
      </c>
      <c r="J6" s="33">
        <v>4</v>
      </c>
      <c r="K6" s="33">
        <v>3</v>
      </c>
      <c r="L6" s="33">
        <v>1</v>
      </c>
      <c r="M6" s="33"/>
      <c r="N6" s="33"/>
      <c r="O6" s="33">
        <v>3</v>
      </c>
      <c r="P6" s="33">
        <v>10</v>
      </c>
      <c r="Q6" s="33">
        <v>2</v>
      </c>
      <c r="R6" s="33">
        <v>3</v>
      </c>
      <c r="S6" s="33">
        <v>5</v>
      </c>
      <c r="T6" s="33">
        <v>3</v>
      </c>
      <c r="U6" s="33">
        <v>1</v>
      </c>
      <c r="V6" s="33">
        <v>1</v>
      </c>
      <c r="X6" s="33"/>
      <c r="Y6" s="33">
        <v>1</v>
      </c>
      <c r="Z6" s="33"/>
      <c r="AA6" s="33"/>
      <c r="AB6" s="33">
        <v>2</v>
      </c>
      <c r="AC6" s="33">
        <f t="shared" si="0"/>
        <v>50</v>
      </c>
      <c r="AD6" s="87">
        <f>AC6/AC45</f>
        <v>9.9029510794216673E-3</v>
      </c>
    </row>
    <row r="7" spans="1:30" x14ac:dyDescent="0.2">
      <c r="A7" s="27" t="s">
        <v>6</v>
      </c>
      <c r="C7" s="33">
        <v>1</v>
      </c>
      <c r="D7" s="33">
        <v>5</v>
      </c>
      <c r="E7" s="33">
        <v>26</v>
      </c>
      <c r="F7" s="33">
        <v>15</v>
      </c>
      <c r="G7" s="33">
        <v>27</v>
      </c>
      <c r="H7" s="33">
        <v>29</v>
      </c>
      <c r="I7" s="33">
        <v>17</v>
      </c>
      <c r="J7" s="33">
        <v>44</v>
      </c>
      <c r="K7" s="33">
        <v>53</v>
      </c>
      <c r="L7" s="33">
        <v>89</v>
      </c>
      <c r="M7" s="33">
        <v>77</v>
      </c>
      <c r="N7" s="33">
        <v>76</v>
      </c>
      <c r="O7" s="33">
        <v>33</v>
      </c>
      <c r="P7" s="33">
        <v>67</v>
      </c>
      <c r="Q7" s="33">
        <v>67</v>
      </c>
      <c r="R7" s="33">
        <v>68</v>
      </c>
      <c r="S7" s="33">
        <v>63</v>
      </c>
      <c r="T7" s="33">
        <v>29</v>
      </c>
      <c r="U7" s="33">
        <v>64</v>
      </c>
      <c r="V7" s="33"/>
      <c r="X7" s="33">
        <v>2</v>
      </c>
      <c r="Y7" s="33">
        <v>22</v>
      </c>
      <c r="Z7" s="33">
        <v>1</v>
      </c>
      <c r="AA7" s="33">
        <v>6</v>
      </c>
      <c r="AB7" s="33">
        <v>21</v>
      </c>
      <c r="AC7" s="33">
        <f t="shared" si="0"/>
        <v>902</v>
      </c>
      <c r="AD7" s="87">
        <f>AC7/AC45</f>
        <v>0.1786492374727669</v>
      </c>
    </row>
    <row r="8" spans="1:30" x14ac:dyDescent="0.2">
      <c r="A8" s="27" t="s">
        <v>40</v>
      </c>
      <c r="C8" s="33"/>
      <c r="D8" s="33"/>
      <c r="E8" s="33">
        <v>1</v>
      </c>
      <c r="F8" s="33">
        <v>3</v>
      </c>
      <c r="G8" s="33"/>
      <c r="H8" s="33"/>
      <c r="I8" s="33"/>
      <c r="J8" s="33">
        <v>3</v>
      </c>
      <c r="K8" s="33">
        <v>1</v>
      </c>
      <c r="L8" s="33">
        <v>4</v>
      </c>
      <c r="M8" s="33">
        <v>2</v>
      </c>
      <c r="N8" s="33">
        <v>2</v>
      </c>
      <c r="O8" s="33"/>
      <c r="P8" s="33">
        <v>6</v>
      </c>
      <c r="Q8" s="33">
        <v>5</v>
      </c>
      <c r="R8" s="33">
        <v>5</v>
      </c>
      <c r="S8" s="33">
        <v>2</v>
      </c>
      <c r="T8" s="33"/>
      <c r="U8" s="33"/>
      <c r="V8" s="33"/>
      <c r="X8" s="33"/>
      <c r="Y8" s="33"/>
      <c r="Z8" s="33"/>
      <c r="AA8" s="33"/>
      <c r="AB8" s="33">
        <v>1</v>
      </c>
      <c r="AC8" s="33">
        <f t="shared" si="0"/>
        <v>35</v>
      </c>
      <c r="AD8" s="87">
        <f>AC8/AC45</f>
        <v>6.9320657555951674E-3</v>
      </c>
    </row>
    <row r="9" spans="1:30" x14ac:dyDescent="0.2">
      <c r="A9" s="27" t="s">
        <v>7</v>
      </c>
      <c r="C9" s="33">
        <v>1</v>
      </c>
      <c r="D9" s="33">
        <v>3</v>
      </c>
      <c r="E9" s="33">
        <v>6</v>
      </c>
      <c r="F9" s="33">
        <v>6</v>
      </c>
      <c r="G9" s="33">
        <v>50</v>
      </c>
      <c r="H9" s="33">
        <v>27</v>
      </c>
      <c r="I9" s="33">
        <v>7</v>
      </c>
      <c r="J9" s="33">
        <v>141</v>
      </c>
      <c r="K9" s="33">
        <v>36</v>
      </c>
      <c r="L9" s="33">
        <v>23</v>
      </c>
      <c r="M9" s="33">
        <v>25</v>
      </c>
      <c r="N9" s="33">
        <v>21</v>
      </c>
      <c r="O9" s="33">
        <v>7</v>
      </c>
      <c r="P9" s="33">
        <v>44</v>
      </c>
      <c r="Q9" s="33">
        <v>42</v>
      </c>
      <c r="R9" s="33">
        <v>30</v>
      </c>
      <c r="S9" s="33">
        <v>24</v>
      </c>
      <c r="T9" s="33">
        <v>7</v>
      </c>
      <c r="U9" s="33">
        <v>101</v>
      </c>
      <c r="V9" s="33">
        <v>3</v>
      </c>
      <c r="X9" s="33">
        <v>2</v>
      </c>
      <c r="Y9" s="33">
        <v>14</v>
      </c>
      <c r="Z9" s="33">
        <v>1</v>
      </c>
      <c r="AA9" s="33">
        <v>4</v>
      </c>
      <c r="AB9" s="33">
        <v>2</v>
      </c>
      <c r="AC9" s="33">
        <f t="shared" si="0"/>
        <v>627</v>
      </c>
      <c r="AD9" s="87">
        <f>AC9/AC45</f>
        <v>0.12418300653594772</v>
      </c>
    </row>
    <row r="10" spans="1:30" x14ac:dyDescent="0.2">
      <c r="A10" s="27" t="s">
        <v>995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>
        <v>5</v>
      </c>
      <c r="V10" s="33"/>
      <c r="X10" s="33"/>
      <c r="Y10" s="33"/>
      <c r="Z10" s="33"/>
      <c r="AA10" s="33"/>
      <c r="AB10" s="33"/>
      <c r="AC10" s="33">
        <f t="shared" si="0"/>
        <v>5</v>
      </c>
      <c r="AD10" s="87">
        <f>AC10/AC45</f>
        <v>9.9029510794216668E-4</v>
      </c>
    </row>
    <row r="11" spans="1:30" x14ac:dyDescent="0.2">
      <c r="A11" s="27" t="s">
        <v>9</v>
      </c>
      <c r="C11" s="33"/>
      <c r="D11" s="33"/>
      <c r="E11" s="33"/>
      <c r="F11" s="33">
        <v>1</v>
      </c>
      <c r="G11" s="33"/>
      <c r="H11" s="33">
        <v>1</v>
      </c>
      <c r="I11" s="33"/>
      <c r="J11" s="33"/>
      <c r="K11" s="33"/>
      <c r="L11" s="33"/>
      <c r="M11" s="33"/>
      <c r="N11" s="33"/>
      <c r="O11" s="35">
        <v>1</v>
      </c>
      <c r="P11" s="33"/>
      <c r="Q11" s="33">
        <v>1</v>
      </c>
      <c r="R11" s="33"/>
      <c r="S11" s="33"/>
      <c r="T11" s="33"/>
      <c r="U11" s="33"/>
      <c r="V11" s="33"/>
      <c r="X11" s="33"/>
      <c r="Y11" s="33"/>
      <c r="Z11" s="33"/>
      <c r="AA11" s="33"/>
      <c r="AB11" s="33"/>
      <c r="AC11" s="33">
        <f t="shared" si="0"/>
        <v>4</v>
      </c>
      <c r="AD11" s="87">
        <f>AC11/AC45</f>
        <v>7.9223608635373339E-4</v>
      </c>
    </row>
    <row r="12" spans="1:30" x14ac:dyDescent="0.2">
      <c r="A12" s="27" t="s">
        <v>10</v>
      </c>
      <c r="C12" s="33">
        <v>1</v>
      </c>
      <c r="D12" s="33"/>
      <c r="E12" s="33">
        <v>1</v>
      </c>
      <c r="F12" s="33"/>
      <c r="G12" s="33"/>
      <c r="H12" s="33">
        <v>1</v>
      </c>
      <c r="I12" s="33">
        <v>1</v>
      </c>
      <c r="J12" s="33">
        <v>1</v>
      </c>
      <c r="K12" s="33"/>
      <c r="L12" s="33">
        <v>1</v>
      </c>
      <c r="M12" s="33">
        <v>2</v>
      </c>
      <c r="N12" s="33">
        <v>2</v>
      </c>
      <c r="O12" s="33">
        <v>1</v>
      </c>
      <c r="P12" s="33">
        <v>2</v>
      </c>
      <c r="Q12" s="33"/>
      <c r="R12" s="33"/>
      <c r="S12" s="33"/>
      <c r="T12" s="33">
        <v>2</v>
      </c>
      <c r="U12" s="33">
        <v>1</v>
      </c>
      <c r="V12" s="33">
        <v>1</v>
      </c>
      <c r="X12" s="33"/>
      <c r="Y12" s="33"/>
      <c r="Z12" s="33"/>
      <c r="AA12" s="33"/>
      <c r="AB12" s="33"/>
      <c r="AC12" s="33">
        <f t="shared" si="0"/>
        <v>17</v>
      </c>
      <c r="AD12" s="87">
        <f>AC12/AC45</f>
        <v>3.3670033670033669E-3</v>
      </c>
    </row>
    <row r="13" spans="1:30" x14ac:dyDescent="0.2">
      <c r="A13" s="27" t="s">
        <v>11</v>
      </c>
      <c r="C13" s="33">
        <v>1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>
        <v>1</v>
      </c>
      <c r="T13" s="33"/>
      <c r="U13" s="33"/>
      <c r="V13" s="33"/>
      <c r="X13" s="33"/>
      <c r="Y13" s="33"/>
      <c r="Z13" s="33"/>
      <c r="AA13" s="33"/>
      <c r="AB13" s="33"/>
      <c r="AC13" s="33">
        <f t="shared" si="0"/>
        <v>2</v>
      </c>
      <c r="AD13" s="87">
        <f>AC13/AC45</f>
        <v>3.961180431768667E-4</v>
      </c>
    </row>
    <row r="14" spans="1:30" x14ac:dyDescent="0.2">
      <c r="A14" s="27" t="s">
        <v>503</v>
      </c>
      <c r="C14" s="33"/>
      <c r="D14" s="33"/>
      <c r="E14" s="33"/>
      <c r="F14" s="33"/>
      <c r="G14" s="33"/>
      <c r="H14" s="33"/>
      <c r="I14" s="33"/>
      <c r="J14" s="33"/>
      <c r="K14" s="33">
        <v>1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X14" s="33"/>
      <c r="Y14" s="33"/>
      <c r="Z14" s="33"/>
      <c r="AA14" s="33"/>
      <c r="AB14" s="33"/>
      <c r="AC14" s="33">
        <f t="shared" si="0"/>
        <v>1</v>
      </c>
      <c r="AD14" s="87">
        <f>AC14/AC45</f>
        <v>1.9805902158843335E-4</v>
      </c>
    </row>
    <row r="15" spans="1:30" x14ac:dyDescent="0.2">
      <c r="A15" s="27" t="s">
        <v>469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X15" s="33"/>
      <c r="Y15" s="33"/>
      <c r="Z15" s="33"/>
      <c r="AA15" s="33"/>
      <c r="AB15" s="33"/>
      <c r="AC15" s="33">
        <f t="shared" si="0"/>
        <v>0</v>
      </c>
      <c r="AD15" s="87">
        <f>AC15/AC45</f>
        <v>0</v>
      </c>
    </row>
    <row r="16" spans="1:30" x14ac:dyDescent="0.2">
      <c r="A16" s="27" t="s">
        <v>13</v>
      </c>
      <c r="C16" s="33">
        <v>1</v>
      </c>
      <c r="D16" s="33"/>
      <c r="E16" s="33"/>
      <c r="F16" s="33"/>
      <c r="G16" s="33">
        <v>1</v>
      </c>
      <c r="H16" s="33"/>
      <c r="I16" s="33">
        <v>1</v>
      </c>
      <c r="J16" s="33"/>
      <c r="K16" s="33"/>
      <c r="L16" s="33">
        <v>1</v>
      </c>
      <c r="M16" s="33"/>
      <c r="N16" s="33"/>
      <c r="O16" s="33"/>
      <c r="P16" s="33"/>
      <c r="Q16" s="33"/>
      <c r="R16" s="33"/>
      <c r="S16" s="33"/>
      <c r="T16" s="33">
        <v>1</v>
      </c>
      <c r="U16" s="33"/>
      <c r="V16" s="33"/>
      <c r="X16" s="33"/>
      <c r="Y16" s="33"/>
      <c r="Z16" s="33"/>
      <c r="AA16" s="33"/>
      <c r="AB16" s="33"/>
      <c r="AC16" s="33">
        <f t="shared" si="0"/>
        <v>5</v>
      </c>
      <c r="AD16" s="87">
        <f>AC16/AC45</f>
        <v>9.9029510794216668E-4</v>
      </c>
    </row>
    <row r="17" spans="1:30" x14ac:dyDescent="0.2">
      <c r="A17" s="27" t="s">
        <v>14</v>
      </c>
      <c r="C17" s="33"/>
      <c r="D17" s="33"/>
      <c r="E17" s="33"/>
      <c r="F17" s="33"/>
      <c r="G17" s="33">
        <v>1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X17" s="33"/>
      <c r="Y17" s="33"/>
      <c r="Z17" s="33"/>
      <c r="AA17" s="33"/>
      <c r="AB17" s="33"/>
      <c r="AC17" s="33">
        <f t="shared" si="0"/>
        <v>1</v>
      </c>
      <c r="AD17" s="87">
        <f>AC17/AC45</f>
        <v>1.9805902158843335E-4</v>
      </c>
    </row>
    <row r="18" spans="1:30" x14ac:dyDescent="0.2">
      <c r="A18" s="27" t="s">
        <v>427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>
        <v>1</v>
      </c>
      <c r="R18" s="33"/>
      <c r="S18" s="33"/>
      <c r="T18" s="33"/>
      <c r="U18" s="33"/>
      <c r="V18" s="33"/>
      <c r="X18" s="33"/>
      <c r="Y18" s="33"/>
      <c r="Z18" s="33"/>
      <c r="AA18" s="33"/>
      <c r="AB18" s="33"/>
      <c r="AC18" s="33">
        <f t="shared" si="0"/>
        <v>1</v>
      </c>
      <c r="AD18" s="87">
        <f>AC18/AC45</f>
        <v>1.9805902158843335E-4</v>
      </c>
    </row>
    <row r="19" spans="1:30" x14ac:dyDescent="0.2">
      <c r="A19" s="27" t="s">
        <v>15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>
        <v>1</v>
      </c>
      <c r="V19" s="33"/>
      <c r="X19" s="33"/>
      <c r="Y19" s="33"/>
      <c r="Z19" s="33"/>
      <c r="AA19" s="33"/>
      <c r="AB19" s="33"/>
      <c r="AC19" s="33">
        <f t="shared" si="0"/>
        <v>1</v>
      </c>
      <c r="AD19" s="87">
        <f>AC19/AC45</f>
        <v>1.9805902158843335E-4</v>
      </c>
    </row>
    <row r="20" spans="1:30" x14ac:dyDescent="0.2">
      <c r="A20" s="27" t="s">
        <v>16</v>
      </c>
      <c r="C20" s="33"/>
      <c r="D20" s="33"/>
      <c r="E20" s="33"/>
      <c r="F20" s="33"/>
      <c r="G20" s="33"/>
      <c r="H20" s="33">
        <v>1</v>
      </c>
      <c r="I20" s="33"/>
      <c r="J20" s="33"/>
      <c r="K20" s="33">
        <v>1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X20" s="33"/>
      <c r="Y20" s="33"/>
      <c r="Z20" s="33"/>
      <c r="AA20" s="33"/>
      <c r="AB20" s="33"/>
      <c r="AC20" s="33">
        <f t="shared" si="0"/>
        <v>2</v>
      </c>
      <c r="AD20" s="87">
        <f>AC20/AC45</f>
        <v>3.961180431768667E-4</v>
      </c>
    </row>
    <row r="21" spans="1:30" x14ac:dyDescent="0.2">
      <c r="A21" s="27" t="s">
        <v>17</v>
      </c>
      <c r="C21" s="33"/>
      <c r="D21" s="33">
        <v>1</v>
      </c>
      <c r="E21" s="33"/>
      <c r="F21" s="33"/>
      <c r="G21" s="33"/>
      <c r="H21" s="33">
        <v>1</v>
      </c>
      <c r="I21" s="33"/>
      <c r="J21" s="33">
        <v>1</v>
      </c>
      <c r="K21" s="33">
        <v>2</v>
      </c>
      <c r="L21" s="33">
        <v>3</v>
      </c>
      <c r="M21" s="33"/>
      <c r="N21" s="33"/>
      <c r="O21" s="33">
        <v>3</v>
      </c>
      <c r="P21" s="33">
        <v>3</v>
      </c>
      <c r="Q21" s="33">
        <v>7</v>
      </c>
      <c r="R21" s="33">
        <v>2</v>
      </c>
      <c r="S21" s="33">
        <v>9</v>
      </c>
      <c r="T21" s="33">
        <v>5</v>
      </c>
      <c r="U21" s="33">
        <v>10</v>
      </c>
      <c r="V21" s="33"/>
      <c r="X21" s="33"/>
      <c r="Y21" s="33">
        <v>1</v>
      </c>
      <c r="Z21" s="33"/>
      <c r="AA21" s="33">
        <v>4</v>
      </c>
      <c r="AB21" s="33"/>
      <c r="AC21" s="33">
        <f t="shared" si="0"/>
        <v>52</v>
      </c>
      <c r="AD21" s="87">
        <f>AC21/AC45</f>
        <v>1.0299069122598535E-2</v>
      </c>
    </row>
    <row r="22" spans="1:30" x14ac:dyDescent="0.2">
      <c r="A22" s="27" t="s">
        <v>18</v>
      </c>
      <c r="C22" s="33"/>
      <c r="D22" s="33">
        <v>1</v>
      </c>
      <c r="E22" s="33">
        <v>4</v>
      </c>
      <c r="F22" s="33">
        <v>2</v>
      </c>
      <c r="G22" s="33">
        <v>1</v>
      </c>
      <c r="H22" s="33">
        <v>1</v>
      </c>
      <c r="I22" s="33"/>
      <c r="J22" s="33">
        <v>3</v>
      </c>
      <c r="K22" s="33">
        <v>5</v>
      </c>
      <c r="L22" s="33">
        <v>1</v>
      </c>
      <c r="M22" s="33"/>
      <c r="N22" s="33"/>
      <c r="O22" s="33"/>
      <c r="P22" s="33">
        <v>4</v>
      </c>
      <c r="Q22" s="33">
        <v>2</v>
      </c>
      <c r="R22" s="33">
        <v>1</v>
      </c>
      <c r="S22" s="33"/>
      <c r="T22" s="33">
        <v>1</v>
      </c>
      <c r="U22" s="33">
        <v>2</v>
      </c>
      <c r="V22" s="33"/>
      <c r="X22" s="33"/>
      <c r="Y22" s="33">
        <v>2</v>
      </c>
      <c r="Z22" s="33"/>
      <c r="AA22" s="33">
        <v>1</v>
      </c>
      <c r="AB22" s="33">
        <v>1</v>
      </c>
      <c r="AC22" s="33">
        <f t="shared" si="0"/>
        <v>32</v>
      </c>
      <c r="AD22" s="87">
        <f>AC22/AC45</f>
        <v>6.3378886908298671E-3</v>
      </c>
    </row>
    <row r="23" spans="1:30" x14ac:dyDescent="0.2">
      <c r="A23" s="27" t="s">
        <v>19</v>
      </c>
      <c r="C23" s="33">
        <v>28</v>
      </c>
      <c r="D23" s="33">
        <v>15</v>
      </c>
      <c r="E23" s="33">
        <v>10</v>
      </c>
      <c r="F23" s="33">
        <v>16</v>
      </c>
      <c r="G23" s="33">
        <v>32</v>
      </c>
      <c r="H23" s="33">
        <v>24</v>
      </c>
      <c r="I23" s="33">
        <v>7</v>
      </c>
      <c r="J23" s="33">
        <v>44</v>
      </c>
      <c r="K23" s="33">
        <v>33</v>
      </c>
      <c r="L23" s="33">
        <v>28</v>
      </c>
      <c r="M23" s="33">
        <v>19</v>
      </c>
      <c r="N23" s="33">
        <v>15</v>
      </c>
      <c r="O23" s="33">
        <v>27</v>
      </c>
      <c r="P23" s="33">
        <v>17</v>
      </c>
      <c r="Q23" s="33">
        <v>31</v>
      </c>
      <c r="R23" s="33">
        <v>10</v>
      </c>
      <c r="S23" s="33">
        <v>19</v>
      </c>
      <c r="T23" s="33">
        <v>24</v>
      </c>
      <c r="U23" s="33">
        <v>18</v>
      </c>
      <c r="V23" s="33">
        <v>6</v>
      </c>
      <c r="X23" s="33">
        <v>2</v>
      </c>
      <c r="Y23" s="33">
        <v>2</v>
      </c>
      <c r="Z23" s="33">
        <v>3</v>
      </c>
      <c r="AA23" s="33">
        <v>1</v>
      </c>
      <c r="AB23" s="33"/>
      <c r="AC23" s="33">
        <f t="shared" si="0"/>
        <v>431</v>
      </c>
      <c r="AD23" s="87">
        <f>AC23/AC45</f>
        <v>8.5363438304614778E-2</v>
      </c>
    </row>
    <row r="24" spans="1:30" x14ac:dyDescent="0.2">
      <c r="A24" s="27" t="s">
        <v>20</v>
      </c>
      <c r="C24" s="33"/>
      <c r="D24" s="33"/>
      <c r="E24" s="33">
        <v>1</v>
      </c>
      <c r="F24" s="33"/>
      <c r="G24" s="33"/>
      <c r="H24" s="33"/>
      <c r="I24" s="33"/>
      <c r="J24" s="33"/>
      <c r="K24" s="33">
        <v>1</v>
      </c>
      <c r="L24" s="33"/>
      <c r="M24" s="33">
        <v>2</v>
      </c>
      <c r="N24" s="33">
        <v>4</v>
      </c>
      <c r="O24" s="33"/>
      <c r="P24" s="33">
        <v>5</v>
      </c>
      <c r="Q24" s="33"/>
      <c r="R24" s="33"/>
      <c r="S24" s="33"/>
      <c r="T24" s="33"/>
      <c r="U24" s="33">
        <v>1</v>
      </c>
      <c r="V24" s="33"/>
      <c r="X24" s="33"/>
      <c r="Y24" s="33">
        <v>1</v>
      </c>
      <c r="Z24" s="33"/>
      <c r="AA24" s="33"/>
      <c r="AB24" s="33">
        <v>1</v>
      </c>
      <c r="AC24" s="33">
        <f t="shared" si="0"/>
        <v>16</v>
      </c>
      <c r="AD24" s="87">
        <f>AC24/AC45</f>
        <v>3.1689443454149336E-3</v>
      </c>
    </row>
    <row r="25" spans="1:30" x14ac:dyDescent="0.2">
      <c r="A25" s="27" t="s">
        <v>645</v>
      </c>
      <c r="C25" s="33"/>
      <c r="D25" s="33"/>
      <c r="E25" s="33">
        <v>8</v>
      </c>
      <c r="F25" s="33">
        <v>3</v>
      </c>
      <c r="G25" s="33">
        <v>31</v>
      </c>
      <c r="H25" s="33">
        <v>11</v>
      </c>
      <c r="I25" s="33">
        <v>4</v>
      </c>
      <c r="J25" s="33">
        <v>74</v>
      </c>
      <c r="K25" s="33">
        <v>79</v>
      </c>
      <c r="L25" s="33">
        <v>91</v>
      </c>
      <c r="M25" s="33">
        <v>117</v>
      </c>
      <c r="N25" s="33">
        <v>139</v>
      </c>
      <c r="O25" s="33">
        <v>23</v>
      </c>
      <c r="P25" s="33">
        <v>112</v>
      </c>
      <c r="Q25" s="33">
        <v>124</v>
      </c>
      <c r="R25" s="33">
        <v>108</v>
      </c>
      <c r="S25" s="33">
        <v>44</v>
      </c>
      <c r="T25" s="33">
        <v>23</v>
      </c>
      <c r="U25" s="33">
        <v>40</v>
      </c>
      <c r="V25" s="33">
        <v>3</v>
      </c>
      <c r="X25" s="33"/>
      <c r="Y25" s="33">
        <v>8</v>
      </c>
      <c r="Z25" s="33"/>
      <c r="AA25" s="33">
        <v>1</v>
      </c>
      <c r="AB25" s="33"/>
      <c r="AC25" s="33">
        <f t="shared" si="0"/>
        <v>1043</v>
      </c>
      <c r="AD25" s="87">
        <f>AC25/AC45</f>
        <v>0.20657555951673598</v>
      </c>
    </row>
    <row r="26" spans="1:30" x14ac:dyDescent="0.2">
      <c r="A26" s="27" t="s">
        <v>200</v>
      </c>
      <c r="C26" s="33"/>
      <c r="D26" s="33"/>
      <c r="E26" s="33">
        <v>6</v>
      </c>
      <c r="F26" s="33">
        <v>4</v>
      </c>
      <c r="G26" s="33">
        <v>1</v>
      </c>
      <c r="H26" s="33">
        <v>5</v>
      </c>
      <c r="I26" s="33"/>
      <c r="J26" s="33">
        <v>14</v>
      </c>
      <c r="K26" s="33">
        <v>16</v>
      </c>
      <c r="L26" s="33">
        <v>12</v>
      </c>
      <c r="M26" s="33">
        <v>17</v>
      </c>
      <c r="N26" s="33">
        <v>30</v>
      </c>
      <c r="O26" s="33">
        <v>2</v>
      </c>
      <c r="P26" s="33">
        <v>28</v>
      </c>
      <c r="Q26" s="33">
        <v>16</v>
      </c>
      <c r="R26" s="33">
        <v>28</v>
      </c>
      <c r="S26" s="33">
        <v>12</v>
      </c>
      <c r="T26" s="33">
        <v>7</v>
      </c>
      <c r="U26" s="33">
        <v>20</v>
      </c>
      <c r="V26" s="33"/>
      <c r="X26" s="33"/>
      <c r="Y26" s="33">
        <v>1</v>
      </c>
      <c r="Z26" s="33"/>
      <c r="AA26" s="33"/>
      <c r="AB26" s="33"/>
      <c r="AC26" s="33">
        <f t="shared" si="0"/>
        <v>219</v>
      </c>
      <c r="AD26" s="87">
        <f>AC26/AC45</f>
        <v>4.3374925727866907E-2</v>
      </c>
    </row>
    <row r="27" spans="1:30" x14ac:dyDescent="0.2">
      <c r="A27" s="27" t="s">
        <v>435</v>
      </c>
      <c r="C27" s="33"/>
      <c r="D27" s="33"/>
      <c r="E27" s="33"/>
      <c r="F27" s="33"/>
      <c r="G27" s="33"/>
      <c r="H27" s="33"/>
      <c r="I27" s="33"/>
      <c r="J27" s="33">
        <v>1</v>
      </c>
      <c r="K27" s="33">
        <v>7</v>
      </c>
      <c r="L27" s="33">
        <v>25</v>
      </c>
      <c r="M27" s="33">
        <v>16</v>
      </c>
      <c r="N27" s="33">
        <v>5</v>
      </c>
      <c r="O27" s="33">
        <v>4</v>
      </c>
      <c r="P27" s="33">
        <v>48</v>
      </c>
      <c r="Q27" s="33">
        <v>13</v>
      </c>
      <c r="R27" s="33">
        <v>12</v>
      </c>
      <c r="S27" s="33">
        <v>19</v>
      </c>
      <c r="T27" s="33">
        <v>3</v>
      </c>
      <c r="U27" s="33">
        <v>1</v>
      </c>
      <c r="V27" s="33"/>
      <c r="X27" s="33"/>
      <c r="Y27" s="33"/>
      <c r="Z27" s="33"/>
      <c r="AA27" s="33"/>
      <c r="AB27" s="33"/>
      <c r="AC27" s="33">
        <f t="shared" si="0"/>
        <v>154</v>
      </c>
      <c r="AD27" s="87">
        <f>AC27/AC45</f>
        <v>3.0501089324618737E-2</v>
      </c>
    </row>
    <row r="28" spans="1:30" x14ac:dyDescent="0.2">
      <c r="A28" s="27" t="s">
        <v>22</v>
      </c>
      <c r="C28" s="33"/>
      <c r="D28" s="33"/>
      <c r="E28" s="33"/>
      <c r="F28" s="33"/>
      <c r="G28" s="33">
        <v>1</v>
      </c>
      <c r="H28" s="33">
        <v>1</v>
      </c>
      <c r="I28" s="33"/>
      <c r="J28" s="33"/>
      <c r="K28" s="33">
        <v>1</v>
      </c>
      <c r="L28" s="33"/>
      <c r="M28" s="33"/>
      <c r="N28" s="33"/>
      <c r="O28" s="33">
        <v>2</v>
      </c>
      <c r="P28" s="33"/>
      <c r="Q28" s="33"/>
      <c r="R28" s="33"/>
      <c r="S28" s="33"/>
      <c r="T28" s="33"/>
      <c r="U28" s="33"/>
      <c r="V28" s="33"/>
      <c r="X28" s="33">
        <v>1</v>
      </c>
      <c r="Y28" s="33">
        <v>1</v>
      </c>
      <c r="Z28" s="33"/>
      <c r="AA28" s="33"/>
      <c r="AB28" s="33"/>
      <c r="AC28" s="33">
        <f t="shared" si="0"/>
        <v>7</v>
      </c>
      <c r="AD28" s="87">
        <f>AC28/AC45</f>
        <v>1.3864131511190335E-3</v>
      </c>
    </row>
    <row r="29" spans="1:30" x14ac:dyDescent="0.2">
      <c r="A29" s="27" t="s">
        <v>23</v>
      </c>
      <c r="B29" s="83" t="s">
        <v>789</v>
      </c>
      <c r="C29" s="33"/>
      <c r="D29" s="33"/>
      <c r="E29" s="33"/>
      <c r="F29" s="33"/>
      <c r="G29" s="33">
        <v>1</v>
      </c>
      <c r="H29" s="33">
        <v>1</v>
      </c>
      <c r="I29" s="33"/>
      <c r="J29" s="33">
        <v>1</v>
      </c>
      <c r="K29" s="33">
        <v>2</v>
      </c>
      <c r="L29" s="33">
        <v>3</v>
      </c>
      <c r="M29" s="33">
        <v>2</v>
      </c>
      <c r="N29" s="33"/>
      <c r="O29" s="33">
        <v>1</v>
      </c>
      <c r="P29" s="33">
        <v>3</v>
      </c>
      <c r="Q29" s="33"/>
      <c r="R29" s="33"/>
      <c r="S29" s="33">
        <v>1</v>
      </c>
      <c r="T29" s="33">
        <v>1</v>
      </c>
      <c r="U29" s="33">
        <v>1</v>
      </c>
      <c r="V29" s="33"/>
      <c r="W29" s="83" t="s">
        <v>667</v>
      </c>
      <c r="X29" s="33"/>
      <c r="Y29" s="33">
        <v>3</v>
      </c>
      <c r="Z29" s="33"/>
      <c r="AA29" s="33"/>
      <c r="AB29" s="33">
        <v>3</v>
      </c>
      <c r="AC29" s="33">
        <f t="shared" si="0"/>
        <v>23</v>
      </c>
      <c r="AD29" s="87">
        <f>AC29/AC45</f>
        <v>4.5553574965339671E-3</v>
      </c>
    </row>
    <row r="30" spans="1:30" x14ac:dyDescent="0.2">
      <c r="A30" s="27" t="s">
        <v>214</v>
      </c>
      <c r="C30" s="33"/>
      <c r="D30" s="33"/>
      <c r="E30" s="33">
        <v>1</v>
      </c>
      <c r="F30" s="33"/>
      <c r="G30" s="33"/>
      <c r="H30" s="33"/>
      <c r="I30" s="33"/>
      <c r="J30" s="33"/>
      <c r="K30" s="33"/>
      <c r="L30" s="33"/>
      <c r="M30" s="33"/>
      <c r="N30" s="33"/>
      <c r="O30" s="33">
        <v>1</v>
      </c>
      <c r="P30" s="33"/>
      <c r="Q30" s="33"/>
      <c r="R30" s="33"/>
      <c r="S30" s="33"/>
      <c r="T30" s="33"/>
      <c r="U30" s="33"/>
      <c r="V30" s="33"/>
      <c r="X30" s="33"/>
      <c r="Y30" s="33"/>
      <c r="Z30" s="33"/>
      <c r="AA30" s="33"/>
      <c r="AB30" s="33"/>
      <c r="AC30" s="33">
        <f t="shared" si="0"/>
        <v>2</v>
      </c>
      <c r="AD30" s="87">
        <f>AC30/AC45</f>
        <v>3.961180431768667E-4</v>
      </c>
    </row>
    <row r="31" spans="1:30" x14ac:dyDescent="0.2">
      <c r="A31" s="27" t="s">
        <v>194</v>
      </c>
      <c r="C31" s="33"/>
      <c r="D31" s="33"/>
      <c r="E31" s="33"/>
      <c r="F31" s="33"/>
      <c r="G31" s="33"/>
      <c r="H31" s="33"/>
      <c r="I31" s="33"/>
      <c r="J31" s="33"/>
      <c r="K31" s="33">
        <v>1</v>
      </c>
      <c r="L31" s="33"/>
      <c r="M31" s="33">
        <v>1</v>
      </c>
      <c r="N31" s="33"/>
      <c r="O31" s="33"/>
      <c r="P31" s="33"/>
      <c r="Q31" s="33"/>
      <c r="R31" s="33"/>
      <c r="S31" s="33"/>
      <c r="T31" s="33"/>
      <c r="U31" s="33"/>
      <c r="V31" s="33"/>
      <c r="X31" s="33"/>
      <c r="Y31" s="33"/>
      <c r="Z31" s="33"/>
      <c r="AA31" s="33"/>
      <c r="AB31" s="33"/>
      <c r="AC31" s="33">
        <f t="shared" si="0"/>
        <v>2</v>
      </c>
      <c r="AD31" s="87">
        <f>AC31/AC45</f>
        <v>3.961180431768667E-4</v>
      </c>
    </row>
    <row r="32" spans="1:30" x14ac:dyDescent="0.2">
      <c r="A32" s="27" t="s">
        <v>195</v>
      </c>
      <c r="C32" s="33"/>
      <c r="D32" s="33"/>
      <c r="E32" s="33">
        <v>1</v>
      </c>
      <c r="F32" s="33"/>
      <c r="G32" s="33"/>
      <c r="H32" s="33"/>
      <c r="I32" s="33"/>
      <c r="J32" s="33"/>
      <c r="K32" s="33"/>
      <c r="L32" s="33"/>
      <c r="M32" s="33">
        <v>2</v>
      </c>
      <c r="N32" s="33"/>
      <c r="O32" s="33"/>
      <c r="P32" s="33">
        <v>2</v>
      </c>
      <c r="Q32" s="33"/>
      <c r="R32" s="33"/>
      <c r="S32" s="33"/>
      <c r="T32" s="33"/>
      <c r="U32" s="33">
        <v>1</v>
      </c>
      <c r="V32" s="33"/>
      <c r="X32" s="33"/>
      <c r="Y32" s="33"/>
      <c r="Z32" s="33"/>
      <c r="AA32" s="33"/>
      <c r="AB32" s="33"/>
      <c r="AC32" s="33">
        <f t="shared" si="0"/>
        <v>6</v>
      </c>
      <c r="AD32" s="87">
        <f>AC32/AC45</f>
        <v>1.1883541295306002E-3</v>
      </c>
    </row>
    <row r="33" spans="1:30" x14ac:dyDescent="0.2">
      <c r="A33" s="27" t="s">
        <v>25</v>
      </c>
      <c r="C33" s="33"/>
      <c r="D33" s="33"/>
      <c r="E33" s="33">
        <v>1</v>
      </c>
      <c r="F33" s="33">
        <v>5</v>
      </c>
      <c r="G33" s="33">
        <v>1</v>
      </c>
      <c r="H33" s="33">
        <v>1</v>
      </c>
      <c r="I33" s="33"/>
      <c r="J33" s="33">
        <v>1</v>
      </c>
      <c r="K33" s="33">
        <v>10</v>
      </c>
      <c r="L33" s="33">
        <v>5</v>
      </c>
      <c r="M33" s="33">
        <v>9</v>
      </c>
      <c r="N33" s="33">
        <v>5</v>
      </c>
      <c r="O33" s="33"/>
      <c r="P33" s="33">
        <v>7</v>
      </c>
      <c r="Q33" s="33">
        <v>4</v>
      </c>
      <c r="R33" s="33">
        <v>4</v>
      </c>
      <c r="S33" s="33">
        <v>1</v>
      </c>
      <c r="T33" s="33"/>
      <c r="U33" s="33"/>
      <c r="V33" s="33"/>
      <c r="X33" s="33"/>
      <c r="Y33" s="33"/>
      <c r="Z33" s="33"/>
      <c r="AA33" s="33"/>
      <c r="AB33" s="33">
        <v>1</v>
      </c>
      <c r="AC33" s="33">
        <f t="shared" si="0"/>
        <v>55</v>
      </c>
      <c r="AD33" s="87">
        <f>AC33/AC45</f>
        <v>1.0893246187363835E-2</v>
      </c>
    </row>
    <row r="34" spans="1:30" x14ac:dyDescent="0.2">
      <c r="A34" s="27" t="s">
        <v>646</v>
      </c>
      <c r="C34" s="33"/>
      <c r="D34" s="33"/>
      <c r="E34" s="33"/>
      <c r="F34" s="33"/>
      <c r="G34" s="33"/>
      <c r="H34" s="33"/>
      <c r="I34" s="33"/>
      <c r="J34" s="33"/>
      <c r="K34" s="33">
        <v>1</v>
      </c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X34" s="33"/>
      <c r="Y34" s="33">
        <v>1</v>
      </c>
      <c r="Z34" s="33">
        <v>1</v>
      </c>
      <c r="AA34" s="33"/>
      <c r="AB34" s="33"/>
      <c r="AC34" s="33">
        <f t="shared" si="0"/>
        <v>3</v>
      </c>
      <c r="AD34" s="87">
        <f>AC34/AC45</f>
        <v>5.941770647653001E-4</v>
      </c>
    </row>
    <row r="35" spans="1:30" x14ac:dyDescent="0.2">
      <c r="A35" s="27" t="s">
        <v>26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>
        <v>2</v>
      </c>
      <c r="V35" s="33"/>
      <c r="X35" s="33"/>
      <c r="Y35" s="33"/>
      <c r="Z35" s="33"/>
      <c r="AA35" s="33"/>
      <c r="AB35" s="33"/>
      <c r="AC35" s="33">
        <f t="shared" si="0"/>
        <v>2</v>
      </c>
      <c r="AD35" s="87">
        <f>AC35/AC45</f>
        <v>3.961180431768667E-4</v>
      </c>
    </row>
    <row r="36" spans="1:30" x14ac:dyDescent="0.2">
      <c r="A36" s="27" t="s">
        <v>27</v>
      </c>
      <c r="C36" s="33">
        <v>15</v>
      </c>
      <c r="D36" s="33">
        <v>8</v>
      </c>
      <c r="E36" s="33">
        <v>13</v>
      </c>
      <c r="F36" s="33">
        <v>24</v>
      </c>
      <c r="G36" s="33">
        <v>53</v>
      </c>
      <c r="H36" s="33">
        <v>33</v>
      </c>
      <c r="I36" s="33">
        <v>11</v>
      </c>
      <c r="J36" s="33">
        <v>34</v>
      </c>
      <c r="K36" s="33">
        <v>123</v>
      </c>
      <c r="L36" s="33">
        <v>59</v>
      </c>
      <c r="M36" s="33">
        <v>32</v>
      </c>
      <c r="N36" s="33">
        <v>70</v>
      </c>
      <c r="O36" s="33">
        <v>29</v>
      </c>
      <c r="P36" s="33">
        <v>106</v>
      </c>
      <c r="Q36" s="33">
        <v>59</v>
      </c>
      <c r="R36" s="33">
        <v>33</v>
      </c>
      <c r="S36" s="33">
        <v>48</v>
      </c>
      <c r="T36" s="33">
        <v>38</v>
      </c>
      <c r="U36" s="33">
        <v>35</v>
      </c>
      <c r="V36" s="33">
        <v>6</v>
      </c>
      <c r="X36" s="33">
        <v>1</v>
      </c>
      <c r="Y36" s="33">
        <v>35</v>
      </c>
      <c r="Z36" s="33">
        <v>7</v>
      </c>
      <c r="AA36" s="33">
        <v>9</v>
      </c>
      <c r="AB36" s="33">
        <v>10</v>
      </c>
      <c r="AC36" s="33">
        <f t="shared" si="0"/>
        <v>891</v>
      </c>
      <c r="AD36" s="87">
        <f>AC36/AC45</f>
        <v>0.17647058823529413</v>
      </c>
    </row>
    <row r="37" spans="1:30" x14ac:dyDescent="0.2">
      <c r="A37" s="27" t="s">
        <v>28</v>
      </c>
      <c r="C37" s="33"/>
      <c r="D37" s="33"/>
      <c r="E37" s="33"/>
      <c r="F37" s="33"/>
      <c r="G37" s="33"/>
      <c r="H37" s="33"/>
      <c r="I37" s="33"/>
      <c r="J37" s="33">
        <v>1</v>
      </c>
      <c r="K37" s="33">
        <v>1</v>
      </c>
      <c r="L37" s="33"/>
      <c r="M37" s="33"/>
      <c r="N37" s="33"/>
      <c r="O37" s="33"/>
      <c r="P37" s="33"/>
      <c r="Q37" s="33">
        <v>2</v>
      </c>
      <c r="R37" s="33"/>
      <c r="S37" s="33"/>
      <c r="T37" s="33">
        <v>1</v>
      </c>
      <c r="U37" s="33"/>
      <c r="V37" s="33"/>
      <c r="X37" s="33"/>
      <c r="Y37" s="33"/>
      <c r="Z37" s="33"/>
      <c r="AA37" s="33"/>
      <c r="AB37" s="33"/>
      <c r="AC37" s="33">
        <f t="shared" si="0"/>
        <v>5</v>
      </c>
      <c r="AD37" s="87">
        <f>AC37/AC45</f>
        <v>9.9029510794216668E-4</v>
      </c>
    </row>
    <row r="38" spans="1:30" x14ac:dyDescent="0.2">
      <c r="A38" s="27" t="s">
        <v>29</v>
      </c>
      <c r="C38" s="33"/>
      <c r="D38" s="33"/>
      <c r="E38" s="33">
        <v>1</v>
      </c>
      <c r="F38" s="33"/>
      <c r="G38" s="33"/>
      <c r="H38" s="33"/>
      <c r="I38" s="33"/>
      <c r="J38" s="33"/>
      <c r="K38" s="33">
        <v>1</v>
      </c>
      <c r="L38" s="33"/>
      <c r="M38" s="33"/>
      <c r="N38" s="33">
        <v>1</v>
      </c>
      <c r="O38" s="33"/>
      <c r="P38" s="33">
        <v>1</v>
      </c>
      <c r="Q38" s="33">
        <v>1</v>
      </c>
      <c r="R38" s="33"/>
      <c r="S38" s="33"/>
      <c r="T38" s="33"/>
      <c r="U38" s="33"/>
      <c r="V38" s="33"/>
      <c r="X38" s="33"/>
      <c r="Y38" s="33"/>
      <c r="Z38" s="33"/>
      <c r="AA38" s="33"/>
      <c r="AB38" s="33"/>
      <c r="AC38" s="33">
        <f t="shared" si="0"/>
        <v>5</v>
      </c>
      <c r="AD38" s="87">
        <f>AC38/AC45</f>
        <v>9.9029510794216668E-4</v>
      </c>
    </row>
    <row r="39" spans="1:30" x14ac:dyDescent="0.2">
      <c r="A39" s="27" t="s">
        <v>30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X39" s="33"/>
      <c r="Y39" s="33"/>
      <c r="Z39" s="33"/>
      <c r="AA39" s="33"/>
      <c r="AB39" s="33"/>
      <c r="AC39" s="33">
        <f t="shared" si="0"/>
        <v>0</v>
      </c>
      <c r="AD39" s="87">
        <f>AC39/AC45</f>
        <v>0</v>
      </c>
    </row>
    <row r="40" spans="1:30" x14ac:dyDescent="0.2">
      <c r="A40" s="27" t="s">
        <v>442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X40" s="33"/>
      <c r="Y40" s="33"/>
      <c r="Z40" s="33"/>
      <c r="AA40" s="33"/>
      <c r="AB40" s="33"/>
      <c r="AC40" s="33">
        <f t="shared" si="0"/>
        <v>0</v>
      </c>
      <c r="AD40" s="87">
        <f>AC40/AC45</f>
        <v>0</v>
      </c>
    </row>
    <row r="41" spans="1:30" x14ac:dyDescent="0.2">
      <c r="A41" s="27" t="s">
        <v>31</v>
      </c>
      <c r="C41" s="33"/>
      <c r="D41" s="33"/>
      <c r="E41" s="33"/>
      <c r="F41" s="33"/>
      <c r="G41" s="33"/>
      <c r="H41" s="33">
        <v>2</v>
      </c>
      <c r="I41" s="33"/>
      <c r="J41" s="33">
        <v>1</v>
      </c>
      <c r="K41" s="33">
        <v>2</v>
      </c>
      <c r="L41" s="33">
        <v>1</v>
      </c>
      <c r="M41" s="33">
        <v>2</v>
      </c>
      <c r="N41" s="33">
        <v>1</v>
      </c>
      <c r="O41" s="33">
        <v>1</v>
      </c>
      <c r="P41" s="33">
        <v>2</v>
      </c>
      <c r="Q41" s="33">
        <v>2</v>
      </c>
      <c r="R41" s="33">
        <v>1</v>
      </c>
      <c r="S41" s="33">
        <v>1</v>
      </c>
      <c r="T41" s="33">
        <v>3</v>
      </c>
      <c r="U41" s="33">
        <v>1</v>
      </c>
      <c r="V41" s="33"/>
      <c r="X41" s="33"/>
      <c r="Y41" s="33">
        <v>1</v>
      </c>
      <c r="Z41" s="33"/>
      <c r="AA41" s="33"/>
      <c r="AB41" s="33">
        <v>1</v>
      </c>
      <c r="AC41" s="33">
        <f t="shared" si="0"/>
        <v>22</v>
      </c>
      <c r="AD41" s="87">
        <f>AC41/AC45</f>
        <v>4.3572984749455342E-3</v>
      </c>
    </row>
    <row r="42" spans="1:30" x14ac:dyDescent="0.2">
      <c r="A42" s="27" t="s">
        <v>32</v>
      </c>
      <c r="C42" s="33"/>
      <c r="D42" s="33">
        <v>1</v>
      </c>
      <c r="E42" s="33"/>
      <c r="F42" s="33"/>
      <c r="G42" s="33"/>
      <c r="H42" s="33"/>
      <c r="I42" s="33"/>
      <c r="J42" s="33"/>
      <c r="K42" s="33"/>
      <c r="L42" s="33"/>
      <c r="M42" s="33">
        <v>1</v>
      </c>
      <c r="N42" s="33"/>
      <c r="O42" s="33"/>
      <c r="P42" s="33"/>
      <c r="Q42" s="33"/>
      <c r="R42" s="33"/>
      <c r="S42" s="33"/>
      <c r="T42" s="33"/>
      <c r="U42" s="33"/>
      <c r="V42" s="33"/>
      <c r="X42" s="33"/>
      <c r="Y42" s="33"/>
      <c r="Z42" s="33"/>
      <c r="AA42" s="33"/>
      <c r="AB42" s="33"/>
      <c r="AC42" s="33">
        <f t="shared" si="0"/>
        <v>2</v>
      </c>
      <c r="AD42" s="87">
        <f>AC42/AC45</f>
        <v>3.961180431768667E-4</v>
      </c>
    </row>
    <row r="43" spans="1:30" x14ac:dyDescent="0.2">
      <c r="A43" s="27" t="s">
        <v>33</v>
      </c>
      <c r="C43" s="33"/>
      <c r="D43" s="33"/>
      <c r="E43" s="33">
        <v>4</v>
      </c>
      <c r="F43" s="33">
        <v>1</v>
      </c>
      <c r="G43" s="33">
        <v>3</v>
      </c>
      <c r="H43" s="33">
        <v>2</v>
      </c>
      <c r="I43" s="33"/>
      <c r="J43" s="33"/>
      <c r="K43" s="33">
        <v>5</v>
      </c>
      <c r="L43" s="33">
        <v>5</v>
      </c>
      <c r="M43" s="33">
        <v>1</v>
      </c>
      <c r="N43" s="33">
        <v>2</v>
      </c>
      <c r="O43" s="33">
        <v>1</v>
      </c>
      <c r="P43" s="33"/>
      <c r="Q43" s="33">
        <v>4</v>
      </c>
      <c r="R43" s="33">
        <v>1</v>
      </c>
      <c r="S43" s="33">
        <v>5</v>
      </c>
      <c r="T43" s="33">
        <v>1</v>
      </c>
      <c r="U43" s="33"/>
      <c r="V43" s="33">
        <v>1</v>
      </c>
      <c r="X43" s="33"/>
      <c r="Y43" s="33"/>
      <c r="Z43" s="33"/>
      <c r="AA43" s="33"/>
      <c r="AB43" s="33"/>
      <c r="AC43" s="33">
        <f t="shared" si="0"/>
        <v>36</v>
      </c>
      <c r="AD43" s="88">
        <f>AC43/AC45</f>
        <v>7.1301247771836003E-3</v>
      </c>
    </row>
    <row r="44" spans="1:30" x14ac:dyDescent="0.2">
      <c r="A44" s="27" t="s">
        <v>36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X44" s="33"/>
      <c r="Y44" s="33"/>
      <c r="Z44" s="33"/>
      <c r="AA44" s="33"/>
      <c r="AB44" s="33"/>
      <c r="AC44" s="33">
        <f t="shared" si="0"/>
        <v>0</v>
      </c>
      <c r="AD44" s="88">
        <f>AC44/AC45</f>
        <v>0</v>
      </c>
    </row>
    <row r="45" spans="1:30" x14ac:dyDescent="0.2">
      <c r="A45" s="30" t="s">
        <v>344</v>
      </c>
      <c r="B45" s="82">
        <f>SUM(B4:B44)</f>
        <v>0</v>
      </c>
      <c r="C45" s="33">
        <f t="shared" ref="C45:AB45" si="1">SUM(C3:C44)</f>
        <v>53</v>
      </c>
      <c r="D45" s="33">
        <f t="shared" si="1"/>
        <v>35</v>
      </c>
      <c r="E45" s="33">
        <f t="shared" si="1"/>
        <v>92</v>
      </c>
      <c r="F45" s="33">
        <f t="shared" si="1"/>
        <v>81</v>
      </c>
      <c r="G45" s="33">
        <f t="shared" si="1"/>
        <v>227</v>
      </c>
      <c r="H45" s="33">
        <f t="shared" si="1"/>
        <v>160</v>
      </c>
      <c r="I45" s="33">
        <f t="shared" si="1"/>
        <v>58</v>
      </c>
      <c r="J45" s="33">
        <f t="shared" si="1"/>
        <v>394</v>
      </c>
      <c r="K45" s="33">
        <f t="shared" si="1"/>
        <v>407</v>
      </c>
      <c r="L45" s="33">
        <f t="shared" si="1"/>
        <v>381</v>
      </c>
      <c r="M45" s="33">
        <f t="shared" si="1"/>
        <v>350</v>
      </c>
      <c r="N45" s="33">
        <f t="shared" si="1"/>
        <v>406</v>
      </c>
      <c r="O45" s="33">
        <f t="shared" si="1"/>
        <v>152</v>
      </c>
      <c r="P45" s="33">
        <f t="shared" si="1"/>
        <v>509</v>
      </c>
      <c r="Q45" s="33">
        <f t="shared" si="1"/>
        <v>414</v>
      </c>
      <c r="R45" s="33">
        <f t="shared" si="1"/>
        <v>334</v>
      </c>
      <c r="S45" s="33">
        <f t="shared" si="1"/>
        <v>267</v>
      </c>
      <c r="T45" s="33">
        <f t="shared" si="1"/>
        <v>156</v>
      </c>
      <c r="U45" s="33">
        <f t="shared" si="1"/>
        <v>328</v>
      </c>
      <c r="V45" s="33">
        <f t="shared" si="1"/>
        <v>29</v>
      </c>
      <c r="W45" s="82">
        <f t="shared" si="1"/>
        <v>0</v>
      </c>
      <c r="X45" s="33">
        <f t="shared" si="1"/>
        <v>11</v>
      </c>
      <c r="Y45" s="33">
        <f t="shared" si="1"/>
        <v>100</v>
      </c>
      <c r="Z45" s="33">
        <f t="shared" si="1"/>
        <v>16</v>
      </c>
      <c r="AA45" s="33">
        <f t="shared" si="1"/>
        <v>30</v>
      </c>
      <c r="AB45" s="33">
        <f t="shared" si="1"/>
        <v>59</v>
      </c>
      <c r="AC45" s="33">
        <f>SUM(AC3:AC44)</f>
        <v>5049</v>
      </c>
      <c r="AD45" s="87">
        <f>SUM(AD3:AD44)</f>
        <v>0.99999999999999978</v>
      </c>
    </row>
    <row r="46" spans="1:30" x14ac:dyDescent="0.2">
      <c r="X46" s="33"/>
      <c r="Y46" s="33"/>
      <c r="Z46" s="33"/>
      <c r="AA46" s="33"/>
      <c r="AB46" s="33"/>
    </row>
    <row r="47" spans="1:30" x14ac:dyDescent="0.2">
      <c r="X47" s="33"/>
      <c r="Y47" s="33"/>
      <c r="Z47" s="33"/>
      <c r="AA47" s="33"/>
      <c r="AB47" s="33"/>
    </row>
    <row r="48" spans="1:30" x14ac:dyDescent="0.2">
      <c r="A48" s="30" t="s">
        <v>1484</v>
      </c>
      <c r="X48" s="33"/>
      <c r="Y48" s="33"/>
      <c r="Z48" s="33"/>
      <c r="AA48" s="33"/>
      <c r="AB48" s="33"/>
    </row>
    <row r="49" spans="1:28" x14ac:dyDescent="0.2">
      <c r="A49" s="30" t="s">
        <v>1485</v>
      </c>
      <c r="X49" s="33"/>
      <c r="Y49" s="33"/>
      <c r="Z49" s="33"/>
      <c r="AA49" s="33"/>
      <c r="AB49" s="33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49"/>
  <sheetViews>
    <sheetView topLeftCell="A22" workbookViewId="0">
      <pane xSplit="1" topLeftCell="O1" activePane="topRight" state="frozen"/>
      <selection pane="topRight" activeCell="A50" sqref="A50"/>
    </sheetView>
  </sheetViews>
  <sheetFormatPr defaultRowHeight="12.75" x14ac:dyDescent="0.2"/>
  <cols>
    <col min="1" max="1" width="25.7109375" customWidth="1"/>
    <col min="28" max="28" width="9.140625" style="87"/>
  </cols>
  <sheetData>
    <row r="1" spans="1:28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t="s">
        <v>449</v>
      </c>
    </row>
    <row r="2" spans="1:28" x14ac:dyDescent="0.2">
      <c r="A2" t="s">
        <v>287</v>
      </c>
      <c r="B2" s="30" t="s">
        <v>899</v>
      </c>
      <c r="C2" s="30" t="s">
        <v>1001</v>
      </c>
      <c r="D2" s="30" t="s">
        <v>1002</v>
      </c>
      <c r="E2" s="30" t="s">
        <v>1003</v>
      </c>
      <c r="F2" s="30" t="s">
        <v>1004</v>
      </c>
      <c r="G2" s="30" t="s">
        <v>1005</v>
      </c>
      <c r="H2" s="30" t="s">
        <v>1006</v>
      </c>
      <c r="I2" s="30" t="s">
        <v>1007</v>
      </c>
      <c r="J2" s="30" t="s">
        <v>685</v>
      </c>
      <c r="K2" s="30" t="s">
        <v>686</v>
      </c>
      <c r="L2" s="30" t="s">
        <v>1008</v>
      </c>
      <c r="M2" s="30" t="s">
        <v>1009</v>
      </c>
      <c r="N2" s="30" t="s">
        <v>1010</v>
      </c>
      <c r="O2" s="30" t="s">
        <v>1011</v>
      </c>
      <c r="P2" s="30" t="s">
        <v>1012</v>
      </c>
      <c r="Q2" s="30" t="s">
        <v>1013</v>
      </c>
      <c r="R2" s="30" t="s">
        <v>1014</v>
      </c>
      <c r="S2" s="30" t="s">
        <v>1015</v>
      </c>
      <c r="T2" s="30" t="s">
        <v>1016</v>
      </c>
      <c r="U2" s="30" t="s">
        <v>1017</v>
      </c>
      <c r="V2" s="30" t="s">
        <v>1018</v>
      </c>
      <c r="W2" s="30" t="s">
        <v>1019</v>
      </c>
      <c r="X2" s="30" t="s">
        <v>1020</v>
      </c>
      <c r="Y2" s="30" t="s">
        <v>1021</v>
      </c>
      <c r="Z2" s="30" t="s">
        <v>1022</v>
      </c>
      <c r="AA2" t="s">
        <v>315</v>
      </c>
      <c r="AB2" s="88" t="s">
        <v>1023</v>
      </c>
    </row>
    <row r="3" spans="1:28" x14ac:dyDescent="0.2">
      <c r="A3" s="27" t="s">
        <v>1</v>
      </c>
      <c r="B3">
        <v>5</v>
      </c>
      <c r="C3">
        <v>13</v>
      </c>
      <c r="D3">
        <v>6</v>
      </c>
      <c r="E3">
        <v>14</v>
      </c>
      <c r="F3">
        <v>14</v>
      </c>
      <c r="G3">
        <v>16</v>
      </c>
      <c r="I3">
        <v>16</v>
      </c>
      <c r="J3">
        <v>10</v>
      </c>
      <c r="K3">
        <v>14</v>
      </c>
      <c r="L3">
        <v>15</v>
      </c>
      <c r="M3">
        <v>11</v>
      </c>
      <c r="N3">
        <v>19</v>
      </c>
      <c r="O3">
        <v>4</v>
      </c>
      <c r="P3">
        <v>1</v>
      </c>
      <c r="Q3">
        <v>1</v>
      </c>
      <c r="R3">
        <v>16</v>
      </c>
      <c r="S3">
        <v>9</v>
      </c>
      <c r="T3">
        <v>12</v>
      </c>
      <c r="V3">
        <v>4</v>
      </c>
      <c r="W3">
        <v>6</v>
      </c>
      <c r="X3">
        <v>1</v>
      </c>
      <c r="Y3">
        <v>1</v>
      </c>
      <c r="Z3">
        <v>19</v>
      </c>
      <c r="AA3">
        <f t="shared" ref="AA3:AA45" si="0">SUM(A3:Z3)</f>
        <v>227</v>
      </c>
      <c r="AB3" s="87">
        <f>AA3/AA46</f>
        <v>4.5210117506472816E-2</v>
      </c>
    </row>
    <row r="4" spans="1:28" x14ac:dyDescent="0.2">
      <c r="A4" s="27" t="s">
        <v>2</v>
      </c>
      <c r="R4">
        <v>1</v>
      </c>
      <c r="AA4">
        <f t="shared" si="0"/>
        <v>1</v>
      </c>
      <c r="AB4" s="87">
        <f>AA4/AA46</f>
        <v>1.9916351324437363E-4</v>
      </c>
    </row>
    <row r="5" spans="1:28" x14ac:dyDescent="0.2">
      <c r="A5" s="27" t="s">
        <v>3</v>
      </c>
      <c r="B5">
        <v>2</v>
      </c>
      <c r="C5">
        <v>1</v>
      </c>
      <c r="D5">
        <v>16</v>
      </c>
      <c r="E5">
        <v>32</v>
      </c>
      <c r="F5">
        <v>24</v>
      </c>
      <c r="G5">
        <v>20</v>
      </c>
      <c r="H5">
        <v>1</v>
      </c>
      <c r="I5">
        <v>20</v>
      </c>
      <c r="J5">
        <v>11</v>
      </c>
      <c r="K5">
        <v>9</v>
      </c>
      <c r="L5">
        <v>10</v>
      </c>
      <c r="M5">
        <v>3</v>
      </c>
      <c r="N5">
        <v>6</v>
      </c>
      <c r="R5">
        <v>2</v>
      </c>
      <c r="T5">
        <v>3</v>
      </c>
      <c r="V5">
        <v>17</v>
      </c>
      <c r="W5">
        <v>9</v>
      </c>
      <c r="Y5">
        <v>5</v>
      </c>
      <c r="Z5">
        <v>27</v>
      </c>
      <c r="AA5">
        <f t="shared" si="0"/>
        <v>218</v>
      </c>
      <c r="AB5" s="87">
        <f>AA5/AA46</f>
        <v>4.3417645887273454E-2</v>
      </c>
    </row>
    <row r="6" spans="1:28" x14ac:dyDescent="0.2">
      <c r="A6" s="27" t="s">
        <v>4</v>
      </c>
      <c r="C6">
        <v>8</v>
      </c>
      <c r="E6">
        <v>1</v>
      </c>
      <c r="F6">
        <v>5</v>
      </c>
      <c r="G6">
        <v>3</v>
      </c>
      <c r="I6">
        <v>1</v>
      </c>
      <c r="J6">
        <v>2</v>
      </c>
      <c r="K6">
        <v>7</v>
      </c>
      <c r="L6">
        <v>11</v>
      </c>
      <c r="M6">
        <v>3</v>
      </c>
      <c r="N6">
        <v>3</v>
      </c>
      <c r="O6">
        <v>1</v>
      </c>
      <c r="R6">
        <v>5</v>
      </c>
      <c r="T6">
        <v>5</v>
      </c>
      <c r="U6">
        <v>1</v>
      </c>
      <c r="W6">
        <v>2</v>
      </c>
      <c r="Z6">
        <v>2</v>
      </c>
      <c r="AA6">
        <f t="shared" si="0"/>
        <v>60</v>
      </c>
      <c r="AB6" s="87">
        <f>AA6/AA46</f>
        <v>1.1949810794662417E-2</v>
      </c>
    </row>
    <row r="7" spans="1:28" x14ac:dyDescent="0.2">
      <c r="A7" s="27" t="s">
        <v>5</v>
      </c>
      <c r="D7">
        <v>4</v>
      </c>
      <c r="E7">
        <v>2</v>
      </c>
      <c r="F7">
        <v>1</v>
      </c>
      <c r="G7">
        <v>3</v>
      </c>
      <c r="L7">
        <v>1</v>
      </c>
      <c r="N7">
        <v>1</v>
      </c>
      <c r="O7">
        <v>3</v>
      </c>
      <c r="P7">
        <v>2</v>
      </c>
      <c r="R7">
        <v>1</v>
      </c>
      <c r="U7">
        <v>1</v>
      </c>
      <c r="V7">
        <v>1</v>
      </c>
      <c r="W7">
        <v>1</v>
      </c>
      <c r="Y7">
        <v>1</v>
      </c>
      <c r="Z7">
        <v>1</v>
      </c>
      <c r="AA7">
        <f t="shared" si="0"/>
        <v>23</v>
      </c>
      <c r="AB7" s="87">
        <f>AA7/AA46</f>
        <v>4.5807608046205938E-3</v>
      </c>
    </row>
    <row r="8" spans="1:28" x14ac:dyDescent="0.2">
      <c r="A8" s="27" t="s">
        <v>6</v>
      </c>
      <c r="B8">
        <v>6</v>
      </c>
      <c r="C8">
        <v>17</v>
      </c>
      <c r="D8">
        <v>26</v>
      </c>
      <c r="E8">
        <v>49</v>
      </c>
      <c r="F8">
        <v>78</v>
      </c>
      <c r="G8">
        <v>23</v>
      </c>
      <c r="H8">
        <v>2</v>
      </c>
      <c r="I8">
        <v>51</v>
      </c>
      <c r="J8">
        <v>97</v>
      </c>
      <c r="K8">
        <v>80</v>
      </c>
      <c r="L8">
        <v>82</v>
      </c>
      <c r="M8">
        <v>48</v>
      </c>
      <c r="N8">
        <v>55</v>
      </c>
      <c r="O8">
        <v>6</v>
      </c>
      <c r="P8">
        <v>14</v>
      </c>
      <c r="R8">
        <v>20</v>
      </c>
      <c r="S8">
        <v>12</v>
      </c>
      <c r="T8">
        <v>61</v>
      </c>
      <c r="U8">
        <v>3</v>
      </c>
      <c r="V8">
        <v>5</v>
      </c>
      <c r="W8">
        <v>15</v>
      </c>
      <c r="X8">
        <v>5</v>
      </c>
      <c r="Y8">
        <v>10</v>
      </c>
      <c r="Z8">
        <v>74</v>
      </c>
      <c r="AA8">
        <f t="shared" si="0"/>
        <v>839</v>
      </c>
      <c r="AB8" s="87">
        <f>AA8/AA46</f>
        <v>0.16709818761202946</v>
      </c>
    </row>
    <row r="9" spans="1:28" x14ac:dyDescent="0.2">
      <c r="A9" s="27" t="s">
        <v>40</v>
      </c>
      <c r="B9">
        <v>1</v>
      </c>
      <c r="C9">
        <v>6</v>
      </c>
      <c r="D9">
        <v>3</v>
      </c>
      <c r="E9">
        <v>5</v>
      </c>
      <c r="F9">
        <v>5</v>
      </c>
      <c r="G9">
        <v>1</v>
      </c>
      <c r="H9">
        <v>2</v>
      </c>
      <c r="I9">
        <v>5</v>
      </c>
      <c r="J9">
        <v>5</v>
      </c>
      <c r="K9">
        <v>5</v>
      </c>
      <c r="L9">
        <v>9</v>
      </c>
      <c r="M9">
        <v>2</v>
      </c>
      <c r="V9">
        <v>2</v>
      </c>
      <c r="Z9">
        <v>3</v>
      </c>
      <c r="AA9">
        <f t="shared" si="0"/>
        <v>54</v>
      </c>
      <c r="AB9" s="87">
        <f>AA9/AA46</f>
        <v>1.0754829715196175E-2</v>
      </c>
    </row>
    <row r="10" spans="1:28" x14ac:dyDescent="0.2">
      <c r="A10" s="27" t="s">
        <v>7</v>
      </c>
      <c r="B10">
        <v>3</v>
      </c>
      <c r="C10">
        <v>6</v>
      </c>
      <c r="D10">
        <v>28</v>
      </c>
      <c r="E10">
        <v>75</v>
      </c>
      <c r="F10">
        <v>45</v>
      </c>
      <c r="G10">
        <v>31</v>
      </c>
      <c r="I10">
        <v>25</v>
      </c>
      <c r="J10">
        <v>24</v>
      </c>
      <c r="K10">
        <v>23</v>
      </c>
      <c r="L10">
        <v>91</v>
      </c>
      <c r="M10">
        <v>17</v>
      </c>
      <c r="N10">
        <v>14</v>
      </c>
      <c r="P10">
        <v>5</v>
      </c>
      <c r="Q10">
        <v>4</v>
      </c>
      <c r="R10">
        <v>6</v>
      </c>
      <c r="S10">
        <v>6</v>
      </c>
      <c r="T10">
        <v>11</v>
      </c>
      <c r="U10">
        <v>3</v>
      </c>
      <c r="V10">
        <v>19</v>
      </c>
      <c r="W10">
        <v>27</v>
      </c>
      <c r="Y10">
        <v>12</v>
      </c>
      <c r="Z10">
        <v>79</v>
      </c>
      <c r="AA10">
        <f t="shared" si="0"/>
        <v>554</v>
      </c>
      <c r="AB10" s="87">
        <f>AA10/AA46</f>
        <v>0.110336586337383</v>
      </c>
    </row>
    <row r="11" spans="1:28" x14ac:dyDescent="0.2">
      <c r="A11" s="27" t="s">
        <v>995</v>
      </c>
      <c r="AA11">
        <f t="shared" si="0"/>
        <v>0</v>
      </c>
      <c r="AB11" s="87">
        <f>AA11/AA46</f>
        <v>0</v>
      </c>
    </row>
    <row r="12" spans="1:28" x14ac:dyDescent="0.2">
      <c r="A12" s="27" t="s">
        <v>9</v>
      </c>
      <c r="B12">
        <v>1</v>
      </c>
      <c r="F12">
        <v>1</v>
      </c>
      <c r="G12">
        <v>1</v>
      </c>
      <c r="J12">
        <v>1</v>
      </c>
      <c r="K12">
        <v>1</v>
      </c>
      <c r="M12">
        <v>1</v>
      </c>
      <c r="AA12">
        <f t="shared" si="0"/>
        <v>6</v>
      </c>
      <c r="AB12" s="87">
        <f>AA12/AA46</f>
        <v>1.1949810794662419E-3</v>
      </c>
    </row>
    <row r="13" spans="1:28" x14ac:dyDescent="0.2">
      <c r="A13" s="27" t="s">
        <v>10</v>
      </c>
      <c r="B13">
        <v>2</v>
      </c>
      <c r="C13">
        <v>1</v>
      </c>
      <c r="E13">
        <v>2</v>
      </c>
      <c r="G13">
        <v>5</v>
      </c>
      <c r="H13">
        <v>3</v>
      </c>
      <c r="I13">
        <v>1</v>
      </c>
      <c r="J13">
        <v>1</v>
      </c>
      <c r="K13">
        <v>2</v>
      </c>
      <c r="L13">
        <v>1</v>
      </c>
      <c r="M13">
        <v>1</v>
      </c>
      <c r="R13">
        <v>1</v>
      </c>
      <c r="S13">
        <v>1</v>
      </c>
      <c r="T13">
        <v>2</v>
      </c>
      <c r="V13">
        <v>1</v>
      </c>
      <c r="W13">
        <v>2</v>
      </c>
      <c r="Y13">
        <v>1</v>
      </c>
      <c r="Z13">
        <v>2</v>
      </c>
      <c r="AA13">
        <f t="shared" si="0"/>
        <v>29</v>
      </c>
      <c r="AB13" s="87">
        <f>AA13/AA46</f>
        <v>5.775741884086835E-3</v>
      </c>
    </row>
    <row r="14" spans="1:28" x14ac:dyDescent="0.2">
      <c r="A14" s="27" t="s">
        <v>11</v>
      </c>
      <c r="E14">
        <v>1</v>
      </c>
      <c r="O14">
        <v>2</v>
      </c>
      <c r="X14">
        <v>1</v>
      </c>
      <c r="Y14">
        <v>2</v>
      </c>
      <c r="AA14">
        <f t="shared" si="0"/>
        <v>6</v>
      </c>
      <c r="AB14" s="87">
        <f>AA14/AA46</f>
        <v>1.1949810794662419E-3</v>
      </c>
    </row>
    <row r="15" spans="1:28" x14ac:dyDescent="0.2">
      <c r="A15" s="27" t="s">
        <v>503</v>
      </c>
      <c r="AA15">
        <f t="shared" si="0"/>
        <v>0</v>
      </c>
      <c r="AB15" s="87">
        <f>AA15/AA46</f>
        <v>0</v>
      </c>
    </row>
    <row r="16" spans="1:28" x14ac:dyDescent="0.2">
      <c r="A16" s="27" t="s">
        <v>469</v>
      </c>
      <c r="AA16">
        <f t="shared" si="0"/>
        <v>0</v>
      </c>
      <c r="AB16" s="87">
        <f>AA16/AA46</f>
        <v>0</v>
      </c>
    </row>
    <row r="17" spans="1:28" x14ac:dyDescent="0.2">
      <c r="A17" s="27" t="s">
        <v>13</v>
      </c>
      <c r="E17">
        <v>1</v>
      </c>
      <c r="L17">
        <v>1</v>
      </c>
      <c r="M17">
        <v>1</v>
      </c>
      <c r="S17">
        <v>2</v>
      </c>
      <c r="T17">
        <v>1</v>
      </c>
      <c r="X17">
        <v>1</v>
      </c>
      <c r="AA17">
        <f t="shared" si="0"/>
        <v>7</v>
      </c>
      <c r="AB17" s="87">
        <f>AA17/AA46</f>
        <v>1.3941445927106153E-3</v>
      </c>
    </row>
    <row r="18" spans="1:28" x14ac:dyDescent="0.2">
      <c r="A18" s="27" t="s">
        <v>14</v>
      </c>
      <c r="AA18">
        <f t="shared" si="0"/>
        <v>0</v>
      </c>
      <c r="AB18" s="87">
        <f>AA18/AA46</f>
        <v>0</v>
      </c>
    </row>
    <row r="19" spans="1:28" x14ac:dyDescent="0.2">
      <c r="A19" s="27" t="s">
        <v>427</v>
      </c>
      <c r="AA19">
        <f t="shared" si="0"/>
        <v>0</v>
      </c>
      <c r="AB19" s="87">
        <f>AA19/AA46</f>
        <v>0</v>
      </c>
    </row>
    <row r="20" spans="1:28" x14ac:dyDescent="0.2">
      <c r="A20" s="27" t="s">
        <v>15</v>
      </c>
      <c r="S20">
        <v>2</v>
      </c>
      <c r="AA20">
        <f t="shared" si="0"/>
        <v>2</v>
      </c>
      <c r="AB20" s="87">
        <f>AA20/AA46</f>
        <v>3.9832702648874725E-4</v>
      </c>
    </row>
    <row r="21" spans="1:28" x14ac:dyDescent="0.2">
      <c r="A21" s="27" t="s">
        <v>16</v>
      </c>
      <c r="L21">
        <v>1</v>
      </c>
      <c r="R21">
        <v>1</v>
      </c>
      <c r="AA21">
        <f t="shared" si="0"/>
        <v>2</v>
      </c>
      <c r="AB21" s="87">
        <f>AA21/AA46</f>
        <v>3.9832702648874725E-4</v>
      </c>
    </row>
    <row r="22" spans="1:28" x14ac:dyDescent="0.2">
      <c r="A22" s="27" t="s">
        <v>17</v>
      </c>
      <c r="D22">
        <v>6</v>
      </c>
      <c r="E22">
        <v>19</v>
      </c>
      <c r="F22">
        <v>6</v>
      </c>
      <c r="G22">
        <v>5</v>
      </c>
      <c r="J22">
        <v>2</v>
      </c>
      <c r="L22">
        <v>5</v>
      </c>
      <c r="M22">
        <v>1</v>
      </c>
      <c r="N22">
        <v>1</v>
      </c>
      <c r="T22">
        <v>3</v>
      </c>
      <c r="V22">
        <v>3</v>
      </c>
      <c r="W22">
        <v>1</v>
      </c>
      <c r="Y22">
        <v>2</v>
      </c>
      <c r="Z22">
        <v>8</v>
      </c>
      <c r="AA22">
        <f t="shared" si="0"/>
        <v>62</v>
      </c>
      <c r="AB22" s="87">
        <f>AA22/AA46</f>
        <v>1.2348137821151165E-2</v>
      </c>
    </row>
    <row r="23" spans="1:28" x14ac:dyDescent="0.2">
      <c r="A23" s="27" t="s">
        <v>18</v>
      </c>
      <c r="C23">
        <v>2</v>
      </c>
      <c r="D23">
        <v>1</v>
      </c>
      <c r="E23">
        <v>4</v>
      </c>
      <c r="F23">
        <v>5</v>
      </c>
      <c r="H23">
        <v>1</v>
      </c>
      <c r="I23">
        <v>3</v>
      </c>
      <c r="J23">
        <v>3</v>
      </c>
      <c r="K23">
        <v>5</v>
      </c>
      <c r="L23">
        <v>2</v>
      </c>
      <c r="N23">
        <v>3</v>
      </c>
      <c r="O23">
        <v>1</v>
      </c>
      <c r="P23">
        <v>1</v>
      </c>
      <c r="R23">
        <v>1</v>
      </c>
      <c r="V23">
        <v>3</v>
      </c>
      <c r="W23">
        <v>4</v>
      </c>
      <c r="Y23">
        <v>4</v>
      </c>
      <c r="AA23">
        <f t="shared" si="0"/>
        <v>43</v>
      </c>
      <c r="AB23" s="87">
        <f>AA23/AA46</f>
        <v>8.5640310695080657E-3</v>
      </c>
    </row>
    <row r="24" spans="1:28" x14ac:dyDescent="0.2">
      <c r="A24" s="27" t="s">
        <v>19</v>
      </c>
      <c r="B24">
        <v>4</v>
      </c>
      <c r="C24">
        <v>6</v>
      </c>
      <c r="D24">
        <v>46</v>
      </c>
      <c r="E24">
        <v>34</v>
      </c>
      <c r="F24">
        <v>45</v>
      </c>
      <c r="G24">
        <v>24</v>
      </c>
      <c r="H24">
        <v>20</v>
      </c>
      <c r="I24">
        <v>17</v>
      </c>
      <c r="J24">
        <v>13</v>
      </c>
      <c r="K24">
        <v>5</v>
      </c>
      <c r="L24">
        <v>17</v>
      </c>
      <c r="M24">
        <v>20</v>
      </c>
      <c r="N24">
        <v>9</v>
      </c>
      <c r="O24">
        <v>12</v>
      </c>
      <c r="P24">
        <v>5</v>
      </c>
      <c r="Q24">
        <v>1</v>
      </c>
      <c r="R24">
        <v>7</v>
      </c>
      <c r="S24">
        <v>1</v>
      </c>
      <c r="T24">
        <v>11</v>
      </c>
      <c r="U24">
        <v>8</v>
      </c>
      <c r="V24">
        <v>84</v>
      </c>
      <c r="W24">
        <v>90</v>
      </c>
      <c r="X24">
        <v>2</v>
      </c>
      <c r="Y24">
        <v>35</v>
      </c>
      <c r="Z24">
        <v>51</v>
      </c>
      <c r="AA24">
        <f t="shared" si="0"/>
        <v>567</v>
      </c>
      <c r="AB24" s="87">
        <f>AA24/AA46</f>
        <v>0.11292571200955985</v>
      </c>
    </row>
    <row r="25" spans="1:28" x14ac:dyDescent="0.2">
      <c r="A25" s="27" t="s">
        <v>20</v>
      </c>
      <c r="D25">
        <v>1</v>
      </c>
      <c r="F25">
        <v>1</v>
      </c>
      <c r="J25">
        <v>4</v>
      </c>
      <c r="L25">
        <v>6</v>
      </c>
      <c r="M25">
        <v>2</v>
      </c>
      <c r="P25">
        <v>1</v>
      </c>
      <c r="S25">
        <v>1</v>
      </c>
      <c r="T25">
        <v>2</v>
      </c>
      <c r="V25">
        <v>4</v>
      </c>
      <c r="W25">
        <v>1</v>
      </c>
      <c r="Y25">
        <v>15</v>
      </c>
      <c r="Z25">
        <v>6</v>
      </c>
      <c r="AA25">
        <f t="shared" si="0"/>
        <v>44</v>
      </c>
      <c r="AB25" s="87">
        <f>AA25/AA46</f>
        <v>8.7631945827524402E-3</v>
      </c>
    </row>
    <row r="26" spans="1:28" x14ac:dyDescent="0.2">
      <c r="A26" s="27" t="s">
        <v>645</v>
      </c>
      <c r="B26">
        <v>2</v>
      </c>
      <c r="C26">
        <v>8</v>
      </c>
      <c r="D26">
        <v>17</v>
      </c>
      <c r="E26">
        <v>56</v>
      </c>
      <c r="F26">
        <v>42</v>
      </c>
      <c r="G26">
        <v>17</v>
      </c>
      <c r="H26">
        <v>1</v>
      </c>
      <c r="I26">
        <v>44</v>
      </c>
      <c r="J26">
        <v>6</v>
      </c>
      <c r="K26">
        <v>28</v>
      </c>
      <c r="L26">
        <v>59</v>
      </c>
      <c r="M26">
        <v>4</v>
      </c>
      <c r="N26">
        <v>8</v>
      </c>
      <c r="O26">
        <v>1</v>
      </c>
      <c r="P26">
        <v>1</v>
      </c>
      <c r="Q26">
        <v>2</v>
      </c>
      <c r="R26">
        <v>4</v>
      </c>
      <c r="S26">
        <v>1</v>
      </c>
      <c r="T26">
        <v>4</v>
      </c>
      <c r="V26">
        <v>21</v>
      </c>
      <c r="W26">
        <v>16</v>
      </c>
      <c r="Y26">
        <v>12</v>
      </c>
      <c r="Z26">
        <v>68</v>
      </c>
      <c r="AA26">
        <f t="shared" si="0"/>
        <v>422</v>
      </c>
      <c r="AB26" s="87">
        <f>AA26/AA46</f>
        <v>8.4047002589125674E-2</v>
      </c>
    </row>
    <row r="27" spans="1:28" x14ac:dyDescent="0.2">
      <c r="A27" s="27" t="s">
        <v>200</v>
      </c>
      <c r="B27">
        <v>13</v>
      </c>
      <c r="C27">
        <v>24</v>
      </c>
      <c r="D27">
        <v>10</v>
      </c>
      <c r="E27">
        <v>18</v>
      </c>
      <c r="F27">
        <v>25</v>
      </c>
      <c r="G27">
        <v>15</v>
      </c>
      <c r="I27">
        <v>27</v>
      </c>
      <c r="J27">
        <v>15</v>
      </c>
      <c r="K27">
        <v>20</v>
      </c>
      <c r="L27">
        <v>38</v>
      </c>
      <c r="M27">
        <v>16</v>
      </c>
      <c r="N27">
        <v>9</v>
      </c>
      <c r="O27">
        <v>7</v>
      </c>
      <c r="R27">
        <v>1</v>
      </c>
      <c r="S27">
        <v>1</v>
      </c>
      <c r="T27">
        <v>5</v>
      </c>
      <c r="V27">
        <v>9</v>
      </c>
      <c r="W27">
        <v>13</v>
      </c>
      <c r="Y27">
        <v>5</v>
      </c>
      <c r="Z27">
        <v>20</v>
      </c>
      <c r="AA27">
        <f t="shared" si="0"/>
        <v>291</v>
      </c>
      <c r="AB27" s="87">
        <f>AA27/AA46</f>
        <v>5.7956582354112725E-2</v>
      </c>
    </row>
    <row r="28" spans="1:28" x14ac:dyDescent="0.2">
      <c r="A28" s="27" t="s">
        <v>435</v>
      </c>
      <c r="D28">
        <v>16</v>
      </c>
      <c r="E28">
        <v>36</v>
      </c>
      <c r="F28">
        <v>13</v>
      </c>
      <c r="G28">
        <v>9</v>
      </c>
      <c r="I28">
        <v>23</v>
      </c>
      <c r="J28">
        <v>12</v>
      </c>
      <c r="K28">
        <v>9</v>
      </c>
      <c r="L28">
        <v>32</v>
      </c>
      <c r="M28">
        <v>2</v>
      </c>
      <c r="N28">
        <v>6</v>
      </c>
      <c r="O28">
        <v>2</v>
      </c>
      <c r="Q28">
        <v>1</v>
      </c>
      <c r="R28">
        <v>2</v>
      </c>
      <c r="V28">
        <v>12</v>
      </c>
      <c r="W28">
        <v>9</v>
      </c>
      <c r="Z28">
        <v>22</v>
      </c>
      <c r="AA28">
        <f t="shared" si="0"/>
        <v>206</v>
      </c>
      <c r="AB28" s="87">
        <f>AA28/AA46</f>
        <v>4.1027683728340966E-2</v>
      </c>
    </row>
    <row r="29" spans="1:28" x14ac:dyDescent="0.2">
      <c r="A29" s="27" t="s">
        <v>22</v>
      </c>
      <c r="O29">
        <v>2</v>
      </c>
      <c r="S29">
        <v>4</v>
      </c>
      <c r="AA29">
        <f t="shared" si="0"/>
        <v>6</v>
      </c>
      <c r="AB29" s="87">
        <f>AA29/AA46</f>
        <v>1.1949810794662419E-3</v>
      </c>
    </row>
    <row r="30" spans="1:28" x14ac:dyDescent="0.2">
      <c r="A30" s="27" t="s">
        <v>23</v>
      </c>
      <c r="C30">
        <v>3</v>
      </c>
      <c r="D30">
        <v>2</v>
      </c>
      <c r="E30">
        <v>1</v>
      </c>
      <c r="G30">
        <v>2</v>
      </c>
      <c r="J30">
        <v>5</v>
      </c>
      <c r="K30">
        <v>3</v>
      </c>
      <c r="L30">
        <v>3</v>
      </c>
      <c r="N30">
        <v>1</v>
      </c>
      <c r="P30">
        <v>1</v>
      </c>
      <c r="T30">
        <v>1</v>
      </c>
      <c r="V30">
        <v>2</v>
      </c>
      <c r="W30">
        <v>1</v>
      </c>
      <c r="Z30">
        <v>1</v>
      </c>
      <c r="AA30">
        <f t="shared" si="0"/>
        <v>26</v>
      </c>
      <c r="AB30" s="87">
        <f>AA30/AA46</f>
        <v>5.178251344353714E-3</v>
      </c>
    </row>
    <row r="31" spans="1:28" x14ac:dyDescent="0.2">
      <c r="A31" s="27" t="s">
        <v>214</v>
      </c>
      <c r="G31">
        <v>1</v>
      </c>
      <c r="AA31">
        <f t="shared" si="0"/>
        <v>1</v>
      </c>
      <c r="AB31" s="87">
        <f>AA31/AA46</f>
        <v>1.9916351324437363E-4</v>
      </c>
    </row>
    <row r="32" spans="1:28" x14ac:dyDescent="0.2">
      <c r="A32" s="27" t="s">
        <v>194</v>
      </c>
      <c r="F32">
        <v>1</v>
      </c>
      <c r="M32">
        <v>1</v>
      </c>
      <c r="AA32">
        <f t="shared" si="0"/>
        <v>2</v>
      </c>
      <c r="AB32" s="87">
        <f>AA32/AA46</f>
        <v>3.9832702648874725E-4</v>
      </c>
    </row>
    <row r="33" spans="1:28" x14ac:dyDescent="0.2">
      <c r="A33" s="27" t="s">
        <v>195</v>
      </c>
      <c r="C33">
        <v>1</v>
      </c>
      <c r="D33">
        <v>1</v>
      </c>
      <c r="F33">
        <v>1</v>
      </c>
      <c r="I33">
        <v>1</v>
      </c>
      <c r="N33">
        <v>2</v>
      </c>
      <c r="AA33">
        <f t="shared" si="0"/>
        <v>6</v>
      </c>
      <c r="AB33" s="87">
        <f>AA33/AA46</f>
        <v>1.1949810794662419E-3</v>
      </c>
    </row>
    <row r="34" spans="1:28" x14ac:dyDescent="0.2">
      <c r="A34" s="27" t="s">
        <v>25</v>
      </c>
      <c r="B34">
        <v>9</v>
      </c>
      <c r="C34">
        <v>10</v>
      </c>
      <c r="F34">
        <v>3</v>
      </c>
      <c r="G34">
        <v>67</v>
      </c>
      <c r="I34">
        <v>1</v>
      </c>
      <c r="J34">
        <v>22</v>
      </c>
      <c r="K34">
        <v>12</v>
      </c>
      <c r="L34">
        <v>21</v>
      </c>
      <c r="M34">
        <v>15</v>
      </c>
      <c r="N34">
        <v>11</v>
      </c>
      <c r="O34">
        <v>2</v>
      </c>
      <c r="R34">
        <v>6</v>
      </c>
      <c r="S34">
        <v>3</v>
      </c>
      <c r="T34">
        <v>9</v>
      </c>
      <c r="U34">
        <v>2</v>
      </c>
      <c r="V34">
        <v>2</v>
      </c>
      <c r="Z34">
        <v>1</v>
      </c>
      <c r="AA34">
        <f t="shared" si="0"/>
        <v>196</v>
      </c>
      <c r="AB34" s="87">
        <f>AA34/AA46</f>
        <v>3.9036048595897231E-2</v>
      </c>
    </row>
    <row r="35" spans="1:28" x14ac:dyDescent="0.2">
      <c r="A35" s="27" t="s">
        <v>646</v>
      </c>
      <c r="C35">
        <v>1</v>
      </c>
      <c r="F35">
        <v>4</v>
      </c>
      <c r="G35">
        <v>2</v>
      </c>
      <c r="I35">
        <v>4</v>
      </c>
      <c r="V35">
        <v>1</v>
      </c>
      <c r="W35">
        <v>1</v>
      </c>
      <c r="Y35">
        <v>1</v>
      </c>
      <c r="Z35">
        <v>3</v>
      </c>
      <c r="AA35">
        <f t="shared" si="0"/>
        <v>17</v>
      </c>
      <c r="AB35" s="87">
        <f>AA35/AA46</f>
        <v>3.3857797251543517E-3</v>
      </c>
    </row>
    <row r="36" spans="1:28" x14ac:dyDescent="0.2">
      <c r="A36" s="27" t="s">
        <v>26</v>
      </c>
      <c r="D36">
        <v>1</v>
      </c>
      <c r="E36">
        <v>5</v>
      </c>
      <c r="K36">
        <v>3</v>
      </c>
      <c r="L36">
        <v>1</v>
      </c>
      <c r="AA36">
        <f t="shared" si="0"/>
        <v>10</v>
      </c>
      <c r="AB36" s="87">
        <f>AA36/AA46</f>
        <v>1.9916351324437364E-3</v>
      </c>
    </row>
    <row r="37" spans="1:28" x14ac:dyDescent="0.2">
      <c r="A37" s="27" t="s">
        <v>27</v>
      </c>
      <c r="B37">
        <v>31</v>
      </c>
      <c r="C37">
        <v>35</v>
      </c>
      <c r="D37">
        <v>91</v>
      </c>
      <c r="E37">
        <v>89</v>
      </c>
      <c r="F37">
        <v>69</v>
      </c>
      <c r="G37">
        <v>48</v>
      </c>
      <c r="H37">
        <v>16</v>
      </c>
      <c r="I37">
        <v>62</v>
      </c>
      <c r="J37">
        <v>29</v>
      </c>
      <c r="K37">
        <v>30</v>
      </c>
      <c r="L37">
        <v>53</v>
      </c>
      <c r="M37">
        <v>47</v>
      </c>
      <c r="N37">
        <v>31</v>
      </c>
      <c r="O37">
        <v>37</v>
      </c>
      <c r="P37">
        <v>17</v>
      </c>
      <c r="Q37">
        <v>8</v>
      </c>
      <c r="R37">
        <v>19</v>
      </c>
      <c r="S37">
        <v>14</v>
      </c>
      <c r="T37">
        <v>25</v>
      </c>
      <c r="U37">
        <v>13</v>
      </c>
      <c r="V37">
        <v>45</v>
      </c>
      <c r="W37">
        <v>64</v>
      </c>
      <c r="X37">
        <v>6</v>
      </c>
      <c r="Y37">
        <v>49</v>
      </c>
      <c r="Z37">
        <v>93</v>
      </c>
      <c r="AA37">
        <f t="shared" si="0"/>
        <v>1021</v>
      </c>
      <c r="AB37" s="87">
        <f>AA37/AA46</f>
        <v>0.20334594702250547</v>
      </c>
    </row>
    <row r="38" spans="1:28" x14ac:dyDescent="0.2">
      <c r="A38" s="27" t="s">
        <v>28</v>
      </c>
      <c r="AA38">
        <f t="shared" si="0"/>
        <v>0</v>
      </c>
      <c r="AB38" s="87">
        <f>AA38/AA46</f>
        <v>0</v>
      </c>
    </row>
    <row r="39" spans="1:28" x14ac:dyDescent="0.2">
      <c r="A39" s="27" t="s">
        <v>29</v>
      </c>
      <c r="E39">
        <v>1</v>
      </c>
      <c r="T39">
        <v>2</v>
      </c>
      <c r="Z39">
        <v>2</v>
      </c>
      <c r="AA39">
        <f t="shared" si="0"/>
        <v>5</v>
      </c>
      <c r="AB39" s="87">
        <f>AA39/AA46</f>
        <v>9.9581756622186819E-4</v>
      </c>
    </row>
    <row r="40" spans="1:28" x14ac:dyDescent="0.2">
      <c r="A40" s="27" t="s">
        <v>30</v>
      </c>
      <c r="AA40">
        <f t="shared" si="0"/>
        <v>0</v>
      </c>
      <c r="AB40" s="87">
        <f>AA40/AA46</f>
        <v>0</v>
      </c>
    </row>
    <row r="41" spans="1:28" x14ac:dyDescent="0.2">
      <c r="A41" s="27" t="s">
        <v>442</v>
      </c>
      <c r="AA41">
        <f t="shared" si="0"/>
        <v>0</v>
      </c>
      <c r="AB41" s="87">
        <f>AA41/AA46</f>
        <v>0</v>
      </c>
    </row>
    <row r="42" spans="1:28" x14ac:dyDescent="0.2">
      <c r="A42" s="27" t="s">
        <v>31</v>
      </c>
      <c r="F42">
        <v>1</v>
      </c>
      <c r="K42">
        <v>1</v>
      </c>
      <c r="M42">
        <v>1</v>
      </c>
      <c r="P42">
        <v>2</v>
      </c>
      <c r="R42">
        <v>1</v>
      </c>
      <c r="S42">
        <v>8</v>
      </c>
      <c r="U42">
        <v>1</v>
      </c>
      <c r="X42">
        <v>2</v>
      </c>
      <c r="Y42">
        <v>1</v>
      </c>
      <c r="Z42">
        <v>4</v>
      </c>
      <c r="AA42">
        <f t="shared" si="0"/>
        <v>22</v>
      </c>
      <c r="AB42" s="87">
        <f>AA42/AA46</f>
        <v>4.3815972913762201E-3</v>
      </c>
    </row>
    <row r="43" spans="1:28" x14ac:dyDescent="0.2">
      <c r="A43" s="27" t="s">
        <v>32</v>
      </c>
      <c r="K43">
        <v>1</v>
      </c>
      <c r="T43">
        <v>1</v>
      </c>
      <c r="AA43">
        <f t="shared" si="0"/>
        <v>2</v>
      </c>
      <c r="AB43" s="87">
        <f>AA43/AA46</f>
        <v>3.9832702648874725E-4</v>
      </c>
    </row>
    <row r="44" spans="1:28" x14ac:dyDescent="0.2">
      <c r="A44" s="27" t="s">
        <v>33</v>
      </c>
      <c r="B44">
        <v>1</v>
      </c>
      <c r="C44">
        <v>2</v>
      </c>
      <c r="D44">
        <v>1</v>
      </c>
      <c r="E44">
        <v>3</v>
      </c>
      <c r="F44">
        <v>1</v>
      </c>
      <c r="G44">
        <v>2</v>
      </c>
      <c r="H44">
        <v>1</v>
      </c>
      <c r="I44">
        <v>3</v>
      </c>
      <c r="J44">
        <v>4</v>
      </c>
      <c r="K44">
        <v>2</v>
      </c>
      <c r="L44">
        <v>1</v>
      </c>
      <c r="O44">
        <v>2</v>
      </c>
      <c r="P44">
        <v>2</v>
      </c>
      <c r="R44">
        <v>4</v>
      </c>
      <c r="S44">
        <v>2</v>
      </c>
      <c r="T44">
        <v>4</v>
      </c>
      <c r="U44">
        <v>1</v>
      </c>
      <c r="V44">
        <v>3</v>
      </c>
      <c r="W44">
        <v>2</v>
      </c>
      <c r="X44">
        <v>1</v>
      </c>
      <c r="Y44">
        <v>2</v>
      </c>
      <c r="AA44">
        <f t="shared" si="0"/>
        <v>44</v>
      </c>
      <c r="AB44" s="87">
        <f>AA44/AA46</f>
        <v>8.7631945827524402E-3</v>
      </c>
    </row>
    <row r="45" spans="1:28" x14ac:dyDescent="0.2">
      <c r="A45" s="27" t="s">
        <v>36</v>
      </c>
      <c r="AA45">
        <f t="shared" si="0"/>
        <v>0</v>
      </c>
      <c r="AB45" s="87">
        <f>AA45/AA46</f>
        <v>0</v>
      </c>
    </row>
    <row r="46" spans="1:28" x14ac:dyDescent="0.2">
      <c r="A46" s="30" t="s">
        <v>344</v>
      </c>
      <c r="B46">
        <f t="shared" ref="B46:H46" si="1">SUM(B3:B45)</f>
        <v>80</v>
      </c>
      <c r="C46">
        <f t="shared" si="1"/>
        <v>144</v>
      </c>
      <c r="D46">
        <f t="shared" si="1"/>
        <v>276</v>
      </c>
      <c r="E46">
        <f t="shared" si="1"/>
        <v>448</v>
      </c>
      <c r="F46">
        <f t="shared" si="1"/>
        <v>390</v>
      </c>
      <c r="G46">
        <f t="shared" si="1"/>
        <v>295</v>
      </c>
      <c r="H46">
        <f t="shared" si="1"/>
        <v>47</v>
      </c>
      <c r="I46">
        <f t="shared" ref="I46:Z46" si="2">SUM(I3:I45)</f>
        <v>304</v>
      </c>
      <c r="J46">
        <f t="shared" si="2"/>
        <v>266</v>
      </c>
      <c r="K46">
        <f t="shared" si="2"/>
        <v>260</v>
      </c>
      <c r="L46">
        <f t="shared" si="2"/>
        <v>460</v>
      </c>
      <c r="M46">
        <f t="shared" si="2"/>
        <v>196</v>
      </c>
      <c r="N46">
        <f t="shared" si="2"/>
        <v>179</v>
      </c>
      <c r="O46">
        <f>SUM(O3:O45)</f>
        <v>82</v>
      </c>
      <c r="P46">
        <f t="shared" si="2"/>
        <v>52</v>
      </c>
      <c r="Q46">
        <f t="shared" si="2"/>
        <v>17</v>
      </c>
      <c r="R46">
        <f t="shared" si="2"/>
        <v>98</v>
      </c>
      <c r="S46">
        <f t="shared" si="2"/>
        <v>67</v>
      </c>
      <c r="T46">
        <f t="shared" si="2"/>
        <v>162</v>
      </c>
      <c r="U46">
        <f t="shared" si="2"/>
        <v>33</v>
      </c>
      <c r="V46">
        <f t="shared" si="2"/>
        <v>238</v>
      </c>
      <c r="W46">
        <f t="shared" si="2"/>
        <v>264</v>
      </c>
      <c r="X46">
        <f t="shared" si="2"/>
        <v>19</v>
      </c>
      <c r="Y46">
        <f t="shared" si="2"/>
        <v>158</v>
      </c>
      <c r="Z46">
        <f t="shared" si="2"/>
        <v>486</v>
      </c>
      <c r="AA46">
        <f>SUM(AA3:AA45)</f>
        <v>5021</v>
      </c>
      <c r="AB46" s="87">
        <f>SUM(AB3:AB45)</f>
        <v>1</v>
      </c>
    </row>
    <row r="49" spans="1:1" x14ac:dyDescent="0.2">
      <c r="A49" s="27" t="s">
        <v>1486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49"/>
  <sheetViews>
    <sheetView topLeftCell="A37" workbookViewId="0">
      <pane xSplit="1" topLeftCell="E1" activePane="topRight" state="frozen"/>
      <selection pane="topRight" activeCell="A51" sqref="A51"/>
    </sheetView>
  </sheetViews>
  <sheetFormatPr defaultRowHeight="12.75" x14ac:dyDescent="0.2"/>
  <cols>
    <col min="1" max="1" width="25.7109375" customWidth="1"/>
    <col min="2" max="2" width="9.140625" customWidth="1"/>
  </cols>
  <sheetData>
    <row r="1" spans="1:28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t="s">
        <v>449</v>
      </c>
      <c r="AB1" s="87"/>
    </row>
    <row r="2" spans="1:28" x14ac:dyDescent="0.2">
      <c r="A2" s="30" t="s">
        <v>287</v>
      </c>
      <c r="B2" s="70" t="s">
        <v>1026</v>
      </c>
      <c r="C2" s="70" t="s">
        <v>1027</v>
      </c>
      <c r="D2" s="70" t="s">
        <v>1028</v>
      </c>
      <c r="E2" s="70" t="s">
        <v>1029</v>
      </c>
      <c r="F2" s="70" t="s">
        <v>1030</v>
      </c>
      <c r="G2" s="70" t="s">
        <v>458</v>
      </c>
      <c r="H2" s="70" t="s">
        <v>1031</v>
      </c>
      <c r="I2" s="70" t="s">
        <v>1032</v>
      </c>
      <c r="J2" s="70" t="s">
        <v>1033</v>
      </c>
      <c r="K2" s="70" t="s">
        <v>1034</v>
      </c>
      <c r="L2" s="70" t="s">
        <v>685</v>
      </c>
      <c r="M2" s="70" t="s">
        <v>1035</v>
      </c>
      <c r="N2" s="70" t="s">
        <v>1036</v>
      </c>
      <c r="O2" s="70" t="s">
        <v>1037</v>
      </c>
      <c r="P2" s="70" t="s">
        <v>1038</v>
      </c>
      <c r="Q2" s="70" t="s">
        <v>1039</v>
      </c>
      <c r="R2" s="70" t="s">
        <v>692</v>
      </c>
      <c r="S2" s="70" t="s">
        <v>1040</v>
      </c>
      <c r="T2" s="70" t="s">
        <v>1041</v>
      </c>
      <c r="U2" s="70" t="s">
        <v>1042</v>
      </c>
      <c r="V2" s="70" t="s">
        <v>1043</v>
      </c>
      <c r="W2" s="70" t="s">
        <v>694</v>
      </c>
      <c r="X2" s="70" t="s">
        <v>1044</v>
      </c>
      <c r="Y2" s="70" t="s">
        <v>1045</v>
      </c>
      <c r="Z2" s="70" t="s">
        <v>1046</v>
      </c>
      <c r="AA2" s="70" t="s">
        <v>315</v>
      </c>
      <c r="AB2" s="70" t="s">
        <v>1023</v>
      </c>
    </row>
    <row r="3" spans="1:28" x14ac:dyDescent="0.2">
      <c r="A3" s="27" t="s">
        <v>1</v>
      </c>
      <c r="B3">
        <v>1</v>
      </c>
      <c r="C3">
        <v>7</v>
      </c>
      <c r="D3">
        <v>8</v>
      </c>
      <c r="E3">
        <v>2</v>
      </c>
      <c r="F3">
        <v>2</v>
      </c>
      <c r="G3">
        <v>3</v>
      </c>
      <c r="H3">
        <v>6</v>
      </c>
      <c r="J3">
        <v>5</v>
      </c>
      <c r="K3">
        <v>12</v>
      </c>
      <c r="L3">
        <v>23</v>
      </c>
      <c r="M3">
        <v>28</v>
      </c>
      <c r="N3">
        <v>15</v>
      </c>
      <c r="O3">
        <v>19</v>
      </c>
      <c r="P3">
        <v>4</v>
      </c>
      <c r="Q3">
        <v>9</v>
      </c>
      <c r="R3">
        <v>20</v>
      </c>
      <c r="S3">
        <v>1</v>
      </c>
      <c r="T3">
        <v>19</v>
      </c>
      <c r="U3">
        <v>15</v>
      </c>
      <c r="V3">
        <v>6</v>
      </c>
      <c r="W3">
        <v>2</v>
      </c>
      <c r="X3">
        <v>8</v>
      </c>
      <c r="Y3">
        <v>4</v>
      </c>
      <c r="AA3">
        <f t="shared" ref="AA3:AA44" si="0">SUM(B3:Z3)</f>
        <v>219</v>
      </c>
    </row>
    <row r="4" spans="1:28" x14ac:dyDescent="0.2">
      <c r="A4" s="27" t="s">
        <v>2</v>
      </c>
      <c r="AA4">
        <f t="shared" si="0"/>
        <v>0</v>
      </c>
    </row>
    <row r="5" spans="1:28" x14ac:dyDescent="0.2">
      <c r="A5" s="27" t="s">
        <v>3</v>
      </c>
      <c r="B5">
        <v>11</v>
      </c>
      <c r="C5">
        <v>12</v>
      </c>
      <c r="D5">
        <v>12</v>
      </c>
      <c r="E5">
        <v>3</v>
      </c>
      <c r="F5">
        <v>3</v>
      </c>
      <c r="G5">
        <v>7</v>
      </c>
      <c r="H5">
        <v>8</v>
      </c>
      <c r="J5">
        <v>3</v>
      </c>
      <c r="K5">
        <v>11</v>
      </c>
      <c r="L5">
        <v>5</v>
      </c>
      <c r="M5">
        <v>5</v>
      </c>
      <c r="N5">
        <v>9</v>
      </c>
      <c r="O5">
        <v>13</v>
      </c>
      <c r="P5">
        <v>2</v>
      </c>
      <c r="Q5">
        <v>7</v>
      </c>
      <c r="R5">
        <v>10</v>
      </c>
      <c r="S5">
        <v>6</v>
      </c>
      <c r="T5">
        <v>12</v>
      </c>
      <c r="U5">
        <v>11</v>
      </c>
      <c r="V5">
        <v>6</v>
      </c>
      <c r="X5">
        <v>2</v>
      </c>
      <c r="Y5">
        <v>1</v>
      </c>
      <c r="Z5">
        <v>4</v>
      </c>
      <c r="AA5">
        <f t="shared" si="0"/>
        <v>163</v>
      </c>
    </row>
    <row r="6" spans="1:28" x14ac:dyDescent="0.2">
      <c r="A6" s="27" t="s">
        <v>4</v>
      </c>
      <c r="E6">
        <v>3</v>
      </c>
      <c r="F6">
        <v>1</v>
      </c>
      <c r="H6">
        <v>2</v>
      </c>
      <c r="L6">
        <v>1</v>
      </c>
      <c r="M6">
        <v>4</v>
      </c>
      <c r="N6">
        <v>10</v>
      </c>
      <c r="O6">
        <v>13</v>
      </c>
      <c r="Q6">
        <v>3</v>
      </c>
      <c r="T6">
        <v>8</v>
      </c>
      <c r="U6">
        <v>5</v>
      </c>
      <c r="V6">
        <v>1</v>
      </c>
      <c r="X6">
        <v>3</v>
      </c>
      <c r="AA6">
        <f t="shared" si="0"/>
        <v>54</v>
      </c>
    </row>
    <row r="7" spans="1:28" x14ac:dyDescent="0.2">
      <c r="A7" s="27" t="s">
        <v>5</v>
      </c>
      <c r="B7">
        <v>1</v>
      </c>
      <c r="C7">
        <v>4</v>
      </c>
      <c r="D7">
        <v>2</v>
      </c>
      <c r="E7">
        <v>6</v>
      </c>
      <c r="F7">
        <v>10</v>
      </c>
      <c r="G7">
        <v>2</v>
      </c>
      <c r="I7">
        <v>1</v>
      </c>
      <c r="K7">
        <v>6</v>
      </c>
      <c r="L7">
        <v>2</v>
      </c>
      <c r="M7">
        <v>9</v>
      </c>
      <c r="N7">
        <v>1</v>
      </c>
      <c r="O7">
        <v>3</v>
      </c>
      <c r="R7">
        <v>6</v>
      </c>
      <c r="S7">
        <v>1</v>
      </c>
      <c r="T7">
        <v>4</v>
      </c>
      <c r="U7">
        <v>2</v>
      </c>
      <c r="V7">
        <v>5</v>
      </c>
      <c r="AA7">
        <f t="shared" si="0"/>
        <v>65</v>
      </c>
    </row>
    <row r="8" spans="1:28" x14ac:dyDescent="0.2">
      <c r="A8" s="27" t="s">
        <v>6</v>
      </c>
      <c r="B8">
        <v>17</v>
      </c>
      <c r="C8">
        <v>66</v>
      </c>
      <c r="D8">
        <v>67</v>
      </c>
      <c r="E8">
        <v>44</v>
      </c>
      <c r="F8">
        <v>14</v>
      </c>
      <c r="G8">
        <v>77</v>
      </c>
      <c r="H8">
        <v>121</v>
      </c>
      <c r="I8">
        <v>4</v>
      </c>
      <c r="J8">
        <v>23</v>
      </c>
      <c r="K8">
        <v>94</v>
      </c>
      <c r="L8">
        <v>12</v>
      </c>
      <c r="M8">
        <v>113</v>
      </c>
      <c r="N8">
        <v>75</v>
      </c>
      <c r="O8">
        <v>78</v>
      </c>
      <c r="P8">
        <v>55</v>
      </c>
      <c r="Q8">
        <v>72</v>
      </c>
      <c r="R8">
        <v>73</v>
      </c>
      <c r="S8">
        <v>35</v>
      </c>
      <c r="T8">
        <v>74</v>
      </c>
      <c r="U8">
        <v>86</v>
      </c>
      <c r="V8">
        <v>69</v>
      </c>
      <c r="W8">
        <v>1</v>
      </c>
      <c r="X8">
        <v>33</v>
      </c>
      <c r="Y8">
        <v>11</v>
      </c>
      <c r="Z8">
        <v>7</v>
      </c>
      <c r="AA8">
        <f t="shared" si="0"/>
        <v>1321</v>
      </c>
    </row>
    <row r="9" spans="1:28" x14ac:dyDescent="0.2">
      <c r="A9" s="27" t="s">
        <v>40</v>
      </c>
      <c r="C9">
        <v>1</v>
      </c>
      <c r="G9">
        <v>1</v>
      </c>
      <c r="H9">
        <v>3</v>
      </c>
      <c r="K9">
        <v>1</v>
      </c>
      <c r="M9">
        <v>1</v>
      </c>
      <c r="N9">
        <v>1</v>
      </c>
      <c r="O9">
        <v>4</v>
      </c>
      <c r="P9">
        <v>3</v>
      </c>
      <c r="Q9">
        <v>2</v>
      </c>
      <c r="R9">
        <v>1</v>
      </c>
      <c r="T9">
        <v>1</v>
      </c>
      <c r="U9">
        <v>4</v>
      </c>
      <c r="X9">
        <v>4</v>
      </c>
      <c r="AA9">
        <f t="shared" si="0"/>
        <v>27</v>
      </c>
    </row>
    <row r="10" spans="1:28" x14ac:dyDescent="0.2">
      <c r="A10" s="27" t="s">
        <v>7</v>
      </c>
      <c r="B10">
        <v>8</v>
      </c>
      <c r="C10">
        <v>26</v>
      </c>
      <c r="D10">
        <v>38</v>
      </c>
      <c r="F10">
        <v>3</v>
      </c>
      <c r="G10">
        <v>13</v>
      </c>
      <c r="H10">
        <v>4</v>
      </c>
      <c r="I10">
        <v>1</v>
      </c>
      <c r="J10">
        <v>6</v>
      </c>
      <c r="K10">
        <v>6</v>
      </c>
      <c r="L10">
        <v>2</v>
      </c>
      <c r="M10">
        <v>61</v>
      </c>
      <c r="N10">
        <v>45</v>
      </c>
      <c r="O10">
        <v>60</v>
      </c>
      <c r="P10">
        <v>6</v>
      </c>
      <c r="Q10">
        <v>27</v>
      </c>
      <c r="R10">
        <v>28</v>
      </c>
      <c r="S10">
        <v>27</v>
      </c>
      <c r="T10">
        <v>31</v>
      </c>
      <c r="U10">
        <v>32</v>
      </c>
      <c r="V10">
        <v>16</v>
      </c>
      <c r="X10">
        <v>6</v>
      </c>
      <c r="Y10">
        <v>2</v>
      </c>
      <c r="Z10">
        <v>2</v>
      </c>
      <c r="AA10">
        <f t="shared" si="0"/>
        <v>450</v>
      </c>
    </row>
    <row r="11" spans="1:28" x14ac:dyDescent="0.2">
      <c r="A11" s="27" t="s">
        <v>995</v>
      </c>
      <c r="AA11">
        <f t="shared" si="0"/>
        <v>0</v>
      </c>
    </row>
    <row r="12" spans="1:28" x14ac:dyDescent="0.2">
      <c r="A12" s="27" t="s">
        <v>9</v>
      </c>
      <c r="E12">
        <v>1</v>
      </c>
      <c r="M12">
        <v>1</v>
      </c>
      <c r="V12">
        <v>1</v>
      </c>
      <c r="AA12">
        <f t="shared" si="0"/>
        <v>3</v>
      </c>
    </row>
    <row r="13" spans="1:28" x14ac:dyDescent="0.2">
      <c r="A13" s="27" t="s">
        <v>10</v>
      </c>
      <c r="C13">
        <v>1</v>
      </c>
      <c r="D13">
        <v>1</v>
      </c>
      <c r="E13">
        <v>1</v>
      </c>
      <c r="F13">
        <v>3</v>
      </c>
      <c r="H13">
        <v>2</v>
      </c>
      <c r="K13">
        <v>3</v>
      </c>
      <c r="M13">
        <v>2</v>
      </c>
      <c r="N13">
        <v>1</v>
      </c>
      <c r="O13">
        <v>1</v>
      </c>
      <c r="P13">
        <v>3</v>
      </c>
      <c r="Q13">
        <v>1</v>
      </c>
      <c r="S13">
        <v>1</v>
      </c>
      <c r="U13">
        <v>1</v>
      </c>
      <c r="W13">
        <v>2</v>
      </c>
      <c r="Y13">
        <v>1</v>
      </c>
      <c r="AA13">
        <f t="shared" si="0"/>
        <v>24</v>
      </c>
    </row>
    <row r="14" spans="1:28" x14ac:dyDescent="0.2">
      <c r="A14" s="27" t="s">
        <v>11</v>
      </c>
      <c r="N14">
        <v>1</v>
      </c>
      <c r="S14">
        <v>1</v>
      </c>
      <c r="W14">
        <v>1</v>
      </c>
      <c r="AA14">
        <f t="shared" si="0"/>
        <v>3</v>
      </c>
    </row>
    <row r="15" spans="1:28" x14ac:dyDescent="0.2">
      <c r="A15" s="27" t="s">
        <v>503</v>
      </c>
      <c r="AA15">
        <f t="shared" si="0"/>
        <v>0</v>
      </c>
    </row>
    <row r="16" spans="1:28" x14ac:dyDescent="0.2">
      <c r="A16" s="27" t="s">
        <v>469</v>
      </c>
      <c r="AA16">
        <f t="shared" si="0"/>
        <v>0</v>
      </c>
    </row>
    <row r="17" spans="1:27" x14ac:dyDescent="0.2">
      <c r="A17" s="27" t="s">
        <v>13</v>
      </c>
      <c r="G17">
        <v>1</v>
      </c>
      <c r="V17">
        <v>1</v>
      </c>
      <c r="Y17">
        <v>1</v>
      </c>
      <c r="AA17">
        <f t="shared" si="0"/>
        <v>3</v>
      </c>
    </row>
    <row r="18" spans="1:27" x14ac:dyDescent="0.2">
      <c r="A18" s="27" t="s">
        <v>14</v>
      </c>
      <c r="AA18">
        <f t="shared" si="0"/>
        <v>0</v>
      </c>
    </row>
    <row r="19" spans="1:27" x14ac:dyDescent="0.2">
      <c r="A19" s="27" t="s">
        <v>427</v>
      </c>
      <c r="AA19">
        <f t="shared" si="0"/>
        <v>0</v>
      </c>
    </row>
    <row r="20" spans="1:27" x14ac:dyDescent="0.2">
      <c r="A20" s="27" t="s">
        <v>15</v>
      </c>
      <c r="S20">
        <v>1</v>
      </c>
      <c r="AA20">
        <f t="shared" si="0"/>
        <v>1</v>
      </c>
    </row>
    <row r="21" spans="1:27" x14ac:dyDescent="0.2">
      <c r="A21" s="27" t="s">
        <v>16</v>
      </c>
      <c r="K21">
        <v>1</v>
      </c>
      <c r="M21">
        <v>1</v>
      </c>
      <c r="Z21">
        <v>1</v>
      </c>
      <c r="AA21">
        <f t="shared" si="0"/>
        <v>3</v>
      </c>
    </row>
    <row r="22" spans="1:27" x14ac:dyDescent="0.2">
      <c r="A22" s="27" t="s">
        <v>17</v>
      </c>
      <c r="B22">
        <v>1</v>
      </c>
      <c r="C22">
        <v>7</v>
      </c>
      <c r="D22">
        <v>10</v>
      </c>
      <c r="E22">
        <v>1</v>
      </c>
      <c r="F22">
        <v>1</v>
      </c>
      <c r="G22">
        <v>3</v>
      </c>
      <c r="H22">
        <v>2</v>
      </c>
      <c r="J22">
        <v>1</v>
      </c>
      <c r="K22">
        <v>6</v>
      </c>
      <c r="M22">
        <v>7</v>
      </c>
      <c r="N22">
        <v>1</v>
      </c>
      <c r="O22">
        <v>4</v>
      </c>
      <c r="R22">
        <v>2</v>
      </c>
      <c r="T22">
        <v>6</v>
      </c>
      <c r="U22">
        <v>3</v>
      </c>
      <c r="X22">
        <v>1</v>
      </c>
      <c r="AA22">
        <f t="shared" si="0"/>
        <v>56</v>
      </c>
    </row>
    <row r="23" spans="1:27" x14ac:dyDescent="0.2">
      <c r="A23" s="27" t="s">
        <v>18</v>
      </c>
      <c r="B23">
        <v>2</v>
      </c>
      <c r="E23">
        <v>3</v>
      </c>
      <c r="F23">
        <v>5</v>
      </c>
      <c r="G23">
        <v>4</v>
      </c>
      <c r="H23">
        <v>5</v>
      </c>
      <c r="I23">
        <v>2</v>
      </c>
      <c r="J23">
        <v>2</v>
      </c>
      <c r="K23">
        <v>2</v>
      </c>
      <c r="L23">
        <v>5</v>
      </c>
      <c r="M23">
        <v>8</v>
      </c>
      <c r="N23">
        <v>12</v>
      </c>
      <c r="O23">
        <v>7</v>
      </c>
      <c r="Q23">
        <v>3</v>
      </c>
      <c r="R23">
        <v>3</v>
      </c>
      <c r="S23">
        <v>2</v>
      </c>
      <c r="T23">
        <v>2</v>
      </c>
      <c r="V23">
        <v>2</v>
      </c>
      <c r="W23">
        <v>4</v>
      </c>
      <c r="X23">
        <v>1</v>
      </c>
      <c r="AA23">
        <f t="shared" si="0"/>
        <v>74</v>
      </c>
    </row>
    <row r="24" spans="1:27" x14ac:dyDescent="0.2">
      <c r="A24" s="27" t="s">
        <v>19</v>
      </c>
      <c r="B24">
        <v>20</v>
      </c>
      <c r="C24">
        <v>42</v>
      </c>
      <c r="D24">
        <v>13</v>
      </c>
      <c r="E24">
        <v>50</v>
      </c>
      <c r="F24">
        <v>10</v>
      </c>
      <c r="G24">
        <v>12</v>
      </c>
      <c r="H24">
        <v>9</v>
      </c>
      <c r="I24">
        <v>3</v>
      </c>
      <c r="J24">
        <v>1</v>
      </c>
      <c r="K24">
        <v>17</v>
      </c>
      <c r="L24">
        <v>13</v>
      </c>
      <c r="M24">
        <v>69</v>
      </c>
      <c r="N24">
        <v>58</v>
      </c>
      <c r="O24">
        <v>52</v>
      </c>
      <c r="P24">
        <v>13</v>
      </c>
      <c r="Q24">
        <v>38</v>
      </c>
      <c r="R24">
        <v>27</v>
      </c>
      <c r="S24">
        <v>36</v>
      </c>
      <c r="T24">
        <v>46</v>
      </c>
      <c r="U24">
        <v>31</v>
      </c>
      <c r="V24">
        <v>19</v>
      </c>
      <c r="W24">
        <v>33</v>
      </c>
      <c r="X24">
        <v>17</v>
      </c>
      <c r="Y24">
        <v>4</v>
      </c>
      <c r="AA24">
        <f t="shared" si="0"/>
        <v>633</v>
      </c>
    </row>
    <row r="25" spans="1:27" x14ac:dyDescent="0.2">
      <c r="A25" s="27" t="s">
        <v>20</v>
      </c>
      <c r="C25">
        <v>5</v>
      </c>
      <c r="D25">
        <v>1</v>
      </c>
      <c r="E25">
        <v>6</v>
      </c>
      <c r="F25">
        <v>2</v>
      </c>
      <c r="H25">
        <v>1</v>
      </c>
      <c r="K25">
        <v>3</v>
      </c>
      <c r="M25">
        <v>1</v>
      </c>
      <c r="N25">
        <v>1</v>
      </c>
      <c r="O25">
        <v>2</v>
      </c>
      <c r="Q25">
        <v>2</v>
      </c>
      <c r="R25">
        <v>1</v>
      </c>
      <c r="S25">
        <v>4</v>
      </c>
      <c r="T25">
        <v>8</v>
      </c>
      <c r="U25">
        <v>5</v>
      </c>
      <c r="V25">
        <v>3</v>
      </c>
      <c r="W25">
        <v>2</v>
      </c>
      <c r="AA25">
        <f t="shared" si="0"/>
        <v>47</v>
      </c>
    </row>
    <row r="26" spans="1:27" x14ac:dyDescent="0.2">
      <c r="A26" s="27" t="s">
        <v>645</v>
      </c>
      <c r="B26">
        <v>9</v>
      </c>
      <c r="C26">
        <v>40</v>
      </c>
      <c r="D26">
        <v>52</v>
      </c>
      <c r="E26">
        <v>19</v>
      </c>
      <c r="F26">
        <v>4</v>
      </c>
      <c r="G26">
        <v>4</v>
      </c>
      <c r="H26">
        <v>5</v>
      </c>
      <c r="J26">
        <v>8</v>
      </c>
      <c r="K26">
        <v>21</v>
      </c>
      <c r="L26">
        <v>7</v>
      </c>
      <c r="M26">
        <v>97</v>
      </c>
      <c r="N26">
        <v>41</v>
      </c>
      <c r="O26">
        <v>91</v>
      </c>
      <c r="P26">
        <v>2</v>
      </c>
      <c r="Q26">
        <v>15</v>
      </c>
      <c r="R26">
        <v>18</v>
      </c>
      <c r="S26">
        <v>17</v>
      </c>
      <c r="T26">
        <v>50</v>
      </c>
      <c r="U26">
        <v>31</v>
      </c>
      <c r="V26">
        <v>8</v>
      </c>
      <c r="W26">
        <v>1</v>
      </c>
      <c r="X26">
        <v>2</v>
      </c>
      <c r="Y26">
        <v>3</v>
      </c>
      <c r="AA26">
        <f t="shared" si="0"/>
        <v>545</v>
      </c>
    </row>
    <row r="27" spans="1:27" x14ac:dyDescent="0.2">
      <c r="A27" s="27" t="s">
        <v>200</v>
      </c>
      <c r="D27">
        <v>11</v>
      </c>
      <c r="E27">
        <v>1</v>
      </c>
      <c r="F27">
        <v>2</v>
      </c>
      <c r="G27">
        <v>5</v>
      </c>
      <c r="H27">
        <v>9</v>
      </c>
      <c r="J27">
        <v>2</v>
      </c>
      <c r="K27">
        <v>6</v>
      </c>
      <c r="N27">
        <v>17</v>
      </c>
      <c r="O27">
        <v>37</v>
      </c>
      <c r="P27">
        <v>5</v>
      </c>
      <c r="Q27">
        <v>6</v>
      </c>
      <c r="R27">
        <v>5</v>
      </c>
      <c r="S27">
        <v>2</v>
      </c>
      <c r="T27">
        <v>14</v>
      </c>
      <c r="U27">
        <v>16</v>
      </c>
      <c r="V27">
        <v>2</v>
      </c>
      <c r="X27">
        <v>19</v>
      </c>
      <c r="AA27">
        <f t="shared" si="0"/>
        <v>159</v>
      </c>
    </row>
    <row r="28" spans="1:27" x14ac:dyDescent="0.2">
      <c r="A28" s="27" t="s">
        <v>435</v>
      </c>
      <c r="D28">
        <v>30</v>
      </c>
      <c r="E28">
        <v>5</v>
      </c>
      <c r="G28">
        <v>5</v>
      </c>
      <c r="H28">
        <v>3</v>
      </c>
      <c r="J28">
        <v>1</v>
      </c>
      <c r="K28">
        <v>11</v>
      </c>
      <c r="N28">
        <v>11</v>
      </c>
      <c r="O28">
        <v>52</v>
      </c>
      <c r="P28">
        <v>17</v>
      </c>
      <c r="Q28">
        <v>21</v>
      </c>
      <c r="R28">
        <v>21</v>
      </c>
      <c r="S28">
        <v>21</v>
      </c>
      <c r="T28">
        <v>53</v>
      </c>
      <c r="U28">
        <v>61</v>
      </c>
      <c r="V28">
        <v>3</v>
      </c>
      <c r="X28">
        <v>12</v>
      </c>
      <c r="AA28">
        <f t="shared" si="0"/>
        <v>327</v>
      </c>
    </row>
    <row r="29" spans="1:27" x14ac:dyDescent="0.2">
      <c r="A29" s="27" t="s">
        <v>22</v>
      </c>
      <c r="B29">
        <v>1</v>
      </c>
      <c r="C29">
        <v>1</v>
      </c>
      <c r="F29">
        <v>1</v>
      </c>
      <c r="N29">
        <v>2</v>
      </c>
      <c r="AA29">
        <f t="shared" si="0"/>
        <v>5</v>
      </c>
    </row>
    <row r="30" spans="1:27" x14ac:dyDescent="0.2">
      <c r="A30" s="27" t="s">
        <v>23</v>
      </c>
      <c r="B30">
        <v>1</v>
      </c>
      <c r="E30">
        <v>2</v>
      </c>
      <c r="G30">
        <v>6</v>
      </c>
      <c r="H30">
        <v>3</v>
      </c>
      <c r="I30">
        <v>1</v>
      </c>
      <c r="K30">
        <v>2</v>
      </c>
      <c r="L30">
        <v>1</v>
      </c>
      <c r="O30">
        <v>1</v>
      </c>
      <c r="P30">
        <v>2</v>
      </c>
      <c r="Q30">
        <v>1</v>
      </c>
      <c r="R30">
        <v>1</v>
      </c>
      <c r="S30">
        <v>3</v>
      </c>
      <c r="T30">
        <v>1</v>
      </c>
      <c r="U30">
        <v>1</v>
      </c>
      <c r="V30">
        <v>1</v>
      </c>
      <c r="W30">
        <v>1</v>
      </c>
      <c r="X30">
        <v>4</v>
      </c>
      <c r="AA30">
        <f t="shared" si="0"/>
        <v>32</v>
      </c>
    </row>
    <row r="31" spans="1:27" x14ac:dyDescent="0.2">
      <c r="A31" s="27" t="s">
        <v>214</v>
      </c>
      <c r="Q31">
        <v>1</v>
      </c>
      <c r="R31">
        <v>2</v>
      </c>
      <c r="AA31">
        <f t="shared" si="0"/>
        <v>3</v>
      </c>
    </row>
    <row r="32" spans="1:27" x14ac:dyDescent="0.2">
      <c r="A32" s="27" t="s">
        <v>194</v>
      </c>
      <c r="B32">
        <v>1</v>
      </c>
      <c r="M32">
        <v>1</v>
      </c>
      <c r="AA32">
        <f t="shared" si="0"/>
        <v>2</v>
      </c>
    </row>
    <row r="33" spans="1:27" x14ac:dyDescent="0.2">
      <c r="A33" s="27" t="s">
        <v>195</v>
      </c>
      <c r="D33">
        <v>1</v>
      </c>
      <c r="N33">
        <v>1</v>
      </c>
      <c r="AA33">
        <f t="shared" si="0"/>
        <v>2</v>
      </c>
    </row>
    <row r="34" spans="1:27" x14ac:dyDescent="0.2">
      <c r="A34" s="27" t="s">
        <v>25</v>
      </c>
      <c r="B34">
        <v>1</v>
      </c>
      <c r="E34">
        <v>1</v>
      </c>
      <c r="G34">
        <v>4</v>
      </c>
      <c r="H34">
        <v>1</v>
      </c>
      <c r="M34">
        <v>2</v>
      </c>
      <c r="N34">
        <v>25</v>
      </c>
      <c r="O34">
        <v>33</v>
      </c>
      <c r="P34">
        <v>16</v>
      </c>
      <c r="Q34">
        <v>2</v>
      </c>
      <c r="R34">
        <v>7</v>
      </c>
      <c r="S34">
        <v>6</v>
      </c>
      <c r="T34">
        <v>21</v>
      </c>
      <c r="U34">
        <v>11</v>
      </c>
      <c r="V34">
        <v>3</v>
      </c>
      <c r="X34">
        <v>13</v>
      </c>
      <c r="AA34">
        <f t="shared" si="0"/>
        <v>146</v>
      </c>
    </row>
    <row r="35" spans="1:27" x14ac:dyDescent="0.2">
      <c r="A35" s="27" t="s">
        <v>646</v>
      </c>
      <c r="D35">
        <v>5</v>
      </c>
      <c r="E35">
        <v>1</v>
      </c>
      <c r="G35">
        <v>1</v>
      </c>
      <c r="H35">
        <v>2</v>
      </c>
      <c r="J35">
        <v>3</v>
      </c>
      <c r="K35">
        <v>1</v>
      </c>
      <c r="L35">
        <v>1</v>
      </c>
      <c r="M35">
        <v>1</v>
      </c>
      <c r="N35">
        <v>3</v>
      </c>
      <c r="O35">
        <v>2</v>
      </c>
      <c r="Q35">
        <v>4</v>
      </c>
      <c r="R35">
        <v>2</v>
      </c>
      <c r="T35">
        <v>1</v>
      </c>
      <c r="AA35">
        <f t="shared" si="0"/>
        <v>27</v>
      </c>
    </row>
    <row r="36" spans="1:27" x14ac:dyDescent="0.2">
      <c r="A36" s="27" t="s">
        <v>26</v>
      </c>
      <c r="N36">
        <v>1</v>
      </c>
      <c r="AA36">
        <f t="shared" si="0"/>
        <v>1</v>
      </c>
    </row>
    <row r="37" spans="1:27" x14ac:dyDescent="0.2">
      <c r="A37" s="27" t="s">
        <v>27</v>
      </c>
      <c r="B37">
        <v>22</v>
      </c>
      <c r="C37">
        <v>65</v>
      </c>
      <c r="D37">
        <v>41</v>
      </c>
      <c r="E37">
        <v>57</v>
      </c>
      <c r="F37">
        <v>18</v>
      </c>
      <c r="G37">
        <v>35</v>
      </c>
      <c r="H37">
        <v>18</v>
      </c>
      <c r="I37">
        <v>6</v>
      </c>
      <c r="J37">
        <v>38</v>
      </c>
      <c r="K37">
        <v>20</v>
      </c>
      <c r="L37">
        <v>34</v>
      </c>
      <c r="M37">
        <v>107</v>
      </c>
      <c r="N37">
        <v>50</v>
      </c>
      <c r="O37">
        <v>79</v>
      </c>
      <c r="P37">
        <v>23</v>
      </c>
      <c r="Q37">
        <v>58</v>
      </c>
      <c r="R37">
        <v>67</v>
      </c>
      <c r="S37">
        <v>60</v>
      </c>
      <c r="T37">
        <v>94</v>
      </c>
      <c r="U37">
        <v>49</v>
      </c>
      <c r="V37">
        <v>42</v>
      </c>
      <c r="W37">
        <v>15</v>
      </c>
      <c r="X37">
        <v>14</v>
      </c>
      <c r="Y37">
        <v>34</v>
      </c>
      <c r="Z37">
        <v>13</v>
      </c>
      <c r="AA37">
        <f t="shared" si="0"/>
        <v>1059</v>
      </c>
    </row>
    <row r="38" spans="1:27" x14ac:dyDescent="0.2">
      <c r="A38" s="27" t="s">
        <v>28</v>
      </c>
      <c r="AA38">
        <f t="shared" si="0"/>
        <v>0</v>
      </c>
    </row>
    <row r="39" spans="1:27" x14ac:dyDescent="0.2">
      <c r="A39" s="27" t="s">
        <v>29</v>
      </c>
      <c r="F39">
        <v>1</v>
      </c>
      <c r="J39">
        <v>1</v>
      </c>
      <c r="Q39">
        <v>1</v>
      </c>
      <c r="AA39">
        <f t="shared" si="0"/>
        <v>3</v>
      </c>
    </row>
    <row r="40" spans="1:27" x14ac:dyDescent="0.2">
      <c r="A40" s="27" t="s">
        <v>30</v>
      </c>
      <c r="AA40">
        <f t="shared" si="0"/>
        <v>0</v>
      </c>
    </row>
    <row r="41" spans="1:27" x14ac:dyDescent="0.2">
      <c r="A41" s="27" t="s">
        <v>442</v>
      </c>
      <c r="AA41">
        <f t="shared" si="0"/>
        <v>0</v>
      </c>
    </row>
    <row r="42" spans="1:27" x14ac:dyDescent="0.2">
      <c r="A42" s="27" t="s">
        <v>31</v>
      </c>
      <c r="D42">
        <v>4</v>
      </c>
      <c r="E42">
        <v>6</v>
      </c>
      <c r="H42">
        <v>2</v>
      </c>
      <c r="J42">
        <v>1</v>
      </c>
      <c r="M42">
        <v>10</v>
      </c>
      <c r="N42">
        <v>1</v>
      </c>
      <c r="O42">
        <v>4</v>
      </c>
      <c r="R42">
        <v>2</v>
      </c>
      <c r="S42">
        <v>4</v>
      </c>
      <c r="T42">
        <v>4</v>
      </c>
      <c r="U42">
        <v>1</v>
      </c>
      <c r="V42">
        <v>2</v>
      </c>
      <c r="W42">
        <v>2</v>
      </c>
      <c r="Y42">
        <v>6</v>
      </c>
      <c r="AA42">
        <f t="shared" si="0"/>
        <v>49</v>
      </c>
    </row>
    <row r="43" spans="1:27" x14ac:dyDescent="0.2">
      <c r="A43" s="27" t="s">
        <v>32</v>
      </c>
      <c r="AA43">
        <f t="shared" si="0"/>
        <v>0</v>
      </c>
    </row>
    <row r="44" spans="1:27" x14ac:dyDescent="0.2">
      <c r="A44" s="27" t="s">
        <v>33</v>
      </c>
      <c r="C44">
        <v>1</v>
      </c>
      <c r="E44">
        <v>2</v>
      </c>
      <c r="F44">
        <v>3</v>
      </c>
      <c r="G44">
        <v>1</v>
      </c>
      <c r="H44">
        <v>1</v>
      </c>
      <c r="K44">
        <v>2</v>
      </c>
      <c r="L44">
        <v>2</v>
      </c>
      <c r="M44">
        <v>4</v>
      </c>
      <c r="N44">
        <v>2</v>
      </c>
      <c r="O44">
        <v>5</v>
      </c>
      <c r="R44">
        <v>1</v>
      </c>
      <c r="S44">
        <v>2</v>
      </c>
      <c r="T44">
        <v>2</v>
      </c>
      <c r="V44">
        <v>2</v>
      </c>
      <c r="X44">
        <v>1</v>
      </c>
      <c r="AA44">
        <f t="shared" si="0"/>
        <v>31</v>
      </c>
    </row>
    <row r="45" spans="1:27" x14ac:dyDescent="0.2">
      <c r="A45" s="27" t="s">
        <v>36</v>
      </c>
    </row>
    <row r="46" spans="1:27" x14ac:dyDescent="0.2">
      <c r="A46" s="30" t="s">
        <v>344</v>
      </c>
      <c r="B46">
        <f t="shared" ref="B46:Z46" si="1">SUM(B3:B45)</f>
        <v>96</v>
      </c>
      <c r="C46">
        <f t="shared" si="1"/>
        <v>278</v>
      </c>
      <c r="D46">
        <f t="shared" si="1"/>
        <v>296</v>
      </c>
      <c r="E46">
        <f t="shared" si="1"/>
        <v>214</v>
      </c>
      <c r="F46">
        <f t="shared" si="1"/>
        <v>83</v>
      </c>
      <c r="G46">
        <f t="shared" si="1"/>
        <v>184</v>
      </c>
      <c r="H46">
        <f t="shared" si="1"/>
        <v>207</v>
      </c>
      <c r="I46">
        <f t="shared" si="1"/>
        <v>18</v>
      </c>
      <c r="J46">
        <f t="shared" si="1"/>
        <v>95</v>
      </c>
      <c r="K46">
        <f t="shared" si="1"/>
        <v>225</v>
      </c>
      <c r="L46">
        <f t="shared" si="1"/>
        <v>108</v>
      </c>
      <c r="M46">
        <f t="shared" si="1"/>
        <v>532</v>
      </c>
      <c r="N46">
        <f t="shared" si="1"/>
        <v>384</v>
      </c>
      <c r="O46">
        <f>SUM(O3:O45)</f>
        <v>560</v>
      </c>
      <c r="P46">
        <f t="shared" si="1"/>
        <v>151</v>
      </c>
      <c r="Q46">
        <f t="shared" si="1"/>
        <v>273</v>
      </c>
      <c r="R46">
        <f t="shared" si="1"/>
        <v>297</v>
      </c>
      <c r="S46">
        <f t="shared" si="1"/>
        <v>230</v>
      </c>
      <c r="T46">
        <f t="shared" si="1"/>
        <v>451</v>
      </c>
      <c r="U46">
        <f t="shared" si="1"/>
        <v>365</v>
      </c>
      <c r="V46">
        <f t="shared" si="1"/>
        <v>192</v>
      </c>
      <c r="W46">
        <f t="shared" si="1"/>
        <v>64</v>
      </c>
      <c r="X46">
        <f t="shared" si="1"/>
        <v>140</v>
      </c>
      <c r="Y46">
        <f t="shared" si="1"/>
        <v>67</v>
      </c>
      <c r="Z46">
        <f t="shared" si="1"/>
        <v>27</v>
      </c>
      <c r="AA46">
        <f>SUM(B46:Z46)</f>
        <v>5537</v>
      </c>
    </row>
    <row r="49" spans="1:1" x14ac:dyDescent="0.2">
      <c r="A49" s="27" t="s">
        <v>1487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39"/>
  <sheetViews>
    <sheetView workbookViewId="0">
      <pane xSplit="1" ySplit="2" topLeftCell="C15" activePane="bottomRight" state="frozen"/>
      <selection pane="topRight" activeCell="B1" sqref="B1"/>
      <selection pane="bottomLeft" activeCell="A3" sqref="A3"/>
      <selection pane="bottomRight" activeCell="D39" sqref="D39"/>
    </sheetView>
  </sheetViews>
  <sheetFormatPr defaultRowHeight="12.75" x14ac:dyDescent="0.2"/>
  <cols>
    <col min="1" max="1" width="26" bestFit="1" customWidth="1"/>
  </cols>
  <sheetData>
    <row r="1" spans="1:28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s="130" t="s">
        <v>667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 t="s">
        <v>517</v>
      </c>
    </row>
    <row r="2" spans="1:28" x14ac:dyDescent="0.2">
      <c r="A2" s="30" t="s">
        <v>287</v>
      </c>
      <c r="B2" s="70" t="s">
        <v>1407</v>
      </c>
      <c r="C2" s="70" t="s">
        <v>655</v>
      </c>
      <c r="D2" s="70" t="s">
        <v>1408</v>
      </c>
      <c r="E2" s="70" t="s">
        <v>370</v>
      </c>
      <c r="F2" s="70" t="s">
        <v>1409</v>
      </c>
      <c r="G2" s="70" t="s">
        <v>1410</v>
      </c>
      <c r="H2" s="70" t="s">
        <v>1315</v>
      </c>
      <c r="I2" s="130"/>
      <c r="J2" s="70" t="s">
        <v>950</v>
      </c>
      <c r="K2" s="70" t="s">
        <v>1411</v>
      </c>
      <c r="L2" s="70" t="s">
        <v>1412</v>
      </c>
      <c r="M2" s="70" t="s">
        <v>1413</v>
      </c>
      <c r="N2" s="70" t="s">
        <v>1414</v>
      </c>
      <c r="O2" s="70" t="s">
        <v>1415</v>
      </c>
      <c r="P2" s="70" t="s">
        <v>1416</v>
      </c>
      <c r="Q2" s="70" t="s">
        <v>1417</v>
      </c>
      <c r="R2" s="70" t="s">
        <v>1418</v>
      </c>
      <c r="S2" s="70" t="s">
        <v>1419</v>
      </c>
      <c r="T2" s="70" t="s">
        <v>1420</v>
      </c>
      <c r="U2" s="70" t="s">
        <v>1421</v>
      </c>
      <c r="V2" s="70" t="s">
        <v>1422</v>
      </c>
      <c r="W2" s="70" t="s">
        <v>1423</v>
      </c>
      <c r="X2" s="70" t="s">
        <v>1424</v>
      </c>
      <c r="Y2" s="70" t="s">
        <v>1425</v>
      </c>
      <c r="Z2" s="70" t="s">
        <v>1426</v>
      </c>
      <c r="AA2" s="70" t="s">
        <v>1427</v>
      </c>
      <c r="AB2" s="70" t="s">
        <v>315</v>
      </c>
    </row>
    <row r="3" spans="1:28" x14ac:dyDescent="0.2">
      <c r="A3" s="27" t="s">
        <v>1</v>
      </c>
      <c r="B3">
        <v>0</v>
      </c>
      <c r="C3">
        <v>4</v>
      </c>
      <c r="D3">
        <v>1</v>
      </c>
      <c r="E3">
        <v>20</v>
      </c>
      <c r="F3">
        <v>0</v>
      </c>
      <c r="G3">
        <v>6</v>
      </c>
      <c r="H3">
        <v>4</v>
      </c>
      <c r="I3" s="130"/>
      <c r="J3">
        <v>6</v>
      </c>
      <c r="K3">
        <v>14</v>
      </c>
      <c r="L3">
        <v>25</v>
      </c>
      <c r="M3">
        <v>27</v>
      </c>
      <c r="N3">
        <v>34</v>
      </c>
      <c r="O3">
        <v>3</v>
      </c>
      <c r="P3">
        <v>13</v>
      </c>
      <c r="Q3">
        <v>15</v>
      </c>
      <c r="R3">
        <v>21</v>
      </c>
      <c r="S3">
        <v>8</v>
      </c>
      <c r="T3">
        <v>19</v>
      </c>
      <c r="U3">
        <v>19</v>
      </c>
      <c r="V3">
        <v>29</v>
      </c>
      <c r="W3">
        <v>1</v>
      </c>
      <c r="X3">
        <v>18</v>
      </c>
      <c r="Y3">
        <v>8</v>
      </c>
      <c r="Z3">
        <v>20</v>
      </c>
      <c r="AA3">
        <v>23</v>
      </c>
      <c r="AB3">
        <f>SUM(G3:AA3)</f>
        <v>313</v>
      </c>
    </row>
    <row r="4" spans="1:28" x14ac:dyDescent="0.2">
      <c r="A4" s="27" t="s">
        <v>3</v>
      </c>
      <c r="B4">
        <v>0</v>
      </c>
      <c r="C4">
        <v>5</v>
      </c>
      <c r="D4">
        <v>0</v>
      </c>
      <c r="E4">
        <v>6</v>
      </c>
      <c r="F4">
        <v>0</v>
      </c>
      <c r="G4">
        <v>5</v>
      </c>
      <c r="H4">
        <v>6</v>
      </c>
      <c r="I4" s="130"/>
      <c r="J4">
        <v>5</v>
      </c>
      <c r="K4">
        <v>8</v>
      </c>
      <c r="L4">
        <v>6</v>
      </c>
      <c r="M4">
        <v>11</v>
      </c>
      <c r="N4">
        <v>5</v>
      </c>
      <c r="O4">
        <v>3</v>
      </c>
      <c r="P4">
        <v>14</v>
      </c>
      <c r="Q4">
        <v>9</v>
      </c>
      <c r="R4">
        <v>7</v>
      </c>
      <c r="S4">
        <v>10</v>
      </c>
      <c r="T4">
        <v>9</v>
      </c>
      <c r="U4">
        <v>9</v>
      </c>
      <c r="V4">
        <v>11</v>
      </c>
      <c r="W4">
        <v>0</v>
      </c>
      <c r="X4">
        <v>3</v>
      </c>
      <c r="Y4">
        <v>8</v>
      </c>
      <c r="Z4">
        <v>11</v>
      </c>
      <c r="AA4">
        <v>12</v>
      </c>
      <c r="AB4">
        <f>SUM(B4:AA4)</f>
        <v>163</v>
      </c>
    </row>
    <row r="5" spans="1:28" x14ac:dyDescent="0.2">
      <c r="A5" s="27" t="s">
        <v>1428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 s="130"/>
      <c r="J5">
        <v>5</v>
      </c>
      <c r="K5">
        <v>6</v>
      </c>
      <c r="L5">
        <v>5</v>
      </c>
      <c r="M5">
        <v>10</v>
      </c>
      <c r="N5">
        <v>5</v>
      </c>
      <c r="O5">
        <v>0</v>
      </c>
      <c r="P5">
        <v>10</v>
      </c>
      <c r="Q5">
        <v>5</v>
      </c>
      <c r="R5">
        <v>7</v>
      </c>
      <c r="S5">
        <v>4</v>
      </c>
      <c r="T5">
        <v>3</v>
      </c>
      <c r="U5">
        <v>3</v>
      </c>
      <c r="V5">
        <v>4</v>
      </c>
      <c r="W5">
        <v>1</v>
      </c>
      <c r="X5">
        <v>11</v>
      </c>
      <c r="Y5">
        <v>2</v>
      </c>
      <c r="Z5">
        <v>8</v>
      </c>
      <c r="AA5">
        <v>7</v>
      </c>
      <c r="AB5">
        <f>SUM(B5:AA5)</f>
        <v>98</v>
      </c>
    </row>
    <row r="6" spans="1:28" x14ac:dyDescent="0.2">
      <c r="A6" s="27" t="s">
        <v>5</v>
      </c>
      <c r="B6">
        <v>1</v>
      </c>
      <c r="C6">
        <v>4</v>
      </c>
      <c r="D6">
        <v>2</v>
      </c>
      <c r="E6">
        <v>2</v>
      </c>
      <c r="F6">
        <v>0</v>
      </c>
      <c r="G6">
        <v>2</v>
      </c>
      <c r="H6">
        <v>6</v>
      </c>
      <c r="I6" s="130"/>
      <c r="J6">
        <v>2</v>
      </c>
      <c r="K6">
        <v>1</v>
      </c>
      <c r="L6">
        <v>2</v>
      </c>
      <c r="M6">
        <v>1</v>
      </c>
      <c r="N6">
        <v>3</v>
      </c>
      <c r="O6">
        <v>5</v>
      </c>
      <c r="P6">
        <v>4</v>
      </c>
      <c r="Q6">
        <v>2</v>
      </c>
      <c r="R6">
        <v>2</v>
      </c>
      <c r="S6">
        <v>1</v>
      </c>
      <c r="T6">
        <v>2</v>
      </c>
      <c r="U6">
        <v>1</v>
      </c>
      <c r="V6">
        <v>3</v>
      </c>
      <c r="W6">
        <v>9</v>
      </c>
      <c r="X6">
        <v>3</v>
      </c>
      <c r="Y6">
        <v>1</v>
      </c>
      <c r="Z6">
        <v>1</v>
      </c>
      <c r="AA6">
        <v>0</v>
      </c>
      <c r="AB6">
        <f>SUM(B6:AA6)</f>
        <v>60</v>
      </c>
    </row>
    <row r="7" spans="1:28" x14ac:dyDescent="0.2">
      <c r="A7" s="27" t="s">
        <v>1430</v>
      </c>
      <c r="B7">
        <v>4</v>
      </c>
      <c r="C7">
        <v>9</v>
      </c>
      <c r="D7">
        <v>5</v>
      </c>
      <c r="E7">
        <v>0</v>
      </c>
      <c r="F7">
        <v>49</v>
      </c>
      <c r="G7">
        <v>39</v>
      </c>
      <c r="H7">
        <v>63</v>
      </c>
      <c r="I7" s="130"/>
      <c r="J7">
        <v>43</v>
      </c>
      <c r="K7">
        <v>59</v>
      </c>
      <c r="L7">
        <v>54</v>
      </c>
      <c r="M7">
        <v>64</v>
      </c>
      <c r="N7">
        <v>66</v>
      </c>
      <c r="O7">
        <v>0</v>
      </c>
      <c r="P7">
        <v>54</v>
      </c>
      <c r="Q7">
        <v>74</v>
      </c>
      <c r="R7">
        <v>46</v>
      </c>
      <c r="S7">
        <v>49</v>
      </c>
      <c r="T7">
        <v>54</v>
      </c>
      <c r="U7">
        <v>50</v>
      </c>
      <c r="V7">
        <v>85</v>
      </c>
      <c r="W7">
        <v>1</v>
      </c>
      <c r="X7">
        <v>73</v>
      </c>
      <c r="Y7">
        <v>28</v>
      </c>
      <c r="Z7">
        <v>77</v>
      </c>
      <c r="AA7">
        <v>67</v>
      </c>
      <c r="AB7">
        <f>SUM(B7:AA7)</f>
        <v>1113</v>
      </c>
    </row>
    <row r="8" spans="1:28" x14ac:dyDescent="0.2">
      <c r="A8" s="27" t="s">
        <v>1433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 s="130"/>
      <c r="J8">
        <v>0</v>
      </c>
      <c r="K8">
        <v>2</v>
      </c>
      <c r="L8">
        <v>3</v>
      </c>
      <c r="M8">
        <v>4</v>
      </c>
      <c r="N8">
        <v>2</v>
      </c>
      <c r="O8">
        <v>0</v>
      </c>
      <c r="P8">
        <v>3</v>
      </c>
      <c r="Q8">
        <v>5</v>
      </c>
      <c r="R8">
        <v>7</v>
      </c>
      <c r="S8">
        <v>0</v>
      </c>
      <c r="T8">
        <v>8</v>
      </c>
      <c r="U8">
        <v>1</v>
      </c>
      <c r="V8">
        <v>5</v>
      </c>
      <c r="W8">
        <v>0</v>
      </c>
      <c r="X8">
        <v>2</v>
      </c>
      <c r="Y8">
        <v>4</v>
      </c>
      <c r="Z8">
        <v>7</v>
      </c>
      <c r="AA8">
        <v>1</v>
      </c>
      <c r="AB8">
        <f>SUM(B8:AA8)</f>
        <v>57</v>
      </c>
    </row>
    <row r="9" spans="1:28" x14ac:dyDescent="0.2">
      <c r="A9" s="27" t="s">
        <v>7</v>
      </c>
      <c r="B9">
        <v>2</v>
      </c>
      <c r="C9">
        <v>5</v>
      </c>
      <c r="D9">
        <v>3</v>
      </c>
      <c r="E9">
        <v>18</v>
      </c>
      <c r="F9">
        <v>0</v>
      </c>
      <c r="G9">
        <v>26</v>
      </c>
      <c r="H9">
        <v>19</v>
      </c>
      <c r="I9" s="130"/>
      <c r="J9">
        <v>31</v>
      </c>
      <c r="K9">
        <v>13</v>
      </c>
      <c r="L9">
        <v>33</v>
      </c>
      <c r="M9">
        <v>31</v>
      </c>
      <c r="N9">
        <v>41</v>
      </c>
      <c r="O9">
        <v>0</v>
      </c>
      <c r="P9">
        <v>24</v>
      </c>
      <c r="Q9">
        <v>24</v>
      </c>
      <c r="R9">
        <v>35</v>
      </c>
      <c r="S9">
        <v>25</v>
      </c>
      <c r="T9">
        <v>68</v>
      </c>
      <c r="U9">
        <v>41</v>
      </c>
      <c r="V9">
        <v>30</v>
      </c>
      <c r="W9">
        <v>1</v>
      </c>
      <c r="X9">
        <v>40</v>
      </c>
      <c r="Y9">
        <v>33</v>
      </c>
      <c r="Z9">
        <v>60</v>
      </c>
      <c r="AA9">
        <v>49</v>
      </c>
      <c r="AB9">
        <f t="shared" ref="AB9:AB33" si="0">SUM(B9:AA9)</f>
        <v>652</v>
      </c>
    </row>
    <row r="10" spans="1:28" x14ac:dyDescent="0.2">
      <c r="A10" s="27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3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f t="shared" si="0"/>
        <v>1</v>
      </c>
    </row>
    <row r="11" spans="1:28" x14ac:dyDescent="0.2">
      <c r="A11" s="27" t="s">
        <v>10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 s="130"/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2</v>
      </c>
      <c r="Q11">
        <v>2</v>
      </c>
      <c r="R11">
        <v>0</v>
      </c>
      <c r="S11">
        <v>1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>
        <v>2</v>
      </c>
      <c r="AB11">
        <f t="shared" si="0"/>
        <v>16</v>
      </c>
    </row>
    <row r="12" spans="1:28" x14ac:dyDescent="0.2">
      <c r="A12" s="27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130"/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f t="shared" si="0"/>
        <v>1</v>
      </c>
    </row>
    <row r="13" spans="1:28" x14ac:dyDescent="0.2">
      <c r="A13" s="27" t="s">
        <v>503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130"/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f t="shared" si="0"/>
        <v>1</v>
      </c>
    </row>
    <row r="14" spans="1:28" x14ac:dyDescent="0.2">
      <c r="A14" s="27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30"/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f t="shared" si="0"/>
        <v>1</v>
      </c>
    </row>
    <row r="15" spans="1:28" x14ac:dyDescent="0.2">
      <c r="A15" s="27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30"/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f t="shared" si="0"/>
        <v>5</v>
      </c>
    </row>
    <row r="16" spans="1:28" x14ac:dyDescent="0.2">
      <c r="A16" s="27" t="s">
        <v>17</v>
      </c>
      <c r="B16">
        <v>0</v>
      </c>
      <c r="C16">
        <v>0</v>
      </c>
      <c r="D16">
        <v>0</v>
      </c>
      <c r="E16">
        <v>4</v>
      </c>
      <c r="F16">
        <v>0</v>
      </c>
      <c r="G16">
        <v>5</v>
      </c>
      <c r="H16">
        <v>7</v>
      </c>
      <c r="I16" s="130"/>
      <c r="J16">
        <v>0</v>
      </c>
      <c r="K16">
        <v>4</v>
      </c>
      <c r="L16">
        <v>1</v>
      </c>
      <c r="M16">
        <v>2</v>
      </c>
      <c r="N16">
        <v>4</v>
      </c>
      <c r="O16">
        <v>0</v>
      </c>
      <c r="P16">
        <v>3</v>
      </c>
      <c r="Q16">
        <v>7</v>
      </c>
      <c r="R16">
        <v>3</v>
      </c>
      <c r="S16">
        <v>0</v>
      </c>
      <c r="T16">
        <v>6</v>
      </c>
      <c r="U16">
        <v>0</v>
      </c>
      <c r="V16">
        <v>2</v>
      </c>
      <c r="W16">
        <v>0</v>
      </c>
      <c r="X16">
        <v>2</v>
      </c>
      <c r="Y16">
        <v>1</v>
      </c>
      <c r="Z16">
        <v>1</v>
      </c>
      <c r="AA16">
        <v>5</v>
      </c>
      <c r="AB16">
        <f t="shared" si="0"/>
        <v>57</v>
      </c>
    </row>
    <row r="17" spans="1:28" x14ac:dyDescent="0.2">
      <c r="A17" s="27" t="s">
        <v>18</v>
      </c>
      <c r="B17">
        <v>2</v>
      </c>
      <c r="C17">
        <v>0</v>
      </c>
      <c r="D17">
        <v>0</v>
      </c>
      <c r="E17">
        <v>0</v>
      </c>
      <c r="F17">
        <v>0</v>
      </c>
      <c r="G17">
        <v>4</v>
      </c>
      <c r="H17">
        <v>2</v>
      </c>
      <c r="I17" s="130"/>
      <c r="J17">
        <v>5</v>
      </c>
      <c r="K17">
        <v>0</v>
      </c>
      <c r="L17">
        <v>0</v>
      </c>
      <c r="M17">
        <v>3</v>
      </c>
      <c r="N17">
        <v>2</v>
      </c>
      <c r="O17">
        <v>0</v>
      </c>
      <c r="P17">
        <v>1</v>
      </c>
      <c r="Q17">
        <v>1</v>
      </c>
      <c r="R17">
        <v>2</v>
      </c>
      <c r="S17">
        <v>1</v>
      </c>
      <c r="T17">
        <v>0</v>
      </c>
      <c r="U17">
        <v>2</v>
      </c>
      <c r="V17">
        <v>2</v>
      </c>
      <c r="W17">
        <v>3</v>
      </c>
      <c r="X17">
        <v>2</v>
      </c>
      <c r="Y17">
        <v>0</v>
      </c>
      <c r="Z17">
        <v>1</v>
      </c>
      <c r="AA17">
        <v>0</v>
      </c>
      <c r="AB17">
        <f t="shared" si="0"/>
        <v>33</v>
      </c>
    </row>
    <row r="18" spans="1:28" x14ac:dyDescent="0.2">
      <c r="A18" s="27" t="s">
        <v>1431</v>
      </c>
      <c r="B18">
        <v>24</v>
      </c>
      <c r="C18">
        <v>26</v>
      </c>
      <c r="D18">
        <v>1</v>
      </c>
      <c r="E18">
        <v>2</v>
      </c>
      <c r="F18">
        <v>0</v>
      </c>
      <c r="G18">
        <v>2</v>
      </c>
      <c r="H18">
        <v>6</v>
      </c>
      <c r="I18" s="130"/>
      <c r="J18">
        <v>9</v>
      </c>
      <c r="K18">
        <v>22</v>
      </c>
      <c r="L18">
        <v>10</v>
      </c>
      <c r="M18">
        <v>12</v>
      </c>
      <c r="N18">
        <v>7</v>
      </c>
      <c r="O18">
        <v>7</v>
      </c>
      <c r="P18">
        <v>19</v>
      </c>
      <c r="Q18">
        <v>18</v>
      </c>
      <c r="R18">
        <v>14</v>
      </c>
      <c r="S18">
        <v>8</v>
      </c>
      <c r="T18">
        <v>8</v>
      </c>
      <c r="U18">
        <v>12</v>
      </c>
      <c r="V18">
        <v>16</v>
      </c>
      <c r="W18">
        <v>18</v>
      </c>
      <c r="X18">
        <v>14</v>
      </c>
      <c r="Y18">
        <v>18</v>
      </c>
      <c r="Z18">
        <v>7</v>
      </c>
      <c r="AA18">
        <v>12</v>
      </c>
      <c r="AB18">
        <f t="shared" si="0"/>
        <v>292</v>
      </c>
    </row>
    <row r="19" spans="1:28" x14ac:dyDescent="0.2">
      <c r="A19" s="27" t="s">
        <v>20</v>
      </c>
      <c r="B19">
        <v>0</v>
      </c>
      <c r="C19">
        <v>1</v>
      </c>
      <c r="D19">
        <v>0</v>
      </c>
      <c r="E19">
        <v>0</v>
      </c>
      <c r="F19">
        <v>0</v>
      </c>
      <c r="G19">
        <v>2</v>
      </c>
      <c r="H19">
        <v>0</v>
      </c>
      <c r="I19" s="130"/>
      <c r="J19">
        <v>2</v>
      </c>
      <c r="K19">
        <v>2</v>
      </c>
      <c r="L19">
        <v>4</v>
      </c>
      <c r="M19">
        <v>3</v>
      </c>
      <c r="N19">
        <v>6</v>
      </c>
      <c r="O19">
        <v>0</v>
      </c>
      <c r="P19">
        <v>0</v>
      </c>
      <c r="Q19">
        <v>1</v>
      </c>
      <c r="R19">
        <v>3</v>
      </c>
      <c r="S19">
        <v>1</v>
      </c>
      <c r="T19">
        <v>0</v>
      </c>
      <c r="U19">
        <v>0</v>
      </c>
      <c r="V19">
        <v>2</v>
      </c>
      <c r="W19">
        <v>1</v>
      </c>
      <c r="X19">
        <v>0</v>
      </c>
      <c r="Y19">
        <v>2</v>
      </c>
      <c r="Z19">
        <v>0</v>
      </c>
      <c r="AA19">
        <v>0</v>
      </c>
      <c r="AB19">
        <f t="shared" si="0"/>
        <v>30</v>
      </c>
    </row>
    <row r="20" spans="1:28" x14ac:dyDescent="0.2">
      <c r="A20" s="27" t="s">
        <v>200</v>
      </c>
      <c r="B20">
        <v>0</v>
      </c>
      <c r="C20">
        <v>0</v>
      </c>
      <c r="D20">
        <v>3</v>
      </c>
      <c r="E20">
        <v>4</v>
      </c>
      <c r="F20">
        <v>0</v>
      </c>
      <c r="G20">
        <v>3</v>
      </c>
      <c r="H20">
        <v>7</v>
      </c>
      <c r="I20" s="130"/>
      <c r="J20">
        <v>9</v>
      </c>
      <c r="K20">
        <v>10</v>
      </c>
      <c r="L20">
        <v>20</v>
      </c>
      <c r="M20">
        <v>24</v>
      </c>
      <c r="N20">
        <v>21</v>
      </c>
      <c r="O20">
        <v>0</v>
      </c>
      <c r="P20">
        <v>1</v>
      </c>
      <c r="Q20">
        <v>4</v>
      </c>
      <c r="R20">
        <v>3</v>
      </c>
      <c r="S20">
        <v>1</v>
      </c>
      <c r="T20">
        <v>2</v>
      </c>
      <c r="U20">
        <v>3</v>
      </c>
      <c r="V20">
        <v>18</v>
      </c>
      <c r="W20">
        <v>0</v>
      </c>
      <c r="X20">
        <v>14</v>
      </c>
      <c r="Y20">
        <v>9</v>
      </c>
      <c r="Z20">
        <v>21</v>
      </c>
      <c r="AA20">
        <v>12</v>
      </c>
      <c r="AB20">
        <f t="shared" si="0"/>
        <v>189</v>
      </c>
    </row>
    <row r="21" spans="1:28" x14ac:dyDescent="0.2">
      <c r="A21" s="27" t="s">
        <v>435</v>
      </c>
      <c r="B21">
        <v>0</v>
      </c>
      <c r="C21">
        <v>1</v>
      </c>
      <c r="D21">
        <v>1</v>
      </c>
      <c r="E21">
        <v>8</v>
      </c>
      <c r="F21">
        <v>0</v>
      </c>
      <c r="G21">
        <v>10</v>
      </c>
      <c r="H21">
        <v>10</v>
      </c>
      <c r="I21" s="130"/>
      <c r="J21">
        <v>11</v>
      </c>
      <c r="K21">
        <v>14</v>
      </c>
      <c r="L21">
        <v>21</v>
      </c>
      <c r="M21">
        <v>6</v>
      </c>
      <c r="N21">
        <v>16</v>
      </c>
      <c r="O21">
        <v>0</v>
      </c>
      <c r="P21">
        <v>19</v>
      </c>
      <c r="Q21">
        <v>23</v>
      </c>
      <c r="R21">
        <v>45</v>
      </c>
      <c r="S21">
        <v>2</v>
      </c>
      <c r="T21">
        <v>25</v>
      </c>
      <c r="U21">
        <v>14</v>
      </c>
      <c r="V21">
        <v>43</v>
      </c>
      <c r="W21">
        <v>0</v>
      </c>
      <c r="X21">
        <v>27</v>
      </c>
      <c r="Y21">
        <v>10</v>
      </c>
      <c r="Z21">
        <v>42</v>
      </c>
      <c r="AA21">
        <v>37</v>
      </c>
      <c r="AB21">
        <f t="shared" si="0"/>
        <v>385</v>
      </c>
    </row>
    <row r="22" spans="1:28" x14ac:dyDescent="0.2">
      <c r="A22" s="27" t="s">
        <v>332</v>
      </c>
      <c r="B22">
        <v>5</v>
      </c>
      <c r="C22">
        <v>0</v>
      </c>
      <c r="D22">
        <v>0</v>
      </c>
      <c r="E22">
        <v>9</v>
      </c>
      <c r="F22">
        <v>0</v>
      </c>
      <c r="G22">
        <v>9</v>
      </c>
      <c r="H22">
        <v>5</v>
      </c>
      <c r="I22" s="130"/>
      <c r="J22">
        <v>12</v>
      </c>
      <c r="K22">
        <v>19</v>
      </c>
      <c r="L22">
        <v>45</v>
      </c>
      <c r="M22">
        <v>22</v>
      </c>
      <c r="N22">
        <v>34</v>
      </c>
      <c r="O22">
        <v>0</v>
      </c>
      <c r="P22">
        <v>13</v>
      </c>
      <c r="Q22">
        <v>15</v>
      </c>
      <c r="R22">
        <v>48</v>
      </c>
      <c r="S22">
        <v>15</v>
      </c>
      <c r="T22">
        <v>31</v>
      </c>
      <c r="U22">
        <v>20</v>
      </c>
      <c r="V22">
        <v>43</v>
      </c>
      <c r="W22">
        <v>1</v>
      </c>
      <c r="X22">
        <v>38</v>
      </c>
      <c r="Y22">
        <v>24</v>
      </c>
      <c r="Z22">
        <v>30</v>
      </c>
      <c r="AA22">
        <v>42</v>
      </c>
      <c r="AB22">
        <f t="shared" si="0"/>
        <v>480</v>
      </c>
    </row>
    <row r="23" spans="1:28" x14ac:dyDescent="0.2">
      <c r="A23" s="27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130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f t="shared" si="0"/>
        <v>1</v>
      </c>
    </row>
    <row r="24" spans="1:28" x14ac:dyDescent="0.2">
      <c r="A24" s="27" t="s">
        <v>23</v>
      </c>
      <c r="B24">
        <v>1</v>
      </c>
      <c r="C24">
        <v>0</v>
      </c>
      <c r="D24">
        <v>0</v>
      </c>
      <c r="E24">
        <v>2</v>
      </c>
      <c r="F24">
        <v>0</v>
      </c>
      <c r="G24">
        <v>2</v>
      </c>
      <c r="H24">
        <v>2</v>
      </c>
      <c r="I24" s="130"/>
      <c r="J24">
        <v>2</v>
      </c>
      <c r="K24">
        <v>0</v>
      </c>
      <c r="L24">
        <v>1</v>
      </c>
      <c r="M24">
        <v>4</v>
      </c>
      <c r="N24">
        <v>2</v>
      </c>
      <c r="O24">
        <v>1</v>
      </c>
      <c r="P24">
        <v>1</v>
      </c>
      <c r="Q24">
        <v>4</v>
      </c>
      <c r="R24">
        <v>3</v>
      </c>
      <c r="S24">
        <v>1</v>
      </c>
      <c r="T24">
        <v>2</v>
      </c>
      <c r="U24">
        <v>3</v>
      </c>
      <c r="V24">
        <v>4</v>
      </c>
      <c r="W24">
        <v>0</v>
      </c>
      <c r="X24">
        <v>1</v>
      </c>
      <c r="Y24">
        <v>3</v>
      </c>
      <c r="Z24">
        <v>6</v>
      </c>
      <c r="AA24">
        <v>4</v>
      </c>
      <c r="AB24">
        <f t="shared" si="0"/>
        <v>49</v>
      </c>
    </row>
    <row r="25" spans="1:28" x14ac:dyDescent="0.2">
      <c r="A25" s="27" t="s">
        <v>214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130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f t="shared" si="0"/>
        <v>3</v>
      </c>
    </row>
    <row r="26" spans="1:28" x14ac:dyDescent="0.2">
      <c r="A26" s="27" t="s">
        <v>194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30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f t="shared" si="0"/>
        <v>1</v>
      </c>
    </row>
    <row r="27" spans="1:28" x14ac:dyDescent="0.2">
      <c r="A27" s="27" t="s">
        <v>195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130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2</v>
      </c>
      <c r="AB27">
        <f t="shared" si="0"/>
        <v>3</v>
      </c>
    </row>
    <row r="28" spans="1:28" x14ac:dyDescent="0.2">
      <c r="A28" s="27" t="s">
        <v>1432</v>
      </c>
      <c r="B28">
        <v>0</v>
      </c>
      <c r="C28">
        <v>2</v>
      </c>
      <c r="D28">
        <v>0</v>
      </c>
      <c r="E28">
        <v>0</v>
      </c>
      <c r="F28">
        <v>0</v>
      </c>
      <c r="G28">
        <v>1</v>
      </c>
      <c r="H28">
        <v>3</v>
      </c>
      <c r="I28" s="130"/>
      <c r="J28">
        <v>6</v>
      </c>
      <c r="K28">
        <v>5</v>
      </c>
      <c r="L28">
        <v>12</v>
      </c>
      <c r="M28">
        <v>15</v>
      </c>
      <c r="N28">
        <v>8</v>
      </c>
      <c r="O28">
        <v>2</v>
      </c>
      <c r="P28">
        <v>12</v>
      </c>
      <c r="Q28">
        <v>12</v>
      </c>
      <c r="R28">
        <v>29</v>
      </c>
      <c r="S28">
        <v>3</v>
      </c>
      <c r="T28">
        <v>14</v>
      </c>
      <c r="U28">
        <v>3</v>
      </c>
      <c r="V28">
        <v>9</v>
      </c>
      <c r="W28">
        <v>1</v>
      </c>
      <c r="X28">
        <v>11</v>
      </c>
      <c r="Y28">
        <v>7</v>
      </c>
      <c r="Z28">
        <v>12</v>
      </c>
      <c r="AA28">
        <v>21</v>
      </c>
      <c r="AB28">
        <f t="shared" si="0"/>
        <v>188</v>
      </c>
    </row>
    <row r="29" spans="1:28" x14ac:dyDescent="0.2">
      <c r="A29" s="27" t="s">
        <v>646</v>
      </c>
      <c r="B29">
        <v>1</v>
      </c>
      <c r="C29">
        <v>0</v>
      </c>
      <c r="D29">
        <v>0</v>
      </c>
      <c r="E29">
        <v>2</v>
      </c>
      <c r="F29">
        <v>0</v>
      </c>
      <c r="G29">
        <v>1</v>
      </c>
      <c r="H29">
        <v>1</v>
      </c>
      <c r="I29" s="130"/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2</v>
      </c>
      <c r="W29">
        <v>0</v>
      </c>
      <c r="X29">
        <v>0</v>
      </c>
      <c r="Y29">
        <v>1</v>
      </c>
      <c r="Z29">
        <v>1</v>
      </c>
      <c r="AA29">
        <v>1</v>
      </c>
      <c r="AB29">
        <f t="shared" si="0"/>
        <v>17</v>
      </c>
    </row>
    <row r="30" spans="1:28" x14ac:dyDescent="0.2">
      <c r="A30" s="27" t="s">
        <v>1429</v>
      </c>
      <c r="B30">
        <v>4</v>
      </c>
      <c r="C30">
        <v>9</v>
      </c>
      <c r="D30">
        <v>5</v>
      </c>
      <c r="E30">
        <v>0</v>
      </c>
      <c r="F30">
        <v>49</v>
      </c>
      <c r="G30">
        <v>39</v>
      </c>
      <c r="H30">
        <v>63</v>
      </c>
      <c r="I30" s="130"/>
      <c r="J30">
        <v>47</v>
      </c>
      <c r="K30">
        <v>40</v>
      </c>
      <c r="L30">
        <v>86</v>
      </c>
      <c r="M30">
        <v>67</v>
      </c>
      <c r="N30">
        <v>81</v>
      </c>
      <c r="O30">
        <v>52</v>
      </c>
      <c r="P30">
        <v>55</v>
      </c>
      <c r="Q30">
        <v>54</v>
      </c>
      <c r="R30">
        <v>71</v>
      </c>
      <c r="S30">
        <v>72</v>
      </c>
      <c r="T30">
        <v>28</v>
      </c>
      <c r="U30">
        <v>45</v>
      </c>
      <c r="V30">
        <v>77</v>
      </c>
      <c r="W30">
        <v>43</v>
      </c>
      <c r="X30">
        <v>60</v>
      </c>
      <c r="Y30">
        <v>51</v>
      </c>
      <c r="Z30">
        <v>36</v>
      </c>
      <c r="AA30">
        <v>44</v>
      </c>
      <c r="AB30">
        <f t="shared" si="0"/>
        <v>1178</v>
      </c>
    </row>
    <row r="31" spans="1:28" x14ac:dyDescent="0.2">
      <c r="A31" s="27" t="s">
        <v>31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 s="130"/>
      <c r="J31">
        <v>3</v>
      </c>
      <c r="K31">
        <v>2</v>
      </c>
      <c r="L31">
        <v>3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1</v>
      </c>
      <c r="Z31">
        <v>2</v>
      </c>
      <c r="AA31">
        <v>0</v>
      </c>
      <c r="AB31">
        <f t="shared" si="0"/>
        <v>17</v>
      </c>
    </row>
    <row r="32" spans="1:28" x14ac:dyDescent="0.2">
      <c r="A32" s="27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130"/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f t="shared" si="0"/>
        <v>1</v>
      </c>
    </row>
    <row r="33" spans="1:28" x14ac:dyDescent="0.2">
      <c r="A33" s="27" t="s">
        <v>33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 s="130"/>
      <c r="J33">
        <v>2</v>
      </c>
      <c r="K33">
        <v>3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3</v>
      </c>
      <c r="S33">
        <v>1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Z33">
        <v>2</v>
      </c>
      <c r="AA33">
        <v>0</v>
      </c>
      <c r="AB33">
        <f t="shared" si="0"/>
        <v>18</v>
      </c>
    </row>
    <row r="34" spans="1:28" x14ac:dyDescent="0.2">
      <c r="A34" s="27" t="s">
        <v>36</v>
      </c>
      <c r="I34" s="130"/>
    </row>
    <row r="35" spans="1:28" x14ac:dyDescent="0.2">
      <c r="A35" s="30" t="s">
        <v>344</v>
      </c>
      <c r="AB35">
        <f>SUM(AB3:AB33)</f>
        <v>5423</v>
      </c>
    </row>
    <row r="38" spans="1:28" x14ac:dyDescent="0.2">
      <c r="A38" s="27" t="s">
        <v>1495</v>
      </c>
    </row>
    <row r="39" spans="1:28" x14ac:dyDescent="0.2">
      <c r="A39" s="27" t="s">
        <v>1496</v>
      </c>
    </row>
  </sheetData>
  <mergeCells count="1">
    <mergeCell ref="I1:I3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49"/>
  <sheetViews>
    <sheetView topLeftCell="A25" workbookViewId="0">
      <selection activeCell="A53" sqref="A53"/>
    </sheetView>
  </sheetViews>
  <sheetFormatPr defaultRowHeight="12.75" x14ac:dyDescent="0.2"/>
  <cols>
    <col min="1" max="1" width="25.5703125" customWidth="1"/>
  </cols>
  <sheetData>
    <row r="1" spans="1:23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s="30" t="s">
        <v>449</v>
      </c>
    </row>
    <row r="2" spans="1:23" x14ac:dyDescent="0.2">
      <c r="A2" s="30" t="s">
        <v>287</v>
      </c>
      <c r="B2" s="70" t="s">
        <v>1237</v>
      </c>
      <c r="C2" s="70" t="s">
        <v>941</v>
      </c>
      <c r="D2" s="70" t="s">
        <v>1238</v>
      </c>
      <c r="E2" s="70" t="s">
        <v>1239</v>
      </c>
      <c r="F2" s="70" t="s">
        <v>1240</v>
      </c>
      <c r="G2" s="70" t="s">
        <v>1241</v>
      </c>
      <c r="H2" s="70" t="s">
        <v>999</v>
      </c>
      <c r="I2" s="70" t="s">
        <v>1242</v>
      </c>
      <c r="J2" s="70" t="s">
        <v>1243</v>
      </c>
      <c r="K2" s="70" t="s">
        <v>1244</v>
      </c>
      <c r="L2" s="70" t="s">
        <v>1245</v>
      </c>
      <c r="M2" s="70" t="s">
        <v>1246</v>
      </c>
      <c r="N2" s="70" t="s">
        <v>1247</v>
      </c>
      <c r="O2" s="70" t="s">
        <v>1248</v>
      </c>
      <c r="P2" s="70" t="s">
        <v>1249</v>
      </c>
      <c r="Q2" s="70" t="s">
        <v>650</v>
      </c>
      <c r="R2" s="70" t="s">
        <v>1250</v>
      </c>
      <c r="S2" s="70" t="s">
        <v>1251</v>
      </c>
      <c r="T2" s="70" t="s">
        <v>1252</v>
      </c>
      <c r="U2" s="70" t="s">
        <v>1253</v>
      </c>
      <c r="V2" s="70" t="s">
        <v>344</v>
      </c>
      <c r="W2" s="70" t="s">
        <v>1254</v>
      </c>
    </row>
    <row r="3" spans="1:23" x14ac:dyDescent="0.2">
      <c r="A3" s="27" t="s">
        <v>1</v>
      </c>
      <c r="B3">
        <v>4</v>
      </c>
      <c r="C3">
        <v>4</v>
      </c>
      <c r="D3">
        <v>8</v>
      </c>
      <c r="E3">
        <v>18</v>
      </c>
      <c r="F3">
        <v>49</v>
      </c>
      <c r="G3">
        <v>7</v>
      </c>
      <c r="H3">
        <v>63</v>
      </c>
      <c r="I3">
        <v>72</v>
      </c>
      <c r="J3">
        <v>14</v>
      </c>
      <c r="K3">
        <v>28</v>
      </c>
      <c r="L3">
        <v>48</v>
      </c>
      <c r="M3">
        <v>28</v>
      </c>
      <c r="N3">
        <v>35</v>
      </c>
      <c r="O3">
        <v>26</v>
      </c>
      <c r="P3">
        <v>32</v>
      </c>
      <c r="Q3">
        <v>23</v>
      </c>
      <c r="R3">
        <v>37</v>
      </c>
      <c r="S3">
        <v>40</v>
      </c>
      <c r="T3">
        <v>10</v>
      </c>
      <c r="U3">
        <v>3</v>
      </c>
      <c r="V3">
        <f t="shared" ref="V3:V10" si="0">SUM(B3:U3)</f>
        <v>549</v>
      </c>
      <c r="W3" s="87">
        <f>V3/V46</f>
        <v>0.22574013157894737</v>
      </c>
    </row>
    <row r="4" spans="1:23" x14ac:dyDescent="0.2">
      <c r="A4" s="27" t="s">
        <v>2</v>
      </c>
      <c r="V4">
        <f t="shared" si="0"/>
        <v>0</v>
      </c>
      <c r="W4" s="87">
        <v>0</v>
      </c>
    </row>
    <row r="5" spans="1:23" x14ac:dyDescent="0.2">
      <c r="A5" s="27" t="s">
        <v>3</v>
      </c>
      <c r="B5" s="103"/>
      <c r="F5">
        <v>2</v>
      </c>
      <c r="I5">
        <v>2</v>
      </c>
      <c r="K5">
        <v>3</v>
      </c>
      <c r="L5">
        <v>2</v>
      </c>
      <c r="M5">
        <v>1</v>
      </c>
      <c r="P5">
        <v>1</v>
      </c>
      <c r="R5">
        <v>1</v>
      </c>
      <c r="S5">
        <v>1</v>
      </c>
      <c r="V5" s="104">
        <f t="shared" si="0"/>
        <v>13</v>
      </c>
      <c r="W5" s="87">
        <f>V5/V46</f>
        <v>5.3453947368421054E-3</v>
      </c>
    </row>
    <row r="6" spans="1:23" x14ac:dyDescent="0.2">
      <c r="A6" s="27" t="s">
        <v>4</v>
      </c>
      <c r="D6">
        <v>7</v>
      </c>
      <c r="E6">
        <v>6</v>
      </c>
      <c r="F6">
        <v>19</v>
      </c>
      <c r="G6">
        <v>1</v>
      </c>
      <c r="H6">
        <v>14</v>
      </c>
      <c r="I6">
        <v>21</v>
      </c>
      <c r="K6">
        <v>15</v>
      </c>
      <c r="L6">
        <v>5</v>
      </c>
      <c r="M6">
        <v>9</v>
      </c>
      <c r="N6">
        <v>8</v>
      </c>
      <c r="O6">
        <v>6</v>
      </c>
      <c r="P6">
        <v>4</v>
      </c>
      <c r="R6">
        <v>2</v>
      </c>
      <c r="T6">
        <v>1</v>
      </c>
      <c r="V6">
        <f t="shared" si="0"/>
        <v>118</v>
      </c>
      <c r="W6" s="87">
        <f>V6/V46</f>
        <v>4.8519736842105261E-2</v>
      </c>
    </row>
    <row r="7" spans="1:23" x14ac:dyDescent="0.2">
      <c r="A7" s="27" t="s">
        <v>5</v>
      </c>
      <c r="Q7">
        <v>1</v>
      </c>
      <c r="R7">
        <v>1</v>
      </c>
      <c r="V7">
        <f t="shared" si="0"/>
        <v>2</v>
      </c>
      <c r="W7" s="87">
        <f>V7/V46</f>
        <v>8.2236842105263153E-4</v>
      </c>
    </row>
    <row r="8" spans="1:23" x14ac:dyDescent="0.2">
      <c r="A8" s="27" t="s">
        <v>6</v>
      </c>
      <c r="D8">
        <v>6</v>
      </c>
      <c r="E8">
        <v>19</v>
      </c>
      <c r="F8">
        <v>23</v>
      </c>
      <c r="G8">
        <v>4</v>
      </c>
      <c r="H8">
        <v>56</v>
      </c>
      <c r="I8">
        <v>70</v>
      </c>
      <c r="J8">
        <v>5</v>
      </c>
      <c r="K8">
        <v>39</v>
      </c>
      <c r="L8">
        <v>73</v>
      </c>
      <c r="M8">
        <v>44</v>
      </c>
      <c r="N8">
        <v>75</v>
      </c>
      <c r="O8">
        <v>64</v>
      </c>
      <c r="P8">
        <v>28</v>
      </c>
      <c r="Q8">
        <v>33</v>
      </c>
      <c r="R8">
        <v>64</v>
      </c>
      <c r="S8">
        <v>51</v>
      </c>
      <c r="T8">
        <v>7</v>
      </c>
      <c r="U8">
        <v>6</v>
      </c>
      <c r="V8">
        <f t="shared" si="0"/>
        <v>667</v>
      </c>
      <c r="W8" s="87">
        <f>V8/V46</f>
        <v>0.27425986842105265</v>
      </c>
    </row>
    <row r="9" spans="1:23" x14ac:dyDescent="0.2">
      <c r="A9" s="27" t="s">
        <v>40</v>
      </c>
      <c r="S9">
        <v>3</v>
      </c>
      <c r="V9">
        <f t="shared" si="0"/>
        <v>3</v>
      </c>
      <c r="W9" s="87">
        <f>V9/V46</f>
        <v>1.2335526315789473E-3</v>
      </c>
    </row>
    <row r="10" spans="1:23" x14ac:dyDescent="0.2">
      <c r="A10" s="27" t="s">
        <v>7</v>
      </c>
      <c r="D10">
        <v>2</v>
      </c>
      <c r="E10">
        <v>11</v>
      </c>
      <c r="F10">
        <v>17</v>
      </c>
      <c r="G10">
        <v>1</v>
      </c>
      <c r="H10">
        <v>14</v>
      </c>
      <c r="I10">
        <v>21</v>
      </c>
      <c r="J10">
        <v>2</v>
      </c>
      <c r="K10">
        <v>2</v>
      </c>
      <c r="L10">
        <v>14</v>
      </c>
      <c r="M10">
        <v>13</v>
      </c>
      <c r="N10">
        <v>8</v>
      </c>
      <c r="O10">
        <v>10</v>
      </c>
      <c r="P10">
        <v>12</v>
      </c>
      <c r="Q10">
        <v>4</v>
      </c>
      <c r="R10">
        <v>7</v>
      </c>
      <c r="S10">
        <v>7</v>
      </c>
      <c r="T10">
        <v>3</v>
      </c>
      <c r="U10">
        <v>1</v>
      </c>
      <c r="V10">
        <f t="shared" si="0"/>
        <v>149</v>
      </c>
      <c r="W10" s="87">
        <f>V10/V46</f>
        <v>6.1266447368421052E-2</v>
      </c>
    </row>
    <row r="11" spans="1:23" x14ac:dyDescent="0.2">
      <c r="A11" s="27" t="s">
        <v>995</v>
      </c>
      <c r="V11">
        <v>0</v>
      </c>
      <c r="W11" s="87">
        <v>0</v>
      </c>
    </row>
    <row r="12" spans="1:23" x14ac:dyDescent="0.2">
      <c r="A12" s="27" t="s">
        <v>9</v>
      </c>
      <c r="V12">
        <v>0</v>
      </c>
      <c r="W12" s="87">
        <v>0</v>
      </c>
    </row>
    <row r="13" spans="1:23" x14ac:dyDescent="0.2">
      <c r="A13" s="27" t="s">
        <v>10</v>
      </c>
      <c r="B13">
        <v>1</v>
      </c>
      <c r="C13">
        <v>1</v>
      </c>
      <c r="Q13">
        <v>1</v>
      </c>
      <c r="V13">
        <f>SUM(B13:U13)</f>
        <v>3</v>
      </c>
      <c r="W13" s="87">
        <f>V13/V46</f>
        <v>1.2335526315789473E-3</v>
      </c>
    </row>
    <row r="14" spans="1:23" x14ac:dyDescent="0.2">
      <c r="A14" s="27" t="s">
        <v>11</v>
      </c>
      <c r="V14">
        <v>0</v>
      </c>
      <c r="W14" s="87">
        <v>0</v>
      </c>
    </row>
    <row r="15" spans="1:23" x14ac:dyDescent="0.2">
      <c r="A15" s="27" t="s">
        <v>503</v>
      </c>
      <c r="F15">
        <v>1</v>
      </c>
      <c r="H15">
        <v>2</v>
      </c>
      <c r="I15">
        <v>1</v>
      </c>
      <c r="K15">
        <v>1</v>
      </c>
      <c r="L15">
        <v>1</v>
      </c>
      <c r="O15">
        <v>1</v>
      </c>
      <c r="V15">
        <f>SUM(B15:U15)</f>
        <v>7</v>
      </c>
      <c r="W15" s="87">
        <f>V15/V46</f>
        <v>2.8782894736842104E-3</v>
      </c>
    </row>
    <row r="16" spans="1:23" x14ac:dyDescent="0.2">
      <c r="A16" s="27" t="s">
        <v>469</v>
      </c>
      <c r="V16">
        <v>0</v>
      </c>
      <c r="W16" s="87">
        <v>0</v>
      </c>
    </row>
    <row r="17" spans="1:23" x14ac:dyDescent="0.2">
      <c r="A17" s="27" t="s">
        <v>13</v>
      </c>
      <c r="Q17">
        <v>1</v>
      </c>
      <c r="V17">
        <v>1</v>
      </c>
      <c r="W17" s="87">
        <f>V17/V46</f>
        <v>4.1118421052631577E-4</v>
      </c>
    </row>
    <row r="18" spans="1:23" x14ac:dyDescent="0.2">
      <c r="A18" s="27" t="s">
        <v>14</v>
      </c>
      <c r="V18">
        <v>0</v>
      </c>
      <c r="W18" s="87">
        <v>0</v>
      </c>
    </row>
    <row r="19" spans="1:23" x14ac:dyDescent="0.2">
      <c r="A19" s="27" t="s">
        <v>427</v>
      </c>
      <c r="V19">
        <v>0</v>
      </c>
      <c r="W19" s="87">
        <v>0</v>
      </c>
    </row>
    <row r="20" spans="1:23" x14ac:dyDescent="0.2">
      <c r="A20" s="27" t="s">
        <v>15</v>
      </c>
      <c r="L20">
        <v>1</v>
      </c>
      <c r="V20">
        <v>1</v>
      </c>
      <c r="W20" s="87">
        <f>V20/V46</f>
        <v>4.1118421052631577E-4</v>
      </c>
    </row>
    <row r="21" spans="1:23" x14ac:dyDescent="0.2">
      <c r="A21" s="27" t="s">
        <v>16</v>
      </c>
      <c r="E21">
        <v>2</v>
      </c>
      <c r="F21">
        <v>2</v>
      </c>
      <c r="M21">
        <v>1</v>
      </c>
      <c r="O21">
        <v>1</v>
      </c>
      <c r="S21">
        <v>1</v>
      </c>
      <c r="V21">
        <f>SUM(B21:U21)</f>
        <v>7</v>
      </c>
      <c r="W21" s="87">
        <f>V21/V46</f>
        <v>2.8782894736842104E-3</v>
      </c>
    </row>
    <row r="22" spans="1:23" x14ac:dyDescent="0.2">
      <c r="A22" s="27" t="s">
        <v>17</v>
      </c>
      <c r="V22">
        <v>0</v>
      </c>
      <c r="W22" s="87">
        <v>0</v>
      </c>
    </row>
    <row r="23" spans="1:23" x14ac:dyDescent="0.2">
      <c r="A23" s="27" t="s">
        <v>18</v>
      </c>
      <c r="E23">
        <v>1</v>
      </c>
      <c r="H23">
        <v>1</v>
      </c>
      <c r="I23">
        <v>1</v>
      </c>
      <c r="V23">
        <f t="shared" ref="V23:V30" si="1">SUM(B23:U23)</f>
        <v>3</v>
      </c>
      <c r="W23" s="87">
        <f>V23/V46</f>
        <v>1.2335526315789473E-3</v>
      </c>
    </row>
    <row r="24" spans="1:23" x14ac:dyDescent="0.2">
      <c r="A24" s="27" t="s">
        <v>19</v>
      </c>
      <c r="D24">
        <v>2</v>
      </c>
      <c r="E24">
        <v>1</v>
      </c>
      <c r="F24">
        <v>1</v>
      </c>
      <c r="H24">
        <v>1</v>
      </c>
      <c r="I24">
        <v>2</v>
      </c>
      <c r="K24">
        <v>1</v>
      </c>
      <c r="M24">
        <v>1</v>
      </c>
      <c r="N24">
        <v>1</v>
      </c>
      <c r="O24">
        <v>4</v>
      </c>
      <c r="P24">
        <v>2</v>
      </c>
      <c r="V24">
        <f t="shared" si="1"/>
        <v>16</v>
      </c>
      <c r="W24" s="87">
        <f>V24/V46</f>
        <v>6.5789473684210523E-3</v>
      </c>
    </row>
    <row r="25" spans="1:23" x14ac:dyDescent="0.2">
      <c r="A25" s="27" t="s">
        <v>20</v>
      </c>
      <c r="R25">
        <v>1</v>
      </c>
      <c r="V25">
        <f t="shared" si="1"/>
        <v>1</v>
      </c>
      <c r="W25" s="87">
        <f>V25/V46</f>
        <v>4.1118421052631577E-4</v>
      </c>
    </row>
    <row r="26" spans="1:23" x14ac:dyDescent="0.2">
      <c r="A26" s="27" t="s">
        <v>645</v>
      </c>
      <c r="D26">
        <v>2</v>
      </c>
      <c r="E26">
        <v>11</v>
      </c>
      <c r="F26">
        <v>38</v>
      </c>
      <c r="H26">
        <v>56</v>
      </c>
      <c r="I26">
        <v>83</v>
      </c>
      <c r="J26">
        <v>10</v>
      </c>
      <c r="K26">
        <v>39</v>
      </c>
      <c r="L26">
        <v>38</v>
      </c>
      <c r="M26">
        <v>37</v>
      </c>
      <c r="N26">
        <v>26</v>
      </c>
      <c r="O26">
        <v>31</v>
      </c>
      <c r="P26">
        <v>18</v>
      </c>
      <c r="Q26">
        <v>10</v>
      </c>
      <c r="R26">
        <v>16</v>
      </c>
      <c r="S26">
        <v>26</v>
      </c>
      <c r="U26">
        <v>3</v>
      </c>
      <c r="V26">
        <f t="shared" si="1"/>
        <v>444</v>
      </c>
      <c r="W26" s="87">
        <f>V26/V46</f>
        <v>0.18256578947368421</v>
      </c>
    </row>
    <row r="27" spans="1:23" x14ac:dyDescent="0.2">
      <c r="A27" s="27" t="s">
        <v>200</v>
      </c>
      <c r="D27">
        <v>4</v>
      </c>
      <c r="E27">
        <v>2</v>
      </c>
      <c r="F27">
        <v>8</v>
      </c>
      <c r="H27">
        <v>6</v>
      </c>
      <c r="I27">
        <v>7</v>
      </c>
      <c r="L27">
        <v>4</v>
      </c>
      <c r="M27">
        <v>2</v>
      </c>
      <c r="N27">
        <v>8</v>
      </c>
      <c r="O27">
        <v>1</v>
      </c>
      <c r="P27">
        <v>2</v>
      </c>
      <c r="Q27">
        <v>2</v>
      </c>
      <c r="R27">
        <v>3</v>
      </c>
      <c r="S27">
        <v>4</v>
      </c>
      <c r="T27">
        <v>1</v>
      </c>
      <c r="V27">
        <f t="shared" si="1"/>
        <v>54</v>
      </c>
      <c r="W27" s="87">
        <f>V27/V46</f>
        <v>2.2203947368421052E-2</v>
      </c>
    </row>
    <row r="28" spans="1:23" x14ac:dyDescent="0.2">
      <c r="A28" s="27" t="s">
        <v>435</v>
      </c>
      <c r="F28">
        <v>3</v>
      </c>
      <c r="H28">
        <v>2</v>
      </c>
      <c r="I28">
        <v>10</v>
      </c>
      <c r="J28">
        <v>2</v>
      </c>
      <c r="L28">
        <v>4</v>
      </c>
      <c r="M28">
        <v>5</v>
      </c>
      <c r="N28">
        <v>4</v>
      </c>
      <c r="O28">
        <v>1</v>
      </c>
      <c r="P28">
        <v>1</v>
      </c>
      <c r="R28">
        <v>5</v>
      </c>
      <c r="S28">
        <v>5</v>
      </c>
      <c r="T28">
        <v>1</v>
      </c>
      <c r="V28">
        <f t="shared" si="1"/>
        <v>43</v>
      </c>
      <c r="W28" s="87">
        <f>V28/V46</f>
        <v>1.7680921052631578E-2</v>
      </c>
    </row>
    <row r="29" spans="1:23" x14ac:dyDescent="0.2">
      <c r="A29" s="27" t="s">
        <v>22</v>
      </c>
      <c r="C29">
        <v>1</v>
      </c>
      <c r="V29">
        <f t="shared" si="1"/>
        <v>1</v>
      </c>
      <c r="W29" s="87">
        <f>V29/V46</f>
        <v>4.1118421052631577E-4</v>
      </c>
    </row>
    <row r="30" spans="1:23" x14ac:dyDescent="0.2">
      <c r="A30" s="27" t="s">
        <v>23</v>
      </c>
      <c r="B30">
        <v>1</v>
      </c>
      <c r="D30">
        <v>8</v>
      </c>
      <c r="E30">
        <v>10</v>
      </c>
      <c r="F30">
        <v>7</v>
      </c>
      <c r="H30">
        <v>4</v>
      </c>
      <c r="I30">
        <v>11</v>
      </c>
      <c r="J30">
        <v>2</v>
      </c>
      <c r="K30">
        <v>7</v>
      </c>
      <c r="L30">
        <v>2</v>
      </c>
      <c r="M30">
        <v>4</v>
      </c>
      <c r="N30">
        <v>1</v>
      </c>
      <c r="O30">
        <v>1</v>
      </c>
      <c r="P30">
        <v>3</v>
      </c>
      <c r="Q30">
        <v>2</v>
      </c>
      <c r="R30">
        <v>3</v>
      </c>
      <c r="S30">
        <v>1</v>
      </c>
      <c r="V30">
        <f t="shared" si="1"/>
        <v>67</v>
      </c>
      <c r="W30" s="87">
        <f>V30/V46</f>
        <v>2.7549342105263157E-2</v>
      </c>
    </row>
    <row r="31" spans="1:23" x14ac:dyDescent="0.2">
      <c r="A31" s="27" t="s">
        <v>214</v>
      </c>
      <c r="V31">
        <v>0</v>
      </c>
      <c r="W31" s="87">
        <v>0</v>
      </c>
    </row>
    <row r="32" spans="1:23" x14ac:dyDescent="0.2">
      <c r="A32" s="27" t="s">
        <v>194</v>
      </c>
      <c r="H32">
        <v>1</v>
      </c>
      <c r="L32">
        <v>1</v>
      </c>
      <c r="N32">
        <v>1</v>
      </c>
      <c r="O32">
        <v>1</v>
      </c>
      <c r="R32">
        <v>1</v>
      </c>
      <c r="V32">
        <f>SUM(B32:U32)</f>
        <v>5</v>
      </c>
      <c r="W32" s="87">
        <f>V32/V46</f>
        <v>2.0559210526315788E-3</v>
      </c>
    </row>
    <row r="33" spans="1:23" x14ac:dyDescent="0.2">
      <c r="A33" s="27" t="s">
        <v>195</v>
      </c>
      <c r="I33">
        <v>2</v>
      </c>
      <c r="V33">
        <f>SUM(B33:U33)</f>
        <v>2</v>
      </c>
      <c r="W33" s="87">
        <f>V33/V46</f>
        <v>8.2236842105263153E-4</v>
      </c>
    </row>
    <row r="34" spans="1:23" x14ac:dyDescent="0.2">
      <c r="A34" s="27" t="s">
        <v>25</v>
      </c>
      <c r="D34">
        <v>2</v>
      </c>
      <c r="E34">
        <v>5</v>
      </c>
      <c r="F34">
        <v>5</v>
      </c>
      <c r="G34">
        <v>1</v>
      </c>
      <c r="H34">
        <v>4</v>
      </c>
      <c r="I34">
        <v>11</v>
      </c>
      <c r="J34">
        <v>2</v>
      </c>
      <c r="K34">
        <v>8</v>
      </c>
      <c r="L34">
        <v>9</v>
      </c>
      <c r="M34">
        <v>6</v>
      </c>
      <c r="N34">
        <v>5</v>
      </c>
      <c r="O34">
        <v>5</v>
      </c>
      <c r="P34">
        <v>4</v>
      </c>
      <c r="Q34">
        <v>1</v>
      </c>
      <c r="R34">
        <v>2</v>
      </c>
      <c r="S34">
        <v>1</v>
      </c>
      <c r="U34">
        <v>1</v>
      </c>
      <c r="V34">
        <f>SUM(B34:U34)</f>
        <v>72</v>
      </c>
      <c r="W34" s="87">
        <f>V34/V46</f>
        <v>2.9605263157894735E-2</v>
      </c>
    </row>
    <row r="35" spans="1:23" x14ac:dyDescent="0.2">
      <c r="A35" s="27" t="s">
        <v>646</v>
      </c>
      <c r="V35">
        <v>0</v>
      </c>
      <c r="W35" s="87">
        <v>0</v>
      </c>
    </row>
    <row r="36" spans="1:23" x14ac:dyDescent="0.2">
      <c r="A36" s="27" t="s">
        <v>26</v>
      </c>
      <c r="V36">
        <v>0</v>
      </c>
      <c r="W36" s="87">
        <v>0</v>
      </c>
    </row>
    <row r="37" spans="1:23" x14ac:dyDescent="0.2">
      <c r="A37" s="27" t="s">
        <v>27</v>
      </c>
      <c r="B37">
        <v>1</v>
      </c>
      <c r="C37">
        <v>1</v>
      </c>
      <c r="D37">
        <v>6</v>
      </c>
      <c r="E37">
        <v>11</v>
      </c>
      <c r="F37">
        <v>23</v>
      </c>
      <c r="H37">
        <v>5</v>
      </c>
      <c r="I37">
        <v>13</v>
      </c>
      <c r="J37">
        <v>5</v>
      </c>
      <c r="K37">
        <v>3</v>
      </c>
      <c r="L37">
        <v>6</v>
      </c>
      <c r="M37">
        <v>14</v>
      </c>
      <c r="N37">
        <v>15</v>
      </c>
      <c r="O37">
        <v>14</v>
      </c>
      <c r="P37">
        <v>9</v>
      </c>
      <c r="Q37">
        <v>5</v>
      </c>
      <c r="R37">
        <v>5</v>
      </c>
      <c r="S37">
        <v>5</v>
      </c>
      <c r="T37">
        <v>4</v>
      </c>
      <c r="U37">
        <v>1</v>
      </c>
      <c r="V37">
        <f>SUM(B37:U37)</f>
        <v>146</v>
      </c>
      <c r="W37" s="87">
        <f>V37/V46</f>
        <v>6.0032894736842105E-2</v>
      </c>
    </row>
    <row r="38" spans="1:23" x14ac:dyDescent="0.2">
      <c r="A38" s="27" t="s">
        <v>28</v>
      </c>
      <c r="V38">
        <v>0</v>
      </c>
      <c r="W38" s="87">
        <v>0</v>
      </c>
    </row>
    <row r="39" spans="1:23" x14ac:dyDescent="0.2">
      <c r="A39" s="27" t="s">
        <v>29</v>
      </c>
      <c r="O39">
        <v>1</v>
      </c>
      <c r="P39">
        <v>1</v>
      </c>
      <c r="V39">
        <f>SUM(B39:U39)</f>
        <v>2</v>
      </c>
      <c r="W39" s="87">
        <f>V39/V46</f>
        <v>8.2236842105263153E-4</v>
      </c>
    </row>
    <row r="40" spans="1:23" x14ac:dyDescent="0.2">
      <c r="A40" s="27" t="s">
        <v>30</v>
      </c>
      <c r="V40">
        <v>0</v>
      </c>
      <c r="W40" s="87">
        <v>0</v>
      </c>
    </row>
    <row r="41" spans="1:23" x14ac:dyDescent="0.2">
      <c r="A41" s="27" t="s">
        <v>442</v>
      </c>
      <c r="V41">
        <v>0</v>
      </c>
      <c r="W41" s="87">
        <v>0</v>
      </c>
    </row>
    <row r="42" spans="1:23" x14ac:dyDescent="0.2">
      <c r="A42" s="27" t="s">
        <v>31</v>
      </c>
      <c r="B42">
        <v>1</v>
      </c>
      <c r="E42">
        <v>2</v>
      </c>
      <c r="F42">
        <v>1</v>
      </c>
      <c r="H42">
        <v>2</v>
      </c>
      <c r="I42">
        <v>2</v>
      </c>
      <c r="L42">
        <v>3</v>
      </c>
      <c r="N42">
        <v>5</v>
      </c>
      <c r="P42">
        <v>2</v>
      </c>
      <c r="R42">
        <v>1</v>
      </c>
      <c r="T42">
        <v>1</v>
      </c>
      <c r="U42">
        <v>1</v>
      </c>
      <c r="V42">
        <f>SUM(B42:U42)</f>
        <v>21</v>
      </c>
      <c r="W42" s="87">
        <f>V42/V46</f>
        <v>8.6348684210526324E-3</v>
      </c>
    </row>
    <row r="43" spans="1:23" x14ac:dyDescent="0.2">
      <c r="A43" s="27" t="s">
        <v>32</v>
      </c>
      <c r="V43">
        <v>0</v>
      </c>
      <c r="W43" s="87">
        <v>0</v>
      </c>
    </row>
    <row r="44" spans="1:23" x14ac:dyDescent="0.2">
      <c r="A44" s="27" t="s">
        <v>33</v>
      </c>
      <c r="D44">
        <v>2</v>
      </c>
      <c r="E44">
        <v>2</v>
      </c>
      <c r="F44">
        <v>3</v>
      </c>
      <c r="G44">
        <v>1</v>
      </c>
      <c r="H44">
        <v>4</v>
      </c>
      <c r="I44">
        <v>4</v>
      </c>
      <c r="K44">
        <v>2</v>
      </c>
      <c r="L44">
        <v>1</v>
      </c>
      <c r="N44">
        <v>7</v>
      </c>
      <c r="O44">
        <v>2</v>
      </c>
      <c r="P44">
        <v>5</v>
      </c>
      <c r="R44">
        <v>2</v>
      </c>
      <c r="V44">
        <f>SUM(B44:U44)</f>
        <v>35</v>
      </c>
      <c r="W44" s="87">
        <f>V44/V46</f>
        <v>1.4391447368421052E-2</v>
      </c>
    </row>
    <row r="45" spans="1:23" x14ac:dyDescent="0.2">
      <c r="A45" s="27" t="s">
        <v>36</v>
      </c>
      <c r="V45">
        <v>0</v>
      </c>
      <c r="W45" s="87">
        <v>0</v>
      </c>
    </row>
    <row r="46" spans="1:23" x14ac:dyDescent="0.2">
      <c r="A46" s="30" t="s">
        <v>344</v>
      </c>
      <c r="B46">
        <f t="shared" ref="B46:U46" si="2">SUM(B3:B45)</f>
        <v>8</v>
      </c>
      <c r="C46">
        <f t="shared" si="2"/>
        <v>7</v>
      </c>
      <c r="D46">
        <f t="shared" si="2"/>
        <v>49</v>
      </c>
      <c r="E46">
        <f t="shared" si="2"/>
        <v>101</v>
      </c>
      <c r="F46">
        <f t="shared" si="2"/>
        <v>202</v>
      </c>
      <c r="G46">
        <f t="shared" si="2"/>
        <v>15</v>
      </c>
      <c r="H46">
        <f t="shared" si="2"/>
        <v>235</v>
      </c>
      <c r="I46">
        <f t="shared" si="2"/>
        <v>333</v>
      </c>
      <c r="J46">
        <f t="shared" si="2"/>
        <v>42</v>
      </c>
      <c r="K46">
        <f t="shared" si="2"/>
        <v>148</v>
      </c>
      <c r="L46">
        <f t="shared" si="2"/>
        <v>212</v>
      </c>
      <c r="M46">
        <f t="shared" si="2"/>
        <v>165</v>
      </c>
      <c r="N46">
        <f t="shared" si="2"/>
        <v>199</v>
      </c>
      <c r="O46">
        <f t="shared" si="2"/>
        <v>169</v>
      </c>
      <c r="P46">
        <f t="shared" si="2"/>
        <v>124</v>
      </c>
      <c r="Q46">
        <f t="shared" si="2"/>
        <v>83</v>
      </c>
      <c r="R46">
        <f t="shared" si="2"/>
        <v>151</v>
      </c>
      <c r="S46">
        <f t="shared" si="2"/>
        <v>145</v>
      </c>
      <c r="T46">
        <f t="shared" si="2"/>
        <v>28</v>
      </c>
      <c r="U46">
        <f t="shared" si="2"/>
        <v>16</v>
      </c>
      <c r="V46">
        <f>SUM(B46:U46)</f>
        <v>2432</v>
      </c>
      <c r="W46" s="87">
        <f>SUM(W3:W45)</f>
        <v>0.99999999999999989</v>
      </c>
    </row>
    <row r="49" spans="1:1" x14ac:dyDescent="0.2">
      <c r="A49" s="27" t="s">
        <v>1492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49"/>
  <sheetViews>
    <sheetView topLeftCell="A28" workbookViewId="0">
      <selection activeCell="A49" sqref="A49"/>
    </sheetView>
  </sheetViews>
  <sheetFormatPr defaultRowHeight="12.75" x14ac:dyDescent="0.2"/>
  <cols>
    <col min="1" max="1" width="24.7109375" customWidth="1"/>
  </cols>
  <sheetData>
    <row r="1" spans="1:13" x14ac:dyDescent="0.2">
      <c r="A1" s="30" t="s">
        <v>448</v>
      </c>
      <c r="B1" s="107" t="s">
        <v>1261</v>
      </c>
      <c r="C1" s="108">
        <v>2</v>
      </c>
      <c r="D1" s="108">
        <v>3</v>
      </c>
      <c r="E1" s="108">
        <v>4</v>
      </c>
      <c r="F1" s="108">
        <v>5</v>
      </c>
      <c r="G1" s="108">
        <v>6</v>
      </c>
      <c r="H1" s="108">
        <v>7</v>
      </c>
      <c r="I1" s="108">
        <v>8</v>
      </c>
      <c r="J1" s="108">
        <v>9</v>
      </c>
      <c r="K1" s="108">
        <v>10</v>
      </c>
      <c r="L1" s="30" t="s">
        <v>449</v>
      </c>
    </row>
    <row r="2" spans="1:13" x14ac:dyDescent="0.2">
      <c r="A2" s="30" t="s">
        <v>287</v>
      </c>
      <c r="B2" s="107" t="s">
        <v>1255</v>
      </c>
      <c r="C2" s="108" t="s">
        <v>1256</v>
      </c>
      <c r="D2" s="108" t="s">
        <v>1257</v>
      </c>
      <c r="E2" s="108" t="s">
        <v>1258</v>
      </c>
      <c r="F2" s="108" t="s">
        <v>1259</v>
      </c>
      <c r="G2" s="108" t="s">
        <v>1260</v>
      </c>
      <c r="H2" s="108" t="s">
        <v>1262</v>
      </c>
      <c r="I2" s="108" t="s">
        <v>975</v>
      </c>
      <c r="J2" s="108" t="s">
        <v>1263</v>
      </c>
      <c r="K2" s="108" t="s">
        <v>1264</v>
      </c>
      <c r="L2" s="30" t="s">
        <v>1265</v>
      </c>
      <c r="M2" s="30" t="s">
        <v>1266</v>
      </c>
    </row>
    <row r="3" spans="1:13" x14ac:dyDescent="0.2">
      <c r="A3" s="27" t="s">
        <v>1</v>
      </c>
      <c r="B3" s="104">
        <v>17</v>
      </c>
      <c r="C3">
        <v>20</v>
      </c>
      <c r="D3">
        <v>28</v>
      </c>
      <c r="E3">
        <v>11</v>
      </c>
      <c r="F3">
        <v>2</v>
      </c>
      <c r="G3">
        <v>13</v>
      </c>
      <c r="H3">
        <v>5</v>
      </c>
      <c r="I3">
        <v>7</v>
      </c>
      <c r="J3">
        <v>5</v>
      </c>
      <c r="L3" s="63">
        <f>SUM(B3:K3)</f>
        <v>108</v>
      </c>
      <c r="M3" s="105">
        <f>L3/L46</f>
        <v>0.17142857142857143</v>
      </c>
    </row>
    <row r="4" spans="1:13" x14ac:dyDescent="0.2">
      <c r="A4" s="27" t="s">
        <v>2</v>
      </c>
      <c r="L4">
        <v>0</v>
      </c>
      <c r="M4" s="106">
        <v>0</v>
      </c>
    </row>
    <row r="5" spans="1:13" x14ac:dyDescent="0.2">
      <c r="A5" s="27" t="s">
        <v>3</v>
      </c>
      <c r="B5">
        <v>1</v>
      </c>
      <c r="D5">
        <v>5</v>
      </c>
      <c r="F5">
        <v>1</v>
      </c>
      <c r="J5">
        <v>2</v>
      </c>
      <c r="L5">
        <f>SUM(B5:K5)</f>
        <v>9</v>
      </c>
      <c r="M5" s="106">
        <f>L5/L46</f>
        <v>1.4285714285714285E-2</v>
      </c>
    </row>
    <row r="6" spans="1:13" x14ac:dyDescent="0.2">
      <c r="A6" s="27" t="s">
        <v>4</v>
      </c>
      <c r="B6">
        <v>4</v>
      </c>
      <c r="C6">
        <v>3</v>
      </c>
      <c r="E6">
        <v>1</v>
      </c>
      <c r="F6">
        <v>2</v>
      </c>
      <c r="G6">
        <v>2</v>
      </c>
      <c r="H6">
        <v>2</v>
      </c>
      <c r="J6">
        <v>4</v>
      </c>
      <c r="L6">
        <f>SUM(B6:K6)</f>
        <v>18</v>
      </c>
      <c r="M6" s="106">
        <f>L6/L46</f>
        <v>2.8571428571428571E-2</v>
      </c>
    </row>
    <row r="7" spans="1:13" x14ac:dyDescent="0.2">
      <c r="A7" s="27" t="s">
        <v>5</v>
      </c>
      <c r="E7">
        <v>2</v>
      </c>
      <c r="G7">
        <v>1</v>
      </c>
      <c r="L7">
        <f>SUM(B7:K7)</f>
        <v>3</v>
      </c>
      <c r="M7" s="106">
        <f>L7/L46</f>
        <v>4.7619047619047623E-3</v>
      </c>
    </row>
    <row r="8" spans="1:13" x14ac:dyDescent="0.2">
      <c r="A8" s="27" t="s">
        <v>6</v>
      </c>
      <c r="B8">
        <v>14</v>
      </c>
      <c r="C8">
        <v>8</v>
      </c>
      <c r="D8">
        <v>37</v>
      </c>
      <c r="E8">
        <v>10</v>
      </c>
      <c r="F8">
        <v>5</v>
      </c>
      <c r="G8">
        <v>4</v>
      </c>
      <c r="H8">
        <v>4</v>
      </c>
      <c r="I8">
        <v>4</v>
      </c>
      <c r="J8">
        <v>12</v>
      </c>
      <c r="L8">
        <f>SUM(B8:K8)</f>
        <v>98</v>
      </c>
      <c r="M8" s="106">
        <f>L8/L46</f>
        <v>0.15555555555555556</v>
      </c>
    </row>
    <row r="9" spans="1:13" x14ac:dyDescent="0.2">
      <c r="A9" s="27" t="s">
        <v>40</v>
      </c>
      <c r="L9">
        <v>0</v>
      </c>
      <c r="M9" s="106">
        <v>0</v>
      </c>
    </row>
    <row r="10" spans="1:13" x14ac:dyDescent="0.2">
      <c r="A10" s="27" t="s">
        <v>7</v>
      </c>
      <c r="B10">
        <v>5</v>
      </c>
      <c r="C10">
        <v>4</v>
      </c>
      <c r="D10">
        <v>29</v>
      </c>
      <c r="E10">
        <v>9</v>
      </c>
      <c r="G10">
        <v>2</v>
      </c>
      <c r="H10">
        <v>3</v>
      </c>
      <c r="K10">
        <v>4</v>
      </c>
      <c r="L10">
        <f>SUM(B10:K10)</f>
        <v>56</v>
      </c>
      <c r="M10" s="106">
        <f>L10/L46</f>
        <v>8.8888888888888892E-2</v>
      </c>
    </row>
    <row r="11" spans="1:13" x14ac:dyDescent="0.2">
      <c r="A11" s="27" t="s">
        <v>995</v>
      </c>
      <c r="L11">
        <v>0</v>
      </c>
      <c r="M11" s="106">
        <v>0</v>
      </c>
    </row>
    <row r="12" spans="1:13" x14ac:dyDescent="0.2">
      <c r="A12" s="27" t="s">
        <v>9</v>
      </c>
      <c r="G12">
        <v>2</v>
      </c>
      <c r="L12">
        <v>2</v>
      </c>
      <c r="M12" s="106">
        <f>L12/L46</f>
        <v>3.1746031746031746E-3</v>
      </c>
    </row>
    <row r="13" spans="1:13" x14ac:dyDescent="0.2">
      <c r="A13" s="27" t="s">
        <v>10</v>
      </c>
      <c r="L13">
        <v>0</v>
      </c>
      <c r="M13" s="106">
        <v>0</v>
      </c>
    </row>
    <row r="14" spans="1:13" x14ac:dyDescent="0.2">
      <c r="A14" s="27" t="s">
        <v>11</v>
      </c>
      <c r="L14">
        <v>0</v>
      </c>
      <c r="M14" s="106">
        <v>0</v>
      </c>
    </row>
    <row r="15" spans="1:13" x14ac:dyDescent="0.2">
      <c r="A15" s="27" t="s">
        <v>503</v>
      </c>
      <c r="B15">
        <v>2</v>
      </c>
      <c r="D15">
        <v>3</v>
      </c>
      <c r="H15">
        <v>1</v>
      </c>
      <c r="L15">
        <f>SUM(B15:K15)</f>
        <v>6</v>
      </c>
      <c r="M15" s="106">
        <f>L15/L46</f>
        <v>9.5238095238095247E-3</v>
      </c>
    </row>
    <row r="16" spans="1:13" x14ac:dyDescent="0.2">
      <c r="A16" s="27" t="s">
        <v>469</v>
      </c>
      <c r="L16">
        <v>0</v>
      </c>
      <c r="M16" s="106">
        <v>0</v>
      </c>
    </row>
    <row r="17" spans="1:13" x14ac:dyDescent="0.2">
      <c r="A17" s="27" t="s">
        <v>13</v>
      </c>
      <c r="L17">
        <v>0</v>
      </c>
      <c r="M17" s="106">
        <v>0</v>
      </c>
    </row>
    <row r="18" spans="1:13" x14ac:dyDescent="0.2">
      <c r="A18" s="27" t="s">
        <v>14</v>
      </c>
      <c r="L18">
        <v>0</v>
      </c>
      <c r="M18" s="106">
        <v>0</v>
      </c>
    </row>
    <row r="19" spans="1:13" x14ac:dyDescent="0.2">
      <c r="A19" s="27" t="s">
        <v>427</v>
      </c>
      <c r="L19">
        <v>0</v>
      </c>
      <c r="M19" s="106">
        <v>0</v>
      </c>
    </row>
    <row r="20" spans="1:13" x14ac:dyDescent="0.2">
      <c r="A20" s="27" t="s">
        <v>15</v>
      </c>
      <c r="L20">
        <v>0</v>
      </c>
      <c r="M20" s="106">
        <v>0</v>
      </c>
    </row>
    <row r="21" spans="1:13" x14ac:dyDescent="0.2">
      <c r="A21" s="27" t="s">
        <v>16</v>
      </c>
      <c r="L21">
        <v>0</v>
      </c>
      <c r="M21" s="106">
        <v>0</v>
      </c>
    </row>
    <row r="22" spans="1:13" x14ac:dyDescent="0.2">
      <c r="A22" s="27" t="s">
        <v>17</v>
      </c>
      <c r="D22">
        <v>1</v>
      </c>
      <c r="E22">
        <v>1</v>
      </c>
      <c r="L22">
        <f>SUM(B22:K22)</f>
        <v>2</v>
      </c>
      <c r="M22" s="106">
        <f>L22/L46</f>
        <v>3.1746031746031746E-3</v>
      </c>
    </row>
    <row r="23" spans="1:13" x14ac:dyDescent="0.2">
      <c r="A23" s="27" t="s">
        <v>18</v>
      </c>
      <c r="E23">
        <v>1</v>
      </c>
      <c r="L23">
        <v>1</v>
      </c>
      <c r="M23" s="106">
        <f>L23/L46</f>
        <v>1.5873015873015873E-3</v>
      </c>
    </row>
    <row r="24" spans="1:13" x14ac:dyDescent="0.2">
      <c r="A24" s="27" t="s">
        <v>19</v>
      </c>
      <c r="B24">
        <v>2</v>
      </c>
      <c r="C24">
        <v>5</v>
      </c>
      <c r="D24">
        <v>12</v>
      </c>
      <c r="E24">
        <v>8</v>
      </c>
      <c r="F24">
        <v>1</v>
      </c>
      <c r="G24">
        <v>5</v>
      </c>
      <c r="I24">
        <v>4</v>
      </c>
      <c r="J24">
        <v>1</v>
      </c>
      <c r="L24">
        <f>SUM(B24:K24)</f>
        <v>38</v>
      </c>
      <c r="M24" s="106">
        <f>L24/L46</f>
        <v>6.0317460317460318E-2</v>
      </c>
    </row>
    <row r="25" spans="1:13" x14ac:dyDescent="0.2">
      <c r="A25" s="27" t="s">
        <v>20</v>
      </c>
      <c r="L25">
        <v>0</v>
      </c>
      <c r="M25" s="106">
        <v>0</v>
      </c>
    </row>
    <row r="26" spans="1:13" x14ac:dyDescent="0.2">
      <c r="A26" s="27" t="s">
        <v>645</v>
      </c>
      <c r="B26">
        <v>6</v>
      </c>
      <c r="C26">
        <v>5</v>
      </c>
      <c r="D26">
        <v>26</v>
      </c>
      <c r="E26">
        <v>4</v>
      </c>
      <c r="G26">
        <v>4</v>
      </c>
      <c r="H26">
        <v>1</v>
      </c>
      <c r="I26">
        <v>1</v>
      </c>
      <c r="J26">
        <v>4</v>
      </c>
      <c r="L26">
        <f>SUM(B26:K26)</f>
        <v>51</v>
      </c>
      <c r="M26" s="106">
        <f>L26/L46</f>
        <v>8.0952380952380956E-2</v>
      </c>
    </row>
    <row r="27" spans="1:13" x14ac:dyDescent="0.2">
      <c r="A27" s="27" t="s">
        <v>200</v>
      </c>
      <c r="B27">
        <v>4</v>
      </c>
      <c r="D27">
        <v>11</v>
      </c>
      <c r="E27">
        <v>2</v>
      </c>
      <c r="G27">
        <v>1</v>
      </c>
      <c r="H27">
        <v>1</v>
      </c>
      <c r="L27">
        <f>SUM(B27:K27)</f>
        <v>19</v>
      </c>
      <c r="M27" s="106">
        <f>L27/L46</f>
        <v>3.0158730158730159E-2</v>
      </c>
    </row>
    <row r="28" spans="1:13" x14ac:dyDescent="0.2">
      <c r="A28" s="27" t="s">
        <v>435</v>
      </c>
      <c r="B28">
        <v>5</v>
      </c>
      <c r="C28">
        <v>5</v>
      </c>
      <c r="D28">
        <v>28</v>
      </c>
      <c r="E28">
        <v>7</v>
      </c>
      <c r="F28">
        <v>5</v>
      </c>
      <c r="G28">
        <v>5</v>
      </c>
      <c r="I28">
        <v>1</v>
      </c>
      <c r="J28">
        <v>3</v>
      </c>
      <c r="L28">
        <f>SUM(B28:K28)</f>
        <v>59</v>
      </c>
      <c r="M28" s="106">
        <f>L28/L46</f>
        <v>9.3650793650793651E-2</v>
      </c>
    </row>
    <row r="29" spans="1:13" x14ac:dyDescent="0.2">
      <c r="A29" s="27" t="s">
        <v>22</v>
      </c>
      <c r="L29">
        <v>0</v>
      </c>
      <c r="M29" s="106">
        <v>0</v>
      </c>
    </row>
    <row r="30" spans="1:13" x14ac:dyDescent="0.2">
      <c r="A30" s="27" t="s">
        <v>23</v>
      </c>
      <c r="B30">
        <v>7</v>
      </c>
      <c r="C30">
        <v>5</v>
      </c>
      <c r="D30">
        <v>8</v>
      </c>
      <c r="E30">
        <v>2</v>
      </c>
      <c r="F30">
        <v>1</v>
      </c>
      <c r="G30">
        <v>1</v>
      </c>
      <c r="J30">
        <v>2</v>
      </c>
      <c r="L30">
        <f>SUM(B30:K30)</f>
        <v>26</v>
      </c>
      <c r="M30" s="106">
        <f>L30/L46</f>
        <v>4.1269841269841269E-2</v>
      </c>
    </row>
    <row r="31" spans="1:13" x14ac:dyDescent="0.2">
      <c r="A31" s="27" t="s">
        <v>214</v>
      </c>
      <c r="L31">
        <v>0</v>
      </c>
      <c r="M31" s="106">
        <v>0</v>
      </c>
    </row>
    <row r="32" spans="1:13" x14ac:dyDescent="0.2">
      <c r="A32" s="27" t="s">
        <v>194</v>
      </c>
      <c r="L32">
        <v>0</v>
      </c>
      <c r="M32" s="106">
        <v>0</v>
      </c>
    </row>
    <row r="33" spans="1:13" x14ac:dyDescent="0.2">
      <c r="A33" s="27" t="s">
        <v>195</v>
      </c>
      <c r="L33">
        <v>0</v>
      </c>
      <c r="M33" s="106">
        <v>0</v>
      </c>
    </row>
    <row r="34" spans="1:13" x14ac:dyDescent="0.2">
      <c r="A34" s="27" t="s">
        <v>25</v>
      </c>
      <c r="B34">
        <v>2</v>
      </c>
      <c r="G34">
        <v>1</v>
      </c>
      <c r="L34">
        <f>SUM(B34:K34)</f>
        <v>3</v>
      </c>
      <c r="M34" s="106">
        <f>L34/L46</f>
        <v>4.7619047619047623E-3</v>
      </c>
    </row>
    <row r="35" spans="1:13" x14ac:dyDescent="0.2">
      <c r="A35" s="27" t="s">
        <v>646</v>
      </c>
      <c r="L35">
        <v>0</v>
      </c>
      <c r="M35" s="106">
        <v>0</v>
      </c>
    </row>
    <row r="36" spans="1:13" x14ac:dyDescent="0.2">
      <c r="A36" s="27" t="s">
        <v>26</v>
      </c>
      <c r="L36">
        <v>0</v>
      </c>
      <c r="M36" s="106">
        <v>0</v>
      </c>
    </row>
    <row r="37" spans="1:13" x14ac:dyDescent="0.2">
      <c r="A37" s="27" t="s">
        <v>27</v>
      </c>
      <c r="B37">
        <v>10</v>
      </c>
      <c r="C37">
        <v>7</v>
      </c>
      <c r="D37">
        <v>17</v>
      </c>
      <c r="E37">
        <v>32</v>
      </c>
      <c r="F37">
        <v>5</v>
      </c>
      <c r="G37">
        <v>15</v>
      </c>
      <c r="H37">
        <v>5</v>
      </c>
      <c r="I37">
        <v>13</v>
      </c>
      <c r="J37">
        <v>7</v>
      </c>
      <c r="L37">
        <f>SUM(B37:K37)</f>
        <v>111</v>
      </c>
      <c r="M37" s="106">
        <f>L37/L46</f>
        <v>0.1761904761904762</v>
      </c>
    </row>
    <row r="38" spans="1:13" x14ac:dyDescent="0.2">
      <c r="A38" s="27" t="s">
        <v>28</v>
      </c>
      <c r="L38">
        <v>0</v>
      </c>
      <c r="M38" s="106">
        <v>0</v>
      </c>
    </row>
    <row r="39" spans="1:13" x14ac:dyDescent="0.2">
      <c r="A39" s="27" t="s">
        <v>29</v>
      </c>
      <c r="G39">
        <v>1</v>
      </c>
      <c r="H39">
        <v>1</v>
      </c>
      <c r="J39">
        <v>1</v>
      </c>
      <c r="L39">
        <f>SUM(B39:K39)</f>
        <v>3</v>
      </c>
      <c r="M39" s="106">
        <f>L39/L46</f>
        <v>4.7619047619047623E-3</v>
      </c>
    </row>
    <row r="40" spans="1:13" x14ac:dyDescent="0.2">
      <c r="A40" s="27" t="s">
        <v>30</v>
      </c>
      <c r="L40">
        <v>0</v>
      </c>
      <c r="M40" s="106">
        <v>0</v>
      </c>
    </row>
    <row r="41" spans="1:13" x14ac:dyDescent="0.2">
      <c r="A41" s="27" t="s">
        <v>442</v>
      </c>
      <c r="L41">
        <v>0</v>
      </c>
      <c r="M41" s="106">
        <v>0</v>
      </c>
    </row>
    <row r="42" spans="1:13" x14ac:dyDescent="0.2">
      <c r="A42" s="27" t="s">
        <v>31</v>
      </c>
      <c r="B42">
        <v>1</v>
      </c>
      <c r="C42">
        <v>1</v>
      </c>
      <c r="E42">
        <v>1</v>
      </c>
      <c r="G42">
        <v>1</v>
      </c>
      <c r="I42">
        <v>1</v>
      </c>
      <c r="L42">
        <f>SUM(B42:K42)</f>
        <v>5</v>
      </c>
      <c r="M42" s="106">
        <f>L42/L46</f>
        <v>7.9365079365079361E-3</v>
      </c>
    </row>
    <row r="43" spans="1:13" x14ac:dyDescent="0.2">
      <c r="A43" s="27" t="s">
        <v>32</v>
      </c>
      <c r="L43">
        <v>0</v>
      </c>
      <c r="M43" s="106">
        <v>0</v>
      </c>
    </row>
    <row r="44" spans="1:13" x14ac:dyDescent="0.2">
      <c r="A44" s="27" t="s">
        <v>33</v>
      </c>
      <c r="D44">
        <v>1</v>
      </c>
      <c r="E44">
        <v>2</v>
      </c>
      <c r="F44">
        <v>1</v>
      </c>
      <c r="G44">
        <v>7</v>
      </c>
      <c r="H44">
        <v>1</v>
      </c>
      <c r="L44">
        <f>SUM(B44:K44)</f>
        <v>12</v>
      </c>
      <c r="M44" s="106">
        <f>L44/L46</f>
        <v>1.9047619047619049E-2</v>
      </c>
    </row>
    <row r="45" spans="1:13" x14ac:dyDescent="0.2">
      <c r="A45" s="27" t="s">
        <v>36</v>
      </c>
      <c r="L45">
        <v>0</v>
      </c>
      <c r="M45" s="106">
        <v>0</v>
      </c>
    </row>
    <row r="46" spans="1:13" x14ac:dyDescent="0.2">
      <c r="A46" s="30" t="s">
        <v>344</v>
      </c>
      <c r="B46" s="63">
        <f t="shared" ref="B46:K46" si="0">SUM(B3:B45)</f>
        <v>80</v>
      </c>
      <c r="C46">
        <f t="shared" si="0"/>
        <v>63</v>
      </c>
      <c r="D46">
        <f t="shared" si="0"/>
        <v>206</v>
      </c>
      <c r="E46">
        <f t="shared" si="0"/>
        <v>93</v>
      </c>
      <c r="F46">
        <f t="shared" si="0"/>
        <v>23</v>
      </c>
      <c r="G46">
        <f t="shared" si="0"/>
        <v>65</v>
      </c>
      <c r="H46">
        <f t="shared" si="0"/>
        <v>24</v>
      </c>
      <c r="I46">
        <f t="shared" si="0"/>
        <v>31</v>
      </c>
      <c r="J46">
        <f t="shared" si="0"/>
        <v>41</v>
      </c>
      <c r="K46">
        <f t="shared" si="0"/>
        <v>4</v>
      </c>
      <c r="L46" s="63">
        <f>SUM(B46:K46)</f>
        <v>630</v>
      </c>
      <c r="M46" s="106">
        <f>L46/L46</f>
        <v>1</v>
      </c>
    </row>
    <row r="49" spans="1:1" x14ac:dyDescent="0.2">
      <c r="A49" s="27" t="s">
        <v>1493</v>
      </c>
    </row>
  </sheetData>
  <pageMargins left="0.7" right="0.7" top="0.75" bottom="0.75" header="0.3" footer="0.3"/>
  <pageSetup orientation="portrait" horizontalDpi="90" verticalDpi="9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9"/>
  <sheetViews>
    <sheetView topLeftCell="A31" workbookViewId="0">
      <selection activeCell="A49" sqref="A49"/>
    </sheetView>
  </sheetViews>
  <sheetFormatPr defaultRowHeight="12.75" x14ac:dyDescent="0.2"/>
  <cols>
    <col min="1" max="1" width="24.7109375" customWidth="1"/>
  </cols>
  <sheetData>
    <row r="1" spans="1:10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s="30" t="s">
        <v>449</v>
      </c>
    </row>
    <row r="2" spans="1:10" x14ac:dyDescent="0.2">
      <c r="A2" s="30" t="s">
        <v>287</v>
      </c>
      <c r="B2" s="30" t="s">
        <v>1267</v>
      </c>
      <c r="C2" s="30" t="s">
        <v>1268</v>
      </c>
      <c r="D2" s="30" t="s">
        <v>1269</v>
      </c>
      <c r="E2" s="30" t="s">
        <v>292</v>
      </c>
      <c r="F2" s="30" t="s">
        <v>1270</v>
      </c>
      <c r="G2" s="30" t="s">
        <v>1271</v>
      </c>
      <c r="H2" s="30" t="s">
        <v>1272</v>
      </c>
      <c r="I2" s="30" t="s">
        <v>1265</v>
      </c>
      <c r="J2" s="30" t="s">
        <v>1266</v>
      </c>
    </row>
    <row r="3" spans="1:10" x14ac:dyDescent="0.2">
      <c r="A3" s="27" t="s">
        <v>1</v>
      </c>
      <c r="B3">
        <v>18</v>
      </c>
      <c r="C3">
        <v>13</v>
      </c>
      <c r="D3">
        <v>37</v>
      </c>
      <c r="E3">
        <v>6</v>
      </c>
      <c r="F3">
        <v>10</v>
      </c>
      <c r="G3">
        <v>13</v>
      </c>
      <c r="H3">
        <v>7</v>
      </c>
      <c r="I3">
        <f>SUM(B3:H3)</f>
        <v>104</v>
      </c>
      <c r="J3" s="106">
        <f>I3/I46</f>
        <v>0.13419354838709677</v>
      </c>
    </row>
    <row r="4" spans="1:10" x14ac:dyDescent="0.2">
      <c r="A4" s="27" t="s">
        <v>2</v>
      </c>
      <c r="I4">
        <v>0</v>
      </c>
      <c r="J4" s="106">
        <f>I4/I46</f>
        <v>0</v>
      </c>
    </row>
    <row r="5" spans="1:10" x14ac:dyDescent="0.2">
      <c r="A5" s="27" t="s">
        <v>3</v>
      </c>
      <c r="B5">
        <v>2</v>
      </c>
      <c r="D5">
        <v>3</v>
      </c>
      <c r="E5">
        <v>1</v>
      </c>
      <c r="I5">
        <f t="shared" ref="I5:I10" si="0">SUM(B5:H5)</f>
        <v>6</v>
      </c>
      <c r="J5" s="106">
        <f>I5/I46</f>
        <v>7.7419354838709677E-3</v>
      </c>
    </row>
    <row r="6" spans="1:10" x14ac:dyDescent="0.2">
      <c r="A6" s="27" t="s">
        <v>4</v>
      </c>
      <c r="B6">
        <v>2</v>
      </c>
      <c r="C6">
        <v>1</v>
      </c>
      <c r="D6">
        <v>8</v>
      </c>
      <c r="E6">
        <v>2</v>
      </c>
      <c r="F6">
        <v>4</v>
      </c>
      <c r="G6">
        <v>5</v>
      </c>
      <c r="H6">
        <v>1</v>
      </c>
      <c r="I6">
        <f t="shared" si="0"/>
        <v>23</v>
      </c>
      <c r="J6" s="106">
        <f>I6/I46</f>
        <v>2.9677419354838711E-2</v>
      </c>
    </row>
    <row r="7" spans="1:10" x14ac:dyDescent="0.2">
      <c r="A7" s="27" t="s">
        <v>5</v>
      </c>
      <c r="G7">
        <v>1</v>
      </c>
      <c r="I7">
        <f t="shared" si="0"/>
        <v>1</v>
      </c>
      <c r="J7" s="106">
        <f>I7/I46</f>
        <v>1.2903225806451613E-3</v>
      </c>
    </row>
    <row r="8" spans="1:10" x14ac:dyDescent="0.2">
      <c r="A8" s="27" t="s">
        <v>6</v>
      </c>
      <c r="B8">
        <v>29</v>
      </c>
      <c r="C8">
        <v>36</v>
      </c>
      <c r="D8">
        <v>62</v>
      </c>
      <c r="E8">
        <v>57</v>
      </c>
      <c r="F8">
        <v>53</v>
      </c>
      <c r="G8">
        <v>42</v>
      </c>
      <c r="H8">
        <v>9</v>
      </c>
      <c r="I8">
        <f t="shared" si="0"/>
        <v>288</v>
      </c>
      <c r="J8" s="106">
        <f>I8/I46</f>
        <v>0.37161290322580648</v>
      </c>
    </row>
    <row r="9" spans="1:10" x14ac:dyDescent="0.2">
      <c r="A9" s="27" t="s">
        <v>40</v>
      </c>
      <c r="D9">
        <v>1</v>
      </c>
      <c r="G9">
        <v>1</v>
      </c>
      <c r="I9">
        <f t="shared" si="0"/>
        <v>2</v>
      </c>
      <c r="J9" s="106">
        <f>I9/I46</f>
        <v>2.5806451612903226E-3</v>
      </c>
    </row>
    <row r="10" spans="1:10" x14ac:dyDescent="0.2">
      <c r="A10" s="27" t="s">
        <v>7</v>
      </c>
      <c r="B10">
        <v>6</v>
      </c>
      <c r="C10">
        <v>3</v>
      </c>
      <c r="D10">
        <v>16</v>
      </c>
      <c r="E10">
        <v>16</v>
      </c>
      <c r="F10">
        <v>19</v>
      </c>
      <c r="G10">
        <v>8</v>
      </c>
      <c r="H10">
        <v>6</v>
      </c>
      <c r="I10">
        <f t="shared" si="0"/>
        <v>74</v>
      </c>
      <c r="J10" s="106">
        <f>I10/I46</f>
        <v>9.5483870967741941E-2</v>
      </c>
    </row>
    <row r="11" spans="1:10" x14ac:dyDescent="0.2">
      <c r="A11" s="27" t="s">
        <v>995</v>
      </c>
      <c r="I11">
        <v>0</v>
      </c>
      <c r="J11" s="106">
        <v>0</v>
      </c>
    </row>
    <row r="12" spans="1:10" x14ac:dyDescent="0.2">
      <c r="A12" s="27" t="s">
        <v>9</v>
      </c>
      <c r="I12">
        <v>0</v>
      </c>
      <c r="J12" s="106">
        <v>0</v>
      </c>
    </row>
    <row r="13" spans="1:10" x14ac:dyDescent="0.2">
      <c r="A13" s="27" t="s">
        <v>10</v>
      </c>
      <c r="B13">
        <v>1</v>
      </c>
      <c r="C13">
        <v>1</v>
      </c>
      <c r="I13">
        <v>2</v>
      </c>
      <c r="J13" s="106">
        <f>I13/I46</f>
        <v>2.5806451612903226E-3</v>
      </c>
    </row>
    <row r="14" spans="1:10" x14ac:dyDescent="0.2">
      <c r="A14" s="27" t="s">
        <v>11</v>
      </c>
      <c r="I14">
        <v>0</v>
      </c>
      <c r="J14" s="106">
        <v>0</v>
      </c>
    </row>
    <row r="15" spans="1:10" x14ac:dyDescent="0.2">
      <c r="A15" s="27" t="s">
        <v>503</v>
      </c>
      <c r="D15">
        <v>1</v>
      </c>
      <c r="E15">
        <v>1</v>
      </c>
      <c r="I15">
        <v>2</v>
      </c>
      <c r="J15" s="106">
        <f>I15/I46</f>
        <v>2.5806451612903226E-3</v>
      </c>
    </row>
    <row r="16" spans="1:10" x14ac:dyDescent="0.2">
      <c r="A16" s="27" t="s">
        <v>469</v>
      </c>
      <c r="I16">
        <v>0</v>
      </c>
      <c r="J16" s="106">
        <v>0</v>
      </c>
    </row>
    <row r="17" spans="1:10" x14ac:dyDescent="0.2">
      <c r="A17" s="27" t="s">
        <v>13</v>
      </c>
      <c r="I17">
        <v>0</v>
      </c>
      <c r="J17" s="106">
        <v>0</v>
      </c>
    </row>
    <row r="18" spans="1:10" x14ac:dyDescent="0.2">
      <c r="A18" s="27" t="s">
        <v>14</v>
      </c>
      <c r="I18">
        <v>0</v>
      </c>
      <c r="J18" s="106">
        <v>0</v>
      </c>
    </row>
    <row r="19" spans="1:10" x14ac:dyDescent="0.2">
      <c r="A19" s="27" t="s">
        <v>427</v>
      </c>
      <c r="I19">
        <v>0</v>
      </c>
      <c r="J19" s="106">
        <v>0</v>
      </c>
    </row>
    <row r="20" spans="1:10" x14ac:dyDescent="0.2">
      <c r="A20" s="27" t="s">
        <v>15</v>
      </c>
      <c r="I20">
        <v>0</v>
      </c>
      <c r="J20" s="106">
        <v>0</v>
      </c>
    </row>
    <row r="21" spans="1:10" x14ac:dyDescent="0.2">
      <c r="A21" s="27" t="s">
        <v>16</v>
      </c>
      <c r="I21">
        <v>0</v>
      </c>
      <c r="J21" s="106">
        <v>0</v>
      </c>
    </row>
    <row r="22" spans="1:10" x14ac:dyDescent="0.2">
      <c r="A22" s="27" t="s">
        <v>17</v>
      </c>
      <c r="I22">
        <v>0</v>
      </c>
      <c r="J22" s="106">
        <v>0</v>
      </c>
    </row>
    <row r="23" spans="1:10" x14ac:dyDescent="0.2">
      <c r="A23" s="27" t="s">
        <v>18</v>
      </c>
      <c r="C23">
        <v>1</v>
      </c>
      <c r="E23">
        <v>1</v>
      </c>
      <c r="G23">
        <v>1</v>
      </c>
      <c r="I23">
        <f>SUM(B23:H23)</f>
        <v>3</v>
      </c>
      <c r="J23" s="106">
        <f>I23/I46</f>
        <v>3.8709677419354839E-3</v>
      </c>
    </row>
    <row r="24" spans="1:10" x14ac:dyDescent="0.2">
      <c r="A24" s="27" t="s">
        <v>19</v>
      </c>
      <c r="B24">
        <v>2</v>
      </c>
      <c r="C24">
        <v>2</v>
      </c>
      <c r="D24">
        <v>3</v>
      </c>
      <c r="F24">
        <v>1</v>
      </c>
      <c r="I24">
        <f>SUM(B24:H24)</f>
        <v>8</v>
      </c>
      <c r="J24" s="106">
        <f>I24/I46</f>
        <v>1.032258064516129E-2</v>
      </c>
    </row>
    <row r="25" spans="1:10" x14ac:dyDescent="0.2">
      <c r="A25" s="27" t="s">
        <v>20</v>
      </c>
      <c r="I25">
        <v>0</v>
      </c>
      <c r="J25" s="106">
        <v>0</v>
      </c>
    </row>
    <row r="26" spans="1:10" x14ac:dyDescent="0.2">
      <c r="A26" s="27" t="s">
        <v>645</v>
      </c>
      <c r="B26">
        <v>6</v>
      </c>
      <c r="C26">
        <v>9</v>
      </c>
      <c r="D26">
        <v>11</v>
      </c>
      <c r="E26">
        <v>14</v>
      </c>
      <c r="F26">
        <v>17</v>
      </c>
      <c r="G26">
        <v>13</v>
      </c>
      <c r="H26">
        <v>7</v>
      </c>
      <c r="I26">
        <f>SUM(B26:H26)</f>
        <v>77</v>
      </c>
      <c r="J26" s="106">
        <f>I26/I46</f>
        <v>9.9354838709677415E-2</v>
      </c>
    </row>
    <row r="27" spans="1:10" x14ac:dyDescent="0.2">
      <c r="A27" s="27" t="s">
        <v>200</v>
      </c>
      <c r="B27">
        <v>1</v>
      </c>
      <c r="C27">
        <v>1</v>
      </c>
      <c r="D27">
        <v>6</v>
      </c>
      <c r="E27">
        <v>2</v>
      </c>
      <c r="F27">
        <v>3</v>
      </c>
      <c r="G27">
        <v>4</v>
      </c>
      <c r="H27">
        <v>1</v>
      </c>
      <c r="I27">
        <f>SUM(B27:H27)</f>
        <v>18</v>
      </c>
      <c r="J27" s="106">
        <f>I27/I46</f>
        <v>2.3225806451612905E-2</v>
      </c>
    </row>
    <row r="28" spans="1:10" x14ac:dyDescent="0.2">
      <c r="A28" s="27" t="s">
        <v>435</v>
      </c>
      <c r="B28">
        <v>3</v>
      </c>
      <c r="C28">
        <v>4</v>
      </c>
      <c r="D28">
        <v>14</v>
      </c>
      <c r="E28">
        <v>1</v>
      </c>
      <c r="F28">
        <v>5</v>
      </c>
      <c r="G28">
        <v>2</v>
      </c>
      <c r="H28">
        <v>3</v>
      </c>
      <c r="I28">
        <f>SUM(B28:H28)</f>
        <v>32</v>
      </c>
      <c r="J28" s="106">
        <f>I28/I46</f>
        <v>4.1290322580645161E-2</v>
      </c>
    </row>
    <row r="29" spans="1:10" x14ac:dyDescent="0.2">
      <c r="A29" s="27" t="s">
        <v>22</v>
      </c>
      <c r="I29">
        <v>0</v>
      </c>
      <c r="J29" s="106">
        <v>0</v>
      </c>
    </row>
    <row r="30" spans="1:10" x14ac:dyDescent="0.2">
      <c r="A30" s="27" t="s">
        <v>23</v>
      </c>
      <c r="B30">
        <v>3</v>
      </c>
      <c r="C30">
        <v>3</v>
      </c>
      <c r="D30">
        <v>6</v>
      </c>
      <c r="E30">
        <v>1</v>
      </c>
      <c r="F30">
        <v>1</v>
      </c>
      <c r="H30">
        <v>1</v>
      </c>
      <c r="I30">
        <f>SUM(B30:H30)</f>
        <v>15</v>
      </c>
      <c r="J30" s="106">
        <f>I30/I46</f>
        <v>1.935483870967742E-2</v>
      </c>
    </row>
    <row r="31" spans="1:10" x14ac:dyDescent="0.2">
      <c r="A31" s="27" t="s">
        <v>214</v>
      </c>
      <c r="I31">
        <v>0</v>
      </c>
      <c r="J31" s="106">
        <v>0</v>
      </c>
    </row>
    <row r="32" spans="1:10" x14ac:dyDescent="0.2">
      <c r="A32" s="27" t="s">
        <v>194</v>
      </c>
      <c r="B32">
        <v>1</v>
      </c>
      <c r="G32">
        <v>1</v>
      </c>
      <c r="I32">
        <f>SUM(B32:H32)</f>
        <v>2</v>
      </c>
      <c r="J32" s="106">
        <f>I32/I46</f>
        <v>2.5806451612903226E-3</v>
      </c>
    </row>
    <row r="33" spans="1:10" x14ac:dyDescent="0.2">
      <c r="A33" s="27" t="s">
        <v>195</v>
      </c>
      <c r="I33">
        <v>0</v>
      </c>
      <c r="J33" s="106">
        <v>0</v>
      </c>
    </row>
    <row r="34" spans="1:10" x14ac:dyDescent="0.2">
      <c r="A34" s="27" t="s">
        <v>25</v>
      </c>
      <c r="B34">
        <v>1</v>
      </c>
      <c r="C34">
        <v>1</v>
      </c>
      <c r="D34">
        <v>8</v>
      </c>
      <c r="E34">
        <v>4</v>
      </c>
      <c r="F34">
        <v>5</v>
      </c>
      <c r="G34">
        <v>2</v>
      </c>
      <c r="I34">
        <f>SUM(B34:H34)</f>
        <v>21</v>
      </c>
      <c r="J34" s="106">
        <f>I34/I46</f>
        <v>2.7096774193548386E-2</v>
      </c>
    </row>
    <row r="35" spans="1:10" x14ac:dyDescent="0.2">
      <c r="A35" s="27" t="s">
        <v>646</v>
      </c>
      <c r="I35">
        <v>0</v>
      </c>
      <c r="J35" s="106">
        <v>0</v>
      </c>
    </row>
    <row r="36" spans="1:10" x14ac:dyDescent="0.2">
      <c r="A36" s="27" t="s">
        <v>26</v>
      </c>
      <c r="I36">
        <v>0</v>
      </c>
      <c r="J36" s="106">
        <v>0</v>
      </c>
    </row>
    <row r="37" spans="1:10" x14ac:dyDescent="0.2">
      <c r="A37" s="27" t="s">
        <v>27</v>
      </c>
      <c r="B37">
        <v>20</v>
      </c>
      <c r="C37">
        <v>27</v>
      </c>
      <c r="D37">
        <v>11</v>
      </c>
      <c r="E37">
        <v>11</v>
      </c>
      <c r="F37">
        <v>11</v>
      </c>
      <c r="H37">
        <v>6</v>
      </c>
      <c r="I37">
        <f>SUM(B37:H37)</f>
        <v>86</v>
      </c>
      <c r="J37" s="106">
        <f>I37/I46</f>
        <v>0.11096774193548387</v>
      </c>
    </row>
    <row r="38" spans="1:10" x14ac:dyDescent="0.2">
      <c r="A38" s="27" t="s">
        <v>28</v>
      </c>
      <c r="I38">
        <v>0</v>
      </c>
      <c r="J38" s="106">
        <v>0</v>
      </c>
    </row>
    <row r="39" spans="1:10" x14ac:dyDescent="0.2">
      <c r="A39" s="27" t="s">
        <v>29</v>
      </c>
      <c r="I39">
        <v>0</v>
      </c>
      <c r="J39" s="106">
        <v>0</v>
      </c>
    </row>
    <row r="40" spans="1:10" x14ac:dyDescent="0.2">
      <c r="A40" s="27" t="s">
        <v>30</v>
      </c>
      <c r="I40">
        <v>0</v>
      </c>
      <c r="J40" s="106">
        <v>0</v>
      </c>
    </row>
    <row r="41" spans="1:10" x14ac:dyDescent="0.2">
      <c r="A41" s="27" t="s">
        <v>442</v>
      </c>
      <c r="I41">
        <v>0</v>
      </c>
      <c r="J41" s="106">
        <v>0</v>
      </c>
    </row>
    <row r="42" spans="1:10" x14ac:dyDescent="0.2">
      <c r="A42" s="27" t="s">
        <v>31</v>
      </c>
      <c r="G42">
        <v>2</v>
      </c>
      <c r="I42">
        <v>2</v>
      </c>
      <c r="J42" s="106">
        <f>I42/I46</f>
        <v>2.5806451612903226E-3</v>
      </c>
    </row>
    <row r="43" spans="1:10" x14ac:dyDescent="0.2">
      <c r="A43" s="27" t="s">
        <v>32</v>
      </c>
      <c r="I43">
        <v>0</v>
      </c>
      <c r="J43" s="106">
        <v>0</v>
      </c>
    </row>
    <row r="44" spans="1:10" x14ac:dyDescent="0.2">
      <c r="A44" s="27" t="s">
        <v>33</v>
      </c>
      <c r="C44">
        <v>3</v>
      </c>
      <c r="D44">
        <v>2</v>
      </c>
      <c r="E44">
        <v>2</v>
      </c>
      <c r="F44">
        <v>1</v>
      </c>
      <c r="G44">
        <v>1</v>
      </c>
      <c r="I44">
        <f>SUM(B44:H44)</f>
        <v>9</v>
      </c>
      <c r="J44" s="106">
        <f>I44/I46</f>
        <v>1.1612903225806452E-2</v>
      </c>
    </row>
    <row r="45" spans="1:10" x14ac:dyDescent="0.2">
      <c r="A45" s="27" t="s">
        <v>36</v>
      </c>
      <c r="I45">
        <v>0</v>
      </c>
      <c r="J45" s="106">
        <v>0</v>
      </c>
    </row>
    <row r="46" spans="1:10" x14ac:dyDescent="0.2">
      <c r="A46" s="30" t="s">
        <v>344</v>
      </c>
      <c r="B46">
        <f t="shared" ref="B46:H46" si="1">SUM(B3:B45)</f>
        <v>95</v>
      </c>
      <c r="C46">
        <f t="shared" si="1"/>
        <v>105</v>
      </c>
      <c r="D46">
        <f t="shared" si="1"/>
        <v>189</v>
      </c>
      <c r="E46">
        <f t="shared" si="1"/>
        <v>119</v>
      </c>
      <c r="F46">
        <f t="shared" si="1"/>
        <v>130</v>
      </c>
      <c r="G46">
        <f t="shared" si="1"/>
        <v>96</v>
      </c>
      <c r="H46">
        <f t="shared" si="1"/>
        <v>41</v>
      </c>
      <c r="I46">
        <f>SUM(B46:H46)</f>
        <v>775</v>
      </c>
      <c r="J46" s="106">
        <f>I46/I46</f>
        <v>1</v>
      </c>
    </row>
    <row r="49" spans="1:1" x14ac:dyDescent="0.2">
      <c r="A49" s="27" t="s">
        <v>1494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49"/>
  <sheetViews>
    <sheetView topLeftCell="A34" workbookViewId="0">
      <selection activeCell="A52" sqref="A52"/>
    </sheetView>
  </sheetViews>
  <sheetFormatPr defaultRowHeight="12.75" x14ac:dyDescent="0.2"/>
  <cols>
    <col min="1" max="1" width="23" customWidth="1"/>
    <col min="2" max="2" width="6.140625" customWidth="1"/>
    <col min="3" max="3" width="5.85546875" customWidth="1"/>
    <col min="4" max="4" width="5.5703125" customWidth="1"/>
    <col min="5" max="5" width="5" customWidth="1"/>
    <col min="6" max="6" width="6.5703125" customWidth="1"/>
    <col min="7" max="7" width="5" customWidth="1"/>
    <col min="8" max="8" width="6.28515625" customWidth="1"/>
    <col min="9" max="9" width="5.85546875" customWidth="1"/>
    <col min="10" max="10" width="5.42578125" customWidth="1"/>
    <col min="11" max="11" width="6.5703125" customWidth="1"/>
    <col min="12" max="12" width="5" customWidth="1"/>
    <col min="13" max="13" width="6.5703125" customWidth="1"/>
  </cols>
  <sheetData>
    <row r="1" spans="1:28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t="s">
        <v>449</v>
      </c>
    </row>
    <row r="2" spans="1:28" x14ac:dyDescent="0.2">
      <c r="A2" s="30" t="s">
        <v>287</v>
      </c>
      <c r="B2" s="70" t="s">
        <v>1273</v>
      </c>
      <c r="C2" s="30" t="s">
        <v>414</v>
      </c>
      <c r="D2" s="30" t="s">
        <v>1274</v>
      </c>
      <c r="E2" s="30" t="s">
        <v>1275</v>
      </c>
      <c r="F2" s="30" t="s">
        <v>1276</v>
      </c>
      <c r="G2" s="30" t="s">
        <v>1277</v>
      </c>
      <c r="H2" s="30" t="s">
        <v>1278</v>
      </c>
      <c r="I2" s="30" t="s">
        <v>1279</v>
      </c>
      <c r="J2" s="30" t="s">
        <v>1280</v>
      </c>
      <c r="K2" s="30" t="s">
        <v>1281</v>
      </c>
      <c r="L2" s="30" t="s">
        <v>1282</v>
      </c>
      <c r="M2" s="30" t="s">
        <v>1283</v>
      </c>
      <c r="N2" s="30" t="s">
        <v>1284</v>
      </c>
      <c r="O2" s="30" t="s">
        <v>1285</v>
      </c>
      <c r="P2" s="30" t="s">
        <v>1286</v>
      </c>
      <c r="Q2" s="30" t="s">
        <v>1287</v>
      </c>
      <c r="R2" s="30" t="s">
        <v>1288</v>
      </c>
      <c r="S2" s="30" t="s">
        <v>1289</v>
      </c>
      <c r="T2" s="30" t="s">
        <v>1290</v>
      </c>
      <c r="U2" s="30" t="s">
        <v>1291</v>
      </c>
      <c r="V2" s="30" t="s">
        <v>1292</v>
      </c>
      <c r="W2" s="30" t="s">
        <v>1293</v>
      </c>
      <c r="X2" s="30" t="s">
        <v>1294</v>
      </c>
      <c r="Y2" s="30" t="s">
        <v>1295</v>
      </c>
      <c r="Z2" s="30" t="s">
        <v>1296</v>
      </c>
      <c r="AA2" s="30" t="s">
        <v>344</v>
      </c>
      <c r="AB2" s="30" t="s">
        <v>1266</v>
      </c>
    </row>
    <row r="3" spans="1:28" x14ac:dyDescent="0.2">
      <c r="A3" s="27" t="s">
        <v>1</v>
      </c>
      <c r="B3">
        <v>21</v>
      </c>
      <c r="C3">
        <v>46</v>
      </c>
      <c r="D3">
        <v>21</v>
      </c>
      <c r="E3">
        <v>35</v>
      </c>
      <c r="F3">
        <v>42</v>
      </c>
      <c r="G3">
        <v>15</v>
      </c>
      <c r="H3">
        <v>37</v>
      </c>
      <c r="I3">
        <v>27</v>
      </c>
      <c r="J3">
        <v>52</v>
      </c>
      <c r="K3">
        <v>18</v>
      </c>
      <c r="L3">
        <v>15</v>
      </c>
      <c r="M3">
        <v>40</v>
      </c>
      <c r="N3">
        <v>27</v>
      </c>
      <c r="O3">
        <v>47</v>
      </c>
      <c r="P3">
        <v>23</v>
      </c>
      <c r="Q3">
        <v>2</v>
      </c>
      <c r="R3">
        <v>16</v>
      </c>
      <c r="S3">
        <v>21</v>
      </c>
      <c r="T3">
        <v>11</v>
      </c>
      <c r="U3">
        <v>16</v>
      </c>
      <c r="V3">
        <v>24</v>
      </c>
      <c r="W3">
        <v>14</v>
      </c>
      <c r="X3">
        <v>7</v>
      </c>
      <c r="Y3">
        <v>30</v>
      </c>
      <c r="Z3">
        <v>23</v>
      </c>
      <c r="AA3">
        <f t="shared" ref="AA3:AA10" si="0">SUM(B3:Z3)</f>
        <v>630</v>
      </c>
      <c r="AB3" s="87">
        <f>AA3/AA46</f>
        <v>0.2275189599133261</v>
      </c>
    </row>
    <row r="4" spans="1:28" x14ac:dyDescent="0.2">
      <c r="A4" s="27" t="s">
        <v>2</v>
      </c>
      <c r="AA4">
        <f t="shared" si="0"/>
        <v>0</v>
      </c>
      <c r="AB4" s="87">
        <f>AA4/AA46</f>
        <v>0</v>
      </c>
    </row>
    <row r="5" spans="1:28" x14ac:dyDescent="0.2">
      <c r="A5" s="27" t="s">
        <v>3</v>
      </c>
      <c r="B5">
        <v>3</v>
      </c>
      <c r="C5">
        <v>3</v>
      </c>
      <c r="D5">
        <v>5</v>
      </c>
      <c r="E5">
        <v>7</v>
      </c>
      <c r="F5">
        <v>1</v>
      </c>
      <c r="G5">
        <v>1</v>
      </c>
      <c r="H5">
        <v>3</v>
      </c>
      <c r="I5">
        <v>7</v>
      </c>
      <c r="J5">
        <v>3</v>
      </c>
      <c r="K5">
        <v>1</v>
      </c>
      <c r="L5">
        <v>1</v>
      </c>
      <c r="M5">
        <v>3</v>
      </c>
      <c r="N5">
        <v>5</v>
      </c>
      <c r="O5">
        <v>4</v>
      </c>
      <c r="Q5">
        <v>1</v>
      </c>
      <c r="R5">
        <v>8</v>
      </c>
      <c r="S5">
        <v>7</v>
      </c>
      <c r="T5">
        <v>2</v>
      </c>
      <c r="U5">
        <v>3</v>
      </c>
      <c r="W5">
        <v>1</v>
      </c>
      <c r="Y5">
        <v>3</v>
      </c>
      <c r="Z5">
        <v>1</v>
      </c>
      <c r="AA5">
        <f t="shared" si="0"/>
        <v>73</v>
      </c>
      <c r="AB5" s="87">
        <f>AA5/AA46</f>
        <v>2.63633080534489E-2</v>
      </c>
    </row>
    <row r="6" spans="1:28" x14ac:dyDescent="0.2">
      <c r="A6" s="27" t="s">
        <v>4</v>
      </c>
      <c r="B6">
        <v>8</v>
      </c>
      <c r="C6">
        <v>9</v>
      </c>
      <c r="D6">
        <v>10</v>
      </c>
      <c r="E6">
        <v>13</v>
      </c>
      <c r="F6">
        <v>6</v>
      </c>
      <c r="G6">
        <v>2</v>
      </c>
      <c r="H6">
        <v>4</v>
      </c>
      <c r="I6">
        <v>8</v>
      </c>
      <c r="J6">
        <v>3</v>
      </c>
      <c r="K6">
        <v>2</v>
      </c>
      <c r="L6">
        <v>1</v>
      </c>
      <c r="M6">
        <v>1</v>
      </c>
      <c r="N6">
        <v>1</v>
      </c>
      <c r="O6">
        <v>4</v>
      </c>
      <c r="P6">
        <v>2</v>
      </c>
      <c r="Q6">
        <v>1</v>
      </c>
      <c r="R6">
        <v>4</v>
      </c>
      <c r="S6">
        <v>5</v>
      </c>
      <c r="T6">
        <v>2</v>
      </c>
      <c r="V6">
        <v>3</v>
      </c>
      <c r="W6">
        <v>5</v>
      </c>
      <c r="Y6">
        <v>7</v>
      </c>
      <c r="Z6">
        <v>4</v>
      </c>
      <c r="AA6">
        <f t="shared" si="0"/>
        <v>105</v>
      </c>
      <c r="AB6" s="87">
        <f>AA6/AA46</f>
        <v>3.7919826652221017E-2</v>
      </c>
    </row>
    <row r="7" spans="1:28" x14ac:dyDescent="0.2">
      <c r="A7" s="27" t="s">
        <v>5</v>
      </c>
      <c r="B7">
        <v>2</v>
      </c>
      <c r="D7">
        <v>2</v>
      </c>
      <c r="E7">
        <v>2</v>
      </c>
      <c r="F7">
        <v>1</v>
      </c>
      <c r="I7">
        <v>1</v>
      </c>
      <c r="K7">
        <v>1</v>
      </c>
      <c r="M7">
        <v>1</v>
      </c>
      <c r="Q7">
        <v>1</v>
      </c>
      <c r="T7">
        <v>1</v>
      </c>
      <c r="U7">
        <v>2</v>
      </c>
      <c r="X7">
        <v>1</v>
      </c>
      <c r="Z7">
        <v>1</v>
      </c>
      <c r="AA7">
        <f t="shared" si="0"/>
        <v>16</v>
      </c>
      <c r="AB7" s="87">
        <f>AA7/AA46</f>
        <v>5.7782592993860602E-3</v>
      </c>
    </row>
    <row r="8" spans="1:28" x14ac:dyDescent="0.2">
      <c r="A8" s="27" t="s">
        <v>6</v>
      </c>
      <c r="B8">
        <v>24</v>
      </c>
      <c r="C8">
        <v>27</v>
      </c>
      <c r="D8">
        <v>27</v>
      </c>
      <c r="E8">
        <v>20</v>
      </c>
      <c r="F8">
        <v>27</v>
      </c>
      <c r="G8">
        <v>22</v>
      </c>
      <c r="H8">
        <v>26</v>
      </c>
      <c r="I8">
        <v>50</v>
      </c>
      <c r="J8">
        <v>68</v>
      </c>
      <c r="K8">
        <v>28</v>
      </c>
      <c r="L8">
        <v>18</v>
      </c>
      <c r="M8">
        <v>40</v>
      </c>
      <c r="N8">
        <v>29</v>
      </c>
      <c r="O8">
        <v>55</v>
      </c>
      <c r="P8">
        <v>30</v>
      </c>
      <c r="Q8">
        <v>4</v>
      </c>
      <c r="R8">
        <v>44</v>
      </c>
      <c r="S8">
        <v>26</v>
      </c>
      <c r="T8">
        <v>32</v>
      </c>
      <c r="U8">
        <v>22</v>
      </c>
      <c r="V8">
        <v>26</v>
      </c>
      <c r="W8">
        <v>9</v>
      </c>
      <c r="X8">
        <v>1</v>
      </c>
      <c r="Y8">
        <v>20</v>
      </c>
      <c r="Z8">
        <v>25</v>
      </c>
      <c r="AA8">
        <f t="shared" si="0"/>
        <v>700</v>
      </c>
      <c r="AB8" s="87">
        <f>AA8/AA46</f>
        <v>0.25279884434814015</v>
      </c>
    </row>
    <row r="9" spans="1:28" x14ac:dyDescent="0.2">
      <c r="A9" s="27" t="s">
        <v>40</v>
      </c>
      <c r="D9">
        <v>1</v>
      </c>
      <c r="L9">
        <v>1</v>
      </c>
      <c r="O9">
        <v>1</v>
      </c>
      <c r="R9">
        <v>1</v>
      </c>
      <c r="T9">
        <v>1</v>
      </c>
      <c r="Y9">
        <v>1</v>
      </c>
      <c r="AA9">
        <f t="shared" si="0"/>
        <v>6</v>
      </c>
      <c r="AB9" s="87">
        <f>AA9/AA46</f>
        <v>2.1668472372697724E-3</v>
      </c>
    </row>
    <row r="10" spans="1:28" x14ac:dyDescent="0.2">
      <c r="A10" s="27" t="s">
        <v>7</v>
      </c>
      <c r="B10">
        <v>3</v>
      </c>
      <c r="C10">
        <v>15</v>
      </c>
      <c r="D10">
        <v>6</v>
      </c>
      <c r="E10">
        <v>21</v>
      </c>
      <c r="F10">
        <v>16</v>
      </c>
      <c r="G10">
        <v>2</v>
      </c>
      <c r="H10">
        <v>14</v>
      </c>
      <c r="I10">
        <v>31</v>
      </c>
      <c r="J10">
        <v>11</v>
      </c>
      <c r="K10">
        <v>15</v>
      </c>
      <c r="L10">
        <v>2</v>
      </c>
      <c r="N10">
        <v>8</v>
      </c>
      <c r="O10">
        <v>18</v>
      </c>
      <c r="P10">
        <v>29</v>
      </c>
      <c r="Q10">
        <v>1</v>
      </c>
      <c r="R10">
        <v>23</v>
      </c>
      <c r="S10">
        <v>18</v>
      </c>
      <c r="T10">
        <v>6</v>
      </c>
      <c r="U10">
        <v>5</v>
      </c>
      <c r="V10">
        <v>3</v>
      </c>
      <c r="W10">
        <v>5</v>
      </c>
      <c r="Y10">
        <v>6</v>
      </c>
      <c r="Z10">
        <v>4</v>
      </c>
      <c r="AA10">
        <f t="shared" si="0"/>
        <v>262</v>
      </c>
      <c r="AB10" s="87">
        <f>AA10/AA46</f>
        <v>9.4618996027446736E-2</v>
      </c>
    </row>
    <row r="11" spans="1:28" x14ac:dyDescent="0.2">
      <c r="A11" s="27" t="s">
        <v>995</v>
      </c>
      <c r="AA11">
        <v>0</v>
      </c>
      <c r="AB11" s="87">
        <v>0</v>
      </c>
    </row>
    <row r="12" spans="1:28" x14ac:dyDescent="0.2">
      <c r="A12" s="27" t="s">
        <v>9</v>
      </c>
      <c r="AA12">
        <v>0</v>
      </c>
      <c r="AB12" s="87">
        <v>0</v>
      </c>
    </row>
    <row r="13" spans="1:28" x14ac:dyDescent="0.2">
      <c r="A13" s="27" t="s">
        <v>10</v>
      </c>
      <c r="C13">
        <v>2</v>
      </c>
      <c r="H13">
        <v>1</v>
      </c>
      <c r="J13">
        <v>1</v>
      </c>
      <c r="T13">
        <v>1</v>
      </c>
      <c r="V13">
        <v>1</v>
      </c>
      <c r="AA13">
        <f>SUM(B13:Z13)</f>
        <v>6</v>
      </c>
      <c r="AB13" s="87">
        <f>AA13/AA46</f>
        <v>2.1668472372697724E-3</v>
      </c>
    </row>
    <row r="14" spans="1:28" x14ac:dyDescent="0.2">
      <c r="A14" s="27" t="s">
        <v>11</v>
      </c>
      <c r="AA14">
        <v>0</v>
      </c>
      <c r="AB14" s="87">
        <v>0</v>
      </c>
    </row>
    <row r="15" spans="1:28" x14ac:dyDescent="0.2">
      <c r="A15" s="27" t="s">
        <v>503</v>
      </c>
      <c r="AA15">
        <v>0</v>
      </c>
      <c r="AB15" s="87">
        <v>0</v>
      </c>
    </row>
    <row r="16" spans="1:28" x14ac:dyDescent="0.2">
      <c r="A16" s="27" t="s">
        <v>469</v>
      </c>
      <c r="AA16">
        <v>0</v>
      </c>
      <c r="AB16" s="87">
        <v>0</v>
      </c>
    </row>
    <row r="17" spans="1:28" x14ac:dyDescent="0.2">
      <c r="A17" s="27" t="s">
        <v>13</v>
      </c>
      <c r="AA17">
        <v>0</v>
      </c>
      <c r="AB17" s="87">
        <v>0</v>
      </c>
    </row>
    <row r="18" spans="1:28" x14ac:dyDescent="0.2">
      <c r="A18" s="27" t="s">
        <v>14</v>
      </c>
      <c r="AA18">
        <v>0</v>
      </c>
      <c r="AB18" s="87">
        <v>0</v>
      </c>
    </row>
    <row r="19" spans="1:28" x14ac:dyDescent="0.2">
      <c r="A19" s="27" t="s">
        <v>427</v>
      </c>
      <c r="AA19">
        <v>0</v>
      </c>
      <c r="AB19" s="87">
        <v>0</v>
      </c>
    </row>
    <row r="20" spans="1:28" x14ac:dyDescent="0.2">
      <c r="A20" s="27" t="s">
        <v>15</v>
      </c>
      <c r="AA20">
        <v>0</v>
      </c>
      <c r="AB20" s="87">
        <v>0</v>
      </c>
    </row>
    <row r="21" spans="1:28" x14ac:dyDescent="0.2">
      <c r="A21" s="27" t="s">
        <v>16</v>
      </c>
      <c r="C21">
        <v>1</v>
      </c>
      <c r="D21">
        <v>2</v>
      </c>
      <c r="I21">
        <v>1</v>
      </c>
      <c r="L21">
        <v>1</v>
      </c>
      <c r="N21">
        <v>1</v>
      </c>
      <c r="Z21">
        <v>1</v>
      </c>
      <c r="AA21">
        <f>SUM(B21:Z21)</f>
        <v>7</v>
      </c>
      <c r="AB21" s="87">
        <f>AA21/AA46</f>
        <v>2.527988443481401E-3</v>
      </c>
    </row>
    <row r="22" spans="1:28" x14ac:dyDescent="0.2">
      <c r="A22" s="27" t="s">
        <v>17</v>
      </c>
      <c r="B22">
        <v>1</v>
      </c>
      <c r="C22">
        <v>1</v>
      </c>
      <c r="H22">
        <v>1</v>
      </c>
      <c r="K22">
        <v>1</v>
      </c>
      <c r="Y22">
        <v>1</v>
      </c>
      <c r="Z22">
        <v>1</v>
      </c>
      <c r="AA22">
        <f>SUM(B22:Z22)</f>
        <v>6</v>
      </c>
      <c r="AB22" s="87">
        <f>AA22/AA46</f>
        <v>2.1668472372697724E-3</v>
      </c>
    </row>
    <row r="23" spans="1:28" x14ac:dyDescent="0.2">
      <c r="A23" s="27" t="s">
        <v>18</v>
      </c>
      <c r="C23">
        <v>1</v>
      </c>
      <c r="D23">
        <v>1</v>
      </c>
      <c r="E23">
        <v>1</v>
      </c>
      <c r="F23">
        <v>3</v>
      </c>
      <c r="I23">
        <v>1</v>
      </c>
      <c r="J23">
        <v>2</v>
      </c>
      <c r="K23">
        <v>4</v>
      </c>
      <c r="R23">
        <v>3</v>
      </c>
      <c r="U23">
        <v>1</v>
      </c>
      <c r="X23">
        <v>1</v>
      </c>
      <c r="Y23">
        <v>1</v>
      </c>
      <c r="AA23">
        <f>SUM(B23:Z23)</f>
        <v>19</v>
      </c>
      <c r="AB23" s="87">
        <f>AA23/AA46</f>
        <v>6.8616829180209466E-3</v>
      </c>
    </row>
    <row r="24" spans="1:28" x14ac:dyDescent="0.2">
      <c r="A24" s="27" t="s">
        <v>19</v>
      </c>
      <c r="B24">
        <v>2</v>
      </c>
      <c r="C24">
        <v>1</v>
      </c>
      <c r="D24">
        <v>1</v>
      </c>
      <c r="E24">
        <v>1</v>
      </c>
      <c r="G24">
        <v>2</v>
      </c>
      <c r="I24">
        <v>2</v>
      </c>
      <c r="R24">
        <v>2</v>
      </c>
      <c r="S24">
        <v>1</v>
      </c>
      <c r="T24">
        <v>5</v>
      </c>
      <c r="W24">
        <v>2</v>
      </c>
      <c r="Y24">
        <v>1</v>
      </c>
      <c r="Z24">
        <v>1</v>
      </c>
      <c r="AA24">
        <f>SUM(B24:Z24)</f>
        <v>21</v>
      </c>
      <c r="AB24" s="87">
        <f>AA24/AA46</f>
        <v>7.5839653304442039E-3</v>
      </c>
    </row>
    <row r="25" spans="1:28" x14ac:dyDescent="0.2">
      <c r="A25" s="27" t="s">
        <v>20</v>
      </c>
      <c r="AA25">
        <v>0</v>
      </c>
      <c r="AB25" s="87">
        <v>0</v>
      </c>
    </row>
    <row r="26" spans="1:28" x14ac:dyDescent="0.2">
      <c r="A26" s="27" t="s">
        <v>645</v>
      </c>
      <c r="B26">
        <v>5</v>
      </c>
      <c r="C26">
        <v>10</v>
      </c>
      <c r="D26">
        <v>4</v>
      </c>
      <c r="E26">
        <v>17</v>
      </c>
      <c r="F26">
        <v>24</v>
      </c>
      <c r="G26">
        <v>2</v>
      </c>
      <c r="H26">
        <v>10</v>
      </c>
      <c r="I26">
        <v>21</v>
      </c>
      <c r="J26">
        <v>20</v>
      </c>
      <c r="K26">
        <v>14</v>
      </c>
      <c r="L26">
        <v>6</v>
      </c>
      <c r="M26">
        <v>18</v>
      </c>
      <c r="N26">
        <v>11</v>
      </c>
      <c r="O26">
        <v>19</v>
      </c>
      <c r="P26">
        <v>40</v>
      </c>
      <c r="R26">
        <v>21</v>
      </c>
      <c r="S26">
        <v>10</v>
      </c>
      <c r="T26">
        <v>5</v>
      </c>
      <c r="U26">
        <v>5</v>
      </c>
      <c r="V26">
        <v>12</v>
      </c>
      <c r="W26">
        <v>5</v>
      </c>
      <c r="Y26">
        <v>11</v>
      </c>
      <c r="Z26">
        <v>19</v>
      </c>
      <c r="AA26">
        <f>SUM(B26:Z26)</f>
        <v>309</v>
      </c>
      <c r="AB26" s="87">
        <f>AA26/AA46</f>
        <v>0.11159263271939328</v>
      </c>
    </row>
    <row r="27" spans="1:28" x14ac:dyDescent="0.2">
      <c r="A27" s="27" t="s">
        <v>200</v>
      </c>
      <c r="C27">
        <v>5</v>
      </c>
      <c r="D27">
        <v>6</v>
      </c>
      <c r="E27">
        <v>11</v>
      </c>
      <c r="F27">
        <v>8</v>
      </c>
      <c r="H27">
        <v>7</v>
      </c>
      <c r="I27">
        <v>7</v>
      </c>
      <c r="J27">
        <v>8</v>
      </c>
      <c r="K27">
        <v>4</v>
      </c>
      <c r="L27">
        <v>7</v>
      </c>
      <c r="M27">
        <v>4</v>
      </c>
      <c r="N27">
        <v>1</v>
      </c>
      <c r="O27">
        <v>8</v>
      </c>
      <c r="P27">
        <v>11</v>
      </c>
      <c r="Q27">
        <v>1</v>
      </c>
      <c r="R27">
        <v>11</v>
      </c>
      <c r="S27">
        <v>8</v>
      </c>
      <c r="T27">
        <v>1</v>
      </c>
      <c r="V27">
        <v>4</v>
      </c>
      <c r="W27">
        <v>2</v>
      </c>
      <c r="Y27">
        <v>6</v>
      </c>
      <c r="Z27">
        <v>3</v>
      </c>
      <c r="AA27">
        <f>SUM(B27:Z27)</f>
        <v>123</v>
      </c>
      <c r="AB27" s="87">
        <f>AA27/AA46</f>
        <v>4.4420368364030335E-2</v>
      </c>
    </row>
    <row r="28" spans="1:28" x14ac:dyDescent="0.2">
      <c r="A28" s="27" t="s">
        <v>435</v>
      </c>
      <c r="B28">
        <v>4</v>
      </c>
      <c r="C28">
        <v>16</v>
      </c>
      <c r="D28">
        <v>2</v>
      </c>
      <c r="E28">
        <v>17</v>
      </c>
      <c r="F28">
        <v>11</v>
      </c>
      <c r="H28">
        <v>10</v>
      </c>
      <c r="I28">
        <v>2</v>
      </c>
      <c r="K28">
        <v>1</v>
      </c>
      <c r="L28">
        <v>5</v>
      </c>
      <c r="M28">
        <v>6</v>
      </c>
      <c r="N28">
        <v>11</v>
      </c>
      <c r="O28">
        <v>15</v>
      </c>
      <c r="P28">
        <v>11</v>
      </c>
      <c r="R28">
        <v>8</v>
      </c>
      <c r="S28">
        <v>2</v>
      </c>
      <c r="U28">
        <v>3</v>
      </c>
      <c r="V28">
        <v>5</v>
      </c>
      <c r="W28">
        <v>4</v>
      </c>
      <c r="X28">
        <v>1</v>
      </c>
      <c r="Y28">
        <v>3</v>
      </c>
      <c r="Z28">
        <v>6</v>
      </c>
      <c r="AA28">
        <f>SUM(B28:Z28)</f>
        <v>143</v>
      </c>
      <c r="AB28" s="87">
        <f>AA28/AA46</f>
        <v>5.1643192488262914E-2</v>
      </c>
    </row>
    <row r="29" spans="1:28" x14ac:dyDescent="0.2">
      <c r="A29" s="27" t="s">
        <v>22</v>
      </c>
      <c r="AA29">
        <v>0</v>
      </c>
      <c r="AB29" s="87">
        <v>0</v>
      </c>
    </row>
    <row r="30" spans="1:28" x14ac:dyDescent="0.2">
      <c r="A30" s="27" t="s">
        <v>23</v>
      </c>
      <c r="B30">
        <v>4</v>
      </c>
      <c r="C30">
        <v>4</v>
      </c>
      <c r="D30">
        <v>2</v>
      </c>
      <c r="E30">
        <v>4</v>
      </c>
      <c r="F30">
        <v>3</v>
      </c>
      <c r="G30">
        <v>1</v>
      </c>
      <c r="H30">
        <v>3</v>
      </c>
      <c r="I30">
        <v>3</v>
      </c>
      <c r="J30">
        <v>4</v>
      </c>
      <c r="K30">
        <v>1</v>
      </c>
      <c r="L30">
        <v>2</v>
      </c>
      <c r="M30">
        <v>1</v>
      </c>
      <c r="N30">
        <v>1</v>
      </c>
      <c r="O30">
        <v>2</v>
      </c>
      <c r="P30">
        <v>3</v>
      </c>
      <c r="R30">
        <v>7</v>
      </c>
      <c r="S30">
        <v>4</v>
      </c>
      <c r="T30">
        <v>6</v>
      </c>
      <c r="U30">
        <v>3</v>
      </c>
      <c r="V30">
        <v>1</v>
      </c>
      <c r="W30">
        <v>2</v>
      </c>
      <c r="Y30">
        <v>4</v>
      </c>
      <c r="Z30">
        <v>3</v>
      </c>
      <c r="AA30">
        <f>SUM(B30:Z30)</f>
        <v>68</v>
      </c>
      <c r="AB30" s="87">
        <f>AA30/AA46</f>
        <v>2.4557602022390754E-2</v>
      </c>
    </row>
    <row r="31" spans="1:28" x14ac:dyDescent="0.2">
      <c r="A31" s="27" t="s">
        <v>214</v>
      </c>
      <c r="AA31">
        <v>0</v>
      </c>
      <c r="AB31" s="87">
        <v>0</v>
      </c>
    </row>
    <row r="32" spans="1:28" x14ac:dyDescent="0.2">
      <c r="A32" s="27" t="s">
        <v>194</v>
      </c>
      <c r="C32">
        <v>1</v>
      </c>
      <c r="G32">
        <v>1</v>
      </c>
      <c r="I32">
        <v>1</v>
      </c>
      <c r="AA32">
        <f>SUM(B32:Z32)</f>
        <v>3</v>
      </c>
      <c r="AB32" s="87">
        <f>AA32/AA46</f>
        <v>1.0834236186348862E-3</v>
      </c>
    </row>
    <row r="33" spans="1:28" x14ac:dyDescent="0.2">
      <c r="A33" s="27" t="s">
        <v>195</v>
      </c>
      <c r="L33">
        <v>1</v>
      </c>
      <c r="AA33">
        <f>SUM(B33:Z33)</f>
        <v>1</v>
      </c>
      <c r="AB33" s="87">
        <f>AA33/AA46</f>
        <v>3.6114120621162876E-4</v>
      </c>
    </row>
    <row r="34" spans="1:28" x14ac:dyDescent="0.2">
      <c r="A34" s="27" t="s">
        <v>25</v>
      </c>
      <c r="C34">
        <v>6</v>
      </c>
      <c r="D34">
        <v>2</v>
      </c>
      <c r="E34">
        <v>4</v>
      </c>
      <c r="F34">
        <v>3</v>
      </c>
      <c r="G34">
        <v>2</v>
      </c>
      <c r="H34">
        <v>6</v>
      </c>
      <c r="J34">
        <v>3</v>
      </c>
      <c r="L34">
        <v>1</v>
      </c>
      <c r="M34">
        <v>3</v>
      </c>
      <c r="O34">
        <v>1</v>
      </c>
      <c r="P34">
        <v>1</v>
      </c>
      <c r="R34">
        <v>4</v>
      </c>
      <c r="S34">
        <v>2</v>
      </c>
      <c r="T34">
        <v>1</v>
      </c>
      <c r="W34">
        <v>2</v>
      </c>
      <c r="Y34">
        <v>3</v>
      </c>
      <c r="Z34">
        <v>5</v>
      </c>
      <c r="AA34">
        <f>SUM(B34:Z34)</f>
        <v>49</v>
      </c>
      <c r="AB34" s="87">
        <f>AA34/AA46</f>
        <v>1.7695919104369809E-2</v>
      </c>
    </row>
    <row r="35" spans="1:28" x14ac:dyDescent="0.2">
      <c r="A35" s="27" t="s">
        <v>646</v>
      </c>
      <c r="C35">
        <v>1</v>
      </c>
      <c r="AA35">
        <f>SUM(B35:Z35)</f>
        <v>1</v>
      </c>
      <c r="AB35" s="87">
        <f>AA35/AA46</f>
        <v>3.6114120621162876E-4</v>
      </c>
    </row>
    <row r="36" spans="1:28" x14ac:dyDescent="0.2">
      <c r="A36" s="27" t="s">
        <v>26</v>
      </c>
      <c r="AA36">
        <v>0</v>
      </c>
      <c r="AB36" s="87">
        <v>0</v>
      </c>
    </row>
    <row r="37" spans="1:28" x14ac:dyDescent="0.2">
      <c r="A37" s="27" t="s">
        <v>27</v>
      </c>
      <c r="B37">
        <v>10</v>
      </c>
      <c r="C37">
        <v>11</v>
      </c>
      <c r="D37">
        <v>9</v>
      </c>
      <c r="E37">
        <v>13</v>
      </c>
      <c r="F37">
        <v>11</v>
      </c>
      <c r="G37">
        <v>14</v>
      </c>
      <c r="H37">
        <v>2</v>
      </c>
      <c r="I37">
        <v>8</v>
      </c>
      <c r="J37">
        <v>9</v>
      </c>
      <c r="K37">
        <v>6</v>
      </c>
      <c r="L37">
        <v>5</v>
      </c>
      <c r="M37">
        <v>7</v>
      </c>
      <c r="N37">
        <v>3</v>
      </c>
      <c r="O37">
        <v>6</v>
      </c>
      <c r="P37">
        <v>20</v>
      </c>
      <c r="Q37">
        <v>3</v>
      </c>
      <c r="R37">
        <v>18</v>
      </c>
      <c r="S37">
        <v>7</v>
      </c>
      <c r="T37">
        <v>5</v>
      </c>
      <c r="V37">
        <v>1</v>
      </c>
      <c r="W37">
        <v>3</v>
      </c>
      <c r="Y37">
        <v>2</v>
      </c>
      <c r="Z37">
        <v>3</v>
      </c>
      <c r="AA37">
        <f>SUM(B37:Z37)</f>
        <v>176</v>
      </c>
      <c r="AB37" s="87">
        <f>AA37/AA46</f>
        <v>6.3560852293246664E-2</v>
      </c>
    </row>
    <row r="38" spans="1:28" x14ac:dyDescent="0.2">
      <c r="A38" s="27" t="s">
        <v>28</v>
      </c>
      <c r="AA38">
        <v>0</v>
      </c>
      <c r="AB38" s="87">
        <v>0</v>
      </c>
    </row>
    <row r="39" spans="1:28" x14ac:dyDescent="0.2">
      <c r="A39" s="27" t="s">
        <v>29</v>
      </c>
      <c r="E39">
        <v>1</v>
      </c>
      <c r="N39">
        <v>1</v>
      </c>
      <c r="S39">
        <v>1</v>
      </c>
      <c r="T39">
        <v>1</v>
      </c>
      <c r="AA39">
        <f>SUM(B39:Z39)</f>
        <v>4</v>
      </c>
      <c r="AB39" s="87">
        <f>AA39/AA46</f>
        <v>1.4445648248465151E-3</v>
      </c>
    </row>
    <row r="40" spans="1:28" x14ac:dyDescent="0.2">
      <c r="A40" s="27" t="s">
        <v>30</v>
      </c>
      <c r="AA40">
        <v>0</v>
      </c>
      <c r="AB40" s="87">
        <v>0</v>
      </c>
    </row>
    <row r="41" spans="1:28" x14ac:dyDescent="0.2">
      <c r="A41" s="27" t="s">
        <v>442</v>
      </c>
      <c r="AA41">
        <v>0</v>
      </c>
      <c r="AB41" s="87">
        <v>0</v>
      </c>
    </row>
    <row r="42" spans="1:28" x14ac:dyDescent="0.2">
      <c r="A42" s="27" t="s">
        <v>31</v>
      </c>
      <c r="C42">
        <v>1</v>
      </c>
      <c r="E42">
        <v>1</v>
      </c>
      <c r="F42">
        <v>1</v>
      </c>
      <c r="G42">
        <v>2</v>
      </c>
      <c r="I42">
        <v>1</v>
      </c>
      <c r="K42">
        <v>2</v>
      </c>
      <c r="M42">
        <v>1</v>
      </c>
      <c r="N42">
        <v>2</v>
      </c>
      <c r="O42">
        <v>1</v>
      </c>
      <c r="P42">
        <v>1</v>
      </c>
      <c r="V42">
        <v>1</v>
      </c>
      <c r="W42">
        <v>3</v>
      </c>
      <c r="Y42">
        <v>1</v>
      </c>
      <c r="AA42">
        <f>SUM(B42:Z42)</f>
        <v>18</v>
      </c>
      <c r="AB42" s="87">
        <f>AA42/AA46</f>
        <v>6.5005417118093175E-3</v>
      </c>
    </row>
    <row r="43" spans="1:28" x14ac:dyDescent="0.2">
      <c r="A43" s="27" t="s">
        <v>32</v>
      </c>
      <c r="K43">
        <v>1</v>
      </c>
      <c r="AA43">
        <f>SUM(B43:Z43)</f>
        <v>1</v>
      </c>
      <c r="AB43" s="87">
        <f>AA43/AA46</f>
        <v>3.6114120621162876E-4</v>
      </c>
    </row>
    <row r="44" spans="1:28" x14ac:dyDescent="0.2">
      <c r="A44" s="27" t="s">
        <v>33</v>
      </c>
      <c r="C44">
        <v>1</v>
      </c>
      <c r="D44">
        <v>1</v>
      </c>
      <c r="E44">
        <v>2</v>
      </c>
      <c r="G44">
        <v>2</v>
      </c>
      <c r="H44">
        <v>2</v>
      </c>
      <c r="I44">
        <v>1</v>
      </c>
      <c r="J44">
        <v>1</v>
      </c>
      <c r="K44">
        <v>1</v>
      </c>
      <c r="N44">
        <v>1</v>
      </c>
      <c r="O44">
        <v>1</v>
      </c>
      <c r="P44">
        <v>1</v>
      </c>
      <c r="R44">
        <v>2</v>
      </c>
      <c r="T44">
        <v>2</v>
      </c>
      <c r="U44">
        <v>1</v>
      </c>
      <c r="V44">
        <v>1</v>
      </c>
      <c r="Y44">
        <v>1</v>
      </c>
      <c r="AA44">
        <f>SUM(B44:Z44)</f>
        <v>21</v>
      </c>
      <c r="AB44" s="87">
        <f>AA44/AA46</f>
        <v>7.5839653304442039E-3</v>
      </c>
    </row>
    <row r="45" spans="1:28" x14ac:dyDescent="0.2">
      <c r="A45" s="27" t="s">
        <v>36</v>
      </c>
      <c r="M45">
        <v>1</v>
      </c>
      <c r="AA45">
        <f>SUM(B45:Z45)</f>
        <v>1</v>
      </c>
      <c r="AB45" s="87">
        <f>AA45/AA46</f>
        <v>3.6114120621162876E-4</v>
      </c>
    </row>
    <row r="46" spans="1:28" x14ac:dyDescent="0.2">
      <c r="A46" s="30" t="s">
        <v>344</v>
      </c>
      <c r="B46">
        <f t="shared" ref="B46:W46" si="1">SUM(B3:B45)</f>
        <v>87</v>
      </c>
      <c r="C46">
        <f t="shared" si="1"/>
        <v>162</v>
      </c>
      <c r="D46">
        <f t="shared" si="1"/>
        <v>102</v>
      </c>
      <c r="E46">
        <f t="shared" si="1"/>
        <v>170</v>
      </c>
      <c r="F46">
        <f t="shared" si="1"/>
        <v>157</v>
      </c>
      <c r="G46">
        <f t="shared" si="1"/>
        <v>68</v>
      </c>
      <c r="H46">
        <f t="shared" si="1"/>
        <v>126</v>
      </c>
      <c r="I46">
        <f t="shared" si="1"/>
        <v>172</v>
      </c>
      <c r="J46">
        <f t="shared" si="1"/>
        <v>185</v>
      </c>
      <c r="K46">
        <f t="shared" si="1"/>
        <v>100</v>
      </c>
      <c r="L46">
        <f t="shared" si="1"/>
        <v>66</v>
      </c>
      <c r="M46">
        <f t="shared" si="1"/>
        <v>126</v>
      </c>
      <c r="N46">
        <f t="shared" si="1"/>
        <v>102</v>
      </c>
      <c r="O46">
        <f t="shared" si="1"/>
        <v>182</v>
      </c>
      <c r="P46">
        <f t="shared" si="1"/>
        <v>172</v>
      </c>
      <c r="Q46">
        <f t="shared" si="1"/>
        <v>14</v>
      </c>
      <c r="R46">
        <f t="shared" si="1"/>
        <v>172</v>
      </c>
      <c r="S46">
        <f t="shared" si="1"/>
        <v>112</v>
      </c>
      <c r="T46">
        <f t="shared" si="1"/>
        <v>82</v>
      </c>
      <c r="U46">
        <f t="shared" si="1"/>
        <v>61</v>
      </c>
      <c r="V46">
        <f t="shared" si="1"/>
        <v>82</v>
      </c>
      <c r="W46">
        <f t="shared" si="1"/>
        <v>57</v>
      </c>
      <c r="X46">
        <f>SUM(X2:X44)</f>
        <v>11</v>
      </c>
      <c r="Y46">
        <f>SUM(Y3:Y45)</f>
        <v>101</v>
      </c>
      <c r="Z46">
        <f>SUM(Z3:Z45)</f>
        <v>100</v>
      </c>
      <c r="AA46">
        <f>SUM(B46:Z46)</f>
        <v>2769</v>
      </c>
      <c r="AB46" s="87">
        <f>AA46/AA46</f>
        <v>1</v>
      </c>
    </row>
    <row r="49" spans="1:1" x14ac:dyDescent="0.2">
      <c r="A49" s="27" t="s">
        <v>1491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9"/>
  <sheetViews>
    <sheetView topLeftCell="A40" workbookViewId="0">
      <selection activeCell="A50" sqref="A50"/>
    </sheetView>
  </sheetViews>
  <sheetFormatPr defaultRowHeight="12.75" x14ac:dyDescent="0.2"/>
  <cols>
    <col min="1" max="1" width="25.28515625" customWidth="1"/>
  </cols>
  <sheetData>
    <row r="1" spans="1:12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 t="s">
        <v>449</v>
      </c>
    </row>
    <row r="2" spans="1:12" x14ac:dyDescent="0.2">
      <c r="A2" s="30" t="s">
        <v>287</v>
      </c>
      <c r="B2" t="s">
        <v>1297</v>
      </c>
      <c r="C2" t="s">
        <v>1298</v>
      </c>
      <c r="D2" t="s">
        <v>809</v>
      </c>
      <c r="E2" t="s">
        <v>1276</v>
      </c>
      <c r="F2" t="s">
        <v>1299</v>
      </c>
      <c r="G2" t="s">
        <v>355</v>
      </c>
      <c r="H2" t="s">
        <v>1300</v>
      </c>
      <c r="I2" t="s">
        <v>1301</v>
      </c>
      <c r="J2" t="s">
        <v>1302</v>
      </c>
      <c r="K2" t="s">
        <v>1265</v>
      </c>
      <c r="L2" t="s">
        <v>1266</v>
      </c>
    </row>
    <row r="3" spans="1:12" x14ac:dyDescent="0.2">
      <c r="A3" s="27" t="s">
        <v>1</v>
      </c>
      <c r="B3">
        <v>54</v>
      </c>
      <c r="C3">
        <v>22</v>
      </c>
      <c r="D3">
        <v>27</v>
      </c>
      <c r="E3">
        <v>33</v>
      </c>
      <c r="F3">
        <v>9</v>
      </c>
      <c r="G3">
        <v>36</v>
      </c>
      <c r="H3">
        <v>23</v>
      </c>
      <c r="I3">
        <v>15</v>
      </c>
      <c r="J3">
        <v>6</v>
      </c>
      <c r="K3">
        <f t="shared" ref="K3:K10" si="0">SUM(B3:J3)</f>
        <v>225</v>
      </c>
      <c r="L3" s="87">
        <f>K3/K46</f>
        <v>0.2032520325203252</v>
      </c>
    </row>
    <row r="4" spans="1:12" x14ac:dyDescent="0.2">
      <c r="A4" s="27" t="s">
        <v>2</v>
      </c>
      <c r="C4">
        <v>1</v>
      </c>
      <c r="K4">
        <f t="shared" si="0"/>
        <v>1</v>
      </c>
      <c r="L4" s="87">
        <f>K4/K46</f>
        <v>9.0334236675700087E-4</v>
      </c>
    </row>
    <row r="5" spans="1:12" x14ac:dyDescent="0.2">
      <c r="A5" s="27" t="s">
        <v>3</v>
      </c>
      <c r="B5">
        <v>5</v>
      </c>
      <c r="C5">
        <v>10</v>
      </c>
      <c r="D5">
        <v>12</v>
      </c>
      <c r="E5">
        <v>4</v>
      </c>
      <c r="G5">
        <v>6</v>
      </c>
      <c r="H5">
        <v>4</v>
      </c>
      <c r="I5">
        <v>8</v>
      </c>
      <c r="J5">
        <v>1</v>
      </c>
      <c r="K5">
        <f t="shared" si="0"/>
        <v>50</v>
      </c>
      <c r="L5" s="87">
        <f>K5/K46</f>
        <v>4.5167118337850046E-2</v>
      </c>
    </row>
    <row r="6" spans="1:12" x14ac:dyDescent="0.2">
      <c r="A6" s="27" t="s">
        <v>4</v>
      </c>
      <c r="B6">
        <v>7</v>
      </c>
      <c r="C6">
        <v>9</v>
      </c>
      <c r="D6">
        <v>4</v>
      </c>
      <c r="E6">
        <v>16</v>
      </c>
      <c r="F6">
        <v>1</v>
      </c>
      <c r="G6">
        <v>6</v>
      </c>
      <c r="H6">
        <v>6</v>
      </c>
      <c r="I6">
        <v>2</v>
      </c>
      <c r="K6">
        <f t="shared" si="0"/>
        <v>51</v>
      </c>
      <c r="L6" s="87">
        <f>K6/K46</f>
        <v>4.6070460704607047E-2</v>
      </c>
    </row>
    <row r="7" spans="1:12" x14ac:dyDescent="0.2">
      <c r="A7" s="27" t="s">
        <v>5</v>
      </c>
      <c r="B7">
        <v>3</v>
      </c>
      <c r="C7">
        <v>3</v>
      </c>
      <c r="D7">
        <v>1</v>
      </c>
      <c r="H7">
        <v>5</v>
      </c>
      <c r="I7">
        <v>1</v>
      </c>
      <c r="J7">
        <v>1</v>
      </c>
      <c r="K7">
        <f t="shared" si="0"/>
        <v>14</v>
      </c>
      <c r="L7" s="87">
        <f>K7/K46</f>
        <v>1.2646793134598013E-2</v>
      </c>
    </row>
    <row r="8" spans="1:12" x14ac:dyDescent="0.2">
      <c r="A8" s="27" t="s">
        <v>6</v>
      </c>
      <c r="B8">
        <v>34</v>
      </c>
      <c r="C8">
        <v>34</v>
      </c>
      <c r="D8">
        <v>23</v>
      </c>
      <c r="E8">
        <v>42</v>
      </c>
      <c r="F8">
        <v>4</v>
      </c>
      <c r="G8">
        <v>52</v>
      </c>
      <c r="H8">
        <v>30</v>
      </c>
      <c r="I8">
        <v>16</v>
      </c>
      <c r="J8">
        <v>6</v>
      </c>
      <c r="K8">
        <f t="shared" si="0"/>
        <v>241</v>
      </c>
      <c r="L8" s="87">
        <f>K8/K46</f>
        <v>0.21770551038843722</v>
      </c>
    </row>
    <row r="9" spans="1:12" x14ac:dyDescent="0.2">
      <c r="A9" s="27" t="s">
        <v>40</v>
      </c>
      <c r="B9">
        <v>1</v>
      </c>
      <c r="E9">
        <v>2</v>
      </c>
      <c r="G9">
        <v>1</v>
      </c>
      <c r="H9">
        <v>1</v>
      </c>
      <c r="I9">
        <v>1</v>
      </c>
      <c r="K9">
        <f t="shared" si="0"/>
        <v>6</v>
      </c>
      <c r="L9" s="87">
        <f>K9/K46</f>
        <v>5.4200542005420054E-3</v>
      </c>
    </row>
    <row r="10" spans="1:12" x14ac:dyDescent="0.2">
      <c r="A10" s="27" t="s">
        <v>7</v>
      </c>
      <c r="B10">
        <v>2</v>
      </c>
      <c r="C10">
        <v>16</v>
      </c>
      <c r="D10">
        <v>4</v>
      </c>
      <c r="E10">
        <v>11</v>
      </c>
      <c r="G10">
        <v>21</v>
      </c>
      <c r="H10">
        <v>24</v>
      </c>
      <c r="I10">
        <v>12</v>
      </c>
      <c r="J10">
        <v>2</v>
      </c>
      <c r="K10">
        <f t="shared" si="0"/>
        <v>92</v>
      </c>
      <c r="L10" s="87">
        <f>K10/K46</f>
        <v>8.3107497741644082E-2</v>
      </c>
    </row>
    <row r="11" spans="1:12" x14ac:dyDescent="0.2">
      <c r="A11" s="27" t="s">
        <v>995</v>
      </c>
      <c r="K11">
        <v>0</v>
      </c>
      <c r="L11" s="87">
        <v>0</v>
      </c>
    </row>
    <row r="12" spans="1:12" x14ac:dyDescent="0.2">
      <c r="A12" s="27" t="s">
        <v>9</v>
      </c>
      <c r="G12">
        <v>2</v>
      </c>
      <c r="H12">
        <v>2</v>
      </c>
      <c r="I12">
        <v>1</v>
      </c>
      <c r="K12">
        <f>SUM(B12:J12)</f>
        <v>5</v>
      </c>
      <c r="L12" s="87">
        <f>K12/K46</f>
        <v>4.5167118337850042E-3</v>
      </c>
    </row>
    <row r="13" spans="1:12" x14ac:dyDescent="0.2">
      <c r="A13" s="27" t="s">
        <v>10</v>
      </c>
      <c r="B13">
        <v>1</v>
      </c>
      <c r="D13">
        <v>2</v>
      </c>
      <c r="G13">
        <v>1</v>
      </c>
      <c r="K13">
        <f>SUM(B13:J13)</f>
        <v>4</v>
      </c>
      <c r="L13" s="87">
        <f>K13/K46</f>
        <v>3.6133694670280035E-3</v>
      </c>
    </row>
    <row r="14" spans="1:12" x14ac:dyDescent="0.2">
      <c r="A14" s="27" t="s">
        <v>11</v>
      </c>
      <c r="K14">
        <v>0</v>
      </c>
      <c r="L14" s="87">
        <v>0</v>
      </c>
    </row>
    <row r="15" spans="1:12" x14ac:dyDescent="0.2">
      <c r="A15" s="27" t="s">
        <v>503</v>
      </c>
      <c r="K15">
        <v>0</v>
      </c>
      <c r="L15" s="87">
        <v>0</v>
      </c>
    </row>
    <row r="16" spans="1:12" x14ac:dyDescent="0.2">
      <c r="A16" s="27" t="s">
        <v>469</v>
      </c>
      <c r="K16">
        <v>0</v>
      </c>
      <c r="L16" s="87">
        <v>0</v>
      </c>
    </row>
    <row r="17" spans="1:12" x14ac:dyDescent="0.2">
      <c r="A17" s="27" t="s">
        <v>13</v>
      </c>
      <c r="K17">
        <v>0</v>
      </c>
      <c r="L17" s="87">
        <v>0</v>
      </c>
    </row>
    <row r="18" spans="1:12" x14ac:dyDescent="0.2">
      <c r="A18" s="27" t="s">
        <v>14</v>
      </c>
      <c r="K18">
        <v>0</v>
      </c>
      <c r="L18" s="87">
        <v>0</v>
      </c>
    </row>
    <row r="19" spans="1:12" x14ac:dyDescent="0.2">
      <c r="A19" s="27" t="s">
        <v>427</v>
      </c>
      <c r="K19">
        <v>0</v>
      </c>
      <c r="L19" s="87">
        <v>0</v>
      </c>
    </row>
    <row r="20" spans="1:12" x14ac:dyDescent="0.2">
      <c r="A20" s="27" t="s">
        <v>15</v>
      </c>
      <c r="D20">
        <v>1</v>
      </c>
      <c r="I20">
        <v>2</v>
      </c>
      <c r="K20">
        <f t="shared" ref="K20:K28" si="1">SUM(B20:J20)</f>
        <v>3</v>
      </c>
      <c r="L20" s="87">
        <f>K20/K46</f>
        <v>2.7100271002710027E-3</v>
      </c>
    </row>
    <row r="21" spans="1:12" x14ac:dyDescent="0.2">
      <c r="A21" s="27" t="s">
        <v>16</v>
      </c>
      <c r="B21">
        <v>1</v>
      </c>
      <c r="E21">
        <v>2</v>
      </c>
      <c r="G21">
        <v>2</v>
      </c>
      <c r="K21">
        <f t="shared" si="1"/>
        <v>5</v>
      </c>
      <c r="L21" s="87">
        <f>K21/K46</f>
        <v>4.5167118337850042E-3</v>
      </c>
    </row>
    <row r="22" spans="1:12" x14ac:dyDescent="0.2">
      <c r="A22" s="27" t="s">
        <v>17</v>
      </c>
      <c r="H22">
        <v>1</v>
      </c>
      <c r="K22">
        <f t="shared" si="1"/>
        <v>1</v>
      </c>
      <c r="L22" s="87">
        <f>K22/K46</f>
        <v>9.0334236675700087E-4</v>
      </c>
    </row>
    <row r="23" spans="1:12" x14ac:dyDescent="0.2">
      <c r="A23" s="27" t="s">
        <v>18</v>
      </c>
      <c r="C23">
        <v>3</v>
      </c>
      <c r="D23">
        <v>2</v>
      </c>
      <c r="E23">
        <v>1</v>
      </c>
      <c r="G23">
        <v>1</v>
      </c>
      <c r="H23">
        <v>2</v>
      </c>
      <c r="J23">
        <v>1</v>
      </c>
      <c r="K23">
        <f t="shared" si="1"/>
        <v>10</v>
      </c>
      <c r="L23" s="87">
        <f>K23/K46</f>
        <v>9.0334236675700084E-3</v>
      </c>
    </row>
    <row r="24" spans="1:12" x14ac:dyDescent="0.2">
      <c r="A24" s="27" t="s">
        <v>19</v>
      </c>
      <c r="B24">
        <v>2</v>
      </c>
      <c r="C24">
        <v>2</v>
      </c>
      <c r="D24">
        <v>3</v>
      </c>
      <c r="E24">
        <v>1</v>
      </c>
      <c r="F24">
        <v>1</v>
      </c>
      <c r="G24">
        <v>2</v>
      </c>
      <c r="H24">
        <v>4</v>
      </c>
      <c r="I24">
        <v>4</v>
      </c>
      <c r="J24">
        <v>2</v>
      </c>
      <c r="K24">
        <f t="shared" si="1"/>
        <v>21</v>
      </c>
      <c r="L24" s="87">
        <f>K24/K46</f>
        <v>1.8970189701897018E-2</v>
      </c>
    </row>
    <row r="25" spans="1:12" x14ac:dyDescent="0.2">
      <c r="A25" s="27" t="s">
        <v>20</v>
      </c>
      <c r="B25">
        <v>1</v>
      </c>
      <c r="K25">
        <f t="shared" si="1"/>
        <v>1</v>
      </c>
      <c r="L25" s="87">
        <f>K25/K46</f>
        <v>9.0334236675700087E-4</v>
      </c>
    </row>
    <row r="26" spans="1:12" x14ac:dyDescent="0.2">
      <c r="A26" s="27" t="s">
        <v>645</v>
      </c>
      <c r="B26">
        <v>7</v>
      </c>
      <c r="C26">
        <v>9</v>
      </c>
      <c r="D26">
        <v>3</v>
      </c>
      <c r="E26">
        <v>17</v>
      </c>
      <c r="F26">
        <v>1</v>
      </c>
      <c r="G26">
        <v>28</v>
      </c>
      <c r="H26">
        <v>25</v>
      </c>
      <c r="I26">
        <v>12</v>
      </c>
      <c r="J26">
        <v>13</v>
      </c>
      <c r="K26">
        <f t="shared" si="1"/>
        <v>115</v>
      </c>
      <c r="L26" s="87">
        <f>K26/K46</f>
        <v>0.10388437217705511</v>
      </c>
    </row>
    <row r="27" spans="1:12" x14ac:dyDescent="0.2">
      <c r="A27" s="27" t="s">
        <v>200</v>
      </c>
      <c r="B27">
        <v>1</v>
      </c>
      <c r="C27">
        <v>9</v>
      </c>
      <c r="D27">
        <v>1</v>
      </c>
      <c r="E27">
        <v>2</v>
      </c>
      <c r="G27">
        <v>8</v>
      </c>
      <c r="H27">
        <v>6</v>
      </c>
      <c r="I27">
        <v>2</v>
      </c>
      <c r="K27">
        <f t="shared" si="1"/>
        <v>29</v>
      </c>
      <c r="L27" s="87">
        <f>K27/K46</f>
        <v>2.6196928635953028E-2</v>
      </c>
    </row>
    <row r="28" spans="1:12" x14ac:dyDescent="0.2">
      <c r="A28" s="27" t="s">
        <v>435</v>
      </c>
      <c r="B28">
        <v>5</v>
      </c>
      <c r="C28">
        <v>13</v>
      </c>
      <c r="D28">
        <v>12</v>
      </c>
      <c r="E28">
        <v>5</v>
      </c>
      <c r="F28">
        <v>2</v>
      </c>
      <c r="G28">
        <v>20</v>
      </c>
      <c r="H28">
        <v>12</v>
      </c>
      <c r="I28">
        <v>6</v>
      </c>
      <c r="J28">
        <v>5</v>
      </c>
      <c r="K28">
        <f t="shared" si="1"/>
        <v>80</v>
      </c>
      <c r="L28" s="87">
        <f>K28/K46</f>
        <v>7.2267389340560068E-2</v>
      </c>
    </row>
    <row r="29" spans="1:12" x14ac:dyDescent="0.2">
      <c r="A29" s="27" t="s">
        <v>22</v>
      </c>
      <c r="K29">
        <v>0</v>
      </c>
      <c r="L29" s="87">
        <v>0</v>
      </c>
    </row>
    <row r="30" spans="1:12" x14ac:dyDescent="0.2">
      <c r="A30" s="27" t="s">
        <v>23</v>
      </c>
      <c r="B30">
        <v>1</v>
      </c>
      <c r="C30">
        <v>1</v>
      </c>
      <c r="D30">
        <v>5</v>
      </c>
      <c r="E30">
        <v>3</v>
      </c>
      <c r="F30">
        <v>1</v>
      </c>
      <c r="G30">
        <v>6</v>
      </c>
      <c r="H30">
        <v>3</v>
      </c>
      <c r="I30">
        <v>13</v>
      </c>
      <c r="J30">
        <v>2</v>
      </c>
      <c r="K30">
        <f>SUM(B30:J30)</f>
        <v>35</v>
      </c>
      <c r="L30" s="87">
        <f>K30/K46</f>
        <v>3.1616982836495035E-2</v>
      </c>
    </row>
    <row r="31" spans="1:12" x14ac:dyDescent="0.2">
      <c r="A31" s="27" t="s">
        <v>214</v>
      </c>
      <c r="K31">
        <v>0</v>
      </c>
      <c r="L31" s="87">
        <v>0</v>
      </c>
    </row>
    <row r="32" spans="1:12" x14ac:dyDescent="0.2">
      <c r="A32" s="27" t="s">
        <v>194</v>
      </c>
      <c r="K32">
        <v>0</v>
      </c>
      <c r="L32" s="87">
        <v>0</v>
      </c>
    </row>
    <row r="33" spans="1:12" x14ac:dyDescent="0.2">
      <c r="A33" s="27" t="s">
        <v>195</v>
      </c>
      <c r="K33">
        <v>0</v>
      </c>
      <c r="L33" s="87">
        <v>0</v>
      </c>
    </row>
    <row r="34" spans="1:12" x14ac:dyDescent="0.2">
      <c r="A34" s="27" t="s">
        <v>25</v>
      </c>
      <c r="B34">
        <v>2</v>
      </c>
      <c r="C34">
        <v>5</v>
      </c>
      <c r="D34">
        <v>2</v>
      </c>
      <c r="E34">
        <v>10</v>
      </c>
      <c r="G34">
        <v>6</v>
      </c>
      <c r="H34">
        <v>6</v>
      </c>
      <c r="I34">
        <v>1</v>
      </c>
      <c r="K34">
        <f>SUM(B34:J34)</f>
        <v>32</v>
      </c>
      <c r="L34" s="87">
        <f>K34/K46</f>
        <v>2.8906955736224028E-2</v>
      </c>
    </row>
    <row r="35" spans="1:12" x14ac:dyDescent="0.2">
      <c r="A35" s="27" t="s">
        <v>646</v>
      </c>
      <c r="K35">
        <v>0</v>
      </c>
      <c r="L35" s="87">
        <v>0</v>
      </c>
    </row>
    <row r="36" spans="1:12" x14ac:dyDescent="0.2">
      <c r="A36" s="27" t="s">
        <v>26</v>
      </c>
      <c r="K36">
        <v>0</v>
      </c>
      <c r="L36" s="87">
        <v>0</v>
      </c>
    </row>
    <row r="37" spans="1:12" x14ac:dyDescent="0.2">
      <c r="A37" s="27" t="s">
        <v>27</v>
      </c>
      <c r="B37">
        <v>5</v>
      </c>
      <c r="C37">
        <v>9</v>
      </c>
      <c r="D37">
        <v>15</v>
      </c>
      <c r="E37">
        <v>21</v>
      </c>
      <c r="F37">
        <v>1</v>
      </c>
      <c r="G37">
        <v>9</v>
      </c>
      <c r="H37">
        <v>6</v>
      </c>
      <c r="I37">
        <v>2</v>
      </c>
      <c r="J37">
        <v>9</v>
      </c>
      <c r="K37">
        <f>SUM(B37:J37)</f>
        <v>77</v>
      </c>
      <c r="L37" s="87">
        <f>K37/K46</f>
        <v>6.9557362240289064E-2</v>
      </c>
    </row>
    <row r="38" spans="1:12" x14ac:dyDescent="0.2">
      <c r="A38" s="27" t="s">
        <v>28</v>
      </c>
      <c r="K38">
        <v>0</v>
      </c>
      <c r="L38" s="87">
        <v>0</v>
      </c>
    </row>
    <row r="39" spans="1:12" x14ac:dyDescent="0.2">
      <c r="A39" s="27" t="s">
        <v>29</v>
      </c>
      <c r="K39">
        <v>0</v>
      </c>
      <c r="L39" s="87">
        <v>0</v>
      </c>
    </row>
    <row r="40" spans="1:12" x14ac:dyDescent="0.2">
      <c r="A40" s="27" t="s">
        <v>30</v>
      </c>
      <c r="K40">
        <v>0</v>
      </c>
      <c r="L40" s="87">
        <v>0</v>
      </c>
    </row>
    <row r="41" spans="1:12" x14ac:dyDescent="0.2">
      <c r="A41" s="27" t="s">
        <v>442</v>
      </c>
      <c r="K41">
        <v>0</v>
      </c>
      <c r="L41" s="87">
        <v>0</v>
      </c>
    </row>
    <row r="42" spans="1:12" x14ac:dyDescent="0.2">
      <c r="A42" s="27" t="s">
        <v>31</v>
      </c>
      <c r="K42">
        <v>0</v>
      </c>
      <c r="L42" s="87">
        <v>0</v>
      </c>
    </row>
    <row r="43" spans="1:12" x14ac:dyDescent="0.2">
      <c r="A43" s="27" t="s">
        <v>32</v>
      </c>
      <c r="K43">
        <v>0</v>
      </c>
      <c r="L43" s="87">
        <v>0</v>
      </c>
    </row>
    <row r="44" spans="1:12" x14ac:dyDescent="0.2">
      <c r="A44" s="27" t="s">
        <v>33</v>
      </c>
      <c r="C44">
        <v>2</v>
      </c>
      <c r="D44">
        <v>1</v>
      </c>
      <c r="E44">
        <v>1</v>
      </c>
      <c r="F44">
        <v>1</v>
      </c>
      <c r="G44">
        <v>1</v>
      </c>
      <c r="H44">
        <v>1</v>
      </c>
      <c r="I44">
        <v>2</v>
      </c>
      <c r="K44">
        <f>SUM(B44:J44)</f>
        <v>9</v>
      </c>
      <c r="L44" s="87">
        <f>K44/K46</f>
        <v>8.130081300813009E-3</v>
      </c>
    </row>
    <row r="45" spans="1:12" x14ac:dyDescent="0.2">
      <c r="A45" s="27" t="s">
        <v>36</v>
      </c>
      <c r="K45">
        <v>0</v>
      </c>
      <c r="L45" s="87">
        <v>0</v>
      </c>
    </row>
    <row r="46" spans="1:12" x14ac:dyDescent="0.2">
      <c r="A46" s="30" t="s">
        <v>344</v>
      </c>
      <c r="B46">
        <f t="shared" ref="B46:J46" si="2">SUM(B3:B45)</f>
        <v>132</v>
      </c>
      <c r="C46">
        <f t="shared" si="2"/>
        <v>148</v>
      </c>
      <c r="D46">
        <f t="shared" si="2"/>
        <v>118</v>
      </c>
      <c r="E46">
        <f t="shared" si="2"/>
        <v>171</v>
      </c>
      <c r="F46">
        <f t="shared" si="2"/>
        <v>21</v>
      </c>
      <c r="G46">
        <f t="shared" si="2"/>
        <v>208</v>
      </c>
      <c r="H46">
        <f t="shared" si="2"/>
        <v>161</v>
      </c>
      <c r="I46">
        <f t="shared" si="2"/>
        <v>100</v>
      </c>
      <c r="J46">
        <f t="shared" si="2"/>
        <v>48</v>
      </c>
      <c r="K46">
        <f>SUM(B46:J46)</f>
        <v>1107</v>
      </c>
      <c r="L46" s="87">
        <f>K46/K46</f>
        <v>1</v>
      </c>
    </row>
    <row r="49" spans="1:1" x14ac:dyDescent="0.2">
      <c r="A49" s="27" t="s">
        <v>1489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49"/>
  <sheetViews>
    <sheetView topLeftCell="A25" workbookViewId="0">
      <selection activeCell="A50" sqref="A50"/>
    </sheetView>
  </sheetViews>
  <sheetFormatPr defaultRowHeight="12.75" x14ac:dyDescent="0.2"/>
  <cols>
    <col min="1" max="1" width="26.140625" customWidth="1"/>
  </cols>
  <sheetData>
    <row r="1" spans="1:19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 t="s">
        <v>449</v>
      </c>
    </row>
    <row r="2" spans="1:19" x14ac:dyDescent="0.2">
      <c r="A2" s="30" t="s">
        <v>287</v>
      </c>
      <c r="B2" s="63" t="s">
        <v>1303</v>
      </c>
      <c r="C2" t="s">
        <v>1304</v>
      </c>
      <c r="D2" t="s">
        <v>1305</v>
      </c>
      <c r="E2" t="s">
        <v>1306</v>
      </c>
      <c r="F2" t="s">
        <v>1307</v>
      </c>
      <c r="G2" t="s">
        <v>1308</v>
      </c>
      <c r="H2" t="s">
        <v>1309</v>
      </c>
      <c r="I2" t="s">
        <v>1310</v>
      </c>
      <c r="J2" t="s">
        <v>1264</v>
      </c>
      <c r="K2" t="s">
        <v>1311</v>
      </c>
      <c r="L2" t="s">
        <v>1312</v>
      </c>
      <c r="M2" t="s">
        <v>1313</v>
      </c>
      <c r="N2" t="s">
        <v>1314</v>
      </c>
      <c r="O2" t="s">
        <v>1315</v>
      </c>
      <c r="P2" t="s">
        <v>1316</v>
      </c>
      <c r="Q2" t="s">
        <v>1317</v>
      </c>
      <c r="R2" t="s">
        <v>1265</v>
      </c>
      <c r="S2" t="s">
        <v>1266</v>
      </c>
    </row>
    <row r="3" spans="1:19" x14ac:dyDescent="0.2">
      <c r="A3" s="27" t="s">
        <v>1</v>
      </c>
      <c r="B3">
        <v>23</v>
      </c>
      <c r="C3">
        <v>35</v>
      </c>
      <c r="D3">
        <v>18</v>
      </c>
      <c r="E3">
        <v>19</v>
      </c>
      <c r="F3">
        <v>32</v>
      </c>
      <c r="G3">
        <v>27</v>
      </c>
      <c r="H3">
        <v>15</v>
      </c>
      <c r="I3">
        <v>3</v>
      </c>
      <c r="J3">
        <v>19</v>
      </c>
      <c r="K3">
        <v>16</v>
      </c>
      <c r="L3">
        <v>32</v>
      </c>
      <c r="M3">
        <v>5</v>
      </c>
      <c r="N3">
        <v>3</v>
      </c>
      <c r="O3">
        <v>2</v>
      </c>
      <c r="P3">
        <v>15</v>
      </c>
      <c r="Q3">
        <v>16</v>
      </c>
      <c r="R3">
        <f>SUM(B3:Q3)</f>
        <v>280</v>
      </c>
      <c r="S3" s="87">
        <f>R3/R46</f>
        <v>0.16666666666666666</v>
      </c>
    </row>
    <row r="4" spans="1:19" x14ac:dyDescent="0.2">
      <c r="A4" s="27" t="s">
        <v>2</v>
      </c>
      <c r="R4">
        <v>0</v>
      </c>
      <c r="S4" s="87">
        <f>R4/R46</f>
        <v>0</v>
      </c>
    </row>
    <row r="5" spans="1:19" x14ac:dyDescent="0.2">
      <c r="A5" s="27" t="s">
        <v>3</v>
      </c>
      <c r="B5">
        <v>4</v>
      </c>
      <c r="C5">
        <v>4</v>
      </c>
      <c r="D5">
        <v>2</v>
      </c>
      <c r="E5">
        <v>1</v>
      </c>
      <c r="F5">
        <v>3</v>
      </c>
      <c r="G5">
        <v>2</v>
      </c>
      <c r="H5">
        <v>5</v>
      </c>
      <c r="J5">
        <v>1</v>
      </c>
      <c r="L5">
        <v>5</v>
      </c>
      <c r="M5">
        <v>1</v>
      </c>
      <c r="O5">
        <v>1</v>
      </c>
      <c r="P5">
        <v>4</v>
      </c>
      <c r="Q5">
        <v>4</v>
      </c>
      <c r="R5">
        <f t="shared" ref="R5:R10" si="0">SUM(B5:Q5)</f>
        <v>37</v>
      </c>
      <c r="S5" s="87">
        <f>R5/R46</f>
        <v>2.2023809523809525E-2</v>
      </c>
    </row>
    <row r="6" spans="1:19" x14ac:dyDescent="0.2">
      <c r="A6" s="27" t="s">
        <v>4</v>
      </c>
      <c r="B6">
        <v>6</v>
      </c>
      <c r="C6">
        <v>3</v>
      </c>
      <c r="D6">
        <v>4</v>
      </c>
      <c r="E6">
        <v>7</v>
      </c>
      <c r="F6">
        <v>6</v>
      </c>
      <c r="G6">
        <v>11</v>
      </c>
      <c r="H6">
        <v>6</v>
      </c>
      <c r="J6">
        <v>5</v>
      </c>
      <c r="K6">
        <v>6</v>
      </c>
      <c r="L6">
        <v>7</v>
      </c>
      <c r="M6">
        <v>1</v>
      </c>
      <c r="N6">
        <v>2</v>
      </c>
      <c r="O6">
        <v>1</v>
      </c>
      <c r="P6">
        <v>6</v>
      </c>
      <c r="Q6">
        <v>3</v>
      </c>
      <c r="R6">
        <f t="shared" si="0"/>
        <v>74</v>
      </c>
      <c r="S6" s="87">
        <f>R6/R46</f>
        <v>4.4047619047619051E-2</v>
      </c>
    </row>
    <row r="7" spans="1:19" x14ac:dyDescent="0.2">
      <c r="A7" s="27" t="s">
        <v>5</v>
      </c>
      <c r="C7">
        <v>1</v>
      </c>
      <c r="D7">
        <v>1</v>
      </c>
      <c r="I7">
        <v>3</v>
      </c>
      <c r="M7">
        <v>1</v>
      </c>
      <c r="N7">
        <v>1</v>
      </c>
      <c r="O7">
        <v>1</v>
      </c>
      <c r="R7">
        <f t="shared" si="0"/>
        <v>8</v>
      </c>
      <c r="S7" s="87">
        <f>R7/R46</f>
        <v>4.7619047619047623E-3</v>
      </c>
    </row>
    <row r="8" spans="1:19" x14ac:dyDescent="0.2">
      <c r="A8" s="27" t="s">
        <v>6</v>
      </c>
      <c r="B8">
        <v>40</v>
      </c>
      <c r="C8">
        <v>37</v>
      </c>
      <c r="D8">
        <v>26</v>
      </c>
      <c r="E8">
        <v>42</v>
      </c>
      <c r="F8">
        <v>47</v>
      </c>
      <c r="G8">
        <v>43</v>
      </c>
      <c r="H8">
        <v>30</v>
      </c>
      <c r="J8">
        <v>36</v>
      </c>
      <c r="K8">
        <v>11</v>
      </c>
      <c r="L8">
        <v>37</v>
      </c>
      <c r="M8">
        <v>2</v>
      </c>
      <c r="N8">
        <v>5</v>
      </c>
      <c r="P8">
        <v>12</v>
      </c>
      <c r="Q8">
        <v>11</v>
      </c>
      <c r="R8">
        <f t="shared" si="0"/>
        <v>379</v>
      </c>
      <c r="S8" s="87">
        <f>R8/R46</f>
        <v>0.2255952380952381</v>
      </c>
    </row>
    <row r="9" spans="1:19" x14ac:dyDescent="0.2">
      <c r="A9" s="27" t="s">
        <v>40</v>
      </c>
      <c r="G9">
        <v>1</v>
      </c>
      <c r="I9">
        <v>1</v>
      </c>
      <c r="J9">
        <v>1</v>
      </c>
      <c r="R9">
        <f t="shared" si="0"/>
        <v>3</v>
      </c>
      <c r="S9" s="87">
        <f>R9/R46</f>
        <v>1.7857142857142857E-3</v>
      </c>
    </row>
    <row r="10" spans="1:19" x14ac:dyDescent="0.2">
      <c r="A10" s="27" t="s">
        <v>7</v>
      </c>
      <c r="B10">
        <v>21</v>
      </c>
      <c r="C10">
        <v>16</v>
      </c>
      <c r="D10">
        <v>14</v>
      </c>
      <c r="E10">
        <v>12</v>
      </c>
      <c r="F10">
        <v>17</v>
      </c>
      <c r="G10">
        <v>16</v>
      </c>
      <c r="H10">
        <v>15</v>
      </c>
      <c r="I10">
        <v>1</v>
      </c>
      <c r="J10">
        <v>21</v>
      </c>
      <c r="K10">
        <v>5</v>
      </c>
      <c r="L10">
        <v>12</v>
      </c>
      <c r="O10">
        <v>1</v>
      </c>
      <c r="P10">
        <v>12</v>
      </c>
      <c r="Q10">
        <v>20</v>
      </c>
      <c r="R10">
        <f t="shared" si="0"/>
        <v>183</v>
      </c>
      <c r="S10" s="87">
        <f>R10/R46</f>
        <v>0.10892857142857143</v>
      </c>
    </row>
    <row r="11" spans="1:19" x14ac:dyDescent="0.2">
      <c r="A11" s="27" t="s">
        <v>995</v>
      </c>
      <c r="R11">
        <v>0</v>
      </c>
      <c r="S11" s="87">
        <v>0</v>
      </c>
    </row>
    <row r="12" spans="1:19" x14ac:dyDescent="0.2">
      <c r="A12" s="27" t="s">
        <v>9</v>
      </c>
      <c r="N12">
        <v>1</v>
      </c>
      <c r="R12">
        <f>SUM(B12:Q12)</f>
        <v>1</v>
      </c>
      <c r="S12" s="87">
        <f>R12/R46</f>
        <v>5.9523809523809529E-4</v>
      </c>
    </row>
    <row r="13" spans="1:19" x14ac:dyDescent="0.2">
      <c r="A13" s="27" t="s">
        <v>10</v>
      </c>
      <c r="F13">
        <v>2</v>
      </c>
      <c r="R13">
        <f>SUM(B13:Q13)</f>
        <v>2</v>
      </c>
      <c r="S13" s="87">
        <f>R13/R46</f>
        <v>1.1904761904761906E-3</v>
      </c>
    </row>
    <row r="14" spans="1:19" x14ac:dyDescent="0.2">
      <c r="A14" s="27" t="s">
        <v>11</v>
      </c>
      <c r="R14">
        <v>0</v>
      </c>
      <c r="S14" s="87">
        <v>0</v>
      </c>
    </row>
    <row r="15" spans="1:19" x14ac:dyDescent="0.2">
      <c r="A15" s="27" t="s">
        <v>503</v>
      </c>
      <c r="R15">
        <v>0</v>
      </c>
      <c r="S15" s="87">
        <v>0</v>
      </c>
    </row>
    <row r="16" spans="1:19" x14ac:dyDescent="0.2">
      <c r="A16" s="27" t="s">
        <v>469</v>
      </c>
      <c r="R16">
        <v>0</v>
      </c>
      <c r="S16" s="87">
        <v>0</v>
      </c>
    </row>
    <row r="17" spans="1:19" x14ac:dyDescent="0.2">
      <c r="A17" s="27" t="s">
        <v>13</v>
      </c>
      <c r="K17">
        <v>1</v>
      </c>
      <c r="R17">
        <f>SUM(B17:Q17)</f>
        <v>1</v>
      </c>
      <c r="S17" s="87">
        <f>R17/R46</f>
        <v>5.9523809523809529E-4</v>
      </c>
    </row>
    <row r="18" spans="1:19" x14ac:dyDescent="0.2">
      <c r="A18" s="27" t="s">
        <v>14</v>
      </c>
      <c r="J18">
        <v>1</v>
      </c>
      <c r="R18">
        <f>SUM(B18:Q18)</f>
        <v>1</v>
      </c>
      <c r="S18" s="87">
        <f>R18/R46</f>
        <v>5.9523809523809529E-4</v>
      </c>
    </row>
    <row r="19" spans="1:19" x14ac:dyDescent="0.2">
      <c r="A19" s="27" t="s">
        <v>427</v>
      </c>
      <c r="R19">
        <v>0</v>
      </c>
      <c r="S19" s="87">
        <v>0</v>
      </c>
    </row>
    <row r="20" spans="1:19" x14ac:dyDescent="0.2">
      <c r="A20" s="27" t="s">
        <v>15</v>
      </c>
      <c r="F20">
        <v>1</v>
      </c>
      <c r="K20">
        <v>1</v>
      </c>
      <c r="R20">
        <f>SUM(B20:Q20)</f>
        <v>2</v>
      </c>
      <c r="S20" s="87">
        <f>R20/R46</f>
        <v>1.1904761904761906E-3</v>
      </c>
    </row>
    <row r="21" spans="1:19" x14ac:dyDescent="0.2">
      <c r="A21" s="27" t="s">
        <v>16</v>
      </c>
      <c r="G21">
        <v>1</v>
      </c>
      <c r="H21">
        <v>2</v>
      </c>
      <c r="L21">
        <v>1</v>
      </c>
      <c r="R21">
        <f>SUM(B21:Q21)</f>
        <v>4</v>
      </c>
      <c r="S21" s="87">
        <f>R4/R46</f>
        <v>0</v>
      </c>
    </row>
    <row r="22" spans="1:19" x14ac:dyDescent="0.2">
      <c r="A22" s="27" t="s">
        <v>17</v>
      </c>
      <c r="R22">
        <v>0</v>
      </c>
      <c r="S22" s="87">
        <v>0</v>
      </c>
    </row>
    <row r="23" spans="1:19" x14ac:dyDescent="0.2">
      <c r="A23" s="27" t="s">
        <v>18</v>
      </c>
      <c r="E23">
        <v>1</v>
      </c>
      <c r="G23">
        <v>2</v>
      </c>
      <c r="J23">
        <v>1</v>
      </c>
      <c r="K23">
        <v>1</v>
      </c>
      <c r="N23">
        <v>1</v>
      </c>
      <c r="R23">
        <f>SUM(B23:Q23)</f>
        <v>6</v>
      </c>
      <c r="S23" s="87">
        <f>R23/R46</f>
        <v>3.5714285714285713E-3</v>
      </c>
    </row>
    <row r="24" spans="1:19" x14ac:dyDescent="0.2">
      <c r="A24" s="27" t="s">
        <v>19</v>
      </c>
      <c r="B24">
        <v>3</v>
      </c>
      <c r="C24">
        <v>6</v>
      </c>
      <c r="D24">
        <v>4</v>
      </c>
      <c r="E24">
        <v>2</v>
      </c>
      <c r="G24">
        <v>3</v>
      </c>
      <c r="K24">
        <v>1</v>
      </c>
      <c r="L24">
        <v>1</v>
      </c>
      <c r="N24">
        <v>2</v>
      </c>
      <c r="P24">
        <v>2</v>
      </c>
      <c r="R24">
        <f>SUM(B24:Q24)</f>
        <v>24</v>
      </c>
      <c r="S24" s="87">
        <f>R24/R46</f>
        <v>1.4285714285714285E-2</v>
      </c>
    </row>
    <row r="25" spans="1:19" x14ac:dyDescent="0.2">
      <c r="A25" s="27" t="s">
        <v>20</v>
      </c>
      <c r="R25">
        <v>0</v>
      </c>
      <c r="S25" s="87">
        <v>0</v>
      </c>
    </row>
    <row r="26" spans="1:19" x14ac:dyDescent="0.2">
      <c r="A26" s="27" t="s">
        <v>645</v>
      </c>
      <c r="B26">
        <v>28</v>
      </c>
      <c r="C26">
        <v>40</v>
      </c>
      <c r="D26">
        <v>26</v>
      </c>
      <c r="E26">
        <v>18</v>
      </c>
      <c r="F26">
        <v>44</v>
      </c>
      <c r="G26">
        <v>41</v>
      </c>
      <c r="H26">
        <v>16</v>
      </c>
      <c r="I26">
        <v>3</v>
      </c>
      <c r="J26">
        <v>24</v>
      </c>
      <c r="K26">
        <v>12</v>
      </c>
      <c r="L26">
        <v>14</v>
      </c>
      <c r="N26">
        <v>3</v>
      </c>
      <c r="O26">
        <v>2</v>
      </c>
      <c r="P26">
        <v>17</v>
      </c>
      <c r="Q26">
        <v>26</v>
      </c>
      <c r="R26">
        <f>SUM(B26:Q26)</f>
        <v>314</v>
      </c>
      <c r="S26" s="87">
        <f>R26/R46</f>
        <v>0.18690476190476191</v>
      </c>
    </row>
    <row r="27" spans="1:19" x14ac:dyDescent="0.2">
      <c r="A27" s="27" t="s">
        <v>200</v>
      </c>
      <c r="B27">
        <v>13</v>
      </c>
      <c r="C27">
        <v>5</v>
      </c>
      <c r="D27">
        <v>5</v>
      </c>
      <c r="E27">
        <v>5</v>
      </c>
      <c r="F27">
        <v>7</v>
      </c>
      <c r="G27">
        <v>3</v>
      </c>
      <c r="H27">
        <v>6</v>
      </c>
      <c r="J27">
        <v>8</v>
      </c>
      <c r="K27">
        <v>2</v>
      </c>
      <c r="L27">
        <v>2</v>
      </c>
      <c r="P27">
        <v>4</v>
      </c>
      <c r="Q27">
        <v>9</v>
      </c>
      <c r="R27">
        <f>SUM(B27:Q27)</f>
        <v>69</v>
      </c>
      <c r="S27" s="87">
        <f>R27/R46</f>
        <v>4.1071428571428571E-2</v>
      </c>
    </row>
    <row r="28" spans="1:19" x14ac:dyDescent="0.2">
      <c r="A28" s="27" t="s">
        <v>435</v>
      </c>
      <c r="B28">
        <v>4</v>
      </c>
      <c r="C28">
        <v>11</v>
      </c>
      <c r="D28">
        <v>4</v>
      </c>
      <c r="E28">
        <v>12</v>
      </c>
      <c r="F28">
        <v>11</v>
      </c>
      <c r="G28">
        <v>7</v>
      </c>
      <c r="I28">
        <v>2</v>
      </c>
      <c r="J28">
        <v>2</v>
      </c>
      <c r="K28">
        <v>2</v>
      </c>
      <c r="L28">
        <v>4</v>
      </c>
      <c r="P28">
        <v>6</v>
      </c>
      <c r="Q28">
        <v>2</v>
      </c>
      <c r="R28">
        <f>SUM(B28:Q28)</f>
        <v>67</v>
      </c>
      <c r="S28" s="87">
        <f>R28/R46</f>
        <v>3.9880952380952378E-2</v>
      </c>
    </row>
    <row r="29" spans="1:19" x14ac:dyDescent="0.2">
      <c r="A29" s="27" t="s">
        <v>22</v>
      </c>
      <c r="D29">
        <v>1</v>
      </c>
      <c r="F29">
        <v>1</v>
      </c>
      <c r="R29">
        <f>SUM(B29:Q29)</f>
        <v>2</v>
      </c>
      <c r="S29" s="87">
        <f>R29/R46</f>
        <v>1.1904761904761906E-3</v>
      </c>
    </row>
    <row r="30" spans="1:19" x14ac:dyDescent="0.2">
      <c r="A30" s="27" t="s">
        <v>23</v>
      </c>
      <c r="B30">
        <v>2</v>
      </c>
      <c r="C30">
        <v>5</v>
      </c>
      <c r="D30">
        <v>6</v>
      </c>
      <c r="E30">
        <v>3</v>
      </c>
      <c r="F30">
        <v>1</v>
      </c>
      <c r="H30">
        <v>2</v>
      </c>
      <c r="I30">
        <v>1</v>
      </c>
      <c r="J30">
        <v>2</v>
      </c>
      <c r="K30">
        <v>3</v>
      </c>
      <c r="L30">
        <v>4</v>
      </c>
      <c r="N30">
        <v>2</v>
      </c>
      <c r="P30">
        <v>2</v>
      </c>
      <c r="Q30">
        <v>1</v>
      </c>
      <c r="R30">
        <f>SUM(B30:Q30)</f>
        <v>34</v>
      </c>
      <c r="S30" s="87">
        <f>R30/R46</f>
        <v>2.0238095238095239E-2</v>
      </c>
    </row>
    <row r="31" spans="1:19" x14ac:dyDescent="0.2">
      <c r="A31" s="27" t="s">
        <v>214</v>
      </c>
      <c r="R31">
        <v>0</v>
      </c>
      <c r="S31" s="87">
        <v>0</v>
      </c>
    </row>
    <row r="32" spans="1:19" x14ac:dyDescent="0.2">
      <c r="A32" s="27" t="s">
        <v>194</v>
      </c>
      <c r="D32">
        <v>1</v>
      </c>
      <c r="F32">
        <v>1</v>
      </c>
      <c r="M32">
        <v>1</v>
      </c>
      <c r="R32">
        <f>SUM(B32:Q32)</f>
        <v>3</v>
      </c>
      <c r="S32" s="87">
        <f>R32/R46</f>
        <v>1.7857142857142857E-3</v>
      </c>
    </row>
    <row r="33" spans="1:19" x14ac:dyDescent="0.2">
      <c r="A33" s="27" t="s">
        <v>195</v>
      </c>
      <c r="B33">
        <v>1</v>
      </c>
      <c r="F33">
        <v>1</v>
      </c>
      <c r="R33">
        <f>SUM(B33:Q33)</f>
        <v>2</v>
      </c>
      <c r="S33" s="87">
        <f>R33/R46</f>
        <v>1.1904761904761906E-3</v>
      </c>
    </row>
    <row r="34" spans="1:19" x14ac:dyDescent="0.2">
      <c r="A34" s="27" t="s">
        <v>25</v>
      </c>
      <c r="B34">
        <v>4</v>
      </c>
      <c r="D34">
        <v>4</v>
      </c>
      <c r="E34">
        <v>3</v>
      </c>
      <c r="F34">
        <v>7</v>
      </c>
      <c r="G34">
        <v>8</v>
      </c>
      <c r="H34">
        <v>2</v>
      </c>
      <c r="J34">
        <v>2</v>
      </c>
      <c r="K34">
        <v>2</v>
      </c>
      <c r="L34">
        <v>2</v>
      </c>
      <c r="M34">
        <v>2</v>
      </c>
      <c r="N34">
        <v>1</v>
      </c>
      <c r="O34">
        <v>1</v>
      </c>
      <c r="P34">
        <v>3</v>
      </c>
      <c r="R34">
        <f>SUM(B34:Q34)</f>
        <v>41</v>
      </c>
      <c r="S34" s="87">
        <f>R34/R46</f>
        <v>2.4404761904761905E-2</v>
      </c>
    </row>
    <row r="35" spans="1:19" x14ac:dyDescent="0.2">
      <c r="A35" s="27" t="s">
        <v>646</v>
      </c>
      <c r="B35">
        <v>1</v>
      </c>
      <c r="R35">
        <f>SUM(B35:Q35)</f>
        <v>1</v>
      </c>
      <c r="S35" s="87">
        <f>R45/R46</f>
        <v>0</v>
      </c>
    </row>
    <row r="36" spans="1:19" x14ac:dyDescent="0.2">
      <c r="A36" s="27" t="s">
        <v>26</v>
      </c>
      <c r="R36">
        <v>0</v>
      </c>
      <c r="S36" s="87">
        <v>0</v>
      </c>
    </row>
    <row r="37" spans="1:19" x14ac:dyDescent="0.2">
      <c r="A37" s="27" t="s">
        <v>27</v>
      </c>
      <c r="B37">
        <v>8</v>
      </c>
      <c r="C37">
        <v>9</v>
      </c>
      <c r="D37">
        <v>11</v>
      </c>
      <c r="E37">
        <v>8</v>
      </c>
      <c r="F37">
        <v>10</v>
      </c>
      <c r="G37">
        <v>14</v>
      </c>
      <c r="H37">
        <v>10</v>
      </c>
      <c r="I37">
        <v>4</v>
      </c>
      <c r="J37">
        <v>10</v>
      </c>
      <c r="K37">
        <v>6</v>
      </c>
      <c r="L37">
        <v>7</v>
      </c>
      <c r="M37">
        <v>2</v>
      </c>
      <c r="N37">
        <v>4</v>
      </c>
      <c r="P37">
        <v>1</v>
      </c>
      <c r="Q37">
        <v>3</v>
      </c>
      <c r="R37">
        <f>SUM(B37:Q37)</f>
        <v>107</v>
      </c>
      <c r="S37" s="87">
        <f>R37/R46</f>
        <v>6.3690476190476186E-2</v>
      </c>
    </row>
    <row r="38" spans="1:19" x14ac:dyDescent="0.2">
      <c r="A38" s="27" t="s">
        <v>28</v>
      </c>
      <c r="R38">
        <v>0</v>
      </c>
      <c r="S38" s="87">
        <v>0</v>
      </c>
    </row>
    <row r="39" spans="1:19" x14ac:dyDescent="0.2">
      <c r="A39" s="27" t="s">
        <v>29</v>
      </c>
      <c r="B39">
        <v>1</v>
      </c>
      <c r="G39">
        <v>1</v>
      </c>
      <c r="L39">
        <v>1</v>
      </c>
      <c r="R39">
        <f>SUM(B39:Q39)</f>
        <v>3</v>
      </c>
      <c r="S39" s="87">
        <f>R39/R46</f>
        <v>1.7857142857142857E-3</v>
      </c>
    </row>
    <row r="40" spans="1:19" x14ac:dyDescent="0.2">
      <c r="A40" s="27" t="s">
        <v>30</v>
      </c>
      <c r="R40">
        <v>0</v>
      </c>
      <c r="S40" s="87">
        <v>0</v>
      </c>
    </row>
    <row r="41" spans="1:19" x14ac:dyDescent="0.2">
      <c r="A41" s="27" t="s">
        <v>442</v>
      </c>
      <c r="R41">
        <v>0</v>
      </c>
      <c r="S41" s="87">
        <v>0</v>
      </c>
    </row>
    <row r="42" spans="1:19" x14ac:dyDescent="0.2">
      <c r="A42" s="27" t="s">
        <v>31</v>
      </c>
      <c r="C42">
        <v>1</v>
      </c>
      <c r="D42">
        <v>2</v>
      </c>
      <c r="E42">
        <v>1</v>
      </c>
      <c r="F42">
        <v>2</v>
      </c>
      <c r="H42">
        <v>3</v>
      </c>
      <c r="I42">
        <v>1</v>
      </c>
      <c r="J42">
        <v>1</v>
      </c>
      <c r="R42">
        <f>SUM(B42:Q42)</f>
        <v>11</v>
      </c>
      <c r="S42" s="87">
        <f>R42/R46</f>
        <v>6.5476190476190478E-3</v>
      </c>
    </row>
    <row r="43" spans="1:19" x14ac:dyDescent="0.2">
      <c r="A43" s="27" t="s">
        <v>32</v>
      </c>
      <c r="R43">
        <v>0</v>
      </c>
      <c r="S43" s="87">
        <v>0</v>
      </c>
    </row>
    <row r="44" spans="1:19" x14ac:dyDescent="0.2">
      <c r="A44" s="27" t="s">
        <v>33</v>
      </c>
      <c r="B44">
        <v>3</v>
      </c>
      <c r="C44">
        <v>4</v>
      </c>
      <c r="D44">
        <v>3</v>
      </c>
      <c r="E44">
        <v>2</v>
      </c>
      <c r="F44">
        <v>2</v>
      </c>
      <c r="G44">
        <v>1</v>
      </c>
      <c r="H44">
        <v>1</v>
      </c>
      <c r="J44">
        <v>2</v>
      </c>
      <c r="K44">
        <v>1</v>
      </c>
      <c r="L44">
        <v>1</v>
      </c>
      <c r="N44">
        <v>1</v>
      </c>
      <c r="R44">
        <f>SUM(B44:Q44)</f>
        <v>21</v>
      </c>
      <c r="S44" s="87">
        <f>R44/R46</f>
        <v>1.2500000000000001E-2</v>
      </c>
    </row>
    <row r="45" spans="1:19" x14ac:dyDescent="0.2">
      <c r="A45" s="27" t="s">
        <v>36</v>
      </c>
      <c r="R45">
        <v>0</v>
      </c>
      <c r="S45" s="87">
        <v>0</v>
      </c>
    </row>
    <row r="46" spans="1:19" x14ac:dyDescent="0.2">
      <c r="A46" s="30" t="s">
        <v>344</v>
      </c>
      <c r="B46">
        <f t="shared" ref="B46:Q46" si="1">SUM(B3:B45)</f>
        <v>162</v>
      </c>
      <c r="C46">
        <f t="shared" si="1"/>
        <v>177</v>
      </c>
      <c r="D46">
        <f t="shared" si="1"/>
        <v>132</v>
      </c>
      <c r="E46">
        <f t="shared" si="1"/>
        <v>136</v>
      </c>
      <c r="F46">
        <f t="shared" si="1"/>
        <v>195</v>
      </c>
      <c r="G46">
        <f t="shared" si="1"/>
        <v>181</v>
      </c>
      <c r="H46">
        <f t="shared" si="1"/>
        <v>113</v>
      </c>
      <c r="I46">
        <f t="shared" si="1"/>
        <v>19</v>
      </c>
      <c r="J46">
        <f t="shared" si="1"/>
        <v>136</v>
      </c>
      <c r="K46">
        <f t="shared" si="1"/>
        <v>70</v>
      </c>
      <c r="L46">
        <f t="shared" si="1"/>
        <v>130</v>
      </c>
      <c r="M46">
        <f t="shared" si="1"/>
        <v>15</v>
      </c>
      <c r="N46">
        <f t="shared" si="1"/>
        <v>26</v>
      </c>
      <c r="O46">
        <f t="shared" si="1"/>
        <v>9</v>
      </c>
      <c r="P46">
        <f t="shared" si="1"/>
        <v>84</v>
      </c>
      <c r="Q46">
        <f t="shared" si="1"/>
        <v>95</v>
      </c>
      <c r="R46">
        <f>SUM(B46:Q46)</f>
        <v>1680</v>
      </c>
      <c r="S46" s="87">
        <f>R46/R46</f>
        <v>1</v>
      </c>
    </row>
    <row r="49" spans="1:1" x14ac:dyDescent="0.2">
      <c r="A49" s="27" t="s">
        <v>1490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49"/>
  <sheetViews>
    <sheetView topLeftCell="A25" workbookViewId="0">
      <selection activeCell="C53" sqref="C53"/>
    </sheetView>
  </sheetViews>
  <sheetFormatPr defaultRowHeight="12.75" x14ac:dyDescent="0.2"/>
  <cols>
    <col min="1" max="1" width="25.85546875" customWidth="1"/>
    <col min="2" max="2" width="6.85546875" customWidth="1"/>
    <col min="3" max="3" width="7" customWidth="1"/>
    <col min="4" max="4" width="6.7109375" customWidth="1"/>
    <col min="5" max="5" width="7.28515625" customWidth="1"/>
    <col min="6" max="6" width="6.5703125" customWidth="1"/>
    <col min="7" max="7" width="6.85546875" customWidth="1"/>
    <col min="9" max="10" width="7.140625" customWidth="1"/>
    <col min="11" max="11" width="7.28515625" customWidth="1"/>
    <col min="12" max="12" width="6.85546875" customWidth="1"/>
    <col min="13" max="13" width="7.42578125" customWidth="1"/>
  </cols>
  <sheetData>
    <row r="1" spans="1:28" x14ac:dyDescent="0.2">
      <c r="A1" s="30" t="s">
        <v>448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t="s">
        <v>449</v>
      </c>
    </row>
    <row r="2" spans="1:28" x14ac:dyDescent="0.2">
      <c r="A2" s="30" t="s">
        <v>287</v>
      </c>
      <c r="B2" s="63" t="s">
        <v>1318</v>
      </c>
      <c r="C2" s="63" t="s">
        <v>969</v>
      </c>
      <c r="D2" t="s">
        <v>1319</v>
      </c>
      <c r="E2" t="s">
        <v>996</v>
      </c>
      <c r="F2" t="s">
        <v>1320</v>
      </c>
      <c r="G2" t="s">
        <v>1321</v>
      </c>
      <c r="H2" t="s">
        <v>455</v>
      </c>
      <c r="I2" t="s">
        <v>1322</v>
      </c>
      <c r="J2" t="s">
        <v>1323</v>
      </c>
      <c r="K2" t="s">
        <v>1324</v>
      </c>
      <c r="L2" t="s">
        <v>1325</v>
      </c>
      <c r="M2" t="s">
        <v>1326</v>
      </c>
      <c r="N2" t="s">
        <v>1327</v>
      </c>
      <c r="O2" t="s">
        <v>1328</v>
      </c>
      <c r="P2" t="s">
        <v>1329</v>
      </c>
      <c r="Q2" t="s">
        <v>1330</v>
      </c>
      <c r="R2" t="s">
        <v>1331</v>
      </c>
      <c r="S2" t="s">
        <v>1332</v>
      </c>
      <c r="T2" t="s">
        <v>1333</v>
      </c>
      <c r="U2" t="s">
        <v>1044</v>
      </c>
      <c r="V2" t="s">
        <v>1334</v>
      </c>
      <c r="W2" t="s">
        <v>1335</v>
      </c>
      <c r="X2" s="30" t="s">
        <v>1346</v>
      </c>
      <c r="Y2" t="s">
        <v>1336</v>
      </c>
      <c r="Z2" t="s">
        <v>1337</v>
      </c>
      <c r="AA2" t="s">
        <v>1265</v>
      </c>
      <c r="AB2" t="s">
        <v>1266</v>
      </c>
    </row>
    <row r="3" spans="1:28" x14ac:dyDescent="0.2">
      <c r="A3" s="27" t="s">
        <v>1</v>
      </c>
      <c r="B3">
        <v>10</v>
      </c>
      <c r="C3">
        <v>16</v>
      </c>
      <c r="D3">
        <v>12</v>
      </c>
      <c r="E3">
        <v>4</v>
      </c>
      <c r="F3">
        <v>14</v>
      </c>
      <c r="G3">
        <v>5</v>
      </c>
      <c r="H3">
        <v>3</v>
      </c>
      <c r="I3">
        <v>15</v>
      </c>
      <c r="J3">
        <v>24</v>
      </c>
      <c r="K3">
        <v>21</v>
      </c>
      <c r="L3">
        <v>37</v>
      </c>
      <c r="M3">
        <v>5</v>
      </c>
      <c r="O3">
        <v>14</v>
      </c>
      <c r="P3">
        <v>3</v>
      </c>
      <c r="Q3">
        <v>5</v>
      </c>
      <c r="R3">
        <v>8</v>
      </c>
      <c r="S3">
        <v>3</v>
      </c>
      <c r="U3">
        <v>23</v>
      </c>
      <c r="V3">
        <v>4</v>
      </c>
      <c r="W3">
        <v>5</v>
      </c>
      <c r="X3">
        <v>2</v>
      </c>
      <c r="Y3">
        <v>2</v>
      </c>
      <c r="Z3">
        <v>11</v>
      </c>
      <c r="AA3">
        <f t="shared" ref="AA3:AA10" si="0">SUM(B3:Z3)</f>
        <v>246</v>
      </c>
      <c r="AB3" s="87">
        <f>AA3/AA46</f>
        <v>0.15963659961064244</v>
      </c>
    </row>
    <row r="4" spans="1:28" x14ac:dyDescent="0.2">
      <c r="A4" s="27" t="s">
        <v>2</v>
      </c>
      <c r="AA4">
        <f t="shared" si="0"/>
        <v>0</v>
      </c>
      <c r="AB4" s="87">
        <f>AA4/AA46</f>
        <v>0</v>
      </c>
    </row>
    <row r="5" spans="1:28" x14ac:dyDescent="0.2">
      <c r="A5" s="27" t="s">
        <v>3</v>
      </c>
      <c r="B5">
        <v>1</v>
      </c>
      <c r="C5">
        <v>3</v>
      </c>
      <c r="D5">
        <v>3</v>
      </c>
      <c r="E5">
        <v>1</v>
      </c>
      <c r="F5">
        <v>10</v>
      </c>
      <c r="H5">
        <v>1</v>
      </c>
      <c r="I5">
        <v>2</v>
      </c>
      <c r="J5">
        <v>2</v>
      </c>
      <c r="L5">
        <v>5</v>
      </c>
      <c r="O5">
        <v>4</v>
      </c>
      <c r="P5">
        <v>2</v>
      </c>
      <c r="R5">
        <v>1</v>
      </c>
      <c r="T5">
        <v>1</v>
      </c>
      <c r="U5">
        <v>11</v>
      </c>
      <c r="V5">
        <v>2</v>
      </c>
      <c r="W5">
        <v>3</v>
      </c>
      <c r="X5">
        <v>3</v>
      </c>
      <c r="Y5">
        <v>3</v>
      </c>
      <c r="Z5">
        <v>6</v>
      </c>
      <c r="AA5">
        <f t="shared" si="0"/>
        <v>64</v>
      </c>
      <c r="AB5" s="87">
        <f>AA5/AA46</f>
        <v>4.1531473069435429E-2</v>
      </c>
    </row>
    <row r="6" spans="1:28" x14ac:dyDescent="0.2">
      <c r="A6" s="27" t="s">
        <v>4</v>
      </c>
      <c r="B6">
        <v>5</v>
      </c>
      <c r="C6">
        <v>7</v>
      </c>
      <c r="D6">
        <v>12</v>
      </c>
      <c r="E6">
        <v>8</v>
      </c>
      <c r="F6">
        <v>2</v>
      </c>
      <c r="G6">
        <v>1</v>
      </c>
      <c r="H6">
        <v>1</v>
      </c>
      <c r="I6">
        <v>8</v>
      </c>
      <c r="J6">
        <v>5</v>
      </c>
      <c r="K6">
        <v>1</v>
      </c>
      <c r="L6">
        <v>6</v>
      </c>
      <c r="O6">
        <v>9</v>
      </c>
      <c r="P6">
        <v>1</v>
      </c>
      <c r="Q6">
        <v>4</v>
      </c>
      <c r="R6">
        <v>1</v>
      </c>
      <c r="U6">
        <v>7</v>
      </c>
      <c r="V6">
        <v>4</v>
      </c>
      <c r="W6">
        <v>1</v>
      </c>
      <c r="X6">
        <v>2</v>
      </c>
      <c r="Z6">
        <v>3</v>
      </c>
      <c r="AA6">
        <f t="shared" si="0"/>
        <v>88</v>
      </c>
      <c r="AB6" s="87">
        <f>AA6/AA46</f>
        <v>5.710577547047372E-2</v>
      </c>
    </row>
    <row r="7" spans="1:28" x14ac:dyDescent="0.2">
      <c r="A7" s="27" t="s">
        <v>5</v>
      </c>
      <c r="C7">
        <v>1</v>
      </c>
      <c r="E7">
        <v>2</v>
      </c>
      <c r="G7">
        <v>2</v>
      </c>
      <c r="I7">
        <v>2</v>
      </c>
      <c r="O7">
        <v>1</v>
      </c>
      <c r="T7">
        <v>1</v>
      </c>
      <c r="V7">
        <v>1</v>
      </c>
      <c r="W7">
        <v>2</v>
      </c>
      <c r="AA7">
        <f t="shared" si="0"/>
        <v>12</v>
      </c>
      <c r="AB7" s="87">
        <f>AA7/AA46</f>
        <v>7.7871512005191438E-3</v>
      </c>
    </row>
    <row r="8" spans="1:28" x14ac:dyDescent="0.2">
      <c r="A8" s="27" t="s">
        <v>6</v>
      </c>
      <c r="B8">
        <v>1</v>
      </c>
      <c r="C8">
        <v>12</v>
      </c>
      <c r="D8">
        <v>9</v>
      </c>
      <c r="E8">
        <v>7</v>
      </c>
      <c r="F8">
        <v>15</v>
      </c>
      <c r="G8">
        <v>4</v>
      </c>
      <c r="H8">
        <v>1</v>
      </c>
      <c r="I8">
        <v>10</v>
      </c>
      <c r="J8">
        <v>31</v>
      </c>
      <c r="K8">
        <v>12</v>
      </c>
      <c r="L8">
        <v>18</v>
      </c>
      <c r="M8">
        <v>2</v>
      </c>
      <c r="O8">
        <v>20</v>
      </c>
      <c r="P8">
        <v>3</v>
      </c>
      <c r="Q8">
        <v>6</v>
      </c>
      <c r="S8">
        <v>3</v>
      </c>
      <c r="T8">
        <v>3</v>
      </c>
      <c r="U8">
        <v>46</v>
      </c>
      <c r="V8">
        <v>6</v>
      </c>
      <c r="W8">
        <v>9</v>
      </c>
      <c r="X8">
        <v>3</v>
      </c>
      <c r="Y8">
        <v>2</v>
      </c>
      <c r="Z8">
        <v>20</v>
      </c>
      <c r="AA8">
        <f t="shared" si="0"/>
        <v>243</v>
      </c>
      <c r="AB8" s="87">
        <f>AA8/AA46</f>
        <v>0.15768981181051264</v>
      </c>
    </row>
    <row r="9" spans="1:28" x14ac:dyDescent="0.2">
      <c r="A9" s="27" t="s">
        <v>40</v>
      </c>
      <c r="E9">
        <v>1</v>
      </c>
      <c r="AA9">
        <f t="shared" si="0"/>
        <v>1</v>
      </c>
      <c r="AB9" s="87">
        <f>AA9/AA46</f>
        <v>6.4892926670992858E-4</v>
      </c>
    </row>
    <row r="10" spans="1:28" x14ac:dyDescent="0.2">
      <c r="A10" s="27" t="s">
        <v>7</v>
      </c>
      <c r="B10">
        <v>1</v>
      </c>
      <c r="C10">
        <v>8</v>
      </c>
      <c r="D10">
        <v>1</v>
      </c>
      <c r="E10">
        <v>2</v>
      </c>
      <c r="F10">
        <v>9</v>
      </c>
      <c r="G10">
        <v>5</v>
      </c>
      <c r="H10">
        <v>3</v>
      </c>
      <c r="I10">
        <v>5</v>
      </c>
      <c r="J10">
        <v>13</v>
      </c>
      <c r="K10">
        <v>6</v>
      </c>
      <c r="L10">
        <v>11</v>
      </c>
      <c r="O10">
        <v>6</v>
      </c>
      <c r="P10">
        <v>1</v>
      </c>
      <c r="Q10">
        <v>1</v>
      </c>
      <c r="R10">
        <v>2</v>
      </c>
      <c r="T10">
        <v>1</v>
      </c>
      <c r="U10">
        <v>14</v>
      </c>
      <c r="V10">
        <v>12</v>
      </c>
      <c r="Y10">
        <v>9</v>
      </c>
      <c r="Z10">
        <v>8</v>
      </c>
      <c r="AA10">
        <f t="shared" si="0"/>
        <v>118</v>
      </c>
      <c r="AB10" s="87">
        <f>AA10/AA46</f>
        <v>7.6573653471771572E-2</v>
      </c>
    </row>
    <row r="11" spans="1:28" x14ac:dyDescent="0.2">
      <c r="A11" s="27" t="s">
        <v>995</v>
      </c>
      <c r="AA11">
        <f>0</f>
        <v>0</v>
      </c>
      <c r="AB11" s="87">
        <v>0</v>
      </c>
    </row>
    <row r="12" spans="1:28" x14ac:dyDescent="0.2">
      <c r="A12" s="27" t="s">
        <v>9</v>
      </c>
      <c r="D12">
        <v>1</v>
      </c>
      <c r="AA12">
        <f>SUM(B12:Z12)</f>
        <v>1</v>
      </c>
      <c r="AB12" s="87">
        <f>AA12/AA46</f>
        <v>6.4892926670992858E-4</v>
      </c>
    </row>
    <row r="13" spans="1:28" x14ac:dyDescent="0.2">
      <c r="A13" s="27" t="s">
        <v>10</v>
      </c>
      <c r="B13">
        <v>2</v>
      </c>
      <c r="D13">
        <v>2</v>
      </c>
      <c r="E13">
        <v>2</v>
      </c>
      <c r="F13">
        <v>1</v>
      </c>
      <c r="H13">
        <v>1</v>
      </c>
      <c r="I13">
        <v>1</v>
      </c>
      <c r="J13">
        <v>1</v>
      </c>
      <c r="K13">
        <v>1</v>
      </c>
      <c r="M13">
        <v>1</v>
      </c>
      <c r="O13">
        <v>3</v>
      </c>
      <c r="S13">
        <v>2</v>
      </c>
      <c r="U13">
        <v>1</v>
      </c>
      <c r="X13">
        <v>1</v>
      </c>
      <c r="Y13">
        <v>2</v>
      </c>
      <c r="Z13">
        <v>1</v>
      </c>
      <c r="AA13">
        <f>SUM(B13:Z13)</f>
        <v>22</v>
      </c>
      <c r="AB13" s="87">
        <f>AA13/AA46</f>
        <v>1.427644386761843E-2</v>
      </c>
    </row>
    <row r="14" spans="1:28" x14ac:dyDescent="0.2">
      <c r="A14" s="27" t="s">
        <v>11</v>
      </c>
      <c r="S14">
        <v>1</v>
      </c>
      <c r="AA14">
        <f>SUM(B14:Z14)</f>
        <v>1</v>
      </c>
      <c r="AB14" s="87">
        <f>AA14/AA46</f>
        <v>6.4892926670992858E-4</v>
      </c>
    </row>
    <row r="15" spans="1:28" x14ac:dyDescent="0.2">
      <c r="A15" s="27" t="s">
        <v>503</v>
      </c>
      <c r="AA15">
        <v>0</v>
      </c>
      <c r="AB15" s="87">
        <v>0</v>
      </c>
    </row>
    <row r="16" spans="1:28" x14ac:dyDescent="0.2">
      <c r="A16" s="27" t="s">
        <v>469</v>
      </c>
      <c r="AA16">
        <v>0</v>
      </c>
      <c r="AB16" s="87">
        <v>0</v>
      </c>
    </row>
    <row r="17" spans="1:28" x14ac:dyDescent="0.2">
      <c r="A17" s="27" t="s">
        <v>13</v>
      </c>
      <c r="H17">
        <v>1</v>
      </c>
      <c r="AA17">
        <f>SUM(B17:Z17)</f>
        <v>1</v>
      </c>
      <c r="AB17" s="87">
        <f>AA17/AA46</f>
        <v>6.4892926670992858E-4</v>
      </c>
    </row>
    <row r="18" spans="1:28" x14ac:dyDescent="0.2">
      <c r="A18" s="27" t="s">
        <v>14</v>
      </c>
      <c r="AA18">
        <v>0</v>
      </c>
      <c r="AB18" s="87">
        <v>0</v>
      </c>
    </row>
    <row r="19" spans="1:28" x14ac:dyDescent="0.2">
      <c r="A19" s="27" t="s">
        <v>427</v>
      </c>
      <c r="AA19">
        <v>0</v>
      </c>
      <c r="AB19" s="87">
        <v>0</v>
      </c>
    </row>
    <row r="20" spans="1:28" x14ac:dyDescent="0.2">
      <c r="A20" s="27" t="s">
        <v>15</v>
      </c>
      <c r="D20">
        <v>1</v>
      </c>
      <c r="AA20">
        <f t="shared" ref="AA20:AA30" si="1">SUM(B20:Z20)</f>
        <v>1</v>
      </c>
      <c r="AB20" s="87">
        <f>AA20/AA46</f>
        <v>6.4892926670992858E-4</v>
      </c>
    </row>
    <row r="21" spans="1:28" x14ac:dyDescent="0.2">
      <c r="A21" s="27" t="s">
        <v>16</v>
      </c>
      <c r="C21">
        <v>1</v>
      </c>
      <c r="D21">
        <v>1</v>
      </c>
      <c r="I21">
        <v>1</v>
      </c>
      <c r="N21">
        <v>1</v>
      </c>
      <c r="AA21">
        <f t="shared" si="1"/>
        <v>4</v>
      </c>
      <c r="AB21" s="87">
        <f>AA21/AA46</f>
        <v>2.5957170668397143E-3</v>
      </c>
    </row>
    <row r="22" spans="1:28" x14ac:dyDescent="0.2">
      <c r="A22" s="27" t="s">
        <v>17</v>
      </c>
      <c r="AA22">
        <f t="shared" si="1"/>
        <v>0</v>
      </c>
      <c r="AB22" s="87">
        <v>0</v>
      </c>
    </row>
    <row r="23" spans="1:28" x14ac:dyDescent="0.2">
      <c r="A23" s="27" t="s">
        <v>18</v>
      </c>
      <c r="C23">
        <v>1</v>
      </c>
      <c r="D23">
        <v>1</v>
      </c>
      <c r="E23">
        <v>1</v>
      </c>
      <c r="F23">
        <v>1</v>
      </c>
      <c r="K23">
        <v>1</v>
      </c>
      <c r="P23">
        <v>1</v>
      </c>
      <c r="U23">
        <v>1</v>
      </c>
      <c r="AA23">
        <f t="shared" si="1"/>
        <v>7</v>
      </c>
      <c r="AB23" s="87">
        <f>AA23/AA46</f>
        <v>4.5425048669695007E-3</v>
      </c>
    </row>
    <row r="24" spans="1:28" x14ac:dyDescent="0.2">
      <c r="A24" s="27" t="s">
        <v>19</v>
      </c>
      <c r="F24">
        <v>2</v>
      </c>
      <c r="G24">
        <v>2</v>
      </c>
      <c r="I24">
        <v>2</v>
      </c>
      <c r="J24">
        <v>1</v>
      </c>
      <c r="O24">
        <v>3</v>
      </c>
      <c r="R24">
        <v>3</v>
      </c>
      <c r="S24">
        <v>1</v>
      </c>
      <c r="U24">
        <v>3</v>
      </c>
      <c r="V24">
        <v>2</v>
      </c>
      <c r="W24">
        <v>5</v>
      </c>
      <c r="X24">
        <v>2</v>
      </c>
      <c r="Y24">
        <v>1</v>
      </c>
      <c r="Z24">
        <v>2</v>
      </c>
      <c r="AA24">
        <f t="shared" si="1"/>
        <v>29</v>
      </c>
      <c r="AB24" s="87">
        <f>AA24/AA46</f>
        <v>1.8818948734587931E-2</v>
      </c>
    </row>
    <row r="25" spans="1:28" x14ac:dyDescent="0.2">
      <c r="A25" s="27" t="s">
        <v>20</v>
      </c>
      <c r="J25">
        <v>1</v>
      </c>
      <c r="AA25">
        <f t="shared" si="1"/>
        <v>1</v>
      </c>
      <c r="AB25" s="87">
        <f>AA25/AA46</f>
        <v>6.4892926670992858E-4</v>
      </c>
    </row>
    <row r="26" spans="1:28" x14ac:dyDescent="0.2">
      <c r="A26" s="27" t="s">
        <v>645</v>
      </c>
      <c r="B26">
        <v>4</v>
      </c>
      <c r="C26">
        <v>3</v>
      </c>
      <c r="D26">
        <v>4</v>
      </c>
      <c r="E26">
        <v>1</v>
      </c>
      <c r="F26">
        <v>16</v>
      </c>
      <c r="G26">
        <v>1</v>
      </c>
      <c r="H26">
        <v>1</v>
      </c>
      <c r="I26">
        <v>8</v>
      </c>
      <c r="J26">
        <v>8</v>
      </c>
      <c r="K26">
        <v>8</v>
      </c>
      <c r="L26">
        <v>27</v>
      </c>
      <c r="M26">
        <v>4</v>
      </c>
      <c r="O26">
        <v>21</v>
      </c>
      <c r="P26">
        <v>3</v>
      </c>
      <c r="Q26">
        <v>3</v>
      </c>
      <c r="R26">
        <v>14</v>
      </c>
      <c r="T26">
        <v>1</v>
      </c>
      <c r="U26">
        <v>73</v>
      </c>
      <c r="V26">
        <v>6</v>
      </c>
      <c r="W26">
        <v>19</v>
      </c>
      <c r="X26">
        <v>3</v>
      </c>
      <c r="Y26">
        <v>8</v>
      </c>
      <c r="Z26">
        <v>56</v>
      </c>
      <c r="AA26">
        <f t="shared" si="1"/>
        <v>292</v>
      </c>
      <c r="AB26" s="87">
        <f>AA26/AA46</f>
        <v>0.18948734587929916</v>
      </c>
    </row>
    <row r="27" spans="1:28" x14ac:dyDescent="0.2">
      <c r="A27" s="27" t="s">
        <v>200</v>
      </c>
      <c r="B27">
        <v>1</v>
      </c>
      <c r="C27">
        <v>1</v>
      </c>
      <c r="D27">
        <v>2</v>
      </c>
      <c r="E27">
        <v>3</v>
      </c>
      <c r="F27">
        <v>4</v>
      </c>
      <c r="I27">
        <v>1</v>
      </c>
      <c r="J27">
        <v>3</v>
      </c>
      <c r="L27">
        <v>2</v>
      </c>
      <c r="O27">
        <v>8</v>
      </c>
      <c r="Q27">
        <v>3</v>
      </c>
      <c r="R27">
        <v>3</v>
      </c>
      <c r="T27">
        <v>1</v>
      </c>
      <c r="U27">
        <v>9</v>
      </c>
      <c r="V27">
        <v>2</v>
      </c>
      <c r="W27">
        <v>2</v>
      </c>
      <c r="Z27">
        <v>3</v>
      </c>
      <c r="AA27">
        <f t="shared" si="1"/>
        <v>48</v>
      </c>
      <c r="AB27" s="87">
        <f>AA27/AA46</f>
        <v>3.1148604802076575E-2</v>
      </c>
    </row>
    <row r="28" spans="1:28" x14ac:dyDescent="0.2">
      <c r="A28" s="27" t="s">
        <v>435</v>
      </c>
      <c r="B28">
        <v>1</v>
      </c>
      <c r="C28">
        <v>4</v>
      </c>
      <c r="D28">
        <v>2</v>
      </c>
      <c r="E28">
        <v>2</v>
      </c>
      <c r="F28">
        <v>13</v>
      </c>
      <c r="G28">
        <v>6</v>
      </c>
      <c r="H28">
        <v>2</v>
      </c>
      <c r="I28">
        <v>9</v>
      </c>
      <c r="J28">
        <v>8</v>
      </c>
      <c r="K28">
        <v>1</v>
      </c>
      <c r="L28">
        <v>7</v>
      </c>
      <c r="O28">
        <v>11</v>
      </c>
      <c r="Q28">
        <v>1</v>
      </c>
      <c r="R28">
        <v>2</v>
      </c>
      <c r="S28">
        <v>1</v>
      </c>
      <c r="T28">
        <v>1</v>
      </c>
      <c r="U28">
        <v>27</v>
      </c>
      <c r="V28">
        <v>1</v>
      </c>
      <c r="W28">
        <v>4</v>
      </c>
      <c r="X28">
        <v>4</v>
      </c>
      <c r="Y28">
        <v>2</v>
      </c>
      <c r="Z28">
        <v>11</v>
      </c>
      <c r="AA28">
        <f t="shared" si="1"/>
        <v>120</v>
      </c>
      <c r="AB28" s="87">
        <f>AA28/AA46</f>
        <v>7.7871512005191434E-2</v>
      </c>
    </row>
    <row r="29" spans="1:28" x14ac:dyDescent="0.2">
      <c r="A29" s="27" t="s">
        <v>22</v>
      </c>
      <c r="C29">
        <v>1</v>
      </c>
      <c r="H29">
        <v>1</v>
      </c>
      <c r="M29">
        <v>1</v>
      </c>
      <c r="S29">
        <v>1</v>
      </c>
      <c r="AA29">
        <f t="shared" si="1"/>
        <v>4</v>
      </c>
      <c r="AB29" s="87">
        <f>AA29/AA46</f>
        <v>2.5957170668397143E-3</v>
      </c>
    </row>
    <row r="30" spans="1:28" x14ac:dyDescent="0.2">
      <c r="A30" s="27" t="s">
        <v>23</v>
      </c>
      <c r="B30">
        <v>1</v>
      </c>
      <c r="C30">
        <v>4</v>
      </c>
      <c r="D30">
        <v>2</v>
      </c>
      <c r="E30">
        <v>3</v>
      </c>
      <c r="F30">
        <v>4</v>
      </c>
      <c r="G30">
        <v>1</v>
      </c>
      <c r="H30">
        <v>1</v>
      </c>
      <c r="I30">
        <v>4</v>
      </c>
      <c r="J30">
        <v>9</v>
      </c>
      <c r="K30">
        <v>3</v>
      </c>
      <c r="L30">
        <v>3</v>
      </c>
      <c r="P30">
        <v>1</v>
      </c>
      <c r="Q30">
        <v>3</v>
      </c>
      <c r="R30">
        <v>3</v>
      </c>
      <c r="T30">
        <v>2</v>
      </c>
      <c r="U30">
        <v>5</v>
      </c>
      <c r="V30">
        <v>7</v>
      </c>
      <c r="W30">
        <v>3</v>
      </c>
      <c r="AA30">
        <f t="shared" si="1"/>
        <v>59</v>
      </c>
      <c r="AB30" s="87">
        <f>AA30/AA46</f>
        <v>3.8286826735885786E-2</v>
      </c>
    </row>
    <row r="31" spans="1:28" x14ac:dyDescent="0.2">
      <c r="A31" s="27" t="s">
        <v>214</v>
      </c>
      <c r="AA31">
        <v>0</v>
      </c>
      <c r="AB31" s="87">
        <v>0</v>
      </c>
    </row>
    <row r="32" spans="1:28" x14ac:dyDescent="0.2">
      <c r="A32" s="27" t="s">
        <v>194</v>
      </c>
      <c r="F32">
        <v>1</v>
      </c>
      <c r="U32">
        <v>1</v>
      </c>
      <c r="AA32">
        <f>SUM(B32:Z32)</f>
        <v>2</v>
      </c>
      <c r="AB32" s="87">
        <f>AA32/AA46</f>
        <v>1.2978585334198572E-3</v>
      </c>
    </row>
    <row r="33" spans="1:28" x14ac:dyDescent="0.2">
      <c r="A33" s="27" t="s">
        <v>195</v>
      </c>
      <c r="AA33">
        <v>0</v>
      </c>
      <c r="AB33" s="87">
        <v>0</v>
      </c>
    </row>
    <row r="34" spans="1:28" x14ac:dyDescent="0.2">
      <c r="A34" s="27" t="s">
        <v>25</v>
      </c>
      <c r="B34">
        <v>5</v>
      </c>
      <c r="C34">
        <v>10</v>
      </c>
      <c r="D34">
        <v>7</v>
      </c>
      <c r="E34">
        <v>6</v>
      </c>
      <c r="F34">
        <v>6</v>
      </c>
      <c r="I34">
        <v>3</v>
      </c>
      <c r="J34">
        <v>3</v>
      </c>
      <c r="K34">
        <v>1</v>
      </c>
      <c r="L34">
        <v>3</v>
      </c>
      <c r="O34">
        <v>7</v>
      </c>
      <c r="P34">
        <v>1</v>
      </c>
      <c r="Q34">
        <v>11</v>
      </c>
      <c r="T34">
        <v>1</v>
      </c>
      <c r="U34">
        <v>1</v>
      </c>
      <c r="V34">
        <v>1</v>
      </c>
      <c r="AA34">
        <f>SUM(B34:Z34)</f>
        <v>66</v>
      </c>
      <c r="AB34" s="87">
        <f>AA34/AA46</f>
        <v>4.2829331602855292E-2</v>
      </c>
    </row>
    <row r="35" spans="1:28" x14ac:dyDescent="0.2">
      <c r="A35" s="27" t="s">
        <v>646</v>
      </c>
      <c r="AA35">
        <v>0</v>
      </c>
      <c r="AB35" s="87">
        <v>0</v>
      </c>
    </row>
    <row r="36" spans="1:28" x14ac:dyDescent="0.2">
      <c r="A36" s="27" t="s">
        <v>26</v>
      </c>
      <c r="AA36">
        <v>0</v>
      </c>
      <c r="AB36" s="87">
        <v>0</v>
      </c>
    </row>
    <row r="37" spans="1:28" x14ac:dyDescent="0.2">
      <c r="A37" s="27" t="s">
        <v>27</v>
      </c>
      <c r="B37">
        <v>4</v>
      </c>
      <c r="C37">
        <v>7</v>
      </c>
      <c r="D37">
        <v>9</v>
      </c>
      <c r="E37">
        <v>2</v>
      </c>
      <c r="F37">
        <v>9</v>
      </c>
      <c r="G37">
        <v>1</v>
      </c>
      <c r="H37">
        <v>3</v>
      </c>
      <c r="I37">
        <v>8</v>
      </c>
      <c r="J37">
        <v>9</v>
      </c>
      <c r="L37">
        <v>5</v>
      </c>
      <c r="M37">
        <v>1</v>
      </c>
      <c r="O37">
        <v>5</v>
      </c>
      <c r="P37">
        <v>3</v>
      </c>
      <c r="Q37">
        <v>3</v>
      </c>
      <c r="R37">
        <v>4</v>
      </c>
      <c r="T37">
        <v>1</v>
      </c>
      <c r="U37">
        <v>2</v>
      </c>
      <c r="V37">
        <v>3</v>
      </c>
      <c r="W37">
        <v>2</v>
      </c>
      <c r="X37">
        <v>1</v>
      </c>
      <c r="AA37">
        <f>SUM(B37:Z37)</f>
        <v>82</v>
      </c>
      <c r="AB37" s="87">
        <f>AA37/AA46</f>
        <v>5.3212199870214145E-2</v>
      </c>
    </row>
    <row r="38" spans="1:28" x14ac:dyDescent="0.2">
      <c r="A38" s="27" t="s">
        <v>28</v>
      </c>
      <c r="AA38">
        <v>0</v>
      </c>
      <c r="AB38" s="87">
        <v>0</v>
      </c>
    </row>
    <row r="39" spans="1:28" x14ac:dyDescent="0.2">
      <c r="A39" s="27" t="s">
        <v>29</v>
      </c>
      <c r="C39">
        <v>1</v>
      </c>
      <c r="F39">
        <v>1</v>
      </c>
      <c r="Y39">
        <v>1</v>
      </c>
      <c r="Z39">
        <v>1</v>
      </c>
      <c r="AA39">
        <f>SUM(B39:Z39)</f>
        <v>4</v>
      </c>
      <c r="AB39" s="87">
        <f>AA39/AA46</f>
        <v>2.5957170668397143E-3</v>
      </c>
    </row>
    <row r="40" spans="1:28" x14ac:dyDescent="0.2">
      <c r="A40" s="27" t="s">
        <v>30</v>
      </c>
      <c r="AA40">
        <v>0</v>
      </c>
      <c r="AB40" s="87">
        <v>0</v>
      </c>
    </row>
    <row r="41" spans="1:28" x14ac:dyDescent="0.2">
      <c r="A41" s="27" t="s">
        <v>442</v>
      </c>
      <c r="AA41">
        <v>0</v>
      </c>
      <c r="AB41" s="87">
        <v>0</v>
      </c>
    </row>
    <row r="42" spans="1:28" x14ac:dyDescent="0.2">
      <c r="A42" s="27" t="s">
        <v>31</v>
      </c>
      <c r="F42">
        <v>2</v>
      </c>
      <c r="J42">
        <v>1</v>
      </c>
      <c r="N42">
        <v>1</v>
      </c>
      <c r="P42">
        <v>2</v>
      </c>
      <c r="AA42">
        <f>SUM(B42:Z42)</f>
        <v>6</v>
      </c>
      <c r="AB42" s="87">
        <f>AA42/AA46</f>
        <v>3.8935756002595719E-3</v>
      </c>
    </row>
    <row r="43" spans="1:28" x14ac:dyDescent="0.2">
      <c r="A43" s="27" t="s">
        <v>32</v>
      </c>
      <c r="AA43">
        <f>SUM(B43:Z43)</f>
        <v>0</v>
      </c>
      <c r="AB43" s="87">
        <v>0</v>
      </c>
    </row>
    <row r="44" spans="1:28" x14ac:dyDescent="0.2">
      <c r="A44" s="27" t="s">
        <v>33</v>
      </c>
      <c r="C44">
        <v>2</v>
      </c>
      <c r="D44">
        <v>1</v>
      </c>
      <c r="E44">
        <v>2</v>
      </c>
      <c r="F44">
        <v>3</v>
      </c>
      <c r="G44">
        <v>1</v>
      </c>
      <c r="J44">
        <v>1</v>
      </c>
      <c r="O44">
        <v>2</v>
      </c>
      <c r="Q44">
        <v>1</v>
      </c>
      <c r="T44">
        <v>3</v>
      </c>
      <c r="X44">
        <v>1</v>
      </c>
      <c r="Y44">
        <v>1</v>
      </c>
      <c r="Z44">
        <v>1</v>
      </c>
      <c r="AA44">
        <f>SUM(B44:Z44)</f>
        <v>19</v>
      </c>
      <c r="AB44" s="87">
        <f>AA44/AA46</f>
        <v>1.2329656067488644E-2</v>
      </c>
    </row>
    <row r="45" spans="1:28" x14ac:dyDescent="0.2">
      <c r="A45" s="27" t="s">
        <v>36</v>
      </c>
      <c r="AA45">
        <v>0</v>
      </c>
      <c r="AB45" s="87">
        <v>0</v>
      </c>
    </row>
    <row r="46" spans="1:28" x14ac:dyDescent="0.2">
      <c r="A46" s="30" t="s">
        <v>344</v>
      </c>
      <c r="B46">
        <f t="shared" ref="B46:Z46" si="2">SUM(B3:B45)</f>
        <v>36</v>
      </c>
      <c r="C46">
        <f t="shared" si="2"/>
        <v>82</v>
      </c>
      <c r="D46">
        <f t="shared" si="2"/>
        <v>70</v>
      </c>
      <c r="E46">
        <f t="shared" si="2"/>
        <v>47</v>
      </c>
      <c r="F46">
        <f t="shared" si="2"/>
        <v>113</v>
      </c>
      <c r="G46">
        <f t="shared" si="2"/>
        <v>29</v>
      </c>
      <c r="H46">
        <f t="shared" si="2"/>
        <v>19</v>
      </c>
      <c r="I46">
        <f t="shared" si="2"/>
        <v>79</v>
      </c>
      <c r="J46">
        <f t="shared" si="2"/>
        <v>120</v>
      </c>
      <c r="K46">
        <f t="shared" si="2"/>
        <v>55</v>
      </c>
      <c r="L46">
        <f t="shared" si="2"/>
        <v>124</v>
      </c>
      <c r="M46">
        <f t="shared" si="2"/>
        <v>14</v>
      </c>
      <c r="N46">
        <f t="shared" si="2"/>
        <v>2</v>
      </c>
      <c r="O46">
        <f t="shared" si="2"/>
        <v>114</v>
      </c>
      <c r="P46">
        <f t="shared" si="2"/>
        <v>21</v>
      </c>
      <c r="Q46">
        <f t="shared" si="2"/>
        <v>41</v>
      </c>
      <c r="R46">
        <f t="shared" si="2"/>
        <v>41</v>
      </c>
      <c r="S46">
        <f t="shared" si="2"/>
        <v>12</v>
      </c>
      <c r="T46">
        <f t="shared" si="2"/>
        <v>16</v>
      </c>
      <c r="U46">
        <f t="shared" si="2"/>
        <v>224</v>
      </c>
      <c r="V46">
        <f t="shared" si="2"/>
        <v>51</v>
      </c>
      <c r="W46">
        <f t="shared" si="2"/>
        <v>55</v>
      </c>
      <c r="X46">
        <f t="shared" si="2"/>
        <v>22</v>
      </c>
      <c r="Y46">
        <f t="shared" si="2"/>
        <v>31</v>
      </c>
      <c r="Z46">
        <f t="shared" si="2"/>
        <v>123</v>
      </c>
      <c r="AA46">
        <f>SUM(B46:Z46)</f>
        <v>1541</v>
      </c>
      <c r="AB46" s="87">
        <f>AA46/AA46</f>
        <v>1</v>
      </c>
    </row>
    <row r="49" spans="1:1" x14ac:dyDescent="0.2">
      <c r="A49" s="27" t="s">
        <v>1488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E937"/>
  <sheetViews>
    <sheetView topLeftCell="DK61" zoomScaleNormal="100" workbookViewId="0">
      <selection activeCell="EE74" sqref="EE74"/>
    </sheetView>
  </sheetViews>
  <sheetFormatPr defaultRowHeight="15" x14ac:dyDescent="0.25"/>
  <cols>
    <col min="6" max="6" width="9.140625" style="82"/>
    <col min="12" max="12" width="9.140625" style="82"/>
    <col min="18" max="18" width="9.140625" style="82"/>
    <col min="24" max="24" width="9.140625" style="82"/>
    <col min="30" max="30" width="9.140625" style="82"/>
    <col min="42" max="42" width="9.140625" style="46"/>
    <col min="48" max="48" width="9.140625" style="46"/>
    <col min="49" max="49" width="16.28515625" customWidth="1"/>
    <col min="54" max="54" width="9.140625" style="46"/>
    <col min="61" max="61" width="10.28515625" customWidth="1"/>
    <col min="67" max="67" width="10.7109375" customWidth="1"/>
    <col min="73" max="73" width="11.7109375" customWidth="1"/>
    <col min="97" max="97" width="12" customWidth="1"/>
    <col min="131" max="131" width="9.140625" style="109"/>
    <col min="137" max="137" width="9.140625" style="109"/>
    <col min="143" max="143" width="9.140625" style="109"/>
    <col min="149" max="149" width="9.140625" style="109"/>
    <col min="155" max="155" width="9.140625" style="109"/>
    <col min="161" max="161" width="9.140625" style="109"/>
  </cols>
  <sheetData>
    <row r="1" spans="1:159" x14ac:dyDescent="0.25">
      <c r="A1" s="48" t="s">
        <v>766</v>
      </c>
      <c r="B1" s="89" t="s">
        <v>273</v>
      </c>
      <c r="C1" s="48">
        <v>2012</v>
      </c>
      <c r="D1" s="48"/>
      <c r="E1" s="48"/>
      <c r="G1" s="48" t="s">
        <v>766</v>
      </c>
      <c r="H1" s="89" t="s">
        <v>258</v>
      </c>
      <c r="I1" s="48">
        <v>2012</v>
      </c>
      <c r="J1" s="48"/>
      <c r="K1" s="48"/>
      <c r="L1" s="90"/>
      <c r="M1" s="48" t="s">
        <v>766</v>
      </c>
      <c r="N1" s="89" t="s">
        <v>268</v>
      </c>
      <c r="O1" s="48">
        <v>2012</v>
      </c>
      <c r="P1" s="48"/>
      <c r="Q1" s="48"/>
      <c r="R1" s="90"/>
      <c r="S1" s="48" t="s">
        <v>766</v>
      </c>
      <c r="T1" s="89" t="s">
        <v>270</v>
      </c>
      <c r="U1" s="48">
        <v>2012</v>
      </c>
      <c r="V1" s="48"/>
      <c r="W1" s="48"/>
      <c r="Y1" s="48" t="s">
        <v>766</v>
      </c>
      <c r="Z1" s="89" t="s">
        <v>272</v>
      </c>
      <c r="AA1" s="48">
        <v>2012</v>
      </c>
      <c r="AB1" s="48"/>
      <c r="AC1" s="48"/>
      <c r="AE1" s="45" t="s">
        <v>766</v>
      </c>
      <c r="AF1" s="31" t="s">
        <v>261</v>
      </c>
      <c r="AG1" s="45"/>
      <c r="AH1" s="45"/>
      <c r="AI1" s="45"/>
      <c r="AJ1" s="46"/>
      <c r="AK1" t="s">
        <v>766</v>
      </c>
      <c r="AL1" s="31" t="s">
        <v>919</v>
      </c>
      <c r="AQ1" t="s">
        <v>766</v>
      </c>
      <c r="AR1" s="31" t="s">
        <v>260</v>
      </c>
      <c r="AW1" t="s">
        <v>766</v>
      </c>
      <c r="AX1" s="31" t="s">
        <v>777</v>
      </c>
      <c r="BC1" t="s">
        <v>766</v>
      </c>
      <c r="BD1" s="31" t="s">
        <v>820</v>
      </c>
      <c r="BH1" s="46"/>
      <c r="BI1" t="s">
        <v>766</v>
      </c>
      <c r="BJ1" s="31" t="s">
        <v>896</v>
      </c>
      <c r="BN1" s="46"/>
      <c r="BO1" t="s">
        <v>766</v>
      </c>
      <c r="BP1" s="31" t="s">
        <v>897</v>
      </c>
      <c r="BT1" s="46"/>
      <c r="BU1" t="s">
        <v>766</v>
      </c>
      <c r="BV1" s="31" t="s">
        <v>267</v>
      </c>
      <c r="BZ1" s="46"/>
      <c r="CA1" t="s">
        <v>766</v>
      </c>
      <c r="CB1" s="31" t="s">
        <v>918</v>
      </c>
      <c r="CF1" s="65"/>
      <c r="CG1" t="s">
        <v>766</v>
      </c>
      <c r="CH1" s="31" t="s">
        <v>924</v>
      </c>
      <c r="CL1" s="65"/>
      <c r="CM1" t="s">
        <v>766</v>
      </c>
      <c r="CN1" s="31" t="s">
        <v>920</v>
      </c>
      <c r="CR1" s="65"/>
      <c r="CS1" t="s">
        <v>766</v>
      </c>
      <c r="CT1" s="31" t="s">
        <v>933</v>
      </c>
      <c r="CX1" s="65"/>
      <c r="CY1" t="s">
        <v>766</v>
      </c>
      <c r="CZ1" s="31" t="s">
        <v>936</v>
      </c>
      <c r="DD1" s="65"/>
      <c r="DE1" t="s">
        <v>766</v>
      </c>
      <c r="DF1" s="31" t="s">
        <v>937</v>
      </c>
      <c r="DJ1" s="65"/>
      <c r="DK1" t="s">
        <v>766</v>
      </c>
      <c r="DL1" s="31" t="s">
        <v>937</v>
      </c>
      <c r="DP1" s="65"/>
      <c r="DQ1" s="30" t="s">
        <v>766</v>
      </c>
      <c r="DR1" s="125" t="s">
        <v>1338</v>
      </c>
      <c r="DS1" s="125"/>
      <c r="DV1" s="109"/>
      <c r="DW1" s="30" t="s">
        <v>766</v>
      </c>
      <c r="DX1" s="31" t="s">
        <v>1339</v>
      </c>
      <c r="EB1" s="30" t="s">
        <v>766</v>
      </c>
      <c r="EC1" s="31" t="s">
        <v>1340</v>
      </c>
      <c r="EH1" s="30" t="s">
        <v>766</v>
      </c>
      <c r="EI1" s="31" t="s">
        <v>1341</v>
      </c>
      <c r="EN1" s="30" t="s">
        <v>1342</v>
      </c>
      <c r="EO1" s="31" t="s">
        <v>1343</v>
      </c>
      <c r="ET1" s="30" t="s">
        <v>766</v>
      </c>
      <c r="EU1" s="31" t="s">
        <v>1344</v>
      </c>
      <c r="EZ1" s="30" t="s">
        <v>766</v>
      </c>
      <c r="FA1" s="31" t="s">
        <v>1345</v>
      </c>
    </row>
    <row r="2" spans="1:159" x14ac:dyDescent="0.25">
      <c r="A2" s="48" t="s">
        <v>767</v>
      </c>
      <c r="B2" s="48"/>
      <c r="C2" s="48"/>
      <c r="D2" s="48"/>
      <c r="E2" s="48"/>
      <c r="G2" s="48" t="s">
        <v>767</v>
      </c>
      <c r="H2" s="48"/>
      <c r="I2" s="48"/>
      <c r="J2" s="48"/>
      <c r="K2" s="48"/>
      <c r="L2" s="90"/>
      <c r="M2" s="48" t="s">
        <v>767</v>
      </c>
      <c r="N2" s="48"/>
      <c r="O2" s="48"/>
      <c r="P2" s="48"/>
      <c r="Q2" s="48"/>
      <c r="R2" s="90"/>
      <c r="S2" s="48" t="s">
        <v>767</v>
      </c>
      <c r="T2" s="48"/>
      <c r="U2" s="48"/>
      <c r="V2" s="48"/>
      <c r="W2" s="48"/>
      <c r="Y2" s="48" t="s">
        <v>767</v>
      </c>
      <c r="Z2" s="48"/>
      <c r="AA2" s="48"/>
      <c r="AB2" s="48"/>
      <c r="AC2" s="48"/>
      <c r="AE2" s="45" t="s">
        <v>767</v>
      </c>
      <c r="AF2" s="45"/>
      <c r="AG2" s="45"/>
      <c r="AH2" s="45"/>
      <c r="AI2" s="45"/>
      <c r="AJ2" s="46"/>
      <c r="BH2" s="46"/>
      <c r="BN2" s="46"/>
      <c r="BT2" s="46"/>
      <c r="BZ2" s="46"/>
      <c r="CF2" s="65"/>
      <c r="CL2" s="65"/>
      <c r="CR2" s="65"/>
      <c r="CX2" s="65"/>
      <c r="DD2" s="65"/>
      <c r="DJ2" s="65"/>
      <c r="DP2" s="65"/>
      <c r="DV2" s="109"/>
    </row>
    <row r="3" spans="1:159" x14ac:dyDescent="0.25">
      <c r="A3" s="48" t="s">
        <v>768</v>
      </c>
      <c r="B3" s="48" t="s">
        <v>344</v>
      </c>
      <c r="C3" s="48" t="s">
        <v>769</v>
      </c>
      <c r="D3" s="48" t="s">
        <v>770</v>
      </c>
      <c r="E3" s="48"/>
      <c r="G3" s="48" t="s">
        <v>768</v>
      </c>
      <c r="H3" s="48" t="s">
        <v>344</v>
      </c>
      <c r="I3" s="48" t="s">
        <v>769</v>
      </c>
      <c r="J3" s="48" t="s">
        <v>770</v>
      </c>
      <c r="K3" s="48"/>
      <c r="L3" s="90"/>
      <c r="M3" s="48" t="s">
        <v>768</v>
      </c>
      <c r="N3" s="48" t="s">
        <v>344</v>
      </c>
      <c r="O3" s="48" t="s">
        <v>769</v>
      </c>
      <c r="P3" s="48" t="s">
        <v>770</v>
      </c>
      <c r="Q3" s="48"/>
      <c r="R3" s="90"/>
      <c r="S3" s="48" t="s">
        <v>768</v>
      </c>
      <c r="T3" s="48" t="s">
        <v>344</v>
      </c>
      <c r="U3" s="48" t="s">
        <v>769</v>
      </c>
      <c r="V3" s="48" t="s">
        <v>770</v>
      </c>
      <c r="W3" s="48"/>
      <c r="Y3" s="48" t="s">
        <v>1024</v>
      </c>
      <c r="Z3" s="48" t="s">
        <v>344</v>
      </c>
      <c r="AA3" s="48" t="s">
        <v>769</v>
      </c>
      <c r="AB3" s="48" t="s">
        <v>770</v>
      </c>
      <c r="AC3" s="48"/>
      <c r="AE3" s="45" t="s">
        <v>768</v>
      </c>
      <c r="AF3" s="45" t="s">
        <v>344</v>
      </c>
      <c r="AG3" s="45" t="s">
        <v>769</v>
      </c>
      <c r="AH3" s="45" t="s">
        <v>770</v>
      </c>
      <c r="AI3" s="45"/>
      <c r="AJ3" s="46"/>
      <c r="AK3" s="45" t="s">
        <v>768</v>
      </c>
      <c r="AL3" s="45" t="s">
        <v>344</v>
      </c>
      <c r="AM3" s="45" t="s">
        <v>769</v>
      </c>
      <c r="AN3" s="45" t="s">
        <v>770</v>
      </c>
      <c r="AO3" s="45"/>
      <c r="AQ3" s="45" t="s">
        <v>768</v>
      </c>
      <c r="AR3" s="45" t="s">
        <v>344</v>
      </c>
      <c r="AS3" s="45" t="s">
        <v>769</v>
      </c>
      <c r="AT3" s="45" t="s">
        <v>770</v>
      </c>
      <c r="AU3" s="45"/>
      <c r="AW3" s="45" t="s">
        <v>768</v>
      </c>
      <c r="AX3" s="45" t="s">
        <v>344</v>
      </c>
      <c r="AY3" s="45" t="s">
        <v>769</v>
      </c>
      <c r="AZ3" s="45" t="s">
        <v>770</v>
      </c>
      <c r="BC3" s="45" t="s">
        <v>768</v>
      </c>
      <c r="BD3" s="45" t="s">
        <v>344</v>
      </c>
      <c r="BE3" s="45" t="s">
        <v>769</v>
      </c>
      <c r="BF3" s="45" t="s">
        <v>770</v>
      </c>
      <c r="BH3" s="46"/>
      <c r="BI3" s="45" t="s">
        <v>768</v>
      </c>
      <c r="BJ3" s="45" t="s">
        <v>344</v>
      </c>
      <c r="BK3" s="45" t="s">
        <v>769</v>
      </c>
      <c r="BL3" s="45" t="s">
        <v>770</v>
      </c>
      <c r="BN3" s="46"/>
      <c r="BO3" s="45" t="s">
        <v>768</v>
      </c>
      <c r="BP3" s="45" t="s">
        <v>344</v>
      </c>
      <c r="BQ3" s="45" t="s">
        <v>769</v>
      </c>
      <c r="BR3" s="45" t="s">
        <v>770</v>
      </c>
      <c r="BT3" s="46"/>
      <c r="BU3" s="45" t="s">
        <v>768</v>
      </c>
      <c r="BV3" s="45" t="s">
        <v>344</v>
      </c>
      <c r="BW3" s="45" t="s">
        <v>769</v>
      </c>
      <c r="BX3" s="45" t="s">
        <v>770</v>
      </c>
      <c r="BZ3" s="46"/>
      <c r="CA3" s="45" t="s">
        <v>768</v>
      </c>
      <c r="CB3" s="45" t="s">
        <v>344</v>
      </c>
      <c r="CC3" s="45" t="s">
        <v>769</v>
      </c>
      <c r="CD3" s="45" t="s">
        <v>770</v>
      </c>
      <c r="CF3" s="65"/>
      <c r="CG3" s="45" t="s">
        <v>768</v>
      </c>
      <c r="CH3" s="45" t="s">
        <v>344</v>
      </c>
      <c r="CI3" s="45" t="s">
        <v>769</v>
      </c>
      <c r="CJ3" s="45" t="s">
        <v>770</v>
      </c>
      <c r="CL3" s="65"/>
      <c r="CM3" s="45" t="s">
        <v>768</v>
      </c>
      <c r="CN3" s="45" t="s">
        <v>344</v>
      </c>
      <c r="CO3" s="45" t="s">
        <v>769</v>
      </c>
      <c r="CP3" s="45" t="s">
        <v>770</v>
      </c>
      <c r="CR3" s="65"/>
      <c r="CS3" s="45" t="s">
        <v>768</v>
      </c>
      <c r="CT3" s="45" t="s">
        <v>344</v>
      </c>
      <c r="CU3" s="45" t="s">
        <v>769</v>
      </c>
      <c r="CV3" s="45" t="s">
        <v>770</v>
      </c>
      <c r="CX3" s="65"/>
      <c r="CY3" s="45" t="s">
        <v>768</v>
      </c>
      <c r="CZ3" s="45" t="s">
        <v>344</v>
      </c>
      <c r="DA3" s="45" t="s">
        <v>769</v>
      </c>
      <c r="DB3" s="45" t="s">
        <v>770</v>
      </c>
      <c r="DD3" s="65"/>
      <c r="DE3" s="45" t="s">
        <v>768</v>
      </c>
      <c r="DF3" s="45" t="s">
        <v>344</v>
      </c>
      <c r="DG3" s="45" t="s">
        <v>769</v>
      </c>
      <c r="DH3" s="45" t="s">
        <v>770</v>
      </c>
      <c r="DJ3" s="65"/>
      <c r="DK3" s="45" t="s">
        <v>768</v>
      </c>
      <c r="DL3" s="45" t="s">
        <v>344</v>
      </c>
      <c r="DM3" s="45" t="s">
        <v>769</v>
      </c>
      <c r="DN3" s="45" t="s">
        <v>770</v>
      </c>
      <c r="DP3" s="65"/>
      <c r="DQ3" s="47" t="s">
        <v>1024</v>
      </c>
      <c r="DR3" s="47" t="s">
        <v>344</v>
      </c>
      <c r="DS3" s="47" t="s">
        <v>769</v>
      </c>
      <c r="DT3" s="47" t="s">
        <v>770</v>
      </c>
      <c r="DV3" s="109"/>
      <c r="DW3" s="47" t="s">
        <v>1024</v>
      </c>
      <c r="DX3" s="47" t="s">
        <v>344</v>
      </c>
      <c r="DY3" s="47" t="s">
        <v>769</v>
      </c>
      <c r="DZ3" s="47" t="s">
        <v>770</v>
      </c>
      <c r="EB3" s="47" t="s">
        <v>1024</v>
      </c>
      <c r="EC3" s="47" t="s">
        <v>344</v>
      </c>
      <c r="ED3" s="47" t="s">
        <v>769</v>
      </c>
      <c r="EE3" s="47" t="s">
        <v>770</v>
      </c>
      <c r="EH3" s="47" t="s">
        <v>1024</v>
      </c>
      <c r="EI3" s="47" t="s">
        <v>344</v>
      </c>
      <c r="EJ3" s="47" t="s">
        <v>769</v>
      </c>
      <c r="EK3" s="47" t="s">
        <v>770</v>
      </c>
      <c r="EN3" s="47" t="s">
        <v>1024</v>
      </c>
      <c r="EO3" s="47" t="s">
        <v>344</v>
      </c>
      <c r="EP3" s="47" t="s">
        <v>769</v>
      </c>
      <c r="EQ3" s="47" t="s">
        <v>770</v>
      </c>
      <c r="ET3" s="47" t="s">
        <v>1024</v>
      </c>
      <c r="EU3" s="47" t="s">
        <v>344</v>
      </c>
      <c r="EV3" s="47" t="s">
        <v>769</v>
      </c>
      <c r="EW3" s="47" t="s">
        <v>770</v>
      </c>
      <c r="EZ3" s="47" t="s">
        <v>1024</v>
      </c>
      <c r="FA3" s="47" t="s">
        <v>344</v>
      </c>
      <c r="FB3" s="47" t="s">
        <v>769</v>
      </c>
      <c r="FC3" s="47" t="s">
        <v>770</v>
      </c>
    </row>
    <row r="4" spans="1:159" x14ac:dyDescent="0.25">
      <c r="A4" s="70" t="s">
        <v>1026</v>
      </c>
      <c r="B4">
        <v>96</v>
      </c>
      <c r="C4" s="48" t="s">
        <v>771</v>
      </c>
      <c r="D4">
        <f>SUM(B4:B28)</f>
        <v>5537</v>
      </c>
      <c r="G4" s="36" t="s">
        <v>1025</v>
      </c>
      <c r="H4" s="92">
        <v>56</v>
      </c>
      <c r="I4" s="48" t="s">
        <v>771</v>
      </c>
      <c r="J4" s="48">
        <f>SUM(H4:H12)</f>
        <v>720</v>
      </c>
      <c r="K4" s="48"/>
      <c r="L4" s="90"/>
      <c r="M4" s="93" t="s">
        <v>954</v>
      </c>
      <c r="N4" s="92">
        <v>34</v>
      </c>
      <c r="O4" s="48" t="s">
        <v>771</v>
      </c>
      <c r="P4" s="48">
        <f>SUM(N4:N28)</f>
        <v>2171</v>
      </c>
      <c r="Q4" s="48"/>
      <c r="R4" s="90"/>
      <c r="S4" s="92" t="s">
        <v>976</v>
      </c>
      <c r="T4" s="92">
        <v>53</v>
      </c>
      <c r="U4" s="45" t="s">
        <v>771</v>
      </c>
      <c r="V4" s="48">
        <f>SUM(T4:T29)</f>
        <v>5049</v>
      </c>
      <c r="W4" s="48"/>
      <c r="Y4" s="48" t="s">
        <v>899</v>
      </c>
      <c r="Z4" s="92">
        <v>80</v>
      </c>
      <c r="AA4" s="48" t="s">
        <v>771</v>
      </c>
      <c r="AB4" s="48">
        <f>SUM(Z4:Z28)</f>
        <v>5021</v>
      </c>
      <c r="AC4" s="48"/>
      <c r="AE4" s="62" t="s">
        <v>744</v>
      </c>
      <c r="AF4">
        <v>116</v>
      </c>
      <c r="AG4" s="45" t="s">
        <v>771</v>
      </c>
      <c r="AH4" s="45">
        <f>SUM(AF4:AF14)</f>
        <v>1316</v>
      </c>
      <c r="AI4" s="45"/>
      <c r="AJ4" s="46"/>
      <c r="AK4" s="64" t="s">
        <v>737</v>
      </c>
      <c r="AL4">
        <v>439</v>
      </c>
      <c r="AM4" s="45" t="s">
        <v>771</v>
      </c>
      <c r="AN4" s="45">
        <f>SUM(AL4:AL28)</f>
        <v>4314</v>
      </c>
      <c r="AO4" s="45"/>
      <c r="AQ4" s="63" t="s">
        <v>642</v>
      </c>
      <c r="AR4">
        <v>87</v>
      </c>
      <c r="AS4" s="45" t="s">
        <v>771</v>
      </c>
      <c r="AT4" s="45">
        <f>SUM(AR4:AR13)</f>
        <v>942</v>
      </c>
      <c r="AU4" s="45"/>
      <c r="AW4" t="s">
        <v>652</v>
      </c>
      <c r="AX4">
        <v>1</v>
      </c>
      <c r="AY4" s="45" t="s">
        <v>771</v>
      </c>
      <c r="AZ4" s="45">
        <f>SUM(AX4:AX17)</f>
        <v>706</v>
      </c>
      <c r="BC4" s="63" t="s">
        <v>717</v>
      </c>
      <c r="BD4">
        <v>12</v>
      </c>
      <c r="BE4" s="45" t="s">
        <v>771</v>
      </c>
      <c r="BF4" s="45">
        <f>SUM(BD4:BD6)</f>
        <v>60</v>
      </c>
      <c r="BH4" s="46"/>
      <c r="BI4" s="63" t="s">
        <v>823</v>
      </c>
      <c r="BJ4">
        <v>16</v>
      </c>
      <c r="BK4" s="45" t="s">
        <v>771</v>
      </c>
      <c r="BL4" s="45">
        <f>SUM(BJ4:BJ9)</f>
        <v>894</v>
      </c>
      <c r="BN4" s="46"/>
      <c r="BO4" s="70" t="s">
        <v>868</v>
      </c>
      <c r="BP4">
        <v>14</v>
      </c>
      <c r="BQ4" s="45" t="s">
        <v>771</v>
      </c>
      <c r="BR4" s="45">
        <f>SUM(BP4:BP28)</f>
        <v>5876</v>
      </c>
      <c r="BT4" s="46"/>
      <c r="BU4" s="70" t="s">
        <v>676</v>
      </c>
      <c r="BV4">
        <v>76</v>
      </c>
      <c r="BW4" s="45" t="s">
        <v>771</v>
      </c>
      <c r="BX4" s="45">
        <f>SUM(BV4:BV28)</f>
        <v>3454</v>
      </c>
      <c r="BZ4" s="46"/>
      <c r="CA4" s="70" t="s">
        <v>701</v>
      </c>
      <c r="CB4">
        <v>226</v>
      </c>
      <c r="CC4" s="45" t="s">
        <v>771</v>
      </c>
      <c r="CD4" s="45">
        <f>SUM(CB4:CB30)</f>
        <v>2404</v>
      </c>
      <c r="CF4" s="65"/>
      <c r="CG4" s="73" t="s">
        <v>288</v>
      </c>
      <c r="CH4">
        <v>162</v>
      </c>
      <c r="CI4" s="45" t="s">
        <v>771</v>
      </c>
      <c r="CJ4" s="45">
        <f>SUM(CH4:CH30)</f>
        <v>4233</v>
      </c>
      <c r="CL4" s="65"/>
      <c r="CM4" s="73" t="s">
        <v>348</v>
      </c>
      <c r="CN4">
        <v>112</v>
      </c>
      <c r="CO4" s="45" t="s">
        <v>771</v>
      </c>
      <c r="CP4" s="45">
        <f>SUM(CN4:CN30)</f>
        <v>2287</v>
      </c>
      <c r="CR4" s="65"/>
      <c r="CS4" s="73" t="s">
        <v>593</v>
      </c>
      <c r="CT4">
        <v>2</v>
      </c>
      <c r="CU4" s="45" t="s">
        <v>771</v>
      </c>
      <c r="CV4" s="45">
        <f>SUM(CT4:CT30)</f>
        <v>555</v>
      </c>
      <c r="CX4" s="65"/>
      <c r="CY4" s="73" t="s">
        <v>450</v>
      </c>
      <c r="CZ4">
        <v>48</v>
      </c>
      <c r="DA4" s="45" t="s">
        <v>771</v>
      </c>
      <c r="DB4" s="45">
        <f>SUM(CZ4:CZ30)</f>
        <v>499</v>
      </c>
      <c r="DD4" s="65"/>
      <c r="DE4" s="34" t="s">
        <v>483</v>
      </c>
      <c r="DF4">
        <v>26</v>
      </c>
      <c r="DG4" s="45" t="s">
        <v>771</v>
      </c>
      <c r="DH4" s="45">
        <f>SUM(DF4:DF14)</f>
        <v>1401</v>
      </c>
      <c r="DJ4" s="65"/>
      <c r="DK4" s="34" t="s">
        <v>518</v>
      </c>
      <c r="DL4">
        <v>179</v>
      </c>
      <c r="DM4" s="45" t="s">
        <v>771</v>
      </c>
      <c r="DN4" s="45">
        <f>SUM(DL4:DL28)</f>
        <v>1845</v>
      </c>
      <c r="DP4" s="65"/>
      <c r="DQ4" s="64" t="s">
        <v>1237</v>
      </c>
      <c r="DR4" s="48">
        <v>8</v>
      </c>
      <c r="DS4" s="48" t="s">
        <v>771</v>
      </c>
      <c r="DT4" s="48">
        <f>SUM(DR4:DR23)</f>
        <v>2432</v>
      </c>
      <c r="DV4" s="109"/>
      <c r="DW4" s="64" t="s">
        <v>1255</v>
      </c>
      <c r="DX4" s="48">
        <v>80</v>
      </c>
      <c r="DY4" s="48" t="s">
        <v>771</v>
      </c>
      <c r="DZ4" s="48">
        <f>SUM(DX4:DX13)</f>
        <v>630</v>
      </c>
      <c r="EB4" s="30" t="s">
        <v>1267</v>
      </c>
      <c r="EC4">
        <v>95</v>
      </c>
      <c r="ED4" s="48" t="s">
        <v>771</v>
      </c>
      <c r="EE4">
        <f>SUM(EC4:EC10)</f>
        <v>775</v>
      </c>
      <c r="EH4" s="70" t="s">
        <v>1273</v>
      </c>
      <c r="EI4">
        <v>87</v>
      </c>
      <c r="EJ4" s="48" t="s">
        <v>771</v>
      </c>
      <c r="EK4">
        <f>SUM(EI4:EI28)</f>
        <v>2769</v>
      </c>
      <c r="EN4" s="30" t="s">
        <v>949</v>
      </c>
      <c r="EO4">
        <v>132</v>
      </c>
      <c r="EP4" s="48" t="s">
        <v>771</v>
      </c>
      <c r="EQ4">
        <f>SUM(EO4:EO12)</f>
        <v>1007</v>
      </c>
      <c r="ET4" s="70" t="s">
        <v>1303</v>
      </c>
      <c r="EU4">
        <v>162</v>
      </c>
      <c r="EV4" s="48" t="s">
        <v>771</v>
      </c>
      <c r="EW4">
        <f>SUM(EU4:EU19)</f>
        <v>1680</v>
      </c>
      <c r="EZ4" s="70" t="s">
        <v>1347</v>
      </c>
      <c r="FA4">
        <v>36</v>
      </c>
      <c r="FB4" s="48" t="s">
        <v>771</v>
      </c>
      <c r="FC4">
        <f>SUM(FA4:FA28)</f>
        <v>1541</v>
      </c>
    </row>
    <row r="5" spans="1:159" x14ac:dyDescent="0.25">
      <c r="A5" s="70" t="s">
        <v>1027</v>
      </c>
      <c r="B5">
        <v>278</v>
      </c>
      <c r="C5" s="48" t="s">
        <v>772</v>
      </c>
      <c r="D5">
        <f>MIN(B4:B28)</f>
        <v>18</v>
      </c>
      <c r="G5" s="36" t="s">
        <v>941</v>
      </c>
      <c r="H5" s="92">
        <v>81</v>
      </c>
      <c r="I5" s="48" t="s">
        <v>772</v>
      </c>
      <c r="J5" s="48">
        <f>MIN(H4:H12)</f>
        <v>25</v>
      </c>
      <c r="K5" s="48"/>
      <c r="L5" s="90"/>
      <c r="M5" s="93" t="s">
        <v>955</v>
      </c>
      <c r="N5" s="92">
        <v>45</v>
      </c>
      <c r="O5" s="48" t="s">
        <v>772</v>
      </c>
      <c r="P5" s="48">
        <f>MIN(N4:N28)</f>
        <v>1</v>
      </c>
      <c r="Q5" s="48"/>
      <c r="R5" s="90"/>
      <c r="S5" s="92" t="s">
        <v>977</v>
      </c>
      <c r="T5" s="92">
        <v>35</v>
      </c>
      <c r="U5" s="45" t="s">
        <v>772</v>
      </c>
      <c r="V5" s="48">
        <f>MIN(T4:T29)</f>
        <v>11</v>
      </c>
      <c r="W5" s="48"/>
      <c r="Y5" s="48" t="s">
        <v>1001</v>
      </c>
      <c r="Z5" s="92">
        <v>144</v>
      </c>
      <c r="AA5" s="48" t="s">
        <v>772</v>
      </c>
      <c r="AB5" s="48">
        <f>MIN(Z4:Z28)</f>
        <v>17</v>
      </c>
      <c r="AC5" s="48"/>
      <c r="AE5" s="62" t="s">
        <v>757</v>
      </c>
      <c r="AF5">
        <v>55</v>
      </c>
      <c r="AG5" s="45" t="s">
        <v>772</v>
      </c>
      <c r="AH5" s="45">
        <f>MIN(AF4:AF14)</f>
        <v>24</v>
      </c>
      <c r="AI5" s="45"/>
      <c r="AJ5" s="46"/>
      <c r="AK5" s="64" t="s">
        <v>738</v>
      </c>
      <c r="AL5">
        <v>747</v>
      </c>
      <c r="AM5" s="45" t="s">
        <v>772</v>
      </c>
      <c r="AN5" s="45">
        <f>MIN(AL4:AL28)</f>
        <v>3</v>
      </c>
      <c r="AO5" s="45"/>
      <c r="AQ5" s="63" t="s">
        <v>757</v>
      </c>
      <c r="AR5">
        <v>39</v>
      </c>
      <c r="AS5" s="45" t="s">
        <v>772</v>
      </c>
      <c r="AT5" s="45">
        <f>MIN(AR4:AR13)</f>
        <v>22</v>
      </c>
      <c r="AU5" s="45"/>
      <c r="AW5" t="s">
        <v>654</v>
      </c>
      <c r="AX5">
        <v>6</v>
      </c>
      <c r="AY5" s="45" t="s">
        <v>772</v>
      </c>
      <c r="AZ5" s="45">
        <f>MIN(AX4:AX17)</f>
        <v>1</v>
      </c>
      <c r="BC5" s="63" t="s">
        <v>718</v>
      </c>
      <c r="BD5">
        <v>12</v>
      </c>
      <c r="BE5" s="45" t="s">
        <v>772</v>
      </c>
      <c r="BF5" s="45">
        <f>MIN(BD4:BD6)</f>
        <v>12</v>
      </c>
      <c r="BH5" s="46"/>
      <c r="BI5" s="63" t="s">
        <v>825</v>
      </c>
      <c r="BJ5">
        <v>252</v>
      </c>
      <c r="BK5" s="45" t="s">
        <v>772</v>
      </c>
      <c r="BL5" s="45">
        <f>MIN(BJ4:BJ9)</f>
        <v>16</v>
      </c>
      <c r="BN5" s="46"/>
      <c r="BO5" s="70" t="s">
        <v>871</v>
      </c>
      <c r="BP5">
        <v>87</v>
      </c>
      <c r="BQ5" s="45" t="s">
        <v>772</v>
      </c>
      <c r="BR5" s="45">
        <f>MIN(BP4:BP28)</f>
        <v>14</v>
      </c>
      <c r="BT5" s="46"/>
      <c r="BU5" s="70" t="s">
        <v>677</v>
      </c>
      <c r="BV5">
        <v>219</v>
      </c>
      <c r="BW5" s="45" t="s">
        <v>772</v>
      </c>
      <c r="BX5" s="45">
        <f>MIN(BV4:BV28)</f>
        <v>16</v>
      </c>
      <c r="BZ5" s="46"/>
      <c r="CA5" s="70" t="s">
        <v>702</v>
      </c>
      <c r="CB5">
        <v>28</v>
      </c>
      <c r="CC5" s="45" t="s">
        <v>772</v>
      </c>
      <c r="CD5" s="45">
        <f>MIN(CB4:CB30)</f>
        <v>0</v>
      </c>
      <c r="CF5" s="65"/>
      <c r="CG5" s="73" t="s">
        <v>289</v>
      </c>
      <c r="CH5">
        <v>135</v>
      </c>
      <c r="CI5" s="45" t="s">
        <v>772</v>
      </c>
      <c r="CJ5" s="45">
        <f>MIN(CH4:CH30)</f>
        <v>10</v>
      </c>
      <c r="CL5" s="65"/>
      <c r="CM5" s="73" t="s">
        <v>349</v>
      </c>
      <c r="CN5">
        <v>52</v>
      </c>
      <c r="CO5" s="45" t="s">
        <v>772</v>
      </c>
      <c r="CP5" s="45">
        <f>MIN(CN4:CN30)</f>
        <v>1</v>
      </c>
      <c r="CR5" s="65"/>
      <c r="CS5" s="73" t="s">
        <v>594</v>
      </c>
      <c r="CT5">
        <v>4</v>
      </c>
      <c r="CU5" s="45" t="s">
        <v>772</v>
      </c>
      <c r="CV5" s="45">
        <f>MIN(CT4:CT30)</f>
        <v>2</v>
      </c>
      <c r="CX5" s="65"/>
      <c r="CY5" s="73" t="s">
        <v>451</v>
      </c>
      <c r="CZ5">
        <v>55</v>
      </c>
      <c r="DA5" s="45" t="s">
        <v>772</v>
      </c>
      <c r="DB5" s="45">
        <f>MIN(CZ4:CZ30)</f>
        <v>15</v>
      </c>
      <c r="DD5" s="65"/>
      <c r="DE5" s="34" t="s">
        <v>484</v>
      </c>
      <c r="DF5">
        <v>35</v>
      </c>
      <c r="DG5" s="45" t="s">
        <v>772</v>
      </c>
      <c r="DH5" s="45">
        <f>MIN(DF4:DF30)</f>
        <v>26</v>
      </c>
      <c r="DJ5" s="65"/>
      <c r="DK5" s="33" t="s">
        <v>519</v>
      </c>
      <c r="DL5">
        <v>174</v>
      </c>
      <c r="DM5" s="45" t="s">
        <v>772</v>
      </c>
      <c r="DN5" s="45">
        <f>MIN(DL4:DL123)</f>
        <v>0</v>
      </c>
      <c r="DP5" s="65"/>
      <c r="DQ5" s="64" t="s">
        <v>941</v>
      </c>
      <c r="DR5" s="48">
        <v>7</v>
      </c>
      <c r="DS5" s="48" t="s">
        <v>772</v>
      </c>
      <c r="DT5" s="48">
        <f>MIN(DR4:DR23)</f>
        <v>7</v>
      </c>
      <c r="DV5" s="109"/>
      <c r="DW5" s="48" t="s">
        <v>1256</v>
      </c>
      <c r="DX5" s="48">
        <v>63</v>
      </c>
      <c r="DY5" s="48" t="s">
        <v>772</v>
      </c>
      <c r="DZ5" s="48">
        <f>MIN(DX4:DX13)</f>
        <v>4</v>
      </c>
      <c r="EB5" s="30" t="s">
        <v>1268</v>
      </c>
      <c r="EC5">
        <v>105</v>
      </c>
      <c r="ED5" s="48" t="s">
        <v>772</v>
      </c>
      <c r="EE5">
        <f>MIN(EC4:EC10)</f>
        <v>41</v>
      </c>
      <c r="EH5" s="30" t="s">
        <v>414</v>
      </c>
      <c r="EI5">
        <v>162</v>
      </c>
      <c r="EJ5" s="48" t="s">
        <v>772</v>
      </c>
      <c r="EK5">
        <f>MIN(EI4:EI28)</f>
        <v>11</v>
      </c>
      <c r="EN5" s="30" t="s">
        <v>1298</v>
      </c>
      <c r="EO5">
        <v>148</v>
      </c>
      <c r="EP5" s="48" t="s">
        <v>772</v>
      </c>
      <c r="EQ5">
        <f>MIN(EO4:EO12)</f>
        <v>21</v>
      </c>
      <c r="ET5" s="30" t="s">
        <v>1304</v>
      </c>
      <c r="EU5">
        <v>177</v>
      </c>
      <c r="EV5" s="48" t="s">
        <v>772</v>
      </c>
      <c r="EW5">
        <f>MIN(EU4:EU19)</f>
        <v>9</v>
      </c>
      <c r="EZ5" s="70" t="s">
        <v>969</v>
      </c>
      <c r="FA5">
        <v>82</v>
      </c>
      <c r="FB5" s="48" t="s">
        <v>772</v>
      </c>
      <c r="FC5">
        <f>MIN(FA4:FA28)</f>
        <v>2</v>
      </c>
    </row>
    <row r="6" spans="1:159" x14ac:dyDescent="0.25">
      <c r="A6" s="70" t="s">
        <v>1028</v>
      </c>
      <c r="B6">
        <v>296</v>
      </c>
      <c r="C6" s="48" t="s">
        <v>773</v>
      </c>
      <c r="D6">
        <f>MAX(B4:B28)</f>
        <v>560</v>
      </c>
      <c r="G6" s="36" t="s">
        <v>942</v>
      </c>
      <c r="H6" s="92">
        <v>123</v>
      </c>
      <c r="I6" s="48" t="s">
        <v>773</v>
      </c>
      <c r="J6" s="48">
        <f>MAX(H4:H12)</f>
        <v>166</v>
      </c>
      <c r="K6" s="48"/>
      <c r="L6" s="90"/>
      <c r="M6" s="93" t="s">
        <v>956</v>
      </c>
      <c r="N6" s="92">
        <v>29</v>
      </c>
      <c r="O6" s="48" t="s">
        <v>773</v>
      </c>
      <c r="P6" s="48">
        <f>MAX(N4:N28)</f>
        <v>226</v>
      </c>
      <c r="Q6" s="48"/>
      <c r="R6" s="90"/>
      <c r="S6" s="92" t="s">
        <v>978</v>
      </c>
      <c r="T6" s="92">
        <v>92</v>
      </c>
      <c r="U6" s="45" t="s">
        <v>773</v>
      </c>
      <c r="V6" s="48">
        <f>MAX(T4:T29)</f>
        <v>509</v>
      </c>
      <c r="W6" s="48"/>
      <c r="Y6" s="48" t="s">
        <v>1002</v>
      </c>
      <c r="Z6" s="92">
        <v>276</v>
      </c>
      <c r="AA6" s="48" t="s">
        <v>773</v>
      </c>
      <c r="AB6" s="48">
        <f>MAX(Z4:Z28)</f>
        <v>486</v>
      </c>
      <c r="AC6" s="48"/>
      <c r="AE6" s="62" t="s">
        <v>758</v>
      </c>
      <c r="AF6">
        <v>24</v>
      </c>
      <c r="AG6" s="45" t="s">
        <v>773</v>
      </c>
      <c r="AH6" s="45">
        <f>MAX(AF4:AF14)</f>
        <v>194</v>
      </c>
      <c r="AI6" s="45"/>
      <c r="AJ6" s="46"/>
      <c r="AK6" s="48" t="s">
        <v>808</v>
      </c>
      <c r="AL6">
        <v>402</v>
      </c>
      <c r="AM6" s="45" t="s">
        <v>773</v>
      </c>
      <c r="AN6" s="45">
        <f>MAX(AL4:AL28)</f>
        <v>747</v>
      </c>
      <c r="AO6" s="45"/>
      <c r="AQ6" s="63" t="s">
        <v>644</v>
      </c>
      <c r="AR6">
        <v>122</v>
      </c>
      <c r="AS6" s="45" t="s">
        <v>773</v>
      </c>
      <c r="AT6" s="45">
        <f>MAX(AR4:AR13)</f>
        <v>164</v>
      </c>
      <c r="AU6" s="45"/>
      <c r="AW6" t="s">
        <v>653</v>
      </c>
      <c r="AX6">
        <v>62</v>
      </c>
      <c r="AY6" s="45" t="s">
        <v>773</v>
      </c>
      <c r="AZ6" s="45">
        <f>MAX(AX4:AX17)</f>
        <v>103</v>
      </c>
      <c r="BC6" s="63" t="s">
        <v>716</v>
      </c>
      <c r="BD6">
        <v>36</v>
      </c>
      <c r="BE6" s="45" t="s">
        <v>773</v>
      </c>
      <c r="BF6" s="45">
        <f>MAX(BD4:BD6)</f>
        <v>36</v>
      </c>
      <c r="BH6" s="46"/>
      <c r="BI6" s="63" t="s">
        <v>824</v>
      </c>
      <c r="BJ6">
        <v>102</v>
      </c>
      <c r="BK6" s="45" t="s">
        <v>773</v>
      </c>
      <c r="BL6" s="45">
        <f>MAX(BJ4:BJ9)</f>
        <v>252</v>
      </c>
      <c r="BN6" s="46"/>
      <c r="BO6" s="70" t="s">
        <v>869</v>
      </c>
      <c r="BP6">
        <v>142</v>
      </c>
      <c r="BQ6" s="45" t="s">
        <v>773</v>
      </c>
      <c r="BR6" s="45">
        <f>MAX(BP4:BP28)</f>
        <v>722</v>
      </c>
      <c r="BT6" s="46"/>
      <c r="BU6" s="70" t="s">
        <v>678</v>
      </c>
      <c r="BV6">
        <v>147</v>
      </c>
      <c r="BW6" s="45" t="s">
        <v>773</v>
      </c>
      <c r="BX6" s="45">
        <f>MAX(BV4:BV28)</f>
        <v>314</v>
      </c>
      <c r="BZ6" s="46"/>
      <c r="CA6" s="70" t="s">
        <v>703</v>
      </c>
      <c r="CB6">
        <v>40</v>
      </c>
      <c r="CC6" s="45" t="s">
        <v>773</v>
      </c>
      <c r="CD6" s="45">
        <f>MAX(CB4:CB30)</f>
        <v>283</v>
      </c>
      <c r="CF6" s="65"/>
      <c r="CG6" s="73" t="s">
        <v>290</v>
      </c>
      <c r="CH6">
        <v>149</v>
      </c>
      <c r="CI6" s="45" t="s">
        <v>773</v>
      </c>
      <c r="CJ6" s="45">
        <f>MAX(CH4:CH30)</f>
        <v>408</v>
      </c>
      <c r="CL6" s="65"/>
      <c r="CM6" s="73" t="s">
        <v>350</v>
      </c>
      <c r="CN6">
        <v>150</v>
      </c>
      <c r="CO6" s="45" t="s">
        <v>773</v>
      </c>
      <c r="CP6" s="45">
        <f>MAX(CN4:CN30)</f>
        <v>215</v>
      </c>
      <c r="CR6" s="65"/>
      <c r="CS6" s="73" t="s">
        <v>595</v>
      </c>
      <c r="CT6">
        <v>32</v>
      </c>
      <c r="CU6" s="45" t="s">
        <v>773</v>
      </c>
      <c r="CV6" s="45">
        <f>MAX(CT4:CT30)</f>
        <v>151</v>
      </c>
      <c r="CX6" s="65"/>
      <c r="CY6" s="73" t="s">
        <v>452</v>
      </c>
      <c r="CZ6">
        <v>54</v>
      </c>
      <c r="DA6" s="45" t="s">
        <v>773</v>
      </c>
      <c r="DB6" s="45">
        <f>MAX(CZ4:CZ30)</f>
        <v>67</v>
      </c>
      <c r="DD6" s="65"/>
      <c r="DE6" s="35" t="s">
        <v>485</v>
      </c>
      <c r="DF6">
        <v>54</v>
      </c>
      <c r="DG6" s="45" t="s">
        <v>773</v>
      </c>
      <c r="DH6" s="45">
        <f>MAX(DF4:DF30)</f>
        <v>267</v>
      </c>
      <c r="DJ6" s="65"/>
      <c r="DK6" s="33" t="s">
        <v>520</v>
      </c>
      <c r="DL6">
        <v>60</v>
      </c>
      <c r="DM6" s="45" t="s">
        <v>773</v>
      </c>
      <c r="DN6" s="45">
        <f>MAX(DL4:DL123)</f>
        <v>179</v>
      </c>
      <c r="DP6" s="65"/>
      <c r="DQ6" s="48" t="s">
        <v>1238</v>
      </c>
      <c r="DR6" s="48">
        <v>49</v>
      </c>
      <c r="DS6" s="48" t="s">
        <v>773</v>
      </c>
      <c r="DT6" s="48">
        <f>MAX(DR4:DR23)</f>
        <v>333</v>
      </c>
      <c r="DV6" s="109"/>
      <c r="DW6" s="48" t="s">
        <v>1257</v>
      </c>
      <c r="DX6" s="48">
        <v>206</v>
      </c>
      <c r="DY6" s="48" t="s">
        <v>773</v>
      </c>
      <c r="DZ6" s="48">
        <f>MAX(DX4:DX13)</f>
        <v>206</v>
      </c>
      <c r="EB6" s="30" t="s">
        <v>1269</v>
      </c>
      <c r="EC6">
        <v>189</v>
      </c>
      <c r="ED6" s="48" t="s">
        <v>773</v>
      </c>
      <c r="EE6">
        <f>MAX(EC4:EC10)</f>
        <v>189</v>
      </c>
      <c r="EH6" s="30" t="s">
        <v>1274</v>
      </c>
      <c r="EI6">
        <v>102</v>
      </c>
      <c r="EJ6" s="48" t="s">
        <v>773</v>
      </c>
      <c r="EK6">
        <f>MAX(EI4:EI28)</f>
        <v>185</v>
      </c>
      <c r="EN6" s="30" t="s">
        <v>809</v>
      </c>
      <c r="EO6">
        <v>118</v>
      </c>
      <c r="EP6" s="48" t="s">
        <v>773</v>
      </c>
      <c r="EQ6">
        <f>MAX(EO4:EO12)</f>
        <v>171</v>
      </c>
      <c r="ET6" s="30" t="s">
        <v>1305</v>
      </c>
      <c r="EU6">
        <v>132</v>
      </c>
      <c r="EV6" s="48" t="s">
        <v>773</v>
      </c>
      <c r="EW6">
        <f>MAX(EU4:EU19)</f>
        <v>195</v>
      </c>
      <c r="EZ6" s="30" t="s">
        <v>1319</v>
      </c>
      <c r="FA6">
        <v>70</v>
      </c>
      <c r="FB6" s="48" t="s">
        <v>773</v>
      </c>
      <c r="FC6">
        <f>MAX(FA4:FA28)</f>
        <v>224</v>
      </c>
    </row>
    <row r="7" spans="1:159" x14ac:dyDescent="0.25">
      <c r="A7" s="70" t="s">
        <v>1029</v>
      </c>
      <c r="B7">
        <v>214</v>
      </c>
      <c r="C7" s="48" t="s">
        <v>774</v>
      </c>
      <c r="D7">
        <f>VAR(B4:B28)</f>
        <v>22238.843333333334</v>
      </c>
      <c r="G7" s="36" t="s">
        <v>943</v>
      </c>
      <c r="H7" s="92">
        <v>166</v>
      </c>
      <c r="I7" s="48" t="s">
        <v>774</v>
      </c>
      <c r="J7" s="48">
        <f>VAR(H4:H12)</f>
        <v>1934</v>
      </c>
      <c r="K7" s="48"/>
      <c r="L7" s="90"/>
      <c r="M7" s="93" t="s">
        <v>726</v>
      </c>
      <c r="N7" s="92">
        <v>124</v>
      </c>
      <c r="O7" s="48" t="s">
        <v>774</v>
      </c>
      <c r="P7" s="48">
        <f>VAR(N4:N28)</f>
        <v>3033.0566666666659</v>
      </c>
      <c r="Q7" s="48"/>
      <c r="R7" s="90"/>
      <c r="S7" s="92" t="s">
        <v>979</v>
      </c>
      <c r="T7" s="92">
        <v>81</v>
      </c>
      <c r="U7" s="45" t="s">
        <v>774</v>
      </c>
      <c r="V7" s="48">
        <f>VAR(T4:T29)</f>
        <v>25715.956666666665</v>
      </c>
      <c r="W7" s="48"/>
      <c r="Y7" s="48" t="s">
        <v>1003</v>
      </c>
      <c r="Z7" s="92">
        <v>448</v>
      </c>
      <c r="AA7" s="48" t="s">
        <v>774</v>
      </c>
      <c r="AB7" s="48">
        <f>VAR(Z4:Z28)</f>
        <v>20365.223333333332</v>
      </c>
      <c r="AC7" s="48"/>
      <c r="AE7" s="62" t="s">
        <v>452</v>
      </c>
      <c r="AF7">
        <v>125</v>
      </c>
      <c r="AG7" s="45" t="s">
        <v>774</v>
      </c>
      <c r="AH7" s="45">
        <f>VAR(AF4:AF14)</f>
        <v>2303.8545454545442</v>
      </c>
      <c r="AI7" s="45"/>
      <c r="AJ7" s="46"/>
      <c r="AK7" s="64" t="s">
        <v>739</v>
      </c>
      <c r="AL7">
        <v>643</v>
      </c>
      <c r="AM7" s="45" t="s">
        <v>774</v>
      </c>
      <c r="AN7" s="45">
        <f>VAR(AL4:AL28)</f>
        <v>39185.006666666668</v>
      </c>
      <c r="AO7" s="45"/>
      <c r="AQ7" s="63" t="s">
        <v>292</v>
      </c>
      <c r="AR7">
        <v>125</v>
      </c>
      <c r="AS7" s="45" t="s">
        <v>774</v>
      </c>
      <c r="AT7" s="45">
        <f>VAR(AR4:AR13)</f>
        <v>1831.0666666666673</v>
      </c>
      <c r="AU7" s="45"/>
      <c r="AW7" t="s">
        <v>655</v>
      </c>
      <c r="AX7">
        <v>7</v>
      </c>
      <c r="AY7" s="45" t="s">
        <v>774</v>
      </c>
      <c r="AZ7" s="45">
        <f>VAR(AX4:AX17)</f>
        <v>1050.2637362637363</v>
      </c>
      <c r="BE7" s="45" t="s">
        <v>774</v>
      </c>
      <c r="BF7" s="45">
        <f>VAR(BD4:BD6)</f>
        <v>192</v>
      </c>
      <c r="BH7" s="46"/>
      <c r="BI7" s="63" t="s">
        <v>826</v>
      </c>
      <c r="BJ7">
        <v>151</v>
      </c>
      <c r="BK7" s="45" t="s">
        <v>774</v>
      </c>
      <c r="BL7" s="45">
        <f>VAR(BJ4:BJ9)</f>
        <v>6773.6</v>
      </c>
      <c r="BN7" s="46"/>
      <c r="BO7" s="70" t="s">
        <v>870</v>
      </c>
      <c r="BP7">
        <v>107</v>
      </c>
      <c r="BQ7" s="45" t="s">
        <v>774</v>
      </c>
      <c r="BR7" s="45">
        <f>VAR(BP4:BP28)</f>
        <v>27036.123333333333</v>
      </c>
      <c r="BT7" s="46"/>
      <c r="BU7" s="70" t="s">
        <v>679</v>
      </c>
      <c r="BV7">
        <v>237</v>
      </c>
      <c r="BW7" s="45" t="s">
        <v>774</v>
      </c>
      <c r="BX7" s="45">
        <f>VAR(BV4:BV28)</f>
        <v>6037.6399999999994</v>
      </c>
      <c r="BZ7" s="46"/>
      <c r="CA7" s="70" t="s">
        <v>899</v>
      </c>
      <c r="CB7">
        <v>0</v>
      </c>
      <c r="CC7" s="45" t="s">
        <v>774</v>
      </c>
      <c r="CD7" s="45">
        <f>VAR(CB4:CB30)</f>
        <v>5805.3066666666664</v>
      </c>
      <c r="CF7" s="65"/>
      <c r="CG7" s="73" t="s">
        <v>291</v>
      </c>
      <c r="CH7">
        <v>90</v>
      </c>
      <c r="CI7" s="45" t="s">
        <v>774</v>
      </c>
      <c r="CJ7" s="45">
        <f>VAR(CH4:CH30)</f>
        <v>13165.60153846154</v>
      </c>
      <c r="CL7" s="65"/>
      <c r="CM7" s="73" t="s">
        <v>351</v>
      </c>
      <c r="CN7">
        <v>187</v>
      </c>
      <c r="CO7" s="45" t="s">
        <v>774</v>
      </c>
      <c r="CP7" s="45">
        <f>VAR(CN4:CN30)</f>
        <v>4410.9841897233209</v>
      </c>
      <c r="CR7" s="65"/>
      <c r="CU7" s="45" t="s">
        <v>774</v>
      </c>
      <c r="CV7" s="45">
        <f>VAR(CT4:CT30)</f>
        <v>2086.0958333333333</v>
      </c>
      <c r="CX7" s="65"/>
      <c r="CY7" s="73" t="s">
        <v>453</v>
      </c>
      <c r="CZ7">
        <v>51</v>
      </c>
      <c r="DA7" s="45" t="s">
        <v>774</v>
      </c>
      <c r="DB7" s="45">
        <f>VAR(CZ4:CZ30)</f>
        <v>176.76666666666682</v>
      </c>
      <c r="DD7" s="65"/>
      <c r="DE7" s="34" t="s">
        <v>486</v>
      </c>
      <c r="DF7">
        <v>149</v>
      </c>
      <c r="DG7" s="45" t="s">
        <v>774</v>
      </c>
      <c r="DH7" s="45">
        <f>VAR(DF4:DF14)</f>
        <v>6073.8545454545438</v>
      </c>
      <c r="DJ7" s="65"/>
      <c r="DK7" s="33" t="s">
        <v>521</v>
      </c>
      <c r="DL7">
        <v>88</v>
      </c>
      <c r="DM7" s="45" t="s">
        <v>774</v>
      </c>
      <c r="DN7" s="45">
        <f>VAR(DL4:DL28)</f>
        <v>2034.5833333333333</v>
      </c>
      <c r="DP7" s="65"/>
      <c r="DQ7" s="48" t="s">
        <v>1239</v>
      </c>
      <c r="DR7" s="48">
        <v>101</v>
      </c>
      <c r="DS7" s="48" t="s">
        <v>774</v>
      </c>
      <c r="DT7" s="48">
        <f>VAR(DR4:DR23)</f>
        <v>8171.410526315789</v>
      </c>
      <c r="DV7" s="109"/>
      <c r="DW7" s="48" t="s">
        <v>1258</v>
      </c>
      <c r="DX7" s="48">
        <v>93</v>
      </c>
      <c r="DY7" s="48" t="s">
        <v>774</v>
      </c>
      <c r="DZ7" s="48">
        <f>VAR(DX4:DX13)</f>
        <v>3305.7777777777778</v>
      </c>
      <c r="EB7" s="30" t="s">
        <v>292</v>
      </c>
      <c r="EC7">
        <v>119</v>
      </c>
      <c r="ED7" s="48" t="s">
        <v>774</v>
      </c>
      <c r="EE7">
        <f>VAR(EC4:EC10)</f>
        <v>1987.5714285714275</v>
      </c>
      <c r="EH7" s="30" t="s">
        <v>1275</v>
      </c>
      <c r="EI7">
        <v>170</v>
      </c>
      <c r="EJ7" s="48" t="s">
        <v>774</v>
      </c>
      <c r="EK7">
        <f>VAR(EI4:EI28)</f>
        <v>2574.5233333333331</v>
      </c>
      <c r="EN7" s="30" t="s">
        <v>1276</v>
      </c>
      <c r="EO7">
        <v>171</v>
      </c>
      <c r="EP7" s="48" t="s">
        <v>774</v>
      </c>
      <c r="EQ7">
        <f>VAR(EO4:EO12)</f>
        <v>2518.8611111111113</v>
      </c>
      <c r="ET7" s="30" t="s">
        <v>1306</v>
      </c>
      <c r="EU7">
        <v>136</v>
      </c>
      <c r="EV7" s="48" t="s">
        <v>774</v>
      </c>
      <c r="EW7">
        <f>VAR(EU4:EU19)</f>
        <v>3891.2</v>
      </c>
      <c r="EZ7" s="30" t="s">
        <v>996</v>
      </c>
      <c r="FA7">
        <v>47</v>
      </c>
      <c r="FB7" s="48" t="s">
        <v>774</v>
      </c>
      <c r="FC7">
        <f>VAR(FA4:FA28)</f>
        <v>2622.0733333333333</v>
      </c>
    </row>
    <row r="8" spans="1:159" x14ac:dyDescent="0.25">
      <c r="A8" s="70" t="s">
        <v>1030</v>
      </c>
      <c r="B8">
        <v>83</v>
      </c>
      <c r="C8" s="48" t="s">
        <v>775</v>
      </c>
      <c r="D8">
        <f>AVERAGE(B4:B28)</f>
        <v>221.48</v>
      </c>
      <c r="G8" s="36" t="s">
        <v>944</v>
      </c>
      <c r="H8" s="92">
        <v>102</v>
      </c>
      <c r="I8" s="48" t="s">
        <v>775</v>
      </c>
      <c r="J8" s="48">
        <f>AVERAGE(H4:H12)</f>
        <v>80</v>
      </c>
      <c r="K8" s="48"/>
      <c r="L8" s="90"/>
      <c r="M8" s="93" t="s">
        <v>957</v>
      </c>
      <c r="N8" s="92">
        <v>173</v>
      </c>
      <c r="O8" s="48" t="s">
        <v>775</v>
      </c>
      <c r="P8" s="48">
        <f>AVERAGE(N4:N28)</f>
        <v>86.84</v>
      </c>
      <c r="Q8" s="48"/>
      <c r="R8" s="90"/>
      <c r="S8" s="92" t="s">
        <v>980</v>
      </c>
      <c r="T8" s="92">
        <v>227</v>
      </c>
      <c r="U8" s="45" t="s">
        <v>775</v>
      </c>
      <c r="V8" s="48">
        <f>AVERAGE(T4:T29)</f>
        <v>201.96</v>
      </c>
      <c r="W8" s="48"/>
      <c r="Y8" s="48" t="s">
        <v>1004</v>
      </c>
      <c r="Z8" s="92">
        <v>390</v>
      </c>
      <c r="AA8" s="48" t="s">
        <v>775</v>
      </c>
      <c r="AB8" s="48">
        <f>AVERAGE(Z4:Z28)</f>
        <v>200.84</v>
      </c>
      <c r="AC8" s="48"/>
      <c r="AE8" s="62" t="s">
        <v>760</v>
      </c>
      <c r="AF8">
        <v>92</v>
      </c>
      <c r="AG8" s="45" t="s">
        <v>775</v>
      </c>
      <c r="AH8" s="45">
        <f>AVERAGE(AF4:AF14)</f>
        <v>119.63636363636364</v>
      </c>
      <c r="AI8" s="45"/>
      <c r="AJ8" s="46"/>
      <c r="AK8" s="64" t="s">
        <v>740</v>
      </c>
      <c r="AL8">
        <v>18</v>
      </c>
      <c r="AM8" s="45" t="s">
        <v>775</v>
      </c>
      <c r="AN8" s="45">
        <f>AVERAGE(AL4:AL28)</f>
        <v>172.56</v>
      </c>
      <c r="AO8" s="45"/>
      <c r="AQ8" s="63" t="s">
        <v>647</v>
      </c>
      <c r="AR8">
        <v>90</v>
      </c>
      <c r="AS8" s="45" t="s">
        <v>775</v>
      </c>
      <c r="AT8" s="45">
        <f>AVERAGE(AR4:AR13)</f>
        <v>94.2</v>
      </c>
      <c r="AU8" s="45"/>
      <c r="AW8" t="s">
        <v>656</v>
      </c>
      <c r="AX8">
        <v>44</v>
      </c>
      <c r="AY8" s="45" t="s">
        <v>775</v>
      </c>
      <c r="AZ8" s="45">
        <f>AVERAGE(AX4:AX17)</f>
        <v>50.428571428571431</v>
      </c>
      <c r="BE8" s="45" t="s">
        <v>775</v>
      </c>
      <c r="BF8" s="45">
        <f>AVERAGE(BD4:BD6)</f>
        <v>20</v>
      </c>
      <c r="BH8" s="46"/>
      <c r="BI8" s="63" t="s">
        <v>827</v>
      </c>
      <c r="BJ8">
        <v>170</v>
      </c>
      <c r="BK8" s="45" t="s">
        <v>775</v>
      </c>
      <c r="BL8" s="45">
        <f>AVERAGE(BJ4:BJ9)</f>
        <v>149</v>
      </c>
      <c r="BN8" s="46"/>
      <c r="BO8" s="70" t="s">
        <v>872</v>
      </c>
      <c r="BP8">
        <v>231</v>
      </c>
      <c r="BQ8" s="45" t="s">
        <v>775</v>
      </c>
      <c r="BR8" s="45">
        <f>AVERAGE(BP4:BP28)</f>
        <v>235.04</v>
      </c>
      <c r="BT8" s="46"/>
      <c r="BU8" s="70" t="s">
        <v>680</v>
      </c>
      <c r="BV8">
        <v>138</v>
      </c>
      <c r="BW8" s="45" t="s">
        <v>775</v>
      </c>
      <c r="BX8" s="45">
        <f>AVERAGE(BV4:BV28)</f>
        <v>138.16</v>
      </c>
      <c r="BZ8" s="46"/>
      <c r="CA8" s="70" t="s">
        <v>704</v>
      </c>
      <c r="CB8">
        <v>283</v>
      </c>
      <c r="CC8" s="45" t="s">
        <v>775</v>
      </c>
      <c r="CD8" s="45">
        <f>AVERAGE(CB4:CB30)</f>
        <v>96.16</v>
      </c>
      <c r="CF8" s="65"/>
      <c r="CG8" s="73" t="s">
        <v>292</v>
      </c>
      <c r="CH8">
        <v>334</v>
      </c>
      <c r="CI8" s="45" t="s">
        <v>775</v>
      </c>
      <c r="CJ8" s="45">
        <f>AVERAGE(CH4:CH30)</f>
        <v>162.80769230769232</v>
      </c>
      <c r="CL8" s="65"/>
      <c r="CM8" s="73" t="s">
        <v>352</v>
      </c>
      <c r="CN8">
        <v>199</v>
      </c>
      <c r="CO8" s="45" t="s">
        <v>775</v>
      </c>
      <c r="CP8" s="45">
        <f>AVERAGE(CN4:CN30)</f>
        <v>99.434782608695656</v>
      </c>
      <c r="CR8" s="65"/>
      <c r="CU8" s="45" t="s">
        <v>775</v>
      </c>
      <c r="CV8" s="45">
        <f>AVERAGE(CT4:CT30)</f>
        <v>34.6875</v>
      </c>
      <c r="CX8" s="65"/>
      <c r="CY8" s="73" t="s">
        <v>454</v>
      </c>
      <c r="CZ8">
        <v>67</v>
      </c>
      <c r="DA8" s="45" t="s">
        <v>775</v>
      </c>
      <c r="DB8" s="45">
        <f>AVERAGE(CZ4:CZ30)</f>
        <v>49.9</v>
      </c>
      <c r="DD8" s="65"/>
      <c r="DE8" s="34" t="s">
        <v>487</v>
      </c>
      <c r="DF8">
        <v>181</v>
      </c>
      <c r="DG8" s="45" t="s">
        <v>775</v>
      </c>
      <c r="DH8" s="45">
        <f>AVERAGE(DF4:DF30)</f>
        <v>127.36363636363636</v>
      </c>
      <c r="DJ8" s="65"/>
      <c r="DK8" s="33" t="s">
        <v>522</v>
      </c>
      <c r="DL8">
        <v>160</v>
      </c>
      <c r="DM8" s="45" t="s">
        <v>775</v>
      </c>
      <c r="DN8" s="45">
        <f>AVERAGE(DL4:DL123)</f>
        <v>25.067567567567568</v>
      </c>
      <c r="DP8" s="65"/>
      <c r="DQ8" s="48" t="s">
        <v>1240</v>
      </c>
      <c r="DR8" s="48">
        <v>202</v>
      </c>
      <c r="DS8" s="48" t="s">
        <v>775</v>
      </c>
      <c r="DT8" s="48">
        <f>AVERAGE(DR4:DR23)</f>
        <v>121.6</v>
      </c>
      <c r="DV8" s="109"/>
      <c r="DW8" s="48" t="s">
        <v>1259</v>
      </c>
      <c r="DX8" s="48">
        <v>23</v>
      </c>
      <c r="DY8" s="48" t="s">
        <v>775</v>
      </c>
      <c r="DZ8" s="48">
        <f>AVERAGE(DX4:DX13)</f>
        <v>63</v>
      </c>
      <c r="EB8" s="30" t="s">
        <v>1270</v>
      </c>
      <c r="EC8">
        <v>130</v>
      </c>
      <c r="ED8" s="48" t="s">
        <v>775</v>
      </c>
      <c r="EE8">
        <f>AVERAGE(EC4:EC10)</f>
        <v>110.71428571428571</v>
      </c>
      <c r="EH8" s="30" t="s">
        <v>1276</v>
      </c>
      <c r="EI8">
        <v>157</v>
      </c>
      <c r="EJ8" s="48" t="s">
        <v>775</v>
      </c>
      <c r="EK8">
        <f>AVERAGE(EI4:EI28)</f>
        <v>110.76</v>
      </c>
      <c r="EN8" s="30" t="s">
        <v>1299</v>
      </c>
      <c r="EO8">
        <v>21</v>
      </c>
      <c r="EP8" s="48" t="s">
        <v>775</v>
      </c>
      <c r="EQ8">
        <f>AVERAGE(EO4:EO12)</f>
        <v>111.88888888888889</v>
      </c>
      <c r="ET8" s="30" t="s">
        <v>1307</v>
      </c>
      <c r="EU8">
        <v>195</v>
      </c>
      <c r="EV8" s="48" t="s">
        <v>775</v>
      </c>
      <c r="EW8">
        <f>AVERAGE(EU4:EU19)</f>
        <v>105</v>
      </c>
      <c r="EZ8" s="30" t="s">
        <v>1320</v>
      </c>
      <c r="FA8">
        <v>113</v>
      </c>
      <c r="FB8" s="48" t="s">
        <v>775</v>
      </c>
      <c r="FC8">
        <f>AVERAGE(FA4:FA28)</f>
        <v>61.64</v>
      </c>
    </row>
    <row r="9" spans="1:159" x14ac:dyDescent="0.25">
      <c r="A9" s="70" t="s">
        <v>458</v>
      </c>
      <c r="B9">
        <v>184</v>
      </c>
      <c r="C9" s="48" t="s">
        <v>776</v>
      </c>
      <c r="D9">
        <f>STDEV(B4:B28)</f>
        <v>149.12693698099392</v>
      </c>
      <c r="G9" s="36" t="s">
        <v>945</v>
      </c>
      <c r="H9" s="92">
        <v>69</v>
      </c>
      <c r="I9" s="48" t="s">
        <v>776</v>
      </c>
      <c r="J9" s="48">
        <f>STDEV(H4:H12)</f>
        <v>43.977266854592045</v>
      </c>
      <c r="K9" s="48"/>
      <c r="L9" s="90"/>
      <c r="M9" s="93" t="s">
        <v>958</v>
      </c>
      <c r="N9" s="92">
        <v>43</v>
      </c>
      <c r="O9" s="48" t="s">
        <v>776</v>
      </c>
      <c r="P9" s="48">
        <f>STDEV(N4:N28)</f>
        <v>55.07319372132568</v>
      </c>
      <c r="Q9" s="48"/>
      <c r="R9" s="90"/>
      <c r="S9" s="92" t="s">
        <v>981</v>
      </c>
      <c r="T9" s="92">
        <v>160</v>
      </c>
      <c r="U9" s="45" t="s">
        <v>776</v>
      </c>
      <c r="V9" s="48">
        <f>STDEV(T4:T29)</f>
        <v>160.36195517224982</v>
      </c>
      <c r="W9" s="48"/>
      <c r="Y9" s="48" t="s">
        <v>1005</v>
      </c>
      <c r="Z9" s="92">
        <v>295</v>
      </c>
      <c r="AA9" s="48" t="s">
        <v>776</v>
      </c>
      <c r="AB9" s="48">
        <f>STDEV(Z4:Z28)</f>
        <v>142.70677395741708</v>
      </c>
      <c r="AC9" s="48"/>
      <c r="AE9" s="62" t="s">
        <v>761</v>
      </c>
      <c r="AF9">
        <v>129</v>
      </c>
      <c r="AG9" s="45" t="s">
        <v>776</v>
      </c>
      <c r="AH9" s="45">
        <f>STDEV(AF4:AF14)</f>
        <v>47.998484824570703</v>
      </c>
      <c r="AI9" s="45"/>
      <c r="AJ9" s="46"/>
      <c r="AK9" s="64" t="s">
        <v>741</v>
      </c>
      <c r="AL9">
        <v>241</v>
      </c>
      <c r="AM9" s="45" t="s">
        <v>776</v>
      </c>
      <c r="AN9" s="45">
        <f>STDEV(AL4:AL28)</f>
        <v>197.9520312264228</v>
      </c>
      <c r="AO9" s="45"/>
      <c r="AQ9" s="63" t="s">
        <v>648</v>
      </c>
      <c r="AR9">
        <v>124</v>
      </c>
      <c r="AS9" s="45" t="s">
        <v>776</v>
      </c>
      <c r="AT9" s="45">
        <f>STDEV(AR4:AR13)</f>
        <v>42.79096477840465</v>
      </c>
      <c r="AU9" s="45"/>
      <c r="AW9" t="s">
        <v>657</v>
      </c>
      <c r="AX9">
        <v>29</v>
      </c>
      <c r="AY9" s="45" t="s">
        <v>776</v>
      </c>
      <c r="AZ9" s="45">
        <f>STDEV(AX4:AX17)</f>
        <v>32.407772775427446</v>
      </c>
      <c r="BE9" s="45" t="s">
        <v>776</v>
      </c>
      <c r="BF9" s="45">
        <f>STDEV(BD4:BD6)</f>
        <v>13.856406460551018</v>
      </c>
      <c r="BH9" s="46"/>
      <c r="BI9" s="63" t="s">
        <v>828</v>
      </c>
      <c r="BJ9">
        <v>203</v>
      </c>
      <c r="BK9" s="45" t="s">
        <v>776</v>
      </c>
      <c r="BL9" s="45">
        <f>STDEV(BJ4:BJ9)</f>
        <v>82.301883332035601</v>
      </c>
      <c r="BN9" s="46"/>
      <c r="BO9" s="70" t="s">
        <v>873</v>
      </c>
      <c r="BP9">
        <v>253</v>
      </c>
      <c r="BQ9" s="45" t="s">
        <v>776</v>
      </c>
      <c r="BR9" s="45">
        <f>STDEV(BP4:BP28)</f>
        <v>164.42665031354659</v>
      </c>
      <c r="BT9" s="46"/>
      <c r="BU9" s="70" t="s">
        <v>898</v>
      </c>
      <c r="BV9">
        <v>32</v>
      </c>
      <c r="BW9" s="45" t="s">
        <v>776</v>
      </c>
      <c r="BX9" s="45">
        <f>STDEV(BV4:BV28)</f>
        <v>77.702252219610727</v>
      </c>
      <c r="BZ9" s="46"/>
      <c r="CA9" s="70" t="s">
        <v>900</v>
      </c>
      <c r="CB9">
        <v>0</v>
      </c>
      <c r="CC9" s="45" t="s">
        <v>776</v>
      </c>
      <c r="CD9" s="45">
        <f>STDEV(CB4:CB30)</f>
        <v>76.192563066658067</v>
      </c>
      <c r="CF9" s="65"/>
      <c r="CG9" s="73" t="s">
        <v>293</v>
      </c>
      <c r="CH9">
        <v>145</v>
      </c>
      <c r="CI9" s="45" t="s">
        <v>776</v>
      </c>
      <c r="CJ9" s="45">
        <f>STDEV(CH4:CH30)</f>
        <v>114.74145518713601</v>
      </c>
      <c r="CL9" s="65"/>
      <c r="CM9" s="73" t="s">
        <v>353</v>
      </c>
      <c r="CN9">
        <v>57</v>
      </c>
      <c r="CO9" s="45" t="s">
        <v>776</v>
      </c>
      <c r="CP9" s="45">
        <f>STDEV(CN4:CN30)</f>
        <v>66.415240643419494</v>
      </c>
      <c r="CR9" s="65"/>
      <c r="CU9" s="45" t="s">
        <v>776</v>
      </c>
      <c r="CV9" s="45">
        <f>STDEV(CT4:CT30)</f>
        <v>45.673798104967503</v>
      </c>
      <c r="CX9" s="65"/>
      <c r="CY9" s="73" t="s">
        <v>455</v>
      </c>
      <c r="CZ9">
        <v>15</v>
      </c>
      <c r="DA9" s="45" t="s">
        <v>776</v>
      </c>
      <c r="DB9" s="45">
        <f>STDEV(CZ4:CZ13)</f>
        <v>13.29536260004468</v>
      </c>
      <c r="DD9" s="65"/>
      <c r="DE9" s="34" t="s">
        <v>488</v>
      </c>
      <c r="DF9">
        <v>267</v>
      </c>
      <c r="DG9" s="45" t="s">
        <v>776</v>
      </c>
      <c r="DH9" s="45">
        <f>STDEV(DF4:DF30)</f>
        <v>77.934937899856848</v>
      </c>
      <c r="DJ9" s="65"/>
      <c r="DK9" s="33" t="s">
        <v>523</v>
      </c>
      <c r="DL9">
        <v>116</v>
      </c>
      <c r="DM9" s="45" t="s">
        <v>776</v>
      </c>
      <c r="DN9" s="45">
        <f>STDEV(DL4:DL123)</f>
        <v>43.557655408517491</v>
      </c>
      <c r="DP9" s="65"/>
      <c r="DQ9" s="48" t="s">
        <v>1241</v>
      </c>
      <c r="DR9" s="48">
        <v>15</v>
      </c>
      <c r="DS9" s="48" t="s">
        <v>776</v>
      </c>
      <c r="DT9" s="48">
        <f>STDEV(DR4:DR23)</f>
        <v>90.395854585903379</v>
      </c>
      <c r="DV9" s="109"/>
      <c r="DW9" s="48" t="s">
        <v>1260</v>
      </c>
      <c r="DX9" s="48">
        <v>65</v>
      </c>
      <c r="DY9" s="48" t="s">
        <v>776</v>
      </c>
      <c r="DZ9" s="48">
        <f>STDEV(DX4:DX13)</f>
        <v>57.495893573174229</v>
      </c>
      <c r="EB9" s="30" t="s">
        <v>1271</v>
      </c>
      <c r="EC9">
        <v>96</v>
      </c>
      <c r="ED9" s="48" t="s">
        <v>776</v>
      </c>
      <c r="EE9">
        <f>STDEV(EC4:EC10)</f>
        <v>44.582187346197223</v>
      </c>
      <c r="EH9" s="30" t="s">
        <v>1277</v>
      </c>
      <c r="EI9">
        <v>68</v>
      </c>
      <c r="EJ9" s="48" t="s">
        <v>776</v>
      </c>
      <c r="EK9">
        <f>STDEV(EI4:EI28)</f>
        <v>50.73976087185801</v>
      </c>
      <c r="EN9" s="30" t="s">
        <v>355</v>
      </c>
      <c r="EO9">
        <v>108</v>
      </c>
      <c r="EP9" s="48" t="s">
        <v>776</v>
      </c>
      <c r="EQ9">
        <f>STDEV(EO4:EO12)</f>
        <v>50.188256705240434</v>
      </c>
      <c r="ET9" s="30" t="s">
        <v>1308</v>
      </c>
      <c r="EU9">
        <v>181</v>
      </c>
      <c r="EV9" s="48" t="s">
        <v>776</v>
      </c>
      <c r="EW9">
        <f>STDEV(EU4:EU19)</f>
        <v>62.379483806777365</v>
      </c>
      <c r="EZ9" s="30" t="s">
        <v>1321</v>
      </c>
      <c r="FA9">
        <v>29</v>
      </c>
      <c r="FB9" s="48" t="s">
        <v>776</v>
      </c>
      <c r="FC9">
        <f>STDEV(FA4:FA28)</f>
        <v>51.206184522314622</v>
      </c>
    </row>
    <row r="10" spans="1:159" x14ac:dyDescent="0.25">
      <c r="A10" s="70" t="s">
        <v>1031</v>
      </c>
      <c r="B10">
        <v>207</v>
      </c>
      <c r="G10" s="36" t="s">
        <v>946</v>
      </c>
      <c r="H10" s="92">
        <v>25</v>
      </c>
      <c r="I10" s="48"/>
      <c r="J10" s="48"/>
      <c r="K10" s="48"/>
      <c r="L10" s="90"/>
      <c r="M10" s="93" t="s">
        <v>959</v>
      </c>
      <c r="N10" s="92">
        <v>97</v>
      </c>
      <c r="O10" s="48"/>
      <c r="P10" s="48"/>
      <c r="Q10" s="48"/>
      <c r="R10" s="90"/>
      <c r="S10" s="92" t="s">
        <v>982</v>
      </c>
      <c r="T10" s="92">
        <v>58</v>
      </c>
      <c r="U10" s="48"/>
      <c r="V10" s="48"/>
      <c r="W10" s="48"/>
      <c r="Y10" s="48" t="s">
        <v>1006</v>
      </c>
      <c r="Z10" s="92">
        <v>47</v>
      </c>
      <c r="AA10" s="48"/>
      <c r="AB10" s="48"/>
      <c r="AC10" s="48"/>
      <c r="AE10" s="62" t="s">
        <v>762</v>
      </c>
      <c r="AF10">
        <v>194</v>
      </c>
      <c r="AG10" s="45"/>
      <c r="AH10" s="45"/>
      <c r="AI10" s="45"/>
      <c r="AJ10" s="46"/>
      <c r="AK10" s="64" t="s">
        <v>742</v>
      </c>
      <c r="AL10">
        <v>261</v>
      </c>
      <c r="AM10" s="45"/>
      <c r="AN10" s="45"/>
      <c r="AO10" s="45"/>
      <c r="AQ10" s="63" t="s">
        <v>649</v>
      </c>
      <c r="AR10">
        <v>164</v>
      </c>
      <c r="AS10" s="45"/>
      <c r="AT10" s="45"/>
      <c r="AU10" s="45"/>
      <c r="AW10" t="s">
        <v>658</v>
      </c>
      <c r="AX10">
        <v>44</v>
      </c>
      <c r="AY10" s="45"/>
      <c r="AZ10" s="45"/>
      <c r="BE10" s="45"/>
      <c r="BF10" s="45"/>
      <c r="BH10" s="46"/>
      <c r="BI10" s="63"/>
      <c r="BK10" s="45"/>
      <c r="BL10" s="45"/>
      <c r="BN10" s="46"/>
      <c r="BO10" s="70" t="s">
        <v>874</v>
      </c>
      <c r="BP10">
        <v>309</v>
      </c>
      <c r="BQ10" s="45"/>
      <c r="BR10" s="45"/>
      <c r="BT10" s="46"/>
      <c r="BU10" s="70" t="s">
        <v>682</v>
      </c>
      <c r="BV10">
        <v>49</v>
      </c>
      <c r="BW10" s="45"/>
      <c r="BX10" s="45"/>
      <c r="BZ10" s="46"/>
      <c r="CA10" s="70" t="s">
        <v>705</v>
      </c>
      <c r="CB10">
        <v>6</v>
      </c>
      <c r="CC10" s="45"/>
      <c r="CD10" s="45"/>
      <c r="CF10" s="65"/>
      <c r="CG10" s="73" t="s">
        <v>294</v>
      </c>
      <c r="CH10">
        <v>342</v>
      </c>
      <c r="CL10" s="65"/>
      <c r="CM10" s="73" t="s">
        <v>354</v>
      </c>
      <c r="CN10">
        <v>144</v>
      </c>
      <c r="CR10" s="65"/>
      <c r="CX10" s="65"/>
      <c r="CY10" s="73" t="s">
        <v>456</v>
      </c>
      <c r="CZ10">
        <v>51</v>
      </c>
      <c r="DD10" s="65"/>
      <c r="DE10" s="33" t="s">
        <v>489</v>
      </c>
      <c r="DF10">
        <v>172</v>
      </c>
      <c r="DJ10" s="65"/>
      <c r="DK10" s="33" t="s">
        <v>524</v>
      </c>
      <c r="DL10">
        <v>62</v>
      </c>
      <c r="DP10" s="65"/>
      <c r="DQ10" s="48" t="s">
        <v>999</v>
      </c>
      <c r="DR10" s="48">
        <v>235</v>
      </c>
      <c r="DS10" s="48"/>
      <c r="DT10" s="48"/>
      <c r="DV10" s="109"/>
      <c r="DW10" s="48" t="s">
        <v>1262</v>
      </c>
      <c r="DX10" s="48">
        <v>24</v>
      </c>
      <c r="DY10" s="48"/>
      <c r="DZ10" s="48"/>
      <c r="EB10" s="30" t="s">
        <v>1272</v>
      </c>
      <c r="EC10">
        <v>41</v>
      </c>
      <c r="EH10" s="30" t="s">
        <v>1278</v>
      </c>
      <c r="EI10">
        <v>126</v>
      </c>
      <c r="EN10" s="30" t="s">
        <v>1300</v>
      </c>
      <c r="EO10">
        <v>161</v>
      </c>
      <c r="ET10" s="30" t="s">
        <v>1309</v>
      </c>
      <c r="EU10">
        <v>113</v>
      </c>
      <c r="EZ10" s="30" t="s">
        <v>455</v>
      </c>
      <c r="FA10">
        <v>19</v>
      </c>
    </row>
    <row r="11" spans="1:159" x14ac:dyDescent="0.25">
      <c r="A11" s="70" t="s">
        <v>1032</v>
      </c>
      <c r="B11">
        <v>18</v>
      </c>
      <c r="G11" s="36" t="s">
        <v>947</v>
      </c>
      <c r="H11" s="92">
        <v>56</v>
      </c>
      <c r="I11" s="48"/>
      <c r="J11" s="48"/>
      <c r="K11" s="48"/>
      <c r="L11" s="90"/>
      <c r="M11" s="93" t="s">
        <v>960</v>
      </c>
      <c r="N11" s="92">
        <v>127</v>
      </c>
      <c r="O11" s="48"/>
      <c r="P11" s="48"/>
      <c r="Q11" s="48"/>
      <c r="R11" s="90"/>
      <c r="S11" s="92" t="s">
        <v>983</v>
      </c>
      <c r="T11" s="92">
        <v>394</v>
      </c>
      <c r="U11" s="48"/>
      <c r="V11" s="48"/>
      <c r="W11" s="48"/>
      <c r="Y11" s="48" t="s">
        <v>1007</v>
      </c>
      <c r="Z11" s="92">
        <v>304</v>
      </c>
      <c r="AA11" s="48"/>
      <c r="AB11" s="48"/>
      <c r="AC11" s="48"/>
      <c r="AE11" s="62" t="s">
        <v>292</v>
      </c>
      <c r="AF11">
        <v>158</v>
      </c>
      <c r="AG11" s="45"/>
      <c r="AH11" s="45"/>
      <c r="AI11" s="45"/>
      <c r="AJ11" s="46"/>
      <c r="AK11" s="64" t="s">
        <v>743</v>
      </c>
      <c r="AL11">
        <v>103</v>
      </c>
      <c r="AM11" s="45"/>
      <c r="AN11" s="45"/>
      <c r="AO11" s="45"/>
      <c r="AQ11" s="63" t="s">
        <v>405</v>
      </c>
      <c r="AR11">
        <v>100</v>
      </c>
      <c r="AS11" s="45"/>
      <c r="AT11" s="45"/>
      <c r="AU11" s="45"/>
      <c r="AW11" t="s">
        <v>659</v>
      </c>
      <c r="AX11">
        <v>103</v>
      </c>
      <c r="AY11" s="45"/>
      <c r="AZ11" s="45"/>
      <c r="BE11" s="45"/>
      <c r="BF11" s="45"/>
      <c r="BH11" s="46"/>
      <c r="BI11" s="63"/>
      <c r="BK11" s="45"/>
      <c r="BL11" s="45"/>
      <c r="BN11" s="46"/>
      <c r="BO11" s="70" t="s">
        <v>875</v>
      </c>
      <c r="BP11">
        <v>338</v>
      </c>
      <c r="BQ11" s="45"/>
      <c r="BR11" s="45"/>
      <c r="BT11" s="46"/>
      <c r="BU11" s="70" t="s">
        <v>683</v>
      </c>
      <c r="BV11">
        <v>85</v>
      </c>
      <c r="BW11" s="45"/>
      <c r="BX11" s="45"/>
      <c r="BZ11" s="46"/>
      <c r="CA11" s="70" t="s">
        <v>901</v>
      </c>
      <c r="CB11">
        <v>109</v>
      </c>
      <c r="CC11" s="45"/>
      <c r="CD11" s="45"/>
      <c r="CF11" s="65"/>
      <c r="CG11" s="73" t="s">
        <v>295</v>
      </c>
      <c r="CH11">
        <v>273</v>
      </c>
      <c r="CL11" s="65"/>
      <c r="CM11" s="73" t="s">
        <v>355</v>
      </c>
      <c r="CN11">
        <v>204</v>
      </c>
      <c r="CR11" s="65"/>
      <c r="CX11" s="65"/>
      <c r="CY11" s="73" t="s">
        <v>457</v>
      </c>
      <c r="CZ11">
        <v>51</v>
      </c>
      <c r="DD11" s="65"/>
      <c r="DE11" s="33" t="s">
        <v>490</v>
      </c>
      <c r="DF11">
        <v>112</v>
      </c>
      <c r="DJ11" s="65"/>
      <c r="DK11" s="33" t="s">
        <v>525</v>
      </c>
      <c r="DL11">
        <v>53</v>
      </c>
      <c r="DP11" s="65"/>
      <c r="DQ11" s="48" t="s">
        <v>1242</v>
      </c>
      <c r="DR11" s="48">
        <v>333</v>
      </c>
      <c r="DS11" s="48"/>
      <c r="DT11" s="48"/>
      <c r="DV11" s="109"/>
      <c r="DW11" s="48" t="s">
        <v>975</v>
      </c>
      <c r="DX11" s="48">
        <v>31</v>
      </c>
      <c r="DY11" s="48"/>
      <c r="DZ11" s="48"/>
      <c r="EH11" s="30" t="s">
        <v>1279</v>
      </c>
      <c r="EI11">
        <v>172</v>
      </c>
      <c r="EN11" s="30" t="s">
        <v>1301</v>
      </c>
      <c r="EO11">
        <v>100</v>
      </c>
      <c r="ET11" s="30" t="s">
        <v>1310</v>
      </c>
      <c r="EU11">
        <v>19</v>
      </c>
      <c r="EZ11" s="30" t="s">
        <v>1322</v>
      </c>
      <c r="FA11">
        <v>79</v>
      </c>
    </row>
    <row r="12" spans="1:159" x14ac:dyDescent="0.25">
      <c r="A12" s="70" t="s">
        <v>1033</v>
      </c>
      <c r="B12">
        <v>95</v>
      </c>
      <c r="G12" s="36" t="s">
        <v>948</v>
      </c>
      <c r="H12" s="92">
        <v>42</v>
      </c>
      <c r="I12" s="48"/>
      <c r="J12" s="48"/>
      <c r="K12" s="48"/>
      <c r="L12" s="90"/>
      <c r="M12" s="93" t="s">
        <v>961</v>
      </c>
      <c r="N12" s="92">
        <v>134</v>
      </c>
      <c r="O12" s="48"/>
      <c r="P12" s="48"/>
      <c r="Q12" s="48"/>
      <c r="R12" s="90"/>
      <c r="S12" s="93" t="s">
        <v>984</v>
      </c>
      <c r="T12" s="92">
        <v>407</v>
      </c>
      <c r="U12" s="48"/>
      <c r="V12" s="48"/>
      <c r="W12" s="48"/>
      <c r="Y12" s="48" t="s">
        <v>685</v>
      </c>
      <c r="Z12" s="92">
        <v>266</v>
      </c>
      <c r="AA12" s="48"/>
      <c r="AB12" s="48"/>
      <c r="AC12" s="48"/>
      <c r="AE12" s="62" t="s">
        <v>763</v>
      </c>
      <c r="AF12">
        <v>126</v>
      </c>
      <c r="AG12" s="45"/>
      <c r="AH12" s="45"/>
      <c r="AI12" s="45"/>
      <c r="AJ12" s="46"/>
      <c r="AK12" s="64" t="s">
        <v>644</v>
      </c>
      <c r="AL12">
        <v>7</v>
      </c>
      <c r="AM12" s="45"/>
      <c r="AN12" s="45"/>
      <c r="AO12" s="45"/>
      <c r="AQ12" s="63" t="s">
        <v>650</v>
      </c>
      <c r="AR12">
        <v>69</v>
      </c>
      <c r="AS12" s="45"/>
      <c r="AT12" s="45"/>
      <c r="AU12" s="45"/>
      <c r="AW12" t="s">
        <v>660</v>
      </c>
      <c r="AX12">
        <v>55</v>
      </c>
      <c r="AY12" s="45"/>
      <c r="AZ12" s="45"/>
      <c r="BC12" s="31" t="s">
        <v>667</v>
      </c>
      <c r="BD12" t="s">
        <v>344</v>
      </c>
      <c r="BE12" s="45" t="s">
        <v>769</v>
      </c>
      <c r="BF12" s="45" t="s">
        <v>770</v>
      </c>
      <c r="BH12" s="46"/>
      <c r="BI12" s="31" t="s">
        <v>667</v>
      </c>
      <c r="BJ12" t="s">
        <v>344</v>
      </c>
      <c r="BK12" s="45" t="s">
        <v>769</v>
      </c>
      <c r="BL12" s="45" t="s">
        <v>770</v>
      </c>
      <c r="BN12" s="46"/>
      <c r="BO12" s="70" t="s">
        <v>876</v>
      </c>
      <c r="BP12">
        <v>321</v>
      </c>
      <c r="BQ12" s="45"/>
      <c r="BR12" s="45"/>
      <c r="BT12" s="46"/>
      <c r="BU12" s="70" t="s">
        <v>684</v>
      </c>
      <c r="BV12">
        <v>212</v>
      </c>
      <c r="BW12" s="45"/>
      <c r="BX12" s="45"/>
      <c r="BZ12" s="46"/>
      <c r="CA12" s="70" t="s">
        <v>902</v>
      </c>
      <c r="CB12">
        <v>136</v>
      </c>
      <c r="CC12" s="45"/>
      <c r="CD12" s="45"/>
      <c r="CF12" s="65"/>
      <c r="CG12" s="73" t="s">
        <v>296</v>
      </c>
      <c r="CH12">
        <v>275</v>
      </c>
      <c r="CL12" s="65"/>
      <c r="CM12" s="73" t="s">
        <v>356</v>
      </c>
      <c r="CN12">
        <v>26</v>
      </c>
      <c r="CR12" s="65"/>
      <c r="CS12" s="31" t="s">
        <v>925</v>
      </c>
      <c r="CX12" s="65"/>
      <c r="CY12" s="73" t="s">
        <v>458</v>
      </c>
      <c r="CZ12">
        <v>52</v>
      </c>
      <c r="DD12" s="65"/>
      <c r="DE12" s="33" t="s">
        <v>491</v>
      </c>
      <c r="DF12">
        <v>213</v>
      </c>
      <c r="DJ12" s="65"/>
      <c r="DK12" s="33" t="s">
        <v>526</v>
      </c>
      <c r="DL12">
        <v>130</v>
      </c>
      <c r="DP12" s="65"/>
      <c r="DQ12" s="48" t="s">
        <v>1243</v>
      </c>
      <c r="DR12" s="48">
        <v>42</v>
      </c>
      <c r="DS12" s="48"/>
      <c r="DT12" s="48"/>
      <c r="DV12" s="109"/>
      <c r="DW12" s="48" t="s">
        <v>1263</v>
      </c>
      <c r="DX12" s="48">
        <v>41</v>
      </c>
      <c r="DY12" s="48"/>
      <c r="DZ12" s="48"/>
      <c r="EH12" s="30" t="s">
        <v>1280</v>
      </c>
      <c r="EI12">
        <v>185</v>
      </c>
      <c r="EN12" s="30" t="s">
        <v>1302</v>
      </c>
      <c r="EO12">
        <v>48</v>
      </c>
      <c r="ET12" s="30" t="s">
        <v>1264</v>
      </c>
      <c r="EU12">
        <v>136</v>
      </c>
      <c r="EZ12" s="30" t="s">
        <v>1323</v>
      </c>
      <c r="FA12">
        <v>120</v>
      </c>
    </row>
    <row r="13" spans="1:159" x14ac:dyDescent="0.25">
      <c r="A13" s="70" t="s">
        <v>1034</v>
      </c>
      <c r="B13">
        <v>225</v>
      </c>
      <c r="G13" s="82"/>
      <c r="H13" s="131" t="s">
        <v>667</v>
      </c>
      <c r="I13" s="131"/>
      <c r="J13" s="90"/>
      <c r="K13" s="90"/>
      <c r="L13" s="90"/>
      <c r="M13" s="93" t="s">
        <v>962</v>
      </c>
      <c r="N13" s="92">
        <v>95</v>
      </c>
      <c r="O13" s="48"/>
      <c r="P13" s="48"/>
      <c r="Q13" s="48"/>
      <c r="R13" s="90"/>
      <c r="S13" s="93" t="s">
        <v>985</v>
      </c>
      <c r="T13" s="92">
        <v>381</v>
      </c>
      <c r="U13" s="48"/>
      <c r="V13" s="48"/>
      <c r="W13" s="48"/>
      <c r="Y13" s="48" t="s">
        <v>686</v>
      </c>
      <c r="Z13" s="92">
        <v>260</v>
      </c>
      <c r="AA13" s="48"/>
      <c r="AB13" s="48"/>
      <c r="AC13" s="48"/>
      <c r="AE13" s="62" t="s">
        <v>764</v>
      </c>
      <c r="AF13">
        <v>156</v>
      </c>
      <c r="AG13" s="45"/>
      <c r="AH13" s="45"/>
      <c r="AI13" s="45"/>
      <c r="AJ13" s="46"/>
      <c r="AK13" s="64" t="s">
        <v>744</v>
      </c>
      <c r="AL13">
        <v>101</v>
      </c>
      <c r="AM13" s="45"/>
      <c r="AN13" s="45"/>
      <c r="AO13" s="45"/>
      <c r="AQ13" s="63" t="s">
        <v>651</v>
      </c>
      <c r="AR13">
        <v>22</v>
      </c>
      <c r="AS13" s="45"/>
      <c r="AT13" s="45"/>
      <c r="AU13" s="45"/>
      <c r="AW13" t="s">
        <v>661</v>
      </c>
      <c r="AX13">
        <v>87</v>
      </c>
      <c r="AY13" s="45"/>
      <c r="AZ13" s="45"/>
      <c r="BC13" s="63" t="s">
        <v>655</v>
      </c>
      <c r="BD13">
        <v>110</v>
      </c>
      <c r="BE13" s="45" t="s">
        <v>771</v>
      </c>
      <c r="BF13" s="45">
        <f>SUM(BD13:BD34)</f>
        <v>2258</v>
      </c>
      <c r="BH13" s="46"/>
      <c r="BI13" s="63" t="s">
        <v>450</v>
      </c>
      <c r="BJ13">
        <v>229</v>
      </c>
      <c r="BK13" s="45" t="s">
        <v>771</v>
      </c>
      <c r="BL13" s="45">
        <f>SUM(BJ13:BJ27)</f>
        <v>3310</v>
      </c>
      <c r="BN13" s="46"/>
      <c r="BO13" s="70" t="s">
        <v>877</v>
      </c>
      <c r="BP13">
        <v>110</v>
      </c>
      <c r="BQ13" s="45"/>
      <c r="BR13" s="45"/>
      <c r="BT13" s="46"/>
      <c r="BU13" s="70" t="s">
        <v>685</v>
      </c>
      <c r="BV13">
        <v>260</v>
      </c>
      <c r="BW13" s="45"/>
      <c r="BX13" s="45"/>
      <c r="BZ13" s="46"/>
      <c r="CA13" s="70" t="s">
        <v>903</v>
      </c>
      <c r="CB13">
        <v>88</v>
      </c>
      <c r="CC13" s="45"/>
      <c r="CD13" s="45"/>
      <c r="CF13" s="65"/>
      <c r="CG13" s="73" t="s">
        <v>297</v>
      </c>
      <c r="CH13">
        <v>246</v>
      </c>
      <c r="CL13" s="65"/>
      <c r="CM13" s="73" t="s">
        <v>357</v>
      </c>
      <c r="CN13">
        <v>136</v>
      </c>
      <c r="CR13" s="65"/>
      <c r="CS13" s="45" t="s">
        <v>768</v>
      </c>
      <c r="CT13" s="45" t="s">
        <v>344</v>
      </c>
      <c r="CU13" s="45" t="s">
        <v>769</v>
      </c>
      <c r="CV13" s="45" t="s">
        <v>770</v>
      </c>
      <c r="CX13" s="65"/>
      <c r="CY13" s="73" t="s">
        <v>459</v>
      </c>
      <c r="CZ13">
        <v>55</v>
      </c>
      <c r="DD13" s="65"/>
      <c r="DE13" s="33" t="s">
        <v>492</v>
      </c>
      <c r="DF13">
        <v>129</v>
      </c>
      <c r="DJ13" s="65"/>
      <c r="DK13" s="33" t="s">
        <v>527</v>
      </c>
      <c r="DL13">
        <v>32</v>
      </c>
      <c r="DP13" s="65"/>
      <c r="DQ13" s="48" t="s">
        <v>1244</v>
      </c>
      <c r="DR13" s="48">
        <v>148</v>
      </c>
      <c r="DS13" s="48"/>
      <c r="DT13" s="48"/>
      <c r="DV13" s="109"/>
      <c r="DW13" s="48" t="s">
        <v>1264</v>
      </c>
      <c r="DX13" s="48">
        <v>4</v>
      </c>
      <c r="DY13" s="48"/>
      <c r="DZ13" s="48"/>
      <c r="EH13" s="30" t="s">
        <v>1281</v>
      </c>
      <c r="EI13">
        <v>100</v>
      </c>
      <c r="ET13" s="30" t="s">
        <v>1311</v>
      </c>
      <c r="EU13">
        <v>70</v>
      </c>
      <c r="EZ13" s="30" t="s">
        <v>1324</v>
      </c>
      <c r="FA13">
        <v>55</v>
      </c>
    </row>
    <row r="14" spans="1:159" x14ac:dyDescent="0.25">
      <c r="A14" s="70" t="s">
        <v>685</v>
      </c>
      <c r="B14">
        <v>108</v>
      </c>
      <c r="G14" s="36" t="s">
        <v>949</v>
      </c>
      <c r="H14" s="92">
        <v>142</v>
      </c>
      <c r="I14" s="48" t="s">
        <v>769</v>
      </c>
      <c r="J14" s="48" t="s">
        <v>770</v>
      </c>
      <c r="K14" s="48"/>
      <c r="L14" s="90"/>
      <c r="M14" s="93" t="s">
        <v>963</v>
      </c>
      <c r="N14" s="92">
        <v>47</v>
      </c>
      <c r="O14" s="48"/>
      <c r="P14" s="48"/>
      <c r="Q14" s="48"/>
      <c r="R14" s="90"/>
      <c r="S14" s="93" t="s">
        <v>986</v>
      </c>
      <c r="T14" s="92">
        <v>350</v>
      </c>
      <c r="U14" s="48"/>
      <c r="V14" s="48"/>
      <c r="W14" s="48"/>
      <c r="Y14" s="48" t="s">
        <v>1008</v>
      </c>
      <c r="Z14" s="92">
        <v>460</v>
      </c>
      <c r="AA14" s="48"/>
      <c r="AB14" s="48"/>
      <c r="AC14" s="48"/>
      <c r="AE14" s="62" t="s">
        <v>765</v>
      </c>
      <c r="AF14">
        <v>141</v>
      </c>
      <c r="AG14" s="45"/>
      <c r="AH14" s="45"/>
      <c r="AI14" s="45"/>
      <c r="AJ14" s="46"/>
      <c r="AK14" s="64" t="s">
        <v>745</v>
      </c>
      <c r="AL14">
        <v>20</v>
      </c>
      <c r="AM14" s="45"/>
      <c r="AN14" s="45"/>
      <c r="AO14" s="45"/>
      <c r="AQ14" s="63"/>
      <c r="AS14" s="45"/>
      <c r="AT14" s="45"/>
      <c r="AU14" s="45"/>
      <c r="AW14" t="s">
        <v>662</v>
      </c>
      <c r="AX14">
        <v>67</v>
      </c>
      <c r="AY14" s="45"/>
      <c r="AZ14" s="45"/>
      <c r="BC14" s="63" t="s">
        <v>719</v>
      </c>
      <c r="BD14">
        <v>64</v>
      </c>
      <c r="BE14" s="45" t="s">
        <v>772</v>
      </c>
      <c r="BF14" s="45">
        <f>MIN(BD13:BD34)</f>
        <v>6</v>
      </c>
      <c r="BH14" s="46"/>
      <c r="BI14" s="63" t="s">
        <v>829</v>
      </c>
      <c r="BJ14">
        <v>191</v>
      </c>
      <c r="BK14" s="45" t="s">
        <v>772</v>
      </c>
      <c r="BL14" s="45">
        <f>MIN(BJ13:BJ27)</f>
        <v>25</v>
      </c>
      <c r="BN14" s="46"/>
      <c r="BO14" s="70" t="s">
        <v>878</v>
      </c>
      <c r="BP14">
        <v>59</v>
      </c>
      <c r="BQ14" s="45"/>
      <c r="BR14" s="45"/>
      <c r="BT14" s="46"/>
      <c r="BU14" s="70" t="s">
        <v>686</v>
      </c>
      <c r="BV14">
        <v>314</v>
      </c>
      <c r="BW14" s="45"/>
      <c r="BX14" s="45"/>
      <c r="BZ14" s="46"/>
      <c r="CA14" s="70" t="s">
        <v>904</v>
      </c>
      <c r="CB14">
        <v>250</v>
      </c>
      <c r="CC14" s="45"/>
      <c r="CD14" s="45"/>
      <c r="CF14" s="65"/>
      <c r="CG14" s="73" t="s">
        <v>298</v>
      </c>
      <c r="CH14">
        <v>114</v>
      </c>
      <c r="CL14" s="65"/>
      <c r="CM14" s="73" t="s">
        <v>358</v>
      </c>
      <c r="CN14">
        <v>154</v>
      </c>
      <c r="CR14" s="65"/>
      <c r="CS14" s="73" t="s">
        <v>596</v>
      </c>
      <c r="CT14">
        <v>13</v>
      </c>
      <c r="CU14" s="45" t="s">
        <v>771</v>
      </c>
      <c r="CV14" s="45">
        <f>SUM(CT14:CT40)</f>
        <v>1574</v>
      </c>
      <c r="CX14" s="65"/>
      <c r="CY14" s="73"/>
      <c r="DD14" s="65"/>
      <c r="DE14" s="33" t="s">
        <v>493</v>
      </c>
      <c r="DF14">
        <v>63</v>
      </c>
      <c r="DJ14" s="65"/>
      <c r="DK14" s="33" t="s">
        <v>528</v>
      </c>
      <c r="DL14">
        <v>68</v>
      </c>
      <c r="DP14" s="65"/>
      <c r="DQ14" s="48" t="s">
        <v>1245</v>
      </c>
      <c r="DR14" s="48">
        <v>212</v>
      </c>
      <c r="DS14" s="48"/>
      <c r="DT14" s="48"/>
      <c r="DV14" s="109"/>
      <c r="EH14" s="30" t="s">
        <v>1282</v>
      </c>
      <c r="EI14">
        <v>66</v>
      </c>
      <c r="ET14" s="30" t="s">
        <v>1312</v>
      </c>
      <c r="EU14">
        <v>130</v>
      </c>
      <c r="EZ14" s="30" t="s">
        <v>1325</v>
      </c>
      <c r="FA14">
        <v>124</v>
      </c>
    </row>
    <row r="15" spans="1:159" x14ac:dyDescent="0.25">
      <c r="A15" s="70" t="s">
        <v>1035</v>
      </c>
      <c r="B15">
        <v>532</v>
      </c>
      <c r="G15" s="36" t="s">
        <v>950</v>
      </c>
      <c r="H15" s="92">
        <v>2</v>
      </c>
      <c r="I15" s="48" t="s">
        <v>771</v>
      </c>
      <c r="J15" s="48">
        <f>SUM(H15:H29)</f>
        <v>44</v>
      </c>
      <c r="K15" s="48"/>
      <c r="L15" s="90"/>
      <c r="M15" s="93" t="s">
        <v>964</v>
      </c>
      <c r="N15" s="92">
        <v>1</v>
      </c>
      <c r="O15" s="48"/>
      <c r="P15" s="48"/>
      <c r="Q15" s="48"/>
      <c r="R15" s="90"/>
      <c r="S15" s="93" t="s">
        <v>987</v>
      </c>
      <c r="T15" s="92">
        <v>406</v>
      </c>
      <c r="U15" s="48"/>
      <c r="V15" s="48"/>
      <c r="W15" s="48"/>
      <c r="Y15" s="48" t="s">
        <v>1009</v>
      </c>
      <c r="Z15" s="92">
        <v>196</v>
      </c>
      <c r="AA15" s="48"/>
      <c r="AB15" s="48"/>
      <c r="AC15" s="48"/>
      <c r="AE15" s="62"/>
      <c r="AG15" s="45"/>
      <c r="AH15" s="45"/>
      <c r="AI15" s="45"/>
      <c r="AJ15" s="46"/>
      <c r="AK15" s="64" t="s">
        <v>746</v>
      </c>
      <c r="AL15">
        <v>3</v>
      </c>
      <c r="AM15" s="45"/>
      <c r="AN15" s="45"/>
      <c r="AO15" s="45"/>
      <c r="AS15" s="45"/>
      <c r="AT15" s="45"/>
      <c r="AU15" s="45"/>
      <c r="AW15" t="s">
        <v>663</v>
      </c>
      <c r="AX15">
        <v>54</v>
      </c>
      <c r="AY15" s="45"/>
      <c r="AZ15" s="45"/>
      <c r="BC15" s="63" t="s">
        <v>720</v>
      </c>
      <c r="BD15">
        <v>29</v>
      </c>
      <c r="BE15" s="45" t="s">
        <v>773</v>
      </c>
      <c r="BF15" s="45">
        <f>MAX(BD13:BD34)</f>
        <v>304</v>
      </c>
      <c r="BH15" s="46"/>
      <c r="BI15" s="63" t="s">
        <v>830</v>
      </c>
      <c r="BJ15">
        <v>171</v>
      </c>
      <c r="BK15" s="45" t="s">
        <v>773</v>
      </c>
      <c r="BL15" s="45">
        <f>MAX(BJ13:BJ27)</f>
        <v>405</v>
      </c>
      <c r="BN15" s="46"/>
      <c r="BO15" s="70" t="s">
        <v>879</v>
      </c>
      <c r="BP15">
        <v>113</v>
      </c>
      <c r="BQ15" s="45"/>
      <c r="BR15" s="45"/>
      <c r="BT15" s="46"/>
      <c r="BU15" s="70" t="s">
        <v>687</v>
      </c>
      <c r="BV15">
        <v>193</v>
      </c>
      <c r="BW15" s="45"/>
      <c r="BX15" s="45"/>
      <c r="BZ15" s="46"/>
      <c r="CA15" s="70" t="s">
        <v>905</v>
      </c>
      <c r="CB15">
        <v>113</v>
      </c>
      <c r="CC15" s="45"/>
      <c r="CD15" s="45"/>
      <c r="CF15" s="65"/>
      <c r="CG15" s="73" t="s">
        <v>299</v>
      </c>
      <c r="CH15">
        <v>222</v>
      </c>
      <c r="CL15" s="65"/>
      <c r="CM15" s="73" t="s">
        <v>359</v>
      </c>
      <c r="CN15">
        <v>152</v>
      </c>
      <c r="CR15" s="65"/>
      <c r="CS15" s="73" t="s">
        <v>597</v>
      </c>
      <c r="CT15">
        <v>11</v>
      </c>
      <c r="CU15" s="45" t="s">
        <v>772</v>
      </c>
      <c r="CV15" s="45">
        <f>MIN(CT14:CT40)</f>
        <v>3</v>
      </c>
      <c r="CX15" s="65"/>
      <c r="CY15" s="73"/>
      <c r="DD15" s="65"/>
      <c r="DJ15" s="65"/>
      <c r="DK15" s="33" t="s">
        <v>529</v>
      </c>
      <c r="DL15">
        <v>54</v>
      </c>
      <c r="DP15" s="65"/>
      <c r="DQ15" s="48" t="s">
        <v>1246</v>
      </c>
      <c r="DR15" s="48">
        <v>165</v>
      </c>
      <c r="DS15" s="48"/>
      <c r="DT15" s="48"/>
      <c r="DV15" s="109"/>
      <c r="EH15" s="30" t="s">
        <v>1283</v>
      </c>
      <c r="EI15">
        <v>126</v>
      </c>
      <c r="ET15" s="30" t="s">
        <v>1313</v>
      </c>
      <c r="EU15">
        <v>15</v>
      </c>
      <c r="EZ15" s="30" t="s">
        <v>1326</v>
      </c>
      <c r="FA15">
        <v>14</v>
      </c>
    </row>
    <row r="16" spans="1:159" x14ac:dyDescent="0.25">
      <c r="A16" s="70" t="s">
        <v>1036</v>
      </c>
      <c r="B16">
        <v>384</v>
      </c>
      <c r="G16" s="36" t="s">
        <v>951</v>
      </c>
      <c r="H16" s="92">
        <v>9</v>
      </c>
      <c r="I16" s="48" t="s">
        <v>772</v>
      </c>
      <c r="J16" s="48">
        <f>MIN(H15:H29)</f>
        <v>2</v>
      </c>
      <c r="K16" s="48"/>
      <c r="L16" s="90"/>
      <c r="M16" s="93" t="s">
        <v>965</v>
      </c>
      <c r="N16" s="92">
        <v>175</v>
      </c>
      <c r="O16" s="48"/>
      <c r="P16" s="48"/>
      <c r="Q16" s="48"/>
      <c r="R16" s="90"/>
      <c r="S16" s="93" t="s">
        <v>988</v>
      </c>
      <c r="T16" s="92">
        <v>152</v>
      </c>
      <c r="U16" s="48"/>
      <c r="V16" s="48"/>
      <c r="W16" s="48"/>
      <c r="Y16" s="48" t="s">
        <v>1010</v>
      </c>
      <c r="Z16" s="92">
        <v>179</v>
      </c>
      <c r="AA16" s="48"/>
      <c r="AB16" s="48"/>
      <c r="AC16" s="48"/>
      <c r="AJ16" s="46"/>
      <c r="AK16" s="64" t="s">
        <v>747</v>
      </c>
      <c r="AL16">
        <v>19</v>
      </c>
      <c r="AM16" s="45"/>
      <c r="AN16" s="45"/>
      <c r="AO16" s="45"/>
      <c r="AW16" t="s">
        <v>664</v>
      </c>
      <c r="AX16">
        <v>49</v>
      </c>
      <c r="AY16" s="45"/>
      <c r="AZ16" s="45"/>
      <c r="BC16" s="63" t="s">
        <v>721</v>
      </c>
      <c r="BD16">
        <v>6</v>
      </c>
      <c r="BE16" s="45" t="s">
        <v>774</v>
      </c>
      <c r="BF16" s="45">
        <f>VAR(BD13:BD34)</f>
        <v>5761.575757575758</v>
      </c>
      <c r="BH16" s="46"/>
      <c r="BI16" s="63" t="s">
        <v>351</v>
      </c>
      <c r="BJ16">
        <v>197</v>
      </c>
      <c r="BK16" s="45" t="s">
        <v>774</v>
      </c>
      <c r="BL16" s="45">
        <f>VAR(BJ13:BJ27)</f>
        <v>9550.2380952380972</v>
      </c>
      <c r="BN16" s="46"/>
      <c r="BO16" s="70" t="s">
        <v>880</v>
      </c>
      <c r="BP16">
        <v>96</v>
      </c>
      <c r="BQ16" s="45"/>
      <c r="BR16" s="45"/>
      <c r="BT16" s="46"/>
      <c r="BU16" s="70" t="s">
        <v>688</v>
      </c>
      <c r="BV16">
        <v>189</v>
      </c>
      <c r="BW16" s="45"/>
      <c r="BX16" s="45"/>
      <c r="BZ16" s="46"/>
      <c r="CA16" s="70" t="s">
        <v>399</v>
      </c>
      <c r="CB16">
        <v>99</v>
      </c>
      <c r="CC16" s="45"/>
      <c r="CD16" s="45"/>
      <c r="CF16" s="65"/>
      <c r="CG16" s="73" t="s">
        <v>300</v>
      </c>
      <c r="CH16">
        <v>206</v>
      </c>
      <c r="CL16" s="65"/>
      <c r="CM16" s="73" t="s">
        <v>360</v>
      </c>
      <c r="CN16">
        <v>95</v>
      </c>
      <c r="CR16" s="65"/>
      <c r="CS16" s="73" t="s">
        <v>598</v>
      </c>
      <c r="CT16">
        <v>39</v>
      </c>
      <c r="CU16" s="45" t="s">
        <v>773</v>
      </c>
      <c r="CV16" s="45">
        <f>MAX(CT14:CT40)</f>
        <v>160</v>
      </c>
      <c r="CX16" s="65"/>
      <c r="CY16" s="73"/>
      <c r="DD16" s="65"/>
      <c r="DJ16" s="65"/>
      <c r="DK16" s="33" t="s">
        <v>530</v>
      </c>
      <c r="DL16">
        <v>53</v>
      </c>
      <c r="DP16" s="65"/>
      <c r="DQ16" s="48" t="s">
        <v>1247</v>
      </c>
      <c r="DR16" s="48">
        <v>199</v>
      </c>
      <c r="DS16" s="48"/>
      <c r="DT16" s="48"/>
      <c r="DV16" s="109"/>
      <c r="EH16" s="30" t="s">
        <v>1284</v>
      </c>
      <c r="EI16">
        <v>102</v>
      </c>
      <c r="ET16" s="30" t="s">
        <v>1314</v>
      </c>
      <c r="EU16">
        <v>26</v>
      </c>
      <c r="EZ16" s="30" t="s">
        <v>1327</v>
      </c>
      <c r="FA16">
        <v>2</v>
      </c>
    </row>
    <row r="17" spans="1:157" x14ac:dyDescent="0.25">
      <c r="A17" s="70" t="s">
        <v>1037</v>
      </c>
      <c r="B17">
        <v>560</v>
      </c>
      <c r="G17" s="36" t="s">
        <v>952</v>
      </c>
      <c r="H17" s="92">
        <v>19</v>
      </c>
      <c r="I17" s="48" t="s">
        <v>773</v>
      </c>
      <c r="J17" s="48">
        <f>MAX(H15:H29)</f>
        <v>19</v>
      </c>
      <c r="K17" s="48"/>
      <c r="L17" s="90"/>
      <c r="M17" s="93" t="s">
        <v>966</v>
      </c>
      <c r="N17" s="92">
        <v>65</v>
      </c>
      <c r="O17" s="48"/>
      <c r="P17" s="48"/>
      <c r="Q17" s="48"/>
      <c r="R17" s="90"/>
      <c r="S17" s="93" t="s">
        <v>989</v>
      </c>
      <c r="T17" s="92">
        <v>509</v>
      </c>
      <c r="U17" s="48"/>
      <c r="V17" s="48"/>
      <c r="W17" s="48"/>
      <c r="Y17" s="48" t="s">
        <v>1011</v>
      </c>
      <c r="Z17" s="92">
        <v>82</v>
      </c>
      <c r="AA17" s="48"/>
      <c r="AB17" s="48"/>
      <c r="AC17" s="48"/>
      <c r="AJ17" s="46"/>
      <c r="AK17" s="64" t="s">
        <v>748</v>
      </c>
      <c r="AL17">
        <v>36</v>
      </c>
      <c r="AM17" s="45"/>
      <c r="AN17" s="45"/>
      <c r="AO17" s="45"/>
      <c r="AW17" t="s">
        <v>665</v>
      </c>
      <c r="AX17">
        <v>98</v>
      </c>
      <c r="AY17" s="45"/>
      <c r="AZ17" s="45"/>
      <c r="BC17" s="63" t="s">
        <v>679</v>
      </c>
      <c r="BD17">
        <v>29</v>
      </c>
      <c r="BE17" s="45" t="s">
        <v>775</v>
      </c>
      <c r="BF17" s="45">
        <f>AVERAGE(BD13:BD34)</f>
        <v>102.63636363636364</v>
      </c>
      <c r="BH17" s="46"/>
      <c r="BI17" s="63" t="s">
        <v>831</v>
      </c>
      <c r="BJ17">
        <v>180</v>
      </c>
      <c r="BK17" s="45" t="s">
        <v>775</v>
      </c>
      <c r="BL17" s="45">
        <f>AVERAGE(BJ13:BJ27)</f>
        <v>220.66666666666666</v>
      </c>
      <c r="BN17" s="46"/>
      <c r="BO17" s="70" t="s">
        <v>881</v>
      </c>
      <c r="BP17">
        <v>465</v>
      </c>
      <c r="BQ17" s="45"/>
      <c r="BR17" s="45"/>
      <c r="BT17" s="46"/>
      <c r="BU17" s="70" t="s">
        <v>689</v>
      </c>
      <c r="BV17">
        <v>70</v>
      </c>
      <c r="BW17" s="45"/>
      <c r="BX17" s="45"/>
      <c r="BZ17" s="46"/>
      <c r="CA17" s="70" t="s">
        <v>877</v>
      </c>
      <c r="CB17">
        <v>164</v>
      </c>
      <c r="CC17" s="45"/>
      <c r="CD17" s="45"/>
      <c r="CF17" s="65"/>
      <c r="CG17" s="73" t="s">
        <v>301</v>
      </c>
      <c r="CH17">
        <v>138</v>
      </c>
      <c r="CL17" s="65"/>
      <c r="CM17" s="73" t="s">
        <v>361</v>
      </c>
      <c r="CN17">
        <v>66</v>
      </c>
      <c r="CR17" s="65"/>
      <c r="CS17" s="78" t="s">
        <v>599</v>
      </c>
      <c r="CT17">
        <v>3</v>
      </c>
      <c r="CU17" s="45" t="s">
        <v>774</v>
      </c>
      <c r="CV17" s="45">
        <f>VAR(CT14:CT40)</f>
        <v>3172.6205533596835</v>
      </c>
      <c r="CX17" s="65"/>
      <c r="CY17" s="73"/>
      <c r="DD17" s="65"/>
      <c r="DJ17" s="65"/>
      <c r="DK17" s="33" t="s">
        <v>531</v>
      </c>
      <c r="DL17">
        <v>72</v>
      </c>
      <c r="DP17" s="65"/>
      <c r="DQ17" s="48" t="s">
        <v>1248</v>
      </c>
      <c r="DR17" s="48">
        <v>169</v>
      </c>
      <c r="DS17" s="48"/>
      <c r="DT17" s="48"/>
      <c r="DV17" s="109"/>
      <c r="EH17" s="30" t="s">
        <v>1285</v>
      </c>
      <c r="EI17">
        <v>182</v>
      </c>
      <c r="ET17" s="30" t="s">
        <v>1315</v>
      </c>
      <c r="EU17">
        <v>9</v>
      </c>
      <c r="EZ17" s="30" t="s">
        <v>1328</v>
      </c>
      <c r="FA17">
        <v>114</v>
      </c>
    </row>
    <row r="18" spans="1:157" x14ac:dyDescent="0.25">
      <c r="A18" s="70" t="s">
        <v>1038</v>
      </c>
      <c r="B18">
        <v>151</v>
      </c>
      <c r="G18" s="36" t="s">
        <v>953</v>
      </c>
      <c r="H18" s="92">
        <v>14</v>
      </c>
      <c r="I18" s="48" t="s">
        <v>774</v>
      </c>
      <c r="J18" s="48">
        <f>VAR(H15:H29)</f>
        <v>52.666666666666664</v>
      </c>
      <c r="K18" s="48"/>
      <c r="L18" s="90"/>
      <c r="M18" s="93" t="s">
        <v>967</v>
      </c>
      <c r="N18" s="92">
        <v>84</v>
      </c>
      <c r="O18" s="48"/>
      <c r="P18" s="48"/>
      <c r="Q18" s="48"/>
      <c r="R18" s="90"/>
      <c r="S18" s="93" t="s">
        <v>990</v>
      </c>
      <c r="T18" s="92">
        <v>414</v>
      </c>
      <c r="U18" s="48"/>
      <c r="V18" s="48"/>
      <c r="W18" s="48"/>
      <c r="Y18" s="48" t="s">
        <v>1012</v>
      </c>
      <c r="Z18" s="92">
        <v>52</v>
      </c>
      <c r="AA18" s="48"/>
      <c r="AB18" s="48"/>
      <c r="AC18" s="48"/>
      <c r="AI18" s="45"/>
      <c r="AJ18" s="46"/>
      <c r="AK18" s="64" t="s">
        <v>519</v>
      </c>
      <c r="AL18">
        <v>107</v>
      </c>
      <c r="AM18" s="45"/>
      <c r="AN18" s="45"/>
      <c r="AO18" s="45"/>
      <c r="AS18" s="45"/>
      <c r="AT18" s="45"/>
      <c r="AU18" s="45"/>
      <c r="AY18" s="45"/>
      <c r="AZ18" s="45"/>
      <c r="BC18" s="63" t="s">
        <v>722</v>
      </c>
      <c r="BD18">
        <v>21</v>
      </c>
      <c r="BE18" s="45" t="s">
        <v>776</v>
      </c>
      <c r="BF18" s="45">
        <f>STDEV(BD13:BD34)</f>
        <v>75.905044348684484</v>
      </c>
      <c r="BH18" s="46"/>
      <c r="BI18" s="63" t="s">
        <v>762</v>
      </c>
      <c r="BJ18">
        <v>88</v>
      </c>
      <c r="BK18" s="45" t="s">
        <v>776</v>
      </c>
      <c r="BL18" s="45">
        <f>STDEV(BJ13:BJ27)</f>
        <v>97.725319622082068</v>
      </c>
      <c r="BN18" s="46"/>
      <c r="BO18" s="70" t="s">
        <v>882</v>
      </c>
      <c r="BP18">
        <v>341</v>
      </c>
      <c r="BQ18" s="45"/>
      <c r="BR18" s="45"/>
      <c r="BT18" s="46"/>
      <c r="BU18" s="70" t="s">
        <v>690</v>
      </c>
      <c r="BV18">
        <v>67</v>
      </c>
      <c r="BW18" s="45"/>
      <c r="BX18" s="45"/>
      <c r="BZ18" s="46"/>
      <c r="CA18" s="70" t="s">
        <v>906</v>
      </c>
      <c r="CB18">
        <v>123</v>
      </c>
      <c r="CC18" s="45"/>
      <c r="CD18" s="45"/>
      <c r="CF18" s="65"/>
      <c r="CG18" s="73" t="s">
        <v>302</v>
      </c>
      <c r="CH18">
        <v>289</v>
      </c>
      <c r="CL18" s="65"/>
      <c r="CM18" s="73" t="s">
        <v>362</v>
      </c>
      <c r="CN18">
        <v>58</v>
      </c>
      <c r="CR18" s="65"/>
      <c r="CS18" s="78" t="s">
        <v>600</v>
      </c>
      <c r="CT18">
        <v>5</v>
      </c>
      <c r="CU18" s="45" t="s">
        <v>775</v>
      </c>
      <c r="CV18" s="45">
        <f>AVERAGE(CT14:CT40)</f>
        <v>68.434782608695656</v>
      </c>
      <c r="CX18" s="65"/>
      <c r="CY18" s="73"/>
      <c r="DD18" s="65"/>
      <c r="DJ18" s="65"/>
      <c r="DK18" s="33" t="s">
        <v>532</v>
      </c>
      <c r="DL18">
        <v>50</v>
      </c>
      <c r="DP18" s="65"/>
      <c r="DQ18" s="48" t="s">
        <v>1249</v>
      </c>
      <c r="DR18" s="48">
        <v>124</v>
      </c>
      <c r="DS18" s="48"/>
      <c r="DT18" s="48"/>
      <c r="DV18" s="109"/>
      <c r="EH18" s="30" t="s">
        <v>1286</v>
      </c>
      <c r="EI18">
        <v>172</v>
      </c>
      <c r="ET18" s="30" t="s">
        <v>1316</v>
      </c>
      <c r="EU18">
        <v>84</v>
      </c>
      <c r="EZ18" s="30" t="s">
        <v>1329</v>
      </c>
      <c r="FA18">
        <v>21</v>
      </c>
    </row>
    <row r="19" spans="1:157" x14ac:dyDescent="0.25">
      <c r="A19" s="70" t="s">
        <v>1039</v>
      </c>
      <c r="B19">
        <v>273</v>
      </c>
      <c r="G19" s="48"/>
      <c r="H19" s="92"/>
      <c r="I19" s="48" t="s">
        <v>775</v>
      </c>
      <c r="J19" s="48">
        <f>AVERAGE(H15:H29)</f>
        <v>11</v>
      </c>
      <c r="K19" s="48"/>
      <c r="L19" s="90"/>
      <c r="M19" s="93" t="s">
        <v>348</v>
      </c>
      <c r="N19" s="92">
        <v>124</v>
      </c>
      <c r="O19" s="48"/>
      <c r="P19" s="48"/>
      <c r="Q19" s="48"/>
      <c r="R19" s="90"/>
      <c r="S19" s="93" t="s">
        <v>955</v>
      </c>
      <c r="T19" s="92">
        <v>334</v>
      </c>
      <c r="U19" s="48"/>
      <c r="V19" s="48"/>
      <c r="W19" s="48"/>
      <c r="Y19" s="48" t="s">
        <v>1013</v>
      </c>
      <c r="Z19" s="92">
        <v>17</v>
      </c>
      <c r="AA19" s="48"/>
      <c r="AB19" s="48"/>
      <c r="AC19" s="48"/>
      <c r="AI19" s="45"/>
      <c r="AJ19" s="46"/>
      <c r="AK19" s="64" t="s">
        <v>749</v>
      </c>
      <c r="AL19">
        <v>52</v>
      </c>
      <c r="AM19" s="45"/>
      <c r="AN19" s="45"/>
      <c r="AO19" s="45"/>
      <c r="AU19" s="45"/>
      <c r="AY19" s="45"/>
      <c r="AZ19" s="45"/>
      <c r="BC19" s="63" t="s">
        <v>723</v>
      </c>
      <c r="BD19">
        <v>17</v>
      </c>
      <c r="BH19" s="46"/>
      <c r="BI19" s="63" t="s">
        <v>832</v>
      </c>
      <c r="BJ19">
        <v>287</v>
      </c>
      <c r="BK19" s="45"/>
      <c r="BL19" s="45"/>
      <c r="BN19" s="46"/>
      <c r="BO19" s="70" t="s">
        <v>883</v>
      </c>
      <c r="BP19">
        <v>376</v>
      </c>
      <c r="BQ19" s="45"/>
      <c r="BR19" s="45"/>
      <c r="BT19" s="46"/>
      <c r="BU19" s="70" t="s">
        <v>691</v>
      </c>
      <c r="BV19">
        <v>148</v>
      </c>
      <c r="BW19" s="45"/>
      <c r="BX19" s="45"/>
      <c r="BZ19" s="46"/>
      <c r="CA19" s="70" t="s">
        <v>706</v>
      </c>
      <c r="CB19">
        <v>19</v>
      </c>
      <c r="CC19" s="45"/>
      <c r="CD19" s="45"/>
      <c r="CF19" s="65"/>
      <c r="CG19" s="73" t="s">
        <v>303</v>
      </c>
      <c r="CH19">
        <v>408</v>
      </c>
      <c r="CL19" s="65"/>
      <c r="CM19" s="73" t="s">
        <v>363</v>
      </c>
      <c r="CN19">
        <v>32</v>
      </c>
      <c r="CR19" s="65"/>
      <c r="CS19" s="78" t="s">
        <v>601</v>
      </c>
      <c r="CT19">
        <v>8</v>
      </c>
      <c r="CU19" s="45" t="s">
        <v>776</v>
      </c>
      <c r="CV19" s="45">
        <f>STDEV(CT14:CT40)</f>
        <v>56.326020215879652</v>
      </c>
      <c r="CX19" s="65"/>
      <c r="CY19" s="73"/>
      <c r="DD19" s="65"/>
      <c r="DJ19" s="65"/>
      <c r="DK19" s="33" t="s">
        <v>533</v>
      </c>
      <c r="DL19">
        <v>32</v>
      </c>
      <c r="DP19" s="65"/>
      <c r="DQ19" s="48" t="s">
        <v>650</v>
      </c>
      <c r="DR19" s="48">
        <v>83</v>
      </c>
      <c r="DS19" s="48"/>
      <c r="DT19" s="48"/>
      <c r="DV19" s="109"/>
      <c r="EH19" s="30" t="s">
        <v>1287</v>
      </c>
      <c r="EI19">
        <v>14</v>
      </c>
      <c r="ET19" s="30" t="s">
        <v>1317</v>
      </c>
      <c r="EU19">
        <v>95</v>
      </c>
      <c r="EZ19" s="30" t="s">
        <v>1330</v>
      </c>
      <c r="FA19">
        <v>41</v>
      </c>
    </row>
    <row r="20" spans="1:157" x14ac:dyDescent="0.25">
      <c r="A20" s="70" t="s">
        <v>692</v>
      </c>
      <c r="B20">
        <v>297</v>
      </c>
      <c r="G20" s="48"/>
      <c r="H20" s="48"/>
      <c r="I20" s="48" t="s">
        <v>776</v>
      </c>
      <c r="J20" s="48">
        <f>STDEV(H15:H29)</f>
        <v>7.2571803523590805</v>
      </c>
      <c r="K20" s="48"/>
      <c r="L20" s="90"/>
      <c r="M20" s="93" t="s">
        <v>968</v>
      </c>
      <c r="N20" s="92">
        <v>32</v>
      </c>
      <c r="O20" s="48"/>
      <c r="P20" s="48"/>
      <c r="Q20" s="48"/>
      <c r="R20" s="90"/>
      <c r="S20" s="93" t="s">
        <v>991</v>
      </c>
      <c r="T20" s="92">
        <v>267</v>
      </c>
      <c r="U20" s="48"/>
      <c r="V20" s="48"/>
      <c r="W20" s="48"/>
      <c r="Y20" s="48" t="s">
        <v>1014</v>
      </c>
      <c r="Z20" s="92">
        <v>98</v>
      </c>
      <c r="AA20" s="48"/>
      <c r="AB20" s="48"/>
      <c r="AC20" s="48"/>
      <c r="AI20" s="45"/>
      <c r="AJ20" s="46"/>
      <c r="AK20" s="64" t="s">
        <v>750</v>
      </c>
      <c r="AL20">
        <v>238</v>
      </c>
      <c r="AM20" s="45"/>
      <c r="AN20" s="45"/>
      <c r="AO20" s="45"/>
      <c r="AU20" s="45"/>
      <c r="AW20" s="31" t="s">
        <v>667</v>
      </c>
      <c r="AX20" t="s">
        <v>344</v>
      </c>
      <c r="AY20" s="45" t="s">
        <v>769</v>
      </c>
      <c r="AZ20" s="45" t="s">
        <v>770</v>
      </c>
      <c r="BC20" s="63" t="s">
        <v>821</v>
      </c>
      <c r="BD20">
        <v>53</v>
      </c>
      <c r="BH20" s="46"/>
      <c r="BI20" s="63" t="s">
        <v>833</v>
      </c>
      <c r="BJ20">
        <v>270</v>
      </c>
      <c r="BN20" s="46"/>
      <c r="BO20" s="70" t="s">
        <v>884</v>
      </c>
      <c r="BP20">
        <v>324</v>
      </c>
      <c r="BT20" s="46"/>
      <c r="BU20" s="30" t="s">
        <v>692</v>
      </c>
      <c r="BV20">
        <v>243</v>
      </c>
      <c r="BW20" s="45"/>
      <c r="BX20" s="45"/>
      <c r="BZ20" s="46"/>
      <c r="CA20" s="70" t="s">
        <v>707</v>
      </c>
      <c r="CB20">
        <v>170</v>
      </c>
      <c r="CC20" s="45"/>
      <c r="CD20" s="45"/>
      <c r="CF20" s="65"/>
      <c r="CG20" s="73" t="s">
        <v>304</v>
      </c>
      <c r="CH20">
        <v>246</v>
      </c>
      <c r="CL20" s="65"/>
      <c r="CM20" s="73" t="s">
        <v>364</v>
      </c>
      <c r="CN20">
        <v>2</v>
      </c>
      <c r="CR20" s="65"/>
      <c r="CX20" s="65"/>
      <c r="CY20" s="73"/>
      <c r="DD20" s="65"/>
      <c r="DJ20" s="65"/>
      <c r="DK20" s="33" t="s">
        <v>534</v>
      </c>
      <c r="DL20">
        <v>87</v>
      </c>
      <c r="DP20" s="65"/>
      <c r="DQ20" s="48" t="s">
        <v>1250</v>
      </c>
      <c r="DR20" s="48">
        <v>151</v>
      </c>
      <c r="DS20" s="48"/>
      <c r="DT20" s="48"/>
      <c r="DV20" s="109"/>
      <c r="EH20" s="30" t="s">
        <v>1288</v>
      </c>
      <c r="EI20">
        <v>172</v>
      </c>
      <c r="EZ20" s="30" t="s">
        <v>1331</v>
      </c>
      <c r="FA20">
        <v>41</v>
      </c>
    </row>
    <row r="21" spans="1:157" x14ac:dyDescent="0.25">
      <c r="A21" s="70" t="s">
        <v>1040</v>
      </c>
      <c r="B21">
        <v>230</v>
      </c>
      <c r="G21" s="48"/>
      <c r="H21" s="48"/>
      <c r="I21" s="48"/>
      <c r="J21" s="48"/>
      <c r="K21" s="48"/>
      <c r="L21" s="90"/>
      <c r="M21" s="93" t="s">
        <v>969</v>
      </c>
      <c r="N21" s="92">
        <v>79</v>
      </c>
      <c r="O21" s="48"/>
      <c r="P21" s="48"/>
      <c r="Q21" s="48"/>
      <c r="R21" s="90"/>
      <c r="S21" s="93" t="s">
        <v>992</v>
      </c>
      <c r="T21" s="92">
        <v>156</v>
      </c>
      <c r="U21" s="48"/>
      <c r="V21" s="48"/>
      <c r="W21" s="48"/>
      <c r="Y21" s="48" t="s">
        <v>1015</v>
      </c>
      <c r="Z21" s="92">
        <v>67</v>
      </c>
      <c r="AA21" s="48"/>
      <c r="AB21" s="48"/>
      <c r="AC21" s="48"/>
      <c r="AI21" s="45"/>
      <c r="AJ21" s="46"/>
      <c r="AK21" s="64" t="s">
        <v>354</v>
      </c>
      <c r="AL21">
        <v>154</v>
      </c>
      <c r="AM21" s="45"/>
      <c r="AN21" s="45"/>
      <c r="AO21" s="45"/>
      <c r="AU21" s="45"/>
      <c r="AW21" s="63" t="s">
        <v>810</v>
      </c>
      <c r="AX21">
        <v>40</v>
      </c>
      <c r="AY21" s="45" t="s">
        <v>771</v>
      </c>
      <c r="AZ21" s="45">
        <f>SUM(AX21:AX30)</f>
        <v>806</v>
      </c>
      <c r="BC21" s="63" t="s">
        <v>822</v>
      </c>
      <c r="BD21">
        <v>127</v>
      </c>
      <c r="BH21" s="46"/>
      <c r="BI21" s="63" t="s">
        <v>834</v>
      </c>
      <c r="BJ21">
        <v>214</v>
      </c>
      <c r="BN21" s="46"/>
      <c r="BO21" s="70" t="s">
        <v>856</v>
      </c>
      <c r="BP21">
        <v>722</v>
      </c>
      <c r="BT21" s="46"/>
      <c r="BU21" s="70" t="s">
        <v>693</v>
      </c>
      <c r="BV21">
        <v>136</v>
      </c>
      <c r="BW21" s="45"/>
      <c r="BX21" s="45"/>
      <c r="BZ21" s="46"/>
      <c r="CA21" s="70" t="s">
        <v>708</v>
      </c>
      <c r="CB21">
        <v>58</v>
      </c>
      <c r="CC21" s="45"/>
      <c r="CD21" s="45"/>
      <c r="CF21" s="65"/>
      <c r="CG21" s="73" t="s">
        <v>305</v>
      </c>
      <c r="CH21">
        <v>147</v>
      </c>
      <c r="CL21" s="65"/>
      <c r="CM21" s="73" t="s">
        <v>308</v>
      </c>
      <c r="CN21">
        <v>1</v>
      </c>
      <c r="CR21" s="65"/>
      <c r="CX21" s="65"/>
      <c r="CY21" s="73"/>
      <c r="DD21" s="65"/>
      <c r="DJ21" s="65"/>
      <c r="DK21" s="33" t="s">
        <v>535</v>
      </c>
      <c r="DL21">
        <v>32</v>
      </c>
      <c r="DP21" s="65"/>
      <c r="DQ21" s="48" t="s">
        <v>1251</v>
      </c>
      <c r="DR21" s="48">
        <v>145</v>
      </c>
      <c r="DS21" s="48"/>
      <c r="DT21" s="48"/>
      <c r="DV21" s="109"/>
      <c r="EH21" s="30" t="s">
        <v>1289</v>
      </c>
      <c r="EI21">
        <v>112</v>
      </c>
      <c r="EZ21" s="30" t="s">
        <v>1332</v>
      </c>
      <c r="FA21">
        <v>12</v>
      </c>
    </row>
    <row r="22" spans="1:157" x14ac:dyDescent="0.25">
      <c r="A22" s="70" t="s">
        <v>1041</v>
      </c>
      <c r="B22">
        <v>451</v>
      </c>
      <c r="G22" s="48"/>
      <c r="H22" s="48"/>
      <c r="I22" s="48"/>
      <c r="J22" s="48"/>
      <c r="K22" s="48"/>
      <c r="L22" s="90"/>
      <c r="M22" s="93" t="s">
        <v>970</v>
      </c>
      <c r="N22" s="92">
        <v>51</v>
      </c>
      <c r="O22" s="48"/>
      <c r="P22" s="48"/>
      <c r="Q22" s="48"/>
      <c r="R22" s="90"/>
      <c r="S22" s="93" t="s">
        <v>993</v>
      </c>
      <c r="T22" s="92">
        <v>328</v>
      </c>
      <c r="U22" s="48"/>
      <c r="V22" s="48"/>
      <c r="W22" s="48"/>
      <c r="Y22" s="48" t="s">
        <v>1016</v>
      </c>
      <c r="Z22" s="92">
        <v>162</v>
      </c>
      <c r="AA22" s="48"/>
      <c r="AB22" s="48"/>
      <c r="AC22" s="48"/>
      <c r="AI22" s="45"/>
      <c r="AJ22" s="46"/>
      <c r="AK22" s="64" t="s">
        <v>647</v>
      </c>
      <c r="AL22">
        <v>193</v>
      </c>
      <c r="AM22" s="45"/>
      <c r="AN22" s="45"/>
      <c r="AO22" s="45"/>
      <c r="AU22" s="45"/>
      <c r="AW22" s="63" t="s">
        <v>809</v>
      </c>
      <c r="AX22">
        <v>84</v>
      </c>
      <c r="AY22" s="45" t="s">
        <v>772</v>
      </c>
      <c r="AZ22" s="45">
        <f>MIN(AX21:AX30)</f>
        <v>24</v>
      </c>
      <c r="BC22" s="63" t="s">
        <v>724</v>
      </c>
      <c r="BD22">
        <v>130</v>
      </c>
      <c r="BH22" s="46"/>
      <c r="BI22" s="63" t="s">
        <v>835</v>
      </c>
      <c r="BJ22">
        <v>25</v>
      </c>
      <c r="BN22" s="46"/>
      <c r="BO22" s="70" t="s">
        <v>857</v>
      </c>
      <c r="BP22">
        <v>259</v>
      </c>
      <c r="BT22" s="46"/>
      <c r="BU22" s="70" t="s">
        <v>694</v>
      </c>
      <c r="BV22">
        <v>143</v>
      </c>
      <c r="BW22" s="45"/>
      <c r="BX22" s="45"/>
      <c r="BZ22" s="46"/>
      <c r="CA22" s="70" t="s">
        <v>709</v>
      </c>
      <c r="CB22">
        <v>88</v>
      </c>
      <c r="CC22" s="45"/>
      <c r="CD22" s="45"/>
      <c r="CF22" s="65"/>
      <c r="CG22" s="73" t="s">
        <v>306</v>
      </c>
      <c r="CH22">
        <v>140</v>
      </c>
      <c r="CL22" s="65"/>
      <c r="CM22" s="73" t="s">
        <v>365</v>
      </c>
      <c r="CN22">
        <v>84</v>
      </c>
      <c r="CR22" s="65"/>
      <c r="CS22" s="31" t="s">
        <v>934</v>
      </c>
      <c r="CX22" s="65"/>
      <c r="CY22" s="73"/>
      <c r="DD22" s="65"/>
      <c r="DJ22" s="65"/>
      <c r="DK22" s="33" t="s">
        <v>536</v>
      </c>
      <c r="DL22">
        <v>6</v>
      </c>
      <c r="DP22" s="65"/>
      <c r="DQ22" s="48" t="s">
        <v>1252</v>
      </c>
      <c r="DR22" s="48">
        <v>28</v>
      </c>
      <c r="DS22" s="48"/>
      <c r="DT22" s="48"/>
      <c r="DV22" s="109"/>
      <c r="EH22" s="30" t="s">
        <v>1290</v>
      </c>
      <c r="EI22">
        <v>82</v>
      </c>
      <c r="EZ22" s="30" t="s">
        <v>1333</v>
      </c>
      <c r="FA22">
        <v>16</v>
      </c>
    </row>
    <row r="23" spans="1:157" x14ac:dyDescent="0.25">
      <c r="A23" s="70" t="s">
        <v>1042</v>
      </c>
      <c r="B23">
        <v>365</v>
      </c>
      <c r="G23" s="48"/>
      <c r="H23" s="48"/>
      <c r="I23" s="48"/>
      <c r="J23" s="48"/>
      <c r="K23" s="48"/>
      <c r="L23" s="90"/>
      <c r="M23" s="93" t="s">
        <v>971</v>
      </c>
      <c r="N23" s="92">
        <v>54</v>
      </c>
      <c r="O23" s="48"/>
      <c r="P23" s="48"/>
      <c r="Q23" s="48"/>
      <c r="R23" s="90"/>
      <c r="S23" s="93" t="s">
        <v>994</v>
      </c>
      <c r="T23" s="92">
        <v>29</v>
      </c>
      <c r="U23" s="48"/>
      <c r="V23" s="48"/>
      <c r="W23" s="48"/>
      <c r="Y23" s="48" t="s">
        <v>1017</v>
      </c>
      <c r="Z23" s="92">
        <v>33</v>
      </c>
      <c r="AA23" s="48"/>
      <c r="AB23" s="48"/>
      <c r="AC23" s="48"/>
      <c r="AI23" s="45"/>
      <c r="AJ23" s="46"/>
      <c r="AK23" s="64" t="s">
        <v>751</v>
      </c>
      <c r="AL23">
        <v>47</v>
      </c>
      <c r="AM23" s="45"/>
      <c r="AN23" s="45"/>
      <c r="AO23" s="45"/>
      <c r="AU23" s="45"/>
      <c r="AW23" s="63" t="s">
        <v>811</v>
      </c>
      <c r="AX23">
        <v>24</v>
      </c>
      <c r="AY23" s="45" t="s">
        <v>773</v>
      </c>
      <c r="AZ23" s="45">
        <f>MAX(AX21:AX30)</f>
        <v>158</v>
      </c>
      <c r="BC23" s="63" t="s">
        <v>725</v>
      </c>
      <c r="BD23">
        <v>92</v>
      </c>
      <c r="BH23" s="46"/>
      <c r="BI23" s="63" t="s">
        <v>836</v>
      </c>
      <c r="BJ23">
        <v>299</v>
      </c>
      <c r="BN23" s="46"/>
      <c r="BO23" s="70" t="s">
        <v>885</v>
      </c>
      <c r="BP23">
        <v>380</v>
      </c>
      <c r="BT23" s="46"/>
      <c r="BU23" s="70" t="s">
        <v>695</v>
      </c>
      <c r="BV23">
        <v>16</v>
      </c>
      <c r="BW23" s="45"/>
      <c r="BX23" s="45"/>
      <c r="BZ23" s="46"/>
      <c r="CA23" s="70" t="s">
        <v>710</v>
      </c>
      <c r="CB23">
        <v>19</v>
      </c>
      <c r="CC23" s="45"/>
      <c r="CD23" s="45"/>
      <c r="CF23" s="65"/>
      <c r="CG23" s="73" t="s">
        <v>307</v>
      </c>
      <c r="CH23">
        <v>34</v>
      </c>
      <c r="CL23" s="65"/>
      <c r="CM23" s="73" t="s">
        <v>366</v>
      </c>
      <c r="CN23">
        <v>71</v>
      </c>
      <c r="CR23" s="65"/>
      <c r="CS23" s="45" t="s">
        <v>768</v>
      </c>
      <c r="CT23" s="45" t="s">
        <v>344</v>
      </c>
      <c r="CU23" s="45" t="s">
        <v>769</v>
      </c>
      <c r="CV23" s="45" t="s">
        <v>770</v>
      </c>
      <c r="CX23" s="65"/>
      <c r="CY23" s="73"/>
      <c r="DD23" s="65"/>
      <c r="DJ23" s="65"/>
      <c r="DK23" s="33" t="s">
        <v>537</v>
      </c>
      <c r="DL23">
        <v>71</v>
      </c>
      <c r="DP23" s="65"/>
      <c r="DQ23" s="48" t="s">
        <v>1253</v>
      </c>
      <c r="DR23" s="48">
        <v>16</v>
      </c>
      <c r="DS23" s="48"/>
      <c r="DT23" s="48"/>
      <c r="DV23" s="109"/>
      <c r="EH23" s="30" t="s">
        <v>1291</v>
      </c>
      <c r="EI23">
        <v>61</v>
      </c>
      <c r="EZ23" s="30" t="s">
        <v>1044</v>
      </c>
      <c r="FA23">
        <v>224</v>
      </c>
    </row>
    <row r="24" spans="1:157" x14ac:dyDescent="0.25">
      <c r="A24" s="70" t="s">
        <v>1043</v>
      </c>
      <c r="B24">
        <v>192</v>
      </c>
      <c r="G24" s="48"/>
      <c r="H24" s="48"/>
      <c r="I24" s="48"/>
      <c r="J24" s="48"/>
      <c r="K24" s="48"/>
      <c r="L24" s="90"/>
      <c r="M24" s="93" t="s">
        <v>972</v>
      </c>
      <c r="N24" s="92">
        <v>17</v>
      </c>
      <c r="O24" s="48"/>
      <c r="P24" s="48"/>
      <c r="Q24" s="48"/>
      <c r="R24" s="90"/>
      <c r="S24" s="90"/>
      <c r="T24" s="131" t="s">
        <v>667</v>
      </c>
      <c r="U24" s="131"/>
      <c r="V24" s="90"/>
      <c r="W24" s="90"/>
      <c r="Y24" s="48" t="s">
        <v>1018</v>
      </c>
      <c r="Z24" s="92">
        <v>238</v>
      </c>
      <c r="AA24" s="48"/>
      <c r="AB24" s="48"/>
      <c r="AC24" s="48"/>
      <c r="AI24" s="45"/>
      <c r="AJ24" s="46"/>
      <c r="AK24" s="64" t="s">
        <v>752</v>
      </c>
      <c r="AL24">
        <v>177</v>
      </c>
      <c r="AM24" s="45"/>
      <c r="AN24" s="45"/>
      <c r="AO24" s="45"/>
      <c r="AU24" s="45"/>
      <c r="AW24" s="63" t="s">
        <v>812</v>
      </c>
      <c r="AX24">
        <v>29</v>
      </c>
      <c r="AY24" s="45" t="s">
        <v>774</v>
      </c>
      <c r="AZ24" s="45">
        <f>VAR(AX21:AX30)</f>
        <v>2602.2666666666669</v>
      </c>
      <c r="BC24" s="63" t="s">
        <v>726</v>
      </c>
      <c r="BD24">
        <v>146</v>
      </c>
      <c r="BH24" s="46"/>
      <c r="BI24" s="63" t="s">
        <v>837</v>
      </c>
      <c r="BJ24">
        <v>405</v>
      </c>
      <c r="BN24" s="46"/>
      <c r="BO24" s="70" t="s">
        <v>886</v>
      </c>
      <c r="BP24">
        <v>257</v>
      </c>
      <c r="BT24" s="46"/>
      <c r="BU24" s="70" t="s">
        <v>696</v>
      </c>
      <c r="BV24">
        <v>91</v>
      </c>
      <c r="BW24" s="45"/>
      <c r="BX24" s="45"/>
      <c r="BZ24" s="46"/>
      <c r="CA24" s="70" t="s">
        <v>711</v>
      </c>
      <c r="CB24">
        <v>82</v>
      </c>
      <c r="CC24" s="45"/>
      <c r="CD24" s="45"/>
      <c r="CF24" s="65"/>
      <c r="CG24" s="73" t="s">
        <v>308</v>
      </c>
      <c r="CH24">
        <v>77</v>
      </c>
      <c r="CL24" s="65"/>
      <c r="CM24" s="73" t="s">
        <v>367</v>
      </c>
      <c r="CN24">
        <v>59</v>
      </c>
      <c r="CR24" s="65"/>
      <c r="CS24" s="78" t="s">
        <v>602</v>
      </c>
      <c r="CT24">
        <v>5</v>
      </c>
      <c r="CU24" s="45" t="s">
        <v>771</v>
      </c>
      <c r="CV24" s="45">
        <f>SUM(CT24:CT50)</f>
        <v>1495</v>
      </c>
      <c r="CX24" s="65"/>
      <c r="CY24" s="73"/>
      <c r="DD24" s="65"/>
      <c r="DJ24" s="65"/>
      <c r="DK24" s="33" t="s">
        <v>538</v>
      </c>
      <c r="DL24">
        <v>55</v>
      </c>
      <c r="DP24" s="65"/>
      <c r="DV24" s="109"/>
      <c r="EH24" s="30" t="s">
        <v>1292</v>
      </c>
      <c r="EI24">
        <v>82</v>
      </c>
      <c r="EZ24" s="30" t="s">
        <v>1334</v>
      </c>
      <c r="FA24">
        <v>51</v>
      </c>
    </row>
    <row r="25" spans="1:157" x14ac:dyDescent="0.25">
      <c r="A25" s="70" t="s">
        <v>694</v>
      </c>
      <c r="B25">
        <v>64</v>
      </c>
      <c r="G25" s="48"/>
      <c r="H25" s="48"/>
      <c r="I25" s="48"/>
      <c r="J25" s="48"/>
      <c r="K25" s="48"/>
      <c r="L25" s="90"/>
      <c r="M25" s="93" t="s">
        <v>973</v>
      </c>
      <c r="N25" s="92">
        <v>81</v>
      </c>
      <c r="O25" s="48"/>
      <c r="P25" s="48"/>
      <c r="Q25" s="48"/>
      <c r="R25" s="90"/>
      <c r="S25" s="93" t="s">
        <v>996</v>
      </c>
      <c r="T25" s="92">
        <v>11</v>
      </c>
      <c r="U25" s="48"/>
      <c r="V25" s="48"/>
      <c r="W25" s="48"/>
      <c r="Y25" s="48" t="s">
        <v>1019</v>
      </c>
      <c r="Z25" s="92">
        <v>264</v>
      </c>
      <c r="AA25" s="48"/>
      <c r="AB25" s="48"/>
      <c r="AC25" s="48"/>
      <c r="AI25" s="45"/>
      <c r="AJ25" s="46"/>
      <c r="AK25" s="64" t="s">
        <v>753</v>
      </c>
      <c r="AL25">
        <v>103</v>
      </c>
      <c r="AM25" s="45"/>
      <c r="AN25" s="45"/>
      <c r="AO25" s="45"/>
      <c r="AU25" s="45"/>
      <c r="AW25" s="63" t="s">
        <v>813</v>
      </c>
      <c r="AX25">
        <v>26</v>
      </c>
      <c r="AY25" s="45" t="s">
        <v>775</v>
      </c>
      <c r="AZ25" s="45">
        <f>AVERAGE(AX21:AX30)</f>
        <v>80.599999999999994</v>
      </c>
      <c r="BC25" s="63" t="s">
        <v>727</v>
      </c>
      <c r="BD25">
        <v>121</v>
      </c>
      <c r="BH25" s="46"/>
      <c r="BI25" s="63" t="s">
        <v>838</v>
      </c>
      <c r="BJ25">
        <v>217</v>
      </c>
      <c r="BN25" s="46"/>
      <c r="BO25" s="70" t="s">
        <v>887</v>
      </c>
      <c r="BP25">
        <v>358</v>
      </c>
      <c r="BT25" s="46"/>
      <c r="BU25" s="70" t="s">
        <v>697</v>
      </c>
      <c r="BV25">
        <v>87</v>
      </c>
      <c r="BW25" s="45"/>
      <c r="BX25" s="45"/>
      <c r="BZ25" s="46"/>
      <c r="CA25" s="70" t="s">
        <v>712</v>
      </c>
      <c r="CB25">
        <v>80</v>
      </c>
      <c r="CC25" s="45"/>
      <c r="CD25" s="45"/>
      <c r="CF25" s="65"/>
      <c r="CG25" s="73" t="s">
        <v>309</v>
      </c>
      <c r="CH25">
        <v>10</v>
      </c>
      <c r="CL25" s="65"/>
      <c r="CR25" s="65"/>
      <c r="CS25" s="78" t="s">
        <v>603</v>
      </c>
      <c r="CT25">
        <v>9</v>
      </c>
      <c r="CU25" s="45" t="s">
        <v>772</v>
      </c>
      <c r="CV25" s="45">
        <f>MIN(CT24:CT50)</f>
        <v>5</v>
      </c>
      <c r="CX25" s="65"/>
      <c r="DD25" s="65"/>
      <c r="DJ25" s="65"/>
      <c r="DK25" s="33" t="s">
        <v>539</v>
      </c>
      <c r="DL25">
        <v>39</v>
      </c>
      <c r="DP25" s="65"/>
      <c r="DV25" s="109"/>
      <c r="EH25" s="30" t="s">
        <v>1293</v>
      </c>
      <c r="EI25">
        <v>57</v>
      </c>
      <c r="EZ25" s="30" t="s">
        <v>1335</v>
      </c>
      <c r="FA25">
        <v>55</v>
      </c>
    </row>
    <row r="26" spans="1:157" x14ac:dyDescent="0.25">
      <c r="A26" s="70" t="s">
        <v>1044</v>
      </c>
      <c r="B26">
        <v>140</v>
      </c>
      <c r="G26" s="48"/>
      <c r="H26" s="48"/>
      <c r="I26" s="48"/>
      <c r="J26" s="48"/>
      <c r="K26" s="48"/>
      <c r="L26" s="90"/>
      <c r="M26" s="93" t="s">
        <v>765</v>
      </c>
      <c r="N26" s="92">
        <v>122</v>
      </c>
      <c r="O26" s="48"/>
      <c r="P26" s="48"/>
      <c r="Q26" s="48"/>
      <c r="R26" s="90"/>
      <c r="S26" s="93" t="s">
        <v>997</v>
      </c>
      <c r="T26" s="92">
        <v>100</v>
      </c>
      <c r="U26" s="48"/>
      <c r="V26" s="48"/>
      <c r="W26" s="48"/>
      <c r="Y26" s="48" t="s">
        <v>1020</v>
      </c>
      <c r="Z26" s="92">
        <v>19</v>
      </c>
      <c r="AA26" s="48"/>
      <c r="AB26" s="48"/>
      <c r="AC26" s="48"/>
      <c r="AI26" s="45"/>
      <c r="AJ26" s="46"/>
      <c r="AK26" s="64" t="s">
        <v>754</v>
      </c>
      <c r="AL26">
        <v>14</v>
      </c>
      <c r="AM26" s="45"/>
      <c r="AN26" s="45"/>
      <c r="AO26" s="45"/>
      <c r="AU26" s="45"/>
      <c r="AW26" s="63" t="s">
        <v>808</v>
      </c>
      <c r="AX26">
        <v>145</v>
      </c>
      <c r="AY26" s="45" t="s">
        <v>776</v>
      </c>
      <c r="AZ26" s="45">
        <f>STDEV(AX21:AX30)</f>
        <v>51.012416789117793</v>
      </c>
      <c r="BC26" s="63" t="s">
        <v>728</v>
      </c>
      <c r="BD26">
        <v>106</v>
      </c>
      <c r="BH26" s="46"/>
      <c r="BI26" s="63" t="s">
        <v>839</v>
      </c>
      <c r="BJ26">
        <v>370</v>
      </c>
      <c r="BN26" s="46"/>
      <c r="BO26" s="70" t="s">
        <v>888</v>
      </c>
      <c r="BP26">
        <v>91</v>
      </c>
      <c r="BT26" s="46"/>
      <c r="BU26" s="70" t="s">
        <v>698</v>
      </c>
      <c r="BV26">
        <v>92</v>
      </c>
      <c r="BW26" s="45"/>
      <c r="BX26" s="45"/>
      <c r="BZ26" s="46"/>
      <c r="CA26" s="70" t="s">
        <v>713</v>
      </c>
      <c r="CB26">
        <v>94</v>
      </c>
      <c r="CC26" s="45"/>
      <c r="CD26" s="45"/>
      <c r="CF26" s="65"/>
      <c r="CG26" s="73" t="s">
        <v>310</v>
      </c>
      <c r="CH26">
        <v>14</v>
      </c>
      <c r="CL26" s="65"/>
      <c r="CR26" s="65"/>
      <c r="CS26" s="78" t="s">
        <v>563</v>
      </c>
      <c r="CT26">
        <v>132</v>
      </c>
      <c r="CU26" s="45" t="s">
        <v>773</v>
      </c>
      <c r="CV26" s="45">
        <f>MAX(CT24:CT50)</f>
        <v>160</v>
      </c>
      <c r="CX26" s="65"/>
      <c r="DD26" s="65"/>
      <c r="DJ26" s="65"/>
      <c r="DK26" s="33" t="s">
        <v>540</v>
      </c>
      <c r="DL26">
        <v>68</v>
      </c>
      <c r="DP26" s="65"/>
      <c r="DV26" s="109"/>
      <c r="EH26" s="30" t="s">
        <v>1294</v>
      </c>
      <c r="EI26">
        <v>11</v>
      </c>
      <c r="EZ26" s="30" t="s">
        <v>1346</v>
      </c>
      <c r="FA26">
        <v>22</v>
      </c>
    </row>
    <row r="27" spans="1:157" x14ac:dyDescent="0.25">
      <c r="A27" s="70" t="s">
        <v>1045</v>
      </c>
      <c r="B27">
        <v>67</v>
      </c>
      <c r="G27" s="48"/>
      <c r="H27" s="48"/>
      <c r="I27" s="48"/>
      <c r="J27" s="48"/>
      <c r="K27" s="48"/>
      <c r="L27" s="90"/>
      <c r="M27" s="93" t="s">
        <v>974</v>
      </c>
      <c r="N27" s="92">
        <v>226</v>
      </c>
      <c r="O27" s="48"/>
      <c r="P27" s="48"/>
      <c r="Q27" s="48"/>
      <c r="R27" s="90"/>
      <c r="S27" s="93" t="s">
        <v>1000</v>
      </c>
      <c r="T27" s="92">
        <v>16</v>
      </c>
      <c r="U27" s="48"/>
      <c r="V27" s="48"/>
      <c r="W27" s="48"/>
      <c r="Y27" s="48" t="s">
        <v>1021</v>
      </c>
      <c r="Z27" s="92">
        <v>158</v>
      </c>
      <c r="AA27" s="48"/>
      <c r="AB27" s="48"/>
      <c r="AC27" s="48"/>
      <c r="AI27" s="45"/>
      <c r="AJ27" s="46"/>
      <c r="AK27" s="64" t="s">
        <v>755</v>
      </c>
      <c r="AL27">
        <v>6</v>
      </c>
      <c r="AM27" s="45"/>
      <c r="AN27" s="45"/>
      <c r="AO27" s="45"/>
      <c r="AU27" s="45"/>
      <c r="AW27" s="63" t="s">
        <v>814</v>
      </c>
      <c r="AX27">
        <v>67</v>
      </c>
      <c r="AY27" s="45"/>
      <c r="AZ27" s="45"/>
      <c r="BC27" s="63" t="s">
        <v>729</v>
      </c>
      <c r="BD27">
        <v>247</v>
      </c>
      <c r="BH27" s="46"/>
      <c r="BI27" s="63" t="s">
        <v>840</v>
      </c>
      <c r="BJ27">
        <v>167</v>
      </c>
      <c r="BN27" s="46"/>
      <c r="BO27" s="70" t="s">
        <v>889</v>
      </c>
      <c r="BP27">
        <v>37</v>
      </c>
      <c r="BT27" s="46"/>
      <c r="BU27" s="70" t="s">
        <v>699</v>
      </c>
      <c r="BV27">
        <v>84</v>
      </c>
      <c r="BW27" s="45"/>
      <c r="BX27" s="45"/>
      <c r="BZ27" s="46"/>
      <c r="CA27" s="63" t="s">
        <v>714</v>
      </c>
      <c r="CB27">
        <v>46</v>
      </c>
      <c r="CC27" s="45"/>
      <c r="CD27" s="45"/>
      <c r="CF27" s="65"/>
      <c r="CG27" s="73" t="s">
        <v>311</v>
      </c>
      <c r="CH27">
        <v>15</v>
      </c>
      <c r="CL27" s="65"/>
      <c r="CM27" s="77" t="s">
        <v>925</v>
      </c>
      <c r="CR27" s="65"/>
      <c r="CS27" s="78" t="s">
        <v>565</v>
      </c>
      <c r="CT27">
        <v>67</v>
      </c>
      <c r="CU27" s="45" t="s">
        <v>774</v>
      </c>
      <c r="CV27" s="45">
        <f>VAR(CT24:CT50)</f>
        <v>2758.3088235294126</v>
      </c>
      <c r="CX27" s="65"/>
      <c r="DD27" s="65"/>
      <c r="DJ27" s="65"/>
      <c r="DK27" s="33" t="s">
        <v>541</v>
      </c>
      <c r="DL27">
        <v>66</v>
      </c>
      <c r="DP27" s="65"/>
      <c r="DV27" s="109"/>
      <c r="EH27" s="30" t="s">
        <v>1295</v>
      </c>
      <c r="EI27">
        <v>101</v>
      </c>
      <c r="EZ27" s="30" t="s">
        <v>1336</v>
      </c>
      <c r="FA27">
        <v>31</v>
      </c>
    </row>
    <row r="28" spans="1:157" x14ac:dyDescent="0.25">
      <c r="A28" s="70" t="s">
        <v>1046</v>
      </c>
      <c r="B28">
        <v>27</v>
      </c>
      <c r="G28" s="48"/>
      <c r="H28" s="48"/>
      <c r="I28" s="48"/>
      <c r="J28" s="48"/>
      <c r="K28" s="48"/>
      <c r="L28" s="90"/>
      <c r="M28" s="93" t="s">
        <v>975</v>
      </c>
      <c r="N28" s="92">
        <v>112</v>
      </c>
      <c r="O28" s="48"/>
      <c r="P28" s="48"/>
      <c r="Q28" s="48"/>
      <c r="R28" s="90"/>
      <c r="S28" s="93" t="s">
        <v>998</v>
      </c>
      <c r="T28" s="92">
        <v>30</v>
      </c>
      <c r="U28" s="48"/>
      <c r="V28" s="48"/>
      <c r="W28" s="48"/>
      <c r="Y28" s="48" t="s">
        <v>1022</v>
      </c>
      <c r="Z28" s="92">
        <v>486</v>
      </c>
      <c r="AA28" s="48"/>
      <c r="AB28" s="48"/>
      <c r="AC28" s="48"/>
      <c r="AI28" s="45"/>
      <c r="AJ28" s="46"/>
      <c r="AK28" s="64" t="s">
        <v>756</v>
      </c>
      <c r="AL28">
        <v>183</v>
      </c>
      <c r="AM28" s="45"/>
      <c r="AN28" s="45"/>
      <c r="AO28" s="45"/>
      <c r="AU28" s="45"/>
      <c r="AW28" s="63" t="s">
        <v>815</v>
      </c>
      <c r="AX28">
        <v>158</v>
      </c>
      <c r="AY28" s="45"/>
      <c r="AZ28" s="45"/>
      <c r="BC28" s="63" t="s">
        <v>730</v>
      </c>
      <c r="BD28">
        <v>123</v>
      </c>
      <c r="BH28" s="46"/>
      <c r="BI28" s="63"/>
      <c r="BN28" s="46"/>
      <c r="BO28" s="70" t="s">
        <v>890</v>
      </c>
      <c r="BP28">
        <v>86</v>
      </c>
      <c r="BT28" s="46"/>
      <c r="BU28" s="70" t="s">
        <v>700</v>
      </c>
      <c r="BV28">
        <v>126</v>
      </c>
      <c r="BW28" s="45"/>
      <c r="BX28" s="45"/>
      <c r="BZ28" s="46"/>
      <c r="CA28" s="63" t="s">
        <v>715</v>
      </c>
      <c r="CB28">
        <v>83</v>
      </c>
      <c r="CC28" s="45"/>
      <c r="CD28" s="45"/>
      <c r="CF28" s="65"/>
      <c r="CG28" s="73" t="s">
        <v>312</v>
      </c>
      <c r="CH28">
        <v>10</v>
      </c>
      <c r="CL28" s="65"/>
      <c r="CM28" s="45" t="s">
        <v>768</v>
      </c>
      <c r="CN28" s="45" t="s">
        <v>344</v>
      </c>
      <c r="CO28" s="45" t="s">
        <v>769</v>
      </c>
      <c r="CP28" s="45" t="s">
        <v>770</v>
      </c>
      <c r="CR28" s="65"/>
      <c r="CS28" s="78" t="s">
        <v>604</v>
      </c>
      <c r="CT28">
        <v>151</v>
      </c>
      <c r="CU28" s="45" t="s">
        <v>775</v>
      </c>
      <c r="CV28" s="45">
        <f>AVERAGE(CT24:CT50)</f>
        <v>87.941176470588232</v>
      </c>
      <c r="CX28" s="65"/>
      <c r="DD28" s="65"/>
      <c r="DJ28" s="65"/>
      <c r="DK28" s="33" t="s">
        <v>542</v>
      </c>
      <c r="DL28">
        <v>38</v>
      </c>
      <c r="DP28" s="65"/>
      <c r="DV28" s="109"/>
      <c r="EH28" s="30" t="s">
        <v>1296</v>
      </c>
      <c r="EI28">
        <v>100</v>
      </c>
      <c r="EZ28" s="30" t="s">
        <v>1337</v>
      </c>
      <c r="FA28">
        <v>123</v>
      </c>
    </row>
    <row r="29" spans="1:157" x14ac:dyDescent="0.25">
      <c r="G29" s="48"/>
      <c r="H29" s="48"/>
      <c r="I29" s="48"/>
      <c r="J29" s="48"/>
      <c r="K29" s="48"/>
      <c r="L29" s="90"/>
      <c r="M29" s="48"/>
      <c r="N29" s="92"/>
      <c r="O29" s="48"/>
      <c r="P29" s="48"/>
      <c r="Q29" s="48"/>
      <c r="R29" s="90"/>
      <c r="S29" s="93" t="s">
        <v>999</v>
      </c>
      <c r="T29" s="92">
        <v>59</v>
      </c>
      <c r="U29" s="48"/>
      <c r="V29" s="48"/>
      <c r="W29" s="48"/>
      <c r="Y29" s="48"/>
      <c r="Z29" s="48"/>
      <c r="AA29" s="48"/>
      <c r="AB29" s="48"/>
      <c r="AC29" s="48"/>
      <c r="AI29" s="45"/>
      <c r="AJ29" s="46"/>
      <c r="AK29" s="63"/>
      <c r="AM29" s="45"/>
      <c r="AN29" s="45"/>
      <c r="AO29" s="45"/>
      <c r="AU29" s="45"/>
      <c r="AW29" s="63" t="s">
        <v>816</v>
      </c>
      <c r="AX29">
        <v>119</v>
      </c>
      <c r="BC29" s="63" t="s">
        <v>731</v>
      </c>
      <c r="BD29">
        <v>106</v>
      </c>
      <c r="BH29" s="46"/>
      <c r="BN29" s="46"/>
      <c r="BT29" s="46"/>
      <c r="BU29" s="63"/>
      <c r="BZ29" s="46"/>
      <c r="CA29" s="63"/>
      <c r="CF29" s="65"/>
      <c r="CG29" s="73" t="s">
        <v>313</v>
      </c>
      <c r="CH29">
        <v>12</v>
      </c>
      <c r="CL29" s="65"/>
      <c r="CM29" s="73" t="s">
        <v>368</v>
      </c>
      <c r="CN29">
        <v>215</v>
      </c>
      <c r="CO29" s="45" t="s">
        <v>771</v>
      </c>
      <c r="CP29" s="45">
        <f>SUM(CN29:CN55)</f>
        <v>338</v>
      </c>
      <c r="CR29" s="65"/>
      <c r="CS29" s="78" t="s">
        <v>605</v>
      </c>
      <c r="CT29">
        <v>33</v>
      </c>
      <c r="CU29" s="45" t="s">
        <v>776</v>
      </c>
      <c r="CV29" s="45">
        <f>STDEV(CT24:CT50)</f>
        <v>52.519604182908807</v>
      </c>
      <c r="CX29" s="65"/>
      <c r="DD29" s="65"/>
      <c r="DJ29" s="65"/>
      <c r="DP29" s="65"/>
      <c r="DV29" s="109"/>
    </row>
    <row r="30" spans="1:157" x14ac:dyDescent="0.25">
      <c r="G30" s="48"/>
      <c r="H30" s="48"/>
      <c r="I30" s="48"/>
      <c r="J30" s="48"/>
      <c r="K30" s="48"/>
      <c r="L30" s="90"/>
      <c r="M30" s="48"/>
      <c r="N30" s="48"/>
      <c r="O30" s="48"/>
      <c r="P30" s="48"/>
      <c r="Q30" s="48"/>
      <c r="R30" s="90"/>
      <c r="S30" s="48"/>
      <c r="T30" s="92"/>
      <c r="U30" s="48"/>
      <c r="V30" s="48"/>
      <c r="W30" s="48"/>
      <c r="Y30" s="48"/>
      <c r="Z30" s="48"/>
      <c r="AA30" s="48"/>
      <c r="AB30" s="48"/>
      <c r="AC30" s="48"/>
      <c r="AI30" s="45"/>
      <c r="AJ30" s="46"/>
      <c r="AU30" s="45"/>
      <c r="AW30" s="63" t="s">
        <v>817</v>
      </c>
      <c r="AX30">
        <v>114</v>
      </c>
      <c r="BC30" s="63" t="s">
        <v>732</v>
      </c>
      <c r="BD30">
        <v>94</v>
      </c>
      <c r="BH30" s="46"/>
      <c r="BI30" s="31" t="s">
        <v>841</v>
      </c>
      <c r="BJ30" t="s">
        <v>344</v>
      </c>
      <c r="BK30" s="45" t="s">
        <v>769</v>
      </c>
      <c r="BL30" s="45" t="s">
        <v>770</v>
      </c>
      <c r="BN30" s="46"/>
      <c r="BT30" s="46"/>
      <c r="BZ30" s="46"/>
      <c r="CA30" s="63"/>
      <c r="CF30" s="65"/>
      <c r="CL30" s="65"/>
      <c r="CM30" s="73" t="s">
        <v>369</v>
      </c>
      <c r="CN30">
        <v>31</v>
      </c>
      <c r="CO30" s="45" t="s">
        <v>772</v>
      </c>
      <c r="CP30" s="45">
        <f>MIN(CN29:CN55)</f>
        <v>31</v>
      </c>
      <c r="CR30" s="65"/>
      <c r="CS30" s="78" t="s">
        <v>566</v>
      </c>
      <c r="CT30">
        <v>41</v>
      </c>
      <c r="CX30" s="65"/>
      <c r="DD30" s="65"/>
      <c r="DJ30" s="65"/>
      <c r="DP30" s="65"/>
      <c r="DV30" s="109"/>
    </row>
    <row r="31" spans="1:157" x14ac:dyDescent="0.25">
      <c r="G31" s="48"/>
      <c r="H31" s="48"/>
      <c r="I31" s="48"/>
      <c r="J31" s="48"/>
      <c r="K31" s="48"/>
      <c r="L31" s="90"/>
      <c r="M31" s="48"/>
      <c r="N31" s="48"/>
      <c r="O31" s="48"/>
      <c r="P31" s="48"/>
      <c r="Q31" s="48"/>
      <c r="R31" s="90"/>
      <c r="S31" s="48"/>
      <c r="T31" s="48"/>
      <c r="U31" s="48"/>
      <c r="V31" s="48"/>
      <c r="W31" s="48"/>
      <c r="Y31" s="48"/>
      <c r="Z31" s="48"/>
      <c r="AA31" s="48"/>
      <c r="AB31" s="48"/>
      <c r="AC31" s="48"/>
      <c r="AI31" s="45"/>
      <c r="AJ31" s="46"/>
      <c r="AU31" s="45"/>
      <c r="AW31" s="63"/>
      <c r="BC31" s="63" t="s">
        <v>733</v>
      </c>
      <c r="BD31">
        <v>304</v>
      </c>
      <c r="BH31" s="46"/>
      <c r="BI31" s="63" t="s">
        <v>842</v>
      </c>
      <c r="BJ31">
        <v>138</v>
      </c>
      <c r="BK31" s="45" t="s">
        <v>771</v>
      </c>
      <c r="BL31" s="45">
        <f>SUM(BJ31:BJ33)</f>
        <v>602</v>
      </c>
      <c r="BN31" s="46"/>
      <c r="BO31" s="31" t="s">
        <v>667</v>
      </c>
      <c r="BP31" t="s">
        <v>344</v>
      </c>
      <c r="BQ31" s="45" t="s">
        <v>769</v>
      </c>
      <c r="BR31" s="45" t="s">
        <v>770</v>
      </c>
      <c r="BT31" s="46"/>
      <c r="BZ31" s="46"/>
      <c r="CA31" s="63"/>
      <c r="CF31" s="65"/>
      <c r="CL31" s="65"/>
      <c r="CM31" s="73" t="s">
        <v>370</v>
      </c>
      <c r="CN31">
        <v>48</v>
      </c>
      <c r="CO31" s="45" t="s">
        <v>773</v>
      </c>
      <c r="CP31" s="45">
        <f>MAX(CN29:CN55)</f>
        <v>215</v>
      </c>
      <c r="CR31" s="65"/>
      <c r="CS31" s="78" t="s">
        <v>567</v>
      </c>
      <c r="CT31">
        <v>73</v>
      </c>
      <c r="CX31" s="65"/>
      <c r="DD31" s="65"/>
      <c r="DJ31" s="65"/>
      <c r="DP31" s="65"/>
      <c r="DV31" s="109"/>
    </row>
    <row r="32" spans="1:157" x14ac:dyDescent="0.25">
      <c r="G32" s="48"/>
      <c r="H32" s="48"/>
      <c r="I32" s="48"/>
      <c r="J32" s="48"/>
      <c r="K32" s="48"/>
      <c r="L32" s="90"/>
      <c r="M32" s="48"/>
      <c r="N32" s="48"/>
      <c r="O32" s="48"/>
      <c r="P32" s="48"/>
      <c r="Q32" s="48"/>
      <c r="R32" s="90"/>
      <c r="S32" s="48"/>
      <c r="T32" s="48"/>
      <c r="U32" s="48"/>
      <c r="V32" s="48"/>
      <c r="W32" s="48"/>
      <c r="Y32" s="48"/>
      <c r="Z32" s="48"/>
      <c r="AA32" s="48"/>
      <c r="AB32" s="48"/>
      <c r="AC32" s="48"/>
      <c r="AI32" s="45"/>
      <c r="AJ32" s="46"/>
      <c r="AK32" s="63"/>
      <c r="AM32" s="45"/>
      <c r="AN32" s="45"/>
      <c r="AO32" s="45"/>
      <c r="AU32" s="45"/>
      <c r="BC32" s="63" t="s">
        <v>734</v>
      </c>
      <c r="BD32">
        <v>43</v>
      </c>
      <c r="BH32" s="46"/>
      <c r="BI32" s="63" t="s">
        <v>843</v>
      </c>
      <c r="BJ32">
        <v>227</v>
      </c>
      <c r="BK32" s="45" t="s">
        <v>772</v>
      </c>
      <c r="BL32" s="45">
        <f>MIN(BJ31:BJ33)</f>
        <v>138</v>
      </c>
      <c r="BN32" s="46"/>
      <c r="BO32" s="70" t="s">
        <v>891</v>
      </c>
      <c r="BP32">
        <v>135</v>
      </c>
      <c r="BQ32" s="45" t="s">
        <v>771</v>
      </c>
      <c r="BR32" s="45">
        <f>SUM(BP32:BP36)</f>
        <v>1134</v>
      </c>
      <c r="BT32" s="46"/>
      <c r="BU32" s="63"/>
      <c r="BZ32" s="46"/>
      <c r="CF32" s="65"/>
      <c r="CL32" s="65"/>
      <c r="CM32" s="73" t="s">
        <v>371</v>
      </c>
      <c r="CN32">
        <v>44</v>
      </c>
      <c r="CO32" s="45" t="s">
        <v>774</v>
      </c>
      <c r="CP32" s="45">
        <f>VAR(CN29:CN55)</f>
        <v>7621.666666666667</v>
      </c>
      <c r="CR32" s="65"/>
      <c r="CS32" s="78" t="s">
        <v>606</v>
      </c>
      <c r="CT32">
        <v>104</v>
      </c>
      <c r="CX32" s="65"/>
      <c r="DD32" s="65"/>
      <c r="DJ32" s="65"/>
      <c r="DP32" s="65"/>
      <c r="DV32" s="109"/>
    </row>
    <row r="33" spans="7:126" x14ac:dyDescent="0.25">
      <c r="G33" s="48"/>
      <c r="H33" s="48"/>
      <c r="I33" s="48"/>
      <c r="J33" s="48"/>
      <c r="K33" s="48"/>
      <c r="L33" s="90"/>
      <c r="M33" s="48"/>
      <c r="N33" s="48"/>
      <c r="O33" s="48"/>
      <c r="P33" s="48"/>
      <c r="Q33" s="48"/>
      <c r="R33" s="90"/>
      <c r="S33" s="48"/>
      <c r="T33" s="48"/>
      <c r="U33" s="48"/>
      <c r="V33" s="48"/>
      <c r="W33" s="48"/>
      <c r="Y33" s="48"/>
      <c r="Z33" s="48"/>
      <c r="AA33" s="48"/>
      <c r="AB33" s="48"/>
      <c r="AC33" s="48"/>
      <c r="AI33" s="45"/>
      <c r="AJ33" s="46"/>
      <c r="AK33" s="63"/>
      <c r="AM33" s="45"/>
      <c r="AN33" s="45"/>
      <c r="AO33" s="45"/>
      <c r="AU33" s="45"/>
      <c r="BC33" s="63" t="s">
        <v>735</v>
      </c>
      <c r="BD33">
        <v>74</v>
      </c>
      <c r="BH33" s="46"/>
      <c r="BI33" s="63" t="s">
        <v>844</v>
      </c>
      <c r="BJ33">
        <v>237</v>
      </c>
      <c r="BK33" s="45" t="s">
        <v>773</v>
      </c>
      <c r="BL33" s="45">
        <f>MAX(BJ31:BJ33)</f>
        <v>237</v>
      </c>
      <c r="BN33" s="46"/>
      <c r="BO33" s="70" t="s">
        <v>892</v>
      </c>
      <c r="BP33">
        <v>133</v>
      </c>
      <c r="BQ33" s="45" t="s">
        <v>772</v>
      </c>
      <c r="BR33" s="45">
        <f>MIN(BP32:BP36)</f>
        <v>133</v>
      </c>
      <c r="BT33" s="46"/>
      <c r="BZ33" s="46"/>
      <c r="CF33" s="65"/>
      <c r="CL33" s="65"/>
      <c r="CO33" s="45" t="s">
        <v>775</v>
      </c>
      <c r="CP33" s="45">
        <f>AVERAGE(CN29:CN55)</f>
        <v>84.5</v>
      </c>
      <c r="CR33" s="65"/>
      <c r="CS33" s="78" t="s">
        <v>607</v>
      </c>
      <c r="CT33">
        <v>95</v>
      </c>
      <c r="CX33" s="65"/>
      <c r="DD33" s="65"/>
      <c r="DJ33" s="65"/>
      <c r="DP33" s="65"/>
      <c r="DV33" s="109"/>
    </row>
    <row r="34" spans="7:126" x14ac:dyDescent="0.25">
      <c r="G34" s="48"/>
      <c r="H34" s="48"/>
      <c r="I34" s="48"/>
      <c r="J34" s="48"/>
      <c r="K34" s="48"/>
      <c r="L34" s="90"/>
      <c r="M34" s="48"/>
      <c r="N34" s="48"/>
      <c r="O34" s="48"/>
      <c r="P34" s="48"/>
      <c r="Q34" s="48"/>
      <c r="R34" s="90"/>
      <c r="S34" s="48"/>
      <c r="T34" s="48"/>
      <c r="U34" s="48"/>
      <c r="V34" s="48"/>
      <c r="W34" s="48"/>
      <c r="Y34" s="48"/>
      <c r="Z34" s="48"/>
      <c r="AA34" s="48"/>
      <c r="AB34" s="48"/>
      <c r="AC34" s="48"/>
      <c r="AI34" s="45"/>
      <c r="AJ34" s="46"/>
      <c r="AO34" s="45"/>
      <c r="AU34" s="45"/>
      <c r="BC34" s="63" t="s">
        <v>736</v>
      </c>
      <c r="BD34">
        <v>216</v>
      </c>
      <c r="BH34" s="46"/>
      <c r="BI34" s="63"/>
      <c r="BK34" s="45" t="s">
        <v>774</v>
      </c>
      <c r="BL34" s="45">
        <f>VAR(BJ31:BJ33)</f>
        <v>2970.3333333333358</v>
      </c>
      <c r="BN34" s="46"/>
      <c r="BO34" s="70" t="s">
        <v>893</v>
      </c>
      <c r="BP34">
        <v>287</v>
      </c>
      <c r="BQ34" s="45" t="s">
        <v>773</v>
      </c>
      <c r="BR34" s="45">
        <f>MAX(BP32:BP36)</f>
        <v>355</v>
      </c>
      <c r="BT34" s="46"/>
      <c r="BZ34" s="46"/>
      <c r="CF34" s="65"/>
      <c r="CL34" s="65"/>
      <c r="CO34" s="45" t="s">
        <v>776</v>
      </c>
      <c r="CP34" s="45">
        <f>STDEV(CN29:CN55)</f>
        <v>87.302157285296602</v>
      </c>
      <c r="CR34" s="65"/>
      <c r="CS34" s="78" t="s">
        <v>608</v>
      </c>
      <c r="CT34">
        <v>80</v>
      </c>
      <c r="CX34" s="65"/>
      <c r="DD34" s="65"/>
      <c r="DJ34" s="65"/>
      <c r="DP34" s="65"/>
      <c r="DV34" s="109"/>
    </row>
    <row r="35" spans="7:126" x14ac:dyDescent="0.25">
      <c r="G35" s="48"/>
      <c r="H35" s="48"/>
      <c r="I35" s="48"/>
      <c r="J35" s="48"/>
      <c r="K35" s="48"/>
      <c r="L35" s="90"/>
      <c r="M35" s="48"/>
      <c r="N35" s="48"/>
      <c r="O35" s="48"/>
      <c r="P35" s="48"/>
      <c r="Q35" s="48"/>
      <c r="R35" s="90"/>
      <c r="S35" s="48"/>
      <c r="T35" s="48"/>
      <c r="U35" s="48"/>
      <c r="V35" s="48"/>
      <c r="W35" s="48"/>
      <c r="Y35" s="48"/>
      <c r="Z35" s="48"/>
      <c r="AA35" s="48"/>
      <c r="AB35" s="48"/>
      <c r="AC35" s="48"/>
      <c r="AI35" s="45"/>
      <c r="AJ35" s="46"/>
      <c r="AO35" s="45"/>
      <c r="AU35" s="45"/>
      <c r="BH35" s="46"/>
      <c r="BI35" s="63"/>
      <c r="BK35" s="45" t="s">
        <v>775</v>
      </c>
      <c r="BL35" s="45">
        <f>AVERAGE(BJ31:BJ33)</f>
        <v>200.66666666666666</v>
      </c>
      <c r="BN35" s="46"/>
      <c r="BO35" s="70" t="s">
        <v>894</v>
      </c>
      <c r="BP35">
        <v>355</v>
      </c>
      <c r="BQ35" s="45" t="s">
        <v>774</v>
      </c>
      <c r="BR35" s="45">
        <f>VAR(BP32:BP36)</f>
        <v>9323.1999999999971</v>
      </c>
      <c r="BT35" s="46"/>
      <c r="BZ35" s="46"/>
      <c r="CF35" s="65"/>
      <c r="CL35" s="65"/>
      <c r="CR35" s="65"/>
      <c r="CS35" s="79" t="s">
        <v>572</v>
      </c>
      <c r="CT35">
        <v>160</v>
      </c>
      <c r="CX35" s="65"/>
      <c r="DD35" s="65"/>
      <c r="DJ35" s="65"/>
      <c r="DP35" s="65"/>
      <c r="DV35" s="109"/>
    </row>
    <row r="36" spans="7:126" x14ac:dyDescent="0.25">
      <c r="G36" s="48"/>
      <c r="H36" s="48"/>
      <c r="I36" s="48"/>
      <c r="J36" s="48"/>
      <c r="K36" s="48"/>
      <c r="L36" s="90"/>
      <c r="M36" s="48"/>
      <c r="N36" s="48"/>
      <c r="O36" s="48"/>
      <c r="P36" s="48"/>
      <c r="Q36" s="48"/>
      <c r="R36" s="90"/>
      <c r="S36" s="48"/>
      <c r="T36" s="48"/>
      <c r="U36" s="48"/>
      <c r="V36" s="48"/>
      <c r="W36" s="48"/>
      <c r="Y36" s="48"/>
      <c r="Z36" s="48"/>
      <c r="AA36" s="48"/>
      <c r="AB36" s="48"/>
      <c r="AC36" s="48"/>
      <c r="AJ36" s="46"/>
      <c r="AO36" s="45"/>
      <c r="AU36" s="45"/>
      <c r="BH36" s="46"/>
      <c r="BI36" s="63"/>
      <c r="BK36" s="45" t="s">
        <v>776</v>
      </c>
      <c r="BL36" s="45">
        <f>STDEV(BJ31:BJ33)</f>
        <v>54.500764520631598</v>
      </c>
      <c r="BN36" s="46"/>
      <c r="BO36" s="70" t="s">
        <v>895</v>
      </c>
      <c r="BP36">
        <v>224</v>
      </c>
      <c r="BQ36" s="45" t="s">
        <v>775</v>
      </c>
      <c r="BR36" s="45">
        <f>AVERAGE(BP32:BP36)</f>
        <v>226.8</v>
      </c>
      <c r="BT36" s="46"/>
      <c r="BZ36" s="46"/>
      <c r="CF36" s="65"/>
      <c r="CL36" s="65"/>
      <c r="CR36" s="65"/>
      <c r="CS36" s="78" t="s">
        <v>609</v>
      </c>
      <c r="CT36">
        <v>138</v>
      </c>
      <c r="CX36" s="65"/>
      <c r="DD36" s="65"/>
      <c r="DJ36" s="65"/>
      <c r="DP36" s="65"/>
      <c r="DV36" s="109"/>
    </row>
    <row r="37" spans="7:126" x14ac:dyDescent="0.25">
      <c r="G37" s="48"/>
      <c r="H37" s="48"/>
      <c r="I37" s="48"/>
      <c r="J37" s="48"/>
      <c r="K37" s="48"/>
      <c r="L37" s="90"/>
      <c r="M37" s="48"/>
      <c r="N37" s="48"/>
      <c r="O37" s="48"/>
      <c r="P37" s="48"/>
      <c r="Q37" s="48"/>
      <c r="R37" s="90"/>
      <c r="S37" s="48"/>
      <c r="T37" s="48"/>
      <c r="U37" s="48"/>
      <c r="V37" s="48"/>
      <c r="W37" s="48"/>
      <c r="Y37" s="48"/>
      <c r="Z37" s="48"/>
      <c r="AA37" s="48"/>
      <c r="AB37" s="48"/>
      <c r="AC37" s="48"/>
      <c r="AJ37" s="46"/>
      <c r="AO37" s="45"/>
      <c r="AU37" s="45"/>
      <c r="BH37" s="46"/>
      <c r="BI37" s="63"/>
      <c r="BK37" s="45"/>
      <c r="BL37" s="45"/>
      <c r="BN37" s="46"/>
      <c r="BO37" s="63"/>
      <c r="BQ37" s="45" t="s">
        <v>776</v>
      </c>
      <c r="BR37" s="45">
        <f>STDEV(BP32:BP36)</f>
        <v>96.55671908262002</v>
      </c>
      <c r="BT37" s="46"/>
      <c r="BZ37" s="46"/>
      <c r="CF37" s="65"/>
      <c r="CL37" s="65"/>
      <c r="CR37" s="65"/>
      <c r="CS37" s="78" t="s">
        <v>610</v>
      </c>
      <c r="CT37">
        <v>122</v>
      </c>
      <c r="CX37" s="65"/>
      <c r="DD37" s="65"/>
      <c r="DJ37" s="65"/>
      <c r="DP37" s="65"/>
      <c r="DV37" s="109"/>
    </row>
    <row r="38" spans="7:126" x14ac:dyDescent="0.25">
      <c r="G38" s="48"/>
      <c r="H38" s="48"/>
      <c r="I38" s="48"/>
      <c r="J38" s="48"/>
      <c r="K38" s="48"/>
      <c r="L38" s="90"/>
      <c r="M38" s="48"/>
      <c r="N38" s="48"/>
      <c r="O38" s="48"/>
      <c r="P38" s="48"/>
      <c r="Q38" s="48"/>
      <c r="R38" s="90"/>
      <c r="S38" s="48"/>
      <c r="T38" s="48"/>
      <c r="U38" s="48"/>
      <c r="V38" s="48"/>
      <c r="W38" s="48"/>
      <c r="Y38" s="48"/>
      <c r="Z38" s="48"/>
      <c r="AA38" s="48"/>
      <c r="AB38" s="48"/>
      <c r="AC38" s="48"/>
      <c r="AJ38" s="46"/>
      <c r="AO38" s="45"/>
      <c r="AU38" s="45"/>
      <c r="BH38" s="46"/>
      <c r="BN38" s="46"/>
      <c r="BO38" s="63"/>
      <c r="BQ38" s="45"/>
      <c r="BR38" s="45"/>
      <c r="BT38" s="46"/>
      <c r="BZ38" s="46"/>
      <c r="CF38" s="65"/>
      <c r="CL38" s="65"/>
      <c r="CR38" s="65"/>
      <c r="CS38" s="78" t="s">
        <v>611</v>
      </c>
      <c r="CT38">
        <v>20</v>
      </c>
      <c r="CX38" s="65"/>
      <c r="DD38" s="65"/>
      <c r="DJ38" s="65"/>
      <c r="DP38" s="65"/>
      <c r="DV38" s="109"/>
    </row>
    <row r="39" spans="7:126" x14ac:dyDescent="0.25">
      <c r="G39" s="48"/>
      <c r="H39" s="48"/>
      <c r="I39" s="48"/>
      <c r="J39" s="48"/>
      <c r="K39" s="48"/>
      <c r="L39" s="90"/>
      <c r="M39" s="48"/>
      <c r="N39" s="48"/>
      <c r="O39" s="48"/>
      <c r="P39" s="48"/>
      <c r="Q39" s="48"/>
      <c r="R39" s="90"/>
      <c r="S39" s="48"/>
      <c r="T39" s="48"/>
      <c r="U39" s="48"/>
      <c r="V39" s="48"/>
      <c r="W39" s="48"/>
      <c r="Y39" s="48"/>
      <c r="Z39" s="48"/>
      <c r="AA39" s="48"/>
      <c r="AB39" s="48"/>
      <c r="AC39" s="48"/>
      <c r="AJ39" s="46"/>
      <c r="AO39" s="45"/>
      <c r="AU39" s="45"/>
      <c r="BH39" s="46"/>
      <c r="BI39" s="31" t="s">
        <v>848</v>
      </c>
      <c r="BJ39" t="s">
        <v>344</v>
      </c>
      <c r="BK39" s="45" t="s">
        <v>769</v>
      </c>
      <c r="BL39" s="45" t="s">
        <v>770</v>
      </c>
      <c r="BN39" s="46"/>
      <c r="BT39" s="46"/>
      <c r="BZ39" s="46"/>
      <c r="CF39" s="65"/>
      <c r="CL39" s="65"/>
      <c r="CR39" s="65"/>
      <c r="CS39" s="78" t="s">
        <v>612</v>
      </c>
      <c r="CT39">
        <v>159</v>
      </c>
      <c r="CX39" s="65"/>
      <c r="DD39" s="65"/>
      <c r="DJ39" s="65"/>
      <c r="DP39" s="65"/>
      <c r="DV39" s="109"/>
    </row>
    <row r="40" spans="7:126" x14ac:dyDescent="0.25">
      <c r="G40" s="48"/>
      <c r="H40" s="48"/>
      <c r="I40" s="48"/>
      <c r="J40" s="48"/>
      <c r="K40" s="48"/>
      <c r="L40" s="90"/>
      <c r="M40" s="48"/>
      <c r="N40" s="48"/>
      <c r="O40" s="48"/>
      <c r="P40" s="48"/>
      <c r="Q40" s="48"/>
      <c r="R40" s="90"/>
      <c r="S40" s="48"/>
      <c r="T40" s="48"/>
      <c r="U40" s="48"/>
      <c r="V40" s="48"/>
      <c r="W40" s="48"/>
      <c r="Y40" s="48"/>
      <c r="Z40" s="48"/>
      <c r="AA40" s="48"/>
      <c r="AB40" s="48"/>
      <c r="AC40" s="48"/>
      <c r="AJ40" s="46"/>
      <c r="AO40" s="45"/>
      <c r="AU40" s="45"/>
      <c r="BH40" s="46"/>
      <c r="BI40" s="63" t="s">
        <v>845</v>
      </c>
      <c r="BJ40">
        <v>161</v>
      </c>
      <c r="BK40" s="45" t="s">
        <v>771</v>
      </c>
      <c r="BL40" s="45">
        <f>SUM(BJ40:BJ62)</f>
        <v>4093</v>
      </c>
      <c r="BN40" s="46"/>
      <c r="BT40" s="46"/>
      <c r="BZ40" s="46"/>
      <c r="CF40" s="65"/>
      <c r="CL40" s="65"/>
      <c r="CR40" s="65"/>
      <c r="CS40" s="78" t="s">
        <v>574</v>
      </c>
      <c r="CT40">
        <v>106</v>
      </c>
      <c r="CX40" s="65"/>
      <c r="DD40" s="65"/>
      <c r="DJ40" s="65"/>
      <c r="DP40" s="65"/>
      <c r="DV40" s="109"/>
    </row>
    <row r="41" spans="7:126" x14ac:dyDescent="0.25">
      <c r="G41" s="48"/>
      <c r="H41" s="48"/>
      <c r="I41" s="48"/>
      <c r="J41" s="48"/>
      <c r="K41" s="48"/>
      <c r="L41" s="90"/>
      <c r="M41" s="48"/>
      <c r="N41" s="48"/>
      <c r="O41" s="48"/>
      <c r="P41" s="48"/>
      <c r="Q41" s="48"/>
      <c r="R41" s="90"/>
      <c r="S41" s="48"/>
      <c r="T41" s="48"/>
      <c r="U41" s="48"/>
      <c r="V41" s="48"/>
      <c r="W41" s="48"/>
      <c r="Y41" s="48"/>
      <c r="Z41" s="48"/>
      <c r="AA41" s="48"/>
      <c r="AB41" s="48"/>
      <c r="AC41" s="48"/>
      <c r="AJ41" s="46"/>
      <c r="BH41" s="46"/>
      <c r="BI41" s="63" t="s">
        <v>846</v>
      </c>
      <c r="BJ41">
        <v>60</v>
      </c>
      <c r="BK41" s="45" t="s">
        <v>772</v>
      </c>
      <c r="BL41" s="45">
        <f>MIN(BJ40:BJ62)</f>
        <v>19</v>
      </c>
      <c r="BN41" s="46"/>
      <c r="BT41" s="46"/>
      <c r="BZ41" s="46"/>
      <c r="CF41" s="65"/>
      <c r="CL41" s="65"/>
      <c r="CR41" s="65"/>
      <c r="CX41" s="65"/>
      <c r="DD41" s="65"/>
      <c r="DJ41" s="65"/>
      <c r="DP41" s="65"/>
      <c r="DV41" s="109"/>
    </row>
    <row r="42" spans="7:126" x14ac:dyDescent="0.25">
      <c r="G42" s="48"/>
      <c r="H42" s="48"/>
      <c r="I42" s="48"/>
      <c r="J42" s="48"/>
      <c r="K42" s="48"/>
      <c r="L42" s="90"/>
      <c r="M42" s="48"/>
      <c r="N42" s="48"/>
      <c r="O42" s="48"/>
      <c r="P42" s="48"/>
      <c r="Q42" s="48"/>
      <c r="R42" s="90"/>
      <c r="S42" s="48"/>
      <c r="T42" s="48"/>
      <c r="U42" s="48"/>
      <c r="V42" s="48"/>
      <c r="W42" s="48"/>
      <c r="Y42" s="48"/>
      <c r="Z42" s="48"/>
      <c r="AA42" s="48"/>
      <c r="AB42" s="48"/>
      <c r="AC42" s="48"/>
      <c r="AI42" s="45"/>
      <c r="AJ42" s="46"/>
      <c r="BH42" s="46"/>
      <c r="BI42" s="63" t="s">
        <v>847</v>
      </c>
      <c r="BJ42">
        <v>322</v>
      </c>
      <c r="BK42" s="45" t="s">
        <v>773</v>
      </c>
      <c r="BL42" s="45">
        <f>MAX(BJ40:BJ62)</f>
        <v>723</v>
      </c>
      <c r="BN42" s="46"/>
      <c r="BT42" s="46"/>
      <c r="BZ42" s="46"/>
      <c r="CF42" s="65"/>
      <c r="CL42" s="65"/>
      <c r="CR42" s="65"/>
      <c r="CX42" s="65"/>
      <c r="DD42" s="65"/>
      <c r="DJ42" s="65"/>
      <c r="DP42" s="65"/>
      <c r="DV42" s="109"/>
    </row>
    <row r="43" spans="7:126" x14ac:dyDescent="0.25">
      <c r="G43" s="48"/>
      <c r="H43" s="48"/>
      <c r="I43" s="48"/>
      <c r="J43" s="48"/>
      <c r="K43" s="48"/>
      <c r="L43" s="90"/>
      <c r="M43" s="48"/>
      <c r="N43" s="48"/>
      <c r="O43" s="48"/>
      <c r="P43" s="48"/>
      <c r="Q43" s="48"/>
      <c r="R43" s="90"/>
      <c r="S43" s="48"/>
      <c r="T43" s="48"/>
      <c r="U43" s="48"/>
      <c r="V43" s="48"/>
      <c r="W43" s="48"/>
      <c r="Y43" s="48"/>
      <c r="Z43" s="48"/>
      <c r="AA43" s="48"/>
      <c r="AB43" s="48"/>
      <c r="AC43" s="48"/>
      <c r="AI43" s="45"/>
      <c r="AJ43" s="46"/>
      <c r="BH43" s="46"/>
      <c r="BI43" s="63" t="s">
        <v>849</v>
      </c>
      <c r="BJ43">
        <v>35</v>
      </c>
      <c r="BK43" s="45" t="s">
        <v>774</v>
      </c>
      <c r="BL43" s="45">
        <f>VAR(BJ40:BJ62)</f>
        <v>20425.861660079052</v>
      </c>
      <c r="BN43" s="46"/>
      <c r="BT43" s="46"/>
      <c r="BZ43" s="46"/>
      <c r="CF43" s="65"/>
      <c r="CL43" s="65"/>
      <c r="CR43" s="65"/>
      <c r="CX43" s="65"/>
      <c r="DD43" s="65"/>
      <c r="DJ43" s="65"/>
      <c r="DP43" s="65"/>
      <c r="DV43" s="109"/>
    </row>
    <row r="44" spans="7:126" x14ac:dyDescent="0.25">
      <c r="G44" s="48"/>
      <c r="H44" s="48"/>
      <c r="I44" s="48"/>
      <c r="J44" s="48"/>
      <c r="K44" s="48"/>
      <c r="L44" s="90"/>
      <c r="M44" s="48"/>
      <c r="N44" s="48"/>
      <c r="O44" s="48"/>
      <c r="P44" s="48"/>
      <c r="Q44" s="48"/>
      <c r="R44" s="90"/>
      <c r="S44" s="48"/>
      <c r="T44" s="48"/>
      <c r="U44" s="48"/>
      <c r="V44" s="48"/>
      <c r="W44" s="48"/>
      <c r="Y44" s="48"/>
      <c r="Z44" s="48"/>
      <c r="AA44" s="48"/>
      <c r="AB44" s="48"/>
      <c r="AC44" s="48"/>
      <c r="AI44" s="45"/>
      <c r="AJ44" s="46"/>
      <c r="BH44" s="46"/>
      <c r="BI44" s="63" t="s">
        <v>850</v>
      </c>
      <c r="BJ44">
        <v>63</v>
      </c>
      <c r="BK44" s="45" t="s">
        <v>775</v>
      </c>
      <c r="BL44" s="45">
        <f>AVERAGE(BJ40:BJ62)</f>
        <v>177.95652173913044</v>
      </c>
      <c r="BN44" s="46"/>
      <c r="BT44" s="46"/>
      <c r="BZ44" s="46"/>
      <c r="CF44" s="65"/>
      <c r="CL44" s="65"/>
      <c r="CR44" s="65"/>
      <c r="CX44" s="65"/>
      <c r="DD44" s="65"/>
      <c r="DJ44" s="65"/>
      <c r="DP44" s="65"/>
      <c r="DV44" s="109"/>
    </row>
    <row r="45" spans="7:126" x14ac:dyDescent="0.25">
      <c r="G45" s="48"/>
      <c r="H45" s="48"/>
      <c r="I45" s="48"/>
      <c r="J45" s="48"/>
      <c r="K45" s="48"/>
      <c r="L45" s="90"/>
      <c r="M45" s="48"/>
      <c r="N45" s="48"/>
      <c r="O45" s="48"/>
      <c r="P45" s="48"/>
      <c r="Q45" s="48"/>
      <c r="R45" s="90"/>
      <c r="S45" s="48"/>
      <c r="T45" s="48"/>
      <c r="U45" s="48"/>
      <c r="V45" s="48"/>
      <c r="W45" s="48"/>
      <c r="Y45" s="48"/>
      <c r="Z45" s="48"/>
      <c r="AA45" s="48"/>
      <c r="AB45" s="48"/>
      <c r="AC45" s="48"/>
      <c r="AI45" s="45"/>
      <c r="AJ45" s="46"/>
      <c r="BH45" s="46"/>
      <c r="BI45" s="63" t="s">
        <v>851</v>
      </c>
      <c r="BJ45">
        <v>228</v>
      </c>
      <c r="BK45" s="45" t="s">
        <v>776</v>
      </c>
      <c r="BL45" s="45">
        <f>STDEV(BJ40:BJ62)</f>
        <v>142.91907381479581</v>
      </c>
      <c r="BN45" s="46"/>
      <c r="BT45" s="46"/>
      <c r="BZ45" s="46"/>
      <c r="CF45" s="65"/>
      <c r="CL45" s="65"/>
      <c r="CR45" s="65"/>
      <c r="CX45" s="65"/>
      <c r="DD45" s="65"/>
      <c r="DJ45" s="65"/>
      <c r="DP45" s="65"/>
      <c r="DV45" s="109"/>
    </row>
    <row r="46" spans="7:126" x14ac:dyDescent="0.25">
      <c r="G46" s="48"/>
      <c r="H46" s="48"/>
      <c r="I46" s="48"/>
      <c r="J46" s="48"/>
      <c r="K46" s="48"/>
      <c r="L46" s="90"/>
      <c r="M46" s="48"/>
      <c r="N46" s="48"/>
      <c r="O46" s="48"/>
      <c r="P46" s="48"/>
      <c r="Q46" s="48"/>
      <c r="R46" s="90"/>
      <c r="S46" s="48"/>
      <c r="T46" s="48"/>
      <c r="U46" s="48"/>
      <c r="V46" s="48"/>
      <c r="W46" s="48"/>
      <c r="AI46" s="45"/>
      <c r="AJ46" s="46"/>
      <c r="BH46" s="46"/>
      <c r="BI46" s="63" t="s">
        <v>852</v>
      </c>
      <c r="BJ46">
        <v>214</v>
      </c>
      <c r="BN46" s="46"/>
      <c r="BT46" s="46"/>
      <c r="BZ46" s="46"/>
      <c r="CF46" s="65"/>
      <c r="CL46" s="65"/>
      <c r="CR46" s="65"/>
      <c r="CX46" s="65"/>
      <c r="DD46" s="65"/>
      <c r="DJ46" s="65"/>
      <c r="DP46" s="65"/>
      <c r="DV46" s="109"/>
    </row>
    <row r="47" spans="7:126" x14ac:dyDescent="0.25">
      <c r="S47" s="48"/>
      <c r="T47" s="48"/>
      <c r="U47" s="48"/>
      <c r="V47" s="48"/>
      <c r="W47" s="48"/>
      <c r="AI47" s="45"/>
      <c r="AJ47" s="46"/>
      <c r="BH47" s="46"/>
      <c r="BI47" s="63" t="s">
        <v>853</v>
      </c>
      <c r="BJ47">
        <v>219</v>
      </c>
      <c r="BN47" s="46"/>
      <c r="BT47" s="46"/>
      <c r="BZ47" s="46"/>
      <c r="CF47" s="65"/>
      <c r="CL47" s="65"/>
      <c r="CR47" s="65"/>
      <c r="CX47" s="65"/>
      <c r="DD47" s="65"/>
      <c r="DJ47" s="65"/>
      <c r="DP47" s="65"/>
      <c r="DV47" s="109"/>
    </row>
    <row r="48" spans="7:126" x14ac:dyDescent="0.25">
      <c r="S48" s="48"/>
      <c r="T48" s="48"/>
      <c r="U48" s="48"/>
      <c r="V48" s="48"/>
      <c r="W48" s="48"/>
      <c r="AI48" s="45"/>
      <c r="AJ48" s="46"/>
      <c r="BH48" s="46"/>
      <c r="BI48" s="63" t="s">
        <v>854</v>
      </c>
      <c r="BJ48">
        <v>197</v>
      </c>
      <c r="BN48" s="46"/>
      <c r="BT48" s="46"/>
      <c r="BZ48" s="46"/>
      <c r="CF48" s="65"/>
      <c r="CL48" s="65"/>
      <c r="CR48" s="65"/>
      <c r="CX48" s="65"/>
      <c r="DD48" s="65"/>
      <c r="DJ48" s="65"/>
      <c r="DP48" s="65"/>
      <c r="DV48" s="109"/>
    </row>
    <row r="49" spans="19:161" x14ac:dyDescent="0.25">
      <c r="S49" s="48"/>
      <c r="T49" s="48"/>
      <c r="U49" s="48"/>
      <c r="V49" s="48"/>
      <c r="W49" s="48"/>
      <c r="AI49" s="45"/>
      <c r="AJ49" s="46"/>
      <c r="BH49" s="46"/>
      <c r="BI49" s="63" t="s">
        <v>855</v>
      </c>
      <c r="BJ49">
        <v>19</v>
      </c>
      <c r="BN49" s="46"/>
      <c r="BT49" s="46"/>
      <c r="BZ49" s="46"/>
      <c r="CF49" s="65"/>
      <c r="CL49" s="65"/>
      <c r="CR49" s="65"/>
      <c r="CX49" s="65"/>
      <c r="DD49" s="65"/>
      <c r="DJ49" s="65"/>
      <c r="DP49" s="65"/>
      <c r="DV49" s="109"/>
    </row>
    <row r="50" spans="19:161" x14ac:dyDescent="0.25">
      <c r="AI50" s="45"/>
      <c r="AJ50" s="46"/>
      <c r="BH50" s="46"/>
      <c r="BI50" s="63" t="s">
        <v>677</v>
      </c>
      <c r="BJ50">
        <v>50</v>
      </c>
      <c r="BN50" s="46"/>
      <c r="BT50" s="46"/>
      <c r="BZ50" s="46"/>
      <c r="CF50" s="65"/>
      <c r="CL50" s="65"/>
      <c r="CR50" s="65"/>
      <c r="CX50" s="65"/>
      <c r="DD50" s="65"/>
      <c r="DJ50" s="65"/>
      <c r="DP50" s="65"/>
      <c r="DV50" s="109"/>
    </row>
    <row r="51" spans="19:161" x14ac:dyDescent="0.25">
      <c r="AI51" s="45"/>
      <c r="AJ51" s="46"/>
      <c r="AO51" s="45"/>
      <c r="BH51" s="46"/>
      <c r="BI51" s="63" t="s">
        <v>856</v>
      </c>
      <c r="BJ51">
        <v>723</v>
      </c>
      <c r="BN51" s="46"/>
      <c r="BT51" s="46"/>
      <c r="BZ51" s="46"/>
      <c r="CF51" s="65"/>
      <c r="CL51" s="65"/>
      <c r="CR51" s="65"/>
      <c r="CX51" s="65"/>
      <c r="DD51" s="65"/>
      <c r="DJ51" s="65"/>
      <c r="DP51" s="65"/>
      <c r="DV51" s="109"/>
    </row>
    <row r="52" spans="19:161" x14ac:dyDescent="0.25">
      <c r="AI52" s="45"/>
      <c r="AJ52" s="46"/>
      <c r="AO52" s="45"/>
      <c r="BH52" s="46"/>
      <c r="BI52" s="63" t="s">
        <v>857</v>
      </c>
      <c r="BJ52">
        <v>259</v>
      </c>
      <c r="BN52" s="46"/>
      <c r="BT52" s="46"/>
      <c r="BZ52" s="46"/>
      <c r="CF52" s="65"/>
      <c r="CL52" s="65"/>
      <c r="CR52" s="65"/>
      <c r="CX52" s="65"/>
      <c r="DD52" s="65"/>
      <c r="DJ52" s="65"/>
      <c r="DP52" s="65"/>
      <c r="DV52" s="109"/>
    </row>
    <row r="53" spans="19:161" x14ac:dyDescent="0.25">
      <c r="AI53" s="45"/>
      <c r="AJ53" s="46"/>
      <c r="AO53" s="45"/>
      <c r="BH53" s="46"/>
      <c r="BI53" s="63" t="s">
        <v>858</v>
      </c>
      <c r="BJ53">
        <v>155</v>
      </c>
      <c r="BN53" s="46"/>
      <c r="BT53" s="46"/>
      <c r="BZ53" s="46"/>
      <c r="CF53" s="65"/>
      <c r="CL53" s="65"/>
      <c r="CR53" s="65"/>
      <c r="CX53" s="65"/>
      <c r="DD53" s="65"/>
      <c r="DJ53" s="65"/>
      <c r="DP53" s="65"/>
      <c r="DV53" s="109"/>
    </row>
    <row r="54" spans="19:161" x14ac:dyDescent="0.25">
      <c r="AI54" s="45"/>
      <c r="AJ54" s="46"/>
      <c r="AO54" s="45"/>
      <c r="BH54" s="46"/>
      <c r="BI54" s="63" t="s">
        <v>859</v>
      </c>
      <c r="BJ54">
        <v>244</v>
      </c>
      <c r="BN54" s="46"/>
      <c r="BT54" s="46"/>
      <c r="BZ54" s="46"/>
      <c r="CF54" s="65"/>
      <c r="CL54" s="65"/>
      <c r="CR54" s="65"/>
      <c r="CX54" s="65"/>
      <c r="DD54" s="65"/>
      <c r="DJ54" s="65"/>
      <c r="DP54" s="65"/>
      <c r="DV54" s="109"/>
    </row>
    <row r="55" spans="19:161" x14ac:dyDescent="0.25">
      <c r="AI55" s="45"/>
      <c r="AJ55" s="46"/>
      <c r="AO55" s="45"/>
      <c r="BH55" s="46"/>
      <c r="BI55" s="63" t="s">
        <v>860</v>
      </c>
      <c r="BJ55">
        <v>115</v>
      </c>
      <c r="BN55" s="46"/>
      <c r="BT55" s="46"/>
      <c r="BZ55" s="46"/>
      <c r="CF55" s="65"/>
      <c r="CL55" s="65"/>
      <c r="CR55" s="65"/>
      <c r="CX55" s="65"/>
      <c r="DD55" s="65"/>
      <c r="DJ55" s="65"/>
      <c r="DP55" s="65"/>
      <c r="DV55" s="109"/>
    </row>
    <row r="56" spans="19:161" x14ac:dyDescent="0.25">
      <c r="AJ56" s="46"/>
      <c r="AO56" s="45"/>
      <c r="BH56" s="46"/>
      <c r="BI56" s="63" t="s">
        <v>861</v>
      </c>
      <c r="BJ56">
        <v>192</v>
      </c>
      <c r="BN56" s="46"/>
      <c r="BT56" s="46"/>
      <c r="BZ56" s="46"/>
      <c r="CF56" s="65"/>
      <c r="CL56" s="65"/>
      <c r="CR56" s="65"/>
      <c r="CX56" s="65"/>
      <c r="DD56" s="65"/>
      <c r="DJ56" s="65"/>
      <c r="DP56" s="65"/>
      <c r="DV56" s="109"/>
    </row>
    <row r="57" spans="19:161" x14ac:dyDescent="0.25">
      <c r="AJ57" s="46"/>
      <c r="AO57" s="45"/>
      <c r="BH57" s="46"/>
      <c r="BI57" s="63" t="s">
        <v>862</v>
      </c>
      <c r="BJ57">
        <v>92</v>
      </c>
      <c r="BN57" s="46"/>
      <c r="BT57" s="46"/>
      <c r="BZ57" s="46"/>
      <c r="CF57" s="65"/>
      <c r="CL57" s="65"/>
      <c r="CR57" s="65"/>
      <c r="CX57" s="65"/>
      <c r="DD57" s="65"/>
      <c r="DJ57" s="65"/>
      <c r="DP57" s="65"/>
      <c r="DV57" s="109"/>
    </row>
    <row r="58" spans="19:161" x14ac:dyDescent="0.25">
      <c r="AJ58" s="46"/>
      <c r="AO58" s="45"/>
      <c r="BH58" s="46"/>
      <c r="BI58" s="63" t="s">
        <v>863</v>
      </c>
      <c r="BJ58">
        <v>117</v>
      </c>
      <c r="BN58" s="46"/>
      <c r="BT58" s="46"/>
      <c r="BZ58" s="46"/>
      <c r="CF58" s="65"/>
      <c r="CL58" s="65"/>
      <c r="CR58" s="65"/>
      <c r="CX58" s="65"/>
      <c r="DD58" s="65"/>
      <c r="DJ58" s="65"/>
      <c r="DP58" s="65"/>
      <c r="DV58" s="109"/>
    </row>
    <row r="59" spans="19:161" x14ac:dyDescent="0.25">
      <c r="AJ59" s="46"/>
      <c r="AO59" s="45"/>
      <c r="AQ59" s="47"/>
      <c r="AR59" s="45"/>
      <c r="AS59" s="45"/>
      <c r="AT59" s="45"/>
      <c r="BH59" s="46"/>
      <c r="BI59" s="63" t="s">
        <v>864</v>
      </c>
      <c r="BJ59">
        <v>111</v>
      </c>
      <c r="BN59" s="46"/>
      <c r="BT59" s="46"/>
      <c r="BZ59" s="46"/>
      <c r="CF59" s="65"/>
      <c r="CL59" s="65"/>
      <c r="CR59" s="65"/>
      <c r="CX59" s="65"/>
      <c r="DD59" s="65"/>
      <c r="DJ59" s="65"/>
      <c r="DP59" s="65"/>
      <c r="DV59" s="109"/>
    </row>
    <row r="60" spans="19:161" x14ac:dyDescent="0.25">
      <c r="AI60" s="45"/>
      <c r="AJ60" s="46"/>
      <c r="AO60" s="45"/>
      <c r="AQ60" s="47"/>
      <c r="AR60" s="45"/>
      <c r="AS60" s="45"/>
      <c r="AT60" s="45"/>
      <c r="BH60" s="46"/>
      <c r="BI60" s="63" t="s">
        <v>865</v>
      </c>
      <c r="BJ60">
        <v>221</v>
      </c>
      <c r="BN60" s="46"/>
      <c r="BT60" s="46"/>
      <c r="BZ60" s="46"/>
      <c r="CF60" s="65"/>
      <c r="CL60" s="65"/>
      <c r="CR60" s="65"/>
      <c r="CX60" s="65"/>
      <c r="DD60" s="65"/>
      <c r="DJ60" s="65"/>
      <c r="DP60" s="65"/>
      <c r="DV60" s="109"/>
    </row>
    <row r="61" spans="19:161" x14ac:dyDescent="0.25">
      <c r="AJ61" s="46"/>
      <c r="AO61" s="45"/>
      <c r="AQ61" s="45"/>
      <c r="BH61" s="46"/>
      <c r="BI61" s="63" t="s">
        <v>866</v>
      </c>
      <c r="BJ61">
        <v>122</v>
      </c>
      <c r="BN61" s="46"/>
      <c r="BT61" s="46"/>
      <c r="BZ61" s="46"/>
      <c r="CF61" s="65"/>
      <c r="CL61" s="65"/>
      <c r="CR61" s="65"/>
      <c r="CX61" s="65"/>
      <c r="DD61" s="65"/>
      <c r="DJ61" s="65"/>
      <c r="DP61" s="65"/>
      <c r="DV61" s="109"/>
    </row>
    <row r="62" spans="19:161" x14ac:dyDescent="0.25">
      <c r="AI62" s="45"/>
      <c r="AJ62" s="46"/>
      <c r="AO62" s="45"/>
      <c r="AQ62" s="45"/>
      <c r="AR62" s="45"/>
      <c r="AS62" s="45"/>
      <c r="AT62" s="45"/>
      <c r="BH62" s="46"/>
      <c r="BI62" s="63" t="s">
        <v>867</v>
      </c>
      <c r="BJ62">
        <v>174</v>
      </c>
      <c r="BN62" s="46"/>
      <c r="BT62" s="46"/>
      <c r="BZ62" s="46"/>
      <c r="CF62" s="65"/>
      <c r="CL62" s="65"/>
      <c r="CR62" s="65"/>
      <c r="CX62" s="65"/>
      <c r="DD62" s="65"/>
      <c r="DJ62" s="65"/>
      <c r="DP62" s="65"/>
      <c r="DV62" s="109"/>
    </row>
    <row r="63" spans="19:161" x14ac:dyDescent="0.25">
      <c r="AI63" s="45"/>
      <c r="AJ63" s="46"/>
      <c r="AO63" s="45"/>
      <c r="AQ63" s="63"/>
      <c r="AR63" s="45"/>
      <c r="AS63" s="45"/>
      <c r="AT63" s="45"/>
      <c r="BH63" s="46"/>
      <c r="BI63" s="63"/>
      <c r="BN63" s="46"/>
      <c r="BT63" s="46"/>
      <c r="BZ63" s="46"/>
      <c r="CF63" s="65"/>
      <c r="CL63" s="65"/>
      <c r="CR63" s="65"/>
      <c r="CX63" s="65"/>
      <c r="DD63" s="65"/>
      <c r="DJ63" s="65"/>
      <c r="DP63" s="65"/>
      <c r="DV63" s="109"/>
    </row>
    <row r="64" spans="19:161" s="82" customFormat="1" x14ac:dyDescent="0.25">
      <c r="AE64" s="94"/>
      <c r="AG64" s="95"/>
      <c r="AH64" s="95"/>
      <c r="AI64" s="95"/>
      <c r="AK64" s="91"/>
      <c r="AM64" s="95"/>
      <c r="AN64" s="95"/>
      <c r="AO64" s="95"/>
      <c r="AS64" s="95"/>
      <c r="AT64" s="95"/>
      <c r="AU64" s="95"/>
      <c r="AW64" s="91"/>
      <c r="DV64" s="109"/>
      <c r="EA64" s="109"/>
      <c r="EG64" s="109"/>
      <c r="EM64" s="109"/>
      <c r="ES64" s="109"/>
      <c r="EY64" s="109"/>
      <c r="FE64" s="109"/>
    </row>
    <row r="65" spans="1:161" s="82" customFormat="1" x14ac:dyDescent="0.25">
      <c r="AE65" s="94"/>
      <c r="AG65" s="95"/>
      <c r="AH65" s="95"/>
      <c r="AI65" s="95"/>
      <c r="AK65" s="91"/>
      <c r="AM65" s="95"/>
      <c r="AN65" s="95"/>
      <c r="AO65" s="95"/>
      <c r="AS65" s="95"/>
      <c r="AT65" s="95"/>
      <c r="AU65" s="95"/>
      <c r="DV65" s="109"/>
      <c r="EA65" s="109"/>
      <c r="EG65" s="109"/>
      <c r="EM65" s="109"/>
      <c r="ES65" s="109"/>
      <c r="EY65" s="109"/>
      <c r="FE65" s="109"/>
    </row>
    <row r="66" spans="1:161" x14ac:dyDescent="0.25">
      <c r="A66" s="48" t="s">
        <v>273</v>
      </c>
      <c r="B66" s="48"/>
      <c r="C66" s="48"/>
      <c r="D66" s="48"/>
      <c r="E66" s="48"/>
      <c r="G66" s="48" t="s">
        <v>258</v>
      </c>
      <c r="H66" s="48"/>
      <c r="I66" s="48"/>
      <c r="J66" s="48"/>
      <c r="K66" s="48"/>
      <c r="L66" s="90"/>
      <c r="M66" s="48" t="s">
        <v>268</v>
      </c>
      <c r="N66" s="48"/>
      <c r="O66" s="48"/>
      <c r="P66" s="48"/>
      <c r="Q66" s="48"/>
      <c r="R66" s="90"/>
      <c r="S66" s="48" t="s">
        <v>270</v>
      </c>
      <c r="T66" s="48"/>
      <c r="U66" s="48"/>
      <c r="V66" s="48"/>
      <c r="W66" s="48"/>
      <c r="X66" s="90"/>
      <c r="Y66" s="48" t="s">
        <v>272</v>
      </c>
      <c r="Z66" s="48"/>
      <c r="AA66" s="48"/>
      <c r="AB66" s="48"/>
      <c r="AC66" s="48"/>
      <c r="AE66" s="45"/>
      <c r="AF66" s="45"/>
      <c r="AI66" s="45"/>
      <c r="AJ66" s="46"/>
      <c r="AQ66" s="63"/>
      <c r="AR66" s="45"/>
      <c r="AS66" s="45"/>
      <c r="AT66" s="45"/>
      <c r="BH66" s="46"/>
      <c r="BN66" s="46"/>
      <c r="BT66" s="46"/>
      <c r="BZ66" s="46"/>
      <c r="CF66" s="65"/>
      <c r="CL66" s="65"/>
      <c r="CR66" s="65"/>
      <c r="CX66" s="65"/>
      <c r="DD66" s="65"/>
      <c r="DJ66" s="65"/>
      <c r="DP66" s="65"/>
      <c r="DV66" s="109"/>
    </row>
    <row r="67" spans="1:161" x14ac:dyDescent="0.25">
      <c r="A67" s="48"/>
      <c r="B67" s="48"/>
      <c r="C67" s="48"/>
      <c r="D67" s="48"/>
      <c r="E67" s="48"/>
      <c r="G67" s="48"/>
      <c r="H67" s="48"/>
      <c r="I67" s="48"/>
      <c r="J67" s="48"/>
      <c r="K67" s="48"/>
      <c r="L67" s="90"/>
      <c r="M67" s="48"/>
      <c r="N67" s="48"/>
      <c r="O67" s="48"/>
      <c r="P67" s="48"/>
      <c r="Q67" s="48"/>
      <c r="R67" s="90"/>
      <c r="S67" s="48"/>
      <c r="T67" s="48"/>
      <c r="U67" s="48"/>
      <c r="V67" s="48"/>
      <c r="W67" s="48"/>
      <c r="X67" s="90"/>
      <c r="Y67" s="48"/>
      <c r="Z67" s="48"/>
      <c r="AA67" s="48"/>
      <c r="AB67" s="48"/>
      <c r="AC67" s="48"/>
      <c r="AE67" s="62"/>
      <c r="AG67" s="45"/>
      <c r="AH67" s="45"/>
      <c r="AI67" s="45"/>
      <c r="AJ67" s="46"/>
      <c r="AQ67" s="63"/>
      <c r="AR67" s="45"/>
      <c r="AS67" s="45"/>
      <c r="AT67" s="45"/>
      <c r="BH67" s="46"/>
      <c r="BN67" s="46"/>
      <c r="BT67" s="46"/>
      <c r="BZ67" s="46"/>
      <c r="CF67" s="65"/>
      <c r="CL67" s="65"/>
      <c r="CR67" s="65"/>
      <c r="CX67" s="65"/>
      <c r="DD67" s="65"/>
      <c r="DJ67" s="65"/>
      <c r="DP67" s="65"/>
      <c r="DV67" s="109"/>
    </row>
    <row r="68" spans="1:161" x14ac:dyDescent="0.25">
      <c r="A68" s="96" t="s">
        <v>9</v>
      </c>
      <c r="B68" s="48"/>
      <c r="C68" s="48"/>
      <c r="D68" s="48"/>
      <c r="E68" s="48"/>
      <c r="G68" s="96" t="s">
        <v>9</v>
      </c>
      <c r="H68" s="48"/>
      <c r="I68" s="48"/>
      <c r="J68" s="48"/>
      <c r="K68" s="48"/>
      <c r="L68" s="90"/>
      <c r="M68" s="96" t="s">
        <v>194</v>
      </c>
      <c r="N68" s="48"/>
      <c r="O68" s="48"/>
      <c r="P68" s="48"/>
      <c r="Q68" s="48"/>
      <c r="R68" s="90"/>
      <c r="S68" s="96" t="s">
        <v>9</v>
      </c>
      <c r="T68" s="48"/>
      <c r="U68" s="48"/>
      <c r="V68" s="48"/>
      <c r="W68" s="48"/>
      <c r="X68" s="90"/>
      <c r="Y68" s="96" t="s">
        <v>9</v>
      </c>
      <c r="Z68" s="48"/>
      <c r="AA68" s="48"/>
      <c r="AB68" s="48"/>
      <c r="AC68" s="48"/>
      <c r="AE68" s="62"/>
      <c r="AG68" s="45"/>
      <c r="AH68" s="45"/>
      <c r="AI68" s="45"/>
      <c r="AJ68" s="46"/>
      <c r="AQ68" s="63"/>
      <c r="AR68" s="45"/>
      <c r="AS68" s="45"/>
      <c r="AT68" s="45"/>
      <c r="BH68" s="46"/>
      <c r="BN68" s="46"/>
      <c r="BT68" s="46"/>
      <c r="BZ68" s="46"/>
      <c r="CF68" s="65"/>
      <c r="CL68" s="65"/>
      <c r="CR68" s="65"/>
      <c r="CX68" s="65"/>
      <c r="DD68" s="65"/>
      <c r="DJ68" s="65"/>
      <c r="DP68" s="65"/>
      <c r="DV68" s="109"/>
    </row>
    <row r="69" spans="1:161" x14ac:dyDescent="0.25">
      <c r="A69" s="48" t="s">
        <v>768</v>
      </c>
      <c r="B69" s="48" t="s">
        <v>344</v>
      </c>
      <c r="C69" s="48" t="s">
        <v>769</v>
      </c>
      <c r="D69" s="48" t="s">
        <v>770</v>
      </c>
      <c r="E69" s="48"/>
      <c r="G69" s="48" t="s">
        <v>768</v>
      </c>
      <c r="H69" s="48" t="s">
        <v>344</v>
      </c>
      <c r="I69" s="48" t="s">
        <v>769</v>
      </c>
      <c r="J69" s="48" t="s">
        <v>770</v>
      </c>
      <c r="K69" s="48"/>
      <c r="L69" s="90"/>
      <c r="M69" s="48" t="s">
        <v>768</v>
      </c>
      <c r="N69" s="48" t="s">
        <v>344</v>
      </c>
      <c r="O69" s="48"/>
      <c r="P69" s="48"/>
      <c r="Q69" s="48"/>
      <c r="R69" s="90"/>
      <c r="S69" s="48" t="s">
        <v>768</v>
      </c>
      <c r="T69" s="48" t="s">
        <v>344</v>
      </c>
      <c r="U69" s="48" t="s">
        <v>769</v>
      </c>
      <c r="V69" s="48" t="s">
        <v>770</v>
      </c>
      <c r="W69" s="48"/>
      <c r="X69" s="90"/>
      <c r="Y69" s="48" t="s">
        <v>768</v>
      </c>
      <c r="Z69" s="48" t="s">
        <v>344</v>
      </c>
      <c r="AA69" s="48" t="s">
        <v>769</v>
      </c>
      <c r="AB69" s="48" t="s">
        <v>770</v>
      </c>
      <c r="AC69" s="48"/>
      <c r="AE69" s="45" t="s">
        <v>9</v>
      </c>
      <c r="AF69" s="45"/>
      <c r="AG69" s="45"/>
      <c r="AH69" s="45"/>
      <c r="AI69" s="45"/>
      <c r="AJ69" s="46"/>
      <c r="AK69" s="45" t="s">
        <v>9</v>
      </c>
      <c r="AL69" s="45"/>
      <c r="AM69" s="45"/>
      <c r="AN69" s="45"/>
      <c r="AQ69" s="45" t="s">
        <v>9</v>
      </c>
      <c r="AW69" s="45" t="s">
        <v>9</v>
      </c>
      <c r="BC69" s="45" t="s">
        <v>9</v>
      </c>
      <c r="BH69" s="46"/>
      <c r="BI69" s="45" t="s">
        <v>9</v>
      </c>
      <c r="BN69" s="46"/>
      <c r="BO69" s="45" t="s">
        <v>9</v>
      </c>
      <c r="BT69" s="46"/>
      <c r="BU69" s="47" t="s">
        <v>9</v>
      </c>
      <c r="BV69" s="45"/>
      <c r="BW69" s="45"/>
      <c r="BX69" s="45"/>
      <c r="BZ69" s="46"/>
      <c r="CA69" s="47" t="s">
        <v>9</v>
      </c>
      <c r="CB69" s="45"/>
      <c r="CC69" s="45"/>
      <c r="CD69" s="45"/>
      <c r="CF69" s="65"/>
      <c r="CG69" s="47" t="s">
        <v>9</v>
      </c>
      <c r="CH69" s="45"/>
      <c r="CI69" s="45"/>
      <c r="CJ69" s="45"/>
      <c r="CL69" s="65"/>
      <c r="CM69" s="47" t="s">
        <v>9</v>
      </c>
      <c r="CR69" s="65"/>
      <c r="CS69" s="45" t="s">
        <v>9</v>
      </c>
      <c r="CX69" s="65"/>
      <c r="CY69" s="45" t="s">
        <v>9</v>
      </c>
      <c r="DD69" s="65"/>
      <c r="DE69" s="45" t="s">
        <v>9</v>
      </c>
      <c r="DJ69" s="65"/>
      <c r="DK69" s="45" t="s">
        <v>9</v>
      </c>
      <c r="DP69" s="65"/>
      <c r="DQ69" t="s">
        <v>337</v>
      </c>
      <c r="DV69" s="109"/>
      <c r="DW69" t="s">
        <v>322</v>
      </c>
      <c r="EB69" t="s">
        <v>337</v>
      </c>
      <c r="EH69" t="s">
        <v>337</v>
      </c>
      <c r="EN69" t="s">
        <v>322</v>
      </c>
      <c r="ET69" t="s">
        <v>322</v>
      </c>
      <c r="EZ69" t="s">
        <v>322</v>
      </c>
    </row>
    <row r="70" spans="1:161" x14ac:dyDescent="0.25">
      <c r="A70" s="64" t="s">
        <v>1026</v>
      </c>
      <c r="B70" s="48">
        <v>0</v>
      </c>
      <c r="C70" s="48" t="s">
        <v>771</v>
      </c>
      <c r="D70" s="48">
        <f>SUM(B70:B94)</f>
        <v>3</v>
      </c>
      <c r="E70" s="48"/>
      <c r="G70" s="64" t="s">
        <v>940</v>
      </c>
      <c r="H70" s="48">
        <v>0</v>
      </c>
      <c r="I70" s="48" t="s">
        <v>771</v>
      </c>
      <c r="J70" s="48">
        <f>SUM(H70:H84)</f>
        <v>1</v>
      </c>
      <c r="K70" s="48"/>
      <c r="L70" s="90"/>
      <c r="M70" s="48" t="s">
        <v>954</v>
      </c>
      <c r="N70" s="48">
        <v>0</v>
      </c>
      <c r="O70" s="48" t="s">
        <v>769</v>
      </c>
      <c r="P70" s="48" t="s">
        <v>770</v>
      </c>
      <c r="Q70" s="48"/>
      <c r="R70" s="90"/>
      <c r="S70" s="92" t="s">
        <v>976</v>
      </c>
      <c r="T70" s="48">
        <v>0</v>
      </c>
      <c r="U70" s="48" t="s">
        <v>771</v>
      </c>
      <c r="V70" s="48">
        <f>SUM(T70:T94)</f>
        <v>2</v>
      </c>
      <c r="W70" s="48"/>
      <c r="X70" s="90"/>
      <c r="Y70" s="48" t="s">
        <v>899</v>
      </c>
      <c r="Z70" s="48">
        <v>1</v>
      </c>
      <c r="AA70" s="48" t="s">
        <v>771</v>
      </c>
      <c r="AB70" s="48">
        <f>SUM(Z70:Z94)</f>
        <v>4</v>
      </c>
      <c r="AC70" s="48"/>
      <c r="AE70" s="45" t="s">
        <v>768</v>
      </c>
      <c r="AF70" s="45" t="s">
        <v>344</v>
      </c>
      <c r="AG70" s="45" t="s">
        <v>769</v>
      </c>
      <c r="AH70" s="45" t="s">
        <v>770</v>
      </c>
      <c r="AI70" s="45"/>
      <c r="AJ70" s="46"/>
      <c r="AK70" s="45" t="s">
        <v>768</v>
      </c>
      <c r="AL70" s="45" t="s">
        <v>344</v>
      </c>
      <c r="AM70" s="45" t="s">
        <v>769</v>
      </c>
      <c r="AN70" s="45" t="s">
        <v>770</v>
      </c>
      <c r="AQ70" s="45" t="s">
        <v>768</v>
      </c>
      <c r="AR70" s="45" t="s">
        <v>344</v>
      </c>
      <c r="AS70" s="45" t="s">
        <v>769</v>
      </c>
      <c r="AT70" s="45" t="s">
        <v>770</v>
      </c>
      <c r="AW70" s="45" t="s">
        <v>768</v>
      </c>
      <c r="AX70" s="45" t="s">
        <v>344</v>
      </c>
      <c r="AY70" s="45" t="s">
        <v>769</v>
      </c>
      <c r="AZ70" s="45" t="s">
        <v>770</v>
      </c>
      <c r="BC70" s="45" t="s">
        <v>768</v>
      </c>
      <c r="BD70" s="45" t="s">
        <v>344</v>
      </c>
      <c r="BE70" s="45" t="s">
        <v>769</v>
      </c>
      <c r="BF70" s="45" t="s">
        <v>770</v>
      </c>
      <c r="BH70" s="46"/>
      <c r="BI70" s="45" t="s">
        <v>768</v>
      </c>
      <c r="BJ70" s="45" t="s">
        <v>344</v>
      </c>
      <c r="BK70" s="45" t="s">
        <v>769</v>
      </c>
      <c r="BL70" s="45" t="s">
        <v>770</v>
      </c>
      <c r="BN70" s="46"/>
      <c r="BO70" s="45" t="s">
        <v>768</v>
      </c>
      <c r="BP70" s="45" t="s">
        <v>344</v>
      </c>
      <c r="BQ70" s="45" t="s">
        <v>769</v>
      </c>
      <c r="BR70" s="45" t="s">
        <v>770</v>
      </c>
      <c r="BT70" s="46"/>
      <c r="BU70" s="45" t="s">
        <v>768</v>
      </c>
      <c r="BV70" s="45" t="s">
        <v>344</v>
      </c>
      <c r="BW70" s="45" t="s">
        <v>769</v>
      </c>
      <c r="BX70" s="45" t="s">
        <v>770</v>
      </c>
      <c r="BZ70" s="46"/>
      <c r="CA70" s="45" t="s">
        <v>768</v>
      </c>
      <c r="CB70" s="45" t="s">
        <v>344</v>
      </c>
      <c r="CC70" s="45" t="s">
        <v>769</v>
      </c>
      <c r="CD70" s="45" t="s">
        <v>770</v>
      </c>
      <c r="CF70" s="65"/>
      <c r="CG70" s="45" t="s">
        <v>768</v>
      </c>
      <c r="CH70" s="45" t="s">
        <v>344</v>
      </c>
      <c r="CI70" s="45" t="s">
        <v>769</v>
      </c>
      <c r="CJ70" s="45" t="s">
        <v>770</v>
      </c>
      <c r="CL70" s="65"/>
      <c r="CM70" s="45" t="s">
        <v>768</v>
      </c>
      <c r="CN70" s="45" t="s">
        <v>344</v>
      </c>
      <c r="CO70" s="45" t="s">
        <v>769</v>
      </c>
      <c r="CP70" s="45" t="s">
        <v>770</v>
      </c>
      <c r="CR70" s="65"/>
      <c r="CS70" s="45" t="s">
        <v>768</v>
      </c>
      <c r="CT70" s="45" t="s">
        <v>344</v>
      </c>
      <c r="CU70" s="45" t="s">
        <v>769</v>
      </c>
      <c r="CV70" s="45" t="s">
        <v>770</v>
      </c>
      <c r="CX70" s="65"/>
      <c r="CY70" s="45" t="s">
        <v>768</v>
      </c>
      <c r="CZ70" s="45" t="s">
        <v>344</v>
      </c>
      <c r="DA70" s="45" t="s">
        <v>769</v>
      </c>
      <c r="DB70" s="45" t="s">
        <v>770</v>
      </c>
      <c r="DD70" s="65"/>
      <c r="DE70" s="45" t="s">
        <v>768</v>
      </c>
      <c r="DF70" s="45" t="s">
        <v>344</v>
      </c>
      <c r="DG70" s="45" t="s">
        <v>769</v>
      </c>
      <c r="DH70" s="45" t="s">
        <v>770</v>
      </c>
      <c r="DJ70" s="65"/>
      <c r="DK70" s="45" t="s">
        <v>768</v>
      </c>
      <c r="DL70" s="45" t="s">
        <v>344</v>
      </c>
      <c r="DM70" s="45" t="s">
        <v>769</v>
      </c>
      <c r="DN70" s="45" t="s">
        <v>770</v>
      </c>
      <c r="DP70" s="65"/>
      <c r="DQ70" s="47" t="s">
        <v>1024</v>
      </c>
      <c r="DR70" s="47" t="s">
        <v>344</v>
      </c>
      <c r="DS70" s="47" t="s">
        <v>769</v>
      </c>
      <c r="DT70" s="47" t="s">
        <v>770</v>
      </c>
      <c r="DV70" s="109"/>
      <c r="DW70" s="47" t="s">
        <v>1024</v>
      </c>
      <c r="DX70" s="47" t="s">
        <v>344</v>
      </c>
      <c r="DY70" s="47" t="s">
        <v>769</v>
      </c>
      <c r="DZ70" s="47" t="s">
        <v>770</v>
      </c>
      <c r="EB70" s="47" t="s">
        <v>1024</v>
      </c>
      <c r="EC70" s="47" t="s">
        <v>344</v>
      </c>
      <c r="ED70" s="47" t="s">
        <v>769</v>
      </c>
      <c r="EE70" s="47" t="s">
        <v>770</v>
      </c>
      <c r="EH70" s="47" t="s">
        <v>1024</v>
      </c>
      <c r="EI70" s="47" t="s">
        <v>344</v>
      </c>
      <c r="EJ70" s="47" t="s">
        <v>769</v>
      </c>
      <c r="EK70" s="47" t="s">
        <v>770</v>
      </c>
      <c r="EN70" s="47" t="s">
        <v>1024</v>
      </c>
      <c r="EO70" s="47" t="s">
        <v>344</v>
      </c>
      <c r="EP70" s="47" t="s">
        <v>769</v>
      </c>
      <c r="EQ70" s="47" t="s">
        <v>770</v>
      </c>
      <c r="ET70" s="47" t="s">
        <v>1024</v>
      </c>
      <c r="EU70" s="47" t="s">
        <v>344</v>
      </c>
      <c r="EV70" s="47" t="s">
        <v>769</v>
      </c>
      <c r="EW70" s="47" t="s">
        <v>770</v>
      </c>
      <c r="EZ70" s="47" t="s">
        <v>1024</v>
      </c>
      <c r="FA70" s="47" t="s">
        <v>344</v>
      </c>
      <c r="FB70" s="47" t="s">
        <v>769</v>
      </c>
      <c r="FC70" s="47" t="s">
        <v>770</v>
      </c>
    </row>
    <row r="71" spans="1:161" x14ac:dyDescent="0.25">
      <c r="A71" s="64" t="s">
        <v>1027</v>
      </c>
      <c r="B71" s="48">
        <v>0</v>
      </c>
      <c r="C71" s="48" t="s">
        <v>772</v>
      </c>
      <c r="D71" s="48">
        <f>MIN(B70:B94)</f>
        <v>0</v>
      </c>
      <c r="E71" s="48"/>
      <c r="G71" s="48" t="s">
        <v>941</v>
      </c>
      <c r="H71" s="48">
        <v>0</v>
      </c>
      <c r="I71" s="48" t="s">
        <v>772</v>
      </c>
      <c r="J71" s="48">
        <f>MIN(H70:H84)</f>
        <v>0</v>
      </c>
      <c r="K71" s="48"/>
      <c r="L71" s="90"/>
      <c r="M71" s="48" t="s">
        <v>955</v>
      </c>
      <c r="N71" s="48">
        <v>0</v>
      </c>
      <c r="O71" s="48" t="s">
        <v>771</v>
      </c>
      <c r="P71" s="48">
        <f>SUM(N71:N95)</f>
        <v>3</v>
      </c>
      <c r="Q71" s="48"/>
      <c r="R71" s="90"/>
      <c r="S71" s="92" t="s">
        <v>977</v>
      </c>
      <c r="T71" s="48">
        <v>0</v>
      </c>
      <c r="U71" s="48" t="s">
        <v>772</v>
      </c>
      <c r="V71" s="48">
        <f>MIN(T70:T94)</f>
        <v>0</v>
      </c>
      <c r="W71" s="48"/>
      <c r="X71" s="90"/>
      <c r="Y71" s="48" t="s">
        <v>1001</v>
      </c>
      <c r="Z71" s="48">
        <v>0</v>
      </c>
      <c r="AA71" s="48" t="s">
        <v>772</v>
      </c>
      <c r="AB71" s="48">
        <f>MIN(Z70:Z94)</f>
        <v>0</v>
      </c>
      <c r="AC71" s="48"/>
      <c r="AE71" s="62" t="s">
        <v>744</v>
      </c>
      <c r="AF71" s="45">
        <v>0</v>
      </c>
      <c r="AG71" s="45" t="s">
        <v>771</v>
      </c>
      <c r="AH71" s="45">
        <f>SUM(AF71:AF81)</f>
        <v>0</v>
      </c>
      <c r="AI71" s="45"/>
      <c r="AJ71" s="46"/>
      <c r="AK71" s="64" t="s">
        <v>737</v>
      </c>
      <c r="AL71" s="45">
        <v>0</v>
      </c>
      <c r="AM71" s="45" t="s">
        <v>771</v>
      </c>
      <c r="AN71" s="45">
        <f>SUM(AL71:AL95)</f>
        <v>2</v>
      </c>
      <c r="AQ71" s="63" t="s">
        <v>642</v>
      </c>
      <c r="AR71" s="45">
        <v>0</v>
      </c>
      <c r="AS71" s="45" t="s">
        <v>771</v>
      </c>
      <c r="AT71" s="45">
        <f>SUM(AR71:AR80)</f>
        <v>2</v>
      </c>
      <c r="AW71" t="s">
        <v>652</v>
      </c>
      <c r="AX71" s="45">
        <v>0</v>
      </c>
      <c r="AY71" s="45" t="s">
        <v>771</v>
      </c>
      <c r="AZ71" s="45">
        <f>SUM(AX71:AX84)</f>
        <v>2</v>
      </c>
      <c r="BC71" s="63" t="s">
        <v>717</v>
      </c>
      <c r="BD71">
        <v>0</v>
      </c>
      <c r="BE71" s="45" t="s">
        <v>771</v>
      </c>
      <c r="BF71" s="45">
        <f>SUM(BD71:BD73)</f>
        <v>0</v>
      </c>
      <c r="BH71" s="46"/>
      <c r="BI71" s="63" t="s">
        <v>823</v>
      </c>
      <c r="BJ71">
        <v>0</v>
      </c>
      <c r="BK71" s="45" t="s">
        <v>771</v>
      </c>
      <c r="BL71" s="45">
        <f>SUM(BJ71:BJ76)</f>
        <v>1</v>
      </c>
      <c r="BN71" s="46"/>
      <c r="BO71" s="70" t="s">
        <v>868</v>
      </c>
      <c r="BP71" s="45">
        <v>0</v>
      </c>
      <c r="BQ71" s="45" t="s">
        <v>771</v>
      </c>
      <c r="BR71" s="45">
        <f>SUM(BP71:BP95)</f>
        <v>4</v>
      </c>
      <c r="BT71" s="46"/>
      <c r="BU71" s="70" t="s">
        <v>676</v>
      </c>
      <c r="BV71" s="45">
        <v>0</v>
      </c>
      <c r="BW71" s="45" t="s">
        <v>771</v>
      </c>
      <c r="BX71" s="45">
        <f>SUM(BV71:BV95)</f>
        <v>5</v>
      </c>
      <c r="BZ71" s="46"/>
      <c r="CA71" s="70" t="s">
        <v>701</v>
      </c>
      <c r="CB71" s="45">
        <v>0</v>
      </c>
      <c r="CC71" s="45" t="s">
        <v>771</v>
      </c>
      <c r="CD71" s="45">
        <f>SUM(CB71:CB95)</f>
        <v>0</v>
      </c>
      <c r="CF71" s="65"/>
      <c r="CG71" s="73" t="s">
        <v>288</v>
      </c>
      <c r="CH71">
        <v>0</v>
      </c>
      <c r="CI71" s="45" t="s">
        <v>771</v>
      </c>
      <c r="CJ71" s="45">
        <f>SUM(CH71:CH95)</f>
        <v>7</v>
      </c>
      <c r="CL71" s="65"/>
      <c r="CM71" s="73" t="s">
        <v>348</v>
      </c>
      <c r="CN71">
        <v>1</v>
      </c>
      <c r="CO71" s="45" t="s">
        <v>771</v>
      </c>
      <c r="CP71" s="45">
        <f>SUM(CN71:CN97)</f>
        <v>2</v>
      </c>
      <c r="CR71" s="65"/>
      <c r="CS71" s="73" t="s">
        <v>593</v>
      </c>
      <c r="CT71">
        <v>0</v>
      </c>
      <c r="CU71" s="45" t="s">
        <v>771</v>
      </c>
      <c r="CV71" s="45">
        <f>SUM(CT71:CT76)</f>
        <v>0</v>
      </c>
      <c r="CX71" s="65"/>
      <c r="CY71" s="73" t="s">
        <v>450</v>
      </c>
      <c r="CZ71">
        <v>0</v>
      </c>
      <c r="DA71" s="45" t="s">
        <v>771</v>
      </c>
      <c r="DB71" s="45">
        <f>SUM(CZ71:CZ80)</f>
        <v>2</v>
      </c>
      <c r="DD71" s="65"/>
      <c r="DE71" s="34" t="s">
        <v>483</v>
      </c>
      <c r="DF71" s="33">
        <v>0</v>
      </c>
      <c r="DG71" s="45" t="s">
        <v>771</v>
      </c>
      <c r="DH71" s="45">
        <f>SUM(DF71:DF80)</f>
        <v>3</v>
      </c>
      <c r="DJ71" s="65"/>
      <c r="DK71" s="34" t="s">
        <v>518</v>
      </c>
      <c r="DL71" s="33">
        <v>1</v>
      </c>
      <c r="DM71" s="45" t="s">
        <v>771</v>
      </c>
      <c r="DN71" s="45">
        <f>SUM(DL71:DL95)</f>
        <v>8</v>
      </c>
      <c r="DP71" s="65"/>
      <c r="DQ71" s="64" t="s">
        <v>1237</v>
      </c>
      <c r="DR71" s="48">
        <v>0</v>
      </c>
      <c r="DS71" s="48" t="s">
        <v>771</v>
      </c>
      <c r="DT71" s="48">
        <f>SUM(DR71:DR90)</f>
        <v>5</v>
      </c>
      <c r="DV71" s="109"/>
      <c r="DW71" s="64" t="s">
        <v>1255</v>
      </c>
      <c r="DX71" s="48">
        <v>0</v>
      </c>
      <c r="DY71" s="48" t="s">
        <v>771</v>
      </c>
      <c r="DZ71" s="48">
        <f>SUM(DX71:DX80)</f>
        <v>2</v>
      </c>
      <c r="EB71" s="30" t="s">
        <v>1267</v>
      </c>
      <c r="EC71">
        <v>1</v>
      </c>
      <c r="ED71" s="48" t="s">
        <v>771</v>
      </c>
      <c r="EE71">
        <f>SUM(EC71:EC77)</f>
        <v>2</v>
      </c>
      <c r="EH71" s="70" t="s">
        <v>1273</v>
      </c>
      <c r="EI71">
        <v>0</v>
      </c>
      <c r="EJ71" s="48" t="s">
        <v>771</v>
      </c>
      <c r="EK71">
        <f>SUM(EI71:EI95)</f>
        <v>3</v>
      </c>
      <c r="EN71" s="30" t="s">
        <v>949</v>
      </c>
      <c r="EO71">
        <v>0</v>
      </c>
      <c r="EP71" s="48" t="s">
        <v>771</v>
      </c>
      <c r="EQ71">
        <f>SUM(EO71:EO79)</f>
        <v>5</v>
      </c>
      <c r="ET71" s="70" t="s">
        <v>1303</v>
      </c>
      <c r="EU71">
        <v>0</v>
      </c>
      <c r="EV71" s="48" t="s">
        <v>771</v>
      </c>
      <c r="EW71">
        <f>SUM(EU71:EU86)</f>
        <v>1</v>
      </c>
      <c r="EZ71" s="70" t="s">
        <v>1347</v>
      </c>
      <c r="FA71">
        <v>0</v>
      </c>
      <c r="FB71" s="48" t="s">
        <v>771</v>
      </c>
      <c r="FC71">
        <f>SUM(FA71:FA95)</f>
        <v>1</v>
      </c>
    </row>
    <row r="72" spans="1:161" x14ac:dyDescent="0.25">
      <c r="A72" s="64" t="s">
        <v>1028</v>
      </c>
      <c r="B72" s="48">
        <v>0</v>
      </c>
      <c r="C72" s="48" t="s">
        <v>773</v>
      </c>
      <c r="D72" s="48">
        <f>MAX(B70:B94)</f>
        <v>1</v>
      </c>
      <c r="E72" s="48"/>
      <c r="G72" s="48" t="s">
        <v>942</v>
      </c>
      <c r="H72" s="48">
        <v>0</v>
      </c>
      <c r="I72" s="48" t="s">
        <v>773</v>
      </c>
      <c r="J72" s="48">
        <f>MAX(H70:H84)</f>
        <v>1</v>
      </c>
      <c r="K72" s="48"/>
      <c r="L72" s="90"/>
      <c r="M72" s="48" t="s">
        <v>956</v>
      </c>
      <c r="N72" s="48">
        <v>0</v>
      </c>
      <c r="O72" s="48" t="s">
        <v>772</v>
      </c>
      <c r="P72" s="48">
        <f>MIN(N71:N95)</f>
        <v>0</v>
      </c>
      <c r="Q72" s="48"/>
      <c r="R72" s="90"/>
      <c r="S72" s="92" t="s">
        <v>978</v>
      </c>
      <c r="T72" s="48">
        <v>0</v>
      </c>
      <c r="U72" s="48" t="s">
        <v>773</v>
      </c>
      <c r="V72" s="48">
        <f>MAX(T70:T94)</f>
        <v>1</v>
      </c>
      <c r="W72" s="48"/>
      <c r="X72" s="90"/>
      <c r="Y72" s="48" t="s">
        <v>1002</v>
      </c>
      <c r="Z72" s="48">
        <v>0</v>
      </c>
      <c r="AA72" s="48" t="s">
        <v>773</v>
      </c>
      <c r="AB72" s="48">
        <f>MAX(Z70:Z94)</f>
        <v>1</v>
      </c>
      <c r="AC72" s="48"/>
      <c r="AE72" s="62" t="s">
        <v>757</v>
      </c>
      <c r="AF72" s="45">
        <v>0</v>
      </c>
      <c r="AG72" s="45" t="s">
        <v>772</v>
      </c>
      <c r="AH72" s="45">
        <f>MIN(AF71:AF81)</f>
        <v>0</v>
      </c>
      <c r="AI72" s="45"/>
      <c r="AJ72" s="46"/>
      <c r="AK72" s="64" t="s">
        <v>738</v>
      </c>
      <c r="AL72" s="45">
        <v>0</v>
      </c>
      <c r="AM72" s="45" t="s">
        <v>772</v>
      </c>
      <c r="AN72" s="45">
        <f>MIN(AL71:AL95)</f>
        <v>0</v>
      </c>
      <c r="AQ72" s="63" t="s">
        <v>757</v>
      </c>
      <c r="AR72" s="45">
        <v>0</v>
      </c>
      <c r="AS72" s="45" t="s">
        <v>772</v>
      </c>
      <c r="AT72" s="45">
        <f>MIN(AR71:AR80)</f>
        <v>0</v>
      </c>
      <c r="AW72" t="s">
        <v>654</v>
      </c>
      <c r="AX72" s="45">
        <v>0</v>
      </c>
      <c r="AY72" s="45" t="s">
        <v>772</v>
      </c>
      <c r="AZ72" s="45">
        <f>MIN(AX71:AX84)</f>
        <v>0</v>
      </c>
      <c r="BC72" s="63" t="s">
        <v>718</v>
      </c>
      <c r="BD72">
        <v>0</v>
      </c>
      <c r="BE72" s="45" t="s">
        <v>772</v>
      </c>
      <c r="BF72" s="45">
        <f>MIN(BD71:BD73)</f>
        <v>0</v>
      </c>
      <c r="BH72" s="46"/>
      <c r="BI72" s="63" t="s">
        <v>825</v>
      </c>
      <c r="BJ72">
        <v>0</v>
      </c>
      <c r="BK72" s="45" t="s">
        <v>772</v>
      </c>
      <c r="BL72" s="45">
        <f>MIN(BJ71:BJ76)</f>
        <v>0</v>
      </c>
      <c r="BN72" s="46"/>
      <c r="BO72" s="70" t="s">
        <v>871</v>
      </c>
      <c r="BP72" s="45">
        <v>2</v>
      </c>
      <c r="BQ72" s="45" t="s">
        <v>772</v>
      </c>
      <c r="BR72" s="45">
        <f>MIN(BP71:BP95)</f>
        <v>0</v>
      </c>
      <c r="BT72" s="46"/>
      <c r="BU72" s="70" t="s">
        <v>677</v>
      </c>
      <c r="BV72" s="45">
        <v>0</v>
      </c>
      <c r="BW72" s="45" t="s">
        <v>772</v>
      </c>
      <c r="BX72" s="45">
        <f>MIN(BV71:BV95)</f>
        <v>0</v>
      </c>
      <c r="BZ72" s="46"/>
      <c r="CA72" s="70" t="s">
        <v>702</v>
      </c>
      <c r="CB72" s="45">
        <v>0</v>
      </c>
      <c r="CC72" s="45" t="s">
        <v>772</v>
      </c>
      <c r="CD72" s="45">
        <f>MIN(CB71:CB95)</f>
        <v>0</v>
      </c>
      <c r="CF72" s="65"/>
      <c r="CG72" s="73" t="s">
        <v>289</v>
      </c>
      <c r="CH72">
        <v>0</v>
      </c>
      <c r="CI72" s="45" t="s">
        <v>772</v>
      </c>
      <c r="CJ72" s="45">
        <f>MIN(CH71:CH95)</f>
        <v>0</v>
      </c>
      <c r="CL72" s="65"/>
      <c r="CM72" s="73" t="s">
        <v>349</v>
      </c>
      <c r="CN72">
        <v>0</v>
      </c>
      <c r="CO72" s="45" t="s">
        <v>772</v>
      </c>
      <c r="CP72" s="45">
        <f>MIN(CN71:CN97)</f>
        <v>0</v>
      </c>
      <c r="CR72" s="65"/>
      <c r="CS72" s="73" t="s">
        <v>594</v>
      </c>
      <c r="CT72">
        <v>0</v>
      </c>
      <c r="CU72" s="45" t="s">
        <v>772</v>
      </c>
      <c r="CV72" s="45">
        <f>MIN(CT71:CT76)</f>
        <v>0</v>
      </c>
      <c r="CX72" s="65"/>
      <c r="CY72" s="73" t="s">
        <v>451</v>
      </c>
      <c r="CZ72">
        <v>0</v>
      </c>
      <c r="DA72" s="45" t="s">
        <v>772</v>
      </c>
      <c r="DB72" s="45">
        <f>MIN(CZ71:CZ80)</f>
        <v>0</v>
      </c>
      <c r="DD72" s="65"/>
      <c r="DE72" s="34" t="s">
        <v>484</v>
      </c>
      <c r="DF72" s="33">
        <v>0</v>
      </c>
      <c r="DG72" s="45" t="s">
        <v>772</v>
      </c>
      <c r="DH72" s="45">
        <f>MIN(DF71:DF80)</f>
        <v>0</v>
      </c>
      <c r="DJ72" s="65"/>
      <c r="DK72" s="33" t="s">
        <v>519</v>
      </c>
      <c r="DL72" s="33">
        <v>0</v>
      </c>
      <c r="DM72" s="45" t="s">
        <v>772</v>
      </c>
      <c r="DN72" s="45">
        <f>MIN(DL71:DL80)</f>
        <v>0</v>
      </c>
      <c r="DP72" s="65"/>
      <c r="DQ72" s="64" t="s">
        <v>941</v>
      </c>
      <c r="DR72" s="48">
        <v>0</v>
      </c>
      <c r="DS72" s="48" t="s">
        <v>772</v>
      </c>
      <c r="DT72" s="48">
        <f>MIN(DR71:DR90)</f>
        <v>0</v>
      </c>
      <c r="DV72" s="109"/>
      <c r="DW72" s="48" t="s">
        <v>1256</v>
      </c>
      <c r="DX72" s="48">
        <v>0</v>
      </c>
      <c r="DY72" s="48" t="s">
        <v>772</v>
      </c>
      <c r="DZ72" s="48">
        <f>MIN(DX71:DX80)</f>
        <v>0</v>
      </c>
      <c r="EB72" s="30" t="s">
        <v>1268</v>
      </c>
      <c r="EC72">
        <v>0</v>
      </c>
      <c r="ED72" s="48" t="s">
        <v>772</v>
      </c>
      <c r="EE72">
        <f>MIN(EC71:EC77)</f>
        <v>0</v>
      </c>
      <c r="EH72" s="30" t="s">
        <v>414</v>
      </c>
      <c r="EI72">
        <v>1</v>
      </c>
      <c r="EJ72" s="48" t="s">
        <v>772</v>
      </c>
      <c r="EK72">
        <f>MIN(EI71:EI95)</f>
        <v>0</v>
      </c>
      <c r="EN72" s="30" t="s">
        <v>1298</v>
      </c>
      <c r="EO72">
        <v>0</v>
      </c>
      <c r="EP72" s="48" t="s">
        <v>772</v>
      </c>
      <c r="EQ72">
        <f>MIN(EO71:EO79)</f>
        <v>0</v>
      </c>
      <c r="ET72" s="30" t="s">
        <v>1304</v>
      </c>
      <c r="EU72">
        <v>0</v>
      </c>
      <c r="EV72" s="48" t="s">
        <v>772</v>
      </c>
      <c r="EW72">
        <f>MIN(EU71:EU86)</f>
        <v>0</v>
      </c>
      <c r="EZ72" s="70" t="s">
        <v>969</v>
      </c>
      <c r="FA72">
        <v>0</v>
      </c>
      <c r="FB72" s="48" t="s">
        <v>772</v>
      </c>
      <c r="FC72">
        <f>MIN(FA71:FA95)</f>
        <v>0</v>
      </c>
    </row>
    <row r="73" spans="1:161" x14ac:dyDescent="0.25">
      <c r="A73" s="64" t="s">
        <v>1029</v>
      </c>
      <c r="B73" s="48">
        <v>1</v>
      </c>
      <c r="C73" s="48" t="s">
        <v>774</v>
      </c>
      <c r="D73" s="48">
        <f>VAR(B70:B94)</f>
        <v>0.11</v>
      </c>
      <c r="E73" s="48"/>
      <c r="G73" s="48" t="s">
        <v>943</v>
      </c>
      <c r="H73" s="48">
        <v>1</v>
      </c>
      <c r="I73" s="48" t="s">
        <v>774</v>
      </c>
      <c r="J73" s="48">
        <f>VAR(H70:H84)</f>
        <v>7.1428571428571425E-2</v>
      </c>
      <c r="K73" s="48"/>
      <c r="L73" s="90"/>
      <c r="M73" s="48" t="s">
        <v>726</v>
      </c>
      <c r="N73" s="48">
        <v>0</v>
      </c>
      <c r="O73" s="48" t="s">
        <v>773</v>
      </c>
      <c r="P73" s="48">
        <f>MAX(N71:N95)</f>
        <v>1</v>
      </c>
      <c r="Q73" s="48"/>
      <c r="R73" s="90"/>
      <c r="S73" s="92" t="s">
        <v>979</v>
      </c>
      <c r="T73" s="48">
        <v>0</v>
      </c>
      <c r="U73" s="48" t="s">
        <v>774</v>
      </c>
      <c r="V73" s="48">
        <f>VAR(T70:T94)</f>
        <v>7.9710144927536225E-2</v>
      </c>
      <c r="W73" s="48"/>
      <c r="X73" s="90"/>
      <c r="Y73" s="48" t="s">
        <v>1003</v>
      </c>
      <c r="Z73" s="48">
        <v>0</v>
      </c>
      <c r="AA73" s="48" t="s">
        <v>774</v>
      </c>
      <c r="AB73" s="48">
        <f>VAR(Z70:Z94)</f>
        <v>0.13999999999999999</v>
      </c>
      <c r="AC73" s="48"/>
      <c r="AE73" s="62" t="s">
        <v>758</v>
      </c>
      <c r="AF73" s="45">
        <v>0</v>
      </c>
      <c r="AG73" s="45" t="s">
        <v>773</v>
      </c>
      <c r="AH73" s="45">
        <f>MAX(AF71:AF81)</f>
        <v>0</v>
      </c>
      <c r="AI73" s="45"/>
      <c r="AJ73" s="46"/>
      <c r="AK73" s="48" t="s">
        <v>808</v>
      </c>
      <c r="AL73" s="45">
        <v>1</v>
      </c>
      <c r="AM73" s="45" t="s">
        <v>773</v>
      </c>
      <c r="AN73" s="45">
        <f>MAX(AL71:AL95)</f>
        <v>1</v>
      </c>
      <c r="AQ73" s="63" t="s">
        <v>644</v>
      </c>
      <c r="AR73" s="45">
        <v>1</v>
      </c>
      <c r="AS73" s="45" t="s">
        <v>773</v>
      </c>
      <c r="AT73" s="45">
        <f>MAX(AR71:AR80)</f>
        <v>1</v>
      </c>
      <c r="AW73" t="s">
        <v>653</v>
      </c>
      <c r="AX73" s="45">
        <v>1</v>
      </c>
      <c r="AY73" s="45" t="s">
        <v>773</v>
      </c>
      <c r="AZ73" s="45">
        <f>MAX(AX71:AX84)</f>
        <v>1</v>
      </c>
      <c r="BC73" s="63" t="s">
        <v>716</v>
      </c>
      <c r="BD73">
        <v>0</v>
      </c>
      <c r="BE73" s="45" t="s">
        <v>773</v>
      </c>
      <c r="BF73" s="45">
        <f>MAX(BD71:BD73)</f>
        <v>0</v>
      </c>
      <c r="BH73" s="46"/>
      <c r="BI73" s="63" t="s">
        <v>824</v>
      </c>
      <c r="BJ73">
        <v>0</v>
      </c>
      <c r="BK73" s="45" t="s">
        <v>773</v>
      </c>
      <c r="BL73" s="45">
        <f>MAX(BJ71:BJ76)</f>
        <v>1</v>
      </c>
      <c r="BN73" s="46"/>
      <c r="BO73" s="70" t="s">
        <v>869</v>
      </c>
      <c r="BP73" s="45">
        <v>0</v>
      </c>
      <c r="BQ73" s="45" t="s">
        <v>773</v>
      </c>
      <c r="BR73" s="45">
        <f>MAX(BP71:BP95)</f>
        <v>2</v>
      </c>
      <c r="BT73" s="46"/>
      <c r="BU73" s="70" t="s">
        <v>678</v>
      </c>
      <c r="BV73" s="45">
        <v>0</v>
      </c>
      <c r="BW73" s="45" t="s">
        <v>773</v>
      </c>
      <c r="BX73" s="45">
        <f>MAX(BV71:BV95)</f>
        <v>1</v>
      </c>
      <c r="BZ73" s="46"/>
      <c r="CA73" s="70" t="s">
        <v>703</v>
      </c>
      <c r="CB73" s="45">
        <v>0</v>
      </c>
      <c r="CC73" s="45" t="s">
        <v>773</v>
      </c>
      <c r="CD73" s="45">
        <f>MAX(CB71:CB95)</f>
        <v>0</v>
      </c>
      <c r="CF73" s="65"/>
      <c r="CG73" s="73" t="s">
        <v>290</v>
      </c>
      <c r="CH73">
        <v>0</v>
      </c>
      <c r="CI73" s="45" t="s">
        <v>773</v>
      </c>
      <c r="CJ73" s="45">
        <f>MAX(CH71:CH95)</f>
        <v>2</v>
      </c>
      <c r="CL73" s="65"/>
      <c r="CM73" s="73" t="s">
        <v>350</v>
      </c>
      <c r="CN73">
        <v>0</v>
      </c>
      <c r="CO73" s="45" t="s">
        <v>773</v>
      </c>
      <c r="CP73" s="45">
        <f>MAX(CN71:CN97)</f>
        <v>1</v>
      </c>
      <c r="CR73" s="65"/>
      <c r="CS73" s="73" t="s">
        <v>595</v>
      </c>
      <c r="CT73">
        <v>0</v>
      </c>
      <c r="CU73" s="45" t="s">
        <v>773</v>
      </c>
      <c r="CV73" s="45">
        <f>MAX(CT71:CT76)</f>
        <v>0</v>
      </c>
      <c r="CX73" s="65"/>
      <c r="CY73" s="73" t="s">
        <v>452</v>
      </c>
      <c r="CZ73">
        <v>0</v>
      </c>
      <c r="DA73" s="45" t="s">
        <v>773</v>
      </c>
      <c r="DB73" s="45">
        <f>MAX(CZ71:CZ80)</f>
        <v>1</v>
      </c>
      <c r="DD73" s="65"/>
      <c r="DE73" s="35" t="s">
        <v>485</v>
      </c>
      <c r="DF73" s="35">
        <v>2</v>
      </c>
      <c r="DG73" s="45" t="s">
        <v>773</v>
      </c>
      <c r="DH73" s="45">
        <f>MAX(DF71:DF80)</f>
        <v>2</v>
      </c>
      <c r="DJ73" s="65"/>
      <c r="DK73" s="33" t="s">
        <v>520</v>
      </c>
      <c r="DL73" s="33">
        <v>1</v>
      </c>
      <c r="DM73" s="45" t="s">
        <v>773</v>
      </c>
      <c r="DN73" s="45">
        <f>MAX(DL71:DL95)</f>
        <v>1</v>
      </c>
      <c r="DP73" s="65"/>
      <c r="DQ73" s="48" t="s">
        <v>1238</v>
      </c>
      <c r="DR73" s="48">
        <v>0</v>
      </c>
      <c r="DS73" s="48" t="s">
        <v>773</v>
      </c>
      <c r="DT73" s="48">
        <f>MAX(DR71:DR90)</f>
        <v>1</v>
      </c>
      <c r="DV73" s="109"/>
      <c r="DW73" s="48" t="s">
        <v>1257</v>
      </c>
      <c r="DX73" s="48">
        <v>0</v>
      </c>
      <c r="DY73" s="48" t="s">
        <v>773</v>
      </c>
      <c r="DZ73" s="48">
        <f>MAX(DX71:DX80)</f>
        <v>2</v>
      </c>
      <c r="EB73" s="30" t="s">
        <v>1269</v>
      </c>
      <c r="EC73">
        <v>0</v>
      </c>
      <c r="ED73" s="48" t="s">
        <v>773</v>
      </c>
      <c r="EE73">
        <f>MAX(EC71:EC77)</f>
        <v>1</v>
      </c>
      <c r="EH73" s="30" t="s">
        <v>1274</v>
      </c>
      <c r="EI73">
        <v>0</v>
      </c>
      <c r="EJ73" s="48" t="s">
        <v>773</v>
      </c>
      <c r="EK73">
        <f>MAX(EI71:EI95)</f>
        <v>1</v>
      </c>
      <c r="EN73" s="30" t="s">
        <v>809</v>
      </c>
      <c r="EO73">
        <v>0</v>
      </c>
      <c r="EP73" s="48" t="s">
        <v>773</v>
      </c>
      <c r="EQ73">
        <f>MAX(EO71:EO79)</f>
        <v>2</v>
      </c>
      <c r="ET73" s="30" t="s">
        <v>1305</v>
      </c>
      <c r="EU73">
        <v>0</v>
      </c>
      <c r="EV73" s="48" t="s">
        <v>773</v>
      </c>
      <c r="EW73">
        <f>MAX(EU71:EU86)</f>
        <v>1</v>
      </c>
      <c r="EZ73" s="30" t="s">
        <v>1319</v>
      </c>
      <c r="FA73">
        <v>1</v>
      </c>
      <c r="FB73" s="48" t="s">
        <v>773</v>
      </c>
      <c r="FC73">
        <f>MAX(FA71:FA95)</f>
        <v>1</v>
      </c>
    </row>
    <row r="74" spans="1:161" x14ac:dyDescent="0.25">
      <c r="A74" s="64" t="s">
        <v>1030</v>
      </c>
      <c r="B74" s="48">
        <v>0</v>
      </c>
      <c r="C74" s="48" t="s">
        <v>775</v>
      </c>
      <c r="D74" s="48">
        <f>AVERAGE(B70:B94)</f>
        <v>0.12</v>
      </c>
      <c r="E74" s="48"/>
      <c r="G74" s="48" t="s">
        <v>944</v>
      </c>
      <c r="H74" s="48">
        <v>0</v>
      </c>
      <c r="I74" s="48" t="s">
        <v>775</v>
      </c>
      <c r="J74" s="48">
        <f>AVERAGE(H70:H84)</f>
        <v>7.1428571428571425E-2</v>
      </c>
      <c r="K74" s="48"/>
      <c r="L74" s="90"/>
      <c r="M74" s="48" t="s">
        <v>957</v>
      </c>
      <c r="N74" s="48">
        <v>0</v>
      </c>
      <c r="O74" s="48" t="s">
        <v>774</v>
      </c>
      <c r="P74" s="48">
        <f>VAR(N71:N95)</f>
        <v>0.11413043478260869</v>
      </c>
      <c r="Q74" s="48"/>
      <c r="R74" s="90"/>
      <c r="S74" s="92" t="s">
        <v>980</v>
      </c>
      <c r="T74" s="48">
        <v>0</v>
      </c>
      <c r="U74" s="48" t="s">
        <v>775</v>
      </c>
      <c r="V74" s="48">
        <f>AVERAGE(T70:T94)</f>
        <v>8.3333333333333329E-2</v>
      </c>
      <c r="W74" s="48"/>
      <c r="X74" s="90"/>
      <c r="Y74" s="48" t="s">
        <v>1004</v>
      </c>
      <c r="Z74" s="48">
        <v>1</v>
      </c>
      <c r="AA74" s="48" t="s">
        <v>775</v>
      </c>
      <c r="AB74" s="48">
        <f>AVERAGE(Z70:Z94)</f>
        <v>0.16</v>
      </c>
      <c r="AC74" s="48"/>
      <c r="AE74" s="62" t="s">
        <v>452</v>
      </c>
      <c r="AF74" s="45">
        <v>0</v>
      </c>
      <c r="AG74" s="45" t="s">
        <v>774</v>
      </c>
      <c r="AH74" s="45">
        <f>VAR(AF71:AF81)</f>
        <v>0</v>
      </c>
      <c r="AI74" s="45"/>
      <c r="AJ74" s="46"/>
      <c r="AK74" s="64" t="s">
        <v>739</v>
      </c>
      <c r="AL74" s="45">
        <v>0</v>
      </c>
      <c r="AM74" s="45" t="s">
        <v>774</v>
      </c>
      <c r="AN74" s="45">
        <f>VAR(AL71:AL95)</f>
        <v>7.6666666666666675E-2</v>
      </c>
      <c r="AQ74" s="63" t="s">
        <v>292</v>
      </c>
      <c r="AR74" s="45">
        <v>0</v>
      </c>
      <c r="AS74" s="45" t="s">
        <v>774</v>
      </c>
      <c r="AT74" s="45">
        <f>VAR(AR71:AR80)</f>
        <v>0.17777777777777778</v>
      </c>
      <c r="AW74" t="s">
        <v>655</v>
      </c>
      <c r="AX74" s="45">
        <v>0</v>
      </c>
      <c r="AY74" s="45" t="s">
        <v>774</v>
      </c>
      <c r="AZ74" s="45">
        <f>VAR(AX71:AX84)</f>
        <v>0.13186813186813187</v>
      </c>
      <c r="BE74" s="45" t="s">
        <v>774</v>
      </c>
      <c r="BF74" s="45">
        <f>VAR(BD71:BD73)</f>
        <v>0</v>
      </c>
      <c r="BH74" s="46"/>
      <c r="BI74" s="63" t="s">
        <v>826</v>
      </c>
      <c r="BJ74">
        <v>0</v>
      </c>
      <c r="BK74" s="45" t="s">
        <v>774</v>
      </c>
      <c r="BL74" s="45">
        <f>VAR(BJ71:BJ76)</f>
        <v>0.16666666666666669</v>
      </c>
      <c r="BN74" s="46"/>
      <c r="BO74" s="70" t="s">
        <v>870</v>
      </c>
      <c r="BP74" s="45">
        <v>0</v>
      </c>
      <c r="BQ74" s="45" t="s">
        <v>774</v>
      </c>
      <c r="BR74" s="45">
        <f>VAR(BP71:BP95)</f>
        <v>0.22333333333333336</v>
      </c>
      <c r="BT74" s="46"/>
      <c r="BU74" s="70" t="s">
        <v>679</v>
      </c>
      <c r="BV74" s="45">
        <v>0</v>
      </c>
      <c r="BW74" s="45" t="s">
        <v>774</v>
      </c>
      <c r="BX74" s="45">
        <f>VAR(BV71:BV95)</f>
        <v>0.16666666666666666</v>
      </c>
      <c r="BZ74" s="46"/>
      <c r="CA74" s="70" t="s">
        <v>899</v>
      </c>
      <c r="CB74" s="45">
        <v>0</v>
      </c>
      <c r="CC74" s="45" t="s">
        <v>774</v>
      </c>
      <c r="CD74" s="45">
        <f>VAR(CB71:CB95)</f>
        <v>0</v>
      </c>
      <c r="CF74" s="65"/>
      <c r="CG74" s="73" t="s">
        <v>291</v>
      </c>
      <c r="CH74">
        <v>0</v>
      </c>
      <c r="CI74" s="45" t="s">
        <v>774</v>
      </c>
      <c r="CJ74" s="45">
        <f>VAR(CH71:CH95)</f>
        <v>0.29333333333333333</v>
      </c>
      <c r="CL74" s="65"/>
      <c r="CM74" s="73" t="s">
        <v>351</v>
      </c>
      <c r="CN74">
        <v>0</v>
      </c>
      <c r="CO74" s="45" t="s">
        <v>774</v>
      </c>
      <c r="CP74" s="45">
        <f>VAR(CN71:CN97)</f>
        <v>8.3003952569169967E-2</v>
      </c>
      <c r="CR74" s="65"/>
      <c r="CS74" s="63"/>
      <c r="CU74" s="45" t="s">
        <v>774</v>
      </c>
      <c r="CV74" s="45">
        <f>VAR(CT71:CT76)</f>
        <v>0</v>
      </c>
      <c r="CX74" s="65"/>
      <c r="CY74" s="73" t="s">
        <v>453</v>
      </c>
      <c r="CZ74">
        <v>0</v>
      </c>
      <c r="DA74" s="45" t="s">
        <v>774</v>
      </c>
      <c r="DB74" s="45">
        <f>VAR(CZ71:CZ80)</f>
        <v>0.17777777777777778</v>
      </c>
      <c r="DD74" s="65"/>
      <c r="DE74" s="34" t="s">
        <v>486</v>
      </c>
      <c r="DF74" s="33">
        <v>0</v>
      </c>
      <c r="DG74" s="45" t="s">
        <v>774</v>
      </c>
      <c r="DH74" s="45">
        <f>VAR(DF71:DF81)</f>
        <v>0.41818181818181815</v>
      </c>
      <c r="DJ74" s="65"/>
      <c r="DK74" s="33" t="s">
        <v>521</v>
      </c>
      <c r="DL74" s="33">
        <v>1</v>
      </c>
      <c r="DM74" s="45" t="s">
        <v>774</v>
      </c>
      <c r="DN74" s="45">
        <f>VAR(DL71:DL95)</f>
        <v>0.22666666666666666</v>
      </c>
      <c r="DP74" s="65"/>
      <c r="DQ74" s="48" t="s">
        <v>1239</v>
      </c>
      <c r="DR74" s="48">
        <v>0</v>
      </c>
      <c r="DS74" s="48" t="s">
        <v>774</v>
      </c>
      <c r="DT74" s="48">
        <f>VAR(DR71:DR90)</f>
        <v>0.19736842105263158</v>
      </c>
      <c r="DV74" s="109"/>
      <c r="DW74" s="48" t="s">
        <v>1258</v>
      </c>
      <c r="DX74" s="48">
        <v>0</v>
      </c>
      <c r="DY74" s="48" t="s">
        <v>774</v>
      </c>
      <c r="DZ74" s="48">
        <f>VAR(DX71:DX80)</f>
        <v>0.4</v>
      </c>
      <c r="EB74" s="30" t="s">
        <v>292</v>
      </c>
      <c r="EC74">
        <v>0</v>
      </c>
      <c r="ED74" s="48" t="s">
        <v>774</v>
      </c>
      <c r="EE74">
        <f>VAR(EC71:EC77)</f>
        <v>0.23809523809523811</v>
      </c>
      <c r="EH74" s="30" t="s">
        <v>1275</v>
      </c>
      <c r="EI74">
        <v>0</v>
      </c>
      <c r="EJ74" s="48" t="s">
        <v>774</v>
      </c>
      <c r="EK74">
        <f>VAR(EI71:EI95)</f>
        <v>0.11</v>
      </c>
      <c r="EN74" s="30" t="s">
        <v>1276</v>
      </c>
      <c r="EO74">
        <v>0</v>
      </c>
      <c r="EP74" s="48" t="s">
        <v>774</v>
      </c>
      <c r="EQ74">
        <f>VAR(EO71:EO79)</f>
        <v>0.77777777777777779</v>
      </c>
      <c r="ET74" s="30" t="s">
        <v>1306</v>
      </c>
      <c r="EU74">
        <v>0</v>
      </c>
      <c r="EV74" s="48" t="s">
        <v>774</v>
      </c>
      <c r="EW74">
        <f>VAR(EU71:EU86)</f>
        <v>6.25E-2</v>
      </c>
      <c r="EZ74" s="30" t="s">
        <v>996</v>
      </c>
      <c r="FA74">
        <v>0</v>
      </c>
      <c r="FB74" s="48" t="s">
        <v>774</v>
      </c>
      <c r="FC74">
        <f>VAR(FA71:FA95)</f>
        <v>0.04</v>
      </c>
    </row>
    <row r="75" spans="1:161" x14ac:dyDescent="0.25">
      <c r="A75" s="64" t="s">
        <v>458</v>
      </c>
      <c r="B75" s="48">
        <v>0</v>
      </c>
      <c r="C75" s="48" t="s">
        <v>776</v>
      </c>
      <c r="D75" s="48">
        <f>STDEV(B70:B94)</f>
        <v>0.33166247903553997</v>
      </c>
      <c r="E75" s="48"/>
      <c r="G75" s="48" t="s">
        <v>945</v>
      </c>
      <c r="H75" s="48">
        <v>0</v>
      </c>
      <c r="I75" s="48" t="s">
        <v>776</v>
      </c>
      <c r="J75" s="48">
        <f>STDEV(H70:H84)</f>
        <v>0.2672612419124244</v>
      </c>
      <c r="K75" s="48"/>
      <c r="L75" s="90"/>
      <c r="M75" s="48" t="s">
        <v>958</v>
      </c>
      <c r="N75" s="48">
        <v>0</v>
      </c>
      <c r="O75" s="48" t="s">
        <v>775</v>
      </c>
      <c r="P75" s="48">
        <f>AVERAGE(N71:N95)</f>
        <v>0.125</v>
      </c>
      <c r="Q75" s="48"/>
      <c r="R75" s="90"/>
      <c r="S75" s="92" t="s">
        <v>981</v>
      </c>
      <c r="T75" s="48">
        <v>0</v>
      </c>
      <c r="U75" s="48" t="s">
        <v>776</v>
      </c>
      <c r="V75" s="48">
        <f>STDEV(T70:T94)</f>
        <v>0.28232985128663995</v>
      </c>
      <c r="W75" s="48"/>
      <c r="X75" s="90"/>
      <c r="Y75" s="48" t="s">
        <v>1005</v>
      </c>
      <c r="Z75" s="48">
        <v>1</v>
      </c>
      <c r="AA75" s="48" t="s">
        <v>776</v>
      </c>
      <c r="AB75" s="48">
        <f>STDEV(Z70:Z94)</f>
        <v>0.37416573867739411</v>
      </c>
      <c r="AC75" s="48"/>
      <c r="AE75" s="62" t="s">
        <v>760</v>
      </c>
      <c r="AF75" s="45">
        <v>0</v>
      </c>
      <c r="AG75" s="45" t="s">
        <v>775</v>
      </c>
      <c r="AH75" s="45">
        <f>AVERAGE(AF71:AF81)</f>
        <v>0</v>
      </c>
      <c r="AI75" s="45"/>
      <c r="AJ75" s="46"/>
      <c r="AK75" s="64" t="s">
        <v>740</v>
      </c>
      <c r="AL75" s="45">
        <v>1</v>
      </c>
      <c r="AM75" s="45" t="s">
        <v>775</v>
      </c>
      <c r="AN75" s="45">
        <f>AVERAGE(AL71:AL95)</f>
        <v>0.08</v>
      </c>
      <c r="AQ75" s="63" t="s">
        <v>647</v>
      </c>
      <c r="AR75" s="45">
        <v>0</v>
      </c>
      <c r="AS75" s="45" t="s">
        <v>775</v>
      </c>
      <c r="AT75" s="45">
        <f>AVERAGE(AR71:AR80)</f>
        <v>0.2</v>
      </c>
      <c r="AW75" t="s">
        <v>656</v>
      </c>
      <c r="AX75" s="45">
        <v>0</v>
      </c>
      <c r="AY75" s="45" t="s">
        <v>775</v>
      </c>
      <c r="AZ75" s="45">
        <f>AVERAGE(AX71:AX84)</f>
        <v>0.14285714285714285</v>
      </c>
      <c r="BE75" s="45" t="s">
        <v>775</v>
      </c>
      <c r="BF75" s="45">
        <f>AVERAGE(BD71:BD73)</f>
        <v>0</v>
      </c>
      <c r="BH75" s="46"/>
      <c r="BI75" s="63" t="s">
        <v>827</v>
      </c>
      <c r="BJ75">
        <v>0</v>
      </c>
      <c r="BK75" s="45" t="s">
        <v>775</v>
      </c>
      <c r="BL75" s="45">
        <f>AVERAGE(BJ71:BJ76)</f>
        <v>0.16666666666666666</v>
      </c>
      <c r="BN75" s="46"/>
      <c r="BO75" s="70" t="s">
        <v>872</v>
      </c>
      <c r="BP75" s="45">
        <v>0</v>
      </c>
      <c r="BQ75" s="45" t="s">
        <v>775</v>
      </c>
      <c r="BR75" s="45">
        <f>AVERAGE(BP71:BP95)</f>
        <v>0.16</v>
      </c>
      <c r="BT75" s="46"/>
      <c r="BU75" s="70" t="s">
        <v>680</v>
      </c>
      <c r="BV75" s="45">
        <v>0</v>
      </c>
      <c r="BW75" s="45" t="s">
        <v>775</v>
      </c>
      <c r="BX75" s="45">
        <f>AVERAGE(BV71:BV95)</f>
        <v>0.2</v>
      </c>
      <c r="BZ75" s="46"/>
      <c r="CA75" s="70" t="s">
        <v>704</v>
      </c>
      <c r="CB75" s="45">
        <v>0</v>
      </c>
      <c r="CC75" s="45" t="s">
        <v>775</v>
      </c>
      <c r="CD75" s="45">
        <f>AVERAGE(CB71:CB95)</f>
        <v>0</v>
      </c>
      <c r="CF75" s="65"/>
      <c r="CG75" s="73" t="s">
        <v>292</v>
      </c>
      <c r="CH75">
        <v>0</v>
      </c>
      <c r="CI75" s="45" t="s">
        <v>775</v>
      </c>
      <c r="CJ75" s="45">
        <f>AVERAGE(CH71:CH95)</f>
        <v>0.28000000000000003</v>
      </c>
      <c r="CL75" s="65"/>
      <c r="CM75" s="73" t="s">
        <v>352</v>
      </c>
      <c r="CN75">
        <v>0</v>
      </c>
      <c r="CO75" s="45" t="s">
        <v>775</v>
      </c>
      <c r="CP75" s="45">
        <f>AVERAGE(CN71:CN97)</f>
        <v>8.6956521739130432E-2</v>
      </c>
      <c r="CR75" s="65"/>
      <c r="CS75" s="63"/>
      <c r="CU75" s="45" t="s">
        <v>775</v>
      </c>
      <c r="CV75" s="45">
        <f>AVERAGE(CT71:CT76)</f>
        <v>0</v>
      </c>
      <c r="CX75" s="65"/>
      <c r="CY75" s="73" t="s">
        <v>454</v>
      </c>
      <c r="CZ75">
        <v>1</v>
      </c>
      <c r="DA75" s="45" t="s">
        <v>775</v>
      </c>
      <c r="DB75" s="45">
        <f>AVERAGE(CZ71:CZ80)</f>
        <v>0.2</v>
      </c>
      <c r="DD75" s="65"/>
      <c r="DE75" s="34" t="s">
        <v>487</v>
      </c>
      <c r="DF75" s="33">
        <v>0</v>
      </c>
      <c r="DG75" s="45" t="s">
        <v>775</v>
      </c>
      <c r="DH75" s="45">
        <f>AVERAGE(DF71:DF81)</f>
        <v>0.27272727272727271</v>
      </c>
      <c r="DJ75" s="65"/>
      <c r="DK75" s="33" t="s">
        <v>522</v>
      </c>
      <c r="DL75" s="33">
        <v>0</v>
      </c>
      <c r="DM75" s="45" t="s">
        <v>775</v>
      </c>
      <c r="DN75" s="45">
        <f>AVERAGE(DL71:DL95)</f>
        <v>0.32</v>
      </c>
      <c r="DP75" s="65"/>
      <c r="DQ75" s="48" t="s">
        <v>1240</v>
      </c>
      <c r="DR75" s="48">
        <v>0</v>
      </c>
      <c r="DS75" s="48" t="s">
        <v>775</v>
      </c>
      <c r="DT75" s="48">
        <f>AVERAGE(DR71:DR90)</f>
        <v>0.25</v>
      </c>
      <c r="DV75" s="109"/>
      <c r="DW75" s="48" t="s">
        <v>1259</v>
      </c>
      <c r="DX75" s="48">
        <v>0</v>
      </c>
      <c r="DY75" s="48" t="s">
        <v>775</v>
      </c>
      <c r="DZ75" s="48">
        <f>AVERAGE(DX71:DX80)</f>
        <v>0.2</v>
      </c>
      <c r="EB75" s="30" t="s">
        <v>1270</v>
      </c>
      <c r="EC75">
        <v>0</v>
      </c>
      <c r="ED75" s="48" t="s">
        <v>775</v>
      </c>
      <c r="EE75">
        <f>AVERAGE(EC71:EC77)</f>
        <v>0.2857142857142857</v>
      </c>
      <c r="EH75" s="30" t="s">
        <v>1276</v>
      </c>
      <c r="EI75">
        <v>0</v>
      </c>
      <c r="EJ75" s="48" t="s">
        <v>775</v>
      </c>
      <c r="EK75">
        <f>AVERAGE(EI71:EI95)</f>
        <v>0.12</v>
      </c>
      <c r="EN75" s="30" t="s">
        <v>1299</v>
      </c>
      <c r="EO75">
        <v>0</v>
      </c>
      <c r="EP75" s="48" t="s">
        <v>775</v>
      </c>
      <c r="EQ75">
        <f>AVERAGE(EO71:EO79)</f>
        <v>0.55555555555555558</v>
      </c>
      <c r="ET75" s="30" t="s">
        <v>1307</v>
      </c>
      <c r="EU75">
        <v>0</v>
      </c>
      <c r="EV75" s="48" t="s">
        <v>775</v>
      </c>
      <c r="EW75">
        <f>AVERAGE(EU71:EU86)</f>
        <v>6.25E-2</v>
      </c>
      <c r="EZ75" s="30" t="s">
        <v>1320</v>
      </c>
      <c r="FA75">
        <v>0</v>
      </c>
      <c r="FB75" s="48" t="s">
        <v>775</v>
      </c>
      <c r="FC75">
        <f>AVERAGE(FA71:FA95)</f>
        <v>0.04</v>
      </c>
    </row>
    <row r="76" spans="1:161" x14ac:dyDescent="0.25">
      <c r="A76" s="64" t="s">
        <v>1031</v>
      </c>
      <c r="B76" s="48">
        <v>0</v>
      </c>
      <c r="C76" s="48"/>
      <c r="D76" s="48"/>
      <c r="E76" s="48"/>
      <c r="G76" s="48" t="s">
        <v>946</v>
      </c>
      <c r="H76" s="48">
        <v>0</v>
      </c>
      <c r="I76" s="48"/>
      <c r="J76" s="48"/>
      <c r="K76" s="48"/>
      <c r="L76" s="90"/>
      <c r="M76" s="48" t="s">
        <v>959</v>
      </c>
      <c r="N76" s="48">
        <v>0</v>
      </c>
      <c r="O76" s="48" t="s">
        <v>776</v>
      </c>
      <c r="P76" s="48">
        <f>STDEV(N71:N95)</f>
        <v>0.33783196234608809</v>
      </c>
      <c r="Q76" s="48"/>
      <c r="R76" s="90"/>
      <c r="S76" s="92" t="s">
        <v>982</v>
      </c>
      <c r="T76" s="48">
        <v>0</v>
      </c>
      <c r="U76" s="48"/>
      <c r="V76" s="48"/>
      <c r="W76" s="48"/>
      <c r="X76" s="90"/>
      <c r="Y76" s="48" t="s">
        <v>1006</v>
      </c>
      <c r="Z76" s="48">
        <v>0</v>
      </c>
      <c r="AA76" s="48"/>
      <c r="AB76" s="48"/>
      <c r="AC76" s="48"/>
      <c r="AE76" s="62" t="s">
        <v>761</v>
      </c>
      <c r="AF76" s="45">
        <v>0</v>
      </c>
      <c r="AG76" s="45" t="s">
        <v>776</v>
      </c>
      <c r="AH76" s="45">
        <f>STDEV(AF71:AF81)</f>
        <v>0</v>
      </c>
      <c r="AI76" s="45"/>
      <c r="AJ76" s="46"/>
      <c r="AK76" s="64" t="s">
        <v>741</v>
      </c>
      <c r="AL76" s="45">
        <v>0</v>
      </c>
      <c r="AM76" s="45" t="s">
        <v>776</v>
      </c>
      <c r="AN76" s="45">
        <f>STDEV(AL71:AL95)</f>
        <v>0.27688746209726917</v>
      </c>
      <c r="AQ76" s="63" t="s">
        <v>648</v>
      </c>
      <c r="AR76" s="45">
        <v>1</v>
      </c>
      <c r="AS76" s="45" t="s">
        <v>776</v>
      </c>
      <c r="AT76" s="45">
        <f>STDEV(AR71:AR80)</f>
        <v>0.4216370213557839</v>
      </c>
      <c r="AW76" t="s">
        <v>657</v>
      </c>
      <c r="AX76" s="45">
        <v>0</v>
      </c>
      <c r="AY76" s="45" t="s">
        <v>776</v>
      </c>
      <c r="AZ76" s="45">
        <f>STDEV(AX71:AX84)</f>
        <v>0.36313651960128146</v>
      </c>
      <c r="BE76" s="45" t="s">
        <v>776</v>
      </c>
      <c r="BF76" s="45">
        <f>STDEV(BD71:BD73)</f>
        <v>0</v>
      </c>
      <c r="BH76" s="46"/>
      <c r="BI76" s="63" t="s">
        <v>828</v>
      </c>
      <c r="BJ76">
        <v>1</v>
      </c>
      <c r="BK76" s="45" t="s">
        <v>776</v>
      </c>
      <c r="BL76" s="45">
        <f>STDEV(BJ71:BJ76)</f>
        <v>0.40824829046386302</v>
      </c>
      <c r="BN76" s="46"/>
      <c r="BO76" s="70" t="s">
        <v>873</v>
      </c>
      <c r="BP76" s="45">
        <v>0</v>
      </c>
      <c r="BQ76" s="45" t="s">
        <v>776</v>
      </c>
      <c r="BR76" s="45">
        <f>STDEV(BP71:BP95)</f>
        <v>0.47258156262526085</v>
      </c>
      <c r="BT76" s="46"/>
      <c r="BU76" s="70" t="s">
        <v>898</v>
      </c>
      <c r="BV76" s="45">
        <v>0</v>
      </c>
      <c r="BW76" s="45" t="s">
        <v>776</v>
      </c>
      <c r="BX76" s="45">
        <f>STDEV(BV71:BV95)</f>
        <v>0.40824829046386302</v>
      </c>
      <c r="BZ76" s="46"/>
      <c r="CA76" s="70" t="s">
        <v>900</v>
      </c>
      <c r="CB76" s="45">
        <v>0</v>
      </c>
      <c r="CC76" s="45" t="s">
        <v>776</v>
      </c>
      <c r="CD76" s="45">
        <f>STDEV(CB71:CB95)</f>
        <v>0</v>
      </c>
      <c r="CF76" s="65"/>
      <c r="CG76" s="73" t="s">
        <v>293</v>
      </c>
      <c r="CH76">
        <v>0</v>
      </c>
      <c r="CI76" s="45" t="s">
        <v>776</v>
      </c>
      <c r="CJ76" s="45">
        <f>STDEV(CH71:CH95)</f>
        <v>0.54160256030906406</v>
      </c>
      <c r="CL76" s="65"/>
      <c r="CM76" s="73" t="s">
        <v>353</v>
      </c>
      <c r="CN76">
        <v>0</v>
      </c>
      <c r="CO76" s="45" t="s">
        <v>776</v>
      </c>
      <c r="CP76" s="45">
        <f>STDEV(CN71:CN97)</f>
        <v>0.28810406552003037</v>
      </c>
      <c r="CR76" s="65"/>
      <c r="CS76" s="63"/>
      <c r="CU76" s="45" t="s">
        <v>776</v>
      </c>
      <c r="CV76" s="45">
        <f>STDEV(CT71:CT76)</f>
        <v>0</v>
      </c>
      <c r="CX76" s="65"/>
      <c r="CY76" s="73" t="s">
        <v>455</v>
      </c>
      <c r="CZ76">
        <v>0</v>
      </c>
      <c r="DA76" s="45" t="s">
        <v>776</v>
      </c>
      <c r="DB76" s="45">
        <f>STDEV(CZ71:CZ80)</f>
        <v>0.4216370213557839</v>
      </c>
      <c r="DD76" s="65"/>
      <c r="DE76" s="34" t="s">
        <v>488</v>
      </c>
      <c r="DF76" s="33">
        <v>0</v>
      </c>
      <c r="DG76" s="45" t="s">
        <v>776</v>
      </c>
      <c r="DH76" s="45">
        <f>STDEV(DF71:DF81)</f>
        <v>0.64666979068286323</v>
      </c>
      <c r="DJ76" s="65"/>
      <c r="DK76" s="33" t="s">
        <v>523</v>
      </c>
      <c r="DL76" s="33">
        <v>0</v>
      </c>
      <c r="DM76" s="45" t="s">
        <v>776</v>
      </c>
      <c r="DN76" s="45">
        <f>STDEV(DL71:DL95)</f>
        <v>0.4760952285695233</v>
      </c>
      <c r="DP76" s="65"/>
      <c r="DQ76" s="48" t="s">
        <v>1241</v>
      </c>
      <c r="DR76" s="48">
        <v>0</v>
      </c>
      <c r="DS76" s="48" t="s">
        <v>776</v>
      </c>
      <c r="DT76" s="48">
        <f>STDEV(DR71:DR90)</f>
        <v>0.4442616583193193</v>
      </c>
      <c r="DV76" s="109"/>
      <c r="DW76" s="48" t="s">
        <v>1260</v>
      </c>
      <c r="DX76" s="48">
        <v>2</v>
      </c>
      <c r="DY76" s="48" t="s">
        <v>776</v>
      </c>
      <c r="DZ76" s="48">
        <f>STDEV(DX71:DX80)</f>
        <v>0.63245553203367588</v>
      </c>
      <c r="EB76" s="30" t="s">
        <v>1271</v>
      </c>
      <c r="EC76">
        <v>1</v>
      </c>
      <c r="ED76" s="48" t="s">
        <v>776</v>
      </c>
      <c r="EE76">
        <f>STDEV(EC71:EC77)</f>
        <v>0.4879500364742666</v>
      </c>
      <c r="EH76" s="30" t="s">
        <v>1277</v>
      </c>
      <c r="EI76">
        <v>1</v>
      </c>
      <c r="EJ76" s="48" t="s">
        <v>776</v>
      </c>
      <c r="EK76">
        <f>STDEV(EI71:EI95)</f>
        <v>0.33166247903553997</v>
      </c>
      <c r="EN76" s="30" t="s">
        <v>355</v>
      </c>
      <c r="EO76">
        <v>2</v>
      </c>
      <c r="EP76" s="48" t="s">
        <v>776</v>
      </c>
      <c r="EQ76">
        <f>STDEV(EO71:EO79)</f>
        <v>0.88191710368819687</v>
      </c>
      <c r="ET76" s="30" t="s">
        <v>1308</v>
      </c>
      <c r="EU76">
        <v>0</v>
      </c>
      <c r="EV76" s="48" t="s">
        <v>776</v>
      </c>
      <c r="EW76">
        <f>STDEV(EU71:EU86)</f>
        <v>0.25</v>
      </c>
      <c r="EZ76" s="30" t="s">
        <v>1321</v>
      </c>
      <c r="FA76">
        <v>0</v>
      </c>
      <c r="FB76" s="48" t="s">
        <v>776</v>
      </c>
      <c r="FC76">
        <f>STDEV(FA71:FA95)</f>
        <v>0.2</v>
      </c>
    </row>
    <row r="77" spans="1:161" x14ac:dyDescent="0.25">
      <c r="A77" s="64" t="s">
        <v>1032</v>
      </c>
      <c r="B77" s="48">
        <v>0</v>
      </c>
      <c r="C77" s="48"/>
      <c r="D77" s="48"/>
      <c r="E77" s="48"/>
      <c r="G77" s="48" t="s">
        <v>947</v>
      </c>
      <c r="H77" s="48">
        <v>0</v>
      </c>
      <c r="I77" s="48"/>
      <c r="J77" s="48"/>
      <c r="K77" s="48"/>
      <c r="L77" s="90"/>
      <c r="M77" s="48" t="s">
        <v>960</v>
      </c>
      <c r="N77" s="48">
        <v>0</v>
      </c>
      <c r="O77" s="48"/>
      <c r="P77" s="48"/>
      <c r="Q77" s="48"/>
      <c r="R77" s="90"/>
      <c r="S77" s="92" t="s">
        <v>983</v>
      </c>
      <c r="T77" s="48">
        <v>0</v>
      </c>
      <c r="U77" s="48"/>
      <c r="V77" s="48"/>
      <c r="W77" s="48"/>
      <c r="X77" s="90"/>
      <c r="Y77" s="48" t="s">
        <v>1007</v>
      </c>
      <c r="Z77" s="48">
        <v>0</v>
      </c>
      <c r="AA77" s="48"/>
      <c r="AB77" s="48"/>
      <c r="AC77" s="48"/>
      <c r="AE77" s="62" t="s">
        <v>762</v>
      </c>
      <c r="AF77" s="45">
        <v>0</v>
      </c>
      <c r="AG77" s="45"/>
      <c r="AH77" s="45"/>
      <c r="AJ77" s="46"/>
      <c r="AK77" s="64" t="s">
        <v>742</v>
      </c>
      <c r="AL77" s="45">
        <v>0</v>
      </c>
      <c r="AM77" s="45"/>
      <c r="AN77" s="45"/>
      <c r="AQ77" s="63" t="s">
        <v>649</v>
      </c>
      <c r="AR77" s="45">
        <v>0</v>
      </c>
      <c r="AS77" s="45"/>
      <c r="AT77" s="45"/>
      <c r="AW77" t="s">
        <v>658</v>
      </c>
      <c r="AX77" s="45">
        <v>0</v>
      </c>
      <c r="AY77" s="45"/>
      <c r="AZ77" s="45"/>
      <c r="BE77" s="45"/>
      <c r="BF77" s="45"/>
      <c r="BH77" s="46"/>
      <c r="BI77" s="63"/>
      <c r="BK77" s="45"/>
      <c r="BL77" s="45"/>
      <c r="BN77" s="46"/>
      <c r="BO77" s="70" t="s">
        <v>874</v>
      </c>
      <c r="BP77" s="45">
        <v>0</v>
      </c>
      <c r="BQ77" s="45"/>
      <c r="BR77" s="45"/>
      <c r="BT77" s="46"/>
      <c r="BU77" s="70" t="s">
        <v>682</v>
      </c>
      <c r="BV77" s="45">
        <v>1</v>
      </c>
      <c r="BW77" s="45"/>
      <c r="BX77" s="45"/>
      <c r="BZ77" s="46"/>
      <c r="CA77" s="70" t="s">
        <v>705</v>
      </c>
      <c r="CB77" s="45">
        <v>0</v>
      </c>
      <c r="CC77" s="45"/>
      <c r="CD77" s="45"/>
      <c r="CF77" s="65"/>
      <c r="CG77" s="73" t="s">
        <v>294</v>
      </c>
      <c r="CH77">
        <v>0</v>
      </c>
      <c r="CL77" s="65"/>
      <c r="CM77" s="73" t="s">
        <v>354</v>
      </c>
      <c r="CN77">
        <v>0</v>
      </c>
      <c r="CR77" s="65"/>
      <c r="CS77" s="63"/>
      <c r="CU77" s="45"/>
      <c r="CV77" s="45"/>
      <c r="CX77" s="65"/>
      <c r="CY77" s="73" t="s">
        <v>456</v>
      </c>
      <c r="CZ77">
        <v>1</v>
      </c>
      <c r="DD77" s="65"/>
      <c r="DE77" s="33" t="s">
        <v>489</v>
      </c>
      <c r="DF77" s="33">
        <v>0</v>
      </c>
      <c r="DJ77" s="65"/>
      <c r="DK77" s="33" t="s">
        <v>524</v>
      </c>
      <c r="DL77" s="33">
        <v>1</v>
      </c>
      <c r="DP77" s="65"/>
      <c r="DQ77" s="48" t="s">
        <v>999</v>
      </c>
      <c r="DR77" s="48">
        <v>1</v>
      </c>
      <c r="DS77" s="48"/>
      <c r="DT77" s="48"/>
      <c r="DV77" s="109"/>
      <c r="DW77" s="48" t="s">
        <v>1262</v>
      </c>
      <c r="DX77" s="48">
        <v>0</v>
      </c>
      <c r="DY77" s="48"/>
      <c r="DZ77" s="48"/>
      <c r="EB77" s="30" t="s">
        <v>1272</v>
      </c>
      <c r="EC77">
        <v>0</v>
      </c>
      <c r="EH77" s="30" t="s">
        <v>1278</v>
      </c>
      <c r="EI77">
        <v>0</v>
      </c>
      <c r="EN77" s="30" t="s">
        <v>1300</v>
      </c>
      <c r="EO77">
        <v>2</v>
      </c>
      <c r="ET77" s="30" t="s">
        <v>1309</v>
      </c>
      <c r="EU77">
        <v>0</v>
      </c>
      <c r="EZ77" s="30" t="s">
        <v>455</v>
      </c>
      <c r="FA77">
        <v>0</v>
      </c>
    </row>
    <row r="78" spans="1:161" x14ac:dyDescent="0.25">
      <c r="A78" s="64" t="s">
        <v>1033</v>
      </c>
      <c r="B78" s="48">
        <v>0</v>
      </c>
      <c r="C78" s="48"/>
      <c r="D78" s="48"/>
      <c r="E78" s="48"/>
      <c r="G78" s="48" t="s">
        <v>948</v>
      </c>
      <c r="H78" s="48">
        <v>0</v>
      </c>
      <c r="I78" s="48"/>
      <c r="J78" s="48"/>
      <c r="K78" s="48"/>
      <c r="L78" s="90"/>
      <c r="M78" s="48" t="s">
        <v>961</v>
      </c>
      <c r="N78" s="48">
        <v>0</v>
      </c>
      <c r="O78" s="48"/>
      <c r="P78" s="48"/>
      <c r="Q78" s="48"/>
      <c r="R78" s="90"/>
      <c r="S78" s="93" t="s">
        <v>984</v>
      </c>
      <c r="T78" s="48">
        <v>0</v>
      </c>
      <c r="U78" s="48"/>
      <c r="V78" s="48"/>
      <c r="W78" s="48"/>
      <c r="X78" s="90"/>
      <c r="Y78" s="48" t="s">
        <v>685</v>
      </c>
      <c r="Z78" s="48">
        <v>0</v>
      </c>
      <c r="AA78" s="48"/>
      <c r="AB78" s="48"/>
      <c r="AC78" s="48"/>
      <c r="AE78" s="62" t="s">
        <v>292</v>
      </c>
      <c r="AF78" s="45">
        <v>0</v>
      </c>
      <c r="AG78" s="45"/>
      <c r="AH78" s="45"/>
      <c r="AJ78" s="46"/>
      <c r="AK78" s="64" t="s">
        <v>743</v>
      </c>
      <c r="AL78" s="45">
        <v>0</v>
      </c>
      <c r="AM78" s="45"/>
      <c r="AN78" s="45"/>
      <c r="AQ78" s="63" t="s">
        <v>405</v>
      </c>
      <c r="AR78" s="45">
        <v>0</v>
      </c>
      <c r="AS78" s="45"/>
      <c r="AT78" s="45"/>
      <c r="AW78" t="s">
        <v>659</v>
      </c>
      <c r="AX78" s="45">
        <v>0</v>
      </c>
      <c r="AY78" s="45"/>
      <c r="AZ78" s="45"/>
      <c r="BE78" s="45"/>
      <c r="BF78" s="45"/>
      <c r="BH78" s="46"/>
      <c r="BI78" s="63"/>
      <c r="BK78" s="45"/>
      <c r="BL78" s="45"/>
      <c r="BN78" s="46"/>
      <c r="BO78" s="70" t="s">
        <v>875</v>
      </c>
      <c r="BP78" s="45">
        <v>0</v>
      </c>
      <c r="BQ78" s="45"/>
      <c r="BR78" s="45"/>
      <c r="BT78" s="46"/>
      <c r="BU78" s="70" t="s">
        <v>683</v>
      </c>
      <c r="BV78" s="45">
        <v>0</v>
      </c>
      <c r="BW78" s="45"/>
      <c r="BX78" s="45"/>
      <c r="BZ78" s="46"/>
      <c r="CA78" s="70" t="s">
        <v>901</v>
      </c>
      <c r="CB78" s="45">
        <v>0</v>
      </c>
      <c r="CC78" s="45"/>
      <c r="CD78" s="45"/>
      <c r="CF78" s="65"/>
      <c r="CG78" s="73" t="s">
        <v>295</v>
      </c>
      <c r="CH78">
        <v>1</v>
      </c>
      <c r="CL78" s="65"/>
      <c r="CM78" s="73" t="s">
        <v>355</v>
      </c>
      <c r="CN78">
        <v>0</v>
      </c>
      <c r="CR78" s="65"/>
      <c r="CS78" s="63"/>
      <c r="CU78" s="45"/>
      <c r="CV78" s="45"/>
      <c r="CX78" s="65"/>
      <c r="CY78" s="73" t="s">
        <v>457</v>
      </c>
      <c r="CZ78">
        <v>0</v>
      </c>
      <c r="DD78" s="65"/>
      <c r="DE78" s="33" t="s">
        <v>490</v>
      </c>
      <c r="DF78" s="33">
        <v>0</v>
      </c>
      <c r="DJ78" s="65"/>
      <c r="DK78" s="33" t="s">
        <v>525</v>
      </c>
      <c r="DL78" s="33">
        <v>0</v>
      </c>
      <c r="DP78" s="65"/>
      <c r="DQ78" s="48" t="s">
        <v>1242</v>
      </c>
      <c r="DR78" s="48">
        <v>0</v>
      </c>
      <c r="DS78" s="48"/>
      <c r="DT78" s="48"/>
      <c r="DV78" s="109"/>
      <c r="DW78" s="48" t="s">
        <v>975</v>
      </c>
      <c r="DX78" s="48">
        <v>0</v>
      </c>
      <c r="DY78" s="48"/>
      <c r="DZ78" s="48"/>
      <c r="EH78" s="30" t="s">
        <v>1279</v>
      </c>
      <c r="EI78">
        <v>1</v>
      </c>
      <c r="EN78" s="30" t="s">
        <v>1301</v>
      </c>
      <c r="EO78">
        <v>1</v>
      </c>
      <c r="ET78" s="30" t="s">
        <v>1310</v>
      </c>
      <c r="EU78">
        <v>0</v>
      </c>
      <c r="EZ78" s="30" t="s">
        <v>1322</v>
      </c>
      <c r="FA78">
        <v>0</v>
      </c>
    </row>
    <row r="79" spans="1:161" x14ac:dyDescent="0.25">
      <c r="A79" s="64" t="s">
        <v>1034</v>
      </c>
      <c r="B79" s="48">
        <v>0</v>
      </c>
      <c r="C79" s="48"/>
      <c r="D79" s="48"/>
      <c r="E79" s="48"/>
      <c r="G79" s="90"/>
      <c r="H79" s="131" t="s">
        <v>667</v>
      </c>
      <c r="I79" s="131"/>
      <c r="J79" s="90"/>
      <c r="K79" s="90"/>
      <c r="L79" s="90"/>
      <c r="M79" s="48" t="s">
        <v>962</v>
      </c>
      <c r="N79" s="48">
        <v>0</v>
      </c>
      <c r="O79" s="48"/>
      <c r="P79" s="48"/>
      <c r="Q79" s="48"/>
      <c r="R79" s="90"/>
      <c r="S79" s="93" t="s">
        <v>985</v>
      </c>
      <c r="T79" s="48">
        <v>0</v>
      </c>
      <c r="U79" s="48"/>
      <c r="V79" s="48"/>
      <c r="W79" s="48"/>
      <c r="X79" s="90"/>
      <c r="Y79" s="48" t="s">
        <v>686</v>
      </c>
      <c r="Z79" s="48">
        <v>0</v>
      </c>
      <c r="AA79" s="48"/>
      <c r="AB79" s="48"/>
      <c r="AC79" s="48"/>
      <c r="AE79" s="62" t="s">
        <v>763</v>
      </c>
      <c r="AF79" s="45">
        <v>0</v>
      </c>
      <c r="AG79" s="45"/>
      <c r="AH79" s="45"/>
      <c r="AJ79" s="46"/>
      <c r="AK79" s="64" t="s">
        <v>644</v>
      </c>
      <c r="AL79" s="45">
        <v>0</v>
      </c>
      <c r="AM79" s="45"/>
      <c r="AN79" s="45"/>
      <c r="AQ79" s="63" t="s">
        <v>650</v>
      </c>
      <c r="AR79" s="45">
        <v>0</v>
      </c>
      <c r="AS79" s="45"/>
      <c r="AT79" s="45"/>
      <c r="AW79" t="s">
        <v>660</v>
      </c>
      <c r="AX79" s="45">
        <v>1</v>
      </c>
      <c r="AY79" s="45"/>
      <c r="AZ79" s="45"/>
      <c r="BC79" s="31" t="s">
        <v>667</v>
      </c>
      <c r="BD79" t="s">
        <v>344</v>
      </c>
      <c r="BE79" s="45" t="s">
        <v>769</v>
      </c>
      <c r="BF79" s="45" t="s">
        <v>770</v>
      </c>
      <c r="BH79" s="46"/>
      <c r="BI79" s="31" t="s">
        <v>667</v>
      </c>
      <c r="BJ79" s="45" t="s">
        <v>344</v>
      </c>
      <c r="BK79" s="45" t="s">
        <v>769</v>
      </c>
      <c r="BL79" s="45" t="s">
        <v>770</v>
      </c>
      <c r="BN79" s="46"/>
      <c r="BO79" s="70" t="s">
        <v>876</v>
      </c>
      <c r="BP79" s="45">
        <v>1</v>
      </c>
      <c r="BQ79" s="45"/>
      <c r="BR79" s="45"/>
      <c r="BT79" s="46"/>
      <c r="BU79" s="70" t="s">
        <v>684</v>
      </c>
      <c r="BV79" s="45">
        <v>1</v>
      </c>
      <c r="BW79" s="45"/>
      <c r="BX79" s="45"/>
      <c r="BZ79" s="46"/>
      <c r="CA79" s="70" t="s">
        <v>902</v>
      </c>
      <c r="CB79" s="45">
        <v>0</v>
      </c>
      <c r="CC79" s="45"/>
      <c r="CD79" s="45"/>
      <c r="CF79" s="65"/>
      <c r="CG79" s="73" t="s">
        <v>296</v>
      </c>
      <c r="CH79">
        <v>1</v>
      </c>
      <c r="CL79" s="65"/>
      <c r="CM79" s="73" t="s">
        <v>356</v>
      </c>
      <c r="CN79">
        <v>0</v>
      </c>
      <c r="CR79" s="65"/>
      <c r="CS79" s="31" t="s">
        <v>667</v>
      </c>
      <c r="CT79" s="45" t="s">
        <v>344</v>
      </c>
      <c r="CU79" s="45" t="s">
        <v>769</v>
      </c>
      <c r="CV79" s="45" t="s">
        <v>770</v>
      </c>
      <c r="CX79" s="65"/>
      <c r="CY79" s="73" t="s">
        <v>458</v>
      </c>
      <c r="CZ79">
        <v>0</v>
      </c>
      <c r="DD79" s="65"/>
      <c r="DE79" s="33" t="s">
        <v>491</v>
      </c>
      <c r="DF79" s="33">
        <v>0</v>
      </c>
      <c r="DJ79" s="65"/>
      <c r="DK79" s="33" t="s">
        <v>526</v>
      </c>
      <c r="DL79" s="33">
        <v>1</v>
      </c>
      <c r="DP79" s="65"/>
      <c r="DQ79" s="48" t="s">
        <v>1243</v>
      </c>
      <c r="DR79" s="48">
        <v>0</v>
      </c>
      <c r="DS79" s="48"/>
      <c r="DT79" s="48"/>
      <c r="DV79" s="109"/>
      <c r="DW79" s="48" t="s">
        <v>1263</v>
      </c>
      <c r="DX79" s="48">
        <v>0</v>
      </c>
      <c r="DY79" s="48"/>
      <c r="DZ79" s="48"/>
      <c r="EH79" s="30" t="s">
        <v>1280</v>
      </c>
      <c r="EI79">
        <v>0</v>
      </c>
      <c r="EN79" s="30" t="s">
        <v>1302</v>
      </c>
      <c r="EO79">
        <v>0</v>
      </c>
      <c r="ET79" s="30" t="s">
        <v>1264</v>
      </c>
      <c r="EU79">
        <v>0</v>
      </c>
      <c r="EZ79" s="30" t="s">
        <v>1323</v>
      </c>
      <c r="FA79">
        <v>0</v>
      </c>
    </row>
    <row r="80" spans="1:161" x14ac:dyDescent="0.25">
      <c r="A80" s="64" t="s">
        <v>685</v>
      </c>
      <c r="B80" s="48">
        <v>0</v>
      </c>
      <c r="C80" s="48"/>
      <c r="D80" s="48"/>
      <c r="E80" s="48"/>
      <c r="G80" s="48" t="s">
        <v>949</v>
      </c>
      <c r="H80" s="48">
        <v>0</v>
      </c>
      <c r="I80" s="48"/>
      <c r="J80" s="48"/>
      <c r="K80" s="48"/>
      <c r="L80" s="90"/>
      <c r="M80" s="48" t="s">
        <v>963</v>
      </c>
      <c r="N80" s="48">
        <v>0</v>
      </c>
      <c r="O80" s="48"/>
      <c r="P80" s="48"/>
      <c r="Q80" s="48"/>
      <c r="R80" s="90"/>
      <c r="S80" s="93" t="s">
        <v>986</v>
      </c>
      <c r="T80" s="48">
        <v>0</v>
      </c>
      <c r="U80" s="48"/>
      <c r="V80" s="48"/>
      <c r="W80" s="48"/>
      <c r="X80" s="90"/>
      <c r="Y80" s="48" t="s">
        <v>1008</v>
      </c>
      <c r="Z80" s="48">
        <v>0</v>
      </c>
      <c r="AA80" s="48"/>
      <c r="AB80" s="48"/>
      <c r="AC80" s="48"/>
      <c r="AE80" s="62" t="s">
        <v>764</v>
      </c>
      <c r="AF80" s="45">
        <v>0</v>
      </c>
      <c r="AG80" s="45"/>
      <c r="AH80" s="45"/>
      <c r="AJ80" s="46"/>
      <c r="AK80" s="64" t="s">
        <v>744</v>
      </c>
      <c r="AL80" s="45">
        <v>0</v>
      </c>
      <c r="AM80" s="45"/>
      <c r="AN80" s="45"/>
      <c r="AQ80" s="63" t="s">
        <v>651</v>
      </c>
      <c r="AR80" s="45">
        <v>0</v>
      </c>
      <c r="AS80" s="45"/>
      <c r="AT80" s="45"/>
      <c r="AW80" t="s">
        <v>661</v>
      </c>
      <c r="AX80" s="45">
        <v>0</v>
      </c>
      <c r="AY80" s="45"/>
      <c r="AZ80" s="45"/>
      <c r="BC80" s="63" t="s">
        <v>655</v>
      </c>
      <c r="BD80">
        <v>0</v>
      </c>
      <c r="BE80" s="45" t="s">
        <v>771</v>
      </c>
      <c r="BF80" s="45">
        <f>SUM(BD80:BD101)</f>
        <v>3</v>
      </c>
      <c r="BH80" s="46"/>
      <c r="BI80" s="63" t="s">
        <v>450</v>
      </c>
      <c r="BJ80">
        <v>0</v>
      </c>
      <c r="BK80" s="45" t="s">
        <v>771</v>
      </c>
      <c r="BL80" s="45">
        <f>SUM(BJ80:BJ94)</f>
        <v>2</v>
      </c>
      <c r="BN80" s="46"/>
      <c r="BO80" s="70" t="s">
        <v>877</v>
      </c>
      <c r="BP80" s="45">
        <v>1</v>
      </c>
      <c r="BQ80" s="45"/>
      <c r="BR80" s="45"/>
      <c r="BT80" s="46"/>
      <c r="BU80" s="70" t="s">
        <v>685</v>
      </c>
      <c r="BV80" s="45">
        <v>0</v>
      </c>
      <c r="BW80" s="45"/>
      <c r="BX80" s="45"/>
      <c r="BZ80" s="46"/>
      <c r="CA80" s="70" t="s">
        <v>903</v>
      </c>
      <c r="CB80" s="45">
        <v>0</v>
      </c>
      <c r="CC80" s="45"/>
      <c r="CD80" s="45"/>
      <c r="CF80" s="65"/>
      <c r="CG80" s="73" t="s">
        <v>297</v>
      </c>
      <c r="CH80">
        <v>0</v>
      </c>
      <c r="CL80" s="65"/>
      <c r="CM80" s="73" t="s">
        <v>357</v>
      </c>
      <c r="CN80">
        <v>0</v>
      </c>
      <c r="CR80" s="65"/>
      <c r="CS80" s="73" t="s">
        <v>596</v>
      </c>
      <c r="CT80">
        <v>0</v>
      </c>
      <c r="CU80" s="45" t="s">
        <v>771</v>
      </c>
      <c r="CV80" s="45">
        <f>SUM(CT80:CT88)</f>
        <v>0</v>
      </c>
      <c r="CX80" s="65"/>
      <c r="CY80" s="73" t="s">
        <v>459</v>
      </c>
      <c r="CZ80">
        <v>0</v>
      </c>
      <c r="DD80" s="65"/>
      <c r="DE80" s="33" t="s">
        <v>492</v>
      </c>
      <c r="DF80" s="33">
        <v>1</v>
      </c>
      <c r="DJ80" s="65"/>
      <c r="DK80" s="33" t="s">
        <v>527</v>
      </c>
      <c r="DL80" s="33">
        <v>0</v>
      </c>
      <c r="DP80" s="65"/>
      <c r="DQ80" s="48" t="s">
        <v>1244</v>
      </c>
      <c r="DR80" s="48">
        <v>0</v>
      </c>
      <c r="DS80" s="48"/>
      <c r="DT80" s="48"/>
      <c r="DV80" s="109"/>
      <c r="DW80" s="48" t="s">
        <v>1264</v>
      </c>
      <c r="DX80" s="48">
        <v>0</v>
      </c>
      <c r="DY80" s="48"/>
      <c r="DZ80" s="48"/>
      <c r="EH80" s="30" t="s">
        <v>1281</v>
      </c>
      <c r="EI80">
        <v>0</v>
      </c>
      <c r="ET80" s="30" t="s">
        <v>1311</v>
      </c>
      <c r="EU80">
        <v>0</v>
      </c>
      <c r="EZ80" s="30" t="s">
        <v>1324</v>
      </c>
      <c r="FA80">
        <v>0</v>
      </c>
    </row>
    <row r="81" spans="1:157" x14ac:dyDescent="0.25">
      <c r="A81" s="64" t="s">
        <v>1035</v>
      </c>
      <c r="B81" s="48">
        <v>1</v>
      </c>
      <c r="C81" s="48"/>
      <c r="D81" s="48"/>
      <c r="E81" s="48"/>
      <c r="G81" s="48" t="s">
        <v>950</v>
      </c>
      <c r="H81" s="48">
        <v>0</v>
      </c>
      <c r="I81" s="48"/>
      <c r="J81" s="48"/>
      <c r="K81" s="48"/>
      <c r="L81" s="90"/>
      <c r="M81" s="48" t="s">
        <v>964</v>
      </c>
      <c r="N81" s="48">
        <v>0</v>
      </c>
      <c r="O81" s="48"/>
      <c r="P81" s="48"/>
      <c r="Q81" s="48"/>
      <c r="R81" s="90"/>
      <c r="S81" s="93" t="s">
        <v>987</v>
      </c>
      <c r="T81" s="48">
        <v>0</v>
      </c>
      <c r="U81" s="48"/>
      <c r="V81" s="48"/>
      <c r="W81" s="48"/>
      <c r="X81" s="90"/>
      <c r="Y81" s="48" t="s">
        <v>1009</v>
      </c>
      <c r="Z81" s="48">
        <v>0</v>
      </c>
      <c r="AA81" s="48"/>
      <c r="AB81" s="48"/>
      <c r="AC81" s="48"/>
      <c r="AE81" s="62" t="s">
        <v>765</v>
      </c>
      <c r="AF81" s="45">
        <v>0</v>
      </c>
      <c r="AG81" s="45"/>
      <c r="AH81" s="45"/>
      <c r="AJ81" s="46"/>
      <c r="AK81" s="64" t="s">
        <v>745</v>
      </c>
      <c r="AL81" s="45">
        <v>0</v>
      </c>
      <c r="AM81" s="45"/>
      <c r="AN81" s="45"/>
      <c r="AQ81" s="47"/>
      <c r="AR81" s="45"/>
      <c r="AS81" s="45"/>
      <c r="AT81" s="45"/>
      <c r="AW81" t="s">
        <v>662</v>
      </c>
      <c r="AX81" s="45">
        <v>0</v>
      </c>
      <c r="AY81" s="45"/>
      <c r="AZ81" s="45"/>
      <c r="BC81" s="63" t="s">
        <v>719</v>
      </c>
      <c r="BD81">
        <v>0</v>
      </c>
      <c r="BE81" s="45" t="s">
        <v>772</v>
      </c>
      <c r="BF81" s="45">
        <f>MIN(BD80:BD101)</f>
        <v>0</v>
      </c>
      <c r="BH81" s="46"/>
      <c r="BI81" s="63" t="s">
        <v>829</v>
      </c>
      <c r="BJ81">
        <v>1</v>
      </c>
      <c r="BK81" s="45" t="s">
        <v>772</v>
      </c>
      <c r="BL81" s="45">
        <f>MIN(BJ80:BJ94)</f>
        <v>0</v>
      </c>
      <c r="BN81" s="46"/>
      <c r="BO81" s="70" t="s">
        <v>878</v>
      </c>
      <c r="BP81" s="45">
        <v>0</v>
      </c>
      <c r="BQ81" s="45"/>
      <c r="BR81" s="45"/>
      <c r="BT81" s="46"/>
      <c r="BU81" s="70" t="s">
        <v>686</v>
      </c>
      <c r="BV81" s="45">
        <v>1</v>
      </c>
      <c r="BW81" s="45"/>
      <c r="BX81" s="45"/>
      <c r="BZ81" s="46"/>
      <c r="CA81" s="70" t="s">
        <v>904</v>
      </c>
      <c r="CB81" s="45">
        <v>0</v>
      </c>
      <c r="CC81" s="45"/>
      <c r="CD81" s="45"/>
      <c r="CF81" s="65"/>
      <c r="CG81" s="73" t="s">
        <v>298</v>
      </c>
      <c r="CH81">
        <v>2</v>
      </c>
      <c r="CL81" s="65"/>
      <c r="CM81" s="73" t="s">
        <v>358</v>
      </c>
      <c r="CN81">
        <v>0</v>
      </c>
      <c r="CR81" s="65"/>
      <c r="CS81" s="73" t="s">
        <v>597</v>
      </c>
      <c r="CT81">
        <v>0</v>
      </c>
      <c r="CU81" s="45" t="s">
        <v>772</v>
      </c>
      <c r="CV81" s="45">
        <f>MIN(CT80:CT88)</f>
        <v>0</v>
      </c>
      <c r="CX81" s="65"/>
      <c r="DD81" s="65"/>
      <c r="DE81" s="33" t="s">
        <v>493</v>
      </c>
      <c r="DF81" s="33">
        <v>0</v>
      </c>
      <c r="DJ81" s="65"/>
      <c r="DK81" s="33" t="s">
        <v>528</v>
      </c>
      <c r="DL81" s="33">
        <v>0</v>
      </c>
      <c r="DP81" s="65"/>
      <c r="DQ81" s="48" t="s">
        <v>1245</v>
      </c>
      <c r="DR81" s="48">
        <v>1</v>
      </c>
      <c r="DS81" s="48"/>
      <c r="DT81" s="48"/>
      <c r="DV81" s="109"/>
      <c r="EH81" s="30" t="s">
        <v>1282</v>
      </c>
      <c r="EI81">
        <v>0</v>
      </c>
      <c r="ET81" s="30" t="s">
        <v>1312</v>
      </c>
      <c r="EU81">
        <v>0</v>
      </c>
      <c r="EZ81" s="30" t="s">
        <v>1325</v>
      </c>
      <c r="FA81">
        <v>0</v>
      </c>
    </row>
    <row r="82" spans="1:157" x14ac:dyDescent="0.25">
      <c r="A82" s="64" t="s">
        <v>1036</v>
      </c>
      <c r="B82" s="48">
        <v>0</v>
      </c>
      <c r="C82" s="48"/>
      <c r="D82" s="48"/>
      <c r="E82" s="48"/>
      <c r="G82" s="48" t="s">
        <v>951</v>
      </c>
      <c r="H82" s="48">
        <v>0</v>
      </c>
      <c r="I82" s="48"/>
      <c r="J82" s="48"/>
      <c r="K82" s="48"/>
      <c r="L82" s="90"/>
      <c r="M82" s="48" t="s">
        <v>965</v>
      </c>
      <c r="N82" s="48">
        <v>0</v>
      </c>
      <c r="O82" s="48"/>
      <c r="P82" s="48"/>
      <c r="Q82" s="48"/>
      <c r="R82" s="90"/>
      <c r="S82" s="93" t="s">
        <v>988</v>
      </c>
      <c r="T82" s="48">
        <v>1</v>
      </c>
      <c r="U82" s="48"/>
      <c r="V82" s="48"/>
      <c r="W82" s="48"/>
      <c r="X82" s="90"/>
      <c r="Y82" s="48" t="s">
        <v>1010</v>
      </c>
      <c r="Z82" s="48">
        <v>0</v>
      </c>
      <c r="AA82" s="48"/>
      <c r="AB82" s="48"/>
      <c r="AC82" s="48"/>
      <c r="AE82" s="45"/>
      <c r="AF82" s="45"/>
      <c r="AG82" s="45"/>
      <c r="AH82" s="45"/>
      <c r="AJ82" s="46"/>
      <c r="AK82" s="64" t="s">
        <v>746</v>
      </c>
      <c r="AL82" s="45">
        <v>0</v>
      </c>
      <c r="AM82" s="45"/>
      <c r="AN82" s="45"/>
      <c r="AQ82" s="47"/>
      <c r="AR82" s="45"/>
      <c r="AS82" s="45"/>
      <c r="AT82" s="45"/>
      <c r="AW82" t="s">
        <v>663</v>
      </c>
      <c r="AX82" s="45">
        <v>0</v>
      </c>
      <c r="AY82" s="45"/>
      <c r="AZ82" s="45"/>
      <c r="BC82" s="63" t="s">
        <v>720</v>
      </c>
      <c r="BD82">
        <v>0</v>
      </c>
      <c r="BE82" s="45" t="s">
        <v>773</v>
      </c>
      <c r="BF82" s="45">
        <f>MAX(BD80:BD101)</f>
        <v>1</v>
      </c>
      <c r="BH82" s="46"/>
      <c r="BI82" s="63" t="s">
        <v>830</v>
      </c>
      <c r="BJ82">
        <v>0</v>
      </c>
      <c r="BK82" s="45" t="s">
        <v>773</v>
      </c>
      <c r="BL82" s="45">
        <f>MAX(BJ80:BJ94)</f>
        <v>1</v>
      </c>
      <c r="BN82" s="46"/>
      <c r="BO82" s="70" t="s">
        <v>879</v>
      </c>
      <c r="BP82" s="45">
        <v>0</v>
      </c>
      <c r="BQ82" s="45"/>
      <c r="BR82" s="45"/>
      <c r="BT82" s="46"/>
      <c r="BU82" s="70" t="s">
        <v>687</v>
      </c>
      <c r="BV82" s="45">
        <v>0</v>
      </c>
      <c r="BW82" s="45"/>
      <c r="BX82" s="45"/>
      <c r="BZ82" s="46"/>
      <c r="CA82" s="70" t="s">
        <v>905</v>
      </c>
      <c r="CB82" s="45">
        <v>0</v>
      </c>
      <c r="CC82" s="45"/>
      <c r="CD82" s="45"/>
      <c r="CF82" s="65"/>
      <c r="CG82" s="73" t="s">
        <v>299</v>
      </c>
      <c r="CH82">
        <v>1</v>
      </c>
      <c r="CL82" s="65"/>
      <c r="CM82" s="73" t="s">
        <v>359</v>
      </c>
      <c r="CN82">
        <v>1</v>
      </c>
      <c r="CR82" s="65"/>
      <c r="CS82" s="73" t="s">
        <v>598</v>
      </c>
      <c r="CT82">
        <v>0</v>
      </c>
      <c r="CU82" s="45" t="s">
        <v>773</v>
      </c>
      <c r="CV82" s="45">
        <f>MAX(CT80:CT85)</f>
        <v>0</v>
      </c>
      <c r="CX82" s="65"/>
      <c r="DD82" s="65"/>
      <c r="DJ82" s="65"/>
      <c r="DK82" s="33" t="s">
        <v>529</v>
      </c>
      <c r="DL82" s="33">
        <v>0</v>
      </c>
      <c r="DP82" s="65"/>
      <c r="DQ82" s="48" t="s">
        <v>1246</v>
      </c>
      <c r="DR82" s="48">
        <v>0</v>
      </c>
      <c r="DS82" s="48"/>
      <c r="DT82" s="48"/>
      <c r="DV82" s="109"/>
      <c r="EH82" s="30" t="s">
        <v>1283</v>
      </c>
      <c r="EI82">
        <v>0</v>
      </c>
      <c r="ET82" s="30" t="s">
        <v>1313</v>
      </c>
      <c r="EU82">
        <v>0</v>
      </c>
      <c r="EZ82" s="30" t="s">
        <v>1326</v>
      </c>
      <c r="FA82">
        <v>0</v>
      </c>
    </row>
    <row r="83" spans="1:157" x14ac:dyDescent="0.25">
      <c r="A83" s="64" t="s">
        <v>1037</v>
      </c>
      <c r="B83" s="48">
        <v>0</v>
      </c>
      <c r="C83" s="48"/>
      <c r="D83" s="48"/>
      <c r="E83" s="48"/>
      <c r="G83" s="48" t="s">
        <v>952</v>
      </c>
      <c r="H83" s="48">
        <v>0</v>
      </c>
      <c r="I83" s="48"/>
      <c r="J83" s="48"/>
      <c r="K83" s="48"/>
      <c r="L83" s="90"/>
      <c r="M83" s="48" t="s">
        <v>966</v>
      </c>
      <c r="N83" s="48">
        <v>0</v>
      </c>
      <c r="O83" s="48"/>
      <c r="P83" s="48"/>
      <c r="Q83" s="48"/>
      <c r="R83" s="90"/>
      <c r="S83" s="93" t="s">
        <v>989</v>
      </c>
      <c r="T83" s="48">
        <v>0</v>
      </c>
      <c r="U83" s="48"/>
      <c r="V83" s="48"/>
      <c r="W83" s="48"/>
      <c r="X83" s="90"/>
      <c r="Y83" s="48" t="s">
        <v>1011</v>
      </c>
      <c r="Z83" s="48">
        <v>0</v>
      </c>
      <c r="AA83" s="48"/>
      <c r="AB83" s="48"/>
      <c r="AC83" s="48"/>
      <c r="AF83" s="45"/>
      <c r="AI83" s="45"/>
      <c r="AJ83" s="46"/>
      <c r="AK83" s="64" t="s">
        <v>747</v>
      </c>
      <c r="AL83" s="45">
        <v>0</v>
      </c>
      <c r="AQ83" s="45" t="s">
        <v>818</v>
      </c>
      <c r="AW83" t="s">
        <v>664</v>
      </c>
      <c r="AX83" s="45">
        <v>0</v>
      </c>
      <c r="BC83" s="63" t="s">
        <v>721</v>
      </c>
      <c r="BD83">
        <v>0</v>
      </c>
      <c r="BE83" s="45" t="s">
        <v>774</v>
      </c>
      <c r="BF83" s="45">
        <f>VAR(BD80:BD101)</f>
        <v>0.12337662337662338</v>
      </c>
      <c r="BH83" s="46"/>
      <c r="BI83" s="63" t="s">
        <v>351</v>
      </c>
      <c r="BJ83">
        <v>0</v>
      </c>
      <c r="BK83" s="45" t="s">
        <v>774</v>
      </c>
      <c r="BL83" s="45">
        <f>VAR(BJ80:BJ94)</f>
        <v>0.12380952380952381</v>
      </c>
      <c r="BN83" s="46"/>
      <c r="BO83" s="70" t="s">
        <v>880</v>
      </c>
      <c r="BP83" s="45">
        <v>0</v>
      </c>
      <c r="BT83" s="46"/>
      <c r="BU83" s="70" t="s">
        <v>688</v>
      </c>
      <c r="BV83" s="45">
        <v>0</v>
      </c>
      <c r="BZ83" s="46"/>
      <c r="CA83" s="70" t="s">
        <v>399</v>
      </c>
      <c r="CB83" s="45">
        <v>0</v>
      </c>
      <c r="CF83" s="65"/>
      <c r="CG83" s="73" t="s">
        <v>300</v>
      </c>
      <c r="CH83">
        <v>1</v>
      </c>
      <c r="CL83" s="65"/>
      <c r="CM83" s="73" t="s">
        <v>360</v>
      </c>
      <c r="CN83">
        <v>0</v>
      </c>
      <c r="CR83" s="65"/>
      <c r="CS83" s="78" t="s">
        <v>599</v>
      </c>
      <c r="CT83">
        <v>0</v>
      </c>
      <c r="CU83" s="45" t="s">
        <v>774</v>
      </c>
      <c r="CV83" s="45">
        <f>VAR(CT80:CT85)</f>
        <v>0</v>
      </c>
      <c r="CX83" s="65"/>
      <c r="CY83" s="45" t="s">
        <v>819</v>
      </c>
      <c r="DD83" s="65"/>
      <c r="DE83" s="45" t="s">
        <v>819</v>
      </c>
      <c r="DJ83" s="65"/>
      <c r="DK83" s="33" t="s">
        <v>530</v>
      </c>
      <c r="DL83" s="33">
        <v>0</v>
      </c>
      <c r="DP83" s="65"/>
      <c r="DQ83" s="48" t="s">
        <v>1247</v>
      </c>
      <c r="DR83" s="48">
        <v>1</v>
      </c>
      <c r="DS83" s="48"/>
      <c r="DT83" s="48"/>
      <c r="DV83" s="109"/>
      <c r="EH83" s="30" t="s">
        <v>1284</v>
      </c>
      <c r="EI83">
        <v>0</v>
      </c>
      <c r="ET83" s="30" t="s">
        <v>1314</v>
      </c>
      <c r="EU83">
        <v>1</v>
      </c>
      <c r="EZ83" s="30" t="s">
        <v>1327</v>
      </c>
      <c r="FA83">
        <v>0</v>
      </c>
    </row>
    <row r="84" spans="1:157" x14ac:dyDescent="0.25">
      <c r="A84" s="64" t="s">
        <v>1038</v>
      </c>
      <c r="B84" s="48">
        <v>0</v>
      </c>
      <c r="C84" s="48"/>
      <c r="D84" s="48"/>
      <c r="E84" s="48"/>
      <c r="G84" s="48" t="s">
        <v>953</v>
      </c>
      <c r="H84" s="48">
        <v>0</v>
      </c>
      <c r="I84" s="48"/>
      <c r="J84" s="48"/>
      <c r="K84" s="48"/>
      <c r="L84" s="90"/>
      <c r="M84" s="48" t="s">
        <v>967</v>
      </c>
      <c r="N84" s="48">
        <v>0</v>
      </c>
      <c r="O84" s="48"/>
      <c r="P84" s="48"/>
      <c r="Q84" s="48"/>
      <c r="R84" s="90"/>
      <c r="S84" s="93" t="s">
        <v>990</v>
      </c>
      <c r="T84" s="48">
        <v>1</v>
      </c>
      <c r="U84" s="48"/>
      <c r="V84" s="48"/>
      <c r="W84" s="48"/>
      <c r="X84" s="90"/>
      <c r="Y84" s="48" t="s">
        <v>1012</v>
      </c>
      <c r="Z84" s="48">
        <v>0</v>
      </c>
      <c r="AA84" s="48"/>
      <c r="AB84" s="48"/>
      <c r="AC84" s="48"/>
      <c r="AE84" s="45"/>
      <c r="AF84" s="45"/>
      <c r="AI84" s="45"/>
      <c r="AJ84" s="46"/>
      <c r="AK84" s="64" t="s">
        <v>748</v>
      </c>
      <c r="AL84" s="45">
        <v>0</v>
      </c>
      <c r="AQ84" s="45" t="s">
        <v>768</v>
      </c>
      <c r="AR84" s="45" t="s">
        <v>344</v>
      </c>
      <c r="AS84" s="45" t="s">
        <v>769</v>
      </c>
      <c r="AT84" s="45" t="s">
        <v>770</v>
      </c>
      <c r="AW84" t="s">
        <v>665</v>
      </c>
      <c r="AX84" s="45">
        <v>0</v>
      </c>
      <c r="BC84" s="63" t="s">
        <v>679</v>
      </c>
      <c r="BD84">
        <v>0</v>
      </c>
      <c r="BE84" s="45" t="s">
        <v>775</v>
      </c>
      <c r="BF84" s="45">
        <f>AVERAGE(BD80:BD101)</f>
        <v>0.13636363636363635</v>
      </c>
      <c r="BH84" s="46"/>
      <c r="BI84" s="63" t="s">
        <v>831</v>
      </c>
      <c r="BJ84">
        <v>0</v>
      </c>
      <c r="BK84" s="45" t="s">
        <v>775</v>
      </c>
      <c r="BL84" s="45">
        <f>AVERAGE(BJ80:BJ94)</f>
        <v>0.13333333333333333</v>
      </c>
      <c r="BN84" s="46"/>
      <c r="BO84" s="70" t="s">
        <v>881</v>
      </c>
      <c r="BP84" s="45">
        <v>0</v>
      </c>
      <c r="BT84" s="46"/>
      <c r="BU84" s="70" t="s">
        <v>689</v>
      </c>
      <c r="BV84" s="45">
        <v>0</v>
      </c>
      <c r="BZ84" s="46"/>
      <c r="CA84" s="70" t="s">
        <v>877</v>
      </c>
      <c r="CB84" s="45">
        <v>0</v>
      </c>
      <c r="CF84" s="65"/>
      <c r="CG84" s="73" t="s">
        <v>301</v>
      </c>
      <c r="CH84">
        <v>1</v>
      </c>
      <c r="CL84" s="65"/>
      <c r="CM84" s="73" t="s">
        <v>361</v>
      </c>
      <c r="CN84">
        <v>0</v>
      </c>
      <c r="CR84" s="65"/>
      <c r="CS84" s="78" t="s">
        <v>600</v>
      </c>
      <c r="CT84">
        <v>0</v>
      </c>
      <c r="CU84" s="45" t="s">
        <v>775</v>
      </c>
      <c r="CV84" s="45">
        <f>AVERAGE(CT80:CT85)</f>
        <v>0</v>
      </c>
      <c r="CX84" s="65"/>
      <c r="CY84" s="45" t="s">
        <v>768</v>
      </c>
      <c r="CZ84" s="45" t="s">
        <v>344</v>
      </c>
      <c r="DA84" s="45" t="s">
        <v>769</v>
      </c>
      <c r="DB84" s="45" t="s">
        <v>770</v>
      </c>
      <c r="DD84" s="65"/>
      <c r="DE84" s="45" t="s">
        <v>768</v>
      </c>
      <c r="DF84" s="45" t="s">
        <v>344</v>
      </c>
      <c r="DG84" s="45" t="s">
        <v>769</v>
      </c>
      <c r="DH84" s="45" t="s">
        <v>770</v>
      </c>
      <c r="DJ84" s="65"/>
      <c r="DK84" s="33" t="s">
        <v>531</v>
      </c>
      <c r="DL84" s="33">
        <v>0</v>
      </c>
      <c r="DP84" s="65"/>
      <c r="DQ84" s="48" t="s">
        <v>1248</v>
      </c>
      <c r="DR84" s="48">
        <v>1</v>
      </c>
      <c r="DS84" s="48"/>
      <c r="DT84" s="48"/>
      <c r="DV84" s="109"/>
      <c r="EH84" s="30" t="s">
        <v>1285</v>
      </c>
      <c r="EI84">
        <v>0</v>
      </c>
      <c r="ET84" s="30" t="s">
        <v>1315</v>
      </c>
      <c r="EU84">
        <v>0</v>
      </c>
      <c r="EZ84" s="30" t="s">
        <v>1328</v>
      </c>
      <c r="FA84">
        <v>0</v>
      </c>
    </row>
    <row r="85" spans="1:157" x14ac:dyDescent="0.25">
      <c r="A85" s="64" t="s">
        <v>1039</v>
      </c>
      <c r="B85" s="48">
        <v>0</v>
      </c>
      <c r="C85" s="48"/>
      <c r="D85" s="48"/>
      <c r="E85" s="48"/>
      <c r="G85" s="48"/>
      <c r="H85" s="48"/>
      <c r="I85" s="48"/>
      <c r="J85" s="48"/>
      <c r="K85" s="48"/>
      <c r="L85" s="90"/>
      <c r="M85" s="48" t="s">
        <v>348</v>
      </c>
      <c r="N85" s="48">
        <v>0</v>
      </c>
      <c r="O85" s="48"/>
      <c r="P85" s="48"/>
      <c r="Q85" s="48"/>
      <c r="R85" s="90"/>
      <c r="S85" s="93" t="s">
        <v>955</v>
      </c>
      <c r="T85" s="48">
        <v>0</v>
      </c>
      <c r="U85" s="48"/>
      <c r="V85" s="48"/>
      <c r="W85" s="48"/>
      <c r="X85" s="90"/>
      <c r="Y85" s="48" t="s">
        <v>1013</v>
      </c>
      <c r="Z85" s="48">
        <v>0</v>
      </c>
      <c r="AA85" s="48"/>
      <c r="AB85" s="48"/>
      <c r="AC85" s="48"/>
      <c r="AE85" s="45" t="s">
        <v>818</v>
      </c>
      <c r="AF85" s="45"/>
      <c r="AG85" s="45"/>
      <c r="AH85" s="45"/>
      <c r="AI85" s="45"/>
      <c r="AJ85" s="46"/>
      <c r="AK85" s="64" t="s">
        <v>519</v>
      </c>
      <c r="AL85" s="45">
        <v>0</v>
      </c>
      <c r="AQ85" s="63" t="s">
        <v>642</v>
      </c>
      <c r="AR85" s="45">
        <v>0</v>
      </c>
      <c r="AS85" s="45" t="s">
        <v>771</v>
      </c>
      <c r="AT85" s="45">
        <f>SUM(AR85:AR94)</f>
        <v>0</v>
      </c>
      <c r="AW85" s="47"/>
      <c r="AX85" s="45"/>
      <c r="BC85" s="63" t="s">
        <v>722</v>
      </c>
      <c r="BD85">
        <v>0</v>
      </c>
      <c r="BE85" s="45" t="s">
        <v>776</v>
      </c>
      <c r="BF85" s="45">
        <f>STDEV(BD80:BD101)</f>
        <v>0.35125008665710444</v>
      </c>
      <c r="BH85" s="46"/>
      <c r="BI85" s="63" t="s">
        <v>762</v>
      </c>
      <c r="BJ85">
        <v>0</v>
      </c>
      <c r="BK85" s="45" t="s">
        <v>776</v>
      </c>
      <c r="BL85" s="45">
        <f>STDEV(BJ80:BJ94)</f>
        <v>0.35186577527449842</v>
      </c>
      <c r="BN85" s="46"/>
      <c r="BO85" s="70" t="s">
        <v>882</v>
      </c>
      <c r="BP85" s="45">
        <v>0</v>
      </c>
      <c r="BT85" s="46"/>
      <c r="BU85" s="70" t="s">
        <v>690</v>
      </c>
      <c r="BV85" s="45">
        <v>0</v>
      </c>
      <c r="BZ85" s="46"/>
      <c r="CA85" s="70" t="s">
        <v>906</v>
      </c>
      <c r="CB85" s="45">
        <v>0</v>
      </c>
      <c r="CF85" s="65"/>
      <c r="CG85" s="73" t="s">
        <v>302</v>
      </c>
      <c r="CH85">
        <v>0</v>
      </c>
      <c r="CL85" s="65"/>
      <c r="CM85" s="73" t="s">
        <v>362</v>
      </c>
      <c r="CN85">
        <v>0</v>
      </c>
      <c r="CR85" s="65"/>
      <c r="CS85" s="78" t="s">
        <v>601</v>
      </c>
      <c r="CT85">
        <v>0</v>
      </c>
      <c r="CU85" s="45" t="s">
        <v>776</v>
      </c>
      <c r="CV85" s="45">
        <f>STDEV(CT80:CT85)</f>
        <v>0</v>
      </c>
      <c r="CX85" s="65"/>
      <c r="CY85" s="73" t="s">
        <v>450</v>
      </c>
      <c r="CZ85">
        <v>0</v>
      </c>
      <c r="DA85" s="45" t="s">
        <v>771</v>
      </c>
      <c r="DB85" s="45">
        <f>SUM(CZ85:CZ94)</f>
        <v>2</v>
      </c>
      <c r="DD85" s="65"/>
      <c r="DE85" s="34" t="s">
        <v>483</v>
      </c>
      <c r="DF85" s="33">
        <v>0</v>
      </c>
      <c r="DG85" s="45" t="s">
        <v>771</v>
      </c>
      <c r="DH85" s="45">
        <f>SUM(DF85:DF95)</f>
        <v>10</v>
      </c>
      <c r="DJ85" s="65"/>
      <c r="DK85" s="33" t="s">
        <v>532</v>
      </c>
      <c r="DL85" s="33">
        <v>0</v>
      </c>
      <c r="DP85" s="65"/>
      <c r="DQ85" s="48" t="s">
        <v>1249</v>
      </c>
      <c r="DR85" s="48">
        <v>0</v>
      </c>
      <c r="DS85" s="48"/>
      <c r="DT85" s="48"/>
      <c r="DV85" s="109"/>
      <c r="EH85" s="30" t="s">
        <v>1286</v>
      </c>
      <c r="EI85">
        <v>0</v>
      </c>
      <c r="ET85" s="30" t="s">
        <v>1316</v>
      </c>
      <c r="EU85">
        <v>0</v>
      </c>
      <c r="EZ85" s="30" t="s">
        <v>1329</v>
      </c>
      <c r="FA85">
        <v>0</v>
      </c>
    </row>
    <row r="86" spans="1:157" x14ac:dyDescent="0.25">
      <c r="A86" s="64" t="s">
        <v>692</v>
      </c>
      <c r="B86" s="48">
        <v>0</v>
      </c>
      <c r="C86" s="48"/>
      <c r="D86" s="48"/>
      <c r="E86" s="48"/>
      <c r="G86" s="96" t="s">
        <v>195</v>
      </c>
      <c r="H86" s="48"/>
      <c r="I86" s="48"/>
      <c r="J86" s="48"/>
      <c r="K86" s="48"/>
      <c r="L86" s="90"/>
      <c r="M86" s="48" t="s">
        <v>968</v>
      </c>
      <c r="N86" s="48">
        <v>1</v>
      </c>
      <c r="O86" s="48"/>
      <c r="P86" s="48"/>
      <c r="Q86" s="48"/>
      <c r="R86" s="90"/>
      <c r="S86" s="93" t="s">
        <v>991</v>
      </c>
      <c r="T86" s="48">
        <v>0</v>
      </c>
      <c r="U86" s="48"/>
      <c r="V86" s="48"/>
      <c r="W86" s="48"/>
      <c r="X86" s="90"/>
      <c r="Y86" s="48" t="s">
        <v>1014</v>
      </c>
      <c r="Z86" s="48">
        <v>0</v>
      </c>
      <c r="AA86" s="48"/>
      <c r="AB86" s="48"/>
      <c r="AC86" s="48"/>
      <c r="AE86" s="45" t="s">
        <v>768</v>
      </c>
      <c r="AF86" s="45" t="s">
        <v>344</v>
      </c>
      <c r="AG86" s="45" t="s">
        <v>769</v>
      </c>
      <c r="AH86" s="45" t="s">
        <v>770</v>
      </c>
      <c r="AI86" s="45"/>
      <c r="AJ86" s="46"/>
      <c r="AK86" s="64" t="s">
        <v>749</v>
      </c>
      <c r="AL86" s="45">
        <v>0</v>
      </c>
      <c r="AQ86" s="63" t="s">
        <v>757</v>
      </c>
      <c r="AR86" s="45">
        <v>0</v>
      </c>
      <c r="AS86" s="45" t="s">
        <v>772</v>
      </c>
      <c r="AT86" s="45">
        <f>MIN(AR85:AR94)</f>
        <v>0</v>
      </c>
      <c r="AW86" s="47"/>
      <c r="AX86" s="45"/>
      <c r="BC86" s="63" t="s">
        <v>723</v>
      </c>
      <c r="BD86">
        <v>0</v>
      </c>
      <c r="BH86" s="46"/>
      <c r="BI86" s="63" t="s">
        <v>832</v>
      </c>
      <c r="BJ86">
        <v>0</v>
      </c>
      <c r="BK86" s="45"/>
      <c r="BL86" s="45"/>
      <c r="BN86" s="46"/>
      <c r="BO86" s="70" t="s">
        <v>883</v>
      </c>
      <c r="BP86" s="45">
        <v>0</v>
      </c>
      <c r="BT86" s="46"/>
      <c r="BU86" s="70" t="s">
        <v>691</v>
      </c>
      <c r="BV86" s="45">
        <v>0</v>
      </c>
      <c r="BZ86" s="46"/>
      <c r="CA86" s="70" t="s">
        <v>706</v>
      </c>
      <c r="CB86" s="45">
        <v>0</v>
      </c>
      <c r="CF86" s="65"/>
      <c r="CG86" s="73" t="s">
        <v>303</v>
      </c>
      <c r="CH86">
        <v>0</v>
      </c>
      <c r="CL86" s="65"/>
      <c r="CM86" s="73" t="s">
        <v>363</v>
      </c>
      <c r="CN86">
        <v>0</v>
      </c>
      <c r="CR86" s="65"/>
      <c r="CS86" s="63"/>
      <c r="CU86" s="45"/>
      <c r="CV86" s="45"/>
      <c r="CX86" s="65"/>
      <c r="CY86" s="73" t="s">
        <v>451</v>
      </c>
      <c r="CZ86">
        <v>0</v>
      </c>
      <c r="DA86" s="45" t="s">
        <v>772</v>
      </c>
      <c r="DB86" s="45">
        <f>MIN(CZ85:CZ94)</f>
        <v>0</v>
      </c>
      <c r="DD86" s="65"/>
      <c r="DE86" s="34" t="s">
        <v>484</v>
      </c>
      <c r="DF86" s="33">
        <v>0</v>
      </c>
      <c r="DG86" s="45" t="s">
        <v>772</v>
      </c>
      <c r="DH86" s="45">
        <f>MIN(DF85:DF94)</f>
        <v>0</v>
      </c>
      <c r="DJ86" s="65"/>
      <c r="DK86" s="33" t="s">
        <v>533</v>
      </c>
      <c r="DL86" s="33">
        <v>0</v>
      </c>
      <c r="DP86" s="65"/>
      <c r="DQ86" s="48" t="s">
        <v>650</v>
      </c>
      <c r="DR86" s="48">
        <v>0</v>
      </c>
      <c r="DS86" s="48"/>
      <c r="DT86" s="48"/>
      <c r="DV86" s="109"/>
      <c r="EH86" s="30" t="s">
        <v>1287</v>
      </c>
      <c r="EI86">
        <v>0</v>
      </c>
      <c r="ET86" s="30" t="s">
        <v>1317</v>
      </c>
      <c r="EU86">
        <v>0</v>
      </c>
      <c r="EZ86" s="30" t="s">
        <v>1330</v>
      </c>
      <c r="FA86">
        <v>0</v>
      </c>
    </row>
    <row r="87" spans="1:157" x14ac:dyDescent="0.25">
      <c r="A87" s="64" t="s">
        <v>1040</v>
      </c>
      <c r="B87" s="48">
        <v>0</v>
      </c>
      <c r="C87" s="48"/>
      <c r="D87" s="48"/>
      <c r="E87" s="48"/>
      <c r="G87" s="48" t="s">
        <v>940</v>
      </c>
      <c r="H87" s="48">
        <v>0</v>
      </c>
      <c r="I87" s="48" t="s">
        <v>769</v>
      </c>
      <c r="J87" s="48" t="s">
        <v>770</v>
      </c>
      <c r="K87" s="48"/>
      <c r="L87" s="90"/>
      <c r="M87" s="48" t="s">
        <v>969</v>
      </c>
      <c r="N87" s="48">
        <v>0</v>
      </c>
      <c r="O87" s="48"/>
      <c r="P87" s="48"/>
      <c r="Q87" s="48"/>
      <c r="R87" s="90"/>
      <c r="S87" s="93" t="s">
        <v>992</v>
      </c>
      <c r="T87" s="48">
        <v>0</v>
      </c>
      <c r="U87" s="48"/>
      <c r="V87" s="48"/>
      <c r="W87" s="48"/>
      <c r="X87" s="90"/>
      <c r="Y87" s="48" t="s">
        <v>1015</v>
      </c>
      <c r="Z87" s="48">
        <v>0</v>
      </c>
      <c r="AA87" s="48"/>
      <c r="AB87" s="48"/>
      <c r="AC87" s="48"/>
      <c r="AE87" s="62" t="s">
        <v>744</v>
      </c>
      <c r="AF87" s="45">
        <v>0</v>
      </c>
      <c r="AG87" s="45" t="s">
        <v>771</v>
      </c>
      <c r="AH87" s="45">
        <f>SUM(AF87:AF97)</f>
        <v>0</v>
      </c>
      <c r="AI87" s="45"/>
      <c r="AJ87" s="46"/>
      <c r="AK87" s="64" t="s">
        <v>750</v>
      </c>
      <c r="AL87" s="45">
        <v>0</v>
      </c>
      <c r="AQ87" s="63" t="s">
        <v>644</v>
      </c>
      <c r="AR87" s="45">
        <v>0</v>
      </c>
      <c r="AS87" s="45" t="s">
        <v>773</v>
      </c>
      <c r="AT87" s="45">
        <f>MAX(AR85:AR94)</f>
        <v>0</v>
      </c>
      <c r="AW87" s="31" t="s">
        <v>667</v>
      </c>
      <c r="AX87" s="45" t="s">
        <v>344</v>
      </c>
      <c r="AY87" s="45" t="s">
        <v>769</v>
      </c>
      <c r="AZ87" s="45" t="s">
        <v>770</v>
      </c>
      <c r="BC87" s="63" t="s">
        <v>821</v>
      </c>
      <c r="BD87">
        <v>1</v>
      </c>
      <c r="BH87" s="46"/>
      <c r="BI87" s="63" t="s">
        <v>833</v>
      </c>
      <c r="BJ87">
        <v>1</v>
      </c>
      <c r="BN87" s="46"/>
      <c r="BO87" s="70" t="s">
        <v>884</v>
      </c>
      <c r="BP87" s="45">
        <v>0</v>
      </c>
      <c r="BT87" s="46"/>
      <c r="BU87" s="30" t="s">
        <v>692</v>
      </c>
      <c r="BV87" s="45">
        <v>0</v>
      </c>
      <c r="BZ87" s="46"/>
      <c r="CA87" s="70" t="s">
        <v>707</v>
      </c>
      <c r="CB87" s="45">
        <v>0</v>
      </c>
      <c r="CF87" s="65"/>
      <c r="CG87" s="73" t="s">
        <v>304</v>
      </c>
      <c r="CH87">
        <v>0</v>
      </c>
      <c r="CL87" s="65"/>
      <c r="CM87" s="73" t="s">
        <v>364</v>
      </c>
      <c r="CN87">
        <v>0</v>
      </c>
      <c r="CR87" s="65"/>
      <c r="CS87" s="63"/>
      <c r="CX87" s="65"/>
      <c r="CY87" s="73" t="s">
        <v>452</v>
      </c>
      <c r="CZ87">
        <v>1</v>
      </c>
      <c r="DA87" s="45" t="s">
        <v>773</v>
      </c>
      <c r="DB87" s="45">
        <f>MAX(CZ85:CZ94)</f>
        <v>1</v>
      </c>
      <c r="DD87" s="65"/>
      <c r="DE87" s="35" t="s">
        <v>485</v>
      </c>
      <c r="DF87" s="35">
        <v>0</v>
      </c>
      <c r="DG87" s="45" t="s">
        <v>773</v>
      </c>
      <c r="DH87" s="45">
        <f>MAX(DF85:DF95)</f>
        <v>4</v>
      </c>
      <c r="DJ87" s="65"/>
      <c r="DK87" s="33" t="s">
        <v>534</v>
      </c>
      <c r="DL87" s="33">
        <v>0</v>
      </c>
      <c r="DP87" s="65"/>
      <c r="DQ87" s="48" t="s">
        <v>1250</v>
      </c>
      <c r="DR87" s="48">
        <v>1</v>
      </c>
      <c r="DS87" s="48"/>
      <c r="DT87" s="48"/>
      <c r="DV87" s="109"/>
      <c r="EH87" s="30" t="s">
        <v>1288</v>
      </c>
      <c r="EI87">
        <v>0</v>
      </c>
      <c r="EZ87" s="30" t="s">
        <v>1331</v>
      </c>
      <c r="FA87">
        <v>0</v>
      </c>
    </row>
    <row r="88" spans="1:157" x14ac:dyDescent="0.25">
      <c r="A88" s="64" t="s">
        <v>1041</v>
      </c>
      <c r="B88" s="48">
        <v>0</v>
      </c>
      <c r="C88" s="48"/>
      <c r="D88" s="48"/>
      <c r="E88" s="48"/>
      <c r="G88" s="48" t="s">
        <v>941</v>
      </c>
      <c r="H88" s="48">
        <v>0</v>
      </c>
      <c r="I88" s="48" t="s">
        <v>771</v>
      </c>
      <c r="J88" s="48">
        <f>SUM(H87:H101)</f>
        <v>8</v>
      </c>
      <c r="K88" s="48"/>
      <c r="L88" s="90"/>
      <c r="M88" s="48" t="s">
        <v>970</v>
      </c>
      <c r="N88" s="48">
        <v>0</v>
      </c>
      <c r="O88" s="48"/>
      <c r="P88" s="48"/>
      <c r="Q88" s="48"/>
      <c r="R88" s="90"/>
      <c r="S88" s="93" t="s">
        <v>993</v>
      </c>
      <c r="T88" s="48">
        <v>0</v>
      </c>
      <c r="U88" s="48"/>
      <c r="V88" s="48"/>
      <c r="W88" s="48"/>
      <c r="X88" s="90"/>
      <c r="Y88" s="48" t="s">
        <v>1016</v>
      </c>
      <c r="Z88" s="48">
        <v>0</v>
      </c>
      <c r="AA88" s="48"/>
      <c r="AB88" s="48"/>
      <c r="AC88" s="48"/>
      <c r="AE88" s="62" t="s">
        <v>757</v>
      </c>
      <c r="AF88" s="45">
        <v>0</v>
      </c>
      <c r="AG88" s="45" t="s">
        <v>772</v>
      </c>
      <c r="AH88" s="45">
        <f>MIN(AF87:AF97)</f>
        <v>0</v>
      </c>
      <c r="AI88" s="45"/>
      <c r="AJ88" s="46"/>
      <c r="AK88" s="64" t="s">
        <v>354</v>
      </c>
      <c r="AL88" s="45">
        <v>0</v>
      </c>
      <c r="AQ88" s="63" t="s">
        <v>292</v>
      </c>
      <c r="AR88" s="45">
        <v>0</v>
      </c>
      <c r="AS88" s="45" t="s">
        <v>774</v>
      </c>
      <c r="AT88" s="45">
        <f>VAR(AR85:AR94)</f>
        <v>0</v>
      </c>
      <c r="AW88" s="63" t="s">
        <v>810</v>
      </c>
      <c r="AX88" s="45">
        <v>0</v>
      </c>
      <c r="AY88" s="45" t="s">
        <v>771</v>
      </c>
      <c r="AZ88" s="45">
        <f>SUM(AX88:AX97)</f>
        <v>2</v>
      </c>
      <c r="BC88" s="63" t="s">
        <v>822</v>
      </c>
      <c r="BD88">
        <v>1</v>
      </c>
      <c r="BH88" s="46"/>
      <c r="BI88" s="63" t="s">
        <v>834</v>
      </c>
      <c r="BJ88">
        <v>0</v>
      </c>
      <c r="BN88" s="46"/>
      <c r="BO88" s="70" t="s">
        <v>856</v>
      </c>
      <c r="BP88" s="45">
        <v>0</v>
      </c>
      <c r="BT88" s="46"/>
      <c r="BU88" s="70" t="s">
        <v>693</v>
      </c>
      <c r="BV88" s="45">
        <v>0</v>
      </c>
      <c r="BZ88" s="46"/>
      <c r="CA88" s="70" t="s">
        <v>708</v>
      </c>
      <c r="CB88" s="45">
        <v>0</v>
      </c>
      <c r="CF88" s="65"/>
      <c r="CG88" s="73" t="s">
        <v>305</v>
      </c>
      <c r="CH88">
        <v>0</v>
      </c>
      <c r="CL88" s="65"/>
      <c r="CM88" s="73" t="s">
        <v>308</v>
      </c>
      <c r="CN88">
        <v>0</v>
      </c>
      <c r="CR88" s="65"/>
      <c r="CS88" s="63"/>
      <c r="CX88" s="65"/>
      <c r="CY88" s="73" t="s">
        <v>453</v>
      </c>
      <c r="CZ88">
        <v>1</v>
      </c>
      <c r="DA88" s="45" t="s">
        <v>774</v>
      </c>
      <c r="DB88" s="45">
        <f>VAR(CZ85:CZ94)</f>
        <v>0.17777777777777778</v>
      </c>
      <c r="DD88" s="65"/>
      <c r="DE88" s="34" t="s">
        <v>486</v>
      </c>
      <c r="DF88" s="33">
        <v>0</v>
      </c>
      <c r="DG88" s="45" t="s">
        <v>774</v>
      </c>
      <c r="DH88" s="45">
        <f>VAR(DF85:DF95)</f>
        <v>1.6909090909090907</v>
      </c>
      <c r="DJ88" s="65"/>
      <c r="DK88" s="33" t="s">
        <v>535</v>
      </c>
      <c r="DL88" s="33">
        <v>0</v>
      </c>
      <c r="DP88" s="65"/>
      <c r="DQ88" s="48" t="s">
        <v>1251</v>
      </c>
      <c r="DR88" s="48">
        <v>0</v>
      </c>
      <c r="DS88" s="48"/>
      <c r="DT88" s="48"/>
      <c r="DV88" s="109"/>
      <c r="EH88" s="30" t="s">
        <v>1289</v>
      </c>
      <c r="EI88">
        <v>0</v>
      </c>
      <c r="EZ88" s="30" t="s">
        <v>1332</v>
      </c>
      <c r="FA88">
        <v>0</v>
      </c>
    </row>
    <row r="89" spans="1:157" x14ac:dyDescent="0.25">
      <c r="A89" s="64" t="s">
        <v>1042</v>
      </c>
      <c r="B89" s="48">
        <v>0</v>
      </c>
      <c r="C89" s="48"/>
      <c r="D89" s="48"/>
      <c r="E89" s="48"/>
      <c r="G89" s="48" t="s">
        <v>942</v>
      </c>
      <c r="H89" s="48">
        <v>0</v>
      </c>
      <c r="I89" s="48" t="s">
        <v>772</v>
      </c>
      <c r="J89" s="48">
        <f>MIN(H87:H101)</f>
        <v>0</v>
      </c>
      <c r="K89" s="48"/>
      <c r="L89" s="90"/>
      <c r="M89" s="48" t="s">
        <v>971</v>
      </c>
      <c r="N89" s="48">
        <v>0</v>
      </c>
      <c r="O89" s="48"/>
      <c r="P89" s="48"/>
      <c r="Q89" s="48"/>
      <c r="R89" s="90"/>
      <c r="S89" s="93" t="s">
        <v>994</v>
      </c>
      <c r="T89" s="48">
        <v>0</v>
      </c>
      <c r="U89" s="48"/>
      <c r="V89" s="48"/>
      <c r="W89" s="48"/>
      <c r="X89" s="90"/>
      <c r="Y89" s="48" t="s">
        <v>1017</v>
      </c>
      <c r="Z89" s="48">
        <v>0</v>
      </c>
      <c r="AA89" s="48"/>
      <c r="AB89" s="48"/>
      <c r="AC89" s="48"/>
      <c r="AE89" s="62" t="s">
        <v>758</v>
      </c>
      <c r="AF89" s="45">
        <v>0</v>
      </c>
      <c r="AG89" s="45" t="s">
        <v>773</v>
      </c>
      <c r="AH89" s="45">
        <f>MAX(AF87:AF97)</f>
        <v>0</v>
      </c>
      <c r="AI89" s="45"/>
      <c r="AJ89" s="46"/>
      <c r="AK89" s="64" t="s">
        <v>647</v>
      </c>
      <c r="AL89" s="45">
        <v>0</v>
      </c>
      <c r="AQ89" s="63" t="s">
        <v>647</v>
      </c>
      <c r="AR89" s="45">
        <v>0</v>
      </c>
      <c r="AS89" s="45" t="s">
        <v>775</v>
      </c>
      <c r="AT89" s="45">
        <f>AVERAGE(AR85:AR94)</f>
        <v>0</v>
      </c>
      <c r="AW89" s="63" t="s">
        <v>809</v>
      </c>
      <c r="AX89" s="45">
        <v>0</v>
      </c>
      <c r="AY89" s="45" t="s">
        <v>772</v>
      </c>
      <c r="AZ89" s="45">
        <f>MIN(AX88:AX97)</f>
        <v>0</v>
      </c>
      <c r="BC89" s="63" t="s">
        <v>724</v>
      </c>
      <c r="BD89">
        <v>0</v>
      </c>
      <c r="BH89" s="46"/>
      <c r="BI89" s="63" t="s">
        <v>835</v>
      </c>
      <c r="BJ89">
        <v>0</v>
      </c>
      <c r="BN89" s="46"/>
      <c r="BO89" s="70" t="s">
        <v>857</v>
      </c>
      <c r="BP89" s="45">
        <v>0</v>
      </c>
      <c r="BT89" s="46"/>
      <c r="BU89" s="70" t="s">
        <v>694</v>
      </c>
      <c r="BV89" s="45">
        <v>0</v>
      </c>
      <c r="BZ89" s="46"/>
      <c r="CA89" s="70" t="s">
        <v>709</v>
      </c>
      <c r="CB89" s="45">
        <v>0</v>
      </c>
      <c r="CF89" s="65"/>
      <c r="CG89" s="73" t="s">
        <v>306</v>
      </c>
      <c r="CH89">
        <v>0</v>
      </c>
      <c r="CL89" s="65"/>
      <c r="CM89" s="73" t="s">
        <v>365</v>
      </c>
      <c r="CN89">
        <v>0</v>
      </c>
      <c r="CR89" s="65"/>
      <c r="CS89" s="31" t="s">
        <v>841</v>
      </c>
      <c r="CT89" s="48" t="s">
        <v>344</v>
      </c>
      <c r="CU89" s="47" t="s">
        <v>769</v>
      </c>
      <c r="CV89" s="47" t="s">
        <v>770</v>
      </c>
      <c r="CX89" s="65"/>
      <c r="CY89" s="73" t="s">
        <v>454</v>
      </c>
      <c r="CZ89">
        <v>0</v>
      </c>
      <c r="DA89" s="45" t="s">
        <v>775</v>
      </c>
      <c r="DB89" s="45">
        <f>AVERAGE(CZ85:CZ94)</f>
        <v>0.2</v>
      </c>
      <c r="DD89" s="65"/>
      <c r="DE89" s="34" t="s">
        <v>487</v>
      </c>
      <c r="DF89" s="33">
        <v>1</v>
      </c>
      <c r="DG89" s="45" t="s">
        <v>775</v>
      </c>
      <c r="DH89" s="45">
        <f>AVERAGE(DF85:DF95)</f>
        <v>0.90909090909090906</v>
      </c>
      <c r="DJ89" s="65"/>
      <c r="DK89" s="33" t="s">
        <v>536</v>
      </c>
      <c r="DL89" s="33">
        <v>1</v>
      </c>
      <c r="DP89" s="65"/>
      <c r="DQ89" s="48" t="s">
        <v>1252</v>
      </c>
      <c r="DR89" s="48">
        <v>0</v>
      </c>
      <c r="DS89" s="48"/>
      <c r="DT89" s="48"/>
      <c r="DV89" s="109"/>
      <c r="EH89" s="30" t="s">
        <v>1290</v>
      </c>
      <c r="EI89">
        <v>0</v>
      </c>
      <c r="EZ89" s="30" t="s">
        <v>1333</v>
      </c>
      <c r="FA89">
        <v>0</v>
      </c>
    </row>
    <row r="90" spans="1:157" x14ac:dyDescent="0.25">
      <c r="A90" s="64" t="s">
        <v>1043</v>
      </c>
      <c r="B90" s="48">
        <v>1</v>
      </c>
      <c r="C90" s="48"/>
      <c r="D90" s="48"/>
      <c r="E90" s="48"/>
      <c r="G90" s="48" t="s">
        <v>943</v>
      </c>
      <c r="H90" s="48">
        <v>4</v>
      </c>
      <c r="I90" s="48" t="s">
        <v>773</v>
      </c>
      <c r="J90" s="48">
        <f>MAX(H87:H101)</f>
        <v>4</v>
      </c>
      <c r="K90" s="48"/>
      <c r="L90" s="90"/>
      <c r="M90" s="48" t="s">
        <v>972</v>
      </c>
      <c r="N90" s="48">
        <v>0</v>
      </c>
      <c r="O90" s="48"/>
      <c r="P90" s="48"/>
      <c r="Q90" s="48"/>
      <c r="R90" s="90"/>
      <c r="S90" s="90"/>
      <c r="T90" s="131" t="s">
        <v>667</v>
      </c>
      <c r="U90" s="131"/>
      <c r="V90" s="90"/>
      <c r="W90" s="90"/>
      <c r="X90" s="90"/>
      <c r="Y90" s="48" t="s">
        <v>1018</v>
      </c>
      <c r="Z90" s="48">
        <v>1</v>
      </c>
      <c r="AA90" s="48"/>
      <c r="AB90" s="48"/>
      <c r="AC90" s="48"/>
      <c r="AE90" s="62" t="s">
        <v>452</v>
      </c>
      <c r="AF90" s="45">
        <v>0</v>
      </c>
      <c r="AG90" s="45" t="s">
        <v>774</v>
      </c>
      <c r="AH90" s="45">
        <f>VAR(AF87:AF97)</f>
        <v>0</v>
      </c>
      <c r="AI90" s="45"/>
      <c r="AJ90" s="46"/>
      <c r="AK90" s="64" t="s">
        <v>751</v>
      </c>
      <c r="AL90" s="45">
        <v>0</v>
      </c>
      <c r="AQ90" s="63" t="s">
        <v>648</v>
      </c>
      <c r="AR90" s="45">
        <v>0</v>
      </c>
      <c r="AS90" s="45" t="s">
        <v>776</v>
      </c>
      <c r="AT90" s="45">
        <f>STDEV(AR85:AR94)</f>
        <v>0</v>
      </c>
      <c r="AW90" s="63" t="s">
        <v>811</v>
      </c>
      <c r="AX90" s="45">
        <v>1</v>
      </c>
      <c r="AY90" s="45" t="s">
        <v>773</v>
      </c>
      <c r="AZ90" s="45">
        <f>MAX(AX88:AX97)</f>
        <v>1</v>
      </c>
      <c r="BC90" s="63" t="s">
        <v>725</v>
      </c>
      <c r="BD90">
        <v>0</v>
      </c>
      <c r="BH90" s="46"/>
      <c r="BI90" s="63" t="s">
        <v>836</v>
      </c>
      <c r="BJ90">
        <v>0</v>
      </c>
      <c r="BN90" s="46"/>
      <c r="BO90" s="70" t="s">
        <v>885</v>
      </c>
      <c r="BP90" s="45">
        <v>0</v>
      </c>
      <c r="BT90" s="46"/>
      <c r="BU90" s="70" t="s">
        <v>695</v>
      </c>
      <c r="BV90" s="45">
        <v>0</v>
      </c>
      <c r="BZ90" s="46"/>
      <c r="CA90" s="70" t="s">
        <v>710</v>
      </c>
      <c r="CB90" s="45">
        <v>0</v>
      </c>
      <c r="CF90" s="65"/>
      <c r="CG90" s="73" t="s">
        <v>307</v>
      </c>
      <c r="CH90">
        <v>0</v>
      </c>
      <c r="CL90" s="65"/>
      <c r="CM90" s="73" t="s">
        <v>366</v>
      </c>
      <c r="CN90">
        <v>0</v>
      </c>
      <c r="CR90" s="65"/>
      <c r="CS90" s="78" t="s">
        <v>602</v>
      </c>
      <c r="CT90" s="33">
        <v>0</v>
      </c>
      <c r="CU90" s="47" t="s">
        <v>771</v>
      </c>
      <c r="CV90" s="47">
        <f>SUM(CT90:CT106)</f>
        <v>1</v>
      </c>
      <c r="CX90" s="65"/>
      <c r="CY90" s="73" t="s">
        <v>455</v>
      </c>
      <c r="CZ90">
        <v>0</v>
      </c>
      <c r="DA90" s="45" t="s">
        <v>776</v>
      </c>
      <c r="DB90" s="45">
        <f>STDEV(CZ85:CZ94)</f>
        <v>0.4216370213557839</v>
      </c>
      <c r="DD90" s="65"/>
      <c r="DE90" s="34" t="s">
        <v>488</v>
      </c>
      <c r="DF90" s="33">
        <v>0</v>
      </c>
      <c r="DG90" s="45" t="s">
        <v>776</v>
      </c>
      <c r="DH90" s="45">
        <f>STDEV(DF85:DF95)</f>
        <v>1.300349603340998</v>
      </c>
      <c r="DJ90" s="65"/>
      <c r="DK90" s="33" t="s">
        <v>537</v>
      </c>
      <c r="DL90" s="33">
        <v>1</v>
      </c>
      <c r="DP90" s="65"/>
      <c r="DQ90" s="48" t="s">
        <v>1253</v>
      </c>
      <c r="DR90" s="48">
        <v>0</v>
      </c>
      <c r="DS90" s="48"/>
      <c r="DT90" s="48"/>
      <c r="DV90" s="109"/>
      <c r="EH90" s="30" t="s">
        <v>1291</v>
      </c>
      <c r="EI90">
        <v>0</v>
      </c>
      <c r="EZ90" s="30" t="s">
        <v>1044</v>
      </c>
      <c r="FA90">
        <v>0</v>
      </c>
    </row>
    <row r="91" spans="1:157" x14ac:dyDescent="0.25">
      <c r="A91" s="64" t="s">
        <v>694</v>
      </c>
      <c r="B91" s="48">
        <v>0</v>
      </c>
      <c r="C91" s="48"/>
      <c r="D91" s="48"/>
      <c r="E91" s="48"/>
      <c r="G91" s="48" t="s">
        <v>944</v>
      </c>
      <c r="H91" s="48">
        <v>1</v>
      </c>
      <c r="I91" s="48" t="s">
        <v>774</v>
      </c>
      <c r="J91" s="48">
        <f>VAR(H87:H101)</f>
        <v>1.3406593406593408</v>
      </c>
      <c r="K91" s="48"/>
      <c r="L91" s="90"/>
      <c r="M91" s="48" t="s">
        <v>973</v>
      </c>
      <c r="N91" s="48">
        <v>1</v>
      </c>
      <c r="O91" s="48"/>
      <c r="P91" s="48"/>
      <c r="Q91" s="48"/>
      <c r="R91" s="90"/>
      <c r="S91" s="93" t="s">
        <v>996</v>
      </c>
      <c r="T91" s="48">
        <v>0</v>
      </c>
      <c r="U91" s="48"/>
      <c r="V91" s="48"/>
      <c r="W91" s="48"/>
      <c r="X91" s="90"/>
      <c r="Y91" s="48" t="s">
        <v>1019</v>
      </c>
      <c r="Z91" s="48">
        <v>0</v>
      </c>
      <c r="AA91" s="48"/>
      <c r="AB91" s="48"/>
      <c r="AC91" s="48"/>
      <c r="AE91" s="62" t="s">
        <v>760</v>
      </c>
      <c r="AF91" s="45">
        <v>0</v>
      </c>
      <c r="AG91" s="45" t="s">
        <v>775</v>
      </c>
      <c r="AH91" s="45">
        <f>AVERAGE(AF87:AF97)</f>
        <v>0</v>
      </c>
      <c r="AI91" s="45"/>
      <c r="AJ91" s="46"/>
      <c r="AK91" s="64" t="s">
        <v>752</v>
      </c>
      <c r="AL91" s="45">
        <v>0</v>
      </c>
      <c r="AQ91" s="63" t="s">
        <v>649</v>
      </c>
      <c r="AR91" s="45">
        <v>0</v>
      </c>
      <c r="AS91" s="45"/>
      <c r="AT91" s="45"/>
      <c r="AW91" s="63" t="s">
        <v>812</v>
      </c>
      <c r="AX91" s="45">
        <v>0</v>
      </c>
      <c r="AY91" s="45" t="s">
        <v>774</v>
      </c>
      <c r="AZ91" s="45">
        <f>VAR(AX88:AX97)</f>
        <v>0.17777777777777778</v>
      </c>
      <c r="BC91" s="63" t="s">
        <v>726</v>
      </c>
      <c r="BD91">
        <v>0</v>
      </c>
      <c r="BH91" s="46"/>
      <c r="BI91" s="63" t="s">
        <v>837</v>
      </c>
      <c r="BJ91">
        <v>0</v>
      </c>
      <c r="BN91" s="46"/>
      <c r="BO91" s="70" t="s">
        <v>886</v>
      </c>
      <c r="BP91" s="45">
        <v>0</v>
      </c>
      <c r="BT91" s="46"/>
      <c r="BU91" s="70" t="s">
        <v>696</v>
      </c>
      <c r="BV91" s="45">
        <v>0</v>
      </c>
      <c r="BZ91" s="46"/>
      <c r="CA91" s="70" t="s">
        <v>711</v>
      </c>
      <c r="CB91" s="45">
        <v>0</v>
      </c>
      <c r="CF91" s="65"/>
      <c r="CG91" s="73" t="s">
        <v>308</v>
      </c>
      <c r="CH91">
        <v>0</v>
      </c>
      <c r="CL91" s="65"/>
      <c r="CM91" s="73" t="s">
        <v>367</v>
      </c>
      <c r="CN91">
        <v>0</v>
      </c>
      <c r="CR91" s="65"/>
      <c r="CS91" s="78" t="s">
        <v>603</v>
      </c>
      <c r="CT91" s="33">
        <v>0</v>
      </c>
      <c r="CU91" s="47" t="s">
        <v>772</v>
      </c>
      <c r="CV91" s="47">
        <f>MIN(CT90:CT106)</f>
        <v>0</v>
      </c>
      <c r="CX91" s="65"/>
      <c r="CY91" s="73" t="s">
        <v>456</v>
      </c>
      <c r="CZ91">
        <v>0</v>
      </c>
      <c r="DD91" s="65"/>
      <c r="DE91" s="33" t="s">
        <v>489</v>
      </c>
      <c r="DF91" s="33">
        <v>0</v>
      </c>
      <c r="DJ91" s="65"/>
      <c r="DK91" s="33" t="s">
        <v>538</v>
      </c>
      <c r="DL91" s="33">
        <v>1</v>
      </c>
      <c r="DP91" s="65"/>
      <c r="DV91" s="109"/>
      <c r="EH91" s="30" t="s">
        <v>1292</v>
      </c>
      <c r="EI91">
        <v>0</v>
      </c>
      <c r="EZ91" s="30" t="s">
        <v>1334</v>
      </c>
      <c r="FA91">
        <v>0</v>
      </c>
    </row>
    <row r="92" spans="1:157" x14ac:dyDescent="0.25">
      <c r="A92" s="64" t="s">
        <v>1044</v>
      </c>
      <c r="B92" s="48">
        <v>0</v>
      </c>
      <c r="C92" s="48"/>
      <c r="D92" s="48"/>
      <c r="E92" s="48"/>
      <c r="G92" s="48" t="s">
        <v>945</v>
      </c>
      <c r="H92" s="48">
        <v>1</v>
      </c>
      <c r="I92" s="48" t="s">
        <v>775</v>
      </c>
      <c r="J92" s="48">
        <f>AVERAGE(H87:H101)</f>
        <v>0.5714285714285714</v>
      </c>
      <c r="K92" s="48"/>
      <c r="L92" s="90"/>
      <c r="M92" s="48" t="s">
        <v>765</v>
      </c>
      <c r="N92" s="48">
        <v>1</v>
      </c>
      <c r="O92" s="48"/>
      <c r="P92" s="48"/>
      <c r="Q92" s="48"/>
      <c r="R92" s="90"/>
      <c r="S92" s="93" t="s">
        <v>997</v>
      </c>
      <c r="T92" s="48">
        <v>0</v>
      </c>
      <c r="U92" s="48"/>
      <c r="V92" s="48"/>
      <c r="W92" s="48"/>
      <c r="X92" s="90"/>
      <c r="Y92" s="48" t="s">
        <v>1020</v>
      </c>
      <c r="Z92" s="48">
        <v>0</v>
      </c>
      <c r="AA92" s="48"/>
      <c r="AB92" s="48"/>
      <c r="AC92" s="48"/>
      <c r="AE92" s="62" t="s">
        <v>761</v>
      </c>
      <c r="AF92" s="45">
        <v>0</v>
      </c>
      <c r="AG92" s="45" t="s">
        <v>776</v>
      </c>
      <c r="AH92" s="45">
        <f>STDEV(AF87:AF97)</f>
        <v>0</v>
      </c>
      <c r="AI92" s="45"/>
      <c r="AJ92" s="46"/>
      <c r="AK92" s="64" t="s">
        <v>753</v>
      </c>
      <c r="AL92" s="45">
        <v>0</v>
      </c>
      <c r="AQ92" s="63" t="s">
        <v>405</v>
      </c>
      <c r="AR92" s="45">
        <v>0</v>
      </c>
      <c r="AS92" s="45"/>
      <c r="AT92" s="45"/>
      <c r="AW92" s="63" t="s">
        <v>813</v>
      </c>
      <c r="AX92" s="45">
        <v>0</v>
      </c>
      <c r="AY92" s="45" t="s">
        <v>775</v>
      </c>
      <c r="AZ92" s="45">
        <f>AVERAGE(AX88:AX97)</f>
        <v>0.2</v>
      </c>
      <c r="BC92" s="63" t="s">
        <v>727</v>
      </c>
      <c r="BD92">
        <v>0</v>
      </c>
      <c r="BH92" s="46"/>
      <c r="BI92" s="63" t="s">
        <v>838</v>
      </c>
      <c r="BJ92">
        <v>0</v>
      </c>
      <c r="BN92" s="46"/>
      <c r="BO92" s="70" t="s">
        <v>887</v>
      </c>
      <c r="BP92" s="45">
        <v>0</v>
      </c>
      <c r="BT92" s="46"/>
      <c r="BU92" s="70" t="s">
        <v>697</v>
      </c>
      <c r="BV92" s="45">
        <v>0</v>
      </c>
      <c r="BZ92" s="46"/>
      <c r="CA92" s="70" t="s">
        <v>712</v>
      </c>
      <c r="CB92" s="45">
        <v>0</v>
      </c>
      <c r="CF92" s="65"/>
      <c r="CG92" s="73" t="s">
        <v>309</v>
      </c>
      <c r="CH92">
        <v>0</v>
      </c>
      <c r="CL92" s="65"/>
      <c r="CR92" s="65"/>
      <c r="CS92" s="78" t="s">
        <v>563</v>
      </c>
      <c r="CT92" s="33">
        <v>0</v>
      </c>
      <c r="CU92" s="47" t="s">
        <v>773</v>
      </c>
      <c r="CV92" s="47">
        <f>MAX(CT90:CT106)</f>
        <v>1</v>
      </c>
      <c r="CX92" s="65"/>
      <c r="CY92" s="73" t="s">
        <v>457</v>
      </c>
      <c r="CZ92">
        <v>0</v>
      </c>
      <c r="DD92" s="65"/>
      <c r="DE92" s="33" t="s">
        <v>490</v>
      </c>
      <c r="DF92" s="33">
        <v>1</v>
      </c>
      <c r="DJ92" s="65"/>
      <c r="DK92" s="33" t="s">
        <v>539</v>
      </c>
      <c r="DL92" s="33">
        <v>0</v>
      </c>
      <c r="DP92" s="65"/>
      <c r="DV92" s="109"/>
      <c r="EH92" s="30" t="s">
        <v>1293</v>
      </c>
      <c r="EI92">
        <v>0</v>
      </c>
      <c r="EZ92" s="30" t="s">
        <v>1335</v>
      </c>
      <c r="FA92">
        <v>0</v>
      </c>
    </row>
    <row r="93" spans="1:157" x14ac:dyDescent="0.25">
      <c r="A93" s="64" t="s">
        <v>1045</v>
      </c>
      <c r="B93" s="48">
        <v>0</v>
      </c>
      <c r="C93" s="48"/>
      <c r="D93" s="48"/>
      <c r="E93" s="48"/>
      <c r="G93" s="48" t="s">
        <v>946</v>
      </c>
      <c r="H93" s="48">
        <v>2</v>
      </c>
      <c r="I93" s="48" t="s">
        <v>776</v>
      </c>
      <c r="J93" s="48">
        <f>STDEV(H87:H101)</f>
        <v>1.1578684470436789</v>
      </c>
      <c r="K93" s="48"/>
      <c r="L93" s="90"/>
      <c r="M93" s="48" t="s">
        <v>974</v>
      </c>
      <c r="N93" s="48">
        <v>0</v>
      </c>
      <c r="O93" s="48"/>
      <c r="P93" s="48"/>
      <c r="Q93" s="48"/>
      <c r="R93" s="90"/>
      <c r="S93" s="93" t="s">
        <v>1000</v>
      </c>
      <c r="T93" s="48">
        <v>0</v>
      </c>
      <c r="U93" s="48"/>
      <c r="V93" s="48"/>
      <c r="W93" s="48"/>
      <c r="X93" s="90"/>
      <c r="Y93" s="48" t="s">
        <v>1021</v>
      </c>
      <c r="Z93" s="48">
        <v>0</v>
      </c>
      <c r="AA93" s="48"/>
      <c r="AB93" s="48"/>
      <c r="AC93" s="48"/>
      <c r="AE93" s="62" t="s">
        <v>762</v>
      </c>
      <c r="AF93" s="45">
        <v>0</v>
      </c>
      <c r="AG93" s="45"/>
      <c r="AH93" s="45"/>
      <c r="AI93" s="45"/>
      <c r="AJ93" s="46"/>
      <c r="AK93" s="64" t="s">
        <v>754</v>
      </c>
      <c r="AL93" s="45">
        <v>0</v>
      </c>
      <c r="AQ93" s="63" t="s">
        <v>650</v>
      </c>
      <c r="AR93" s="45">
        <v>0</v>
      </c>
      <c r="AS93" s="45"/>
      <c r="AT93" s="45"/>
      <c r="AW93" s="63" t="s">
        <v>808</v>
      </c>
      <c r="AX93" s="45">
        <v>0</v>
      </c>
      <c r="AY93" s="45" t="s">
        <v>776</v>
      </c>
      <c r="AZ93" s="45">
        <f>STDEV(AX88:AX97)</f>
        <v>0.4216370213557839</v>
      </c>
      <c r="BC93" s="63" t="s">
        <v>728</v>
      </c>
      <c r="BD93">
        <v>0</v>
      </c>
      <c r="BH93" s="46"/>
      <c r="BI93" s="63" t="s">
        <v>839</v>
      </c>
      <c r="BJ93">
        <v>0</v>
      </c>
      <c r="BN93" s="46"/>
      <c r="BO93" s="70" t="s">
        <v>888</v>
      </c>
      <c r="BP93" s="45">
        <v>0</v>
      </c>
      <c r="BT93" s="46"/>
      <c r="BU93" s="70" t="s">
        <v>698</v>
      </c>
      <c r="BV93" s="45">
        <v>1</v>
      </c>
      <c r="BZ93" s="46"/>
      <c r="CA93" s="70" t="s">
        <v>713</v>
      </c>
      <c r="CB93" s="45">
        <v>0</v>
      </c>
      <c r="CF93" s="65"/>
      <c r="CG93" s="73" t="s">
        <v>310</v>
      </c>
      <c r="CH93">
        <v>0</v>
      </c>
      <c r="CL93" s="65"/>
      <c r="CR93" s="65"/>
      <c r="CS93" s="78" t="s">
        <v>565</v>
      </c>
      <c r="CT93" s="33">
        <v>0</v>
      </c>
      <c r="CU93" s="47" t="s">
        <v>774</v>
      </c>
      <c r="CV93" s="47">
        <f>VAR(CT90:CT106)</f>
        <v>5.8823529411764705E-2</v>
      </c>
      <c r="CX93" s="65"/>
      <c r="CY93" s="73" t="s">
        <v>458</v>
      </c>
      <c r="CZ93">
        <v>0</v>
      </c>
      <c r="DD93" s="65"/>
      <c r="DE93" s="33" t="s">
        <v>491</v>
      </c>
      <c r="DF93" s="33">
        <v>2</v>
      </c>
      <c r="DJ93" s="65"/>
      <c r="DK93" s="33" t="s">
        <v>540</v>
      </c>
      <c r="DL93" s="33">
        <v>0</v>
      </c>
      <c r="DP93" s="65"/>
      <c r="DV93" s="109"/>
      <c r="EH93" s="30" t="s">
        <v>1294</v>
      </c>
      <c r="EI93">
        <v>0</v>
      </c>
      <c r="EZ93" s="30" t="s">
        <v>1346</v>
      </c>
      <c r="FA93">
        <v>0</v>
      </c>
    </row>
    <row r="94" spans="1:157" x14ac:dyDescent="0.25">
      <c r="A94" s="64" t="s">
        <v>1046</v>
      </c>
      <c r="B94" s="48">
        <v>0</v>
      </c>
      <c r="C94" s="48"/>
      <c r="D94" s="48"/>
      <c r="E94" s="48"/>
      <c r="G94" s="48" t="s">
        <v>947</v>
      </c>
      <c r="H94" s="48">
        <v>0</v>
      </c>
      <c r="I94" s="48"/>
      <c r="J94" s="48"/>
      <c r="K94" s="48"/>
      <c r="L94" s="90"/>
      <c r="M94" s="48" t="s">
        <v>975</v>
      </c>
      <c r="N94" s="48">
        <v>0</v>
      </c>
      <c r="O94" s="48"/>
      <c r="P94" s="48"/>
      <c r="Q94" s="48"/>
      <c r="R94" s="90"/>
      <c r="S94" s="93" t="s">
        <v>998</v>
      </c>
      <c r="T94" s="48">
        <v>0</v>
      </c>
      <c r="U94" s="48"/>
      <c r="V94" s="48"/>
      <c r="W94" s="48"/>
      <c r="X94" s="90"/>
      <c r="Y94" s="48" t="s">
        <v>1022</v>
      </c>
      <c r="Z94" s="48">
        <v>0</v>
      </c>
      <c r="AA94" s="48"/>
      <c r="AB94" s="48"/>
      <c r="AC94" s="48"/>
      <c r="AE94" s="62" t="s">
        <v>292</v>
      </c>
      <c r="AF94" s="45">
        <v>0</v>
      </c>
      <c r="AG94" s="45"/>
      <c r="AH94" s="45"/>
      <c r="AI94" s="45"/>
      <c r="AJ94" s="46"/>
      <c r="AK94" s="64" t="s">
        <v>755</v>
      </c>
      <c r="AL94" s="45">
        <v>0</v>
      </c>
      <c r="AQ94" s="63" t="s">
        <v>651</v>
      </c>
      <c r="AR94" s="45">
        <v>0</v>
      </c>
      <c r="AS94" s="45"/>
      <c r="AT94" s="45"/>
      <c r="AW94" s="63" t="s">
        <v>814</v>
      </c>
      <c r="AX94" s="45">
        <v>0</v>
      </c>
      <c r="BC94" s="63" t="s">
        <v>729</v>
      </c>
      <c r="BD94">
        <v>0</v>
      </c>
      <c r="BH94" s="46"/>
      <c r="BI94" s="63" t="s">
        <v>840</v>
      </c>
      <c r="BJ94">
        <v>0</v>
      </c>
      <c r="BN94" s="46"/>
      <c r="BO94" s="70" t="s">
        <v>889</v>
      </c>
      <c r="BP94" s="45">
        <v>0</v>
      </c>
      <c r="BT94" s="46"/>
      <c r="BU94" s="70" t="s">
        <v>699</v>
      </c>
      <c r="BV94" s="45">
        <v>1</v>
      </c>
      <c r="BZ94" s="46"/>
      <c r="CA94" s="63" t="s">
        <v>714</v>
      </c>
      <c r="CB94" s="45">
        <v>0</v>
      </c>
      <c r="CF94" s="65"/>
      <c r="CG94" s="73" t="s">
        <v>311</v>
      </c>
      <c r="CH94">
        <v>0</v>
      </c>
      <c r="CL94" s="65"/>
      <c r="CM94" s="77" t="s">
        <v>925</v>
      </c>
      <c r="CR94" s="65"/>
      <c r="CS94" s="78" t="s">
        <v>604</v>
      </c>
      <c r="CT94" s="33">
        <v>0</v>
      </c>
      <c r="CU94" s="47" t="s">
        <v>775</v>
      </c>
      <c r="CV94" s="47">
        <f>AVERAGE(CT90:CT106)</f>
        <v>5.8823529411764705E-2</v>
      </c>
      <c r="CX94" s="65"/>
      <c r="CY94" s="73" t="s">
        <v>459</v>
      </c>
      <c r="CZ94">
        <v>0</v>
      </c>
      <c r="DD94" s="65"/>
      <c r="DE94" s="33" t="s">
        <v>492</v>
      </c>
      <c r="DF94" s="33">
        <v>4</v>
      </c>
      <c r="DJ94" s="65"/>
      <c r="DK94" s="33" t="s">
        <v>541</v>
      </c>
      <c r="DL94" s="33">
        <v>0</v>
      </c>
      <c r="DP94" s="65"/>
      <c r="DV94" s="109"/>
      <c r="EH94" s="30" t="s">
        <v>1295</v>
      </c>
      <c r="EI94">
        <v>0</v>
      </c>
      <c r="EZ94" s="30" t="s">
        <v>1336</v>
      </c>
      <c r="FA94">
        <v>0</v>
      </c>
    </row>
    <row r="95" spans="1:157" x14ac:dyDescent="0.25">
      <c r="A95" s="48"/>
      <c r="B95" s="48"/>
      <c r="C95" s="48"/>
      <c r="D95" s="48"/>
      <c r="E95" s="48"/>
      <c r="G95" s="48" t="s">
        <v>948</v>
      </c>
      <c r="H95" s="48">
        <v>0</v>
      </c>
      <c r="I95" s="48"/>
      <c r="J95" s="48"/>
      <c r="K95" s="48"/>
      <c r="L95" s="90"/>
      <c r="M95" s="48"/>
      <c r="N95" s="48"/>
      <c r="O95" s="48"/>
      <c r="P95" s="48"/>
      <c r="Q95" s="48"/>
      <c r="R95" s="90"/>
      <c r="S95" s="93" t="s">
        <v>999</v>
      </c>
      <c r="T95" s="48">
        <v>0</v>
      </c>
      <c r="U95" s="48"/>
      <c r="V95" s="48"/>
      <c r="W95" s="48"/>
      <c r="X95" s="90"/>
      <c r="Y95" s="48"/>
      <c r="Z95" s="48"/>
      <c r="AA95" s="48"/>
      <c r="AB95" s="48"/>
      <c r="AC95" s="48"/>
      <c r="AE95" s="62" t="s">
        <v>763</v>
      </c>
      <c r="AF95" s="45">
        <v>0</v>
      </c>
      <c r="AG95" s="45"/>
      <c r="AH95" s="45"/>
      <c r="AJ95" s="46"/>
      <c r="AK95" s="64" t="s">
        <v>756</v>
      </c>
      <c r="AL95" s="45">
        <v>0</v>
      </c>
      <c r="AQ95" s="47"/>
      <c r="AR95" s="45"/>
      <c r="AS95" s="45"/>
      <c r="AT95" s="45"/>
      <c r="AW95" s="63" t="s">
        <v>815</v>
      </c>
      <c r="AX95" s="45">
        <v>0</v>
      </c>
      <c r="BC95" s="63" t="s">
        <v>730</v>
      </c>
      <c r="BD95">
        <v>0</v>
      </c>
      <c r="BH95" s="46"/>
      <c r="BI95" s="63"/>
      <c r="BN95" s="46"/>
      <c r="BO95" s="70" t="s">
        <v>890</v>
      </c>
      <c r="BP95" s="45">
        <v>0</v>
      </c>
      <c r="BT95" s="46"/>
      <c r="BU95" s="70" t="s">
        <v>700</v>
      </c>
      <c r="BV95" s="45">
        <v>0</v>
      </c>
      <c r="BZ95" s="46"/>
      <c r="CA95" s="63" t="s">
        <v>715</v>
      </c>
      <c r="CB95" s="45">
        <v>0</v>
      </c>
      <c r="CF95" s="65"/>
      <c r="CG95" s="73" t="s">
        <v>312</v>
      </c>
      <c r="CH95">
        <v>0</v>
      </c>
      <c r="CL95" s="65"/>
      <c r="CM95" s="45" t="s">
        <v>768</v>
      </c>
      <c r="CN95" s="45" t="s">
        <v>344</v>
      </c>
      <c r="CO95" s="45" t="s">
        <v>769</v>
      </c>
      <c r="CP95" s="45" t="s">
        <v>770</v>
      </c>
      <c r="CR95" s="65"/>
      <c r="CS95" s="78" t="s">
        <v>605</v>
      </c>
      <c r="CT95" s="33">
        <v>0</v>
      </c>
      <c r="CU95" s="47" t="s">
        <v>776</v>
      </c>
      <c r="CV95" s="47">
        <f>STDEV(CT90:CT106)</f>
        <v>0.24253562503633297</v>
      </c>
      <c r="CX95" s="65"/>
      <c r="DD95" s="65"/>
      <c r="DE95" s="33" t="s">
        <v>493</v>
      </c>
      <c r="DF95" s="33">
        <v>2</v>
      </c>
      <c r="DJ95" s="65"/>
      <c r="DK95" s="33" t="s">
        <v>542</v>
      </c>
      <c r="DL95" s="33">
        <v>0</v>
      </c>
      <c r="DP95" s="65"/>
      <c r="DV95" s="109"/>
      <c r="EH95" s="30" t="s">
        <v>1296</v>
      </c>
      <c r="EI95">
        <v>0</v>
      </c>
      <c r="EZ95" s="30" t="s">
        <v>1337</v>
      </c>
      <c r="FA95">
        <v>0</v>
      </c>
    </row>
    <row r="96" spans="1:157" x14ac:dyDescent="0.25">
      <c r="A96" s="96" t="s">
        <v>195</v>
      </c>
      <c r="B96" s="48"/>
      <c r="C96" s="48" t="s">
        <v>769</v>
      </c>
      <c r="D96" s="48" t="s">
        <v>770</v>
      </c>
      <c r="E96" s="48"/>
      <c r="G96" s="90"/>
      <c r="H96" s="131" t="s">
        <v>667</v>
      </c>
      <c r="I96" s="131"/>
      <c r="J96" s="90"/>
      <c r="K96" s="90"/>
      <c r="L96" s="90"/>
      <c r="M96" s="48"/>
      <c r="N96" s="48"/>
      <c r="O96" s="48"/>
      <c r="P96" s="48"/>
      <c r="Q96" s="48"/>
      <c r="R96" s="90"/>
      <c r="S96" s="48"/>
      <c r="T96" s="48"/>
      <c r="U96" s="48"/>
      <c r="V96" s="48"/>
      <c r="W96" s="48"/>
      <c r="X96" s="90"/>
      <c r="Y96" s="48"/>
      <c r="Z96" s="48"/>
      <c r="AA96" s="48"/>
      <c r="AB96" s="48"/>
      <c r="AC96" s="48"/>
      <c r="AE96" s="62" t="s">
        <v>764</v>
      </c>
      <c r="AF96" s="45">
        <v>0</v>
      </c>
      <c r="AG96" s="45"/>
      <c r="AH96" s="45"/>
      <c r="AJ96" s="46"/>
      <c r="AQ96" s="47"/>
      <c r="AR96" s="45"/>
      <c r="AS96" s="45"/>
      <c r="AT96" s="45"/>
      <c r="AW96" s="63" t="s">
        <v>816</v>
      </c>
      <c r="AX96" s="45">
        <v>0</v>
      </c>
      <c r="BC96" s="63" t="s">
        <v>731</v>
      </c>
      <c r="BD96">
        <v>1</v>
      </c>
      <c r="BH96" s="46"/>
      <c r="BN96" s="46"/>
      <c r="BT96" s="46"/>
      <c r="BZ96" s="46"/>
      <c r="CA96" s="63"/>
      <c r="CF96" s="65"/>
      <c r="CG96" s="73" t="s">
        <v>313</v>
      </c>
      <c r="CH96">
        <v>0</v>
      </c>
      <c r="CL96" s="65"/>
      <c r="CM96" s="73" t="s">
        <v>368</v>
      </c>
      <c r="CN96">
        <v>0</v>
      </c>
      <c r="CO96" s="45" t="s">
        <v>771</v>
      </c>
      <c r="CP96" s="45">
        <f>SUM(CN96:CN122)</f>
        <v>10</v>
      </c>
      <c r="CR96" s="65"/>
      <c r="CS96" s="78" t="s">
        <v>566</v>
      </c>
      <c r="CT96" s="33">
        <v>0</v>
      </c>
      <c r="CU96" s="48"/>
      <c r="CV96" s="48"/>
      <c r="CX96" s="65"/>
      <c r="DD96" s="65"/>
      <c r="DJ96" s="65"/>
      <c r="DP96" s="65"/>
      <c r="DV96" s="109"/>
    </row>
    <row r="97" spans="1:159" x14ac:dyDescent="0.25">
      <c r="A97" s="48" t="s">
        <v>768</v>
      </c>
      <c r="B97" s="48" t="s">
        <v>344</v>
      </c>
      <c r="C97" s="48" t="s">
        <v>771</v>
      </c>
      <c r="D97" s="48">
        <f>SUM(B97:B122)</f>
        <v>2</v>
      </c>
      <c r="E97" s="48"/>
      <c r="G97" s="48" t="s">
        <v>949</v>
      </c>
      <c r="H97" s="48">
        <v>0</v>
      </c>
      <c r="I97" s="48"/>
      <c r="J97" s="48"/>
      <c r="K97" s="48"/>
      <c r="L97" s="90"/>
      <c r="M97" s="96" t="s">
        <v>195</v>
      </c>
      <c r="N97" s="48"/>
      <c r="O97" s="48" t="s">
        <v>769</v>
      </c>
      <c r="P97" s="48" t="s">
        <v>770</v>
      </c>
      <c r="Q97" s="48"/>
      <c r="R97" s="90"/>
      <c r="S97" s="96" t="s">
        <v>195</v>
      </c>
      <c r="T97" s="48"/>
      <c r="U97" s="48" t="s">
        <v>769</v>
      </c>
      <c r="V97" s="48" t="s">
        <v>770</v>
      </c>
      <c r="W97" s="48"/>
      <c r="X97" s="90"/>
      <c r="Y97" s="96" t="s">
        <v>195</v>
      </c>
      <c r="Z97" s="48"/>
      <c r="AA97" s="48" t="s">
        <v>769</v>
      </c>
      <c r="AB97" s="48" t="s">
        <v>770</v>
      </c>
      <c r="AC97" s="48"/>
      <c r="AE97" s="62" t="s">
        <v>765</v>
      </c>
      <c r="AF97" s="45">
        <v>0</v>
      </c>
      <c r="AG97" s="45"/>
      <c r="AH97" s="45"/>
      <c r="AJ97" s="46"/>
      <c r="AQ97" s="45" t="s">
        <v>195</v>
      </c>
      <c r="AW97" s="63" t="s">
        <v>817</v>
      </c>
      <c r="AX97" s="45">
        <v>1</v>
      </c>
      <c r="BC97" s="63" t="s">
        <v>732</v>
      </c>
      <c r="BD97">
        <v>0</v>
      </c>
      <c r="BH97" s="46"/>
      <c r="BI97" s="31" t="s">
        <v>841</v>
      </c>
      <c r="BJ97" s="48" t="s">
        <v>344</v>
      </c>
      <c r="BK97" s="47" t="s">
        <v>769</v>
      </c>
      <c r="BL97" s="47" t="s">
        <v>770</v>
      </c>
      <c r="BN97" s="46"/>
      <c r="BT97" s="46"/>
      <c r="BZ97" s="46"/>
      <c r="CA97" s="63"/>
      <c r="CF97" s="65"/>
      <c r="CL97" s="65"/>
      <c r="CM97" s="73" t="s">
        <v>369</v>
      </c>
      <c r="CN97">
        <v>0</v>
      </c>
      <c r="CO97" s="45" t="s">
        <v>772</v>
      </c>
      <c r="CP97" s="45">
        <f>MIN(CN96:CN122)</f>
        <v>0</v>
      </c>
      <c r="CR97" s="65"/>
      <c r="CS97" s="78" t="s">
        <v>567</v>
      </c>
      <c r="CT97" s="33">
        <v>0</v>
      </c>
      <c r="CU97" s="47"/>
      <c r="CV97" s="47"/>
      <c r="CX97" s="65"/>
      <c r="CY97" s="45" t="s">
        <v>195</v>
      </c>
      <c r="DD97" s="65"/>
      <c r="DE97" s="45" t="s">
        <v>195</v>
      </c>
      <c r="DJ97" s="65"/>
      <c r="DP97" s="65"/>
      <c r="DV97" s="109"/>
    </row>
    <row r="98" spans="1:159" x14ac:dyDescent="0.25">
      <c r="A98" s="64" t="s">
        <v>1026</v>
      </c>
      <c r="B98" s="48">
        <v>0</v>
      </c>
      <c r="C98" s="48" t="s">
        <v>772</v>
      </c>
      <c r="D98" s="48">
        <f>MIN(B97:B122)</f>
        <v>0</v>
      </c>
      <c r="E98" s="48"/>
      <c r="G98" s="48" t="s">
        <v>950</v>
      </c>
      <c r="H98" s="48">
        <v>0</v>
      </c>
      <c r="I98" s="48"/>
      <c r="J98" s="48"/>
      <c r="K98" s="48"/>
      <c r="L98" s="90"/>
      <c r="M98" s="48" t="s">
        <v>954</v>
      </c>
      <c r="N98" s="48">
        <v>0</v>
      </c>
      <c r="O98" s="48" t="s">
        <v>771</v>
      </c>
      <c r="P98" s="48">
        <f>SUM(N98:N122)</f>
        <v>1</v>
      </c>
      <c r="Q98" s="48"/>
      <c r="R98" s="90"/>
      <c r="S98" s="92" t="s">
        <v>976</v>
      </c>
      <c r="T98" s="48">
        <v>0</v>
      </c>
      <c r="U98" s="48" t="s">
        <v>771</v>
      </c>
      <c r="V98" s="48">
        <f>SUM(T98:T122)</f>
        <v>4</v>
      </c>
      <c r="W98" s="48"/>
      <c r="X98" s="90"/>
      <c r="Y98" s="48" t="s">
        <v>899</v>
      </c>
      <c r="Z98" s="48">
        <v>0</v>
      </c>
      <c r="AA98" s="48" t="s">
        <v>771</v>
      </c>
      <c r="AB98" s="48">
        <f>SUM(Z98:Z122)</f>
        <v>7</v>
      </c>
      <c r="AC98" s="48"/>
      <c r="AJ98" s="46"/>
      <c r="AK98" s="45" t="s">
        <v>818</v>
      </c>
      <c r="AL98" s="45"/>
      <c r="AM98" s="45"/>
      <c r="AN98" s="45"/>
      <c r="AQ98" s="45" t="s">
        <v>768</v>
      </c>
      <c r="AR98" s="45" t="s">
        <v>344</v>
      </c>
      <c r="AS98" s="45" t="s">
        <v>769</v>
      </c>
      <c r="AT98" s="45" t="s">
        <v>770</v>
      </c>
      <c r="AW98" s="47"/>
      <c r="AX98" s="45"/>
      <c r="BC98" s="63" t="s">
        <v>733</v>
      </c>
      <c r="BD98">
        <v>0</v>
      </c>
      <c r="BH98" s="46"/>
      <c r="BI98" s="63" t="s">
        <v>842</v>
      </c>
      <c r="BJ98" s="48">
        <v>0</v>
      </c>
      <c r="BK98" s="47" t="s">
        <v>771</v>
      </c>
      <c r="BL98" s="47">
        <f>SUM(BJ98:BJ100)</f>
        <v>0</v>
      </c>
      <c r="BN98" s="46"/>
      <c r="BO98" s="31" t="s">
        <v>667</v>
      </c>
      <c r="BP98" s="45" t="s">
        <v>344</v>
      </c>
      <c r="BQ98" s="45" t="s">
        <v>769</v>
      </c>
      <c r="BR98" s="45" t="s">
        <v>770</v>
      </c>
      <c r="BT98" s="46"/>
      <c r="BZ98" s="46"/>
      <c r="CF98" s="65"/>
      <c r="CL98" s="65"/>
      <c r="CM98" s="73" t="s">
        <v>370</v>
      </c>
      <c r="CN98">
        <v>0</v>
      </c>
      <c r="CO98" s="45" t="s">
        <v>773</v>
      </c>
      <c r="CP98" s="45">
        <f>MAX(CN96:CN122)</f>
        <v>3</v>
      </c>
      <c r="CR98" s="65"/>
      <c r="CS98" s="78" t="s">
        <v>606</v>
      </c>
      <c r="CT98" s="33">
        <v>0</v>
      </c>
      <c r="CU98" s="48"/>
      <c r="CV98" s="48"/>
      <c r="CX98" s="65"/>
      <c r="CY98" s="45" t="s">
        <v>768</v>
      </c>
      <c r="CZ98" s="45" t="s">
        <v>344</v>
      </c>
      <c r="DA98" s="45" t="s">
        <v>769</v>
      </c>
      <c r="DB98" s="45" t="s">
        <v>770</v>
      </c>
      <c r="DD98" s="65"/>
      <c r="DE98" s="45" t="s">
        <v>768</v>
      </c>
      <c r="DF98" s="45" t="s">
        <v>344</v>
      </c>
      <c r="DG98" s="45" t="s">
        <v>769</v>
      </c>
      <c r="DH98" s="45" t="s">
        <v>770</v>
      </c>
      <c r="DJ98" s="65"/>
      <c r="DK98" s="45" t="s">
        <v>819</v>
      </c>
      <c r="DP98" s="65"/>
      <c r="DQ98" t="s">
        <v>338</v>
      </c>
      <c r="DV98" s="109"/>
    </row>
    <row r="99" spans="1:159" x14ac:dyDescent="0.25">
      <c r="A99" s="64" t="s">
        <v>1027</v>
      </c>
      <c r="B99" s="48">
        <v>0</v>
      </c>
      <c r="C99" s="48" t="s">
        <v>773</v>
      </c>
      <c r="D99" s="48">
        <f>MAX(B97:B122)</f>
        <v>1</v>
      </c>
      <c r="E99" s="48"/>
      <c r="G99" s="48" t="s">
        <v>951</v>
      </c>
      <c r="H99" s="48">
        <v>0</v>
      </c>
      <c r="I99" s="48"/>
      <c r="J99" s="48"/>
      <c r="K99" s="48"/>
      <c r="L99" s="90"/>
      <c r="M99" s="48" t="s">
        <v>955</v>
      </c>
      <c r="N99" s="48">
        <v>0</v>
      </c>
      <c r="O99" s="48" t="s">
        <v>772</v>
      </c>
      <c r="P99" s="48">
        <f>MIN(N98:N122)</f>
        <v>0</v>
      </c>
      <c r="Q99" s="48"/>
      <c r="R99" s="90"/>
      <c r="S99" s="92" t="s">
        <v>977</v>
      </c>
      <c r="T99" s="48">
        <v>0</v>
      </c>
      <c r="U99" s="48" t="s">
        <v>772</v>
      </c>
      <c r="V99" s="48">
        <f>MIN(T98:T122)</f>
        <v>0</v>
      </c>
      <c r="W99" s="48"/>
      <c r="X99" s="90"/>
      <c r="Y99" s="48" t="s">
        <v>1001</v>
      </c>
      <c r="Z99" s="48">
        <v>1</v>
      </c>
      <c r="AA99" s="48" t="s">
        <v>772</v>
      </c>
      <c r="AB99" s="48">
        <f>MIN(Z98:Z122)</f>
        <v>0</v>
      </c>
      <c r="AC99" s="48"/>
      <c r="AJ99" s="46"/>
      <c r="AK99" s="45" t="s">
        <v>768</v>
      </c>
      <c r="AL99" s="45" t="s">
        <v>344</v>
      </c>
      <c r="AM99" s="45" t="s">
        <v>769</v>
      </c>
      <c r="AN99" s="45" t="s">
        <v>770</v>
      </c>
      <c r="AQ99" s="63" t="s">
        <v>642</v>
      </c>
      <c r="AR99" s="45">
        <v>0</v>
      </c>
      <c r="AS99" s="45" t="s">
        <v>771</v>
      </c>
      <c r="AT99" s="45">
        <f>SUM(AR99:AR108)</f>
        <v>10</v>
      </c>
      <c r="AW99" s="47"/>
      <c r="AX99" s="45"/>
      <c r="BC99" s="63" t="s">
        <v>734</v>
      </c>
      <c r="BD99">
        <v>0</v>
      </c>
      <c r="BH99" s="46"/>
      <c r="BI99" s="63" t="s">
        <v>843</v>
      </c>
      <c r="BJ99" s="48">
        <v>0</v>
      </c>
      <c r="BK99" s="47" t="s">
        <v>772</v>
      </c>
      <c r="BL99" s="47">
        <f>MIN(BJ98:BJ100)</f>
        <v>0</v>
      </c>
      <c r="BN99" s="46"/>
      <c r="BO99" s="70" t="s">
        <v>891</v>
      </c>
      <c r="BP99" s="45">
        <v>0</v>
      </c>
      <c r="BQ99" s="45" t="s">
        <v>771</v>
      </c>
      <c r="BR99" s="45">
        <f>SUM(BP99:BP103)</f>
        <v>0</v>
      </c>
      <c r="BT99" s="46"/>
      <c r="BU99" s="45" t="s">
        <v>819</v>
      </c>
      <c r="BV99" s="45"/>
      <c r="BW99" s="45"/>
      <c r="BX99" s="45"/>
      <c r="BZ99" s="46"/>
      <c r="CA99" s="45" t="s">
        <v>819</v>
      </c>
      <c r="CB99" s="45"/>
      <c r="CC99" s="45"/>
      <c r="CD99" s="45"/>
      <c r="CF99" s="65"/>
      <c r="CG99" s="45" t="s">
        <v>819</v>
      </c>
      <c r="CH99" s="45"/>
      <c r="CI99" s="45"/>
      <c r="CJ99" s="45"/>
      <c r="CL99" s="65"/>
      <c r="CM99" s="73" t="s">
        <v>371</v>
      </c>
      <c r="CN99">
        <v>0</v>
      </c>
      <c r="CO99" s="45" t="s">
        <v>774</v>
      </c>
      <c r="CP99" s="45">
        <f>VAR(CN96:CN122)</f>
        <v>0.76190476190476186</v>
      </c>
      <c r="CR99" s="65"/>
      <c r="CS99" s="78" t="s">
        <v>607</v>
      </c>
      <c r="CT99" s="33">
        <v>0</v>
      </c>
      <c r="CU99" s="47"/>
      <c r="CV99" s="47"/>
      <c r="CX99" s="65"/>
      <c r="CY99" s="73" t="s">
        <v>450</v>
      </c>
      <c r="CZ99" s="33">
        <v>0</v>
      </c>
      <c r="DA99" s="45" t="s">
        <v>771</v>
      </c>
      <c r="DB99" s="45">
        <f>SUM(CZ99:CZ108)</f>
        <v>6</v>
      </c>
      <c r="DD99" s="65"/>
      <c r="DE99" s="34" t="s">
        <v>483</v>
      </c>
      <c r="DF99" s="33"/>
      <c r="DG99" s="45" t="s">
        <v>771</v>
      </c>
      <c r="DH99" s="45">
        <f>SUM(DF99:DF108)</f>
        <v>0</v>
      </c>
      <c r="DJ99" s="65"/>
      <c r="DK99" s="45" t="s">
        <v>768</v>
      </c>
      <c r="DL99" s="45" t="s">
        <v>344</v>
      </c>
      <c r="DM99" s="45" t="s">
        <v>769</v>
      </c>
      <c r="DN99" s="45" t="s">
        <v>770</v>
      </c>
      <c r="DP99" s="65"/>
      <c r="DQ99" s="47" t="s">
        <v>1024</v>
      </c>
      <c r="DR99" s="47" t="s">
        <v>344</v>
      </c>
      <c r="DS99" s="47" t="s">
        <v>769</v>
      </c>
      <c r="DT99" s="47" t="s">
        <v>770</v>
      </c>
      <c r="DV99" s="109"/>
      <c r="DW99" s="47"/>
      <c r="DX99" s="47"/>
      <c r="DY99" s="47"/>
      <c r="DZ99" s="47"/>
      <c r="EH99" t="s">
        <v>338</v>
      </c>
      <c r="ET99" t="s">
        <v>337</v>
      </c>
      <c r="EZ99" t="s">
        <v>337</v>
      </c>
    </row>
    <row r="100" spans="1:159" x14ac:dyDescent="0.25">
      <c r="A100" s="64" t="s">
        <v>1028</v>
      </c>
      <c r="B100" s="48">
        <v>1</v>
      </c>
      <c r="C100" s="48" t="s">
        <v>774</v>
      </c>
      <c r="D100" s="48">
        <f>VAR(B97:B122)</f>
        <v>7.6666666666666675E-2</v>
      </c>
      <c r="E100" s="48"/>
      <c r="G100" s="48" t="s">
        <v>952</v>
      </c>
      <c r="H100" s="48">
        <v>0</v>
      </c>
      <c r="I100" s="48"/>
      <c r="J100" s="48"/>
      <c r="K100" s="48"/>
      <c r="L100" s="90"/>
      <c r="M100" s="48" t="s">
        <v>956</v>
      </c>
      <c r="N100" s="48">
        <v>0</v>
      </c>
      <c r="O100" s="48" t="s">
        <v>773</v>
      </c>
      <c r="P100" s="48">
        <f>MAX(N98:N122)</f>
        <v>1</v>
      </c>
      <c r="Q100" s="48"/>
      <c r="R100" s="90"/>
      <c r="S100" s="92" t="s">
        <v>978</v>
      </c>
      <c r="T100" s="48">
        <v>0</v>
      </c>
      <c r="U100" s="48" t="s">
        <v>773</v>
      </c>
      <c r="V100" s="48">
        <f>MAX(T98:T122)</f>
        <v>2</v>
      </c>
      <c r="W100" s="48"/>
      <c r="X100" s="90"/>
      <c r="Y100" s="48" t="s">
        <v>1002</v>
      </c>
      <c r="Z100" s="48">
        <v>1</v>
      </c>
      <c r="AA100" s="48" t="s">
        <v>773</v>
      </c>
      <c r="AB100" s="48">
        <f>MAX(Z98:Z122)</f>
        <v>2</v>
      </c>
      <c r="AC100" s="48"/>
      <c r="AJ100" s="46"/>
      <c r="AK100" s="64" t="s">
        <v>737</v>
      </c>
      <c r="AL100" s="45">
        <v>0</v>
      </c>
      <c r="AM100" s="45" t="s">
        <v>771</v>
      </c>
      <c r="AN100" s="45">
        <f>SUM(AL100:AL124)</f>
        <v>1</v>
      </c>
      <c r="AQ100" s="63" t="s">
        <v>757</v>
      </c>
      <c r="AR100" s="45">
        <v>0</v>
      </c>
      <c r="AS100" s="45" t="s">
        <v>772</v>
      </c>
      <c r="AT100" s="45">
        <f>MIN(AR99:AR108)</f>
        <v>0</v>
      </c>
      <c r="BC100" s="63" t="s">
        <v>735</v>
      </c>
      <c r="BD100">
        <v>0</v>
      </c>
      <c r="BH100" s="46"/>
      <c r="BI100" s="63" t="s">
        <v>844</v>
      </c>
      <c r="BJ100" s="48">
        <v>0</v>
      </c>
      <c r="BK100" s="47" t="s">
        <v>773</v>
      </c>
      <c r="BL100" s="47">
        <f>MAX(BJ98:BJ100)</f>
        <v>0</v>
      </c>
      <c r="BN100" s="46"/>
      <c r="BO100" s="70" t="s">
        <v>892</v>
      </c>
      <c r="BP100" s="45">
        <v>0</v>
      </c>
      <c r="BQ100" s="45" t="s">
        <v>772</v>
      </c>
      <c r="BR100" s="45">
        <f>MIN(BP99:BP103)</f>
        <v>0</v>
      </c>
      <c r="BT100" s="46"/>
      <c r="BU100" s="45" t="s">
        <v>768</v>
      </c>
      <c r="BV100" s="45" t="s">
        <v>344</v>
      </c>
      <c r="BW100" s="45" t="s">
        <v>769</v>
      </c>
      <c r="BX100" s="45" t="s">
        <v>770</v>
      </c>
      <c r="BZ100" s="46"/>
      <c r="CA100" s="45" t="s">
        <v>768</v>
      </c>
      <c r="CB100" s="45" t="s">
        <v>344</v>
      </c>
      <c r="CC100" s="45" t="s">
        <v>769</v>
      </c>
      <c r="CD100" s="45" t="s">
        <v>770</v>
      </c>
      <c r="CF100" s="65"/>
      <c r="CG100" s="45" t="s">
        <v>768</v>
      </c>
      <c r="CH100" s="45" t="s">
        <v>344</v>
      </c>
      <c r="CI100" s="45" t="s">
        <v>769</v>
      </c>
      <c r="CJ100" s="45" t="s">
        <v>770</v>
      </c>
      <c r="CL100" s="65"/>
      <c r="CO100" s="45" t="s">
        <v>775</v>
      </c>
      <c r="CP100" s="45">
        <f>AVERAGE(CN96:CN122)</f>
        <v>0.47619047619047616</v>
      </c>
      <c r="CR100" s="65"/>
      <c r="CS100" s="78" t="s">
        <v>608</v>
      </c>
      <c r="CT100" s="33">
        <v>0</v>
      </c>
      <c r="CU100" s="47"/>
      <c r="CV100" s="47"/>
      <c r="CX100" s="65"/>
      <c r="CY100" s="73" t="s">
        <v>451</v>
      </c>
      <c r="CZ100" s="33">
        <v>1</v>
      </c>
      <c r="DA100" s="45" t="s">
        <v>772</v>
      </c>
      <c r="DB100" s="45">
        <f>MIN(CZ99:CZ108)</f>
        <v>0</v>
      </c>
      <c r="DD100" s="65"/>
      <c r="DE100" s="34" t="s">
        <v>484</v>
      </c>
      <c r="DF100" s="33"/>
      <c r="DG100" s="45" t="s">
        <v>772</v>
      </c>
      <c r="DH100" s="45">
        <f>MIN(DF99:DF108)</f>
        <v>0</v>
      </c>
      <c r="DJ100" s="65"/>
      <c r="DK100" s="34" t="s">
        <v>518</v>
      </c>
      <c r="DL100" s="33">
        <v>1</v>
      </c>
      <c r="DM100" s="45" t="s">
        <v>771</v>
      </c>
      <c r="DN100" s="45">
        <f>SUM(DL100:DL110)</f>
        <v>2</v>
      </c>
      <c r="DP100" s="65"/>
      <c r="DQ100" s="64" t="s">
        <v>1237</v>
      </c>
      <c r="DR100" s="48">
        <v>0</v>
      </c>
      <c r="DS100" s="48" t="s">
        <v>771</v>
      </c>
      <c r="DT100" s="48">
        <f>SUM(DR100:DR119)</f>
        <v>2</v>
      </c>
      <c r="DV100" s="109"/>
      <c r="DW100" s="64"/>
      <c r="DX100" s="48"/>
      <c r="DY100" s="48"/>
      <c r="DZ100" s="48"/>
      <c r="EH100" s="47" t="s">
        <v>1024</v>
      </c>
      <c r="EI100" s="47" t="s">
        <v>344</v>
      </c>
      <c r="EJ100" s="47" t="s">
        <v>769</v>
      </c>
      <c r="EK100" s="47" t="s">
        <v>770</v>
      </c>
      <c r="ET100" s="47" t="s">
        <v>1024</v>
      </c>
      <c r="EU100" s="47" t="s">
        <v>344</v>
      </c>
      <c r="EV100" s="47" t="s">
        <v>769</v>
      </c>
      <c r="EW100" s="47" t="s">
        <v>770</v>
      </c>
      <c r="EZ100" s="47" t="s">
        <v>1024</v>
      </c>
      <c r="FA100" s="47" t="s">
        <v>344</v>
      </c>
      <c r="FB100" s="47" t="s">
        <v>769</v>
      </c>
      <c r="FC100" s="47" t="s">
        <v>770</v>
      </c>
    </row>
    <row r="101" spans="1:159" x14ac:dyDescent="0.25">
      <c r="A101" s="64" t="s">
        <v>1029</v>
      </c>
      <c r="B101" s="48">
        <v>0</v>
      </c>
      <c r="C101" s="48" t="s">
        <v>775</v>
      </c>
      <c r="D101" s="48">
        <f>AVERAGE(B97:B122)</f>
        <v>0.08</v>
      </c>
      <c r="E101" s="48"/>
      <c r="G101" s="48" t="s">
        <v>953</v>
      </c>
      <c r="H101" s="48">
        <v>0</v>
      </c>
      <c r="I101" s="48"/>
      <c r="J101" s="48"/>
      <c r="K101" s="48"/>
      <c r="L101" s="90"/>
      <c r="M101" s="48" t="s">
        <v>726</v>
      </c>
      <c r="N101" s="48">
        <v>0</v>
      </c>
      <c r="O101" s="48" t="s">
        <v>774</v>
      </c>
      <c r="P101" s="48">
        <f>VAR(N98:N122)</f>
        <v>0.04</v>
      </c>
      <c r="Q101" s="48"/>
      <c r="R101" s="90"/>
      <c r="S101" s="92" t="s">
        <v>979</v>
      </c>
      <c r="T101" s="48">
        <v>0</v>
      </c>
      <c r="U101" s="48" t="s">
        <v>774</v>
      </c>
      <c r="V101" s="48">
        <f>VAR(T98:T122)</f>
        <v>0.3188405797101449</v>
      </c>
      <c r="W101" s="48"/>
      <c r="X101" s="90"/>
      <c r="Y101" s="48" t="s">
        <v>1003</v>
      </c>
      <c r="Z101" s="48">
        <v>0</v>
      </c>
      <c r="AA101" s="48" t="s">
        <v>774</v>
      </c>
      <c r="AB101" s="48">
        <f>VAR(Z98:Z122)</f>
        <v>0.29333333333333333</v>
      </c>
      <c r="AC101" s="48"/>
      <c r="AE101" s="45" t="s">
        <v>195</v>
      </c>
      <c r="AF101" s="45"/>
      <c r="AG101" s="45"/>
      <c r="AH101" s="45"/>
      <c r="AJ101" s="46"/>
      <c r="AK101" s="64" t="s">
        <v>738</v>
      </c>
      <c r="AL101" s="45">
        <v>0</v>
      </c>
      <c r="AM101" s="45" t="s">
        <v>772</v>
      </c>
      <c r="AN101" s="45">
        <f>MIN(AL100:AL124)</f>
        <v>0</v>
      </c>
      <c r="AQ101" s="63" t="s">
        <v>644</v>
      </c>
      <c r="AR101" s="45">
        <v>4</v>
      </c>
      <c r="AS101" s="45" t="s">
        <v>773</v>
      </c>
      <c r="AT101" s="45">
        <f>MAX(AR99:AR108)</f>
        <v>4</v>
      </c>
      <c r="BC101" s="63" t="s">
        <v>736</v>
      </c>
      <c r="BD101">
        <v>0</v>
      </c>
      <c r="BH101" s="46"/>
      <c r="BI101" s="63"/>
      <c r="BJ101" s="48"/>
      <c r="BK101" s="47" t="s">
        <v>774</v>
      </c>
      <c r="BL101" s="47">
        <f>VAR(BJ98:BJ100)</f>
        <v>0</v>
      </c>
      <c r="BN101" s="46"/>
      <c r="BO101" s="70" t="s">
        <v>893</v>
      </c>
      <c r="BP101" s="45">
        <v>0</v>
      </c>
      <c r="BQ101" s="45" t="s">
        <v>773</v>
      </c>
      <c r="BR101" s="45">
        <f>MAX(BP99:BP103)</f>
        <v>0</v>
      </c>
      <c r="BT101" s="46"/>
      <c r="BU101" s="70" t="s">
        <v>676</v>
      </c>
      <c r="BV101" s="45">
        <v>0</v>
      </c>
      <c r="BW101" s="45" t="s">
        <v>771</v>
      </c>
      <c r="BX101" s="45">
        <f>SUM(BV101:BV125)</f>
        <v>3</v>
      </c>
      <c r="BZ101" s="46"/>
      <c r="CA101" s="70" t="s">
        <v>701</v>
      </c>
      <c r="CB101" s="45">
        <v>0</v>
      </c>
      <c r="CC101" s="45" t="s">
        <v>771</v>
      </c>
      <c r="CD101" s="45">
        <f>SUM(CB101:CB125)</f>
        <v>8</v>
      </c>
      <c r="CF101" s="65"/>
      <c r="CG101" s="73" t="s">
        <v>288</v>
      </c>
      <c r="CH101">
        <v>1</v>
      </c>
      <c r="CI101" s="45" t="s">
        <v>771</v>
      </c>
      <c r="CJ101" s="45">
        <f>SUM(CH101:CH125)</f>
        <v>11</v>
      </c>
      <c r="CL101" s="65"/>
      <c r="CO101" s="45" t="s">
        <v>776</v>
      </c>
      <c r="CP101" s="45">
        <f>STDEV(CN96:CN122)</f>
        <v>0.87287156094396945</v>
      </c>
      <c r="CR101" s="65"/>
      <c r="CS101" s="79" t="s">
        <v>572</v>
      </c>
      <c r="CT101" s="33">
        <v>0</v>
      </c>
      <c r="CU101" s="47"/>
      <c r="CV101" s="47"/>
      <c r="CX101" s="65"/>
      <c r="CY101" s="73" t="s">
        <v>452</v>
      </c>
      <c r="CZ101" s="33">
        <v>1</v>
      </c>
      <c r="DA101" s="45" t="s">
        <v>773</v>
      </c>
      <c r="DB101" s="45">
        <f>MAX(CZ99:CZ108)</f>
        <v>1</v>
      </c>
      <c r="DD101" s="65"/>
      <c r="DE101" s="35" t="s">
        <v>485</v>
      </c>
      <c r="DF101" s="33"/>
      <c r="DG101" s="45" t="s">
        <v>773</v>
      </c>
      <c r="DH101" s="45">
        <f>MAX(DF99:DF108)</f>
        <v>0</v>
      </c>
      <c r="DJ101" s="65"/>
      <c r="DK101" s="33" t="s">
        <v>519</v>
      </c>
      <c r="DL101" s="33">
        <v>1</v>
      </c>
      <c r="DM101" s="45" t="s">
        <v>772</v>
      </c>
      <c r="DN101" s="45">
        <f>MIN(DL100:DL109)</f>
        <v>0</v>
      </c>
      <c r="DP101" s="65"/>
      <c r="DQ101" s="64" t="s">
        <v>941</v>
      </c>
      <c r="DR101" s="48">
        <v>0</v>
      </c>
      <c r="DS101" s="48" t="s">
        <v>772</v>
      </c>
      <c r="DT101" s="48">
        <f>MIN(DR100:DR119)</f>
        <v>0</v>
      </c>
      <c r="DV101" s="109"/>
      <c r="DW101" s="48"/>
      <c r="DX101" s="48"/>
      <c r="DY101" s="48"/>
      <c r="DZ101" s="48"/>
      <c r="EH101" s="70" t="s">
        <v>1273</v>
      </c>
      <c r="EI101">
        <v>0</v>
      </c>
      <c r="EJ101" s="48" t="s">
        <v>771</v>
      </c>
      <c r="EK101">
        <f>SUM(EI101:EI125)</f>
        <v>1</v>
      </c>
      <c r="ET101" s="70" t="s">
        <v>1303</v>
      </c>
      <c r="EU101">
        <v>0</v>
      </c>
      <c r="EV101" s="48" t="s">
        <v>771</v>
      </c>
      <c r="EW101">
        <f>SUM(EU101:EU116)</f>
        <v>3</v>
      </c>
      <c r="EZ101" s="70" t="s">
        <v>1347</v>
      </c>
      <c r="FA101">
        <v>0</v>
      </c>
      <c r="FB101" s="48" t="s">
        <v>771</v>
      </c>
      <c r="FC101">
        <f>SUM(FA101:FA125)</f>
        <v>1</v>
      </c>
    </row>
    <row r="102" spans="1:159" x14ac:dyDescent="0.25">
      <c r="A102" s="64" t="s">
        <v>1030</v>
      </c>
      <c r="B102" s="48">
        <v>0</v>
      </c>
      <c r="C102" s="48" t="s">
        <v>776</v>
      </c>
      <c r="D102" s="48">
        <f>STDEV(B97:B122)</f>
        <v>0.27688746209726917</v>
      </c>
      <c r="E102" s="48"/>
      <c r="G102" s="48"/>
      <c r="H102" s="48"/>
      <c r="I102" s="48"/>
      <c r="J102" s="48"/>
      <c r="K102" s="48"/>
      <c r="L102" s="90"/>
      <c r="M102" s="48" t="s">
        <v>957</v>
      </c>
      <c r="N102" s="48">
        <v>0</v>
      </c>
      <c r="O102" s="48" t="s">
        <v>775</v>
      </c>
      <c r="P102" s="48">
        <f>AVERAGE(N98:N122)</f>
        <v>0.04</v>
      </c>
      <c r="Q102" s="48"/>
      <c r="R102" s="90"/>
      <c r="S102" s="92" t="s">
        <v>980</v>
      </c>
      <c r="T102" s="48">
        <v>0</v>
      </c>
      <c r="U102" s="48" t="s">
        <v>775</v>
      </c>
      <c r="V102" s="48">
        <f>AVERAGE(T98:T122)</f>
        <v>0.16666666666666666</v>
      </c>
      <c r="W102" s="48"/>
      <c r="X102" s="90"/>
      <c r="Y102" s="48" t="s">
        <v>1004</v>
      </c>
      <c r="Z102" s="48">
        <v>1</v>
      </c>
      <c r="AA102" s="48" t="s">
        <v>775</v>
      </c>
      <c r="AB102" s="48">
        <f>AVERAGE(Z98:Z122)</f>
        <v>0.28000000000000003</v>
      </c>
      <c r="AC102" s="48"/>
      <c r="AE102" s="45" t="s">
        <v>768</v>
      </c>
      <c r="AF102" s="45" t="s">
        <v>344</v>
      </c>
      <c r="AG102" s="45" t="s">
        <v>769</v>
      </c>
      <c r="AH102" s="45" t="s">
        <v>770</v>
      </c>
      <c r="AJ102" s="46"/>
      <c r="AK102" s="48" t="s">
        <v>808</v>
      </c>
      <c r="AL102" s="45">
        <v>0</v>
      </c>
      <c r="AM102" s="45" t="s">
        <v>773</v>
      </c>
      <c r="AN102" s="45">
        <f>MAX(AL100:AL124)</f>
        <v>1</v>
      </c>
      <c r="AQ102" s="63" t="s">
        <v>292</v>
      </c>
      <c r="AR102" s="45">
        <v>3</v>
      </c>
      <c r="AS102" s="45" t="s">
        <v>774</v>
      </c>
      <c r="AT102" s="45">
        <f>VAR(AR99:AR108)</f>
        <v>2.2222222222222223</v>
      </c>
      <c r="AW102" s="45" t="s">
        <v>818</v>
      </c>
      <c r="BH102" s="46"/>
      <c r="BI102" s="63"/>
      <c r="BJ102" s="48"/>
      <c r="BK102" s="47" t="s">
        <v>775</v>
      </c>
      <c r="BL102" s="47">
        <f>AVERAGE(BJ98:BJ100)</f>
        <v>0</v>
      </c>
      <c r="BN102" s="46"/>
      <c r="BO102" s="70" t="s">
        <v>894</v>
      </c>
      <c r="BP102" s="45">
        <v>0</v>
      </c>
      <c r="BQ102" s="45" t="s">
        <v>774</v>
      </c>
      <c r="BR102" s="45">
        <f>VAR(BP99:BP103)</f>
        <v>0</v>
      </c>
      <c r="BT102" s="46"/>
      <c r="BU102" s="70" t="s">
        <v>677</v>
      </c>
      <c r="BV102" s="45">
        <v>0</v>
      </c>
      <c r="BW102" s="45" t="s">
        <v>772</v>
      </c>
      <c r="BX102" s="45">
        <f>MIN(BV101:BV125)</f>
        <v>0</v>
      </c>
      <c r="BZ102" s="46"/>
      <c r="CA102" s="70" t="s">
        <v>702</v>
      </c>
      <c r="CB102" s="45">
        <v>0</v>
      </c>
      <c r="CC102" s="45" t="s">
        <v>772</v>
      </c>
      <c r="CD102" s="45">
        <f>MIN(CB101:CB125)</f>
        <v>0</v>
      </c>
      <c r="CF102" s="65"/>
      <c r="CG102" s="73" t="s">
        <v>289</v>
      </c>
      <c r="CH102">
        <v>1</v>
      </c>
      <c r="CI102" s="45" t="s">
        <v>772</v>
      </c>
      <c r="CJ102" s="45">
        <f>MIN(CH101:CH125)</f>
        <v>0</v>
      </c>
      <c r="CL102" s="65"/>
      <c r="CR102" s="65"/>
      <c r="CS102" s="78" t="s">
        <v>609</v>
      </c>
      <c r="CT102" s="33">
        <v>1</v>
      </c>
      <c r="CU102" s="47"/>
      <c r="CV102" s="47"/>
      <c r="CX102" s="65"/>
      <c r="CY102" s="73" t="s">
        <v>453</v>
      </c>
      <c r="CZ102" s="33">
        <v>1</v>
      </c>
      <c r="DA102" s="45" t="s">
        <v>774</v>
      </c>
      <c r="DB102" s="45" t="e">
        <f ca="1">VAR(CY97:DB108)</f>
        <v>#DIV/0!</v>
      </c>
      <c r="DD102" s="65"/>
      <c r="DE102" s="34" t="s">
        <v>486</v>
      </c>
      <c r="DF102" s="33"/>
      <c r="DG102" s="45" t="s">
        <v>774</v>
      </c>
      <c r="DH102" s="45" t="e">
        <f ca="1">VAR(DE97:DH108)</f>
        <v>#DIV/0!</v>
      </c>
      <c r="DJ102" s="65"/>
      <c r="DK102" s="33" t="s">
        <v>520</v>
      </c>
      <c r="DL102" s="33">
        <v>0</v>
      </c>
      <c r="DM102" s="45" t="s">
        <v>773</v>
      </c>
      <c r="DN102" s="45">
        <f>MAX(DL100:DL110)</f>
        <v>1</v>
      </c>
      <c r="DP102" s="65"/>
      <c r="DQ102" s="48" t="s">
        <v>1238</v>
      </c>
      <c r="DR102" s="48">
        <v>0</v>
      </c>
      <c r="DS102" s="48" t="s">
        <v>773</v>
      </c>
      <c r="DT102" s="48">
        <f>MAX(DR100:DR119)</f>
        <v>2</v>
      </c>
      <c r="DV102" s="109"/>
      <c r="DW102" s="48"/>
      <c r="DX102" s="48"/>
      <c r="DY102" s="48"/>
      <c r="DZ102" s="48"/>
      <c r="EH102" s="30" t="s">
        <v>414</v>
      </c>
      <c r="EI102">
        <v>0</v>
      </c>
      <c r="EJ102" s="48" t="s">
        <v>772</v>
      </c>
      <c r="EK102">
        <f>MIN(EI101:EI125)</f>
        <v>0</v>
      </c>
      <c r="ET102" s="30" t="s">
        <v>1304</v>
      </c>
      <c r="EU102">
        <v>0</v>
      </c>
      <c r="EV102" s="48" t="s">
        <v>772</v>
      </c>
      <c r="EW102">
        <f>MIN(EU101:EU116)</f>
        <v>0</v>
      </c>
      <c r="EZ102" s="70" t="s">
        <v>969</v>
      </c>
      <c r="FA102">
        <v>0</v>
      </c>
      <c r="FB102" s="48" t="s">
        <v>772</v>
      </c>
      <c r="FC102">
        <f>MIN(FA101:FA125)</f>
        <v>0</v>
      </c>
    </row>
    <row r="103" spans="1:159" x14ac:dyDescent="0.25">
      <c r="A103" s="64" t="s">
        <v>458</v>
      </c>
      <c r="B103" s="48">
        <v>0</v>
      </c>
      <c r="C103" s="48"/>
      <c r="D103" s="48"/>
      <c r="E103" s="48"/>
      <c r="G103" s="96" t="s">
        <v>194</v>
      </c>
      <c r="H103" s="48"/>
      <c r="I103" s="48" t="s">
        <v>769</v>
      </c>
      <c r="J103" s="48" t="s">
        <v>770</v>
      </c>
      <c r="K103" s="48"/>
      <c r="L103" s="90"/>
      <c r="M103" s="48" t="s">
        <v>958</v>
      </c>
      <c r="N103" s="48">
        <v>0</v>
      </c>
      <c r="O103" s="48" t="s">
        <v>776</v>
      </c>
      <c r="P103" s="48">
        <f>STDEV(N98:N122)</f>
        <v>0.2</v>
      </c>
      <c r="Q103" s="48"/>
      <c r="R103" s="90"/>
      <c r="S103" s="92" t="s">
        <v>981</v>
      </c>
      <c r="T103" s="48">
        <v>0</v>
      </c>
      <c r="U103" s="48" t="s">
        <v>776</v>
      </c>
      <c r="V103" s="48">
        <f>STDEV(T98:T122)</f>
        <v>0.56465970257327991</v>
      </c>
      <c r="W103" s="48"/>
      <c r="X103" s="90"/>
      <c r="Y103" s="48" t="s">
        <v>1005</v>
      </c>
      <c r="Z103" s="48">
        <v>0</v>
      </c>
      <c r="AA103" s="48" t="s">
        <v>776</v>
      </c>
      <c r="AB103" s="48">
        <f>STDEV(Z98:Z122)</f>
        <v>0.54160256030906406</v>
      </c>
      <c r="AC103" s="48"/>
      <c r="AE103" s="62" t="s">
        <v>744</v>
      </c>
      <c r="AF103" s="45">
        <v>1</v>
      </c>
      <c r="AG103" s="45" t="s">
        <v>771</v>
      </c>
      <c r="AH103" s="45">
        <f>SUM(AF103:AF113)</f>
        <v>10</v>
      </c>
      <c r="AI103" s="45"/>
      <c r="AJ103" s="46"/>
      <c r="AK103" s="64" t="s">
        <v>739</v>
      </c>
      <c r="AL103" s="45">
        <v>0</v>
      </c>
      <c r="AM103" s="45" t="s">
        <v>774</v>
      </c>
      <c r="AN103" s="45">
        <f>VAR(AL100:AL124)</f>
        <v>0.04</v>
      </c>
      <c r="AQ103" s="63" t="s">
        <v>647</v>
      </c>
      <c r="AR103" s="45">
        <v>0</v>
      </c>
      <c r="AS103" s="45" t="s">
        <v>775</v>
      </c>
      <c r="AT103" s="45">
        <f>AVERAGE(AR99:AR108)</f>
        <v>1</v>
      </c>
      <c r="AW103" s="45" t="s">
        <v>768</v>
      </c>
      <c r="AX103" s="45" t="s">
        <v>344</v>
      </c>
      <c r="AY103" s="45" t="s">
        <v>769</v>
      </c>
      <c r="AZ103" s="45" t="s">
        <v>770</v>
      </c>
      <c r="BH103" s="46"/>
      <c r="BI103" s="63"/>
      <c r="BJ103" s="48"/>
      <c r="BK103" s="47" t="s">
        <v>776</v>
      </c>
      <c r="BL103" s="47">
        <f>STDEV(BJ98:BJ100)</f>
        <v>0</v>
      </c>
      <c r="BN103" s="46"/>
      <c r="BO103" s="70" t="s">
        <v>895</v>
      </c>
      <c r="BP103" s="45">
        <v>0</v>
      </c>
      <c r="BQ103" s="45" t="s">
        <v>775</v>
      </c>
      <c r="BR103" s="45">
        <f>AVERAGE(BP99:BP103)</f>
        <v>0</v>
      </c>
      <c r="BT103" s="46"/>
      <c r="BU103" s="70" t="s">
        <v>678</v>
      </c>
      <c r="BV103" s="45">
        <v>0</v>
      </c>
      <c r="BW103" s="45" t="s">
        <v>773</v>
      </c>
      <c r="BX103" s="45">
        <f>MAX(BV101:BV125)</f>
        <v>1</v>
      </c>
      <c r="BZ103" s="46"/>
      <c r="CA103" s="70" t="s">
        <v>703</v>
      </c>
      <c r="CB103" s="45">
        <v>0</v>
      </c>
      <c r="CC103" s="45" t="s">
        <v>773</v>
      </c>
      <c r="CD103" s="45">
        <f>MAX(CB101:CB125)</f>
        <v>3</v>
      </c>
      <c r="CF103" s="65"/>
      <c r="CG103" s="73" t="s">
        <v>290</v>
      </c>
      <c r="CH103">
        <v>0</v>
      </c>
      <c r="CI103" s="45" t="s">
        <v>773</v>
      </c>
      <c r="CJ103" s="45">
        <f>MAX(CH101:CH125)</f>
        <v>3</v>
      </c>
      <c r="CL103" s="65"/>
      <c r="CR103" s="65"/>
      <c r="CS103" s="78" t="s">
        <v>610</v>
      </c>
      <c r="CT103" s="33">
        <v>0</v>
      </c>
      <c r="CU103" s="47"/>
      <c r="CV103" s="47"/>
      <c r="CX103" s="65"/>
      <c r="CY103" s="73" t="s">
        <v>454</v>
      </c>
      <c r="CZ103" s="33">
        <v>0</v>
      </c>
      <c r="DA103" s="45" t="s">
        <v>775</v>
      </c>
      <c r="DB103" s="45">
        <f>AVERAGE(CZ99:CZ108)</f>
        <v>0.6</v>
      </c>
      <c r="DD103" s="65"/>
      <c r="DE103" s="34" t="s">
        <v>487</v>
      </c>
      <c r="DF103" s="33"/>
      <c r="DG103" s="45" t="s">
        <v>775</v>
      </c>
      <c r="DH103" s="45" t="e">
        <f>AVERAGE(DF99:DF108)</f>
        <v>#DIV/0!</v>
      </c>
      <c r="DJ103" s="65"/>
      <c r="DK103" s="33" t="s">
        <v>521</v>
      </c>
      <c r="DL103" s="33">
        <v>0</v>
      </c>
      <c r="DM103" s="45" t="s">
        <v>774</v>
      </c>
      <c r="DN103" s="45">
        <f>VAR(DL100:DL124)</f>
        <v>7.6666666666666675E-2</v>
      </c>
      <c r="DP103" s="65"/>
      <c r="DQ103" s="48" t="s">
        <v>1239</v>
      </c>
      <c r="DR103" s="48">
        <v>0</v>
      </c>
      <c r="DS103" s="48" t="s">
        <v>774</v>
      </c>
      <c r="DT103" s="48">
        <f>VAR(DR100:DR119)</f>
        <v>0.19999999999999998</v>
      </c>
      <c r="DV103" s="109"/>
      <c r="DW103" s="48"/>
      <c r="DX103" s="48"/>
      <c r="DY103" s="48"/>
      <c r="DZ103" s="48"/>
      <c r="EH103" s="30" t="s">
        <v>1274</v>
      </c>
      <c r="EI103">
        <v>0</v>
      </c>
      <c r="EJ103" s="48" t="s">
        <v>773</v>
      </c>
      <c r="EK103">
        <f>MAX(EI101:EI125)</f>
        <v>1</v>
      </c>
      <c r="ET103" s="30" t="s">
        <v>1305</v>
      </c>
      <c r="EU103">
        <v>1</v>
      </c>
      <c r="EV103" s="48" t="s">
        <v>773</v>
      </c>
      <c r="EW103">
        <f>MAX(EU101:EU116)</f>
        <v>1</v>
      </c>
      <c r="EZ103" s="30" t="s">
        <v>1319</v>
      </c>
      <c r="FA103">
        <v>0</v>
      </c>
      <c r="FB103" s="48" t="s">
        <v>773</v>
      </c>
      <c r="FC103">
        <f>MAX(FA101:FA125)</f>
        <v>1</v>
      </c>
    </row>
    <row r="104" spans="1:159" x14ac:dyDescent="0.25">
      <c r="A104" s="64" t="s">
        <v>1031</v>
      </c>
      <c r="B104" s="48">
        <v>0</v>
      </c>
      <c r="C104" s="48"/>
      <c r="D104" s="48"/>
      <c r="E104" s="48"/>
      <c r="G104" s="48" t="s">
        <v>940</v>
      </c>
      <c r="H104" s="48">
        <v>0</v>
      </c>
      <c r="I104" s="48" t="s">
        <v>771</v>
      </c>
      <c r="J104" s="48">
        <f>SUM(H104:H118)</f>
        <v>1</v>
      </c>
      <c r="K104" s="48"/>
      <c r="L104" s="90"/>
      <c r="M104" s="48" t="s">
        <v>959</v>
      </c>
      <c r="N104" s="48">
        <v>0</v>
      </c>
      <c r="O104" s="48"/>
      <c r="P104" s="48"/>
      <c r="Q104" s="48"/>
      <c r="R104" s="90"/>
      <c r="S104" s="92" t="s">
        <v>982</v>
      </c>
      <c r="T104" s="48">
        <v>0</v>
      </c>
      <c r="U104" s="48"/>
      <c r="V104" s="48"/>
      <c r="W104" s="48"/>
      <c r="X104" s="90"/>
      <c r="Y104" s="48" t="s">
        <v>1006</v>
      </c>
      <c r="Z104" s="48">
        <v>0</v>
      </c>
      <c r="AA104" s="48"/>
      <c r="AB104" s="48"/>
      <c r="AC104" s="48"/>
      <c r="AE104" s="62" t="s">
        <v>757</v>
      </c>
      <c r="AF104" s="45">
        <v>0</v>
      </c>
      <c r="AG104" s="45" t="s">
        <v>772</v>
      </c>
      <c r="AH104" s="45">
        <f>MIN(AF103:AF113)</f>
        <v>0</v>
      </c>
      <c r="AI104" s="45"/>
      <c r="AJ104" s="46"/>
      <c r="AK104" s="64" t="s">
        <v>740</v>
      </c>
      <c r="AL104" s="45">
        <v>0</v>
      </c>
      <c r="AM104" s="45" t="s">
        <v>775</v>
      </c>
      <c r="AN104" s="45">
        <f>AVERAGE(AL100:AL124)</f>
        <v>0.04</v>
      </c>
      <c r="AQ104" s="63" t="s">
        <v>648</v>
      </c>
      <c r="AR104" s="45">
        <v>0</v>
      </c>
      <c r="AS104" s="45" t="s">
        <v>776</v>
      </c>
      <c r="AT104" s="45">
        <f>STDEV(AR99:AR108)</f>
        <v>1.4907119849998598</v>
      </c>
      <c r="AW104" t="s">
        <v>652</v>
      </c>
      <c r="AX104" s="45">
        <v>0</v>
      </c>
      <c r="AY104" s="45" t="s">
        <v>771</v>
      </c>
      <c r="AZ104" s="45">
        <f>SUM(AX104:AX117)</f>
        <v>0</v>
      </c>
      <c r="BH104" s="46"/>
      <c r="BI104" s="63"/>
      <c r="BJ104" s="48"/>
      <c r="BK104" s="48"/>
      <c r="BL104" s="48"/>
      <c r="BN104" s="46"/>
      <c r="BO104" s="70"/>
      <c r="BP104" s="45"/>
      <c r="BQ104" s="45" t="s">
        <v>776</v>
      </c>
      <c r="BR104" s="45">
        <f>STDEV(BP99:BP103)</f>
        <v>0</v>
      </c>
      <c r="BT104" s="46"/>
      <c r="BU104" s="70" t="s">
        <v>679</v>
      </c>
      <c r="BV104" s="45">
        <v>0</v>
      </c>
      <c r="BW104" s="45" t="s">
        <v>774</v>
      </c>
      <c r="BX104" s="45">
        <f>VAR(BV101:BV125)</f>
        <v>0.11</v>
      </c>
      <c r="BZ104" s="46"/>
      <c r="CA104" s="70" t="s">
        <v>899</v>
      </c>
      <c r="CB104" s="45">
        <v>0</v>
      </c>
      <c r="CC104" s="45" t="s">
        <v>774</v>
      </c>
      <c r="CD104" s="45">
        <f>VAR(CB101:CB125)</f>
        <v>0.64333333333333331</v>
      </c>
      <c r="CF104" s="65"/>
      <c r="CG104" s="73" t="s">
        <v>291</v>
      </c>
      <c r="CH104">
        <v>0</v>
      </c>
      <c r="CI104" s="45" t="s">
        <v>774</v>
      </c>
      <c r="CJ104" s="45">
        <f>VAR(CH101:CH125)</f>
        <v>0.75666666666666671</v>
      </c>
      <c r="CL104" s="65"/>
      <c r="CM104" s="45" t="s">
        <v>819</v>
      </c>
      <c r="CR104" s="65"/>
      <c r="CS104" s="78" t="s">
        <v>611</v>
      </c>
      <c r="CT104" s="33">
        <v>0</v>
      </c>
      <c r="CU104" s="47"/>
      <c r="CV104" s="47"/>
      <c r="CX104" s="65"/>
      <c r="CY104" s="73" t="s">
        <v>455</v>
      </c>
      <c r="CZ104" s="33">
        <v>0</v>
      </c>
      <c r="DA104" s="45" t="s">
        <v>776</v>
      </c>
      <c r="DB104" s="45">
        <f>STDEV(CZ99:CZ108)</f>
        <v>0.5163977794943222</v>
      </c>
      <c r="DD104" s="65"/>
      <c r="DE104" s="34" t="s">
        <v>488</v>
      </c>
      <c r="DF104" s="33"/>
      <c r="DG104" s="45" t="s">
        <v>776</v>
      </c>
      <c r="DH104" s="45" t="e">
        <f>STDEV(DF99:DF108)</f>
        <v>#DIV/0!</v>
      </c>
      <c r="DJ104" s="65"/>
      <c r="DK104" s="33" t="s">
        <v>522</v>
      </c>
      <c r="DL104" s="33">
        <v>0</v>
      </c>
      <c r="DM104" s="45" t="s">
        <v>775</v>
      </c>
      <c r="DN104" s="45">
        <f>AVERAGE(DL100:DL124)</f>
        <v>0.08</v>
      </c>
      <c r="DP104" s="65"/>
      <c r="DQ104" s="48" t="s">
        <v>1240</v>
      </c>
      <c r="DR104" s="48">
        <v>0</v>
      </c>
      <c r="DS104" s="48" t="s">
        <v>775</v>
      </c>
      <c r="DT104" s="48">
        <f>AVERAGE(DR100:DR119)</f>
        <v>0.1</v>
      </c>
      <c r="DV104" s="109"/>
      <c r="DW104" s="48"/>
      <c r="DX104" s="48"/>
      <c r="DY104" s="48"/>
      <c r="DZ104" s="48"/>
      <c r="EH104" s="30" t="s">
        <v>1275</v>
      </c>
      <c r="EI104">
        <v>0</v>
      </c>
      <c r="EJ104" s="48" t="s">
        <v>774</v>
      </c>
      <c r="EK104">
        <f>VAR(EI101:EI125)</f>
        <v>0.04</v>
      </c>
      <c r="ET104" s="30" t="s">
        <v>1306</v>
      </c>
      <c r="EU104">
        <v>0</v>
      </c>
      <c r="EV104" s="48" t="s">
        <v>774</v>
      </c>
      <c r="EW104">
        <f>VAR(EU101:EU116)</f>
        <v>0.16250000000000001</v>
      </c>
      <c r="EZ104" s="30" t="s">
        <v>996</v>
      </c>
      <c r="FA104">
        <v>0</v>
      </c>
      <c r="FB104" s="48" t="s">
        <v>774</v>
      </c>
      <c r="FC104">
        <f>VAR(FA101:FA125)</f>
        <v>0.04</v>
      </c>
    </row>
    <row r="105" spans="1:159" x14ac:dyDescent="0.25">
      <c r="A105" s="64" t="s">
        <v>1032</v>
      </c>
      <c r="B105" s="48">
        <v>0</v>
      </c>
      <c r="C105" s="48"/>
      <c r="D105" s="48"/>
      <c r="E105" s="48"/>
      <c r="G105" s="48" t="s">
        <v>941</v>
      </c>
      <c r="H105" s="48">
        <v>0</v>
      </c>
      <c r="I105" s="48" t="s">
        <v>772</v>
      </c>
      <c r="J105" s="48">
        <f>MIN(H104:H118)</f>
        <v>0</v>
      </c>
      <c r="K105" s="48"/>
      <c r="L105" s="90"/>
      <c r="M105" s="48" t="s">
        <v>960</v>
      </c>
      <c r="N105" s="48">
        <v>0</v>
      </c>
      <c r="O105" s="48"/>
      <c r="P105" s="48"/>
      <c r="Q105" s="48"/>
      <c r="R105" s="90"/>
      <c r="S105" s="92" t="s">
        <v>983</v>
      </c>
      <c r="T105" s="48">
        <v>0</v>
      </c>
      <c r="U105" s="48"/>
      <c r="V105" s="48"/>
      <c r="W105" s="48"/>
      <c r="X105" s="90"/>
      <c r="Y105" s="48" t="s">
        <v>1007</v>
      </c>
      <c r="Z105" s="48">
        <v>1</v>
      </c>
      <c r="AA105" s="48"/>
      <c r="AB105" s="48"/>
      <c r="AC105" s="48"/>
      <c r="AE105" s="62" t="s">
        <v>758</v>
      </c>
      <c r="AF105" s="45">
        <v>1</v>
      </c>
      <c r="AG105" s="45" t="s">
        <v>773</v>
      </c>
      <c r="AH105" s="45">
        <f>MAX(AF103:AF113)</f>
        <v>2</v>
      </c>
      <c r="AI105" s="45"/>
      <c r="AJ105" s="46"/>
      <c r="AK105" s="64" t="s">
        <v>741</v>
      </c>
      <c r="AL105" s="45">
        <v>0</v>
      </c>
      <c r="AM105" s="45" t="s">
        <v>776</v>
      </c>
      <c r="AN105" s="45">
        <f>STDEV(AL100:AL124)</f>
        <v>0.2</v>
      </c>
      <c r="AQ105" s="63" t="s">
        <v>649</v>
      </c>
      <c r="AR105" s="45">
        <v>2</v>
      </c>
      <c r="AS105" s="45"/>
      <c r="AT105" s="45"/>
      <c r="AW105" t="s">
        <v>654</v>
      </c>
      <c r="AX105" s="45">
        <v>0</v>
      </c>
      <c r="AY105" s="45" t="s">
        <v>772</v>
      </c>
      <c r="AZ105" s="45">
        <f>MIN(AX104:AX117)</f>
        <v>0</v>
      </c>
      <c r="BC105" s="45" t="s">
        <v>819</v>
      </c>
      <c r="BH105" s="46"/>
      <c r="BJ105" s="48"/>
      <c r="BK105" s="47"/>
      <c r="BL105" s="47"/>
      <c r="BN105" s="46"/>
      <c r="BO105" s="70"/>
      <c r="BP105" s="45"/>
      <c r="BT105" s="46"/>
      <c r="BU105" s="70" t="s">
        <v>680</v>
      </c>
      <c r="BV105" s="45">
        <v>1</v>
      </c>
      <c r="BW105" s="45" t="s">
        <v>775</v>
      </c>
      <c r="BX105" s="45">
        <f>AVERAGE(BV101:BV125)</f>
        <v>0.12</v>
      </c>
      <c r="BZ105" s="46"/>
      <c r="CA105" s="70" t="s">
        <v>704</v>
      </c>
      <c r="CB105" s="45">
        <v>0</v>
      </c>
      <c r="CC105" s="45" t="s">
        <v>775</v>
      </c>
      <c r="CD105" s="45">
        <f>AVERAGE(CB101:CB125)</f>
        <v>0.32</v>
      </c>
      <c r="CF105" s="65"/>
      <c r="CG105" s="73" t="s">
        <v>292</v>
      </c>
      <c r="CH105">
        <v>3</v>
      </c>
      <c r="CI105" s="45" t="s">
        <v>775</v>
      </c>
      <c r="CJ105" s="45">
        <f>AVERAGE(CH101:CH125)</f>
        <v>0.44</v>
      </c>
      <c r="CL105" s="65"/>
      <c r="CM105" s="45" t="s">
        <v>768</v>
      </c>
      <c r="CN105" s="45" t="s">
        <v>344</v>
      </c>
      <c r="CO105" s="45" t="s">
        <v>769</v>
      </c>
      <c r="CP105" s="45" t="s">
        <v>770</v>
      </c>
      <c r="CR105" s="65"/>
      <c r="CS105" s="78" t="s">
        <v>612</v>
      </c>
      <c r="CT105" s="33">
        <v>0</v>
      </c>
      <c r="CU105" s="47"/>
      <c r="CV105" s="47"/>
      <c r="CX105" s="65"/>
      <c r="CY105" s="73" t="s">
        <v>456</v>
      </c>
      <c r="CZ105" s="33">
        <v>1</v>
      </c>
      <c r="DD105" s="65"/>
      <c r="DE105" s="33" t="s">
        <v>489</v>
      </c>
      <c r="DF105" s="33"/>
      <c r="DJ105" s="65"/>
      <c r="DK105" s="33" t="s">
        <v>523</v>
      </c>
      <c r="DL105" s="33">
        <v>0</v>
      </c>
      <c r="DM105" s="45" t="s">
        <v>776</v>
      </c>
      <c r="DN105" s="45">
        <f>STDEV(DL100:DL124)</f>
        <v>0.27688746209726917</v>
      </c>
      <c r="DP105" s="65"/>
      <c r="DQ105" s="48" t="s">
        <v>1241</v>
      </c>
      <c r="DR105" s="48">
        <v>0</v>
      </c>
      <c r="DS105" s="48" t="s">
        <v>776</v>
      </c>
      <c r="DT105" s="48">
        <f>STDEV(DR100:DR119)</f>
        <v>0.44721359549995793</v>
      </c>
      <c r="DV105" s="109"/>
      <c r="DW105" s="48"/>
      <c r="DX105" s="48"/>
      <c r="DY105" s="48"/>
      <c r="DZ105" s="48"/>
      <c r="EH105" s="30" t="s">
        <v>1276</v>
      </c>
      <c r="EI105">
        <v>0</v>
      </c>
      <c r="EJ105" s="48" t="s">
        <v>775</v>
      </c>
      <c r="EK105">
        <f>AVERAGE(EI101:EI125)</f>
        <v>0.04</v>
      </c>
      <c r="ET105" s="30" t="s">
        <v>1307</v>
      </c>
      <c r="EU105">
        <v>1</v>
      </c>
      <c r="EV105" s="48" t="s">
        <v>775</v>
      </c>
      <c r="EW105">
        <f>AVERAGE(EU101:EU116)</f>
        <v>0.1875</v>
      </c>
      <c r="EZ105" s="30" t="s">
        <v>1320</v>
      </c>
      <c r="FA105">
        <v>1</v>
      </c>
      <c r="FB105" s="48" t="s">
        <v>775</v>
      </c>
      <c r="FC105">
        <f>AVERAGE(FA101:FA125)</f>
        <v>0.04</v>
      </c>
    </row>
    <row r="106" spans="1:159" x14ac:dyDescent="0.25">
      <c r="A106" s="64" t="s">
        <v>1033</v>
      </c>
      <c r="B106" s="48">
        <v>0</v>
      </c>
      <c r="C106" s="48"/>
      <c r="D106" s="48"/>
      <c r="E106" s="48"/>
      <c r="G106" s="48" t="s">
        <v>942</v>
      </c>
      <c r="H106" s="48">
        <v>0</v>
      </c>
      <c r="I106" s="48" t="s">
        <v>773</v>
      </c>
      <c r="J106" s="48">
        <f>MAX(H104:H118)</f>
        <v>1</v>
      </c>
      <c r="K106" s="48"/>
      <c r="L106" s="90"/>
      <c r="M106" s="48" t="s">
        <v>961</v>
      </c>
      <c r="N106" s="48">
        <v>0</v>
      </c>
      <c r="O106" s="48"/>
      <c r="P106" s="48"/>
      <c r="Q106" s="48"/>
      <c r="R106" s="90"/>
      <c r="S106" s="93" t="s">
        <v>984</v>
      </c>
      <c r="T106" s="48">
        <v>0</v>
      </c>
      <c r="U106" s="48"/>
      <c r="V106" s="48"/>
      <c r="W106" s="48"/>
      <c r="X106" s="90"/>
      <c r="Y106" s="48" t="s">
        <v>685</v>
      </c>
      <c r="Z106" s="48">
        <v>0</v>
      </c>
      <c r="AA106" s="48"/>
      <c r="AB106" s="48"/>
      <c r="AC106" s="48"/>
      <c r="AE106" s="62" t="s">
        <v>452</v>
      </c>
      <c r="AF106" s="45">
        <v>2</v>
      </c>
      <c r="AG106" s="45" t="s">
        <v>774</v>
      </c>
      <c r="AH106" s="45">
        <f>VAR(AF103:AF113)</f>
        <v>0.69090909090909081</v>
      </c>
      <c r="AI106" s="45"/>
      <c r="AJ106" s="46"/>
      <c r="AK106" s="64" t="s">
        <v>742</v>
      </c>
      <c r="AL106" s="45">
        <v>0</v>
      </c>
      <c r="AM106" s="45"/>
      <c r="AN106" s="45"/>
      <c r="AQ106" s="63" t="s">
        <v>405</v>
      </c>
      <c r="AR106" s="45">
        <v>1</v>
      </c>
      <c r="AS106" s="45"/>
      <c r="AT106" s="45"/>
      <c r="AW106" t="s">
        <v>653</v>
      </c>
      <c r="AX106" s="45">
        <v>0</v>
      </c>
      <c r="AY106" s="45" t="s">
        <v>773</v>
      </c>
      <c r="AZ106" s="45">
        <f>MAX(AX104:AX117)</f>
        <v>0</v>
      </c>
      <c r="BC106" s="45" t="s">
        <v>768</v>
      </c>
      <c r="BD106" s="45" t="s">
        <v>344</v>
      </c>
      <c r="BE106" s="45" t="s">
        <v>769</v>
      </c>
      <c r="BF106" s="45" t="s">
        <v>770</v>
      </c>
      <c r="BH106" s="46"/>
      <c r="BJ106" s="48"/>
      <c r="BK106" s="48"/>
      <c r="BL106" s="48"/>
      <c r="BN106" s="46"/>
      <c r="BO106" s="70"/>
      <c r="BP106" s="45"/>
      <c r="BT106" s="46"/>
      <c r="BU106" s="70" t="s">
        <v>898</v>
      </c>
      <c r="BV106" s="45">
        <v>0</v>
      </c>
      <c r="BW106" s="45" t="s">
        <v>776</v>
      </c>
      <c r="BX106" s="45">
        <f>STDEV(BV101:BV125)</f>
        <v>0.33166247903553997</v>
      </c>
      <c r="BZ106" s="46"/>
      <c r="CA106" s="70" t="s">
        <v>900</v>
      </c>
      <c r="CB106" s="45">
        <v>0</v>
      </c>
      <c r="CC106" s="45" t="s">
        <v>776</v>
      </c>
      <c r="CD106" s="45">
        <f>STDEV(CB101:CB125)</f>
        <v>0.80208062770106425</v>
      </c>
      <c r="CF106" s="65"/>
      <c r="CG106" s="73" t="s">
        <v>293</v>
      </c>
      <c r="CH106">
        <v>0</v>
      </c>
      <c r="CI106" s="45" t="s">
        <v>776</v>
      </c>
      <c r="CJ106" s="45">
        <f>STDEV(CH101:CH125)</f>
        <v>0.86986589004665926</v>
      </c>
      <c r="CL106" s="65"/>
      <c r="CM106" s="73" t="s">
        <v>348</v>
      </c>
      <c r="CN106">
        <v>2</v>
      </c>
      <c r="CO106" s="45" t="s">
        <v>771</v>
      </c>
      <c r="CP106" s="45">
        <f>SUM(CN106:CN132)</f>
        <v>10</v>
      </c>
      <c r="CR106" s="65"/>
      <c r="CS106" s="78" t="s">
        <v>574</v>
      </c>
      <c r="CT106" s="33">
        <v>0</v>
      </c>
      <c r="CX106" s="65"/>
      <c r="CY106" s="73" t="s">
        <v>457</v>
      </c>
      <c r="CZ106" s="33">
        <v>1</v>
      </c>
      <c r="DD106" s="65"/>
      <c r="DE106" s="33" t="s">
        <v>490</v>
      </c>
      <c r="DF106" s="33"/>
      <c r="DJ106" s="65"/>
      <c r="DK106" s="33" t="s">
        <v>524</v>
      </c>
      <c r="DL106" s="33">
        <v>0</v>
      </c>
      <c r="DP106" s="65"/>
      <c r="DQ106" s="48" t="s">
        <v>999</v>
      </c>
      <c r="DR106" s="48">
        <v>0</v>
      </c>
      <c r="DS106" s="48"/>
      <c r="DT106" s="48"/>
      <c r="DV106" s="109"/>
      <c r="DW106" s="48"/>
      <c r="DX106" s="48"/>
      <c r="DY106" s="48"/>
      <c r="DZ106" s="48"/>
      <c r="EH106" s="30" t="s">
        <v>1277</v>
      </c>
      <c r="EI106">
        <v>0</v>
      </c>
      <c r="EJ106" s="48" t="s">
        <v>776</v>
      </c>
      <c r="EK106">
        <f>STDEV(EI101:EI125)</f>
        <v>0.2</v>
      </c>
      <c r="ET106" s="30" t="s">
        <v>1308</v>
      </c>
      <c r="EU106">
        <v>0</v>
      </c>
      <c r="EV106" s="48" t="s">
        <v>776</v>
      </c>
      <c r="EW106">
        <f>STDEV(EU101:EU116)</f>
        <v>0.40311288741492751</v>
      </c>
      <c r="EZ106" s="30" t="s">
        <v>1321</v>
      </c>
      <c r="FA106">
        <v>0</v>
      </c>
      <c r="FB106" s="48" t="s">
        <v>776</v>
      </c>
      <c r="FC106">
        <f>STDEV(FA101:FA125)</f>
        <v>0.2</v>
      </c>
    </row>
    <row r="107" spans="1:159" x14ac:dyDescent="0.25">
      <c r="A107" s="64" t="s">
        <v>1034</v>
      </c>
      <c r="B107" s="48">
        <v>0</v>
      </c>
      <c r="C107" s="48"/>
      <c r="D107" s="48"/>
      <c r="E107" s="48"/>
      <c r="G107" s="48" t="s">
        <v>943</v>
      </c>
      <c r="H107" s="48">
        <v>0</v>
      </c>
      <c r="I107" s="48" t="s">
        <v>774</v>
      </c>
      <c r="J107" s="48">
        <f>VAR(H104:H118)</f>
        <v>7.1428571428571425E-2</v>
      </c>
      <c r="K107" s="48"/>
      <c r="L107" s="90"/>
      <c r="M107" s="48" t="s">
        <v>962</v>
      </c>
      <c r="N107" s="48">
        <v>0</v>
      </c>
      <c r="O107" s="48"/>
      <c r="P107" s="48"/>
      <c r="Q107" s="48"/>
      <c r="R107" s="90"/>
      <c r="S107" s="93" t="s">
        <v>985</v>
      </c>
      <c r="T107" s="48">
        <v>0</v>
      </c>
      <c r="U107" s="48"/>
      <c r="V107" s="48"/>
      <c r="W107" s="48"/>
      <c r="X107" s="90"/>
      <c r="Y107" s="48" t="s">
        <v>686</v>
      </c>
      <c r="Z107" s="48">
        <v>0</v>
      </c>
      <c r="AA107" s="48"/>
      <c r="AB107" s="48"/>
      <c r="AC107" s="48"/>
      <c r="AE107" s="62" t="s">
        <v>760</v>
      </c>
      <c r="AF107" s="45">
        <v>0</v>
      </c>
      <c r="AG107" s="45" t="s">
        <v>775</v>
      </c>
      <c r="AH107" s="45">
        <f>AVERAGE(AF103:AF113)</f>
        <v>0.90909090909090906</v>
      </c>
      <c r="AI107" s="45"/>
      <c r="AJ107" s="46"/>
      <c r="AK107" s="64" t="s">
        <v>743</v>
      </c>
      <c r="AL107" s="45">
        <v>0</v>
      </c>
      <c r="AM107" s="45"/>
      <c r="AN107" s="45"/>
      <c r="AQ107" s="63" t="s">
        <v>650</v>
      </c>
      <c r="AR107" s="45">
        <v>0</v>
      </c>
      <c r="AS107" s="45"/>
      <c r="AT107" s="45"/>
      <c r="AW107" t="s">
        <v>655</v>
      </c>
      <c r="AX107" s="45">
        <v>0</v>
      </c>
      <c r="AY107" s="45" t="s">
        <v>774</v>
      </c>
      <c r="AZ107" s="45">
        <f>VAR(AX104:AX117)</f>
        <v>0</v>
      </c>
      <c r="BC107" s="63" t="s">
        <v>717</v>
      </c>
      <c r="BD107">
        <v>0</v>
      </c>
      <c r="BE107" s="45" t="s">
        <v>771</v>
      </c>
      <c r="BF107" s="45">
        <f>SUM(BD107:BD109)</f>
        <v>0</v>
      </c>
      <c r="BH107" s="46"/>
      <c r="BI107" s="31" t="s">
        <v>848</v>
      </c>
      <c r="BJ107" s="48" t="s">
        <v>344</v>
      </c>
      <c r="BK107" s="47" t="s">
        <v>769</v>
      </c>
      <c r="BL107" s="47" t="s">
        <v>770</v>
      </c>
      <c r="BN107" s="46"/>
      <c r="BO107" s="70"/>
      <c r="BP107" s="45"/>
      <c r="BT107" s="46"/>
      <c r="BU107" s="70" t="s">
        <v>682</v>
      </c>
      <c r="BV107" s="45">
        <v>0</v>
      </c>
      <c r="BW107" s="45"/>
      <c r="BX107" s="45"/>
      <c r="BZ107" s="46"/>
      <c r="CA107" s="70" t="s">
        <v>705</v>
      </c>
      <c r="CB107" s="45">
        <v>0</v>
      </c>
      <c r="CC107" s="45"/>
      <c r="CD107" s="45"/>
      <c r="CF107" s="65"/>
      <c r="CG107" s="73" t="s">
        <v>294</v>
      </c>
      <c r="CH107">
        <v>0</v>
      </c>
      <c r="CL107" s="65"/>
      <c r="CM107" s="73" t="s">
        <v>349</v>
      </c>
      <c r="CN107">
        <v>0</v>
      </c>
      <c r="CO107" s="45" t="s">
        <v>772</v>
      </c>
      <c r="CP107" s="45">
        <f>MIN(CN106:CN132)</f>
        <v>0</v>
      </c>
      <c r="CR107" s="65"/>
      <c r="CX107" s="65"/>
      <c r="CY107" s="73" t="s">
        <v>458</v>
      </c>
      <c r="CZ107" s="33">
        <v>0</v>
      </c>
      <c r="DD107" s="65"/>
      <c r="DE107" s="33" t="s">
        <v>491</v>
      </c>
      <c r="DF107" s="33"/>
      <c r="DJ107" s="65"/>
      <c r="DK107" s="33" t="s">
        <v>525</v>
      </c>
      <c r="DL107" s="33">
        <v>0</v>
      </c>
      <c r="DP107" s="65"/>
      <c r="DQ107" s="48" t="s">
        <v>1242</v>
      </c>
      <c r="DR107" s="48">
        <v>2</v>
      </c>
      <c r="DS107" s="48"/>
      <c r="DT107" s="48"/>
      <c r="DV107" s="109"/>
      <c r="DW107" s="48"/>
      <c r="DX107" s="48"/>
      <c r="DY107" s="48"/>
      <c r="DZ107" s="48"/>
      <c r="EH107" s="30" t="s">
        <v>1278</v>
      </c>
      <c r="EI107">
        <v>0</v>
      </c>
      <c r="ET107" s="30" t="s">
        <v>1309</v>
      </c>
      <c r="EU107">
        <v>0</v>
      </c>
      <c r="EZ107" s="30" t="s">
        <v>455</v>
      </c>
      <c r="FA107">
        <v>0</v>
      </c>
    </row>
    <row r="108" spans="1:159" x14ac:dyDescent="0.25">
      <c r="A108" s="64" t="s">
        <v>685</v>
      </c>
      <c r="B108" s="48">
        <v>0</v>
      </c>
      <c r="C108" s="48"/>
      <c r="D108" s="48"/>
      <c r="E108" s="48"/>
      <c r="G108" s="48" t="s">
        <v>944</v>
      </c>
      <c r="H108" s="48">
        <v>0</v>
      </c>
      <c r="I108" s="48" t="s">
        <v>775</v>
      </c>
      <c r="J108" s="48">
        <f>AVERAGE(H104:H118)</f>
        <v>7.1428571428571425E-2</v>
      </c>
      <c r="K108" s="48"/>
      <c r="L108" s="90"/>
      <c r="M108" s="48" t="s">
        <v>963</v>
      </c>
      <c r="N108" s="48">
        <v>0</v>
      </c>
      <c r="O108" s="48"/>
      <c r="P108" s="48"/>
      <c r="Q108" s="48"/>
      <c r="R108" s="90"/>
      <c r="S108" s="93" t="s">
        <v>986</v>
      </c>
      <c r="T108" s="48">
        <v>2</v>
      </c>
      <c r="U108" s="48"/>
      <c r="V108" s="48"/>
      <c r="W108" s="48"/>
      <c r="X108" s="90"/>
      <c r="Y108" s="48" t="s">
        <v>1008</v>
      </c>
      <c r="Z108" s="48">
        <v>0</v>
      </c>
      <c r="AA108" s="48"/>
      <c r="AB108" s="48"/>
      <c r="AC108" s="48"/>
      <c r="AE108" s="62" t="s">
        <v>761</v>
      </c>
      <c r="AF108" s="45">
        <v>2</v>
      </c>
      <c r="AG108" s="45" t="s">
        <v>776</v>
      </c>
      <c r="AH108" s="45">
        <f>STDEV(AF103:AF113)</f>
        <v>0.8312094145936334</v>
      </c>
      <c r="AI108" s="45"/>
      <c r="AJ108" s="46"/>
      <c r="AK108" s="64" t="s">
        <v>644</v>
      </c>
      <c r="AL108" s="45">
        <v>0</v>
      </c>
      <c r="AM108" s="45"/>
      <c r="AN108" s="45"/>
      <c r="AQ108" s="63" t="s">
        <v>651</v>
      </c>
      <c r="AR108" s="45">
        <v>0</v>
      </c>
      <c r="AS108" s="45"/>
      <c r="AT108" s="45"/>
      <c r="AW108" t="s">
        <v>656</v>
      </c>
      <c r="AX108" s="45">
        <v>0</v>
      </c>
      <c r="AY108" s="45" t="s">
        <v>775</v>
      </c>
      <c r="AZ108" s="45">
        <f>AVERAGE(AX104:AX117)</f>
        <v>0</v>
      </c>
      <c r="BC108" s="63" t="s">
        <v>718</v>
      </c>
      <c r="BD108">
        <v>0</v>
      </c>
      <c r="BE108" s="45" t="s">
        <v>772</v>
      </c>
      <c r="BF108" s="45">
        <f>MIN(BD107:BD109)</f>
        <v>0</v>
      </c>
      <c r="BH108" s="46"/>
      <c r="BI108" s="63" t="s">
        <v>845</v>
      </c>
      <c r="BJ108" s="48">
        <v>0</v>
      </c>
      <c r="BK108" s="47" t="s">
        <v>771</v>
      </c>
      <c r="BL108" s="47">
        <f>SUM(BJ108:BJ130)</f>
        <v>2</v>
      </c>
      <c r="BN108" s="46"/>
      <c r="BO108" s="45" t="s">
        <v>819</v>
      </c>
      <c r="BT108" s="46"/>
      <c r="BU108" s="70" t="s">
        <v>683</v>
      </c>
      <c r="BV108" s="45">
        <v>0</v>
      </c>
      <c r="BW108" s="45"/>
      <c r="BX108" s="45"/>
      <c r="BZ108" s="46"/>
      <c r="CA108" s="70" t="s">
        <v>901</v>
      </c>
      <c r="CB108" s="45">
        <v>0</v>
      </c>
      <c r="CC108" s="45"/>
      <c r="CD108" s="45"/>
      <c r="CF108" s="65"/>
      <c r="CG108" s="73" t="s">
        <v>295</v>
      </c>
      <c r="CH108">
        <v>1</v>
      </c>
      <c r="CL108" s="65"/>
      <c r="CM108" s="73" t="s">
        <v>350</v>
      </c>
      <c r="CN108">
        <v>3</v>
      </c>
      <c r="CO108" s="45" t="s">
        <v>773</v>
      </c>
      <c r="CP108" s="45">
        <f>MAX(CN106:CN132)</f>
        <v>3</v>
      </c>
      <c r="CR108" s="65"/>
      <c r="CS108" s="45" t="s">
        <v>819</v>
      </c>
      <c r="CX108" s="65"/>
      <c r="CY108" s="73" t="s">
        <v>459</v>
      </c>
      <c r="CZ108" s="33">
        <v>1</v>
      </c>
      <c r="DD108" s="65"/>
      <c r="DE108" s="33" t="s">
        <v>492</v>
      </c>
      <c r="DF108" s="33"/>
      <c r="DJ108" s="65"/>
      <c r="DK108" s="33" t="s">
        <v>526</v>
      </c>
      <c r="DL108" s="33">
        <v>0</v>
      </c>
      <c r="DP108" s="65"/>
      <c r="DQ108" s="48" t="s">
        <v>1243</v>
      </c>
      <c r="DR108" s="48">
        <v>0</v>
      </c>
      <c r="DS108" s="48"/>
      <c r="DT108" s="48"/>
      <c r="DV108" s="109"/>
      <c r="DW108" s="48"/>
      <c r="DX108" s="48"/>
      <c r="DY108" s="48"/>
      <c r="DZ108" s="48"/>
      <c r="EH108" s="30" t="s">
        <v>1279</v>
      </c>
      <c r="EI108">
        <v>0</v>
      </c>
      <c r="ET108" s="30" t="s">
        <v>1310</v>
      </c>
      <c r="EU108">
        <v>0</v>
      </c>
      <c r="EZ108" s="30" t="s">
        <v>1322</v>
      </c>
      <c r="FA108">
        <v>0</v>
      </c>
    </row>
    <row r="109" spans="1:159" x14ac:dyDescent="0.25">
      <c r="A109" s="64" t="s">
        <v>1035</v>
      </c>
      <c r="B109" s="48">
        <v>0</v>
      </c>
      <c r="C109" s="48"/>
      <c r="D109" s="48"/>
      <c r="E109" s="48"/>
      <c r="G109" s="48" t="s">
        <v>945</v>
      </c>
      <c r="H109" s="48">
        <v>0</v>
      </c>
      <c r="I109" s="48" t="s">
        <v>776</v>
      </c>
      <c r="J109" s="48">
        <f>STDEV(H104:H118)</f>
        <v>0.2672612419124244</v>
      </c>
      <c r="K109" s="48"/>
      <c r="L109" s="90"/>
      <c r="M109" s="48" t="s">
        <v>964</v>
      </c>
      <c r="N109" s="48">
        <v>0</v>
      </c>
      <c r="O109" s="48"/>
      <c r="P109" s="48"/>
      <c r="Q109" s="48"/>
      <c r="R109" s="90"/>
      <c r="S109" s="93" t="s">
        <v>987</v>
      </c>
      <c r="T109" s="48">
        <v>0</v>
      </c>
      <c r="U109" s="48"/>
      <c r="V109" s="48"/>
      <c r="W109" s="48"/>
      <c r="X109" s="90"/>
      <c r="Y109" s="48" t="s">
        <v>1009</v>
      </c>
      <c r="Z109" s="48">
        <v>0</v>
      </c>
      <c r="AA109" s="48"/>
      <c r="AB109" s="48"/>
      <c r="AC109" s="48"/>
      <c r="AE109" s="62" t="s">
        <v>762</v>
      </c>
      <c r="AF109" s="45">
        <v>0</v>
      </c>
      <c r="AG109" s="45"/>
      <c r="AH109" s="45"/>
      <c r="AI109" s="45"/>
      <c r="AJ109" s="46"/>
      <c r="AK109" s="64" t="s">
        <v>744</v>
      </c>
      <c r="AL109" s="45">
        <v>0</v>
      </c>
      <c r="AM109" s="45"/>
      <c r="AN109" s="45"/>
      <c r="AQ109" s="63"/>
      <c r="AR109" s="45"/>
      <c r="AS109" s="45"/>
      <c r="AT109" s="45"/>
      <c r="AW109" t="s">
        <v>657</v>
      </c>
      <c r="AX109" s="45">
        <v>0</v>
      </c>
      <c r="AY109" s="45" t="s">
        <v>776</v>
      </c>
      <c r="AZ109" s="45">
        <f>STDEV(AX104:AX117)</f>
        <v>0</v>
      </c>
      <c r="BC109" s="63" t="s">
        <v>716</v>
      </c>
      <c r="BD109">
        <v>0</v>
      </c>
      <c r="BE109" s="45" t="s">
        <v>773</v>
      </c>
      <c r="BF109" s="45">
        <f>MAX(BD107:BD109)</f>
        <v>0</v>
      </c>
      <c r="BH109" s="46"/>
      <c r="BI109" s="63" t="s">
        <v>846</v>
      </c>
      <c r="BJ109" s="48">
        <v>0</v>
      </c>
      <c r="BK109" s="47" t="s">
        <v>772</v>
      </c>
      <c r="BL109" s="47">
        <f>MIN(BJ108:BJ130)</f>
        <v>0</v>
      </c>
      <c r="BN109" s="46"/>
      <c r="BO109" s="45" t="s">
        <v>768</v>
      </c>
      <c r="BP109" s="45" t="s">
        <v>344</v>
      </c>
      <c r="BQ109" s="45" t="s">
        <v>769</v>
      </c>
      <c r="BR109" s="45" t="s">
        <v>770</v>
      </c>
      <c r="BT109" s="46"/>
      <c r="BU109" s="70" t="s">
        <v>684</v>
      </c>
      <c r="BV109" s="45">
        <v>0</v>
      </c>
      <c r="BW109" s="45"/>
      <c r="BX109" s="45"/>
      <c r="BZ109" s="46"/>
      <c r="CA109" s="70" t="s">
        <v>902</v>
      </c>
      <c r="CB109" s="45">
        <v>0</v>
      </c>
      <c r="CC109" s="45"/>
      <c r="CD109" s="45"/>
      <c r="CF109" s="65"/>
      <c r="CG109" s="73" t="s">
        <v>296</v>
      </c>
      <c r="CH109">
        <v>1</v>
      </c>
      <c r="CL109" s="65"/>
      <c r="CM109" s="73" t="s">
        <v>351</v>
      </c>
      <c r="CN109">
        <v>0</v>
      </c>
      <c r="CO109" s="45" t="s">
        <v>774</v>
      </c>
      <c r="CP109" s="45">
        <f>VAR(CN106:CN132)</f>
        <v>0.71146245059288538</v>
      </c>
      <c r="CR109" s="65"/>
      <c r="CS109" s="45" t="s">
        <v>768</v>
      </c>
      <c r="CT109" s="45" t="s">
        <v>344</v>
      </c>
      <c r="CU109" s="45" t="s">
        <v>769</v>
      </c>
      <c r="CV109" s="45" t="s">
        <v>770</v>
      </c>
      <c r="CX109" s="65"/>
      <c r="DD109" s="65"/>
      <c r="DE109" s="33" t="s">
        <v>493</v>
      </c>
      <c r="DJ109" s="65"/>
      <c r="DK109" s="33" t="s">
        <v>527</v>
      </c>
      <c r="DL109" s="33">
        <v>0</v>
      </c>
      <c r="DP109" s="65"/>
      <c r="DQ109" s="48" t="s">
        <v>1244</v>
      </c>
      <c r="DR109" s="48">
        <v>0</v>
      </c>
      <c r="DS109" s="48"/>
      <c r="DT109" s="48"/>
      <c r="DV109" s="109"/>
      <c r="DW109" s="48"/>
      <c r="DX109" s="48"/>
      <c r="DY109" s="48"/>
      <c r="DZ109" s="48"/>
      <c r="EH109" s="30" t="s">
        <v>1280</v>
      </c>
      <c r="EI109">
        <v>0</v>
      </c>
      <c r="ET109" s="30" t="s">
        <v>1264</v>
      </c>
      <c r="EU109">
        <v>0</v>
      </c>
      <c r="EZ109" s="30" t="s">
        <v>1323</v>
      </c>
      <c r="FA109">
        <v>0</v>
      </c>
    </row>
    <row r="110" spans="1:159" x14ac:dyDescent="0.25">
      <c r="A110" s="64" t="s">
        <v>1036</v>
      </c>
      <c r="B110" s="48">
        <v>1</v>
      </c>
      <c r="C110" s="48"/>
      <c r="D110" s="48"/>
      <c r="E110" s="48"/>
      <c r="G110" s="48" t="s">
        <v>946</v>
      </c>
      <c r="H110" s="48">
        <v>0</v>
      </c>
      <c r="I110" s="48"/>
      <c r="J110" s="48"/>
      <c r="K110" s="48"/>
      <c r="L110" s="90"/>
      <c r="M110" s="48" t="s">
        <v>965</v>
      </c>
      <c r="N110" s="48">
        <v>0</v>
      </c>
      <c r="O110" s="48"/>
      <c r="P110" s="48"/>
      <c r="Q110" s="48"/>
      <c r="R110" s="90"/>
      <c r="S110" s="93" t="s">
        <v>988</v>
      </c>
      <c r="T110" s="48">
        <v>0</v>
      </c>
      <c r="U110" s="48"/>
      <c r="V110" s="48"/>
      <c r="W110" s="48"/>
      <c r="X110" s="90"/>
      <c r="Y110" s="48" t="s">
        <v>1010</v>
      </c>
      <c r="Z110" s="48">
        <v>2</v>
      </c>
      <c r="AA110" s="48"/>
      <c r="AB110" s="48"/>
      <c r="AC110" s="48"/>
      <c r="AE110" s="62" t="s">
        <v>292</v>
      </c>
      <c r="AF110" s="45">
        <v>0</v>
      </c>
      <c r="AG110" s="45"/>
      <c r="AH110" s="45"/>
      <c r="AI110" s="45"/>
      <c r="AJ110" s="46"/>
      <c r="AK110" s="64" t="s">
        <v>745</v>
      </c>
      <c r="AL110" s="45">
        <v>0</v>
      </c>
      <c r="AM110" s="45"/>
      <c r="AN110" s="45"/>
      <c r="AQ110" s="63"/>
      <c r="AR110" s="45"/>
      <c r="AS110" s="45"/>
      <c r="AT110" s="45"/>
      <c r="AW110" t="s">
        <v>658</v>
      </c>
      <c r="AX110" s="45">
        <v>0</v>
      </c>
      <c r="AY110" s="45"/>
      <c r="AZ110" s="45"/>
      <c r="BC110" s="63"/>
      <c r="BE110" s="45" t="s">
        <v>774</v>
      </c>
      <c r="BF110" s="45">
        <f>VAR(BD107:BD109)</f>
        <v>0</v>
      </c>
      <c r="BH110" s="46"/>
      <c r="BI110" s="63" t="s">
        <v>847</v>
      </c>
      <c r="BJ110" s="48">
        <v>0</v>
      </c>
      <c r="BK110" s="47" t="s">
        <v>773</v>
      </c>
      <c r="BL110" s="47">
        <f>MAX(BJ108:BJ130)</f>
        <v>1</v>
      </c>
      <c r="BN110" s="46"/>
      <c r="BO110" s="70" t="s">
        <v>868</v>
      </c>
      <c r="BP110" s="45">
        <v>0</v>
      </c>
      <c r="BQ110" s="45" t="s">
        <v>771</v>
      </c>
      <c r="BR110" s="45">
        <f>SUM(BP110:BP134)</f>
        <v>14</v>
      </c>
      <c r="BT110" s="46"/>
      <c r="BU110" s="70" t="s">
        <v>685</v>
      </c>
      <c r="BV110" s="45">
        <v>0</v>
      </c>
      <c r="BW110" s="45"/>
      <c r="BX110" s="45"/>
      <c r="BZ110" s="46"/>
      <c r="CA110" s="70" t="s">
        <v>903</v>
      </c>
      <c r="CB110" s="45">
        <v>0</v>
      </c>
      <c r="CC110" s="45"/>
      <c r="CD110" s="45"/>
      <c r="CF110" s="65"/>
      <c r="CG110" s="73" t="s">
        <v>297</v>
      </c>
      <c r="CH110">
        <v>0</v>
      </c>
      <c r="CL110" s="65"/>
      <c r="CM110" s="73" t="s">
        <v>352</v>
      </c>
      <c r="CN110">
        <v>2</v>
      </c>
      <c r="CO110" s="45" t="s">
        <v>775</v>
      </c>
      <c r="CP110" s="45">
        <f>AVERAGE(CN106:CN132)</f>
        <v>0.43478260869565216</v>
      </c>
      <c r="CR110" s="65"/>
      <c r="CS110" s="73" t="s">
        <v>593</v>
      </c>
      <c r="CT110">
        <v>0</v>
      </c>
      <c r="CU110" s="45" t="s">
        <v>771</v>
      </c>
      <c r="CV110" s="45">
        <f>SUM(CT110:CT115)</f>
        <v>0</v>
      </c>
      <c r="CX110" s="65"/>
      <c r="DD110" s="65"/>
      <c r="DJ110" s="65"/>
      <c r="DK110" s="33" t="s">
        <v>528</v>
      </c>
      <c r="DL110" s="33">
        <v>0</v>
      </c>
      <c r="DP110" s="65"/>
      <c r="DQ110" s="48" t="s">
        <v>1245</v>
      </c>
      <c r="DR110" s="48">
        <v>0</v>
      </c>
      <c r="DS110" s="48"/>
      <c r="DT110" s="48"/>
      <c r="DV110" s="109"/>
      <c r="EH110" s="30" t="s">
        <v>1281</v>
      </c>
      <c r="EI110">
        <v>0</v>
      </c>
      <c r="ET110" s="30" t="s">
        <v>1311</v>
      </c>
      <c r="EU110">
        <v>0</v>
      </c>
      <c r="EZ110" s="30" t="s">
        <v>1324</v>
      </c>
      <c r="FA110">
        <v>0</v>
      </c>
    </row>
    <row r="111" spans="1:159" x14ac:dyDescent="0.25">
      <c r="A111" s="64" t="s">
        <v>1037</v>
      </c>
      <c r="B111" s="48">
        <v>0</v>
      </c>
      <c r="C111" s="48"/>
      <c r="D111" s="48"/>
      <c r="E111" s="48"/>
      <c r="G111" s="48" t="s">
        <v>947</v>
      </c>
      <c r="H111" s="48">
        <v>1</v>
      </c>
      <c r="I111" s="48"/>
      <c r="J111" s="48"/>
      <c r="K111" s="48"/>
      <c r="L111" s="90"/>
      <c r="M111" s="48" t="s">
        <v>966</v>
      </c>
      <c r="N111" s="48">
        <v>0</v>
      </c>
      <c r="O111" s="48"/>
      <c r="P111" s="48"/>
      <c r="Q111" s="48"/>
      <c r="R111" s="90"/>
      <c r="S111" s="93" t="s">
        <v>989</v>
      </c>
      <c r="T111" s="48">
        <v>2</v>
      </c>
      <c r="U111" s="48"/>
      <c r="V111" s="48"/>
      <c r="W111" s="48"/>
      <c r="X111" s="90"/>
      <c r="Y111" s="48" t="s">
        <v>1011</v>
      </c>
      <c r="Z111" s="48">
        <v>0</v>
      </c>
      <c r="AA111" s="48"/>
      <c r="AB111" s="48"/>
      <c r="AC111" s="48"/>
      <c r="AE111" s="62" t="s">
        <v>763</v>
      </c>
      <c r="AF111" s="45">
        <v>1</v>
      </c>
      <c r="AG111" s="45"/>
      <c r="AH111" s="45"/>
      <c r="AI111" s="45"/>
      <c r="AJ111" s="46"/>
      <c r="AK111" s="64" t="s">
        <v>746</v>
      </c>
      <c r="AL111" s="45">
        <v>0</v>
      </c>
      <c r="AM111" s="45"/>
      <c r="AN111" s="45"/>
      <c r="AQ111" s="63"/>
      <c r="AR111" s="45"/>
      <c r="AS111" s="45"/>
      <c r="AT111" s="45"/>
      <c r="AW111" t="s">
        <v>659</v>
      </c>
      <c r="AX111" s="45">
        <v>0</v>
      </c>
      <c r="AY111" s="45"/>
      <c r="AZ111" s="45"/>
      <c r="BC111" s="63"/>
      <c r="BE111" s="45" t="s">
        <v>775</v>
      </c>
      <c r="BF111" s="45">
        <f>AVERAGE(BD107:BD109)</f>
        <v>0</v>
      </c>
      <c r="BH111" s="46"/>
      <c r="BI111" s="63" t="s">
        <v>849</v>
      </c>
      <c r="BJ111" s="48">
        <v>0</v>
      </c>
      <c r="BK111" s="47" t="s">
        <v>774</v>
      </c>
      <c r="BL111" s="47">
        <f>VAR(BJ108:BJ130)</f>
        <v>8.3003952569169967E-2</v>
      </c>
      <c r="BN111" s="46"/>
      <c r="BO111" s="70" t="s">
        <v>871</v>
      </c>
      <c r="BP111" s="45">
        <v>0</v>
      </c>
      <c r="BQ111" s="45" t="s">
        <v>772</v>
      </c>
      <c r="BR111" s="45">
        <f>MIN(BP110:BP134)</f>
        <v>0</v>
      </c>
      <c r="BT111" s="46"/>
      <c r="BU111" s="70" t="s">
        <v>686</v>
      </c>
      <c r="BV111" s="45">
        <v>1</v>
      </c>
      <c r="BW111" s="45"/>
      <c r="BX111" s="45"/>
      <c r="BZ111" s="46"/>
      <c r="CA111" s="70" t="s">
        <v>904</v>
      </c>
      <c r="CB111" s="45">
        <v>3</v>
      </c>
      <c r="CC111" s="45"/>
      <c r="CD111" s="45"/>
      <c r="CF111" s="65"/>
      <c r="CG111" s="73" t="s">
        <v>298</v>
      </c>
      <c r="CH111">
        <v>0</v>
      </c>
      <c r="CL111" s="65"/>
      <c r="CM111" s="73" t="s">
        <v>353</v>
      </c>
      <c r="CN111">
        <v>1</v>
      </c>
      <c r="CO111" s="45" t="s">
        <v>776</v>
      </c>
      <c r="CP111" s="45">
        <f>STDEV(CN106:CN132)</f>
        <v>0.84348233567329989</v>
      </c>
      <c r="CR111" s="65"/>
      <c r="CS111" s="73" t="s">
        <v>594</v>
      </c>
      <c r="CT111">
        <v>0</v>
      </c>
      <c r="CU111" s="45" t="s">
        <v>772</v>
      </c>
      <c r="CV111" s="45">
        <f>MIN(CT110:CT115)</f>
        <v>0</v>
      </c>
      <c r="CX111" s="65"/>
      <c r="DD111" s="65"/>
      <c r="DJ111" s="65"/>
      <c r="DK111" s="33" t="s">
        <v>529</v>
      </c>
      <c r="DL111" s="33">
        <v>0</v>
      </c>
      <c r="DP111" s="65"/>
      <c r="DQ111" s="48" t="s">
        <v>1246</v>
      </c>
      <c r="DR111" s="48">
        <v>0</v>
      </c>
      <c r="DS111" s="48"/>
      <c r="DT111" s="48"/>
      <c r="DV111" s="109"/>
      <c r="EH111" s="30" t="s">
        <v>1282</v>
      </c>
      <c r="EI111">
        <v>1</v>
      </c>
      <c r="ET111" s="30" t="s">
        <v>1312</v>
      </c>
      <c r="EU111">
        <v>0</v>
      </c>
      <c r="EZ111" s="30" t="s">
        <v>1325</v>
      </c>
      <c r="FA111">
        <v>0</v>
      </c>
    </row>
    <row r="112" spans="1:159" x14ac:dyDescent="0.25">
      <c r="A112" s="64" t="s">
        <v>1038</v>
      </c>
      <c r="B112" s="48">
        <v>0</v>
      </c>
      <c r="C112" s="48"/>
      <c r="D112" s="48"/>
      <c r="E112" s="48"/>
      <c r="G112" s="48" t="s">
        <v>948</v>
      </c>
      <c r="H112" s="48">
        <v>0</v>
      </c>
      <c r="I112" s="48"/>
      <c r="J112" s="48"/>
      <c r="K112" s="48"/>
      <c r="L112" s="90"/>
      <c r="M112" s="48" t="s">
        <v>967</v>
      </c>
      <c r="N112" s="48">
        <v>0</v>
      </c>
      <c r="O112" s="48"/>
      <c r="P112" s="48"/>
      <c r="Q112" s="48"/>
      <c r="R112" s="90"/>
      <c r="S112" s="93" t="s">
        <v>990</v>
      </c>
      <c r="T112" s="48">
        <v>0</v>
      </c>
      <c r="U112" s="48"/>
      <c r="V112" s="48"/>
      <c r="W112" s="48"/>
      <c r="X112" s="90"/>
      <c r="Y112" s="48" t="s">
        <v>1012</v>
      </c>
      <c r="Z112" s="48">
        <v>0</v>
      </c>
      <c r="AA112" s="48"/>
      <c r="AB112" s="48"/>
      <c r="AC112" s="48"/>
      <c r="AE112" s="62" t="s">
        <v>764</v>
      </c>
      <c r="AF112" s="45">
        <v>2</v>
      </c>
      <c r="AG112" s="45"/>
      <c r="AH112" s="45"/>
      <c r="AI112" s="45"/>
      <c r="AJ112" s="46"/>
      <c r="AK112" s="64" t="s">
        <v>747</v>
      </c>
      <c r="AL112" s="45">
        <v>0</v>
      </c>
      <c r="AQ112" s="63"/>
      <c r="AR112" s="45"/>
      <c r="AS112" s="45"/>
      <c r="AT112" s="45"/>
      <c r="AW112" t="s">
        <v>660</v>
      </c>
      <c r="AX112" s="45">
        <v>0</v>
      </c>
      <c r="AY112" s="45"/>
      <c r="AZ112" s="45"/>
      <c r="BC112" s="63"/>
      <c r="BE112" s="45" t="s">
        <v>776</v>
      </c>
      <c r="BF112" s="45">
        <f>STDEV(BD107:BD109)</f>
        <v>0</v>
      </c>
      <c r="BH112" s="46"/>
      <c r="BI112" s="63" t="s">
        <v>850</v>
      </c>
      <c r="BJ112" s="48">
        <v>0</v>
      </c>
      <c r="BK112" s="47" t="s">
        <v>775</v>
      </c>
      <c r="BL112" s="47">
        <f>AVERAGE(BJ108:BJ130)</f>
        <v>8.6956521739130432E-2</v>
      </c>
      <c r="BN112" s="46"/>
      <c r="BO112" s="70" t="s">
        <v>869</v>
      </c>
      <c r="BP112" s="45">
        <v>0</v>
      </c>
      <c r="BQ112" s="45" t="s">
        <v>773</v>
      </c>
      <c r="BR112" s="45">
        <f>MAX(BP110:BP134)</f>
        <v>3</v>
      </c>
      <c r="BT112" s="46"/>
      <c r="BU112" s="70" t="s">
        <v>687</v>
      </c>
      <c r="BV112" s="45">
        <v>0</v>
      </c>
      <c r="BW112" s="45"/>
      <c r="BX112" s="45"/>
      <c r="BZ112" s="46"/>
      <c r="CA112" s="70" t="s">
        <v>905</v>
      </c>
      <c r="CB112" s="45">
        <v>0</v>
      </c>
      <c r="CC112" s="45"/>
      <c r="CD112" s="45"/>
      <c r="CF112" s="65"/>
      <c r="CG112" s="73" t="s">
        <v>299</v>
      </c>
      <c r="CH112">
        <v>0</v>
      </c>
      <c r="CL112" s="65"/>
      <c r="CM112" s="73" t="s">
        <v>354</v>
      </c>
      <c r="CN112">
        <v>1</v>
      </c>
      <c r="CR112" s="65"/>
      <c r="CS112" s="73" t="s">
        <v>595</v>
      </c>
      <c r="CT112">
        <v>0</v>
      </c>
      <c r="CU112" s="45" t="s">
        <v>773</v>
      </c>
      <c r="CV112" s="45">
        <f>MAX(CT110:CT115)</f>
        <v>0</v>
      </c>
      <c r="CX112" s="65"/>
      <c r="DD112" s="65"/>
      <c r="DJ112" s="65"/>
      <c r="DK112" s="33" t="s">
        <v>530</v>
      </c>
      <c r="DL112" s="33">
        <v>0</v>
      </c>
      <c r="DP112" s="65"/>
      <c r="DQ112" s="48" t="s">
        <v>1247</v>
      </c>
      <c r="DR112" s="48">
        <v>0</v>
      </c>
      <c r="DS112" s="48"/>
      <c r="DT112" s="48"/>
      <c r="DV112" s="109"/>
      <c r="EH112" s="30" t="s">
        <v>1283</v>
      </c>
      <c r="EI112">
        <v>0</v>
      </c>
      <c r="ET112" s="30" t="s">
        <v>1313</v>
      </c>
      <c r="EU112">
        <v>1</v>
      </c>
      <c r="EZ112" s="30" t="s">
        <v>1326</v>
      </c>
      <c r="FA112">
        <v>0</v>
      </c>
    </row>
    <row r="113" spans="1:157" x14ac:dyDescent="0.25">
      <c r="A113" s="64" t="s">
        <v>1039</v>
      </c>
      <c r="B113" s="48">
        <v>0</v>
      </c>
      <c r="C113" s="48"/>
      <c r="D113" s="48"/>
      <c r="E113" s="48"/>
      <c r="G113" s="90"/>
      <c r="H113" s="131" t="s">
        <v>667</v>
      </c>
      <c r="I113" s="131"/>
      <c r="J113" s="90"/>
      <c r="K113" s="90"/>
      <c r="L113" s="90"/>
      <c r="M113" s="48" t="s">
        <v>348</v>
      </c>
      <c r="N113" s="48">
        <v>0</v>
      </c>
      <c r="O113" s="48"/>
      <c r="P113" s="48"/>
      <c r="Q113" s="48"/>
      <c r="R113" s="90"/>
      <c r="S113" s="93" t="s">
        <v>955</v>
      </c>
      <c r="T113" s="48">
        <v>0</v>
      </c>
      <c r="U113" s="48"/>
      <c r="V113" s="48"/>
      <c r="W113" s="48"/>
      <c r="X113" s="90"/>
      <c r="Y113" s="48" t="s">
        <v>1013</v>
      </c>
      <c r="Z113" s="48">
        <v>0</v>
      </c>
      <c r="AA113" s="48"/>
      <c r="AB113" s="48"/>
      <c r="AC113" s="48"/>
      <c r="AE113" s="62" t="s">
        <v>765</v>
      </c>
      <c r="AF113" s="45">
        <v>1</v>
      </c>
      <c r="AG113" s="45"/>
      <c r="AH113" s="45"/>
      <c r="AI113" s="45"/>
      <c r="AJ113" s="46"/>
      <c r="AK113" s="64" t="s">
        <v>748</v>
      </c>
      <c r="AL113" s="45">
        <v>0</v>
      </c>
      <c r="AQ113" s="63"/>
      <c r="AR113" s="45"/>
      <c r="AS113" s="45"/>
      <c r="AT113" s="45"/>
      <c r="AW113" t="s">
        <v>661</v>
      </c>
      <c r="AX113" s="45">
        <v>0</v>
      </c>
      <c r="AY113" s="45"/>
      <c r="AZ113" s="45"/>
      <c r="BE113" s="45"/>
      <c r="BF113" s="45"/>
      <c r="BH113" s="46"/>
      <c r="BI113" s="63" t="s">
        <v>851</v>
      </c>
      <c r="BJ113" s="48">
        <v>0</v>
      </c>
      <c r="BK113" s="47" t="s">
        <v>776</v>
      </c>
      <c r="BL113" s="47">
        <f>STDEV(BJ108:BJ130)</f>
        <v>0.28810406552003037</v>
      </c>
      <c r="BN113" s="46"/>
      <c r="BO113" s="70" t="s">
        <v>870</v>
      </c>
      <c r="BP113" s="45">
        <v>0</v>
      </c>
      <c r="BQ113" s="45" t="s">
        <v>774</v>
      </c>
      <c r="BR113" s="45">
        <f>VAR(BP110:BP134)</f>
        <v>0.67333333333333334</v>
      </c>
      <c r="BT113" s="46"/>
      <c r="BU113" s="70" t="s">
        <v>688</v>
      </c>
      <c r="BV113" s="45">
        <v>0</v>
      </c>
      <c r="BZ113" s="46"/>
      <c r="CA113" s="70" t="s">
        <v>399</v>
      </c>
      <c r="CB113" s="45">
        <v>0</v>
      </c>
      <c r="CF113" s="65"/>
      <c r="CG113" s="73" t="s">
        <v>300</v>
      </c>
      <c r="CH113">
        <v>0</v>
      </c>
      <c r="CL113" s="65"/>
      <c r="CM113" s="73" t="s">
        <v>355</v>
      </c>
      <c r="CN113">
        <v>0</v>
      </c>
      <c r="CR113" s="65"/>
      <c r="CS113" s="63"/>
      <c r="CU113" s="45" t="s">
        <v>774</v>
      </c>
      <c r="CV113" s="45">
        <f>VAR(CT110:CT115)</f>
        <v>0</v>
      </c>
      <c r="CX113" s="65"/>
      <c r="DD113" s="65"/>
      <c r="DJ113" s="65"/>
      <c r="DK113" s="33" t="s">
        <v>531</v>
      </c>
      <c r="DL113" s="33">
        <v>0</v>
      </c>
      <c r="DP113" s="65"/>
      <c r="DQ113" s="48" t="s">
        <v>1248</v>
      </c>
      <c r="DR113" s="48">
        <v>0</v>
      </c>
      <c r="DS113" s="48"/>
      <c r="DT113" s="48"/>
      <c r="DV113" s="109"/>
      <c r="EH113" s="30" t="s">
        <v>1284</v>
      </c>
      <c r="EI113">
        <v>0</v>
      </c>
      <c r="ET113" s="30" t="s">
        <v>1314</v>
      </c>
      <c r="EU113">
        <v>0</v>
      </c>
      <c r="EZ113" s="30" t="s">
        <v>1327</v>
      </c>
      <c r="FA113">
        <v>0</v>
      </c>
    </row>
    <row r="114" spans="1:157" x14ac:dyDescent="0.25">
      <c r="A114" s="64" t="s">
        <v>692</v>
      </c>
      <c r="B114" s="48">
        <v>0</v>
      </c>
      <c r="C114" s="48"/>
      <c r="D114" s="48"/>
      <c r="E114" s="48"/>
      <c r="G114" s="48" t="s">
        <v>949</v>
      </c>
      <c r="H114" s="48">
        <v>0</v>
      </c>
      <c r="I114" s="48"/>
      <c r="J114" s="48"/>
      <c r="K114" s="48"/>
      <c r="L114" s="90"/>
      <c r="M114" s="48" t="s">
        <v>968</v>
      </c>
      <c r="N114" s="48">
        <v>0</v>
      </c>
      <c r="O114" s="48"/>
      <c r="P114" s="48"/>
      <c r="Q114" s="48"/>
      <c r="R114" s="90"/>
      <c r="S114" s="93" t="s">
        <v>991</v>
      </c>
      <c r="T114" s="48">
        <v>0</v>
      </c>
      <c r="U114" s="48"/>
      <c r="V114" s="48"/>
      <c r="W114" s="48"/>
      <c r="X114" s="90"/>
      <c r="Y114" s="48" t="s">
        <v>1014</v>
      </c>
      <c r="Z114" s="48">
        <v>0</v>
      </c>
      <c r="AA114" s="48"/>
      <c r="AB114" s="48"/>
      <c r="AC114" s="48"/>
      <c r="AF114" s="45"/>
      <c r="AI114" s="45"/>
      <c r="AJ114" s="46"/>
      <c r="AK114" s="64" t="s">
        <v>519</v>
      </c>
      <c r="AL114" s="45">
        <v>0</v>
      </c>
      <c r="AQ114" s="63"/>
      <c r="AR114" s="45"/>
      <c r="AS114" s="45"/>
      <c r="AT114" s="45"/>
      <c r="AW114" t="s">
        <v>662</v>
      </c>
      <c r="AX114" s="45">
        <v>0</v>
      </c>
      <c r="AY114" s="45"/>
      <c r="AZ114" s="45"/>
      <c r="BE114" s="45"/>
      <c r="BF114" s="45"/>
      <c r="BH114" s="46"/>
      <c r="BI114" s="63" t="s">
        <v>852</v>
      </c>
      <c r="BJ114" s="48">
        <v>0</v>
      </c>
      <c r="BN114" s="46"/>
      <c r="BO114" s="70" t="s">
        <v>872</v>
      </c>
      <c r="BP114" s="45">
        <v>0</v>
      </c>
      <c r="BQ114" s="45" t="s">
        <v>775</v>
      </c>
      <c r="BR114" s="45">
        <f>AVERAGE(BP110:BP134)</f>
        <v>0.56000000000000005</v>
      </c>
      <c r="BT114" s="46"/>
      <c r="BU114" s="70" t="s">
        <v>689</v>
      </c>
      <c r="BV114" s="45">
        <v>0</v>
      </c>
      <c r="BZ114" s="46"/>
      <c r="CA114" s="70" t="s">
        <v>877</v>
      </c>
      <c r="CB114" s="45">
        <v>0</v>
      </c>
      <c r="CF114" s="65"/>
      <c r="CG114" s="73" t="s">
        <v>301</v>
      </c>
      <c r="CH114">
        <v>0</v>
      </c>
      <c r="CL114" s="65"/>
      <c r="CM114" s="73" t="s">
        <v>356</v>
      </c>
      <c r="CN114">
        <v>0</v>
      </c>
      <c r="CR114" s="65"/>
      <c r="CS114" s="63"/>
      <c r="CU114" s="45" t="s">
        <v>775</v>
      </c>
      <c r="CV114" s="45">
        <f>AVERAGE(CT110:CT115)</f>
        <v>0</v>
      </c>
      <c r="CX114" s="65"/>
      <c r="DD114" s="65"/>
      <c r="DJ114" s="65"/>
      <c r="DK114" s="33" t="s">
        <v>532</v>
      </c>
      <c r="DL114" s="33">
        <v>0</v>
      </c>
      <c r="DP114" s="65"/>
      <c r="DQ114" s="48" t="s">
        <v>1249</v>
      </c>
      <c r="DR114" s="48">
        <v>0</v>
      </c>
      <c r="DS114" s="48"/>
      <c r="DT114" s="48"/>
      <c r="DV114" s="109"/>
      <c r="EH114" s="30" t="s">
        <v>1285</v>
      </c>
      <c r="EI114">
        <v>0</v>
      </c>
      <c r="ET114" s="30" t="s">
        <v>1315</v>
      </c>
      <c r="EU114">
        <v>0</v>
      </c>
      <c r="EZ114" s="30" t="s">
        <v>1328</v>
      </c>
      <c r="FA114">
        <v>0</v>
      </c>
    </row>
    <row r="115" spans="1:157" x14ac:dyDescent="0.25">
      <c r="A115" s="64" t="s">
        <v>1040</v>
      </c>
      <c r="B115" s="48">
        <v>0</v>
      </c>
      <c r="C115" s="48"/>
      <c r="D115" s="48"/>
      <c r="E115" s="48"/>
      <c r="G115" s="48" t="s">
        <v>950</v>
      </c>
      <c r="H115" s="48">
        <v>0</v>
      </c>
      <c r="I115" s="48"/>
      <c r="J115" s="48"/>
      <c r="K115" s="48"/>
      <c r="L115" s="90"/>
      <c r="M115" s="48" t="s">
        <v>969</v>
      </c>
      <c r="N115" s="48">
        <v>0</v>
      </c>
      <c r="O115" s="48"/>
      <c r="P115" s="48"/>
      <c r="Q115" s="48"/>
      <c r="R115" s="90"/>
      <c r="S115" s="93" t="s">
        <v>992</v>
      </c>
      <c r="T115" s="48">
        <v>0</v>
      </c>
      <c r="U115" s="48"/>
      <c r="V115" s="48"/>
      <c r="W115" s="48"/>
      <c r="X115" s="90"/>
      <c r="Y115" s="48" t="s">
        <v>1015</v>
      </c>
      <c r="Z115" s="48">
        <v>0</v>
      </c>
      <c r="AA115" s="48"/>
      <c r="AB115" s="48"/>
      <c r="AC115" s="48"/>
      <c r="AF115" s="45"/>
      <c r="AJ115" s="46"/>
      <c r="AK115" s="64" t="s">
        <v>749</v>
      </c>
      <c r="AL115" s="45">
        <v>1</v>
      </c>
      <c r="AQ115" s="63"/>
      <c r="AR115" s="45"/>
      <c r="AS115" s="45"/>
      <c r="AT115" s="45"/>
      <c r="AW115" t="s">
        <v>663</v>
      </c>
      <c r="AX115" s="45">
        <v>0</v>
      </c>
      <c r="AY115" s="45"/>
      <c r="AZ115" s="45"/>
      <c r="BC115" s="31" t="s">
        <v>667</v>
      </c>
      <c r="BD115" t="s">
        <v>344</v>
      </c>
      <c r="BE115" s="45" t="s">
        <v>769</v>
      </c>
      <c r="BF115" s="45" t="s">
        <v>770</v>
      </c>
      <c r="BH115" s="46"/>
      <c r="BI115" s="63" t="s">
        <v>853</v>
      </c>
      <c r="BJ115" s="48">
        <v>0</v>
      </c>
      <c r="BN115" s="46"/>
      <c r="BO115" s="70" t="s">
        <v>873</v>
      </c>
      <c r="BP115" s="45">
        <v>0</v>
      </c>
      <c r="BQ115" s="45" t="s">
        <v>776</v>
      </c>
      <c r="BR115" s="45">
        <f>STDEV(BP110:BP134)</f>
        <v>0.82056890833941143</v>
      </c>
      <c r="BT115" s="46"/>
      <c r="BU115" s="70" t="s">
        <v>690</v>
      </c>
      <c r="BV115" s="45">
        <v>0</v>
      </c>
      <c r="BZ115" s="46"/>
      <c r="CA115" s="70" t="s">
        <v>906</v>
      </c>
      <c r="CB115" s="45">
        <v>0</v>
      </c>
      <c r="CF115" s="65"/>
      <c r="CG115" s="73" t="s">
        <v>302</v>
      </c>
      <c r="CH115">
        <v>3</v>
      </c>
      <c r="CL115" s="65"/>
      <c r="CM115" s="73" t="s">
        <v>357</v>
      </c>
      <c r="CN115">
        <v>0</v>
      </c>
      <c r="CR115" s="65"/>
      <c r="CS115" s="63"/>
      <c r="CU115" s="45" t="s">
        <v>776</v>
      </c>
      <c r="CV115" s="45">
        <f>STDEV(CT110:CT115)</f>
        <v>0</v>
      </c>
      <c r="CX115" s="65"/>
      <c r="DD115" s="65"/>
      <c r="DJ115" s="65"/>
      <c r="DK115" s="33" t="s">
        <v>533</v>
      </c>
      <c r="DL115" s="33">
        <v>0</v>
      </c>
      <c r="DP115" s="65"/>
      <c r="DQ115" s="48" t="s">
        <v>650</v>
      </c>
      <c r="DR115" s="48">
        <v>0</v>
      </c>
      <c r="DS115" s="48"/>
      <c r="DT115" s="48"/>
      <c r="DV115" s="109"/>
      <c r="EH115" s="30" t="s">
        <v>1286</v>
      </c>
      <c r="EI115">
        <v>0</v>
      </c>
      <c r="ET115" s="30" t="s">
        <v>1316</v>
      </c>
      <c r="EU115">
        <v>0</v>
      </c>
      <c r="EZ115" s="30" t="s">
        <v>1329</v>
      </c>
      <c r="FA115">
        <v>0</v>
      </c>
    </row>
    <row r="116" spans="1:157" x14ac:dyDescent="0.25">
      <c r="A116" s="64" t="s">
        <v>1041</v>
      </c>
      <c r="B116" s="48">
        <v>0</v>
      </c>
      <c r="C116" s="48"/>
      <c r="D116" s="48"/>
      <c r="E116" s="48"/>
      <c r="G116" s="48" t="s">
        <v>951</v>
      </c>
      <c r="H116" s="48">
        <v>0</v>
      </c>
      <c r="I116" s="48"/>
      <c r="J116" s="48"/>
      <c r="K116" s="48"/>
      <c r="L116" s="90"/>
      <c r="M116" s="48" t="s">
        <v>970</v>
      </c>
      <c r="N116" s="48">
        <v>0</v>
      </c>
      <c r="O116" s="48"/>
      <c r="P116" s="48"/>
      <c r="Q116" s="48"/>
      <c r="R116" s="90"/>
      <c r="S116" s="93" t="s">
        <v>993</v>
      </c>
      <c r="T116" s="48">
        <v>0</v>
      </c>
      <c r="U116" s="48"/>
      <c r="V116" s="48"/>
      <c r="W116" s="48"/>
      <c r="X116" s="90"/>
      <c r="Y116" s="48" t="s">
        <v>1016</v>
      </c>
      <c r="Z116" s="48">
        <v>0</v>
      </c>
      <c r="AA116" s="48"/>
      <c r="AB116" s="48"/>
      <c r="AC116" s="48"/>
      <c r="AF116" s="45"/>
      <c r="AJ116" s="46"/>
      <c r="AK116" s="64" t="s">
        <v>750</v>
      </c>
      <c r="AL116" s="45">
        <v>0</v>
      </c>
      <c r="AW116" t="s">
        <v>664</v>
      </c>
      <c r="AX116" s="45">
        <v>0</v>
      </c>
      <c r="BC116" s="63" t="s">
        <v>655</v>
      </c>
      <c r="BD116">
        <v>0</v>
      </c>
      <c r="BE116" s="45" t="s">
        <v>771</v>
      </c>
      <c r="BF116" s="45">
        <f>SUM(BD116:BD137)</f>
        <v>4</v>
      </c>
      <c r="BH116" s="46"/>
      <c r="BI116" s="63" t="s">
        <v>854</v>
      </c>
      <c r="BJ116" s="48">
        <v>0</v>
      </c>
      <c r="BN116" s="46"/>
      <c r="BO116" s="70" t="s">
        <v>874</v>
      </c>
      <c r="BP116" s="45">
        <v>1</v>
      </c>
      <c r="BQ116" s="45"/>
      <c r="BR116" s="45"/>
      <c r="BT116" s="46"/>
      <c r="BU116" s="70" t="s">
        <v>691</v>
      </c>
      <c r="BV116" s="45">
        <v>0</v>
      </c>
      <c r="BZ116" s="46"/>
      <c r="CA116" s="70" t="s">
        <v>706</v>
      </c>
      <c r="CB116" s="45">
        <v>2</v>
      </c>
      <c r="CF116" s="65"/>
      <c r="CG116" s="73" t="s">
        <v>303</v>
      </c>
      <c r="CH116">
        <v>0</v>
      </c>
      <c r="CL116" s="65"/>
      <c r="CM116" s="73" t="s">
        <v>358</v>
      </c>
      <c r="CN116">
        <v>0</v>
      </c>
      <c r="CR116" s="65"/>
      <c r="CS116" s="63"/>
      <c r="CU116" s="45"/>
      <c r="CV116" s="45"/>
      <c r="CX116" s="65"/>
      <c r="DD116" s="65"/>
      <c r="DJ116" s="65"/>
      <c r="DK116" s="33" t="s">
        <v>534</v>
      </c>
      <c r="DL116" s="33">
        <v>0</v>
      </c>
      <c r="DP116" s="65"/>
      <c r="DQ116" s="48" t="s">
        <v>1250</v>
      </c>
      <c r="DR116" s="48">
        <v>0</v>
      </c>
      <c r="DS116" s="48"/>
      <c r="DT116" s="48"/>
      <c r="DV116" s="109"/>
      <c r="EH116" s="30" t="s">
        <v>1287</v>
      </c>
      <c r="EI116">
        <v>0</v>
      </c>
      <c r="ET116" s="30" t="s">
        <v>1317</v>
      </c>
      <c r="EU116">
        <v>0</v>
      </c>
      <c r="EZ116" s="30" t="s">
        <v>1330</v>
      </c>
      <c r="FA116">
        <v>0</v>
      </c>
    </row>
    <row r="117" spans="1:157" x14ac:dyDescent="0.25">
      <c r="A117" s="64" t="s">
        <v>1042</v>
      </c>
      <c r="B117" s="48">
        <v>0</v>
      </c>
      <c r="C117" s="48"/>
      <c r="D117" s="48"/>
      <c r="E117" s="48"/>
      <c r="G117" s="48" t="s">
        <v>952</v>
      </c>
      <c r="H117" s="48">
        <v>0</v>
      </c>
      <c r="I117" s="48"/>
      <c r="J117" s="48"/>
      <c r="K117" s="48"/>
      <c r="L117" s="90"/>
      <c r="M117" s="48" t="s">
        <v>971</v>
      </c>
      <c r="N117" s="48">
        <v>0</v>
      </c>
      <c r="O117" s="48"/>
      <c r="P117" s="48"/>
      <c r="Q117" s="48"/>
      <c r="R117" s="90"/>
      <c r="S117" s="93" t="s">
        <v>994</v>
      </c>
      <c r="T117" s="48">
        <v>0</v>
      </c>
      <c r="U117" s="48"/>
      <c r="V117" s="48"/>
      <c r="W117" s="48"/>
      <c r="X117" s="90"/>
      <c r="Y117" s="48" t="s">
        <v>1017</v>
      </c>
      <c r="Z117" s="48">
        <v>0</v>
      </c>
      <c r="AA117" s="48"/>
      <c r="AB117" s="48"/>
      <c r="AC117" s="48"/>
      <c r="AF117" s="45"/>
      <c r="AJ117" s="46"/>
      <c r="AK117" s="64" t="s">
        <v>354</v>
      </c>
      <c r="AL117" s="45">
        <v>0</v>
      </c>
      <c r="AW117" t="s">
        <v>665</v>
      </c>
      <c r="AX117" s="45">
        <v>0</v>
      </c>
      <c r="BC117" s="63" t="s">
        <v>719</v>
      </c>
      <c r="BD117">
        <v>0</v>
      </c>
      <c r="BE117" s="45" t="s">
        <v>772</v>
      </c>
      <c r="BF117" s="45">
        <f>MIN(BD116:BD137)</f>
        <v>0</v>
      </c>
      <c r="BH117" s="46"/>
      <c r="BI117" s="63" t="s">
        <v>855</v>
      </c>
      <c r="BJ117" s="48">
        <v>0</v>
      </c>
      <c r="BN117" s="46"/>
      <c r="BO117" s="70" t="s">
        <v>875</v>
      </c>
      <c r="BP117" s="45">
        <v>1</v>
      </c>
      <c r="BQ117" s="45"/>
      <c r="BR117" s="45"/>
      <c r="BT117" s="46"/>
      <c r="BU117" s="30" t="s">
        <v>692</v>
      </c>
      <c r="BV117" s="45">
        <v>1</v>
      </c>
      <c r="BZ117" s="46"/>
      <c r="CA117" s="70" t="s">
        <v>707</v>
      </c>
      <c r="CB117" s="45">
        <v>0</v>
      </c>
      <c r="CF117" s="65"/>
      <c r="CG117" s="73" t="s">
        <v>304</v>
      </c>
      <c r="CH117">
        <v>0</v>
      </c>
      <c r="CL117" s="65"/>
      <c r="CM117" s="73" t="s">
        <v>359</v>
      </c>
      <c r="CN117">
        <v>0</v>
      </c>
      <c r="CR117" s="65"/>
      <c r="CS117" s="63"/>
      <c r="CU117" s="45"/>
      <c r="CV117" s="45"/>
      <c r="CX117" s="65"/>
      <c r="DD117" s="65"/>
      <c r="DJ117" s="65"/>
      <c r="DK117" s="33" t="s">
        <v>535</v>
      </c>
      <c r="DL117" s="33">
        <v>0</v>
      </c>
      <c r="DP117" s="65"/>
      <c r="DQ117" s="48" t="s">
        <v>1251</v>
      </c>
      <c r="DR117" s="48">
        <v>0</v>
      </c>
      <c r="DS117" s="48"/>
      <c r="DT117" s="48"/>
      <c r="DV117" s="109"/>
      <c r="EH117" s="30" t="s">
        <v>1288</v>
      </c>
      <c r="EI117">
        <v>0</v>
      </c>
      <c r="EZ117" s="30" t="s">
        <v>1331</v>
      </c>
      <c r="FA117">
        <v>0</v>
      </c>
    </row>
    <row r="118" spans="1:157" x14ac:dyDescent="0.25">
      <c r="A118" s="64" t="s">
        <v>1043</v>
      </c>
      <c r="B118" s="48">
        <v>0</v>
      </c>
      <c r="C118" s="48"/>
      <c r="D118" s="48"/>
      <c r="E118" s="48"/>
      <c r="G118" s="48" t="s">
        <v>953</v>
      </c>
      <c r="H118" s="48">
        <v>0</v>
      </c>
      <c r="I118" s="48"/>
      <c r="J118" s="48"/>
      <c r="K118" s="48"/>
      <c r="L118" s="90"/>
      <c r="M118" s="48" t="s">
        <v>972</v>
      </c>
      <c r="N118" s="48">
        <v>0</v>
      </c>
      <c r="O118" s="48"/>
      <c r="P118" s="48"/>
      <c r="Q118" s="48"/>
      <c r="R118" s="90"/>
      <c r="S118" s="90"/>
      <c r="T118" s="131" t="s">
        <v>667</v>
      </c>
      <c r="U118" s="131"/>
      <c r="V118" s="90"/>
      <c r="W118" s="90"/>
      <c r="X118" s="90"/>
      <c r="Y118" s="48" t="s">
        <v>1018</v>
      </c>
      <c r="Z118" s="48">
        <v>0</v>
      </c>
      <c r="AA118" s="48"/>
      <c r="AB118" s="48"/>
      <c r="AC118" s="48"/>
      <c r="AJ118" s="46"/>
      <c r="AK118" s="64" t="s">
        <v>647</v>
      </c>
      <c r="AL118" s="45">
        <v>0</v>
      </c>
      <c r="AQ118" s="45"/>
      <c r="AW118" s="47"/>
      <c r="AX118" s="45"/>
      <c r="BC118" s="63" t="s">
        <v>720</v>
      </c>
      <c r="BD118">
        <v>0</v>
      </c>
      <c r="BE118" s="45" t="s">
        <v>773</v>
      </c>
      <c r="BF118" s="45">
        <f>MAX(BD116:BD137)</f>
        <v>2</v>
      </c>
      <c r="BH118" s="46"/>
      <c r="BI118" s="63" t="s">
        <v>677</v>
      </c>
      <c r="BJ118" s="48">
        <v>0</v>
      </c>
      <c r="BN118" s="46"/>
      <c r="BO118" s="70" t="s">
        <v>876</v>
      </c>
      <c r="BP118" s="45">
        <v>1</v>
      </c>
      <c r="BQ118" s="45"/>
      <c r="BR118" s="45"/>
      <c r="BT118" s="46"/>
      <c r="BU118" s="70" t="s">
        <v>693</v>
      </c>
      <c r="BV118" s="45">
        <v>0</v>
      </c>
      <c r="BZ118" s="46"/>
      <c r="CA118" s="70" t="s">
        <v>708</v>
      </c>
      <c r="CB118" s="45">
        <v>0</v>
      </c>
      <c r="CF118" s="65"/>
      <c r="CG118" s="73" t="s">
        <v>305</v>
      </c>
      <c r="CH118">
        <v>0</v>
      </c>
      <c r="CL118" s="65"/>
      <c r="CM118" s="73" t="s">
        <v>360</v>
      </c>
      <c r="CN118">
        <v>1</v>
      </c>
      <c r="CR118" s="65"/>
      <c r="CS118" s="31" t="s">
        <v>667</v>
      </c>
      <c r="CT118" s="45" t="s">
        <v>344</v>
      </c>
      <c r="CU118" s="45" t="s">
        <v>769</v>
      </c>
      <c r="CV118" s="45" t="s">
        <v>770</v>
      </c>
      <c r="CX118" s="65"/>
      <c r="DD118" s="65"/>
      <c r="DJ118" s="65"/>
      <c r="DK118" s="33" t="s">
        <v>536</v>
      </c>
      <c r="DL118" s="33">
        <v>0</v>
      </c>
      <c r="DP118" s="65"/>
      <c r="DQ118" s="48" t="s">
        <v>1252</v>
      </c>
      <c r="DR118" s="48">
        <v>0</v>
      </c>
      <c r="DS118" s="48"/>
      <c r="DT118" s="48"/>
      <c r="DV118" s="109"/>
      <c r="EH118" s="30" t="s">
        <v>1289</v>
      </c>
      <c r="EI118">
        <v>0</v>
      </c>
      <c r="EZ118" s="30" t="s">
        <v>1332</v>
      </c>
      <c r="FA118">
        <v>0</v>
      </c>
    </row>
    <row r="119" spans="1:157" x14ac:dyDescent="0.25">
      <c r="A119" s="64" t="s">
        <v>694</v>
      </c>
      <c r="B119" s="48">
        <v>0</v>
      </c>
      <c r="C119" s="48"/>
      <c r="D119" s="48"/>
      <c r="E119" s="48"/>
      <c r="G119" s="48"/>
      <c r="H119" s="48"/>
      <c r="I119" s="48"/>
      <c r="J119" s="48"/>
      <c r="K119" s="48"/>
      <c r="L119" s="90"/>
      <c r="M119" s="48" t="s">
        <v>973</v>
      </c>
      <c r="N119" s="48">
        <v>0</v>
      </c>
      <c r="O119" s="48"/>
      <c r="P119" s="48"/>
      <c r="Q119" s="48"/>
      <c r="R119" s="90"/>
      <c r="S119" s="93" t="s">
        <v>996</v>
      </c>
      <c r="T119" s="48">
        <v>0</v>
      </c>
      <c r="U119" s="48"/>
      <c r="V119" s="48"/>
      <c r="W119" s="48"/>
      <c r="X119" s="90"/>
      <c r="Y119" s="48" t="s">
        <v>1019</v>
      </c>
      <c r="Z119" s="48">
        <v>0</v>
      </c>
      <c r="AA119" s="48"/>
      <c r="AB119" s="48"/>
      <c r="AC119" s="48"/>
      <c r="AJ119" s="46"/>
      <c r="AK119" s="64" t="s">
        <v>751</v>
      </c>
      <c r="AL119" s="45">
        <v>0</v>
      </c>
      <c r="AQ119" s="45"/>
      <c r="AR119" s="45"/>
      <c r="AS119" s="45"/>
      <c r="AT119" s="45"/>
      <c r="AW119" s="47"/>
      <c r="AX119" s="45"/>
      <c r="BC119" s="63" t="s">
        <v>721</v>
      </c>
      <c r="BD119">
        <v>0</v>
      </c>
      <c r="BE119" s="45" t="s">
        <v>774</v>
      </c>
      <c r="BF119" s="45">
        <f>VAR(BD116:BD137)</f>
        <v>0.25108225108225107</v>
      </c>
      <c r="BH119" s="46"/>
      <c r="BI119" s="63" t="s">
        <v>856</v>
      </c>
      <c r="BJ119" s="48">
        <v>0</v>
      </c>
      <c r="BN119" s="46"/>
      <c r="BO119" s="70" t="s">
        <v>877</v>
      </c>
      <c r="BP119" s="45">
        <v>0</v>
      </c>
      <c r="BQ119" s="45"/>
      <c r="BR119" s="45"/>
      <c r="BT119" s="46"/>
      <c r="BU119" s="70" t="s">
        <v>694</v>
      </c>
      <c r="BV119" s="45">
        <v>0</v>
      </c>
      <c r="BZ119" s="46"/>
      <c r="CA119" s="70" t="s">
        <v>709</v>
      </c>
      <c r="CB119" s="45">
        <v>1</v>
      </c>
      <c r="CF119" s="65"/>
      <c r="CG119" s="73" t="s">
        <v>306</v>
      </c>
      <c r="CH119">
        <v>1</v>
      </c>
      <c r="CL119" s="65"/>
      <c r="CM119" s="73" t="s">
        <v>361</v>
      </c>
      <c r="CN119">
        <v>0</v>
      </c>
      <c r="CR119" s="65"/>
      <c r="CS119" s="73" t="s">
        <v>596</v>
      </c>
      <c r="CT119">
        <v>0</v>
      </c>
      <c r="CU119" s="45" t="s">
        <v>771</v>
      </c>
      <c r="CV119" s="45">
        <f>SUM(CT119:CT127)</f>
        <v>0</v>
      </c>
      <c r="CX119" s="65"/>
      <c r="DD119" s="65"/>
      <c r="DJ119" s="65"/>
      <c r="DK119" s="33" t="s">
        <v>537</v>
      </c>
      <c r="DL119" s="33">
        <v>0</v>
      </c>
      <c r="DP119" s="65"/>
      <c r="DQ119" s="48" t="s">
        <v>1253</v>
      </c>
      <c r="DR119" s="48">
        <v>0</v>
      </c>
      <c r="DS119" s="48"/>
      <c r="DT119" s="48"/>
      <c r="DV119" s="109"/>
      <c r="EH119" s="30" t="s">
        <v>1290</v>
      </c>
      <c r="EI119">
        <v>0</v>
      </c>
      <c r="EZ119" s="30" t="s">
        <v>1333</v>
      </c>
      <c r="FA119">
        <v>0</v>
      </c>
    </row>
    <row r="120" spans="1:157" x14ac:dyDescent="0.25">
      <c r="A120" s="64" t="s">
        <v>1044</v>
      </c>
      <c r="B120" s="48">
        <v>0</v>
      </c>
      <c r="C120" s="48"/>
      <c r="D120" s="48"/>
      <c r="E120" s="48"/>
      <c r="G120" s="48"/>
      <c r="H120" s="48"/>
      <c r="I120" s="48"/>
      <c r="J120" s="48"/>
      <c r="K120" s="48"/>
      <c r="L120" s="90"/>
      <c r="M120" s="48" t="s">
        <v>765</v>
      </c>
      <c r="N120" s="48">
        <v>0</v>
      </c>
      <c r="O120" s="48"/>
      <c r="P120" s="48"/>
      <c r="Q120" s="48"/>
      <c r="R120" s="90"/>
      <c r="S120" s="93" t="s">
        <v>997</v>
      </c>
      <c r="T120" s="48">
        <v>0</v>
      </c>
      <c r="U120" s="48"/>
      <c r="V120" s="48"/>
      <c r="W120" s="48"/>
      <c r="X120" s="90"/>
      <c r="Y120" s="48" t="s">
        <v>1020</v>
      </c>
      <c r="Z120" s="48">
        <v>0</v>
      </c>
      <c r="AA120" s="48"/>
      <c r="AB120" s="48"/>
      <c r="AC120" s="48"/>
      <c r="AE120" s="45"/>
      <c r="AF120" s="45"/>
      <c r="AG120" s="45"/>
      <c r="AH120" s="45"/>
      <c r="AJ120" s="46"/>
      <c r="AK120" s="64" t="s">
        <v>752</v>
      </c>
      <c r="AL120" s="45">
        <v>0</v>
      </c>
      <c r="AQ120" s="63"/>
      <c r="AR120" s="45"/>
      <c r="AS120" s="45"/>
      <c r="AT120" s="45"/>
      <c r="AW120" s="31" t="s">
        <v>667</v>
      </c>
      <c r="AX120" s="45" t="s">
        <v>344</v>
      </c>
      <c r="AY120" s="45" t="s">
        <v>769</v>
      </c>
      <c r="AZ120" s="45" t="s">
        <v>770</v>
      </c>
      <c r="BC120" s="63" t="s">
        <v>679</v>
      </c>
      <c r="BD120">
        <v>0</v>
      </c>
      <c r="BE120" s="45" t="s">
        <v>775</v>
      </c>
      <c r="BF120" s="45">
        <f>AVERAGE(BD116:BD137)</f>
        <v>0.18181818181818182</v>
      </c>
      <c r="BH120" s="46"/>
      <c r="BI120" s="63" t="s">
        <v>857</v>
      </c>
      <c r="BJ120" s="48">
        <v>0</v>
      </c>
      <c r="BN120" s="46"/>
      <c r="BO120" s="70" t="s">
        <v>878</v>
      </c>
      <c r="BP120" s="45">
        <v>0</v>
      </c>
      <c r="BQ120" s="45"/>
      <c r="BR120" s="45"/>
      <c r="BT120" s="46"/>
      <c r="BU120" s="70" t="s">
        <v>695</v>
      </c>
      <c r="BV120" s="45">
        <v>0</v>
      </c>
      <c r="BZ120" s="46"/>
      <c r="CA120" s="70" t="s">
        <v>710</v>
      </c>
      <c r="CB120" s="45">
        <v>0</v>
      </c>
      <c r="CF120" s="65"/>
      <c r="CG120" s="73" t="s">
        <v>307</v>
      </c>
      <c r="CH120">
        <v>0</v>
      </c>
      <c r="CL120" s="65"/>
      <c r="CM120" s="73" t="s">
        <v>362</v>
      </c>
      <c r="CN120">
        <v>0</v>
      </c>
      <c r="CR120" s="65"/>
      <c r="CS120" s="73" t="s">
        <v>597</v>
      </c>
      <c r="CT120">
        <v>0</v>
      </c>
      <c r="CU120" s="45" t="s">
        <v>772</v>
      </c>
      <c r="CV120" s="45">
        <f>MIN(CT119:CT127)</f>
        <v>0</v>
      </c>
      <c r="CX120" s="65"/>
      <c r="DD120" s="65"/>
      <c r="DJ120" s="65"/>
      <c r="DK120" s="33" t="s">
        <v>538</v>
      </c>
      <c r="DL120" s="33">
        <v>0</v>
      </c>
      <c r="DP120" s="65"/>
      <c r="DV120" s="109"/>
      <c r="EH120" s="30" t="s">
        <v>1291</v>
      </c>
      <c r="EI120">
        <v>0</v>
      </c>
      <c r="EZ120" s="30" t="s">
        <v>1044</v>
      </c>
      <c r="FA120">
        <v>0</v>
      </c>
    </row>
    <row r="121" spans="1:157" x14ac:dyDescent="0.25">
      <c r="A121" s="64" t="s">
        <v>1045</v>
      </c>
      <c r="B121" s="48">
        <v>0</v>
      </c>
      <c r="C121" s="48"/>
      <c r="D121" s="48"/>
      <c r="E121" s="48"/>
      <c r="G121" s="48"/>
      <c r="H121" s="48"/>
      <c r="I121" s="48"/>
      <c r="J121" s="48"/>
      <c r="K121" s="48"/>
      <c r="L121" s="90"/>
      <c r="M121" s="48" t="s">
        <v>974</v>
      </c>
      <c r="N121" s="48">
        <v>0</v>
      </c>
      <c r="O121" s="48"/>
      <c r="P121" s="48"/>
      <c r="Q121" s="48"/>
      <c r="R121" s="90"/>
      <c r="S121" s="93" t="s">
        <v>1000</v>
      </c>
      <c r="T121" s="48">
        <v>0</v>
      </c>
      <c r="U121" s="48"/>
      <c r="V121" s="48"/>
      <c r="W121" s="48"/>
      <c r="X121" s="90"/>
      <c r="Y121" s="48" t="s">
        <v>1021</v>
      </c>
      <c r="Z121" s="48">
        <v>1</v>
      </c>
      <c r="AA121" s="48"/>
      <c r="AB121" s="48"/>
      <c r="AC121" s="48"/>
      <c r="AE121" s="45"/>
      <c r="AF121" s="45"/>
      <c r="AG121" s="45"/>
      <c r="AH121" s="45"/>
      <c r="AJ121" s="46"/>
      <c r="AK121" s="64" t="s">
        <v>753</v>
      </c>
      <c r="AL121" s="45">
        <v>0</v>
      </c>
      <c r="AQ121" s="63"/>
      <c r="AR121" s="45"/>
      <c r="AS121" s="45"/>
      <c r="AT121" s="45"/>
      <c r="AW121" s="63" t="s">
        <v>810</v>
      </c>
      <c r="AX121" s="45">
        <v>0</v>
      </c>
      <c r="AY121" s="45" t="s">
        <v>771</v>
      </c>
      <c r="AZ121" s="45">
        <f>SUM(AX121:AX130)</f>
        <v>0</v>
      </c>
      <c r="BC121" s="63" t="s">
        <v>722</v>
      </c>
      <c r="BD121">
        <v>0</v>
      </c>
      <c r="BE121" s="45" t="s">
        <v>776</v>
      </c>
      <c r="BF121" s="45">
        <f>STDEV(BD116:BD137)</f>
        <v>0.50108108234321824</v>
      </c>
      <c r="BH121" s="46"/>
      <c r="BI121" s="63" t="s">
        <v>858</v>
      </c>
      <c r="BJ121" s="48">
        <v>0</v>
      </c>
      <c r="BN121" s="46"/>
      <c r="BO121" s="70" t="s">
        <v>879</v>
      </c>
      <c r="BP121" s="45">
        <v>0</v>
      </c>
      <c r="BQ121" s="45"/>
      <c r="BR121" s="45"/>
      <c r="BT121" s="46"/>
      <c r="BU121" s="70" t="s">
        <v>696</v>
      </c>
      <c r="BV121" s="45">
        <v>0</v>
      </c>
      <c r="BZ121" s="46"/>
      <c r="CA121" s="70" t="s">
        <v>711</v>
      </c>
      <c r="CB121" s="45">
        <v>2</v>
      </c>
      <c r="CF121" s="65"/>
      <c r="CG121" s="73" t="s">
        <v>308</v>
      </c>
      <c r="CH121">
        <v>0</v>
      </c>
      <c r="CL121" s="65"/>
      <c r="CM121" s="73" t="s">
        <v>363</v>
      </c>
      <c r="CN121">
        <v>0</v>
      </c>
      <c r="CR121" s="65"/>
      <c r="CS121" s="73" t="s">
        <v>598</v>
      </c>
      <c r="CT121">
        <v>0</v>
      </c>
      <c r="CU121" s="45" t="s">
        <v>773</v>
      </c>
      <c r="CV121" s="45">
        <f>MAX(CT119:CT127)</f>
        <v>0</v>
      </c>
      <c r="CX121" s="65"/>
      <c r="DD121" s="65"/>
      <c r="DJ121" s="65"/>
      <c r="DK121" s="33" t="s">
        <v>539</v>
      </c>
      <c r="DL121" s="33">
        <v>0</v>
      </c>
      <c r="DP121" s="65"/>
      <c r="DV121" s="109"/>
      <c r="EH121" s="30" t="s">
        <v>1292</v>
      </c>
      <c r="EI121">
        <v>0</v>
      </c>
      <c r="EZ121" s="30" t="s">
        <v>1334</v>
      </c>
      <c r="FA121">
        <v>0</v>
      </c>
    </row>
    <row r="122" spans="1:157" x14ac:dyDescent="0.25">
      <c r="A122" s="64" t="s">
        <v>1046</v>
      </c>
      <c r="B122" s="48">
        <v>0</v>
      </c>
      <c r="C122" s="48"/>
      <c r="D122" s="48"/>
      <c r="E122" s="48"/>
      <c r="G122" s="48"/>
      <c r="H122" s="48"/>
      <c r="I122" s="48"/>
      <c r="J122" s="48"/>
      <c r="K122" s="48"/>
      <c r="L122" s="90"/>
      <c r="M122" s="48" t="s">
        <v>975</v>
      </c>
      <c r="N122" s="48">
        <v>1</v>
      </c>
      <c r="O122" s="48"/>
      <c r="P122" s="48"/>
      <c r="Q122" s="48"/>
      <c r="R122" s="90"/>
      <c r="S122" s="93" t="s">
        <v>998</v>
      </c>
      <c r="T122" s="48">
        <v>0</v>
      </c>
      <c r="U122" s="48"/>
      <c r="V122" s="48"/>
      <c r="W122" s="48"/>
      <c r="X122" s="90"/>
      <c r="Y122" s="48" t="s">
        <v>1022</v>
      </c>
      <c r="Z122" s="48">
        <v>0</v>
      </c>
      <c r="AA122" s="48"/>
      <c r="AB122" s="48"/>
      <c r="AC122" s="48"/>
      <c r="AE122" s="45"/>
      <c r="AF122" s="45"/>
      <c r="AG122" s="45"/>
      <c r="AH122" s="45"/>
      <c r="AJ122" s="46"/>
      <c r="AK122" s="64" t="s">
        <v>754</v>
      </c>
      <c r="AL122" s="45">
        <v>0</v>
      </c>
      <c r="AQ122" s="63"/>
      <c r="AR122" s="45"/>
      <c r="AS122" s="45"/>
      <c r="AT122" s="45"/>
      <c r="AW122" s="63" t="s">
        <v>809</v>
      </c>
      <c r="AX122" s="45">
        <v>0</v>
      </c>
      <c r="AY122" s="45" t="s">
        <v>772</v>
      </c>
      <c r="AZ122" s="45">
        <f>MIN(AX121:AX130)</f>
        <v>0</v>
      </c>
      <c r="BC122" s="63" t="s">
        <v>723</v>
      </c>
      <c r="BD122">
        <v>0</v>
      </c>
      <c r="BH122" s="46"/>
      <c r="BI122" s="63" t="s">
        <v>859</v>
      </c>
      <c r="BJ122" s="48">
        <v>0</v>
      </c>
      <c r="BN122" s="46"/>
      <c r="BO122" s="70" t="s">
        <v>880</v>
      </c>
      <c r="BP122" s="45">
        <v>1</v>
      </c>
      <c r="BT122" s="46"/>
      <c r="BU122" s="70" t="s">
        <v>697</v>
      </c>
      <c r="BV122" s="45">
        <v>0</v>
      </c>
      <c r="BZ122" s="46"/>
      <c r="CA122" s="70" t="s">
        <v>712</v>
      </c>
      <c r="CB122" s="45">
        <v>0</v>
      </c>
      <c r="CF122" s="65"/>
      <c r="CG122" s="73" t="s">
        <v>309</v>
      </c>
      <c r="CH122">
        <v>0</v>
      </c>
      <c r="CL122" s="65"/>
      <c r="CM122" s="73" t="s">
        <v>364</v>
      </c>
      <c r="CN122">
        <v>0</v>
      </c>
      <c r="CR122" s="65"/>
      <c r="CS122" s="78" t="s">
        <v>599</v>
      </c>
      <c r="CT122">
        <v>0</v>
      </c>
      <c r="CU122" s="45" t="s">
        <v>774</v>
      </c>
      <c r="CV122" s="45">
        <f>VAR(CT119:CT127)</f>
        <v>0</v>
      </c>
      <c r="CX122" s="65"/>
      <c r="DD122" s="65"/>
      <c r="DJ122" s="65"/>
      <c r="DK122" s="33" t="s">
        <v>540</v>
      </c>
      <c r="DL122" s="33">
        <v>0</v>
      </c>
      <c r="DP122" s="65"/>
      <c r="DV122" s="109"/>
      <c r="EH122" s="30" t="s">
        <v>1293</v>
      </c>
      <c r="EI122">
        <v>0</v>
      </c>
      <c r="EZ122" s="30" t="s">
        <v>1335</v>
      </c>
      <c r="FA122">
        <v>0</v>
      </c>
    </row>
    <row r="123" spans="1:157" x14ac:dyDescent="0.25">
      <c r="A123" s="48"/>
      <c r="B123" s="48"/>
      <c r="C123" s="48"/>
      <c r="D123" s="48"/>
      <c r="E123" s="48"/>
      <c r="G123" s="48"/>
      <c r="H123" s="48"/>
      <c r="I123" s="48"/>
      <c r="J123" s="48"/>
      <c r="K123" s="48"/>
      <c r="L123" s="90"/>
      <c r="M123" s="48"/>
      <c r="N123" s="48"/>
      <c r="O123" s="48"/>
      <c r="P123" s="48"/>
      <c r="Q123" s="48"/>
      <c r="R123" s="90"/>
      <c r="S123" s="93" t="s">
        <v>999</v>
      </c>
      <c r="T123" s="48">
        <v>0</v>
      </c>
      <c r="U123" s="48"/>
      <c r="V123" s="48"/>
      <c r="W123" s="48"/>
      <c r="X123" s="90"/>
      <c r="Y123" s="48"/>
      <c r="Z123" s="48"/>
      <c r="AA123" s="48"/>
      <c r="AB123" s="48"/>
      <c r="AC123" s="48"/>
      <c r="AE123" s="45"/>
      <c r="AF123" s="45"/>
      <c r="AG123" s="45"/>
      <c r="AH123" s="45"/>
      <c r="AJ123" s="46"/>
      <c r="AK123" s="64" t="s">
        <v>755</v>
      </c>
      <c r="AL123" s="45">
        <v>0</v>
      </c>
      <c r="AQ123" s="63"/>
      <c r="AR123" s="45"/>
      <c r="AS123" s="45"/>
      <c r="AT123" s="45"/>
      <c r="AW123" s="63" t="s">
        <v>811</v>
      </c>
      <c r="AX123" s="45">
        <v>0</v>
      </c>
      <c r="AY123" s="45" t="s">
        <v>773</v>
      </c>
      <c r="AZ123" s="45">
        <f>MAX(AX121:AX130)</f>
        <v>0</v>
      </c>
      <c r="BC123" s="63" t="s">
        <v>821</v>
      </c>
      <c r="BD123">
        <v>0</v>
      </c>
      <c r="BH123" s="46"/>
      <c r="BI123" s="63" t="s">
        <v>860</v>
      </c>
      <c r="BJ123" s="48">
        <v>0</v>
      </c>
      <c r="BN123" s="46"/>
      <c r="BO123" s="70" t="s">
        <v>881</v>
      </c>
      <c r="BP123" s="45">
        <v>1</v>
      </c>
      <c r="BT123" s="46"/>
      <c r="BU123" s="70" t="s">
        <v>698</v>
      </c>
      <c r="BV123" s="45">
        <v>0</v>
      </c>
      <c r="BZ123" s="46"/>
      <c r="CA123" s="70" t="s">
        <v>713</v>
      </c>
      <c r="CB123" s="45">
        <v>0</v>
      </c>
      <c r="CF123" s="65"/>
      <c r="CG123" s="73" t="s">
        <v>310</v>
      </c>
      <c r="CH123">
        <v>0</v>
      </c>
      <c r="CL123" s="65"/>
      <c r="CM123" s="73" t="s">
        <v>308</v>
      </c>
      <c r="CN123">
        <v>0</v>
      </c>
      <c r="CR123" s="65"/>
      <c r="CS123" s="78" t="s">
        <v>600</v>
      </c>
      <c r="CT123">
        <v>0</v>
      </c>
      <c r="CU123" s="45" t="s">
        <v>775</v>
      </c>
      <c r="CV123" s="45">
        <f>AVERAGE(CT119:CT127)</f>
        <v>0</v>
      </c>
      <c r="CX123" s="65"/>
      <c r="DD123" s="65"/>
      <c r="DJ123" s="65"/>
      <c r="DK123" s="33" t="s">
        <v>541</v>
      </c>
      <c r="DL123" s="33">
        <v>0</v>
      </c>
      <c r="DP123" s="65"/>
      <c r="DV123" s="109"/>
      <c r="EH123" s="30" t="s">
        <v>1294</v>
      </c>
      <c r="EI123">
        <v>0</v>
      </c>
      <c r="EZ123" s="30" t="s">
        <v>1346</v>
      </c>
      <c r="FA123">
        <v>0</v>
      </c>
    </row>
    <row r="124" spans="1:157" x14ac:dyDescent="0.25">
      <c r="A124" s="96" t="s">
        <v>194</v>
      </c>
      <c r="B124" s="48"/>
      <c r="C124" s="48" t="s">
        <v>769</v>
      </c>
      <c r="D124" s="48" t="s">
        <v>770</v>
      </c>
      <c r="E124" s="48"/>
      <c r="G124" s="48"/>
      <c r="H124" s="48"/>
      <c r="I124" s="48"/>
      <c r="J124" s="48"/>
      <c r="K124" s="48"/>
      <c r="L124" s="90"/>
      <c r="M124" s="48"/>
      <c r="N124" s="48"/>
      <c r="O124" s="48"/>
      <c r="P124" s="48"/>
      <c r="Q124" s="48"/>
      <c r="R124" s="90"/>
      <c r="S124" s="48"/>
      <c r="T124" s="48"/>
      <c r="U124" s="48"/>
      <c r="V124" s="48"/>
      <c r="W124" s="48"/>
      <c r="X124" s="90"/>
      <c r="Y124" s="96" t="s">
        <v>194</v>
      </c>
      <c r="Z124" s="48"/>
      <c r="AA124" s="48" t="s">
        <v>769</v>
      </c>
      <c r="AB124" s="48" t="s">
        <v>770</v>
      </c>
      <c r="AC124" s="48"/>
      <c r="AE124" s="45"/>
      <c r="AF124" s="45"/>
      <c r="AG124" s="45"/>
      <c r="AH124" s="45"/>
      <c r="AJ124" s="46"/>
      <c r="AK124" s="64" t="s">
        <v>756</v>
      </c>
      <c r="AL124" s="45">
        <v>0</v>
      </c>
      <c r="AQ124" s="63"/>
      <c r="AR124" s="45"/>
      <c r="AS124" s="45"/>
      <c r="AT124" s="45"/>
      <c r="AW124" s="63" t="s">
        <v>812</v>
      </c>
      <c r="AX124" s="45">
        <v>0</v>
      </c>
      <c r="AY124" s="45" t="s">
        <v>774</v>
      </c>
      <c r="AZ124" s="45">
        <f>VAR(AX121:AX130)</f>
        <v>0</v>
      </c>
      <c r="BC124" s="63" t="s">
        <v>822</v>
      </c>
      <c r="BD124">
        <v>0</v>
      </c>
      <c r="BH124" s="46"/>
      <c r="BI124" s="63" t="s">
        <v>861</v>
      </c>
      <c r="BJ124" s="48">
        <v>1</v>
      </c>
      <c r="BN124" s="46"/>
      <c r="BO124" s="70" t="s">
        <v>882</v>
      </c>
      <c r="BP124" s="45">
        <v>0</v>
      </c>
      <c r="BT124" s="46"/>
      <c r="BU124" s="70" t="s">
        <v>699</v>
      </c>
      <c r="BV124" s="45">
        <v>0</v>
      </c>
      <c r="BZ124" s="46"/>
      <c r="CA124" s="63" t="s">
        <v>714</v>
      </c>
      <c r="CB124" s="45">
        <v>0</v>
      </c>
      <c r="CF124" s="65"/>
      <c r="CG124" s="73" t="s">
        <v>311</v>
      </c>
      <c r="CH124">
        <v>0</v>
      </c>
      <c r="CL124" s="65"/>
      <c r="CM124" s="73" t="s">
        <v>365</v>
      </c>
      <c r="CN124">
        <v>0</v>
      </c>
      <c r="CR124" s="65"/>
      <c r="CS124" s="78" t="s">
        <v>601</v>
      </c>
      <c r="CT124">
        <v>0</v>
      </c>
      <c r="CU124" s="45" t="s">
        <v>776</v>
      </c>
      <c r="CV124" s="45">
        <f>STDEV(CT119:CT127)</f>
        <v>0</v>
      </c>
      <c r="CX124" s="65"/>
      <c r="DD124" s="65"/>
      <c r="DJ124" s="65"/>
      <c r="DK124" s="33" t="s">
        <v>542</v>
      </c>
      <c r="DL124" s="33">
        <v>0</v>
      </c>
      <c r="DP124" s="65"/>
      <c r="DV124" s="109"/>
      <c r="EH124" s="30" t="s">
        <v>1295</v>
      </c>
      <c r="EI124">
        <v>0</v>
      </c>
      <c r="EZ124" s="30" t="s">
        <v>1336</v>
      </c>
      <c r="FA124">
        <v>0</v>
      </c>
    </row>
    <row r="125" spans="1:157" x14ac:dyDescent="0.25">
      <c r="A125" s="48" t="s">
        <v>768</v>
      </c>
      <c r="B125" s="48" t="s">
        <v>344</v>
      </c>
      <c r="C125" s="48" t="s">
        <v>771</v>
      </c>
      <c r="D125" s="48">
        <f>SUM(B126:B150)</f>
        <v>2</v>
      </c>
      <c r="E125" s="48"/>
      <c r="G125" s="48"/>
      <c r="H125" s="48"/>
      <c r="I125" s="48"/>
      <c r="J125" s="48"/>
      <c r="K125" s="48"/>
      <c r="L125" s="90"/>
      <c r="M125" s="48"/>
      <c r="N125" s="48"/>
      <c r="O125" s="48"/>
      <c r="P125" s="48"/>
      <c r="Q125" s="48"/>
      <c r="R125" s="90"/>
      <c r="S125" s="96" t="s">
        <v>194</v>
      </c>
      <c r="T125" s="48"/>
      <c r="U125" s="48" t="s">
        <v>769</v>
      </c>
      <c r="V125" s="48" t="s">
        <v>770</v>
      </c>
      <c r="W125" s="48"/>
      <c r="X125" s="90"/>
      <c r="Y125" s="48" t="s">
        <v>899</v>
      </c>
      <c r="Z125" s="48">
        <v>0</v>
      </c>
      <c r="AA125" s="48" t="s">
        <v>771</v>
      </c>
      <c r="AB125" s="48">
        <f>SUM(Z125:Z149)</f>
        <v>1</v>
      </c>
      <c r="AC125" s="48"/>
      <c r="AE125" s="45"/>
      <c r="AF125" s="45"/>
      <c r="AG125" s="45"/>
      <c r="AH125" s="45"/>
      <c r="AJ125" s="46"/>
      <c r="AK125" s="45"/>
      <c r="AL125" s="45"/>
      <c r="AQ125" s="63"/>
      <c r="AR125" s="45"/>
      <c r="AS125" s="45"/>
      <c r="AT125" s="45"/>
      <c r="AW125" s="63" t="s">
        <v>813</v>
      </c>
      <c r="AX125" s="45">
        <v>0</v>
      </c>
      <c r="AY125" s="45" t="s">
        <v>775</v>
      </c>
      <c r="AZ125" s="45">
        <f>AVERAGE(AX121:AX130)</f>
        <v>0</v>
      </c>
      <c r="BC125" s="63" t="s">
        <v>724</v>
      </c>
      <c r="BD125">
        <v>0</v>
      </c>
      <c r="BH125" s="46"/>
      <c r="BI125" s="63" t="s">
        <v>862</v>
      </c>
      <c r="BJ125" s="48">
        <v>0</v>
      </c>
      <c r="BN125" s="46"/>
      <c r="BO125" s="70" t="s">
        <v>883</v>
      </c>
      <c r="BP125" s="45">
        <v>2</v>
      </c>
      <c r="BT125" s="46"/>
      <c r="BU125" s="70" t="s">
        <v>700</v>
      </c>
      <c r="BV125" s="45">
        <v>0</v>
      </c>
      <c r="BZ125" s="46"/>
      <c r="CA125" s="63" t="s">
        <v>715</v>
      </c>
      <c r="CB125" s="45">
        <v>0</v>
      </c>
      <c r="CF125" s="65"/>
      <c r="CG125" s="73" t="s">
        <v>312</v>
      </c>
      <c r="CH125">
        <v>0</v>
      </c>
      <c r="CL125" s="65"/>
      <c r="CM125" s="73" t="s">
        <v>366</v>
      </c>
      <c r="CN125">
        <v>0</v>
      </c>
      <c r="CR125" s="65"/>
      <c r="CS125" s="63"/>
      <c r="CU125" s="45"/>
      <c r="CV125" s="45"/>
      <c r="CX125" s="65"/>
      <c r="DD125" s="65"/>
      <c r="DJ125" s="65"/>
      <c r="DP125" s="65"/>
      <c r="DV125" s="109"/>
      <c r="EH125" s="30" t="s">
        <v>1296</v>
      </c>
      <c r="EI125">
        <v>0</v>
      </c>
      <c r="EZ125" s="30" t="s">
        <v>1337</v>
      </c>
      <c r="FA125">
        <v>0</v>
      </c>
    </row>
    <row r="126" spans="1:157" x14ac:dyDescent="0.25">
      <c r="A126" s="64" t="s">
        <v>1026</v>
      </c>
      <c r="B126" s="48">
        <v>1</v>
      </c>
      <c r="C126" s="48" t="s">
        <v>772</v>
      </c>
      <c r="D126" s="48">
        <f>MIN(B126:B150)</f>
        <v>0</v>
      </c>
      <c r="E126" s="48"/>
      <c r="G126" s="48"/>
      <c r="H126" s="48"/>
      <c r="I126" s="48"/>
      <c r="J126" s="48"/>
      <c r="K126" s="48"/>
      <c r="L126" s="90"/>
      <c r="M126" s="48"/>
      <c r="N126" s="48"/>
      <c r="O126" s="48"/>
      <c r="P126" s="48"/>
      <c r="Q126" s="48"/>
      <c r="R126" s="90"/>
      <c r="S126" s="92" t="s">
        <v>976</v>
      </c>
      <c r="T126" s="48">
        <v>0</v>
      </c>
      <c r="U126" s="48" t="s">
        <v>771</v>
      </c>
      <c r="V126" s="48">
        <f>SUM(T126:T150)</f>
        <v>2</v>
      </c>
      <c r="W126" s="48"/>
      <c r="X126" s="90"/>
      <c r="Y126" s="48" t="s">
        <v>1001</v>
      </c>
      <c r="Z126" s="48">
        <v>0</v>
      </c>
      <c r="AA126" s="48" t="s">
        <v>772</v>
      </c>
      <c r="AB126" s="48">
        <f>MIN(Z125:Z149)</f>
        <v>0</v>
      </c>
      <c r="AC126" s="48"/>
      <c r="AE126" s="45"/>
      <c r="AF126" s="45"/>
      <c r="AG126" s="45"/>
      <c r="AH126" s="45"/>
      <c r="AJ126" s="46"/>
      <c r="AK126" s="45"/>
      <c r="AL126" s="45"/>
      <c r="AQ126" s="63"/>
      <c r="AR126" s="45"/>
      <c r="AS126" s="45"/>
      <c r="AT126" s="45"/>
      <c r="AW126" s="63" t="s">
        <v>808</v>
      </c>
      <c r="AX126" s="45">
        <v>0</v>
      </c>
      <c r="AY126" s="45" t="s">
        <v>776</v>
      </c>
      <c r="AZ126" s="45">
        <f>STDEV(AX121:AX130)</f>
        <v>0</v>
      </c>
      <c r="BC126" s="63" t="s">
        <v>725</v>
      </c>
      <c r="BD126">
        <v>0</v>
      </c>
      <c r="BH126" s="46"/>
      <c r="BI126" s="63" t="s">
        <v>863</v>
      </c>
      <c r="BJ126" s="48">
        <v>0</v>
      </c>
      <c r="BN126" s="46"/>
      <c r="BO126" s="70" t="s">
        <v>884</v>
      </c>
      <c r="BP126" s="45">
        <v>0</v>
      </c>
      <c r="BT126" s="46"/>
      <c r="BZ126" s="46"/>
      <c r="CA126" s="63"/>
      <c r="CF126" s="65"/>
      <c r="CG126" s="73" t="s">
        <v>313</v>
      </c>
      <c r="CH126">
        <v>0</v>
      </c>
      <c r="CL126" s="65"/>
      <c r="CM126" s="73" t="s">
        <v>367</v>
      </c>
      <c r="CN126">
        <v>0</v>
      </c>
      <c r="CR126" s="65"/>
      <c r="CS126" s="63"/>
      <c r="CX126" s="65"/>
      <c r="DD126" s="65"/>
      <c r="DJ126" s="65"/>
      <c r="DP126" s="65"/>
      <c r="DV126" s="109"/>
      <c r="ET126" t="s">
        <v>338</v>
      </c>
    </row>
    <row r="127" spans="1:157" x14ac:dyDescent="0.25">
      <c r="A127" s="64" t="s">
        <v>1027</v>
      </c>
      <c r="B127" s="48">
        <v>0</v>
      </c>
      <c r="C127" s="48" t="s">
        <v>773</v>
      </c>
      <c r="D127" s="48">
        <f>MAX(B126:B150)</f>
        <v>1</v>
      </c>
      <c r="E127" s="48"/>
      <c r="G127" s="48"/>
      <c r="H127" s="48"/>
      <c r="I127" s="48"/>
      <c r="J127" s="48"/>
      <c r="K127" s="48"/>
      <c r="L127" s="90"/>
      <c r="M127" s="48"/>
      <c r="N127" s="48"/>
      <c r="O127" s="48"/>
      <c r="P127" s="48"/>
      <c r="Q127" s="48"/>
      <c r="R127" s="90"/>
      <c r="S127" s="92" t="s">
        <v>977</v>
      </c>
      <c r="T127" s="48">
        <v>0</v>
      </c>
      <c r="U127" s="48" t="s">
        <v>772</v>
      </c>
      <c r="V127" s="48">
        <f>MIN(T126:T150)</f>
        <v>0</v>
      </c>
      <c r="W127" s="48"/>
      <c r="X127" s="90"/>
      <c r="Y127" s="48" t="s">
        <v>1002</v>
      </c>
      <c r="Z127" s="48">
        <v>0</v>
      </c>
      <c r="AA127" s="48" t="s">
        <v>773</v>
      </c>
      <c r="AB127" s="48">
        <f>MAX(Z125:Z149)</f>
        <v>1</v>
      </c>
      <c r="AC127" s="48"/>
      <c r="AE127" s="45"/>
      <c r="AF127" s="45"/>
      <c r="AG127" s="45"/>
      <c r="AH127" s="45"/>
      <c r="AJ127" s="46"/>
      <c r="AQ127" s="63"/>
      <c r="AR127" s="45"/>
      <c r="AS127" s="45"/>
      <c r="AT127" s="45"/>
      <c r="AW127" s="63" t="s">
        <v>814</v>
      </c>
      <c r="AX127" s="45">
        <v>0</v>
      </c>
      <c r="BC127" s="63" t="s">
        <v>726</v>
      </c>
      <c r="BD127">
        <v>0</v>
      </c>
      <c r="BH127" s="46"/>
      <c r="BI127" s="63" t="s">
        <v>864</v>
      </c>
      <c r="BJ127" s="48">
        <v>1</v>
      </c>
      <c r="BN127" s="46"/>
      <c r="BO127" s="70" t="s">
        <v>856</v>
      </c>
      <c r="BP127" s="45">
        <v>3</v>
      </c>
      <c r="BT127" s="46"/>
      <c r="BZ127" s="46"/>
      <c r="CA127" s="63"/>
      <c r="CF127" s="65"/>
      <c r="CL127" s="65"/>
      <c r="CR127" s="65"/>
      <c r="CS127" s="63"/>
      <c r="CX127" s="65"/>
      <c r="DD127" s="65"/>
      <c r="DJ127" s="65"/>
      <c r="DK127" s="45" t="s">
        <v>195</v>
      </c>
      <c r="DP127" s="65"/>
      <c r="DV127" s="109"/>
      <c r="ET127" s="47" t="s">
        <v>1024</v>
      </c>
      <c r="EU127" s="47" t="s">
        <v>344</v>
      </c>
      <c r="EV127" s="47" t="s">
        <v>769</v>
      </c>
      <c r="EW127" s="47" t="s">
        <v>770</v>
      </c>
    </row>
    <row r="128" spans="1:157" x14ac:dyDescent="0.25">
      <c r="A128" s="64" t="s">
        <v>1028</v>
      </c>
      <c r="B128" s="48">
        <v>0</v>
      </c>
      <c r="C128" s="48" t="s">
        <v>774</v>
      </c>
      <c r="D128" s="48">
        <f>VAR(B126:B150)</f>
        <v>7.6666666666666675E-2</v>
      </c>
      <c r="E128" s="48"/>
      <c r="G128" s="48"/>
      <c r="H128" s="48"/>
      <c r="I128" s="48"/>
      <c r="J128" s="48"/>
      <c r="K128" s="48"/>
      <c r="L128" s="90"/>
      <c r="M128" s="48"/>
      <c r="N128" s="48"/>
      <c r="O128" s="48"/>
      <c r="P128" s="48"/>
      <c r="Q128" s="48"/>
      <c r="R128" s="90"/>
      <c r="S128" s="92" t="s">
        <v>978</v>
      </c>
      <c r="T128" s="48">
        <v>0</v>
      </c>
      <c r="U128" s="48" t="s">
        <v>773</v>
      </c>
      <c r="V128" s="48">
        <f>MAX(T126:T150)</f>
        <v>1</v>
      </c>
      <c r="W128" s="48"/>
      <c r="X128" s="90"/>
      <c r="Y128" s="48" t="s">
        <v>1003</v>
      </c>
      <c r="Z128" s="48">
        <v>0</v>
      </c>
      <c r="AA128" s="48" t="s">
        <v>774</v>
      </c>
      <c r="AB128" s="48">
        <f>VAR(Z125:Z149)</f>
        <v>0.04</v>
      </c>
      <c r="AC128" s="48"/>
      <c r="AE128" s="45"/>
      <c r="AF128" s="45"/>
      <c r="AG128" s="45"/>
      <c r="AH128" s="45"/>
      <c r="AJ128" s="46"/>
      <c r="AK128" s="45" t="s">
        <v>195</v>
      </c>
      <c r="AL128" s="45"/>
      <c r="AM128" s="45"/>
      <c r="AN128" s="45"/>
      <c r="AQ128" s="63"/>
      <c r="AR128" s="45"/>
      <c r="AS128" s="45"/>
      <c r="AT128" s="45"/>
      <c r="AW128" s="63" t="s">
        <v>815</v>
      </c>
      <c r="AX128" s="45">
        <v>0</v>
      </c>
      <c r="BC128" s="63" t="s">
        <v>727</v>
      </c>
      <c r="BD128">
        <v>0</v>
      </c>
      <c r="BH128" s="46"/>
      <c r="BI128" s="63" t="s">
        <v>865</v>
      </c>
      <c r="BJ128" s="48">
        <v>0</v>
      </c>
      <c r="BN128" s="46"/>
      <c r="BO128" s="70" t="s">
        <v>857</v>
      </c>
      <c r="BP128" s="45">
        <v>2</v>
      </c>
      <c r="BT128" s="46"/>
      <c r="BZ128" s="46"/>
      <c r="CF128" s="65"/>
      <c r="CL128" s="65"/>
      <c r="CR128" s="65"/>
      <c r="CS128" s="31" t="s">
        <v>841</v>
      </c>
      <c r="CT128" s="48" t="s">
        <v>344</v>
      </c>
      <c r="CU128" s="47" t="s">
        <v>769</v>
      </c>
      <c r="CV128" s="47" t="s">
        <v>770</v>
      </c>
      <c r="CX128" s="65"/>
      <c r="DD128" s="65"/>
      <c r="DJ128" s="65"/>
      <c r="DK128" s="45" t="s">
        <v>768</v>
      </c>
      <c r="DL128" s="45" t="s">
        <v>344</v>
      </c>
      <c r="DM128" s="45" t="s">
        <v>769</v>
      </c>
      <c r="DN128" s="45" t="s">
        <v>770</v>
      </c>
      <c r="DP128" s="65"/>
      <c r="DV128" s="109"/>
      <c r="ET128" s="70" t="s">
        <v>1303</v>
      </c>
      <c r="EU128">
        <v>1</v>
      </c>
      <c r="EV128" s="48" t="s">
        <v>771</v>
      </c>
      <c r="EW128">
        <f>SUM(EU128:EU143)</f>
        <v>2</v>
      </c>
    </row>
    <row r="129" spans="1:153" x14ac:dyDescent="0.25">
      <c r="A129" s="64" t="s">
        <v>1029</v>
      </c>
      <c r="B129" s="48">
        <v>0</v>
      </c>
      <c r="C129" s="48" t="s">
        <v>775</v>
      </c>
      <c r="D129" s="48">
        <f>AVERAGE(B126:B150)</f>
        <v>0.08</v>
      </c>
      <c r="E129" s="48"/>
      <c r="G129" s="48"/>
      <c r="H129" s="48"/>
      <c r="I129" s="48"/>
      <c r="J129" s="48"/>
      <c r="K129" s="48"/>
      <c r="L129" s="90"/>
      <c r="M129" s="48"/>
      <c r="N129" s="48"/>
      <c r="O129" s="48"/>
      <c r="P129" s="48"/>
      <c r="Q129" s="48"/>
      <c r="R129" s="90"/>
      <c r="S129" s="92" t="s">
        <v>979</v>
      </c>
      <c r="T129" s="48">
        <v>0</v>
      </c>
      <c r="U129" s="48" t="s">
        <v>774</v>
      </c>
      <c r="V129" s="48">
        <f>VAR(T126:T150)</f>
        <v>7.9710144927536225E-2</v>
      </c>
      <c r="W129" s="48"/>
      <c r="X129" s="90"/>
      <c r="Y129" s="48" t="s">
        <v>1004</v>
      </c>
      <c r="Z129" s="48">
        <v>1</v>
      </c>
      <c r="AA129" s="48" t="s">
        <v>775</v>
      </c>
      <c r="AB129" s="48">
        <f>AVERAGE(Z125:Z149)</f>
        <v>0.04</v>
      </c>
      <c r="AC129" s="48"/>
      <c r="AE129" s="45"/>
      <c r="AF129" s="45"/>
      <c r="AG129" s="45"/>
      <c r="AH129" s="45"/>
      <c r="AJ129" s="46"/>
      <c r="AK129" s="45" t="s">
        <v>768</v>
      </c>
      <c r="AL129" s="45" t="s">
        <v>344</v>
      </c>
      <c r="AM129" s="45" t="s">
        <v>769</v>
      </c>
      <c r="AN129" s="45" t="s">
        <v>770</v>
      </c>
      <c r="AQ129" s="63"/>
      <c r="AR129" s="45"/>
      <c r="AS129" s="45"/>
      <c r="AT129" s="45"/>
      <c r="AW129" s="63" t="s">
        <v>816</v>
      </c>
      <c r="AX129" s="45">
        <v>0</v>
      </c>
      <c r="BC129" s="63" t="s">
        <v>728</v>
      </c>
      <c r="BD129">
        <v>2</v>
      </c>
      <c r="BH129" s="46"/>
      <c r="BI129" s="63" t="s">
        <v>866</v>
      </c>
      <c r="BJ129" s="48">
        <v>0</v>
      </c>
      <c r="BN129" s="46"/>
      <c r="BO129" s="70" t="s">
        <v>885</v>
      </c>
      <c r="BP129" s="45">
        <v>1</v>
      </c>
      <c r="BT129" s="46"/>
      <c r="BU129" s="45" t="s">
        <v>195</v>
      </c>
      <c r="BV129" s="45"/>
      <c r="BW129" s="45"/>
      <c r="BX129" s="45"/>
      <c r="BZ129" s="46"/>
      <c r="CA129" s="45" t="s">
        <v>195</v>
      </c>
      <c r="CB129" s="45"/>
      <c r="CC129" s="45"/>
      <c r="CD129" s="45"/>
      <c r="CF129" s="65"/>
      <c r="CG129" s="45" t="s">
        <v>195</v>
      </c>
      <c r="CH129" s="45"/>
      <c r="CI129" s="45"/>
      <c r="CJ129" s="45"/>
      <c r="CL129" s="65"/>
      <c r="CM129" s="77" t="s">
        <v>925</v>
      </c>
      <c r="CR129" s="65"/>
      <c r="CS129" s="78" t="s">
        <v>602</v>
      </c>
      <c r="CT129" s="33">
        <v>0</v>
      </c>
      <c r="CU129" s="47" t="s">
        <v>771</v>
      </c>
      <c r="CV129" s="47">
        <f>SUM(CT129:CT145)</f>
        <v>1</v>
      </c>
      <c r="CX129" s="65"/>
      <c r="DD129" s="65"/>
      <c r="DJ129" s="65"/>
      <c r="DK129" s="34" t="s">
        <v>518</v>
      </c>
      <c r="DL129" s="33"/>
      <c r="DM129" s="45" t="s">
        <v>771</v>
      </c>
      <c r="DN129" s="45">
        <f>SUM(DL129:DL138)</f>
        <v>0</v>
      </c>
      <c r="DP129" s="65"/>
      <c r="DV129" s="109"/>
      <c r="ET129" s="30" t="s">
        <v>1304</v>
      </c>
      <c r="EU129">
        <v>0</v>
      </c>
      <c r="EV129" s="48" t="s">
        <v>772</v>
      </c>
      <c r="EW129">
        <f>MIN(EU128:EU143)</f>
        <v>0</v>
      </c>
    </row>
    <row r="130" spans="1:153" x14ac:dyDescent="0.25">
      <c r="A130" s="64" t="s">
        <v>1030</v>
      </c>
      <c r="B130" s="48">
        <v>0</v>
      </c>
      <c r="C130" s="48" t="s">
        <v>776</v>
      </c>
      <c r="D130" s="48">
        <f>STDEV(B126:B150)</f>
        <v>0.27688746209726917</v>
      </c>
      <c r="E130" s="48"/>
      <c r="G130" s="48"/>
      <c r="H130" s="48"/>
      <c r="I130" s="48"/>
      <c r="J130" s="48"/>
      <c r="K130" s="48"/>
      <c r="L130" s="90"/>
      <c r="M130" s="48"/>
      <c r="N130" s="48"/>
      <c r="O130" s="48"/>
      <c r="P130" s="48"/>
      <c r="Q130" s="48"/>
      <c r="R130" s="90"/>
      <c r="S130" s="92" t="s">
        <v>980</v>
      </c>
      <c r="T130" s="48">
        <v>0</v>
      </c>
      <c r="U130" s="48" t="s">
        <v>775</v>
      </c>
      <c r="V130" s="48">
        <f>AVERAGE(T126:T150)</f>
        <v>8.3333333333333329E-2</v>
      </c>
      <c r="W130" s="48"/>
      <c r="X130" s="90"/>
      <c r="Y130" s="48" t="s">
        <v>1005</v>
      </c>
      <c r="Z130" s="48">
        <v>0</v>
      </c>
      <c r="AA130" s="48" t="s">
        <v>776</v>
      </c>
      <c r="AB130" s="48">
        <f>STDEV(Z125:Z149)</f>
        <v>0.2</v>
      </c>
      <c r="AC130" s="48"/>
      <c r="AE130" s="45"/>
      <c r="AF130" s="45"/>
      <c r="AG130" s="45"/>
      <c r="AH130" s="45"/>
      <c r="AJ130" s="46"/>
      <c r="AK130" s="64" t="s">
        <v>737</v>
      </c>
      <c r="AL130" s="45">
        <v>0</v>
      </c>
      <c r="AM130" s="45" t="s">
        <v>771</v>
      </c>
      <c r="AN130" s="45">
        <f>SUM(AL130:AL154)</f>
        <v>4</v>
      </c>
      <c r="AW130" s="63" t="s">
        <v>817</v>
      </c>
      <c r="AX130" s="45">
        <v>0</v>
      </c>
      <c r="BC130" s="63" t="s">
        <v>729</v>
      </c>
      <c r="BD130">
        <v>0</v>
      </c>
      <c r="BH130" s="46"/>
      <c r="BI130" s="63" t="s">
        <v>867</v>
      </c>
      <c r="BJ130" s="48">
        <v>0</v>
      </c>
      <c r="BN130" s="46"/>
      <c r="BO130" s="70" t="s">
        <v>886</v>
      </c>
      <c r="BP130" s="45">
        <v>0</v>
      </c>
      <c r="BT130" s="46"/>
      <c r="BU130" s="45" t="s">
        <v>768</v>
      </c>
      <c r="BV130" s="45" t="s">
        <v>344</v>
      </c>
      <c r="BW130" s="45" t="s">
        <v>769</v>
      </c>
      <c r="BX130" s="45" t="s">
        <v>770</v>
      </c>
      <c r="BZ130" s="46"/>
      <c r="CA130" s="45" t="s">
        <v>768</v>
      </c>
      <c r="CB130" s="45" t="s">
        <v>344</v>
      </c>
      <c r="CC130" s="45" t="s">
        <v>769</v>
      </c>
      <c r="CD130" s="45" t="s">
        <v>770</v>
      </c>
      <c r="CF130" s="65"/>
      <c r="CG130" s="45" t="s">
        <v>768</v>
      </c>
      <c r="CH130" s="45" t="s">
        <v>344</v>
      </c>
      <c r="CI130" s="45" t="s">
        <v>769</v>
      </c>
      <c r="CJ130" s="45" t="s">
        <v>770</v>
      </c>
      <c r="CL130" s="65"/>
      <c r="CM130" s="45" t="s">
        <v>768</v>
      </c>
      <c r="CN130" s="45" t="s">
        <v>344</v>
      </c>
      <c r="CO130" s="45" t="s">
        <v>769</v>
      </c>
      <c r="CP130" s="45" t="s">
        <v>770</v>
      </c>
      <c r="CR130" s="65"/>
      <c r="CS130" s="78" t="s">
        <v>603</v>
      </c>
      <c r="CT130" s="33">
        <v>0</v>
      </c>
      <c r="CU130" s="47" t="s">
        <v>772</v>
      </c>
      <c r="CV130" s="47">
        <f>MIN(CT129:CT145)</f>
        <v>0</v>
      </c>
      <c r="CX130" s="65"/>
      <c r="DD130" s="65"/>
      <c r="DJ130" s="65"/>
      <c r="DK130" s="33" t="s">
        <v>519</v>
      </c>
      <c r="DL130" s="33"/>
      <c r="DM130" s="45" t="s">
        <v>772</v>
      </c>
      <c r="DN130" s="45">
        <f>MIN(DL129:DL138)</f>
        <v>0</v>
      </c>
      <c r="DP130" s="65"/>
      <c r="DV130" s="109"/>
      <c r="ET130" s="30" t="s">
        <v>1305</v>
      </c>
      <c r="EU130">
        <v>0</v>
      </c>
      <c r="EV130" s="48" t="s">
        <v>773</v>
      </c>
      <c r="EW130">
        <f>MAX(EU128:EU143)</f>
        <v>1</v>
      </c>
    </row>
    <row r="131" spans="1:153" x14ac:dyDescent="0.25">
      <c r="A131" s="64" t="s">
        <v>458</v>
      </c>
      <c r="B131" s="48">
        <v>0</v>
      </c>
      <c r="C131" s="48"/>
      <c r="D131" s="48"/>
      <c r="E131" s="48"/>
      <c r="G131" s="48"/>
      <c r="H131" s="48"/>
      <c r="I131" s="48"/>
      <c r="J131" s="48"/>
      <c r="K131" s="48"/>
      <c r="L131" s="90"/>
      <c r="M131" s="48"/>
      <c r="N131" s="48"/>
      <c r="O131" s="48"/>
      <c r="P131" s="48"/>
      <c r="Q131" s="48"/>
      <c r="R131" s="90"/>
      <c r="S131" s="92" t="s">
        <v>981</v>
      </c>
      <c r="T131" s="48">
        <v>0</v>
      </c>
      <c r="U131" s="48" t="s">
        <v>776</v>
      </c>
      <c r="V131" s="48">
        <f>STDEV(T126:T150)</f>
        <v>0.28232985128663995</v>
      </c>
      <c r="W131" s="48"/>
      <c r="X131" s="90"/>
      <c r="Y131" s="48" t="s">
        <v>1006</v>
      </c>
      <c r="Z131" s="48">
        <v>0</v>
      </c>
      <c r="AA131" s="48"/>
      <c r="AB131" s="48"/>
      <c r="AC131" s="48"/>
      <c r="AE131" s="45"/>
      <c r="AF131" s="45"/>
      <c r="AG131" s="45"/>
      <c r="AH131" s="45"/>
      <c r="AJ131" s="46"/>
      <c r="AK131" s="64" t="s">
        <v>738</v>
      </c>
      <c r="AL131" s="45">
        <v>1</v>
      </c>
      <c r="AM131" s="45" t="s">
        <v>772</v>
      </c>
      <c r="AN131" s="45">
        <f>MIN(AL130:AL154)</f>
        <v>0</v>
      </c>
      <c r="BC131" s="63" t="s">
        <v>730</v>
      </c>
      <c r="BD131">
        <v>0</v>
      </c>
      <c r="BH131" s="46"/>
      <c r="BN131" s="46"/>
      <c r="BO131" s="70" t="s">
        <v>887</v>
      </c>
      <c r="BP131" s="45">
        <v>0</v>
      </c>
      <c r="BT131" s="46"/>
      <c r="BU131" s="70" t="s">
        <v>676</v>
      </c>
      <c r="BV131" s="45">
        <v>1</v>
      </c>
      <c r="BW131" s="45" t="s">
        <v>771</v>
      </c>
      <c r="BX131" s="45">
        <f>SUM(BV131:BV155)</f>
        <v>9</v>
      </c>
      <c r="BZ131" s="46"/>
      <c r="CA131" s="70" t="s">
        <v>701</v>
      </c>
      <c r="CB131" s="45">
        <v>1</v>
      </c>
      <c r="CC131" s="45" t="s">
        <v>771</v>
      </c>
      <c r="CD131" s="45">
        <f>SUM(CB131:CB155)</f>
        <v>2</v>
      </c>
      <c r="CF131" s="65"/>
      <c r="CG131" s="73" t="s">
        <v>288</v>
      </c>
      <c r="CH131">
        <v>0</v>
      </c>
      <c r="CI131" s="45" t="s">
        <v>771</v>
      </c>
      <c r="CJ131" s="45">
        <f>SUM(CH131:CH155)</f>
        <v>2</v>
      </c>
      <c r="CL131" s="65"/>
      <c r="CM131" s="73" t="s">
        <v>368</v>
      </c>
      <c r="CN131">
        <v>0</v>
      </c>
      <c r="CO131" s="45" t="s">
        <v>771</v>
      </c>
      <c r="CP131" s="45">
        <f>SUM(CN131:CN157)</f>
        <v>1</v>
      </c>
      <c r="CR131" s="65"/>
      <c r="CS131" s="78" t="s">
        <v>563</v>
      </c>
      <c r="CT131" s="33">
        <v>0</v>
      </c>
      <c r="CU131" s="47" t="s">
        <v>773</v>
      </c>
      <c r="CV131" s="47">
        <f>MAX(CT129:CT145)</f>
        <v>1</v>
      </c>
      <c r="CX131" s="65"/>
      <c r="DD131" s="65"/>
      <c r="DJ131" s="65"/>
      <c r="DK131" s="33" t="s">
        <v>520</v>
      </c>
      <c r="DL131" s="33"/>
      <c r="DM131" s="45" t="s">
        <v>773</v>
      </c>
      <c r="DN131" s="45">
        <f>MAX(DL129:DL138)</f>
        <v>0</v>
      </c>
      <c r="DP131" s="65"/>
      <c r="DV131" s="109"/>
      <c r="ET131" s="30" t="s">
        <v>1306</v>
      </c>
      <c r="EU131">
        <v>0</v>
      </c>
      <c r="EV131" s="48" t="s">
        <v>774</v>
      </c>
      <c r="EW131">
        <f>VAR(EU128:EU143)</f>
        <v>0.11666666666666667</v>
      </c>
    </row>
    <row r="132" spans="1:153" x14ac:dyDescent="0.25">
      <c r="A132" s="64" t="s">
        <v>1031</v>
      </c>
      <c r="B132" s="48">
        <v>0</v>
      </c>
      <c r="C132" s="48"/>
      <c r="D132" s="48"/>
      <c r="E132" s="48"/>
      <c r="G132" s="48"/>
      <c r="H132" s="48"/>
      <c r="I132" s="48"/>
      <c r="J132" s="48"/>
      <c r="K132" s="48"/>
      <c r="L132" s="90"/>
      <c r="M132" s="48"/>
      <c r="N132" s="48"/>
      <c r="O132" s="48"/>
      <c r="P132" s="48"/>
      <c r="Q132" s="48"/>
      <c r="R132" s="90"/>
      <c r="S132" s="92" t="s">
        <v>982</v>
      </c>
      <c r="T132" s="48">
        <v>0</v>
      </c>
      <c r="U132" s="48"/>
      <c r="V132" s="48"/>
      <c r="W132" s="48"/>
      <c r="X132" s="90"/>
      <c r="Y132" s="48" t="s">
        <v>1007</v>
      </c>
      <c r="Z132" s="48">
        <v>0</v>
      </c>
      <c r="AA132" s="48"/>
      <c r="AB132" s="48"/>
      <c r="AC132" s="48"/>
      <c r="AF132" s="45"/>
      <c r="AJ132" s="46"/>
      <c r="AK132" s="48" t="s">
        <v>808</v>
      </c>
      <c r="AL132" s="45">
        <v>0</v>
      </c>
      <c r="AM132" s="45" t="s">
        <v>773</v>
      </c>
      <c r="AN132" s="45">
        <f>MAX(AL130:AL154)</f>
        <v>1</v>
      </c>
      <c r="AQ132" s="45"/>
      <c r="BC132" s="63" t="s">
        <v>731</v>
      </c>
      <c r="BD132">
        <v>1</v>
      </c>
      <c r="BH132" s="46"/>
      <c r="BN132" s="46"/>
      <c r="BO132" s="70" t="s">
        <v>888</v>
      </c>
      <c r="BP132" s="45">
        <v>0</v>
      </c>
      <c r="BT132" s="46"/>
      <c r="BU132" s="70" t="s">
        <v>677</v>
      </c>
      <c r="BV132" s="45">
        <v>0</v>
      </c>
      <c r="BW132" s="45" t="s">
        <v>772</v>
      </c>
      <c r="BX132" s="45">
        <f>MIN(BV131:BV155)</f>
        <v>0</v>
      </c>
      <c r="BZ132" s="46"/>
      <c r="CA132" s="70" t="s">
        <v>702</v>
      </c>
      <c r="CB132" s="45">
        <v>0</v>
      </c>
      <c r="CC132" s="45" t="s">
        <v>772</v>
      </c>
      <c r="CD132" s="45">
        <f>MIN(CB131:CB155)</f>
        <v>0</v>
      </c>
      <c r="CF132" s="65"/>
      <c r="CG132" s="73" t="s">
        <v>289</v>
      </c>
      <c r="CH132">
        <v>0</v>
      </c>
      <c r="CI132" s="45" t="s">
        <v>772</v>
      </c>
      <c r="CJ132" s="45">
        <f>MIN(CH131:CH155)</f>
        <v>0</v>
      </c>
      <c r="CL132" s="65"/>
      <c r="CM132" s="73" t="s">
        <v>369</v>
      </c>
      <c r="CN132">
        <v>0</v>
      </c>
      <c r="CO132" s="45" t="s">
        <v>772</v>
      </c>
      <c r="CP132" s="45">
        <f>MIN(CN131:CN157)</f>
        <v>0</v>
      </c>
      <c r="CR132" s="65"/>
      <c r="CS132" s="78" t="s">
        <v>565</v>
      </c>
      <c r="CT132" s="33">
        <v>0</v>
      </c>
      <c r="CU132" s="47" t="s">
        <v>774</v>
      </c>
      <c r="CV132" s="47">
        <f>VAR(CT129:CT145)</f>
        <v>5.8823529411764705E-2</v>
      </c>
      <c r="CX132" s="65"/>
      <c r="DD132" s="65"/>
      <c r="DJ132" s="65"/>
      <c r="DK132" s="33" t="s">
        <v>521</v>
      </c>
      <c r="DL132" s="33"/>
      <c r="DM132" s="45" t="s">
        <v>774</v>
      </c>
      <c r="DN132" s="45" t="e">
        <f ca="1">VAR(DK127:DN138)</f>
        <v>#DIV/0!</v>
      </c>
      <c r="DP132" s="65"/>
      <c r="DV132" s="109"/>
      <c r="ET132" s="30" t="s">
        <v>1307</v>
      </c>
      <c r="EU132">
        <v>1</v>
      </c>
      <c r="EV132" s="48" t="s">
        <v>775</v>
      </c>
      <c r="EW132">
        <f>AVERAGE(EU128:EU143)</f>
        <v>0.125</v>
      </c>
    </row>
    <row r="133" spans="1:153" x14ac:dyDescent="0.25">
      <c r="A133" s="64" t="s">
        <v>1032</v>
      </c>
      <c r="B133" s="48">
        <v>0</v>
      </c>
      <c r="C133" s="48"/>
      <c r="D133" s="48"/>
      <c r="E133" s="48"/>
      <c r="G133" s="48"/>
      <c r="H133" s="48"/>
      <c r="I133" s="48"/>
      <c r="J133" s="48"/>
      <c r="K133" s="48"/>
      <c r="L133" s="90"/>
      <c r="M133" s="48"/>
      <c r="N133" s="48"/>
      <c r="O133" s="48"/>
      <c r="P133" s="48"/>
      <c r="Q133" s="48"/>
      <c r="R133" s="90"/>
      <c r="S133" s="92" t="s">
        <v>983</v>
      </c>
      <c r="T133" s="48">
        <v>0</v>
      </c>
      <c r="U133" s="48"/>
      <c r="V133" s="48"/>
      <c r="W133" s="48"/>
      <c r="X133" s="90"/>
      <c r="Y133" s="48" t="s">
        <v>685</v>
      </c>
      <c r="Z133" s="48">
        <v>0</v>
      </c>
      <c r="AA133" s="48"/>
      <c r="AB133" s="48"/>
      <c r="AC133" s="48"/>
      <c r="AF133" s="45"/>
      <c r="AJ133" s="46"/>
      <c r="AK133" s="64" t="s">
        <v>739</v>
      </c>
      <c r="AL133" s="45">
        <v>0</v>
      </c>
      <c r="AM133" s="45" t="s">
        <v>774</v>
      </c>
      <c r="AN133" s="45">
        <f>VAR(AL130:AL154)</f>
        <v>0.13999999999999999</v>
      </c>
      <c r="AQ133" s="45"/>
      <c r="AR133" s="45"/>
      <c r="AS133" s="45"/>
      <c r="AT133" s="45"/>
      <c r="BC133" s="63" t="s">
        <v>732</v>
      </c>
      <c r="BD133">
        <v>0</v>
      </c>
      <c r="BH133" s="46"/>
      <c r="BI133" s="47" t="s">
        <v>819</v>
      </c>
      <c r="BN133" s="46"/>
      <c r="BO133" s="70" t="s">
        <v>889</v>
      </c>
      <c r="BP133" s="45">
        <v>0</v>
      </c>
      <c r="BT133" s="46"/>
      <c r="BU133" s="70" t="s">
        <v>678</v>
      </c>
      <c r="BV133" s="45">
        <v>0</v>
      </c>
      <c r="BW133" s="45" t="s">
        <v>773</v>
      </c>
      <c r="BX133" s="45">
        <f>MAX(BV131:BV155)</f>
        <v>2</v>
      </c>
      <c r="BZ133" s="46"/>
      <c r="CA133" s="70" t="s">
        <v>703</v>
      </c>
      <c r="CB133" s="45">
        <v>0</v>
      </c>
      <c r="CC133" s="45" t="s">
        <v>773</v>
      </c>
      <c r="CD133" s="45">
        <f>MAX(CB131:CB155)</f>
        <v>1</v>
      </c>
      <c r="CF133" s="65"/>
      <c r="CG133" s="73" t="s">
        <v>290</v>
      </c>
      <c r="CH133">
        <v>0</v>
      </c>
      <c r="CI133" s="45" t="s">
        <v>773</v>
      </c>
      <c r="CJ133" s="45">
        <f>MAX(CH131:CH155)</f>
        <v>2</v>
      </c>
      <c r="CL133" s="65"/>
      <c r="CM133" s="73" t="s">
        <v>370</v>
      </c>
      <c r="CN133">
        <v>0</v>
      </c>
      <c r="CO133" s="45" t="s">
        <v>773</v>
      </c>
      <c r="CP133" s="45">
        <f>MAX(CN131:CN157)</f>
        <v>1</v>
      </c>
      <c r="CR133" s="65"/>
      <c r="CS133" s="78" t="s">
        <v>604</v>
      </c>
      <c r="CT133" s="33">
        <v>0</v>
      </c>
      <c r="CU133" s="47" t="s">
        <v>775</v>
      </c>
      <c r="CV133" s="47">
        <f>AVERAGE(CT129:CT145)</f>
        <v>5.8823529411764705E-2</v>
      </c>
      <c r="CX133" s="65"/>
      <c r="DD133" s="65"/>
      <c r="DJ133" s="65"/>
      <c r="DK133" s="33" t="s">
        <v>522</v>
      </c>
      <c r="DL133" s="33"/>
      <c r="DM133" s="45" t="s">
        <v>775</v>
      </c>
      <c r="DN133" s="45" t="e">
        <f>AVERAGE(DL129:DL138)</f>
        <v>#DIV/0!</v>
      </c>
      <c r="DP133" s="65"/>
      <c r="DV133" s="109"/>
      <c r="ET133" s="30" t="s">
        <v>1308</v>
      </c>
      <c r="EU133">
        <v>0</v>
      </c>
      <c r="EV133" s="48" t="s">
        <v>776</v>
      </c>
      <c r="EW133">
        <f>STDEV(EU128:EU143)</f>
        <v>0.34156502553198659</v>
      </c>
    </row>
    <row r="134" spans="1:153" x14ac:dyDescent="0.25">
      <c r="A134" s="64" t="s">
        <v>1033</v>
      </c>
      <c r="B134" s="48">
        <v>0</v>
      </c>
      <c r="C134" s="48"/>
      <c r="D134" s="48"/>
      <c r="E134" s="48"/>
      <c r="G134" s="48"/>
      <c r="H134" s="48"/>
      <c r="I134" s="48"/>
      <c r="J134" s="48"/>
      <c r="K134" s="48"/>
      <c r="L134" s="90"/>
      <c r="M134" s="48"/>
      <c r="N134" s="48"/>
      <c r="O134" s="48"/>
      <c r="P134" s="48"/>
      <c r="Q134" s="48"/>
      <c r="R134" s="90"/>
      <c r="S134" s="93" t="s">
        <v>984</v>
      </c>
      <c r="T134" s="48">
        <v>1</v>
      </c>
      <c r="U134" s="48"/>
      <c r="V134" s="48"/>
      <c r="W134" s="48"/>
      <c r="X134" s="90"/>
      <c r="Y134" s="48" t="s">
        <v>686</v>
      </c>
      <c r="Z134" s="48">
        <v>0</v>
      </c>
      <c r="AA134" s="48"/>
      <c r="AB134" s="48"/>
      <c r="AC134" s="48"/>
      <c r="AF134" s="45"/>
      <c r="AJ134" s="46"/>
      <c r="AK134" s="64" t="s">
        <v>740</v>
      </c>
      <c r="AL134" s="45">
        <v>0</v>
      </c>
      <c r="AM134" s="45" t="s">
        <v>775</v>
      </c>
      <c r="AN134" s="45">
        <f>AVERAGE(AL130:AL154)</f>
        <v>0.16</v>
      </c>
      <c r="AQ134" s="63"/>
      <c r="AR134" s="45"/>
      <c r="AS134" s="45"/>
      <c r="AT134" s="45"/>
      <c r="BC134" s="63" t="s">
        <v>733</v>
      </c>
      <c r="BD134">
        <v>0</v>
      </c>
      <c r="BH134" s="46"/>
      <c r="BI134" s="45" t="s">
        <v>768</v>
      </c>
      <c r="BJ134" s="45" t="s">
        <v>344</v>
      </c>
      <c r="BK134" s="45" t="s">
        <v>769</v>
      </c>
      <c r="BL134" s="45" t="s">
        <v>770</v>
      </c>
      <c r="BN134" s="46"/>
      <c r="BO134" s="70" t="s">
        <v>890</v>
      </c>
      <c r="BP134" s="45">
        <v>1</v>
      </c>
      <c r="BT134" s="46"/>
      <c r="BU134" s="70" t="s">
        <v>679</v>
      </c>
      <c r="BV134" s="45">
        <v>1</v>
      </c>
      <c r="BW134" s="45" t="s">
        <v>774</v>
      </c>
      <c r="BX134" s="45">
        <f>VAR(BV131:BV155)</f>
        <v>0.32333333333333331</v>
      </c>
      <c r="BZ134" s="46"/>
      <c r="CA134" s="70" t="s">
        <v>899</v>
      </c>
      <c r="CB134" s="45">
        <v>0</v>
      </c>
      <c r="CC134" s="45" t="s">
        <v>774</v>
      </c>
      <c r="CD134" s="45">
        <f>VAR(CB131:CB155)</f>
        <v>7.6666666666666675E-2</v>
      </c>
      <c r="CF134" s="65"/>
      <c r="CG134" s="73" t="s">
        <v>291</v>
      </c>
      <c r="CH134">
        <v>0</v>
      </c>
      <c r="CI134" s="45" t="s">
        <v>774</v>
      </c>
      <c r="CJ134" s="45">
        <f>VAR(CH131:CH155)</f>
        <v>0.16</v>
      </c>
      <c r="CL134" s="65"/>
      <c r="CM134" s="73" t="s">
        <v>371</v>
      </c>
      <c r="CN134">
        <v>0</v>
      </c>
      <c r="CO134" s="45" t="s">
        <v>774</v>
      </c>
      <c r="CP134" s="45">
        <f>VAR(CN131:CN157)</f>
        <v>4.7619047619047616E-2</v>
      </c>
      <c r="CR134" s="65"/>
      <c r="CS134" s="78" t="s">
        <v>605</v>
      </c>
      <c r="CT134" s="33">
        <v>0</v>
      </c>
      <c r="CU134" s="47" t="s">
        <v>776</v>
      </c>
      <c r="CV134" s="47">
        <f>STDEV(CT129:CT145)</f>
        <v>0.24253562503633297</v>
      </c>
      <c r="CX134" s="65"/>
      <c r="DD134" s="65"/>
      <c r="DJ134" s="65"/>
      <c r="DK134" s="33" t="s">
        <v>523</v>
      </c>
      <c r="DL134" s="33"/>
      <c r="DM134" s="45" t="s">
        <v>776</v>
      </c>
      <c r="DN134" s="45" t="e">
        <f>STDEV(DL129:DL138)</f>
        <v>#DIV/0!</v>
      </c>
      <c r="DP134" s="65"/>
      <c r="DV134" s="109"/>
      <c r="ET134" s="30" t="s">
        <v>1309</v>
      </c>
      <c r="EU134">
        <v>0</v>
      </c>
    </row>
    <row r="135" spans="1:153" x14ac:dyDescent="0.25">
      <c r="A135" s="64" t="s">
        <v>1034</v>
      </c>
      <c r="B135" s="48">
        <v>0</v>
      </c>
      <c r="C135" s="48"/>
      <c r="D135" s="48"/>
      <c r="E135" s="48"/>
      <c r="G135" s="48"/>
      <c r="H135" s="48"/>
      <c r="I135" s="48"/>
      <c r="J135" s="48"/>
      <c r="K135" s="48"/>
      <c r="L135" s="90"/>
      <c r="M135" s="48"/>
      <c r="N135" s="48"/>
      <c r="O135" s="48"/>
      <c r="P135" s="48"/>
      <c r="Q135" s="48"/>
      <c r="R135" s="90"/>
      <c r="S135" s="93" t="s">
        <v>985</v>
      </c>
      <c r="T135" s="48">
        <v>0</v>
      </c>
      <c r="U135" s="48"/>
      <c r="V135" s="48"/>
      <c r="W135" s="48"/>
      <c r="X135" s="90"/>
      <c r="Y135" s="48" t="s">
        <v>1008</v>
      </c>
      <c r="Z135" s="48">
        <v>0</v>
      </c>
      <c r="AA135" s="48"/>
      <c r="AB135" s="48"/>
      <c r="AC135" s="48"/>
      <c r="AF135" s="45"/>
      <c r="AJ135" s="46"/>
      <c r="AK135" s="64" t="s">
        <v>741</v>
      </c>
      <c r="AL135" s="45">
        <v>1</v>
      </c>
      <c r="AM135" s="45" t="s">
        <v>776</v>
      </c>
      <c r="AN135" s="45">
        <f>STDEV(AL130:AL154)</f>
        <v>0.37416573867739411</v>
      </c>
      <c r="AQ135" s="63"/>
      <c r="AR135" s="45"/>
      <c r="AS135" s="45"/>
      <c r="AT135" s="45"/>
      <c r="AW135" s="45" t="s">
        <v>195</v>
      </c>
      <c r="BC135" s="63" t="s">
        <v>734</v>
      </c>
      <c r="BD135" s="45">
        <v>1</v>
      </c>
      <c r="BH135" s="46"/>
      <c r="BI135" s="63" t="s">
        <v>823</v>
      </c>
      <c r="BJ135">
        <v>0</v>
      </c>
      <c r="BK135" s="45" t="s">
        <v>771</v>
      </c>
      <c r="BL135" s="45">
        <f>SUM(BJ135:BJ140)</f>
        <v>0</v>
      </c>
      <c r="BN135" s="46"/>
      <c r="BT135" s="46"/>
      <c r="BU135" s="70" t="s">
        <v>680</v>
      </c>
      <c r="BV135" s="45">
        <v>0</v>
      </c>
      <c r="BW135" s="45" t="s">
        <v>775</v>
      </c>
      <c r="BX135" s="45">
        <f>AVERAGE(BV131:BV155)</f>
        <v>0.36</v>
      </c>
      <c r="BZ135" s="46"/>
      <c r="CA135" s="70" t="s">
        <v>704</v>
      </c>
      <c r="CB135" s="45">
        <v>1</v>
      </c>
      <c r="CC135" s="45" t="s">
        <v>775</v>
      </c>
      <c r="CD135" s="45">
        <f>AVERAGE(CB131:CB155)</f>
        <v>0.08</v>
      </c>
      <c r="CF135" s="65"/>
      <c r="CG135" s="73" t="s">
        <v>292</v>
      </c>
      <c r="CH135">
        <v>0</v>
      </c>
      <c r="CI135" s="45" t="s">
        <v>775</v>
      </c>
      <c r="CJ135" s="45">
        <f>AVERAGE(CH131:CH155)</f>
        <v>0.08</v>
      </c>
      <c r="CL135" s="65"/>
      <c r="CO135" s="45" t="s">
        <v>775</v>
      </c>
      <c r="CP135" s="45">
        <f>AVERAGE(CN131:CN157)</f>
        <v>4.7619047619047616E-2</v>
      </c>
      <c r="CR135" s="65"/>
      <c r="CS135" s="78" t="s">
        <v>566</v>
      </c>
      <c r="CT135" s="33">
        <v>0</v>
      </c>
      <c r="CU135" s="48"/>
      <c r="CV135" s="48"/>
      <c r="CX135" s="65"/>
      <c r="DD135" s="65"/>
      <c r="DJ135" s="65"/>
      <c r="DK135" s="33" t="s">
        <v>524</v>
      </c>
      <c r="DL135" s="33"/>
      <c r="DP135" s="65"/>
      <c r="DV135" s="109"/>
      <c r="ET135" s="30" t="s">
        <v>1310</v>
      </c>
      <c r="EU135">
        <v>0</v>
      </c>
    </row>
    <row r="136" spans="1:153" x14ac:dyDescent="0.25">
      <c r="A136" s="64" t="s">
        <v>685</v>
      </c>
      <c r="B136" s="48">
        <v>0</v>
      </c>
      <c r="C136" s="48"/>
      <c r="D136" s="48"/>
      <c r="E136" s="48"/>
      <c r="G136" s="48"/>
      <c r="H136" s="48"/>
      <c r="I136" s="48"/>
      <c r="J136" s="48"/>
      <c r="K136" s="48"/>
      <c r="L136" s="90"/>
      <c r="M136" s="48"/>
      <c r="N136" s="48"/>
      <c r="O136" s="48"/>
      <c r="P136" s="48"/>
      <c r="Q136" s="48"/>
      <c r="R136" s="90"/>
      <c r="S136" s="93" t="s">
        <v>986</v>
      </c>
      <c r="T136" s="48">
        <v>1</v>
      </c>
      <c r="U136" s="48"/>
      <c r="V136" s="48"/>
      <c r="W136" s="48"/>
      <c r="X136" s="90"/>
      <c r="Y136" s="48" t="s">
        <v>1009</v>
      </c>
      <c r="Z136" s="48">
        <v>0</v>
      </c>
      <c r="AA136" s="48"/>
      <c r="AB136" s="48"/>
      <c r="AC136" s="48"/>
      <c r="AJ136" s="46"/>
      <c r="AK136" s="64" t="s">
        <v>742</v>
      </c>
      <c r="AL136" s="45">
        <v>0</v>
      </c>
      <c r="AM136" s="45"/>
      <c r="AN136" s="45"/>
      <c r="AW136" s="45" t="s">
        <v>768</v>
      </c>
      <c r="AX136" s="45" t="s">
        <v>344</v>
      </c>
      <c r="AY136" s="45" t="s">
        <v>769</v>
      </c>
      <c r="AZ136" s="45" t="s">
        <v>770</v>
      </c>
      <c r="BC136" s="63" t="s">
        <v>735</v>
      </c>
      <c r="BD136" s="45">
        <v>0</v>
      </c>
      <c r="BH136" s="46"/>
      <c r="BI136" s="63" t="s">
        <v>825</v>
      </c>
      <c r="BJ136">
        <v>0</v>
      </c>
      <c r="BK136" s="45" t="s">
        <v>772</v>
      </c>
      <c r="BL136" s="45">
        <f>MIN(BJ135:BJ140)</f>
        <v>0</v>
      </c>
      <c r="BN136" s="46"/>
      <c r="BT136" s="46"/>
      <c r="BU136" s="70" t="s">
        <v>898</v>
      </c>
      <c r="BV136" s="45">
        <v>0</v>
      </c>
      <c r="BW136" s="45" t="s">
        <v>776</v>
      </c>
      <c r="BX136" s="45">
        <f>STDEV(BV131:BV155)</f>
        <v>0.56862407030773265</v>
      </c>
      <c r="BZ136" s="46"/>
      <c r="CA136" s="70" t="s">
        <v>900</v>
      </c>
      <c r="CB136" s="45">
        <v>0</v>
      </c>
      <c r="CC136" s="45" t="s">
        <v>776</v>
      </c>
      <c r="CD136" s="45">
        <f>STDEV(CB131:CB155)</f>
        <v>0.27688746209726917</v>
      </c>
      <c r="CF136" s="65"/>
      <c r="CG136" s="73" t="s">
        <v>293</v>
      </c>
      <c r="CH136">
        <v>0</v>
      </c>
      <c r="CI136" s="45" t="s">
        <v>776</v>
      </c>
      <c r="CJ136" s="45">
        <f>STDEV(CH131:CH155)</f>
        <v>0.4</v>
      </c>
      <c r="CL136" s="65"/>
      <c r="CO136" s="45" t="s">
        <v>776</v>
      </c>
      <c r="CP136" s="45">
        <f>STDEV(CN131:CN157)</f>
        <v>0.21821789023599236</v>
      </c>
      <c r="CR136" s="65"/>
      <c r="CS136" s="78" t="s">
        <v>567</v>
      </c>
      <c r="CT136" s="33">
        <v>0</v>
      </c>
      <c r="CU136" s="47"/>
      <c r="CV136" s="47"/>
      <c r="CX136" s="65"/>
      <c r="DD136" s="65"/>
      <c r="DJ136" s="65"/>
      <c r="DK136" s="33" t="s">
        <v>525</v>
      </c>
      <c r="DL136" s="33"/>
      <c r="DP136" s="65"/>
      <c r="DV136" s="109"/>
      <c r="ET136" s="30" t="s">
        <v>1264</v>
      </c>
      <c r="EU136">
        <v>0</v>
      </c>
    </row>
    <row r="137" spans="1:153" x14ac:dyDescent="0.25">
      <c r="A137" s="64" t="s">
        <v>1035</v>
      </c>
      <c r="B137" s="48">
        <v>1</v>
      </c>
      <c r="C137" s="48"/>
      <c r="D137" s="48"/>
      <c r="E137" s="48"/>
      <c r="G137" s="48"/>
      <c r="H137" s="48"/>
      <c r="I137" s="48"/>
      <c r="J137" s="48"/>
      <c r="K137" s="48"/>
      <c r="L137" s="90"/>
      <c r="M137" s="48"/>
      <c r="N137" s="48"/>
      <c r="O137" s="48"/>
      <c r="P137" s="48"/>
      <c r="Q137" s="48"/>
      <c r="R137" s="90"/>
      <c r="S137" s="93" t="s">
        <v>987</v>
      </c>
      <c r="T137" s="48">
        <v>0</v>
      </c>
      <c r="U137" s="48"/>
      <c r="V137" s="48"/>
      <c r="W137" s="48"/>
      <c r="X137" s="90"/>
      <c r="Y137" s="48" t="s">
        <v>1010</v>
      </c>
      <c r="Z137" s="48">
        <v>0</v>
      </c>
      <c r="AA137" s="48"/>
      <c r="AB137" s="48"/>
      <c r="AC137" s="48"/>
      <c r="AJ137" s="46"/>
      <c r="AK137" s="64" t="s">
        <v>743</v>
      </c>
      <c r="AL137" s="45">
        <v>0</v>
      </c>
      <c r="AM137" s="45"/>
      <c r="AN137" s="45"/>
      <c r="AW137" t="s">
        <v>652</v>
      </c>
      <c r="AX137" s="45">
        <v>0</v>
      </c>
      <c r="AY137" s="45" t="s">
        <v>771</v>
      </c>
      <c r="AZ137" s="45">
        <f>SUM(AX137:AX150)</f>
        <v>10</v>
      </c>
      <c r="BC137" s="63" t="s">
        <v>736</v>
      </c>
      <c r="BD137" s="45">
        <v>0</v>
      </c>
      <c r="BH137" s="46"/>
      <c r="BI137" s="63" t="s">
        <v>824</v>
      </c>
      <c r="BJ137">
        <v>0</v>
      </c>
      <c r="BK137" s="45" t="s">
        <v>773</v>
      </c>
      <c r="BL137" s="45">
        <f>MAX(BJ135:BJ140)</f>
        <v>0</v>
      </c>
      <c r="BN137" s="46"/>
      <c r="BO137" s="31" t="s">
        <v>667</v>
      </c>
      <c r="BP137" s="45" t="s">
        <v>344</v>
      </c>
      <c r="BQ137" s="45" t="s">
        <v>769</v>
      </c>
      <c r="BR137" s="45" t="s">
        <v>770</v>
      </c>
      <c r="BT137" s="46"/>
      <c r="BU137" s="70" t="s">
        <v>682</v>
      </c>
      <c r="BV137" s="45">
        <v>0</v>
      </c>
      <c r="BW137" s="45"/>
      <c r="BX137" s="45"/>
      <c r="BZ137" s="46"/>
      <c r="CA137" s="70" t="s">
        <v>705</v>
      </c>
      <c r="CB137" s="45">
        <v>0</v>
      </c>
      <c r="CC137" s="45"/>
      <c r="CD137" s="45"/>
      <c r="CF137" s="65"/>
      <c r="CG137" s="73" t="s">
        <v>294</v>
      </c>
      <c r="CH137">
        <v>0</v>
      </c>
      <c r="CL137" s="65"/>
      <c r="CR137" s="65"/>
      <c r="CS137" s="78" t="s">
        <v>606</v>
      </c>
      <c r="CT137" s="33">
        <v>0</v>
      </c>
      <c r="CU137" s="48"/>
      <c r="CV137" s="48"/>
      <c r="CX137" s="65"/>
      <c r="DD137" s="65"/>
      <c r="DJ137" s="65"/>
      <c r="DK137" s="33" t="s">
        <v>526</v>
      </c>
      <c r="DL137" s="33"/>
      <c r="DP137" s="65"/>
      <c r="DV137" s="109"/>
      <c r="ET137" s="30" t="s">
        <v>1311</v>
      </c>
      <c r="EU137">
        <v>0</v>
      </c>
    </row>
    <row r="138" spans="1:153" x14ac:dyDescent="0.25">
      <c r="A138" s="64" t="s">
        <v>1036</v>
      </c>
      <c r="B138" s="48">
        <v>0</v>
      </c>
      <c r="C138" s="48"/>
      <c r="D138" s="48"/>
      <c r="E138" s="48"/>
      <c r="G138" s="48"/>
      <c r="H138" s="48"/>
      <c r="I138" s="48"/>
      <c r="J138" s="48"/>
      <c r="K138" s="48"/>
      <c r="L138" s="90"/>
      <c r="M138" s="48"/>
      <c r="N138" s="48"/>
      <c r="O138" s="48"/>
      <c r="P138" s="48"/>
      <c r="Q138" s="48"/>
      <c r="R138" s="90"/>
      <c r="S138" s="93" t="s">
        <v>988</v>
      </c>
      <c r="T138" s="48">
        <v>0</v>
      </c>
      <c r="U138" s="48"/>
      <c r="V138" s="48"/>
      <c r="W138" s="48"/>
      <c r="X138" s="90"/>
      <c r="Y138" s="48" t="s">
        <v>1011</v>
      </c>
      <c r="Z138" s="48">
        <v>0</v>
      </c>
      <c r="AA138" s="48"/>
      <c r="AB138" s="48"/>
      <c r="AC138" s="48"/>
      <c r="AJ138" s="46"/>
      <c r="AK138" s="64" t="s">
        <v>644</v>
      </c>
      <c r="AL138" s="45">
        <v>0</v>
      </c>
      <c r="AM138" s="45"/>
      <c r="AN138" s="45"/>
      <c r="AQ138" s="63"/>
      <c r="AR138" s="45"/>
      <c r="AS138" s="45"/>
      <c r="AT138" s="45"/>
      <c r="AW138" t="s">
        <v>654</v>
      </c>
      <c r="AX138" s="45">
        <v>0</v>
      </c>
      <c r="AY138" s="45" t="s">
        <v>772</v>
      </c>
      <c r="AZ138" s="45">
        <f>MIN(AX137:AX150)</f>
        <v>0</v>
      </c>
      <c r="BH138" s="46"/>
      <c r="BI138" s="63" t="s">
        <v>826</v>
      </c>
      <c r="BJ138">
        <v>0</v>
      </c>
      <c r="BK138" s="45" t="s">
        <v>774</v>
      </c>
      <c r="BL138" s="45">
        <f>VAR(BJ135:BJ140)</f>
        <v>0</v>
      </c>
      <c r="BN138" s="46"/>
      <c r="BO138" s="70" t="s">
        <v>891</v>
      </c>
      <c r="BP138" s="45">
        <v>0</v>
      </c>
      <c r="BQ138" s="45" t="s">
        <v>771</v>
      </c>
      <c r="BR138" s="45">
        <f>SUM(BP138:BP142)</f>
        <v>1</v>
      </c>
      <c r="BT138" s="46"/>
      <c r="BU138" s="70" t="s">
        <v>683</v>
      </c>
      <c r="BV138" s="45">
        <v>0</v>
      </c>
      <c r="BW138" s="45"/>
      <c r="BX138" s="45"/>
      <c r="BZ138" s="46"/>
      <c r="CA138" s="70" t="s">
        <v>901</v>
      </c>
      <c r="CB138" s="45">
        <v>0</v>
      </c>
      <c r="CC138" s="45"/>
      <c r="CD138" s="45"/>
      <c r="CF138" s="65"/>
      <c r="CG138" s="73" t="s">
        <v>295</v>
      </c>
      <c r="CH138">
        <v>0</v>
      </c>
      <c r="CL138" s="65"/>
      <c r="CR138" s="65"/>
      <c r="CS138" s="78" t="s">
        <v>607</v>
      </c>
      <c r="CT138" s="33">
        <v>0</v>
      </c>
      <c r="CU138" s="47"/>
      <c r="CV138" s="47"/>
      <c r="CX138" s="65"/>
      <c r="DD138" s="65"/>
      <c r="DJ138" s="65"/>
      <c r="DK138" s="33" t="s">
        <v>527</v>
      </c>
      <c r="DL138" s="33"/>
      <c r="DP138" s="65"/>
      <c r="DV138" s="109"/>
      <c r="ET138" s="30" t="s">
        <v>1312</v>
      </c>
      <c r="EU138">
        <v>0</v>
      </c>
    </row>
    <row r="139" spans="1:153" x14ac:dyDescent="0.25">
      <c r="A139" s="64" t="s">
        <v>1037</v>
      </c>
      <c r="B139" s="48">
        <v>0</v>
      </c>
      <c r="C139" s="48"/>
      <c r="D139" s="48"/>
      <c r="E139" s="48"/>
      <c r="G139" s="48"/>
      <c r="H139" s="48"/>
      <c r="I139" s="48"/>
      <c r="J139" s="48"/>
      <c r="K139" s="48"/>
      <c r="L139" s="90"/>
      <c r="M139" s="48"/>
      <c r="N139" s="48"/>
      <c r="O139" s="48"/>
      <c r="P139" s="48"/>
      <c r="Q139" s="48"/>
      <c r="R139" s="90"/>
      <c r="S139" s="93" t="s">
        <v>989</v>
      </c>
      <c r="T139" s="48">
        <v>0</v>
      </c>
      <c r="U139" s="48"/>
      <c r="V139" s="48"/>
      <c r="W139" s="48"/>
      <c r="X139" s="90"/>
      <c r="Y139" s="48" t="s">
        <v>1012</v>
      </c>
      <c r="Z139" s="48">
        <v>0</v>
      </c>
      <c r="AA139" s="48"/>
      <c r="AB139" s="48"/>
      <c r="AC139" s="48"/>
      <c r="AJ139" s="46"/>
      <c r="AK139" s="64" t="s">
        <v>744</v>
      </c>
      <c r="AL139" s="45">
        <v>0</v>
      </c>
      <c r="AM139" s="45"/>
      <c r="AN139" s="45"/>
      <c r="AQ139" s="63"/>
      <c r="AR139" s="45"/>
      <c r="AS139" s="45"/>
      <c r="AT139" s="45"/>
      <c r="AW139" t="s">
        <v>653</v>
      </c>
      <c r="AX139" s="45">
        <v>2</v>
      </c>
      <c r="AY139" s="45" t="s">
        <v>773</v>
      </c>
      <c r="AZ139" s="45">
        <f>MAX(AX137:AX150)</f>
        <v>2</v>
      </c>
      <c r="BH139" s="46"/>
      <c r="BI139" s="63" t="s">
        <v>827</v>
      </c>
      <c r="BJ139">
        <v>0</v>
      </c>
      <c r="BK139" s="45" t="s">
        <v>775</v>
      </c>
      <c r="BL139" s="45">
        <f>AVERAGE(BJ135:BJ140)</f>
        <v>0</v>
      </c>
      <c r="BN139" s="46"/>
      <c r="BO139" s="70" t="s">
        <v>892</v>
      </c>
      <c r="BP139" s="45">
        <v>0</v>
      </c>
      <c r="BQ139" s="45" t="s">
        <v>772</v>
      </c>
      <c r="BR139" s="45">
        <f>MIN(BP138:BP142)</f>
        <v>0</v>
      </c>
      <c r="BT139" s="46"/>
      <c r="BU139" s="70" t="s">
        <v>684</v>
      </c>
      <c r="BV139" s="45">
        <v>2</v>
      </c>
      <c r="BW139" s="45"/>
      <c r="BX139" s="45"/>
      <c r="BZ139" s="46"/>
      <c r="CA139" s="70" t="s">
        <v>902</v>
      </c>
      <c r="CB139" s="45">
        <v>0</v>
      </c>
      <c r="CC139" s="45"/>
      <c r="CD139" s="45"/>
      <c r="CF139" s="65"/>
      <c r="CG139" s="73" t="s">
        <v>296</v>
      </c>
      <c r="CH139">
        <v>0</v>
      </c>
      <c r="CL139" s="65"/>
      <c r="CM139" s="45" t="s">
        <v>195</v>
      </c>
      <c r="CR139" s="65"/>
      <c r="CS139" s="78" t="s">
        <v>608</v>
      </c>
      <c r="CT139" s="33">
        <v>0</v>
      </c>
      <c r="CU139" s="47"/>
      <c r="CV139" s="47"/>
      <c r="CX139" s="65"/>
      <c r="DD139" s="65"/>
      <c r="DJ139" s="65"/>
      <c r="DK139" s="33" t="s">
        <v>528</v>
      </c>
      <c r="DP139" s="65"/>
      <c r="DV139" s="109"/>
      <c r="ET139" s="30" t="s">
        <v>1313</v>
      </c>
      <c r="EU139">
        <v>0</v>
      </c>
    </row>
    <row r="140" spans="1:153" x14ac:dyDescent="0.25">
      <c r="A140" s="64" t="s">
        <v>1038</v>
      </c>
      <c r="B140" s="48">
        <v>0</v>
      </c>
      <c r="C140" s="48"/>
      <c r="D140" s="48"/>
      <c r="E140" s="48"/>
      <c r="G140" s="48"/>
      <c r="H140" s="48"/>
      <c r="I140" s="48"/>
      <c r="J140" s="48"/>
      <c r="K140" s="48"/>
      <c r="L140" s="90"/>
      <c r="M140" s="48"/>
      <c r="N140" s="48"/>
      <c r="O140" s="48"/>
      <c r="P140" s="48"/>
      <c r="Q140" s="48"/>
      <c r="R140" s="90"/>
      <c r="S140" s="93" t="s">
        <v>990</v>
      </c>
      <c r="T140" s="48">
        <v>0</v>
      </c>
      <c r="U140" s="48"/>
      <c r="V140" s="48"/>
      <c r="W140" s="48"/>
      <c r="X140" s="90"/>
      <c r="Y140" s="48" t="s">
        <v>1013</v>
      </c>
      <c r="Z140" s="48">
        <v>0</v>
      </c>
      <c r="AA140" s="48"/>
      <c r="AB140" s="48"/>
      <c r="AC140" s="48"/>
      <c r="AE140" s="45"/>
      <c r="AF140" s="45"/>
      <c r="AG140" s="45"/>
      <c r="AH140" s="45"/>
      <c r="AJ140" s="46"/>
      <c r="AK140" s="64" t="s">
        <v>745</v>
      </c>
      <c r="AL140" s="45">
        <v>0</v>
      </c>
      <c r="AM140" s="45"/>
      <c r="AN140" s="45"/>
      <c r="AQ140" s="63"/>
      <c r="AR140" s="45"/>
      <c r="AS140" s="45"/>
      <c r="AT140" s="45"/>
      <c r="AW140" t="s">
        <v>655</v>
      </c>
      <c r="AX140" s="45">
        <v>2</v>
      </c>
      <c r="AY140" s="45" t="s">
        <v>774</v>
      </c>
      <c r="AZ140" s="45">
        <f>VAR(AX137:AX150)</f>
        <v>0.8351648351648352</v>
      </c>
      <c r="BH140" s="46"/>
      <c r="BI140" s="63" t="s">
        <v>828</v>
      </c>
      <c r="BJ140">
        <v>0</v>
      </c>
      <c r="BK140" s="45" t="s">
        <v>776</v>
      </c>
      <c r="BL140" s="45">
        <f>STDEV(BJ135:BJ140)</f>
        <v>0</v>
      </c>
      <c r="BN140" s="46"/>
      <c r="BO140" s="70" t="s">
        <v>893</v>
      </c>
      <c r="BP140" s="45">
        <v>0</v>
      </c>
      <c r="BQ140" s="45" t="s">
        <v>773</v>
      </c>
      <c r="BR140" s="45">
        <f>MAX(BP138:BP142)</f>
        <v>1</v>
      </c>
      <c r="BT140" s="46"/>
      <c r="BU140" s="70" t="s">
        <v>685</v>
      </c>
      <c r="BV140" s="45">
        <v>1</v>
      </c>
      <c r="BW140" s="45"/>
      <c r="BX140" s="45"/>
      <c r="BZ140" s="46"/>
      <c r="CA140" s="70" t="s">
        <v>903</v>
      </c>
      <c r="CB140" s="45">
        <v>0</v>
      </c>
      <c r="CC140" s="45"/>
      <c r="CD140" s="45"/>
      <c r="CF140" s="65"/>
      <c r="CG140" s="73" t="s">
        <v>297</v>
      </c>
      <c r="CH140">
        <v>2</v>
      </c>
      <c r="CL140" s="65"/>
      <c r="CM140" s="45" t="s">
        <v>768</v>
      </c>
      <c r="CN140" s="45" t="s">
        <v>344</v>
      </c>
      <c r="CO140" s="45" t="s">
        <v>769</v>
      </c>
      <c r="CP140" s="45" t="s">
        <v>770</v>
      </c>
      <c r="CR140" s="65"/>
      <c r="CS140" s="79" t="s">
        <v>572</v>
      </c>
      <c r="CT140" s="33">
        <v>0</v>
      </c>
      <c r="CU140" s="47"/>
      <c r="CV140" s="47"/>
      <c r="CX140" s="65"/>
      <c r="DD140" s="65"/>
      <c r="DJ140" s="65"/>
      <c r="DK140" s="33" t="s">
        <v>529</v>
      </c>
      <c r="DP140" s="65"/>
      <c r="DV140" s="109"/>
      <c r="ET140" s="30" t="s">
        <v>1314</v>
      </c>
      <c r="EU140">
        <v>0</v>
      </c>
    </row>
    <row r="141" spans="1:153" x14ac:dyDescent="0.25">
      <c r="A141" s="64" t="s">
        <v>1039</v>
      </c>
      <c r="B141" s="48">
        <v>0</v>
      </c>
      <c r="C141" s="48"/>
      <c r="D141" s="48"/>
      <c r="E141" s="48"/>
      <c r="G141" s="48"/>
      <c r="H141" s="48"/>
      <c r="I141" s="48"/>
      <c r="J141" s="48"/>
      <c r="K141" s="48"/>
      <c r="L141" s="90"/>
      <c r="M141" s="48"/>
      <c r="N141" s="48"/>
      <c r="O141" s="48"/>
      <c r="P141" s="48"/>
      <c r="Q141" s="48"/>
      <c r="R141" s="90"/>
      <c r="S141" s="93" t="s">
        <v>955</v>
      </c>
      <c r="T141" s="48">
        <v>0</v>
      </c>
      <c r="U141" s="48"/>
      <c r="V141" s="48"/>
      <c r="W141" s="48"/>
      <c r="X141" s="90"/>
      <c r="Y141" s="48" t="s">
        <v>1014</v>
      </c>
      <c r="Z141" s="48">
        <v>0</v>
      </c>
      <c r="AA141" s="48"/>
      <c r="AB141" s="48"/>
      <c r="AC141" s="48"/>
      <c r="AE141" s="45"/>
      <c r="AF141" s="45"/>
      <c r="AG141" s="45"/>
      <c r="AH141" s="45"/>
      <c r="AJ141" s="46"/>
      <c r="AK141" s="64" t="s">
        <v>746</v>
      </c>
      <c r="AL141" s="45">
        <v>0</v>
      </c>
      <c r="AM141" s="45"/>
      <c r="AN141" s="45"/>
      <c r="AQ141" s="63"/>
      <c r="AR141" s="45"/>
      <c r="AS141" s="45"/>
      <c r="AT141" s="45"/>
      <c r="AW141" t="s">
        <v>656</v>
      </c>
      <c r="AX141" s="45">
        <v>1</v>
      </c>
      <c r="AY141" s="45" t="s">
        <v>775</v>
      </c>
      <c r="AZ141" s="45">
        <f>AVERAGE(AX137:AX150)</f>
        <v>0.7142857142857143</v>
      </c>
      <c r="BC141" s="45" t="s">
        <v>195</v>
      </c>
      <c r="BH141" s="46"/>
      <c r="BI141" s="63"/>
      <c r="BK141" s="45"/>
      <c r="BL141" s="45"/>
      <c r="BN141" s="46"/>
      <c r="BO141" s="70" t="s">
        <v>894</v>
      </c>
      <c r="BP141" s="45">
        <v>1</v>
      </c>
      <c r="BQ141" s="45" t="s">
        <v>774</v>
      </c>
      <c r="BR141" s="45">
        <f>VAR(BP138:BP142)</f>
        <v>0.2</v>
      </c>
      <c r="BT141" s="46"/>
      <c r="BU141" s="70" t="s">
        <v>686</v>
      </c>
      <c r="BV141" s="45">
        <v>1</v>
      </c>
      <c r="BW141" s="45"/>
      <c r="BX141" s="45"/>
      <c r="BZ141" s="46"/>
      <c r="CA141" s="70" t="s">
        <v>904</v>
      </c>
      <c r="CB141" s="45">
        <v>0</v>
      </c>
      <c r="CC141" s="45"/>
      <c r="CD141" s="45"/>
      <c r="CF141" s="65"/>
      <c r="CG141" s="73" t="s">
        <v>298</v>
      </c>
      <c r="CH141">
        <v>0</v>
      </c>
      <c r="CL141" s="65"/>
      <c r="CM141" s="73" t="s">
        <v>348</v>
      </c>
      <c r="CN141">
        <v>0</v>
      </c>
      <c r="CO141" s="45" t="s">
        <v>771</v>
      </c>
      <c r="CP141" s="45">
        <f>SUM(CN141:CN167)</f>
        <v>2</v>
      </c>
      <c r="CR141" s="65"/>
      <c r="CS141" s="78" t="s">
        <v>609</v>
      </c>
      <c r="CT141" s="33">
        <v>1</v>
      </c>
      <c r="CU141" s="47"/>
      <c r="CV141" s="47"/>
      <c r="CX141" s="65"/>
      <c r="DD141" s="65"/>
      <c r="DJ141" s="65"/>
      <c r="DK141" s="33" t="s">
        <v>530</v>
      </c>
      <c r="DP141" s="65"/>
      <c r="DV141" s="109"/>
      <c r="ET141" s="30" t="s">
        <v>1315</v>
      </c>
      <c r="EU141">
        <v>0</v>
      </c>
    </row>
    <row r="142" spans="1:153" x14ac:dyDescent="0.25">
      <c r="A142" s="64" t="s">
        <v>692</v>
      </c>
      <c r="B142" s="48">
        <v>0</v>
      </c>
      <c r="C142" s="48"/>
      <c r="D142" s="48"/>
      <c r="E142" s="48"/>
      <c r="G142" s="48"/>
      <c r="H142" s="48"/>
      <c r="I142" s="48"/>
      <c r="J142" s="48"/>
      <c r="K142" s="48"/>
      <c r="L142" s="90"/>
      <c r="M142" s="48"/>
      <c r="N142" s="48"/>
      <c r="O142" s="48"/>
      <c r="P142" s="48"/>
      <c r="Q142" s="48"/>
      <c r="R142" s="90"/>
      <c r="S142" s="93" t="s">
        <v>991</v>
      </c>
      <c r="T142" s="48">
        <v>0</v>
      </c>
      <c r="U142" s="48"/>
      <c r="V142" s="48"/>
      <c r="W142" s="48"/>
      <c r="X142" s="90"/>
      <c r="Y142" s="48" t="s">
        <v>1015</v>
      </c>
      <c r="Z142" s="48">
        <v>0</v>
      </c>
      <c r="AA142" s="48"/>
      <c r="AB142" s="48"/>
      <c r="AC142" s="48"/>
      <c r="AE142" s="45"/>
      <c r="AF142" s="45"/>
      <c r="AG142" s="45"/>
      <c r="AH142" s="45"/>
      <c r="AJ142" s="46"/>
      <c r="AK142" s="64" t="s">
        <v>747</v>
      </c>
      <c r="AL142" s="45">
        <v>0</v>
      </c>
      <c r="AQ142" s="63"/>
      <c r="AR142" s="45"/>
      <c r="AS142" s="45"/>
      <c r="AT142" s="45"/>
      <c r="AW142" t="s">
        <v>657</v>
      </c>
      <c r="AX142" s="45">
        <v>0</v>
      </c>
      <c r="AY142" s="45" t="s">
        <v>776</v>
      </c>
      <c r="AZ142" s="45">
        <f>STDEV(AX137:AX150)</f>
        <v>0.91387353346337541</v>
      </c>
      <c r="BC142" s="45" t="s">
        <v>768</v>
      </c>
      <c r="BD142" s="45" t="s">
        <v>344</v>
      </c>
      <c r="BE142" s="45" t="s">
        <v>769</v>
      </c>
      <c r="BF142" s="45" t="s">
        <v>770</v>
      </c>
      <c r="BH142" s="46"/>
      <c r="BI142" s="63"/>
      <c r="BK142" s="45"/>
      <c r="BL142" s="45"/>
      <c r="BN142" s="46"/>
      <c r="BO142" s="70" t="s">
        <v>895</v>
      </c>
      <c r="BP142" s="45">
        <v>0</v>
      </c>
      <c r="BQ142" s="45" t="s">
        <v>775</v>
      </c>
      <c r="BR142" s="45">
        <f>AVERAGE(BP138:BP142)</f>
        <v>0.2</v>
      </c>
      <c r="BT142" s="46"/>
      <c r="BU142" s="70" t="s">
        <v>687</v>
      </c>
      <c r="BV142" s="45">
        <v>0</v>
      </c>
      <c r="BW142" s="45"/>
      <c r="BX142" s="45"/>
      <c r="BZ142" s="46"/>
      <c r="CA142" s="70" t="s">
        <v>905</v>
      </c>
      <c r="CB142" s="45">
        <v>0</v>
      </c>
      <c r="CC142" s="45"/>
      <c r="CD142" s="45"/>
      <c r="CF142" s="65"/>
      <c r="CG142" s="73" t="s">
        <v>299</v>
      </c>
      <c r="CH142">
        <v>0</v>
      </c>
      <c r="CL142" s="65"/>
      <c r="CM142" s="73" t="s">
        <v>349</v>
      </c>
      <c r="CN142">
        <v>0</v>
      </c>
      <c r="CO142" s="45" t="s">
        <v>772</v>
      </c>
      <c r="CP142" s="45">
        <f>MIN(CN141:CN167)</f>
        <v>0</v>
      </c>
      <c r="CR142" s="65"/>
      <c r="CS142" s="78" t="s">
        <v>610</v>
      </c>
      <c r="CT142" s="33">
        <v>0</v>
      </c>
      <c r="CU142" s="47"/>
      <c r="CV142" s="47"/>
      <c r="CX142" s="65"/>
      <c r="DD142" s="65"/>
      <c r="DJ142" s="65"/>
      <c r="DK142" s="33" t="s">
        <v>531</v>
      </c>
      <c r="DP142" s="65"/>
      <c r="DV142" s="109"/>
      <c r="ET142" s="30" t="s">
        <v>1316</v>
      </c>
      <c r="EU142">
        <v>0</v>
      </c>
    </row>
    <row r="143" spans="1:153" x14ac:dyDescent="0.25">
      <c r="A143" s="64" t="s">
        <v>1040</v>
      </c>
      <c r="B143" s="48">
        <v>0</v>
      </c>
      <c r="C143" s="48"/>
      <c r="D143" s="48"/>
      <c r="E143" s="48"/>
      <c r="G143" s="48"/>
      <c r="H143" s="48"/>
      <c r="I143" s="48"/>
      <c r="J143" s="48"/>
      <c r="K143" s="48"/>
      <c r="L143" s="90"/>
      <c r="M143" s="48"/>
      <c r="N143" s="48"/>
      <c r="O143" s="48"/>
      <c r="P143" s="48"/>
      <c r="Q143" s="48"/>
      <c r="R143" s="90"/>
      <c r="S143" s="93" t="s">
        <v>992</v>
      </c>
      <c r="T143" s="48">
        <v>0</v>
      </c>
      <c r="U143" s="48"/>
      <c r="V143" s="48"/>
      <c r="W143" s="48"/>
      <c r="X143" s="90"/>
      <c r="Y143" s="48" t="s">
        <v>1016</v>
      </c>
      <c r="Z143" s="48">
        <v>0</v>
      </c>
      <c r="AA143" s="48"/>
      <c r="AB143" s="48"/>
      <c r="AC143" s="48"/>
      <c r="AE143" s="45"/>
      <c r="AF143" s="45"/>
      <c r="AG143" s="45"/>
      <c r="AH143" s="45"/>
      <c r="AJ143" s="46"/>
      <c r="AK143" s="64" t="s">
        <v>748</v>
      </c>
      <c r="AL143" s="45">
        <v>0</v>
      </c>
      <c r="AQ143" s="63"/>
      <c r="AR143" s="45"/>
      <c r="AS143" s="45"/>
      <c r="AT143" s="45"/>
      <c r="AW143" t="s">
        <v>658</v>
      </c>
      <c r="AX143" s="45">
        <v>0</v>
      </c>
      <c r="AY143" s="45"/>
      <c r="AZ143" s="45"/>
      <c r="BC143" s="63" t="s">
        <v>717</v>
      </c>
      <c r="BD143">
        <v>0</v>
      </c>
      <c r="BE143" s="45" t="s">
        <v>771</v>
      </c>
      <c r="BF143" s="45">
        <f>SUM(BD143:BD150)</f>
        <v>0</v>
      </c>
      <c r="BH143" s="46"/>
      <c r="BI143" s="31" t="s">
        <v>667</v>
      </c>
      <c r="BJ143" s="45" t="s">
        <v>344</v>
      </c>
      <c r="BK143" s="45" t="s">
        <v>769</v>
      </c>
      <c r="BL143" s="45" t="s">
        <v>770</v>
      </c>
      <c r="BN143" s="46"/>
      <c r="BO143" s="70"/>
      <c r="BP143" s="45"/>
      <c r="BQ143" s="45" t="s">
        <v>776</v>
      </c>
      <c r="BR143" s="45">
        <f>STDEV(BP138:BP142)</f>
        <v>0.44721359549995793</v>
      </c>
      <c r="BT143" s="46"/>
      <c r="BU143" s="70" t="s">
        <v>688</v>
      </c>
      <c r="BV143" s="45">
        <v>1</v>
      </c>
      <c r="BZ143" s="46"/>
      <c r="CA143" s="70" t="s">
        <v>399</v>
      </c>
      <c r="CB143" s="45">
        <v>0</v>
      </c>
      <c r="CF143" s="65"/>
      <c r="CG143" s="73" t="s">
        <v>300</v>
      </c>
      <c r="CH143">
        <v>0</v>
      </c>
      <c r="CL143" s="65"/>
      <c r="CM143" s="73" t="s">
        <v>350</v>
      </c>
      <c r="CN143">
        <v>0</v>
      </c>
      <c r="CO143" s="45" t="s">
        <v>773</v>
      </c>
      <c r="CP143" s="45">
        <f>MAX(CN141:CN167)</f>
        <v>1</v>
      </c>
      <c r="CR143" s="65"/>
      <c r="CS143" s="78" t="s">
        <v>611</v>
      </c>
      <c r="CT143" s="33">
        <v>0</v>
      </c>
      <c r="CU143" s="47"/>
      <c r="CV143" s="47"/>
      <c r="CX143" s="65"/>
      <c r="DD143" s="65"/>
      <c r="DJ143" s="65"/>
      <c r="DK143" s="33" t="s">
        <v>532</v>
      </c>
      <c r="DP143" s="65"/>
      <c r="DV143" s="109"/>
      <c r="ET143" s="30" t="s">
        <v>1317</v>
      </c>
      <c r="EU143">
        <v>0</v>
      </c>
    </row>
    <row r="144" spans="1:153" x14ac:dyDescent="0.25">
      <c r="A144" s="64" t="s">
        <v>1041</v>
      </c>
      <c r="B144" s="48">
        <v>0</v>
      </c>
      <c r="C144" s="48"/>
      <c r="D144" s="48"/>
      <c r="E144" s="48"/>
      <c r="G144" s="48"/>
      <c r="H144" s="48"/>
      <c r="I144" s="48"/>
      <c r="J144" s="48"/>
      <c r="K144" s="48"/>
      <c r="L144" s="90"/>
      <c r="M144" s="48"/>
      <c r="N144" s="48"/>
      <c r="O144" s="48"/>
      <c r="P144" s="48"/>
      <c r="Q144" s="48"/>
      <c r="R144" s="90"/>
      <c r="S144" s="93" t="s">
        <v>993</v>
      </c>
      <c r="T144" s="48">
        <v>0</v>
      </c>
      <c r="U144" s="48"/>
      <c r="V144" s="48"/>
      <c r="W144" s="48"/>
      <c r="X144" s="90"/>
      <c r="Y144" s="48" t="s">
        <v>1017</v>
      </c>
      <c r="Z144" s="48">
        <v>0</v>
      </c>
      <c r="AA144" s="48"/>
      <c r="AB144" s="48"/>
      <c r="AC144" s="48"/>
      <c r="AE144" s="45"/>
      <c r="AF144" s="45"/>
      <c r="AG144" s="45"/>
      <c r="AH144" s="45"/>
      <c r="AJ144" s="46"/>
      <c r="AK144" s="64" t="s">
        <v>519</v>
      </c>
      <c r="AL144" s="45">
        <v>0</v>
      </c>
      <c r="AW144" t="s">
        <v>659</v>
      </c>
      <c r="AX144" s="45">
        <v>2</v>
      </c>
      <c r="AY144" s="45"/>
      <c r="AZ144" s="45"/>
      <c r="BC144" s="63" t="s">
        <v>718</v>
      </c>
      <c r="BD144">
        <v>0</v>
      </c>
      <c r="BE144" s="45" t="s">
        <v>772</v>
      </c>
      <c r="BF144" s="45">
        <f>MIN(BD143:BD150)</f>
        <v>0</v>
      </c>
      <c r="BH144" s="46"/>
      <c r="BI144" s="63" t="s">
        <v>450</v>
      </c>
      <c r="BJ144">
        <v>0</v>
      </c>
      <c r="BK144" s="45" t="s">
        <v>771</v>
      </c>
      <c r="BL144" s="45">
        <f>SUM(BJ144:BJ158)</f>
        <v>3</v>
      </c>
      <c r="BN144" s="46"/>
      <c r="BT144" s="46"/>
      <c r="BU144" s="70" t="s">
        <v>689</v>
      </c>
      <c r="BV144" s="45">
        <v>1</v>
      </c>
      <c r="BZ144" s="46"/>
      <c r="CA144" s="70" t="s">
        <v>877</v>
      </c>
      <c r="CB144" s="45">
        <v>0</v>
      </c>
      <c r="CF144" s="65"/>
      <c r="CG144" s="73" t="s">
        <v>301</v>
      </c>
      <c r="CH144">
        <v>0</v>
      </c>
      <c r="CL144" s="65"/>
      <c r="CM144" s="73" t="s">
        <v>351</v>
      </c>
      <c r="CN144">
        <v>0</v>
      </c>
      <c r="CO144" s="45" t="s">
        <v>774</v>
      </c>
      <c r="CP144" s="45">
        <f>VAR(CN141:CN167)</f>
        <v>8.3003952569169967E-2</v>
      </c>
      <c r="CR144" s="65"/>
      <c r="CS144" s="78" t="s">
        <v>612</v>
      </c>
      <c r="CT144" s="33">
        <v>0</v>
      </c>
      <c r="CU144" s="47"/>
      <c r="CV144" s="47"/>
      <c r="CX144" s="65"/>
      <c r="DD144" s="65"/>
      <c r="DJ144" s="65"/>
      <c r="DK144" s="33" t="s">
        <v>533</v>
      </c>
      <c r="DP144" s="65"/>
      <c r="DV144" s="109"/>
    </row>
    <row r="145" spans="1:126" x14ac:dyDescent="0.25">
      <c r="A145" s="64" t="s">
        <v>1042</v>
      </c>
      <c r="B145" s="48">
        <v>0</v>
      </c>
      <c r="C145" s="48"/>
      <c r="D145" s="48"/>
      <c r="E145" s="48"/>
      <c r="G145" s="48"/>
      <c r="H145" s="48"/>
      <c r="I145" s="48"/>
      <c r="J145" s="48"/>
      <c r="K145" s="48"/>
      <c r="L145" s="90"/>
      <c r="M145" s="48"/>
      <c r="N145" s="48"/>
      <c r="O145" s="48"/>
      <c r="P145" s="48"/>
      <c r="Q145" s="48"/>
      <c r="R145" s="90"/>
      <c r="S145" s="93" t="s">
        <v>994</v>
      </c>
      <c r="T145" s="48">
        <v>0</v>
      </c>
      <c r="U145" s="48"/>
      <c r="V145" s="48"/>
      <c r="W145" s="48"/>
      <c r="X145" s="90"/>
      <c r="Y145" s="48" t="s">
        <v>1018</v>
      </c>
      <c r="Z145" s="48">
        <v>0</v>
      </c>
      <c r="AA145" s="48"/>
      <c r="AB145" s="48"/>
      <c r="AC145" s="48"/>
      <c r="AE145" s="45"/>
      <c r="AF145" s="45"/>
      <c r="AG145" s="45"/>
      <c r="AH145" s="45"/>
      <c r="AJ145" s="46"/>
      <c r="AK145" s="64" t="s">
        <v>749</v>
      </c>
      <c r="AL145" s="45">
        <v>0</v>
      </c>
      <c r="AW145" t="s">
        <v>660</v>
      </c>
      <c r="AX145" s="45">
        <v>1</v>
      </c>
      <c r="AY145" s="45"/>
      <c r="AZ145" s="45"/>
      <c r="BC145" s="63" t="s">
        <v>716</v>
      </c>
      <c r="BD145">
        <v>0</v>
      </c>
      <c r="BE145" s="45" t="s">
        <v>773</v>
      </c>
      <c r="BF145" s="45">
        <f>MAX(BD143:BD150)</f>
        <v>0</v>
      </c>
      <c r="BH145" s="46"/>
      <c r="BI145" s="63" t="s">
        <v>829</v>
      </c>
      <c r="BJ145">
        <v>0</v>
      </c>
      <c r="BK145" s="45" t="s">
        <v>772</v>
      </c>
      <c r="BL145" s="45">
        <f>MIN(BJ144:BJ158)</f>
        <v>0</v>
      </c>
      <c r="BN145" s="46"/>
      <c r="BT145" s="46"/>
      <c r="BU145" s="70" t="s">
        <v>690</v>
      </c>
      <c r="BV145" s="45">
        <v>0</v>
      </c>
      <c r="BZ145" s="46"/>
      <c r="CA145" s="70" t="s">
        <v>906</v>
      </c>
      <c r="CB145" s="45">
        <v>0</v>
      </c>
      <c r="CF145" s="65"/>
      <c r="CG145" s="73" t="s">
        <v>302</v>
      </c>
      <c r="CH145">
        <v>0</v>
      </c>
      <c r="CL145" s="65"/>
      <c r="CM145" s="73" t="s">
        <v>352</v>
      </c>
      <c r="CN145">
        <v>1</v>
      </c>
      <c r="CO145" s="45" t="s">
        <v>775</v>
      </c>
      <c r="CP145" s="45">
        <f>AVERAGE(CN141:CN167)</f>
        <v>8.6956521739130432E-2</v>
      </c>
      <c r="CR145" s="65"/>
      <c r="CS145" s="78" t="s">
        <v>574</v>
      </c>
      <c r="CT145" s="33">
        <v>0</v>
      </c>
      <c r="CU145" s="45"/>
      <c r="CV145" s="45"/>
      <c r="CX145" s="65"/>
      <c r="DD145" s="65"/>
      <c r="DJ145" s="65"/>
      <c r="DK145" s="33" t="s">
        <v>534</v>
      </c>
      <c r="DP145" s="65"/>
      <c r="DV145" s="109"/>
    </row>
    <row r="146" spans="1:126" x14ac:dyDescent="0.25">
      <c r="A146" s="64" t="s">
        <v>1043</v>
      </c>
      <c r="B146" s="48">
        <v>0</v>
      </c>
      <c r="C146" s="48"/>
      <c r="D146" s="48"/>
      <c r="E146" s="48"/>
      <c r="G146" s="48"/>
      <c r="H146" s="48"/>
      <c r="I146" s="48"/>
      <c r="J146" s="48"/>
      <c r="K146" s="48"/>
      <c r="L146" s="90"/>
      <c r="M146" s="48"/>
      <c r="N146" s="48"/>
      <c r="O146" s="48"/>
      <c r="P146" s="48"/>
      <c r="Q146" s="48"/>
      <c r="R146" s="90"/>
      <c r="S146" s="90"/>
      <c r="T146" s="131" t="s">
        <v>667</v>
      </c>
      <c r="U146" s="131"/>
      <c r="V146" s="90"/>
      <c r="W146" s="90"/>
      <c r="X146" s="90"/>
      <c r="Y146" s="48" t="s">
        <v>1019</v>
      </c>
      <c r="Z146" s="48">
        <v>0</v>
      </c>
      <c r="AA146" s="48"/>
      <c r="AB146" s="48"/>
      <c r="AC146" s="48"/>
      <c r="AE146" s="45"/>
      <c r="AF146" s="45"/>
      <c r="AG146" s="45"/>
      <c r="AH146" s="45"/>
      <c r="AJ146" s="46"/>
      <c r="AK146" s="64" t="s">
        <v>750</v>
      </c>
      <c r="AL146" s="45">
        <v>0</v>
      </c>
      <c r="AQ146" s="45"/>
      <c r="AW146" t="s">
        <v>661</v>
      </c>
      <c r="AX146" s="45">
        <v>2</v>
      </c>
      <c r="AY146" s="45"/>
      <c r="AZ146" s="45"/>
      <c r="BE146" s="45" t="s">
        <v>774</v>
      </c>
      <c r="BF146" s="45">
        <f>VAR(BD143:BD150)</f>
        <v>0</v>
      </c>
      <c r="BH146" s="46"/>
      <c r="BI146" s="63" t="s">
        <v>830</v>
      </c>
      <c r="BJ146">
        <v>1</v>
      </c>
      <c r="BK146" s="45" t="s">
        <v>773</v>
      </c>
      <c r="BL146" s="45">
        <f>MAX(BJ144:BJ158)</f>
        <v>1</v>
      </c>
      <c r="BN146" s="46"/>
      <c r="BT146" s="46"/>
      <c r="BU146" s="70" t="s">
        <v>691</v>
      </c>
      <c r="BV146" s="45">
        <v>1</v>
      </c>
      <c r="BZ146" s="46"/>
      <c r="CA146" s="70" t="s">
        <v>706</v>
      </c>
      <c r="CB146" s="45">
        <v>0</v>
      </c>
      <c r="CF146" s="65"/>
      <c r="CG146" s="73" t="s">
        <v>303</v>
      </c>
      <c r="CH146">
        <v>0</v>
      </c>
      <c r="CL146" s="65"/>
      <c r="CM146" s="73" t="s">
        <v>353</v>
      </c>
      <c r="CN146">
        <v>0</v>
      </c>
      <c r="CO146" s="45" t="s">
        <v>776</v>
      </c>
      <c r="CP146" s="45">
        <f>STDEV(CN141:CN167)</f>
        <v>0.28810406552003037</v>
      </c>
      <c r="CR146" s="65"/>
      <c r="CS146" s="63"/>
      <c r="CU146" s="45"/>
      <c r="CV146" s="45"/>
      <c r="CX146" s="65"/>
      <c r="DD146" s="65"/>
      <c r="DJ146" s="65"/>
      <c r="DK146" s="33" t="s">
        <v>535</v>
      </c>
      <c r="DP146" s="65"/>
      <c r="DV146" s="109"/>
    </row>
    <row r="147" spans="1:126" x14ac:dyDescent="0.25">
      <c r="A147" s="64" t="s">
        <v>694</v>
      </c>
      <c r="B147" s="48">
        <v>0</v>
      </c>
      <c r="C147" s="48"/>
      <c r="D147" s="48"/>
      <c r="E147" s="48"/>
      <c r="G147" s="48"/>
      <c r="H147" s="48"/>
      <c r="I147" s="48"/>
      <c r="J147" s="48"/>
      <c r="K147" s="48"/>
      <c r="L147" s="90"/>
      <c r="M147" s="48"/>
      <c r="N147" s="48"/>
      <c r="O147" s="48"/>
      <c r="P147" s="48"/>
      <c r="Q147" s="48"/>
      <c r="R147" s="90"/>
      <c r="S147" s="93" t="s">
        <v>996</v>
      </c>
      <c r="T147" s="48">
        <v>0</v>
      </c>
      <c r="U147" s="48"/>
      <c r="V147" s="48"/>
      <c r="W147" s="48"/>
      <c r="X147" s="90"/>
      <c r="Y147" s="48" t="s">
        <v>1020</v>
      </c>
      <c r="Z147" s="48">
        <v>0</v>
      </c>
      <c r="AA147" s="48"/>
      <c r="AB147" s="48"/>
      <c r="AC147" s="48"/>
      <c r="AE147" s="45"/>
      <c r="AF147" s="45"/>
      <c r="AG147" s="45"/>
      <c r="AH147" s="45"/>
      <c r="AJ147" s="46"/>
      <c r="AK147" s="64" t="s">
        <v>354</v>
      </c>
      <c r="AL147" s="45">
        <v>0</v>
      </c>
      <c r="AQ147" s="45"/>
      <c r="AR147" s="45"/>
      <c r="AS147" s="45"/>
      <c r="AT147" s="45"/>
      <c r="AW147" t="s">
        <v>662</v>
      </c>
      <c r="AX147" s="45">
        <v>0</v>
      </c>
      <c r="AY147" s="45"/>
      <c r="AZ147" s="45"/>
      <c r="BE147" s="45" t="s">
        <v>775</v>
      </c>
      <c r="BF147" s="45">
        <f>AVERAGE(BD143:BD150)</f>
        <v>0</v>
      </c>
      <c r="BH147" s="46"/>
      <c r="BI147" s="63" t="s">
        <v>351</v>
      </c>
      <c r="BJ147">
        <v>0</v>
      </c>
      <c r="BK147" s="45" t="s">
        <v>774</v>
      </c>
      <c r="BL147" s="45">
        <f>VAR(BJ144:BJ158)</f>
        <v>0.17142857142857143</v>
      </c>
      <c r="BN147" s="46"/>
      <c r="BO147" s="45" t="s">
        <v>195</v>
      </c>
      <c r="BT147" s="46"/>
      <c r="BU147" s="30" t="s">
        <v>692</v>
      </c>
      <c r="BV147" s="45">
        <v>0</v>
      </c>
      <c r="BZ147" s="46"/>
      <c r="CA147" s="70" t="s">
        <v>707</v>
      </c>
      <c r="CB147" s="45">
        <v>0</v>
      </c>
      <c r="CF147" s="65"/>
      <c r="CG147" s="73" t="s">
        <v>304</v>
      </c>
      <c r="CH147">
        <v>0</v>
      </c>
      <c r="CL147" s="65"/>
      <c r="CM147" s="73" t="s">
        <v>354</v>
      </c>
      <c r="CN147">
        <v>0</v>
      </c>
      <c r="CR147" s="65"/>
      <c r="CS147" s="45" t="s">
        <v>195</v>
      </c>
      <c r="CX147" s="65"/>
      <c r="DD147" s="65"/>
      <c r="DJ147" s="65"/>
      <c r="DK147" s="33" t="s">
        <v>536</v>
      </c>
      <c r="DP147" s="65"/>
      <c r="DV147" s="109"/>
    </row>
    <row r="148" spans="1:126" x14ac:dyDescent="0.25">
      <c r="A148" s="64" t="s">
        <v>1044</v>
      </c>
      <c r="B148" s="48">
        <v>0</v>
      </c>
      <c r="C148" s="48"/>
      <c r="D148" s="48"/>
      <c r="E148" s="48"/>
      <c r="G148" s="48"/>
      <c r="H148" s="48"/>
      <c r="I148" s="48"/>
      <c r="J148" s="48"/>
      <c r="K148" s="48"/>
      <c r="L148" s="90"/>
      <c r="M148" s="48"/>
      <c r="N148" s="48"/>
      <c r="O148" s="48"/>
      <c r="P148" s="48"/>
      <c r="Q148" s="48"/>
      <c r="R148" s="90"/>
      <c r="S148" s="93" t="s">
        <v>997</v>
      </c>
      <c r="T148" s="48">
        <v>0</v>
      </c>
      <c r="U148" s="48"/>
      <c r="V148" s="48"/>
      <c r="W148" s="48"/>
      <c r="X148" s="90"/>
      <c r="Y148" s="48" t="s">
        <v>1021</v>
      </c>
      <c r="Z148" s="48">
        <v>0</v>
      </c>
      <c r="AA148" s="48"/>
      <c r="AB148" s="48"/>
      <c r="AC148" s="48"/>
      <c r="AE148" s="45"/>
      <c r="AF148" s="45"/>
      <c r="AG148" s="45"/>
      <c r="AH148" s="45"/>
      <c r="AJ148" s="46"/>
      <c r="AK148" s="64" t="s">
        <v>647</v>
      </c>
      <c r="AL148" s="45">
        <v>0</v>
      </c>
      <c r="AQ148" s="63"/>
      <c r="AR148" s="45"/>
      <c r="AS148" s="45"/>
      <c r="AT148" s="45"/>
      <c r="AW148" t="s">
        <v>663</v>
      </c>
      <c r="AX148" s="45">
        <v>0</v>
      </c>
      <c r="AY148" s="45"/>
      <c r="AZ148" s="45"/>
      <c r="BE148" s="45" t="s">
        <v>776</v>
      </c>
      <c r="BF148" s="45">
        <f>STDEV(BD143:BD150)</f>
        <v>0</v>
      </c>
      <c r="BH148" s="46"/>
      <c r="BI148" s="63" t="s">
        <v>831</v>
      </c>
      <c r="BJ148">
        <v>0</v>
      </c>
      <c r="BK148" s="45" t="s">
        <v>775</v>
      </c>
      <c r="BL148" s="45">
        <f>AVERAGE(BJ144:BJ158)</f>
        <v>0.2</v>
      </c>
      <c r="BN148" s="46"/>
      <c r="BO148" s="45" t="s">
        <v>768</v>
      </c>
      <c r="BP148" s="45" t="s">
        <v>344</v>
      </c>
      <c r="BQ148" s="45" t="s">
        <v>769</v>
      </c>
      <c r="BR148" s="45" t="s">
        <v>770</v>
      </c>
      <c r="BT148" s="46"/>
      <c r="BU148" s="70" t="s">
        <v>693</v>
      </c>
      <c r="BV148" s="45">
        <v>0</v>
      </c>
      <c r="BZ148" s="46"/>
      <c r="CA148" s="70" t="s">
        <v>708</v>
      </c>
      <c r="CB148" s="45">
        <v>0</v>
      </c>
      <c r="CF148" s="65"/>
      <c r="CG148" s="73" t="s">
        <v>305</v>
      </c>
      <c r="CH148">
        <v>0</v>
      </c>
      <c r="CL148" s="65"/>
      <c r="CM148" s="73" t="s">
        <v>355</v>
      </c>
      <c r="CN148">
        <v>0</v>
      </c>
      <c r="CR148" s="65"/>
      <c r="CS148" s="45" t="s">
        <v>768</v>
      </c>
      <c r="CT148" s="45" t="s">
        <v>344</v>
      </c>
      <c r="CU148" s="45" t="s">
        <v>769</v>
      </c>
      <c r="CV148" s="45" t="s">
        <v>770</v>
      </c>
      <c r="CX148" s="65"/>
      <c r="DD148" s="65"/>
      <c r="DJ148" s="65"/>
      <c r="DK148" s="33" t="s">
        <v>537</v>
      </c>
      <c r="DP148" s="65"/>
      <c r="DV148" s="109"/>
    </row>
    <row r="149" spans="1:126" x14ac:dyDescent="0.25">
      <c r="A149" s="64" t="s">
        <v>1045</v>
      </c>
      <c r="B149" s="48">
        <v>0</v>
      </c>
      <c r="C149" s="48"/>
      <c r="D149" s="48"/>
      <c r="E149" s="48"/>
      <c r="G149" s="48"/>
      <c r="H149" s="48"/>
      <c r="I149" s="48"/>
      <c r="J149" s="48"/>
      <c r="K149" s="48"/>
      <c r="L149" s="90"/>
      <c r="M149" s="48"/>
      <c r="N149" s="48"/>
      <c r="O149" s="48"/>
      <c r="P149" s="48"/>
      <c r="Q149" s="48"/>
      <c r="R149" s="90"/>
      <c r="S149" s="93" t="s">
        <v>1000</v>
      </c>
      <c r="T149" s="48">
        <v>0</v>
      </c>
      <c r="U149" s="48"/>
      <c r="V149" s="48"/>
      <c r="W149" s="48"/>
      <c r="X149" s="90"/>
      <c r="Y149" s="48" t="s">
        <v>1022</v>
      </c>
      <c r="Z149" s="48">
        <v>0</v>
      </c>
      <c r="AA149" s="48"/>
      <c r="AB149" s="48"/>
      <c r="AC149" s="48"/>
      <c r="AE149" s="45"/>
      <c r="AF149" s="45"/>
      <c r="AG149" s="45"/>
      <c r="AH149" s="45"/>
      <c r="AJ149" s="46"/>
      <c r="AK149" s="64" t="s">
        <v>751</v>
      </c>
      <c r="AL149" s="45">
        <v>0</v>
      </c>
      <c r="AQ149" s="63"/>
      <c r="AR149" s="45"/>
      <c r="AS149" s="45"/>
      <c r="AT149" s="45"/>
      <c r="AW149" t="s">
        <v>664</v>
      </c>
      <c r="AX149" s="45">
        <v>0</v>
      </c>
      <c r="BE149" s="45"/>
      <c r="BF149" s="45"/>
      <c r="BH149" s="46"/>
      <c r="BI149" s="63" t="s">
        <v>762</v>
      </c>
      <c r="BJ149">
        <v>0</v>
      </c>
      <c r="BK149" s="45" t="s">
        <v>776</v>
      </c>
      <c r="BL149" s="45">
        <f>STDEV(BJ144:BJ158)</f>
        <v>0.41403933560541251</v>
      </c>
      <c r="BN149" s="46"/>
      <c r="BO149" s="70" t="s">
        <v>868</v>
      </c>
      <c r="BP149" s="45">
        <v>0</v>
      </c>
      <c r="BQ149" s="45" t="s">
        <v>771</v>
      </c>
      <c r="BR149" s="45">
        <f>SUM(BP149:BP173)</f>
        <v>12</v>
      </c>
      <c r="BT149" s="46"/>
      <c r="BU149" s="70" t="s">
        <v>694</v>
      </c>
      <c r="BV149" s="45">
        <v>0</v>
      </c>
      <c r="BZ149" s="46"/>
      <c r="CA149" s="70" t="s">
        <v>709</v>
      </c>
      <c r="CB149" s="45">
        <v>0</v>
      </c>
      <c r="CF149" s="65"/>
      <c r="CG149" s="73" t="s">
        <v>306</v>
      </c>
      <c r="CH149">
        <v>0</v>
      </c>
      <c r="CL149" s="65"/>
      <c r="CM149" s="73" t="s">
        <v>356</v>
      </c>
      <c r="CN149">
        <v>0</v>
      </c>
      <c r="CR149" s="65"/>
      <c r="CS149" s="73" t="s">
        <v>593</v>
      </c>
      <c r="CT149">
        <v>0</v>
      </c>
      <c r="CU149" s="45" t="s">
        <v>771</v>
      </c>
      <c r="CV149" s="45">
        <f>SUM(CT149:CT154)</f>
        <v>1</v>
      </c>
      <c r="CX149" s="65"/>
      <c r="DD149" s="65"/>
      <c r="DJ149" s="65"/>
      <c r="DK149" s="33" t="s">
        <v>538</v>
      </c>
      <c r="DP149" s="65"/>
      <c r="DV149" s="109"/>
    </row>
    <row r="150" spans="1:126" x14ac:dyDescent="0.25">
      <c r="A150" s="64" t="s">
        <v>1046</v>
      </c>
      <c r="B150" s="48">
        <v>0</v>
      </c>
      <c r="C150" s="48"/>
      <c r="D150" s="48"/>
      <c r="E150" s="48"/>
      <c r="G150" s="48"/>
      <c r="H150" s="48"/>
      <c r="I150" s="48"/>
      <c r="J150" s="48"/>
      <c r="K150" s="48"/>
      <c r="L150" s="90"/>
      <c r="M150" s="48"/>
      <c r="N150" s="48"/>
      <c r="O150" s="48"/>
      <c r="P150" s="48"/>
      <c r="Q150" s="48"/>
      <c r="R150" s="90"/>
      <c r="S150" s="93" t="s">
        <v>998</v>
      </c>
      <c r="T150" s="48">
        <v>0</v>
      </c>
      <c r="U150" s="48"/>
      <c r="V150" s="48"/>
      <c r="W150" s="48"/>
      <c r="X150" s="90"/>
      <c r="Y150" s="48"/>
      <c r="Z150" s="48"/>
      <c r="AA150" s="48"/>
      <c r="AB150" s="48"/>
      <c r="AC150" s="48"/>
      <c r="AE150" s="45"/>
      <c r="AF150" s="45"/>
      <c r="AG150" s="45"/>
      <c r="AH150" s="45"/>
      <c r="AJ150" s="46"/>
      <c r="AK150" s="64" t="s">
        <v>752</v>
      </c>
      <c r="AL150" s="45">
        <v>0</v>
      </c>
      <c r="AQ150" s="63"/>
      <c r="AR150" s="45"/>
      <c r="AS150" s="45"/>
      <c r="AT150" s="45"/>
      <c r="AW150" t="s">
        <v>665</v>
      </c>
      <c r="AX150" s="45">
        <v>0</v>
      </c>
      <c r="BE150" s="45"/>
      <c r="BF150" s="45"/>
      <c r="BH150" s="46"/>
      <c r="BI150" s="63" t="s">
        <v>832</v>
      </c>
      <c r="BJ150">
        <v>1</v>
      </c>
      <c r="BK150" s="45"/>
      <c r="BL150" s="45"/>
      <c r="BN150" s="46"/>
      <c r="BO150" s="70" t="s">
        <v>871</v>
      </c>
      <c r="BP150" s="45">
        <v>0</v>
      </c>
      <c r="BQ150" s="45" t="s">
        <v>772</v>
      </c>
      <c r="BR150" s="45">
        <f>MIN(BP149:BP173)</f>
        <v>0</v>
      </c>
      <c r="BT150" s="46"/>
      <c r="BU150" s="70" t="s">
        <v>695</v>
      </c>
      <c r="BV150" s="45">
        <v>0</v>
      </c>
      <c r="BZ150" s="46"/>
      <c r="CA150" s="70" t="s">
        <v>710</v>
      </c>
      <c r="CB150" s="45">
        <v>0</v>
      </c>
      <c r="CF150" s="65"/>
      <c r="CG150" s="73" t="s">
        <v>307</v>
      </c>
      <c r="CH150">
        <v>0</v>
      </c>
      <c r="CL150" s="65"/>
      <c r="CM150" s="73" t="s">
        <v>357</v>
      </c>
      <c r="CN150">
        <v>0</v>
      </c>
      <c r="CR150" s="65"/>
      <c r="CS150" s="73" t="s">
        <v>594</v>
      </c>
      <c r="CT150">
        <v>0</v>
      </c>
      <c r="CU150" s="45" t="s">
        <v>772</v>
      </c>
      <c r="CV150" s="45">
        <f>MIN(CT149:CT154)</f>
        <v>0</v>
      </c>
      <c r="CX150" s="65"/>
      <c r="DD150" s="65"/>
      <c r="DJ150" s="65"/>
      <c r="DK150" s="33" t="s">
        <v>539</v>
      </c>
      <c r="DP150" s="65"/>
      <c r="DV150" s="109"/>
    </row>
    <row r="151" spans="1:126" x14ac:dyDescent="0.25">
      <c r="A151" s="48"/>
      <c r="B151" s="48"/>
      <c r="C151" s="48"/>
      <c r="D151" s="48"/>
      <c r="E151" s="48"/>
      <c r="G151" s="48"/>
      <c r="H151" s="48"/>
      <c r="I151" s="48"/>
      <c r="J151" s="48"/>
      <c r="K151" s="48"/>
      <c r="L151" s="90"/>
      <c r="M151" s="48"/>
      <c r="N151" s="48"/>
      <c r="O151" s="48"/>
      <c r="P151" s="48"/>
      <c r="Q151" s="48"/>
      <c r="R151" s="90"/>
      <c r="S151" s="93" t="s">
        <v>999</v>
      </c>
      <c r="T151" s="48">
        <v>0</v>
      </c>
      <c r="U151" s="48"/>
      <c r="V151" s="48"/>
      <c r="W151" s="48"/>
      <c r="X151" s="90"/>
      <c r="Y151" s="48"/>
      <c r="Z151" s="48"/>
      <c r="AA151" s="48"/>
      <c r="AB151" s="48"/>
      <c r="AC151" s="48"/>
      <c r="AE151" s="45"/>
      <c r="AF151" s="45"/>
      <c r="AG151" s="45"/>
      <c r="AH151" s="45"/>
      <c r="AJ151" s="46"/>
      <c r="AK151" s="64" t="s">
        <v>753</v>
      </c>
      <c r="AL151" s="45">
        <v>1</v>
      </c>
      <c r="AQ151" s="63"/>
      <c r="AR151" s="45"/>
      <c r="AS151" s="45"/>
      <c r="AT151" s="45"/>
      <c r="AW151" s="47"/>
      <c r="AX151" s="45"/>
      <c r="BC151" s="31" t="s">
        <v>667</v>
      </c>
      <c r="BD151" t="s">
        <v>344</v>
      </c>
      <c r="BE151" s="45" t="s">
        <v>769</v>
      </c>
      <c r="BF151" s="45" t="s">
        <v>770</v>
      </c>
      <c r="BH151" s="46"/>
      <c r="BI151" s="63" t="s">
        <v>833</v>
      </c>
      <c r="BJ151">
        <v>0</v>
      </c>
      <c r="BN151" s="46"/>
      <c r="BO151" s="70" t="s">
        <v>869</v>
      </c>
      <c r="BP151" s="45">
        <v>1</v>
      </c>
      <c r="BQ151" s="45" t="s">
        <v>773</v>
      </c>
      <c r="BR151" s="45">
        <f>MAX(BP149:BP173)</f>
        <v>2</v>
      </c>
      <c r="BT151" s="46"/>
      <c r="BU151" s="70" t="s">
        <v>696</v>
      </c>
      <c r="BV151" s="45">
        <v>0</v>
      </c>
      <c r="BZ151" s="46"/>
      <c r="CA151" s="70" t="s">
        <v>711</v>
      </c>
      <c r="CB151" s="45">
        <v>0</v>
      </c>
      <c r="CF151" s="65"/>
      <c r="CG151" s="73" t="s">
        <v>308</v>
      </c>
      <c r="CH151">
        <v>0</v>
      </c>
      <c r="CL151" s="65"/>
      <c r="CM151" s="73" t="s">
        <v>358</v>
      </c>
      <c r="CN151">
        <v>0</v>
      </c>
      <c r="CR151" s="65"/>
      <c r="CS151" s="73" t="s">
        <v>595</v>
      </c>
      <c r="CT151">
        <v>1</v>
      </c>
      <c r="CU151" s="45" t="s">
        <v>773</v>
      </c>
      <c r="CV151" s="45">
        <f>MAX(CT149:CT154)</f>
        <v>1</v>
      </c>
      <c r="CX151" s="65"/>
      <c r="DD151" s="65"/>
      <c r="DJ151" s="65"/>
      <c r="DK151" s="33" t="s">
        <v>540</v>
      </c>
      <c r="DP151" s="65"/>
      <c r="DV151" s="109"/>
    </row>
    <row r="152" spans="1:126" x14ac:dyDescent="0.25">
      <c r="A152" s="48"/>
      <c r="B152" s="48"/>
      <c r="C152" s="48"/>
      <c r="D152" s="48"/>
      <c r="E152" s="48"/>
      <c r="G152" s="48"/>
      <c r="H152" s="48"/>
      <c r="I152" s="48"/>
      <c r="J152" s="48"/>
      <c r="K152" s="48"/>
      <c r="L152" s="90"/>
      <c r="M152" s="48"/>
      <c r="N152" s="48"/>
      <c r="O152" s="48"/>
      <c r="P152" s="48"/>
      <c r="Q152" s="48"/>
      <c r="R152" s="90"/>
      <c r="S152" s="48"/>
      <c r="T152" s="48"/>
      <c r="U152" s="48"/>
      <c r="V152" s="48"/>
      <c r="W152" s="48"/>
      <c r="X152" s="90"/>
      <c r="Y152" s="48"/>
      <c r="Z152" s="48"/>
      <c r="AA152" s="48"/>
      <c r="AB152" s="48"/>
      <c r="AC152" s="48"/>
      <c r="AF152" s="45"/>
      <c r="AJ152" s="46"/>
      <c r="AK152" s="64" t="s">
        <v>754</v>
      </c>
      <c r="AL152" s="45">
        <v>0</v>
      </c>
      <c r="AQ152" s="63"/>
      <c r="AR152" s="45"/>
      <c r="AS152" s="45"/>
      <c r="AT152" s="45"/>
      <c r="AW152" s="47"/>
      <c r="AX152" s="45"/>
      <c r="BC152" s="63" t="s">
        <v>655</v>
      </c>
      <c r="BD152">
        <v>0</v>
      </c>
      <c r="BE152" s="45" t="s">
        <v>771</v>
      </c>
      <c r="BF152" s="45">
        <f>SUM(BD152:BD173)</f>
        <v>7</v>
      </c>
      <c r="BH152" s="46"/>
      <c r="BI152" s="63" t="s">
        <v>834</v>
      </c>
      <c r="BJ152">
        <v>0</v>
      </c>
      <c r="BN152" s="46"/>
      <c r="BO152" s="70" t="s">
        <v>870</v>
      </c>
      <c r="BP152" s="45">
        <v>0</v>
      </c>
      <c r="BQ152" s="45" t="s">
        <v>774</v>
      </c>
      <c r="BR152" s="45">
        <f>VAR(BP149:BP173)</f>
        <v>0.51</v>
      </c>
      <c r="BT152" s="46"/>
      <c r="BU152" s="70" t="s">
        <v>697</v>
      </c>
      <c r="BV152" s="45">
        <v>0</v>
      </c>
      <c r="BZ152" s="46"/>
      <c r="CA152" s="70" t="s">
        <v>712</v>
      </c>
      <c r="CB152" s="45">
        <v>0</v>
      </c>
      <c r="CF152" s="65"/>
      <c r="CG152" s="73" t="s">
        <v>309</v>
      </c>
      <c r="CH152">
        <v>0</v>
      </c>
      <c r="CL152" s="65"/>
      <c r="CM152" s="73" t="s">
        <v>359</v>
      </c>
      <c r="CN152">
        <v>0</v>
      </c>
      <c r="CR152" s="65"/>
      <c r="CS152" s="63"/>
      <c r="CU152" s="45" t="s">
        <v>774</v>
      </c>
      <c r="CV152" s="45">
        <f>VAR(CT149:CT154)</f>
        <v>0.33333333333333337</v>
      </c>
      <c r="CX152" s="65"/>
      <c r="DD152" s="65"/>
      <c r="DJ152" s="65"/>
      <c r="DK152" s="33" t="s">
        <v>541</v>
      </c>
      <c r="DP152" s="65"/>
      <c r="DV152" s="109"/>
    </row>
    <row r="153" spans="1:126" x14ac:dyDescent="0.25">
      <c r="G153" s="48"/>
      <c r="H153" s="48"/>
      <c r="I153" s="48"/>
      <c r="J153" s="48"/>
      <c r="K153" s="48"/>
      <c r="L153" s="90"/>
      <c r="M153" s="48"/>
      <c r="N153" s="48"/>
      <c r="O153" s="48"/>
      <c r="P153" s="48"/>
      <c r="Q153" s="48"/>
      <c r="R153" s="90"/>
      <c r="S153" s="48"/>
      <c r="T153" s="132"/>
      <c r="U153" s="132"/>
      <c r="V153" s="48"/>
      <c r="W153" s="48"/>
      <c r="X153" s="90"/>
      <c r="Y153" s="48"/>
      <c r="Z153" s="48"/>
      <c r="AA153" s="48"/>
      <c r="AB153" s="48"/>
      <c r="AC153" s="48"/>
      <c r="AF153" s="45"/>
      <c r="AJ153" s="46"/>
      <c r="AK153" s="64" t="s">
        <v>755</v>
      </c>
      <c r="AL153" s="45">
        <v>0</v>
      </c>
      <c r="AQ153" s="63"/>
      <c r="AR153" s="45"/>
      <c r="AS153" s="45"/>
      <c r="AT153" s="45"/>
      <c r="AW153" s="31" t="s">
        <v>667</v>
      </c>
      <c r="AX153" s="45" t="s">
        <v>344</v>
      </c>
      <c r="AY153" s="45" t="s">
        <v>769</v>
      </c>
      <c r="AZ153" s="45" t="s">
        <v>770</v>
      </c>
      <c r="BC153" s="63" t="s">
        <v>719</v>
      </c>
      <c r="BD153">
        <v>0</v>
      </c>
      <c r="BE153" s="45" t="s">
        <v>772</v>
      </c>
      <c r="BF153" s="45">
        <f>MIN(BD152:BD173)</f>
        <v>0</v>
      </c>
      <c r="BH153" s="46"/>
      <c r="BI153" s="63" t="s">
        <v>835</v>
      </c>
      <c r="BJ153">
        <v>1</v>
      </c>
      <c r="BN153" s="46"/>
      <c r="BO153" s="70" t="s">
        <v>872</v>
      </c>
      <c r="BP153" s="45">
        <v>1</v>
      </c>
      <c r="BQ153" s="45" t="s">
        <v>775</v>
      </c>
      <c r="BR153" s="45">
        <f>AVERAGE(BP149:BP173)</f>
        <v>0.48</v>
      </c>
      <c r="BT153" s="46"/>
      <c r="BU153" s="70" t="s">
        <v>698</v>
      </c>
      <c r="BV153" s="45">
        <v>0</v>
      </c>
      <c r="BZ153" s="46"/>
      <c r="CA153" s="70" t="s">
        <v>713</v>
      </c>
      <c r="CB153" s="45">
        <v>0</v>
      </c>
      <c r="CF153" s="65"/>
      <c r="CG153" s="73" t="s">
        <v>310</v>
      </c>
      <c r="CH153">
        <v>0</v>
      </c>
      <c r="CL153" s="65"/>
      <c r="CM153" s="73" t="s">
        <v>360</v>
      </c>
      <c r="CN153">
        <v>0</v>
      </c>
      <c r="CR153" s="65"/>
      <c r="CS153" s="63"/>
      <c r="CU153" s="45" t="s">
        <v>775</v>
      </c>
      <c r="CV153" s="45">
        <f>AVERAGE(CT149:CT154)</f>
        <v>0.33333333333333331</v>
      </c>
      <c r="CX153" s="65"/>
      <c r="DD153" s="65"/>
      <c r="DJ153" s="65"/>
      <c r="DK153" s="33" t="s">
        <v>542</v>
      </c>
      <c r="DP153" s="65"/>
      <c r="DV153" s="109"/>
    </row>
    <row r="154" spans="1:126" x14ac:dyDescent="0.25">
      <c r="G154" s="48"/>
      <c r="H154" s="48"/>
      <c r="I154" s="48"/>
      <c r="J154" s="48"/>
      <c r="K154" s="48"/>
      <c r="L154" s="90"/>
      <c r="M154" s="48"/>
      <c r="N154" s="48"/>
      <c r="O154" s="48"/>
      <c r="P154" s="48"/>
      <c r="Q154" s="48"/>
      <c r="R154" s="90"/>
      <c r="T154" s="48"/>
      <c r="U154" s="48"/>
      <c r="V154" s="48"/>
      <c r="W154" s="48"/>
      <c r="X154" s="90"/>
      <c r="Y154" s="48"/>
      <c r="Z154" s="48"/>
      <c r="AA154" s="48"/>
      <c r="AB154" s="48"/>
      <c r="AC154" s="48"/>
      <c r="AF154" s="45"/>
      <c r="AJ154" s="46"/>
      <c r="AK154" s="64" t="s">
        <v>756</v>
      </c>
      <c r="AL154" s="45">
        <v>1</v>
      </c>
      <c r="AQ154" s="63"/>
      <c r="AR154" s="45"/>
      <c r="AS154" s="45"/>
      <c r="AT154" s="45"/>
      <c r="AW154" s="63" t="s">
        <v>810</v>
      </c>
      <c r="AX154" s="45">
        <v>0</v>
      </c>
      <c r="AY154" s="45" t="s">
        <v>771</v>
      </c>
      <c r="AZ154" s="45">
        <f>SUM(AX154:AX163)</f>
        <v>7</v>
      </c>
      <c r="BC154" s="63" t="s">
        <v>720</v>
      </c>
      <c r="BD154">
        <v>0</v>
      </c>
      <c r="BE154" s="45" t="s">
        <v>773</v>
      </c>
      <c r="BF154" s="45">
        <f>MAX(BD152:BD173)</f>
        <v>3</v>
      </c>
      <c r="BH154" s="46"/>
      <c r="BI154" s="63" t="s">
        <v>836</v>
      </c>
      <c r="BJ154">
        <v>0</v>
      </c>
      <c r="BN154" s="46"/>
      <c r="BO154" s="70" t="s">
        <v>873</v>
      </c>
      <c r="BP154" s="45">
        <v>2</v>
      </c>
      <c r="BQ154" s="45" t="s">
        <v>776</v>
      </c>
      <c r="BR154" s="45">
        <f>STDEV(BP149:BP173)</f>
        <v>0.71414284285428498</v>
      </c>
      <c r="BT154" s="46"/>
      <c r="BU154" s="70" t="s">
        <v>699</v>
      </c>
      <c r="BV154" s="45">
        <v>0</v>
      </c>
      <c r="BZ154" s="46"/>
      <c r="CA154" s="63" t="s">
        <v>714</v>
      </c>
      <c r="CB154" s="45">
        <v>0</v>
      </c>
      <c r="CF154" s="65"/>
      <c r="CG154" s="73" t="s">
        <v>311</v>
      </c>
      <c r="CH154">
        <v>0</v>
      </c>
      <c r="CL154" s="65"/>
      <c r="CM154" s="73" t="s">
        <v>361</v>
      </c>
      <c r="CN154">
        <v>0</v>
      </c>
      <c r="CR154" s="65"/>
      <c r="CS154" s="63"/>
      <c r="CU154" s="45" t="s">
        <v>776</v>
      </c>
      <c r="CV154" s="45">
        <f>STDEV(CT149:CT154)</f>
        <v>0.57735026918962584</v>
      </c>
      <c r="CX154" s="65"/>
      <c r="DD154" s="65"/>
      <c r="DJ154" s="65"/>
      <c r="DP154" s="65"/>
      <c r="DV154" s="109"/>
    </row>
    <row r="155" spans="1:126" x14ac:dyDescent="0.25">
      <c r="G155" s="48"/>
      <c r="H155" s="48"/>
      <c r="I155" s="48"/>
      <c r="J155" s="48"/>
      <c r="K155" s="48"/>
      <c r="L155" s="90"/>
      <c r="M155" s="48"/>
      <c r="N155" s="48"/>
      <c r="O155" s="48"/>
      <c r="P155" s="48"/>
      <c r="Q155" s="48"/>
      <c r="R155" s="90"/>
      <c r="T155" s="48"/>
      <c r="U155" s="48"/>
      <c r="V155" s="48"/>
      <c r="W155" s="48"/>
      <c r="X155" s="90"/>
      <c r="Y155" s="48"/>
      <c r="Z155" s="48"/>
      <c r="AA155" s="48"/>
      <c r="AB155" s="48"/>
      <c r="AC155" s="48"/>
      <c r="AF155" s="45"/>
      <c r="AJ155" s="46"/>
      <c r="AK155" s="48"/>
      <c r="AL155" s="45"/>
      <c r="AM155" s="45"/>
      <c r="AN155" s="45"/>
      <c r="AQ155" s="63"/>
      <c r="AR155" s="45"/>
      <c r="AS155" s="45"/>
      <c r="AT155" s="45"/>
      <c r="AW155" s="63" t="s">
        <v>809</v>
      </c>
      <c r="AX155" s="45">
        <v>3</v>
      </c>
      <c r="AY155" s="45" t="s">
        <v>772</v>
      </c>
      <c r="AZ155" s="45">
        <f>MIN(AX154:AX163)</f>
        <v>0</v>
      </c>
      <c r="BC155" s="63" t="s">
        <v>721</v>
      </c>
      <c r="BD155">
        <v>0</v>
      </c>
      <c r="BE155" s="45" t="s">
        <v>774</v>
      </c>
      <c r="BF155" s="45">
        <f>VAR(BD152:BD173)</f>
        <v>0.51298701298701299</v>
      </c>
      <c r="BH155" s="46"/>
      <c r="BI155" s="63" t="s">
        <v>837</v>
      </c>
      <c r="BJ155">
        <v>0</v>
      </c>
      <c r="BN155" s="46"/>
      <c r="BO155" s="70" t="s">
        <v>874</v>
      </c>
      <c r="BP155" s="45">
        <v>0</v>
      </c>
      <c r="BQ155" s="45"/>
      <c r="BR155" s="45"/>
      <c r="BT155" s="46"/>
      <c r="BU155" s="70" t="s">
        <v>700</v>
      </c>
      <c r="BV155" s="45">
        <v>0</v>
      </c>
      <c r="BZ155" s="46"/>
      <c r="CA155" s="63" t="s">
        <v>715</v>
      </c>
      <c r="CB155" s="45">
        <v>0</v>
      </c>
      <c r="CF155" s="65"/>
      <c r="CG155" s="73" t="s">
        <v>312</v>
      </c>
      <c r="CH155">
        <v>0</v>
      </c>
      <c r="CL155" s="65"/>
      <c r="CM155" s="73" t="s">
        <v>362</v>
      </c>
      <c r="CN155">
        <v>0</v>
      </c>
      <c r="CR155" s="65"/>
      <c r="CS155" s="63"/>
      <c r="CU155" s="45"/>
      <c r="CV155" s="45"/>
      <c r="CX155" s="65"/>
      <c r="DD155" s="65"/>
      <c r="DJ155" s="65"/>
      <c r="DP155" s="65"/>
      <c r="DV155" s="109"/>
    </row>
    <row r="156" spans="1:126" x14ac:dyDescent="0.25">
      <c r="G156" s="48"/>
      <c r="H156" s="48"/>
      <c r="I156" s="48"/>
      <c r="J156" s="48"/>
      <c r="K156" s="48"/>
      <c r="L156" s="90"/>
      <c r="M156" s="48"/>
      <c r="N156" s="48"/>
      <c r="O156" s="48"/>
      <c r="P156" s="48"/>
      <c r="Q156" s="48"/>
      <c r="R156" s="90"/>
      <c r="T156" s="48"/>
      <c r="U156" s="48"/>
      <c r="V156" s="48"/>
      <c r="W156" s="48"/>
      <c r="X156" s="90"/>
      <c r="Y156" s="48"/>
      <c r="Z156" s="48"/>
      <c r="AA156" s="48"/>
      <c r="AB156" s="48"/>
      <c r="AC156" s="48"/>
      <c r="AF156" s="45"/>
      <c r="AJ156" s="46"/>
      <c r="AK156" s="64"/>
      <c r="AL156" s="45"/>
      <c r="AM156" s="45"/>
      <c r="AN156" s="45"/>
      <c r="AQ156" s="63"/>
      <c r="AR156" s="45"/>
      <c r="AS156" s="45"/>
      <c r="AT156" s="45"/>
      <c r="AW156" s="63" t="s">
        <v>811</v>
      </c>
      <c r="AX156" s="45">
        <v>0</v>
      </c>
      <c r="AY156" s="45" t="s">
        <v>773</v>
      </c>
      <c r="AZ156" s="45">
        <f>MAX(AX154:AX163)</f>
        <v>3</v>
      </c>
      <c r="BC156" s="63" t="s">
        <v>679</v>
      </c>
      <c r="BD156">
        <v>0</v>
      </c>
      <c r="BE156" s="45" t="s">
        <v>775</v>
      </c>
      <c r="BF156" s="45">
        <f>AVERAGE(BD152:BD173)</f>
        <v>0.31818181818181818</v>
      </c>
      <c r="BH156" s="46"/>
      <c r="BI156" s="63" t="s">
        <v>838</v>
      </c>
      <c r="BJ156">
        <v>0</v>
      </c>
      <c r="BN156" s="46"/>
      <c r="BO156" s="70" t="s">
        <v>875</v>
      </c>
      <c r="BP156" s="45">
        <v>0</v>
      </c>
      <c r="BQ156" s="45"/>
      <c r="BR156" s="45"/>
      <c r="BT156" s="46"/>
      <c r="BZ156" s="46"/>
      <c r="CF156" s="65"/>
      <c r="CG156" s="73" t="s">
        <v>313</v>
      </c>
      <c r="CH156">
        <v>0</v>
      </c>
      <c r="CL156" s="65"/>
      <c r="CM156" s="73" t="s">
        <v>363</v>
      </c>
      <c r="CN156">
        <v>0</v>
      </c>
      <c r="CR156" s="65"/>
      <c r="CS156" s="63"/>
      <c r="CU156" s="45"/>
      <c r="CV156" s="45"/>
      <c r="CX156" s="65"/>
      <c r="DD156" s="65"/>
      <c r="DJ156" s="65"/>
      <c r="DP156" s="65"/>
      <c r="DV156" s="109"/>
    </row>
    <row r="157" spans="1:126" x14ac:dyDescent="0.25">
      <c r="G157" s="48"/>
      <c r="H157" s="48"/>
      <c r="I157" s="48"/>
      <c r="J157" s="48"/>
      <c r="K157" s="48"/>
      <c r="L157" s="90"/>
      <c r="M157" s="48"/>
      <c r="N157" s="48"/>
      <c r="O157" s="48"/>
      <c r="P157" s="48"/>
      <c r="Q157" s="48"/>
      <c r="R157" s="90"/>
      <c r="T157" s="48"/>
      <c r="U157" s="48"/>
      <c r="V157" s="48"/>
      <c r="W157" s="48"/>
      <c r="X157" s="90"/>
      <c r="Y157" s="48"/>
      <c r="Z157" s="48"/>
      <c r="AA157" s="48"/>
      <c r="AB157" s="48"/>
      <c r="AC157" s="48"/>
      <c r="AF157" s="45"/>
      <c r="AJ157" s="46"/>
      <c r="AK157" s="64"/>
      <c r="AL157" s="45"/>
      <c r="AM157" s="45"/>
      <c r="AN157" s="45"/>
      <c r="AQ157" s="63"/>
      <c r="AR157" s="45"/>
      <c r="AS157" s="45"/>
      <c r="AT157" s="45"/>
      <c r="AW157" s="63" t="s">
        <v>812</v>
      </c>
      <c r="AX157" s="45">
        <v>0</v>
      </c>
      <c r="AY157" s="45" t="s">
        <v>774</v>
      </c>
      <c r="AZ157" s="45">
        <f>VAR(AX154:AX163)</f>
        <v>1.1222222222222222</v>
      </c>
      <c r="BC157" s="63" t="s">
        <v>722</v>
      </c>
      <c r="BD157">
        <v>0</v>
      </c>
      <c r="BE157" s="45" t="s">
        <v>776</v>
      </c>
      <c r="BF157" s="45">
        <f>STDEV(BD152:BD173)</f>
        <v>0.71623111701950859</v>
      </c>
      <c r="BH157" s="46"/>
      <c r="BI157" s="63" t="s">
        <v>839</v>
      </c>
      <c r="BJ157">
        <v>0</v>
      </c>
      <c r="BN157" s="46"/>
      <c r="BO157" s="70" t="s">
        <v>876</v>
      </c>
      <c r="BP157" s="45">
        <v>1</v>
      </c>
      <c r="BQ157" s="45"/>
      <c r="BR157" s="45"/>
      <c r="BT157" s="46"/>
      <c r="BZ157" s="46"/>
      <c r="CF157" s="65"/>
      <c r="CL157" s="65"/>
      <c r="CM157" s="73" t="s">
        <v>364</v>
      </c>
      <c r="CN157">
        <v>0</v>
      </c>
      <c r="CR157" s="65"/>
      <c r="CS157" s="31" t="s">
        <v>667</v>
      </c>
      <c r="CT157" s="45" t="s">
        <v>344</v>
      </c>
      <c r="CU157" s="45" t="s">
        <v>769</v>
      </c>
      <c r="CV157" s="45" t="s">
        <v>770</v>
      </c>
      <c r="CX157" s="65"/>
      <c r="DD157" s="65"/>
      <c r="DJ157" s="65"/>
      <c r="DP157" s="65"/>
      <c r="DV157" s="109"/>
    </row>
    <row r="158" spans="1:126" x14ac:dyDescent="0.25">
      <c r="G158" s="48"/>
      <c r="H158" s="48"/>
      <c r="I158" s="48"/>
      <c r="J158" s="48"/>
      <c r="K158" s="48"/>
      <c r="L158" s="90"/>
      <c r="M158" s="48"/>
      <c r="N158" s="48"/>
      <c r="O158" s="48"/>
      <c r="P158" s="48"/>
      <c r="Q158" s="48"/>
      <c r="R158" s="90"/>
      <c r="T158" s="48"/>
      <c r="U158" s="48"/>
      <c r="V158" s="48"/>
      <c r="W158" s="48"/>
      <c r="X158" s="90"/>
      <c r="Y158" s="48"/>
      <c r="Z158" s="48"/>
      <c r="AA158" s="48"/>
      <c r="AB158" s="48"/>
      <c r="AC158" s="48"/>
      <c r="AJ158" s="46"/>
      <c r="AK158" s="64"/>
      <c r="AL158" s="45"/>
      <c r="AM158" s="45"/>
      <c r="AN158" s="45"/>
      <c r="AW158" s="63" t="s">
        <v>813</v>
      </c>
      <c r="AX158" s="45">
        <v>0</v>
      </c>
      <c r="AY158" s="45" t="s">
        <v>775</v>
      </c>
      <c r="AZ158" s="45">
        <f>AVERAGE(AX154:AX163)</f>
        <v>0.7</v>
      </c>
      <c r="BC158" s="63" t="s">
        <v>723</v>
      </c>
      <c r="BD158">
        <v>0</v>
      </c>
      <c r="BH158" s="46"/>
      <c r="BI158" s="63" t="s">
        <v>840</v>
      </c>
      <c r="BJ158">
        <v>0</v>
      </c>
      <c r="BN158" s="46"/>
      <c r="BO158" s="70" t="s">
        <v>877</v>
      </c>
      <c r="BP158" s="45">
        <v>0</v>
      </c>
      <c r="BQ158" s="45"/>
      <c r="BR158" s="45"/>
      <c r="BT158" s="46"/>
      <c r="BZ158" s="46"/>
      <c r="CF158" s="65"/>
      <c r="CL158" s="65"/>
      <c r="CM158" s="73" t="s">
        <v>308</v>
      </c>
      <c r="CN158">
        <v>0</v>
      </c>
      <c r="CR158" s="65"/>
      <c r="CS158" s="73" t="s">
        <v>596</v>
      </c>
      <c r="CT158">
        <v>0</v>
      </c>
      <c r="CU158" s="45" t="s">
        <v>771</v>
      </c>
      <c r="CV158" s="45">
        <f>SUM(CT158:CT166)</f>
        <v>1</v>
      </c>
      <c r="CX158" s="65"/>
      <c r="DD158" s="65"/>
      <c r="DJ158" s="65"/>
      <c r="DP158" s="65"/>
      <c r="DV158" s="109"/>
    </row>
    <row r="159" spans="1:126" x14ac:dyDescent="0.25">
      <c r="G159" s="48"/>
      <c r="H159" s="48"/>
      <c r="I159" s="48"/>
      <c r="J159" s="48"/>
      <c r="K159" s="48"/>
      <c r="L159" s="90"/>
      <c r="M159" s="48"/>
      <c r="N159" s="48"/>
      <c r="O159" s="48"/>
      <c r="P159" s="48"/>
      <c r="Q159" s="48"/>
      <c r="R159" s="90"/>
      <c r="T159" s="48"/>
      <c r="U159" s="48"/>
      <c r="V159" s="48"/>
      <c r="W159" s="48"/>
      <c r="X159" s="90"/>
      <c r="Y159" s="48"/>
      <c r="Z159" s="48"/>
      <c r="AA159" s="48"/>
      <c r="AB159" s="48"/>
      <c r="AC159" s="48"/>
      <c r="AJ159" s="46"/>
      <c r="AK159" s="64"/>
      <c r="AL159" s="45"/>
      <c r="AM159" s="45"/>
      <c r="AN159" s="45"/>
      <c r="AW159" s="63" t="s">
        <v>808</v>
      </c>
      <c r="AX159" s="45">
        <v>0</v>
      </c>
      <c r="AY159" s="45" t="s">
        <v>776</v>
      </c>
      <c r="AZ159" s="45">
        <f>STDEV(AX154:AX163)</f>
        <v>1.0593499054713802</v>
      </c>
      <c r="BC159" s="63" t="s">
        <v>821</v>
      </c>
      <c r="BD159">
        <v>0</v>
      </c>
      <c r="BH159" s="46"/>
      <c r="BI159" s="63"/>
      <c r="BN159" s="46"/>
      <c r="BO159" s="70" t="s">
        <v>878</v>
      </c>
      <c r="BP159" s="45">
        <v>0</v>
      </c>
      <c r="BQ159" s="45"/>
      <c r="BR159" s="45"/>
      <c r="BT159" s="46"/>
      <c r="BZ159" s="46"/>
      <c r="CF159" s="65"/>
      <c r="CL159" s="65"/>
      <c r="CM159" s="73" t="s">
        <v>365</v>
      </c>
      <c r="CN159">
        <v>0</v>
      </c>
      <c r="CR159" s="65"/>
      <c r="CS159" s="73" t="s">
        <v>597</v>
      </c>
      <c r="CT159">
        <v>0</v>
      </c>
      <c r="CU159" s="45" t="s">
        <v>772</v>
      </c>
      <c r="CV159" s="45">
        <f>MIN(CT158:CT166)</f>
        <v>0</v>
      </c>
      <c r="CX159" s="65"/>
      <c r="DD159" s="65"/>
      <c r="DJ159" s="65"/>
      <c r="DP159" s="65"/>
      <c r="DV159" s="109"/>
    </row>
    <row r="160" spans="1:126" x14ac:dyDescent="0.25">
      <c r="G160" s="48"/>
      <c r="H160" s="48"/>
      <c r="I160" s="48"/>
      <c r="J160" s="48"/>
      <c r="K160" s="48"/>
      <c r="L160" s="90"/>
      <c r="M160" s="48"/>
      <c r="N160" s="48"/>
      <c r="O160" s="48"/>
      <c r="P160" s="48"/>
      <c r="Q160" s="48"/>
      <c r="R160" s="90"/>
      <c r="T160" s="48"/>
      <c r="U160" s="48"/>
      <c r="V160" s="48"/>
      <c r="W160" s="48"/>
      <c r="X160" s="90"/>
      <c r="Y160" s="48"/>
      <c r="Z160" s="48"/>
      <c r="AA160" s="48"/>
      <c r="AB160" s="48"/>
      <c r="AC160" s="48"/>
      <c r="AE160" s="45"/>
      <c r="AF160" s="45"/>
      <c r="AG160" s="45"/>
      <c r="AH160" s="45"/>
      <c r="AJ160" s="46"/>
      <c r="AK160" s="64"/>
      <c r="AL160" s="45"/>
      <c r="AM160" s="45"/>
      <c r="AN160" s="45"/>
      <c r="AQ160" s="45"/>
      <c r="AW160" s="63" t="s">
        <v>814</v>
      </c>
      <c r="AX160" s="45">
        <v>1</v>
      </c>
      <c r="BC160" s="63" t="s">
        <v>822</v>
      </c>
      <c r="BD160">
        <v>0</v>
      </c>
      <c r="BH160" s="46"/>
      <c r="BN160" s="46"/>
      <c r="BO160" s="70" t="s">
        <v>879</v>
      </c>
      <c r="BP160" s="45">
        <v>0</v>
      </c>
      <c r="BQ160" s="45"/>
      <c r="BR160" s="45"/>
      <c r="BT160" s="46"/>
      <c r="BZ160" s="46"/>
      <c r="CF160" s="65"/>
      <c r="CL160" s="65"/>
      <c r="CM160" s="73" t="s">
        <v>366</v>
      </c>
      <c r="CN160">
        <v>0</v>
      </c>
      <c r="CR160" s="65"/>
      <c r="CS160" s="73" t="s">
        <v>598</v>
      </c>
      <c r="CT160">
        <v>0</v>
      </c>
      <c r="CU160" s="45" t="s">
        <v>773</v>
      </c>
      <c r="CV160" s="45">
        <f>MAX(CT158:CT166)</f>
        <v>1</v>
      </c>
      <c r="CX160" s="65"/>
      <c r="DD160" s="65"/>
      <c r="DJ160" s="65"/>
      <c r="DP160" s="65"/>
      <c r="DV160" s="109"/>
    </row>
    <row r="161" spans="7:126" x14ac:dyDescent="0.25">
      <c r="G161" s="48"/>
      <c r="H161" s="48"/>
      <c r="I161" s="48"/>
      <c r="J161" s="48"/>
      <c r="K161" s="48"/>
      <c r="L161" s="90"/>
      <c r="M161" s="48"/>
      <c r="N161" s="48"/>
      <c r="O161" s="48"/>
      <c r="P161" s="48"/>
      <c r="Q161" s="48"/>
      <c r="R161" s="90"/>
      <c r="X161" s="90"/>
      <c r="Y161" s="48"/>
      <c r="Z161" s="48"/>
      <c r="AA161" s="48"/>
      <c r="AB161" s="48"/>
      <c r="AC161" s="48"/>
      <c r="AE161" s="45"/>
      <c r="AF161" s="45"/>
      <c r="AG161" s="45"/>
      <c r="AH161" s="45"/>
      <c r="AJ161" s="46"/>
      <c r="AK161" s="64"/>
      <c r="AL161" s="45"/>
      <c r="AM161" s="45"/>
      <c r="AN161" s="45"/>
      <c r="AQ161" s="45"/>
      <c r="AR161" s="45"/>
      <c r="AS161" s="45"/>
      <c r="AT161" s="45"/>
      <c r="AW161" s="63" t="s">
        <v>815</v>
      </c>
      <c r="AX161" s="45">
        <v>2</v>
      </c>
      <c r="BC161" s="63" t="s">
        <v>724</v>
      </c>
      <c r="BD161">
        <v>1</v>
      </c>
      <c r="BH161" s="46"/>
      <c r="BI161" s="31" t="s">
        <v>841</v>
      </c>
      <c r="BJ161" t="s">
        <v>344</v>
      </c>
      <c r="BK161" s="45" t="s">
        <v>769</v>
      </c>
      <c r="BL161" s="45" t="s">
        <v>770</v>
      </c>
      <c r="BN161" s="46"/>
      <c r="BO161" s="70" t="s">
        <v>880</v>
      </c>
      <c r="BP161" s="45">
        <v>0</v>
      </c>
      <c r="BT161" s="46"/>
      <c r="BZ161" s="46"/>
      <c r="CF161" s="65"/>
      <c r="CL161" s="65"/>
      <c r="CM161" s="73" t="s">
        <v>367</v>
      </c>
      <c r="CN161">
        <v>0</v>
      </c>
      <c r="CR161" s="65"/>
      <c r="CS161" s="78" t="s">
        <v>599</v>
      </c>
      <c r="CT161">
        <v>0</v>
      </c>
      <c r="CU161" s="45" t="s">
        <v>774</v>
      </c>
      <c r="CV161" s="45">
        <f>VAR(CT158:CT166)</f>
        <v>0.16666666666666669</v>
      </c>
      <c r="CX161" s="65"/>
      <c r="DD161" s="65"/>
      <c r="DJ161" s="65"/>
      <c r="DP161" s="65"/>
      <c r="DV161" s="109"/>
    </row>
    <row r="162" spans="7:126" x14ac:dyDescent="0.25">
      <c r="G162" s="48"/>
      <c r="H162" s="48"/>
      <c r="I162" s="48"/>
      <c r="J162" s="48"/>
      <c r="K162" s="48"/>
      <c r="L162" s="90"/>
      <c r="M162" s="48"/>
      <c r="N162" s="48"/>
      <c r="O162" s="48"/>
      <c r="P162" s="48"/>
      <c r="Q162" s="48"/>
      <c r="R162" s="90"/>
      <c r="X162" s="90"/>
      <c r="Y162" s="48"/>
      <c r="Z162" s="48"/>
      <c r="AA162" s="48"/>
      <c r="AB162" s="48"/>
      <c r="AC162" s="48"/>
      <c r="AE162" s="45"/>
      <c r="AF162" s="45"/>
      <c r="AG162" s="45"/>
      <c r="AH162" s="45"/>
      <c r="AJ162" s="46"/>
      <c r="AK162" s="64"/>
      <c r="AL162" s="45"/>
      <c r="AM162" s="45"/>
      <c r="AN162" s="45"/>
      <c r="AQ162" s="63"/>
      <c r="AR162" s="45"/>
      <c r="AS162" s="45"/>
      <c r="AT162" s="45"/>
      <c r="AW162" s="63" t="s">
        <v>816</v>
      </c>
      <c r="AX162" s="45">
        <v>1</v>
      </c>
      <c r="BC162" s="63" t="s">
        <v>725</v>
      </c>
      <c r="BD162" s="45">
        <v>0</v>
      </c>
      <c r="BH162" s="46"/>
      <c r="BI162" s="63" t="s">
        <v>842</v>
      </c>
      <c r="BJ162">
        <v>0</v>
      </c>
      <c r="BK162" s="45" t="s">
        <v>771</v>
      </c>
      <c r="BL162" s="45">
        <f>SUM(BJ162:BJ164)</f>
        <v>0</v>
      </c>
      <c r="BN162" s="46"/>
      <c r="BO162" s="70" t="s">
        <v>881</v>
      </c>
      <c r="BP162" s="45">
        <v>0</v>
      </c>
      <c r="BT162" s="46"/>
      <c r="BZ162" s="46"/>
      <c r="CF162" s="65"/>
      <c r="CL162" s="65"/>
      <c r="CR162" s="65"/>
      <c r="CS162" s="78" t="s">
        <v>600</v>
      </c>
      <c r="CT162">
        <v>0</v>
      </c>
      <c r="CU162" s="45" t="s">
        <v>775</v>
      </c>
      <c r="CV162" s="45">
        <f>AVERAGE(CT158:CT166)</f>
        <v>0.16666666666666666</v>
      </c>
      <c r="CX162" s="65"/>
      <c r="DD162" s="65"/>
      <c r="DJ162" s="65"/>
      <c r="DP162" s="65"/>
      <c r="DV162" s="109"/>
    </row>
    <row r="163" spans="7:126" x14ac:dyDescent="0.25">
      <c r="H163" s="48"/>
      <c r="I163" s="48"/>
      <c r="J163" s="48"/>
      <c r="K163" s="48"/>
      <c r="L163" s="90"/>
      <c r="N163" s="48"/>
      <c r="O163" s="48"/>
      <c r="P163" s="48"/>
      <c r="Q163" s="48"/>
      <c r="R163" s="90"/>
      <c r="X163" s="90"/>
      <c r="AF163" s="45"/>
      <c r="AJ163" s="46"/>
      <c r="AW163" s="63" t="s">
        <v>817</v>
      </c>
      <c r="AX163" s="45">
        <v>0</v>
      </c>
      <c r="BC163" s="63" t="s">
        <v>726</v>
      </c>
      <c r="BD163">
        <v>0</v>
      </c>
      <c r="BH163" s="46"/>
      <c r="BI163" s="63" t="s">
        <v>843</v>
      </c>
      <c r="BJ163">
        <v>0</v>
      </c>
      <c r="BK163" s="45" t="s">
        <v>772</v>
      </c>
      <c r="BL163" s="45">
        <f>MIN(BJ162:BJ164)</f>
        <v>0</v>
      </c>
      <c r="BN163" s="46"/>
      <c r="BO163" s="70" t="s">
        <v>882</v>
      </c>
      <c r="BP163" s="45">
        <v>2</v>
      </c>
      <c r="BT163" s="46"/>
      <c r="BZ163" s="46"/>
      <c r="CF163" s="65"/>
      <c r="CL163" s="65"/>
      <c r="CR163" s="65"/>
      <c r="CS163" s="78" t="s">
        <v>601</v>
      </c>
      <c r="CT163">
        <v>1</v>
      </c>
      <c r="CU163" s="45" t="s">
        <v>776</v>
      </c>
      <c r="CV163" s="45">
        <f>STDEV(CT158:CT166)</f>
        <v>0.40824829046386302</v>
      </c>
      <c r="CX163" s="65"/>
      <c r="DD163" s="65"/>
      <c r="DJ163" s="65"/>
      <c r="DP163" s="65"/>
      <c r="DV163" s="109"/>
    </row>
    <row r="164" spans="7:126" x14ac:dyDescent="0.25">
      <c r="AF164" s="45"/>
      <c r="AJ164" s="46"/>
      <c r="BC164" s="63" t="s">
        <v>727</v>
      </c>
      <c r="BD164">
        <v>1</v>
      </c>
      <c r="BH164" s="46"/>
      <c r="BI164" s="63" t="s">
        <v>844</v>
      </c>
      <c r="BJ164">
        <v>0</v>
      </c>
      <c r="BK164" s="45" t="s">
        <v>773</v>
      </c>
      <c r="BL164" s="45">
        <f>MAX(BJ162:BJ164)</f>
        <v>0</v>
      </c>
      <c r="BN164" s="46"/>
      <c r="BO164" s="70" t="s">
        <v>883</v>
      </c>
      <c r="BP164" s="45">
        <v>1</v>
      </c>
      <c r="BT164" s="46"/>
      <c r="BZ164" s="46"/>
      <c r="CF164" s="65"/>
      <c r="CL164" s="65"/>
      <c r="CM164" s="77" t="s">
        <v>925</v>
      </c>
      <c r="CR164" s="65"/>
      <c r="CS164" s="63"/>
      <c r="CU164" s="45"/>
      <c r="CV164" s="45"/>
      <c r="CX164" s="65"/>
      <c r="DD164" s="65"/>
      <c r="DJ164" s="65"/>
      <c r="DP164" s="65"/>
      <c r="DV164" s="109"/>
    </row>
    <row r="165" spans="7:126" x14ac:dyDescent="0.25">
      <c r="AE165" s="45"/>
      <c r="AF165" s="45"/>
      <c r="AG165" s="45"/>
      <c r="AH165" s="45"/>
      <c r="AJ165" s="46"/>
      <c r="AK165" s="64"/>
      <c r="AL165" s="45"/>
      <c r="AQ165" s="63"/>
      <c r="AR165" s="45"/>
      <c r="AS165" s="45"/>
      <c r="AT165" s="45"/>
      <c r="AW165" s="47"/>
      <c r="AX165" s="45"/>
      <c r="AY165" s="45"/>
      <c r="AZ165" s="45"/>
      <c r="BC165" s="63" t="s">
        <v>728</v>
      </c>
      <c r="BD165">
        <v>0</v>
      </c>
      <c r="BH165" s="46"/>
      <c r="BI165" s="63"/>
      <c r="BK165" s="45" t="s">
        <v>774</v>
      </c>
      <c r="BL165" s="45">
        <f>VAR(BJ162:BJ164)</f>
        <v>0</v>
      </c>
      <c r="BN165" s="46"/>
      <c r="BO165" s="70" t="s">
        <v>884</v>
      </c>
      <c r="BP165" s="45">
        <v>0</v>
      </c>
      <c r="BT165" s="46"/>
      <c r="BZ165" s="46"/>
      <c r="CF165" s="65"/>
      <c r="CL165" s="65"/>
      <c r="CM165" s="45" t="s">
        <v>768</v>
      </c>
      <c r="CN165" s="45" t="s">
        <v>344</v>
      </c>
      <c r="CO165" s="45" t="s">
        <v>769</v>
      </c>
      <c r="CP165" s="45" t="s">
        <v>770</v>
      </c>
      <c r="CR165" s="65"/>
      <c r="CS165" s="63"/>
      <c r="CX165" s="65"/>
      <c r="DD165" s="65"/>
      <c r="DJ165" s="65"/>
      <c r="DP165" s="65"/>
      <c r="DV165" s="109"/>
    </row>
    <row r="166" spans="7:126" x14ac:dyDescent="0.25">
      <c r="AE166" s="45"/>
      <c r="AF166" s="45"/>
      <c r="AG166" s="45"/>
      <c r="AH166" s="45"/>
      <c r="AJ166" s="46"/>
      <c r="AK166" s="64"/>
      <c r="AL166" s="45"/>
      <c r="AQ166" s="63"/>
      <c r="AR166" s="45"/>
      <c r="AS166" s="45"/>
      <c r="AT166" s="45"/>
      <c r="AW166" s="47"/>
      <c r="AX166" s="45"/>
      <c r="AY166" s="45"/>
      <c r="AZ166" s="45"/>
      <c r="BC166" s="63" t="s">
        <v>729</v>
      </c>
      <c r="BD166">
        <v>1</v>
      </c>
      <c r="BH166" s="46"/>
      <c r="BI166" s="63"/>
      <c r="BK166" s="45" t="s">
        <v>775</v>
      </c>
      <c r="BL166" s="45">
        <f>AVERAGE(BJ162:BJ164)</f>
        <v>0</v>
      </c>
      <c r="BN166" s="46"/>
      <c r="BO166" s="70" t="s">
        <v>856</v>
      </c>
      <c r="BP166" s="45">
        <v>2</v>
      </c>
      <c r="BT166" s="46"/>
      <c r="BZ166" s="46"/>
      <c r="CF166" s="65"/>
      <c r="CL166" s="65"/>
      <c r="CM166" s="73" t="s">
        <v>368</v>
      </c>
      <c r="CN166">
        <v>0</v>
      </c>
      <c r="CO166" s="45" t="s">
        <v>771</v>
      </c>
      <c r="CP166" s="45">
        <f>SUM(CN166:CN192)</f>
        <v>1</v>
      </c>
      <c r="CR166" s="65"/>
      <c r="CS166" s="63"/>
      <c r="CX166" s="65"/>
      <c r="DD166" s="65"/>
      <c r="DJ166" s="65"/>
      <c r="DP166" s="65"/>
      <c r="DV166" s="109"/>
    </row>
    <row r="167" spans="7:126" x14ac:dyDescent="0.25">
      <c r="AE167" s="45"/>
      <c r="AF167" s="45"/>
      <c r="AG167" s="45"/>
      <c r="AH167" s="45"/>
      <c r="AJ167" s="46"/>
      <c r="AK167" s="64"/>
      <c r="AL167" s="45"/>
      <c r="AQ167" s="63"/>
      <c r="AR167" s="45"/>
      <c r="AS167" s="45"/>
      <c r="AT167" s="45"/>
      <c r="AW167" s="47"/>
      <c r="AX167" s="45"/>
      <c r="AY167" s="45"/>
      <c r="AZ167" s="45"/>
      <c r="BC167" s="63" t="s">
        <v>730</v>
      </c>
      <c r="BD167">
        <v>0</v>
      </c>
      <c r="BH167" s="46"/>
      <c r="BI167" s="63"/>
      <c r="BK167" s="45" t="s">
        <v>776</v>
      </c>
      <c r="BL167" s="45">
        <f>STDEV(BJ162:BJ164)</f>
        <v>0</v>
      </c>
      <c r="BN167" s="46"/>
      <c r="BO167" s="70" t="s">
        <v>857</v>
      </c>
      <c r="BP167" s="45">
        <v>0</v>
      </c>
      <c r="BT167" s="46"/>
      <c r="BZ167" s="46"/>
      <c r="CF167" s="65"/>
      <c r="CL167" s="65"/>
      <c r="CM167" s="73" t="s">
        <v>369</v>
      </c>
      <c r="CN167">
        <v>1</v>
      </c>
      <c r="CO167" s="45" t="s">
        <v>772</v>
      </c>
      <c r="CP167" s="45">
        <f>MIN(CN166:CN192)</f>
        <v>0</v>
      </c>
      <c r="CR167" s="65"/>
      <c r="CS167" s="31" t="s">
        <v>841</v>
      </c>
      <c r="CT167" s="48" t="s">
        <v>344</v>
      </c>
      <c r="CU167" s="47" t="s">
        <v>769</v>
      </c>
      <c r="CV167" s="47" t="s">
        <v>770</v>
      </c>
      <c r="CX167" s="65"/>
      <c r="DD167" s="65"/>
      <c r="DJ167" s="65"/>
      <c r="DP167" s="65"/>
      <c r="DV167" s="109"/>
    </row>
    <row r="168" spans="7:126" x14ac:dyDescent="0.25">
      <c r="AE168" s="45"/>
      <c r="AF168" s="45"/>
      <c r="AG168" s="45"/>
      <c r="AH168" s="45"/>
      <c r="AJ168" s="46"/>
      <c r="AK168" s="64"/>
      <c r="AL168" s="45"/>
      <c r="AQ168" s="63"/>
      <c r="AR168" s="45"/>
      <c r="AS168" s="45"/>
      <c r="AT168" s="45"/>
      <c r="AW168" s="47"/>
      <c r="AX168" s="45"/>
      <c r="AY168" s="45"/>
      <c r="AZ168" s="45"/>
      <c r="BC168" s="63" t="s">
        <v>731</v>
      </c>
      <c r="BD168">
        <v>0</v>
      </c>
      <c r="BH168" s="46"/>
      <c r="BI168" s="63"/>
      <c r="BN168" s="46"/>
      <c r="BO168" s="70" t="s">
        <v>885</v>
      </c>
      <c r="BP168" s="45">
        <v>0</v>
      </c>
      <c r="BT168" s="46"/>
      <c r="BZ168" s="46"/>
      <c r="CF168" s="65"/>
      <c r="CL168" s="65"/>
      <c r="CM168" s="73" t="s">
        <v>370</v>
      </c>
      <c r="CN168">
        <v>0</v>
      </c>
      <c r="CO168" s="45" t="s">
        <v>773</v>
      </c>
      <c r="CP168" s="45">
        <f>MAX(CN166:CN192)</f>
        <v>1</v>
      </c>
      <c r="CR168" s="65"/>
      <c r="CS168" s="78" t="s">
        <v>602</v>
      </c>
      <c r="CT168" s="33">
        <v>0</v>
      </c>
      <c r="CU168" s="47" t="s">
        <v>771</v>
      </c>
      <c r="CV168" s="47">
        <f>SUM(CT168:CT184)</f>
        <v>26</v>
      </c>
      <c r="CX168" s="65"/>
      <c r="DD168" s="65"/>
      <c r="DJ168" s="65"/>
      <c r="DP168" s="65"/>
      <c r="DV168" s="109"/>
    </row>
    <row r="169" spans="7:126" x14ac:dyDescent="0.25">
      <c r="AE169" s="45"/>
      <c r="AF169" s="45"/>
      <c r="AG169" s="45"/>
      <c r="AH169" s="45"/>
      <c r="AJ169" s="46"/>
      <c r="AK169" s="64"/>
      <c r="AL169" s="45"/>
      <c r="AQ169" s="63"/>
      <c r="AR169" s="45"/>
      <c r="AS169" s="45"/>
      <c r="AT169" s="45"/>
      <c r="AW169" s="47"/>
      <c r="AX169" s="45"/>
      <c r="AY169" s="45"/>
      <c r="AZ169" s="45"/>
      <c r="BC169" s="63" t="s">
        <v>732</v>
      </c>
      <c r="BD169">
        <v>1</v>
      </c>
      <c r="BH169" s="46"/>
      <c r="BN169" s="46"/>
      <c r="BO169" s="70" t="s">
        <v>886</v>
      </c>
      <c r="BP169" s="45">
        <v>1</v>
      </c>
      <c r="BT169" s="46"/>
      <c r="BZ169" s="46"/>
      <c r="CF169" s="65"/>
      <c r="CL169" s="65"/>
      <c r="CM169" s="73" t="s">
        <v>371</v>
      </c>
      <c r="CN169">
        <v>0</v>
      </c>
      <c r="CO169" s="45" t="s">
        <v>774</v>
      </c>
      <c r="CP169" s="45">
        <f>VAR(CN166:CN192)</f>
        <v>0.25</v>
      </c>
      <c r="CR169" s="65"/>
      <c r="CS169" s="78" t="s">
        <v>603</v>
      </c>
      <c r="CT169" s="33">
        <v>0</v>
      </c>
      <c r="CU169" s="47" t="s">
        <v>772</v>
      </c>
      <c r="CV169" s="47">
        <f>MIN(CT168:CT184)</f>
        <v>0</v>
      </c>
      <c r="CX169" s="65"/>
      <c r="DD169" s="65"/>
      <c r="DJ169" s="65"/>
      <c r="DP169" s="65"/>
      <c r="DV169" s="109"/>
    </row>
    <row r="170" spans="7:126" x14ac:dyDescent="0.25">
      <c r="AE170" s="45"/>
      <c r="AF170" s="45"/>
      <c r="AG170" s="45"/>
      <c r="AH170" s="45"/>
      <c r="AJ170" s="46"/>
      <c r="AK170" s="64"/>
      <c r="AL170" s="45"/>
      <c r="AQ170" s="63"/>
      <c r="AR170" s="45"/>
      <c r="AS170" s="45"/>
      <c r="AT170" s="45"/>
      <c r="AW170" s="47"/>
      <c r="AX170" s="45"/>
      <c r="AY170" s="45"/>
      <c r="AZ170" s="45"/>
      <c r="BC170" s="63" t="s">
        <v>733</v>
      </c>
      <c r="BD170">
        <v>3</v>
      </c>
      <c r="BH170" s="46"/>
      <c r="BI170" s="31" t="s">
        <v>848</v>
      </c>
      <c r="BJ170" t="s">
        <v>344</v>
      </c>
      <c r="BK170" s="45" t="s">
        <v>769</v>
      </c>
      <c r="BL170" s="45" t="s">
        <v>770</v>
      </c>
      <c r="BN170" s="46"/>
      <c r="BO170" s="70" t="s">
        <v>887</v>
      </c>
      <c r="BP170" s="45">
        <v>1</v>
      </c>
      <c r="BT170" s="46"/>
      <c r="BZ170" s="46"/>
      <c r="CF170" s="65"/>
      <c r="CL170" s="65"/>
      <c r="CO170" s="45" t="s">
        <v>775</v>
      </c>
      <c r="CP170" s="45">
        <f>AVERAGE(CN166:CN192)</f>
        <v>0.25</v>
      </c>
      <c r="CR170" s="65"/>
      <c r="CS170" s="78" t="s">
        <v>563</v>
      </c>
      <c r="CT170" s="33">
        <v>3</v>
      </c>
      <c r="CU170" s="47" t="s">
        <v>773</v>
      </c>
      <c r="CV170" s="47">
        <f>MAX(CT168:CT184)</f>
        <v>4</v>
      </c>
      <c r="CX170" s="65"/>
      <c r="DD170" s="65"/>
      <c r="DJ170" s="65"/>
      <c r="DP170" s="65"/>
      <c r="DV170" s="109"/>
    </row>
    <row r="171" spans="7:126" x14ac:dyDescent="0.25">
      <c r="AE171" s="45"/>
      <c r="AF171" s="45"/>
      <c r="AG171" s="45"/>
      <c r="AH171" s="45"/>
      <c r="AJ171" s="46"/>
      <c r="AK171" s="64"/>
      <c r="AL171" s="45"/>
      <c r="AQ171" s="63"/>
      <c r="AR171" s="45"/>
      <c r="AS171" s="45"/>
      <c r="AT171" s="45"/>
      <c r="AW171" s="47"/>
      <c r="AX171" s="45"/>
      <c r="AY171" s="45"/>
      <c r="AZ171" s="45"/>
      <c r="BC171" s="63" t="s">
        <v>734</v>
      </c>
      <c r="BD171">
        <v>0</v>
      </c>
      <c r="BH171" s="46"/>
      <c r="BI171" s="63" t="s">
        <v>845</v>
      </c>
      <c r="BJ171">
        <v>0</v>
      </c>
      <c r="BK171" s="45" t="s">
        <v>771</v>
      </c>
      <c r="BL171" s="45">
        <f>SUM(BJ171:BJ193)</f>
        <v>6</v>
      </c>
      <c r="BN171" s="46"/>
      <c r="BO171" s="70" t="s">
        <v>888</v>
      </c>
      <c r="BP171" s="45">
        <v>0</v>
      </c>
      <c r="BT171" s="46"/>
      <c r="BZ171" s="46"/>
      <c r="CF171" s="65"/>
      <c r="CL171" s="65"/>
      <c r="CO171" s="45" t="s">
        <v>776</v>
      </c>
      <c r="CP171" s="45">
        <f>STDEV(CN166:CN192)</f>
        <v>0.5</v>
      </c>
      <c r="CR171" s="65"/>
      <c r="CS171" s="78" t="s">
        <v>565</v>
      </c>
      <c r="CT171" s="33">
        <v>1</v>
      </c>
      <c r="CU171" s="47" t="s">
        <v>774</v>
      </c>
      <c r="CV171" s="47">
        <f>VAR(CT168:CT184)</f>
        <v>2.1397058823529411</v>
      </c>
      <c r="CX171" s="65"/>
      <c r="DD171" s="65"/>
      <c r="DJ171" s="65"/>
      <c r="DP171" s="65"/>
      <c r="DV171" s="109"/>
    </row>
    <row r="172" spans="7:126" x14ac:dyDescent="0.25">
      <c r="AF172" s="45"/>
      <c r="AJ172" s="46"/>
      <c r="AK172" s="64"/>
      <c r="AL172" s="45"/>
      <c r="AW172" s="47"/>
      <c r="AX172" s="45"/>
      <c r="AY172" s="45"/>
      <c r="AZ172" s="45"/>
      <c r="BC172" s="63" t="s">
        <v>735</v>
      </c>
      <c r="BD172" s="45">
        <v>0</v>
      </c>
      <c r="BH172" s="46"/>
      <c r="BI172" s="63" t="s">
        <v>846</v>
      </c>
      <c r="BJ172">
        <v>0</v>
      </c>
      <c r="BK172" s="45" t="s">
        <v>772</v>
      </c>
      <c r="BL172" s="45">
        <f>MIN(BJ171:BJ193)</f>
        <v>0</v>
      </c>
      <c r="BN172" s="46"/>
      <c r="BO172" s="70" t="s">
        <v>889</v>
      </c>
      <c r="BP172" s="45">
        <v>0</v>
      </c>
      <c r="BT172" s="46"/>
      <c r="BZ172" s="46"/>
      <c r="CF172" s="65"/>
      <c r="CL172" s="65"/>
      <c r="CR172" s="65"/>
      <c r="CS172" s="78" t="s">
        <v>604</v>
      </c>
      <c r="CT172" s="33">
        <v>2</v>
      </c>
      <c r="CU172" s="47" t="s">
        <v>775</v>
      </c>
      <c r="CV172" s="47">
        <f>AVERAGE(CT168:CT184)</f>
        <v>1.5294117647058822</v>
      </c>
      <c r="CX172" s="65"/>
      <c r="DD172" s="65"/>
      <c r="DJ172" s="65"/>
      <c r="DP172" s="65"/>
      <c r="DV172" s="109"/>
    </row>
    <row r="173" spans="7:126" x14ac:dyDescent="0.25">
      <c r="AF173" s="45"/>
      <c r="AJ173" s="46"/>
      <c r="AK173" s="64"/>
      <c r="AL173" s="45"/>
      <c r="AW173" s="48"/>
      <c r="AX173" s="45"/>
      <c r="BC173" s="63" t="s">
        <v>736</v>
      </c>
      <c r="BD173" s="45">
        <v>0</v>
      </c>
      <c r="BH173" s="46"/>
      <c r="BI173" s="63" t="s">
        <v>847</v>
      </c>
      <c r="BJ173">
        <v>0</v>
      </c>
      <c r="BK173" s="45" t="s">
        <v>773</v>
      </c>
      <c r="BL173" s="45">
        <f>MAX(BJ171:BJ193)</f>
        <v>3</v>
      </c>
      <c r="BN173" s="46"/>
      <c r="BO173" s="70" t="s">
        <v>890</v>
      </c>
      <c r="BP173" s="45">
        <v>0</v>
      </c>
      <c r="BT173" s="46"/>
      <c r="BZ173" s="46"/>
      <c r="CF173" s="65"/>
      <c r="CL173" s="65"/>
      <c r="CR173" s="65"/>
      <c r="CS173" s="78" t="s">
        <v>605</v>
      </c>
      <c r="CT173" s="33">
        <v>0</v>
      </c>
      <c r="CU173" s="47" t="s">
        <v>776</v>
      </c>
      <c r="CV173" s="47">
        <f>STDEV(CT168:CT184)</f>
        <v>1.4627733530362594</v>
      </c>
      <c r="CX173" s="65"/>
      <c r="DD173" s="65"/>
      <c r="DJ173" s="65"/>
      <c r="DP173" s="65"/>
      <c r="DV173" s="109"/>
    </row>
    <row r="174" spans="7:126" x14ac:dyDescent="0.25">
      <c r="AF174" s="45"/>
      <c r="AJ174" s="46"/>
      <c r="AK174" s="64"/>
      <c r="AL174" s="45"/>
      <c r="AQ174" s="45"/>
      <c r="AW174" s="47"/>
      <c r="AX174" s="45"/>
      <c r="BC174" s="47"/>
      <c r="BD174" s="45"/>
      <c r="BH174" s="46"/>
      <c r="BI174" s="63" t="s">
        <v>849</v>
      </c>
      <c r="BJ174">
        <v>0</v>
      </c>
      <c r="BK174" s="45" t="s">
        <v>774</v>
      </c>
      <c r="BL174" s="45">
        <f>VAR(BJ171:BJ193)</f>
        <v>0.56521739130434778</v>
      </c>
      <c r="BN174" s="46"/>
      <c r="BT174" s="46"/>
      <c r="BZ174" s="46"/>
      <c r="CF174" s="65"/>
      <c r="CL174" s="65"/>
      <c r="CR174" s="65"/>
      <c r="CS174" s="78" t="s">
        <v>566</v>
      </c>
      <c r="CT174" s="33">
        <v>1</v>
      </c>
      <c r="CU174" s="48"/>
      <c r="CV174" s="48"/>
      <c r="CX174" s="65"/>
      <c r="DD174" s="65"/>
      <c r="DJ174" s="65"/>
      <c r="DP174" s="65"/>
      <c r="DV174" s="109"/>
    </row>
    <row r="175" spans="7:126" x14ac:dyDescent="0.25">
      <c r="AF175" s="45"/>
      <c r="AJ175" s="46"/>
      <c r="AK175" s="64"/>
      <c r="AL175" s="45"/>
      <c r="AQ175" s="45"/>
      <c r="AR175" s="45"/>
      <c r="AS175" s="45"/>
      <c r="AT175" s="45"/>
      <c r="AW175" s="47"/>
      <c r="AX175" s="45"/>
      <c r="BC175" s="47"/>
      <c r="BD175" s="45"/>
      <c r="BH175" s="46"/>
      <c r="BI175" s="63" t="s">
        <v>850</v>
      </c>
      <c r="BJ175">
        <v>0</v>
      </c>
      <c r="BK175" s="45" t="s">
        <v>775</v>
      </c>
      <c r="BL175" s="45">
        <f>AVERAGE(BJ171:BJ193)</f>
        <v>0.2608695652173913</v>
      </c>
      <c r="BN175" s="46"/>
      <c r="BT175" s="46"/>
      <c r="BZ175" s="46"/>
      <c r="CF175" s="65"/>
      <c r="CL175" s="65"/>
      <c r="CR175" s="65"/>
      <c r="CS175" s="78" t="s">
        <v>567</v>
      </c>
      <c r="CT175" s="33">
        <v>2</v>
      </c>
      <c r="CU175" s="47"/>
      <c r="CV175" s="47"/>
      <c r="CX175" s="65"/>
      <c r="DD175" s="65"/>
      <c r="DJ175" s="65"/>
      <c r="DP175" s="65"/>
      <c r="DV175" s="109"/>
    </row>
    <row r="176" spans="7:126" x14ac:dyDescent="0.25">
      <c r="AF176" s="45"/>
      <c r="AJ176" s="46"/>
      <c r="AK176" s="64"/>
      <c r="AL176" s="45"/>
      <c r="AQ176" s="63"/>
      <c r="AR176" s="45"/>
      <c r="AS176" s="45"/>
      <c r="AT176" s="45"/>
      <c r="AW176" s="47"/>
      <c r="AX176" s="45"/>
      <c r="BC176" s="47"/>
      <c r="BD176" s="45"/>
      <c r="BH176" s="46"/>
      <c r="BI176" s="63" t="s">
        <v>851</v>
      </c>
      <c r="BJ176">
        <v>0</v>
      </c>
      <c r="BK176" s="45" t="s">
        <v>776</v>
      </c>
      <c r="BL176" s="45">
        <f>STDEV(BJ171:BJ193)</f>
        <v>0.75180941155611225</v>
      </c>
      <c r="BN176" s="46"/>
      <c r="BO176" s="31" t="s">
        <v>667</v>
      </c>
      <c r="BP176" s="45" t="s">
        <v>344</v>
      </c>
      <c r="BQ176" s="45" t="s">
        <v>769</v>
      </c>
      <c r="BR176" s="45" t="s">
        <v>770</v>
      </c>
      <c r="BT176" s="46"/>
      <c r="BZ176" s="46"/>
      <c r="CF176" s="65"/>
      <c r="CL176" s="65"/>
      <c r="CR176" s="65"/>
      <c r="CS176" s="78" t="s">
        <v>606</v>
      </c>
      <c r="CT176" s="33">
        <v>1</v>
      </c>
      <c r="CU176" s="48"/>
      <c r="CV176" s="48"/>
      <c r="CX176" s="65"/>
      <c r="DD176" s="65"/>
      <c r="DJ176" s="65"/>
      <c r="DP176" s="65"/>
      <c r="DV176" s="109"/>
    </row>
    <row r="177" spans="31:126" x14ac:dyDescent="0.25">
      <c r="AF177" s="45"/>
      <c r="AJ177" s="46"/>
      <c r="AK177" s="64"/>
      <c r="AL177" s="45"/>
      <c r="AQ177" s="63"/>
      <c r="AR177" s="45"/>
      <c r="AS177" s="45"/>
      <c r="AT177" s="45"/>
      <c r="AW177" s="47"/>
      <c r="AX177" s="45"/>
      <c r="BC177" s="47"/>
      <c r="BD177" s="45"/>
      <c r="BH177" s="46"/>
      <c r="BI177" s="63" t="s">
        <v>852</v>
      </c>
      <c r="BJ177">
        <v>0</v>
      </c>
      <c r="BN177" s="46"/>
      <c r="BO177" s="70" t="s">
        <v>891</v>
      </c>
      <c r="BP177" s="45">
        <v>0</v>
      </c>
      <c r="BQ177" s="45" t="s">
        <v>771</v>
      </c>
      <c r="BR177" s="45">
        <f>SUM(BP177:BP181)</f>
        <v>1</v>
      </c>
      <c r="BT177" s="46"/>
      <c r="BZ177" s="46"/>
      <c r="CF177" s="65"/>
      <c r="CL177" s="65"/>
      <c r="CR177" s="65"/>
      <c r="CS177" s="78" t="s">
        <v>607</v>
      </c>
      <c r="CT177" s="33">
        <v>3</v>
      </c>
      <c r="CU177" s="47"/>
      <c r="CV177" s="47"/>
      <c r="CX177" s="65"/>
      <c r="DD177" s="65"/>
      <c r="DJ177" s="65"/>
      <c r="DP177" s="65"/>
      <c r="DV177" s="109"/>
    </row>
    <row r="178" spans="31:126" x14ac:dyDescent="0.25">
      <c r="AJ178" s="46"/>
      <c r="AK178" s="45"/>
      <c r="AL178" s="45"/>
      <c r="AQ178" s="63"/>
      <c r="AR178" s="45"/>
      <c r="AS178" s="45"/>
      <c r="AT178" s="45"/>
      <c r="AW178" s="47"/>
      <c r="AX178" s="45"/>
      <c r="BC178" s="47"/>
      <c r="BD178" s="45"/>
      <c r="BH178" s="46"/>
      <c r="BI178" s="63" t="s">
        <v>853</v>
      </c>
      <c r="BJ178">
        <v>1</v>
      </c>
      <c r="BN178" s="46"/>
      <c r="BO178" s="70" t="s">
        <v>892</v>
      </c>
      <c r="BP178" s="45">
        <v>0</v>
      </c>
      <c r="BQ178" s="45" t="s">
        <v>772</v>
      </c>
      <c r="BR178" s="45">
        <f>MIN(BP177:BP181)</f>
        <v>0</v>
      </c>
      <c r="BT178" s="46"/>
      <c r="BZ178" s="46"/>
      <c r="CF178" s="65"/>
      <c r="CL178" s="65"/>
      <c r="CR178" s="65"/>
      <c r="CS178" s="78" t="s">
        <v>608</v>
      </c>
      <c r="CT178" s="33">
        <v>0</v>
      </c>
      <c r="CU178" s="47"/>
      <c r="CV178" s="47"/>
      <c r="CX178" s="65"/>
      <c r="DD178" s="65"/>
      <c r="DJ178" s="65"/>
      <c r="DP178" s="65"/>
      <c r="DV178" s="109"/>
    </row>
    <row r="179" spans="31:126" x14ac:dyDescent="0.25">
      <c r="AJ179" s="46"/>
      <c r="AK179" s="45"/>
      <c r="AL179" s="45"/>
      <c r="AQ179" s="63"/>
      <c r="AR179" s="45"/>
      <c r="AS179" s="45"/>
      <c r="AT179" s="45"/>
      <c r="AW179" s="47"/>
      <c r="AX179" s="45"/>
      <c r="BC179" s="47"/>
      <c r="BD179" s="45"/>
      <c r="BH179" s="46"/>
      <c r="BI179" s="63" t="s">
        <v>854</v>
      </c>
      <c r="BJ179">
        <v>0</v>
      </c>
      <c r="BN179" s="46"/>
      <c r="BO179" s="70" t="s">
        <v>893</v>
      </c>
      <c r="BP179" s="45">
        <v>0</v>
      </c>
      <c r="BQ179" s="45" t="s">
        <v>773</v>
      </c>
      <c r="BR179" s="45">
        <f>MAX(BP177:BP181)</f>
        <v>1</v>
      </c>
      <c r="BT179" s="46"/>
      <c r="BZ179" s="46"/>
      <c r="CF179" s="65"/>
      <c r="CL179" s="65"/>
      <c r="CR179" s="65"/>
      <c r="CS179" s="79" t="s">
        <v>572</v>
      </c>
      <c r="CT179" s="33">
        <v>4</v>
      </c>
      <c r="CU179" s="47"/>
      <c r="CV179" s="47"/>
      <c r="CX179" s="65"/>
      <c r="DD179" s="65"/>
      <c r="DJ179" s="65"/>
      <c r="DP179" s="65"/>
      <c r="DV179" s="109"/>
    </row>
    <row r="180" spans="31:126" x14ac:dyDescent="0.25">
      <c r="AE180" s="45"/>
      <c r="AF180" s="45"/>
      <c r="AG180" s="45"/>
      <c r="AH180" s="45"/>
      <c r="AJ180" s="46"/>
      <c r="AK180" s="45"/>
      <c r="AL180" s="45"/>
      <c r="AM180" s="45"/>
      <c r="AN180" s="45"/>
      <c r="AQ180" s="63"/>
      <c r="AR180" s="45"/>
      <c r="AS180" s="45"/>
      <c r="AT180" s="45"/>
      <c r="AW180" s="47"/>
      <c r="AX180" s="45"/>
      <c r="BC180" s="47"/>
      <c r="BD180" s="45"/>
      <c r="BH180" s="46"/>
      <c r="BI180" s="63" t="s">
        <v>855</v>
      </c>
      <c r="BJ180">
        <v>0</v>
      </c>
      <c r="BN180" s="46"/>
      <c r="BO180" s="70" t="s">
        <v>894</v>
      </c>
      <c r="BP180" s="45">
        <v>1</v>
      </c>
      <c r="BQ180" s="45" t="s">
        <v>774</v>
      </c>
      <c r="BR180" s="45">
        <f>VAR(BP177:BP181)</f>
        <v>0.2</v>
      </c>
      <c r="BT180" s="46"/>
      <c r="BZ180" s="46"/>
      <c r="CF180" s="65"/>
      <c r="CL180" s="65"/>
      <c r="CR180" s="65"/>
      <c r="CS180" s="78" t="s">
        <v>609</v>
      </c>
      <c r="CT180" s="33">
        <v>2</v>
      </c>
      <c r="CU180" s="47"/>
      <c r="CV180" s="47"/>
      <c r="CX180" s="65"/>
      <c r="DD180" s="65"/>
      <c r="DJ180" s="65"/>
      <c r="DP180" s="65"/>
      <c r="DV180" s="109"/>
    </row>
    <row r="181" spans="31:126" x14ac:dyDescent="0.25">
      <c r="AE181" s="45"/>
      <c r="AF181" s="45"/>
      <c r="AG181" s="45"/>
      <c r="AH181" s="45"/>
      <c r="AJ181" s="46"/>
      <c r="AK181" s="45"/>
      <c r="AL181" s="45"/>
      <c r="AM181" s="45"/>
      <c r="AN181" s="45"/>
      <c r="AQ181" s="63"/>
      <c r="AR181" s="45"/>
      <c r="AS181" s="45"/>
      <c r="AT181" s="45"/>
      <c r="AW181" s="47"/>
      <c r="AX181" s="45"/>
      <c r="BC181" s="47"/>
      <c r="BD181" s="45"/>
      <c r="BH181" s="46"/>
      <c r="BI181" s="63" t="s">
        <v>677</v>
      </c>
      <c r="BJ181">
        <v>0</v>
      </c>
      <c r="BN181" s="46"/>
      <c r="BO181" s="70" t="s">
        <v>895</v>
      </c>
      <c r="BP181" s="45">
        <v>0</v>
      </c>
      <c r="BQ181" s="45" t="s">
        <v>775</v>
      </c>
      <c r="BR181" s="45">
        <f>AVERAGE(BP177:BP181)</f>
        <v>0.2</v>
      </c>
      <c r="BT181" s="46"/>
      <c r="BZ181" s="46"/>
      <c r="CF181" s="65"/>
      <c r="CL181" s="65"/>
      <c r="CR181" s="65"/>
      <c r="CS181" s="78" t="s">
        <v>610</v>
      </c>
      <c r="CT181" s="33">
        <v>3</v>
      </c>
      <c r="CU181" s="47"/>
      <c r="CV181" s="47"/>
      <c r="CX181" s="65"/>
      <c r="DD181" s="65"/>
      <c r="DJ181" s="65"/>
      <c r="DP181" s="65"/>
      <c r="DV181" s="109"/>
    </row>
    <row r="182" spans="31:126" x14ac:dyDescent="0.25">
      <c r="AE182" s="45"/>
      <c r="AF182" s="45"/>
      <c r="AG182" s="45"/>
      <c r="AH182" s="45"/>
      <c r="AJ182" s="46"/>
      <c r="AK182" s="64"/>
      <c r="AL182" s="45"/>
      <c r="AM182" s="45"/>
      <c r="AN182" s="45"/>
      <c r="AQ182" s="63"/>
      <c r="AR182" s="45"/>
      <c r="AS182" s="45"/>
      <c r="AT182" s="45"/>
      <c r="AW182" s="47"/>
      <c r="AX182" s="45"/>
      <c r="BC182" s="47"/>
      <c r="BD182" s="45"/>
      <c r="BH182" s="46"/>
      <c r="BI182" s="63" t="s">
        <v>856</v>
      </c>
      <c r="BJ182">
        <v>3</v>
      </c>
      <c r="BN182" s="46"/>
      <c r="BO182" s="70"/>
      <c r="BP182" s="45"/>
      <c r="BQ182" s="45" t="s">
        <v>776</v>
      </c>
      <c r="BR182" s="45">
        <f>STDEV(BP177:BP181)</f>
        <v>0.44721359549995793</v>
      </c>
      <c r="BT182" s="46"/>
      <c r="BZ182" s="46"/>
      <c r="CF182" s="65"/>
      <c r="CL182" s="65"/>
      <c r="CR182" s="65"/>
      <c r="CS182" s="78" t="s">
        <v>611</v>
      </c>
      <c r="CT182" s="33">
        <v>0</v>
      </c>
      <c r="CU182" s="47"/>
      <c r="CV182" s="47"/>
      <c r="CX182" s="65"/>
      <c r="DD182" s="65"/>
      <c r="DJ182" s="65"/>
      <c r="DP182" s="65"/>
      <c r="DV182" s="109"/>
    </row>
    <row r="183" spans="31:126" x14ac:dyDescent="0.25">
      <c r="AE183" s="45"/>
      <c r="AF183" s="45"/>
      <c r="AG183" s="45"/>
      <c r="AH183" s="45"/>
      <c r="AJ183" s="46"/>
      <c r="AK183" s="64"/>
      <c r="AL183" s="45"/>
      <c r="AM183" s="45"/>
      <c r="AN183" s="45"/>
      <c r="AQ183" s="63"/>
      <c r="AR183" s="45"/>
      <c r="AS183" s="45"/>
      <c r="AT183" s="45"/>
      <c r="AW183" s="47"/>
      <c r="AX183" s="45"/>
      <c r="BC183" s="47"/>
      <c r="BD183" s="45"/>
      <c r="BH183" s="46"/>
      <c r="BI183" s="63" t="s">
        <v>857</v>
      </c>
      <c r="BJ183">
        <v>2</v>
      </c>
      <c r="BN183" s="46"/>
      <c r="BT183" s="46"/>
      <c r="BZ183" s="46"/>
      <c r="CF183" s="65"/>
      <c r="CL183" s="65"/>
      <c r="CR183" s="65"/>
      <c r="CS183" s="78" t="s">
        <v>612</v>
      </c>
      <c r="CT183" s="33">
        <v>4</v>
      </c>
      <c r="CU183" s="47"/>
      <c r="CV183" s="47"/>
      <c r="CX183" s="65"/>
      <c r="DD183" s="65"/>
      <c r="DJ183" s="65"/>
      <c r="DP183" s="65"/>
      <c r="DV183" s="109"/>
    </row>
    <row r="184" spans="31:126" x14ac:dyDescent="0.25">
      <c r="AE184" s="45"/>
      <c r="AF184" s="45"/>
      <c r="AG184" s="45"/>
      <c r="AH184" s="45"/>
      <c r="AJ184" s="46"/>
      <c r="AK184" s="48"/>
      <c r="AL184" s="45"/>
      <c r="AM184" s="45"/>
      <c r="AN184" s="45"/>
      <c r="AQ184" s="63"/>
      <c r="AR184" s="45"/>
      <c r="AS184" s="45"/>
      <c r="AT184" s="45"/>
      <c r="AW184" s="47"/>
      <c r="AX184" s="45"/>
      <c r="BC184" s="47"/>
      <c r="BD184" s="45"/>
      <c r="BH184" s="46"/>
      <c r="BI184" s="63" t="s">
        <v>858</v>
      </c>
      <c r="BJ184">
        <v>0</v>
      </c>
      <c r="BN184" s="46"/>
      <c r="BT184" s="46"/>
      <c r="BZ184" s="46"/>
      <c r="CF184" s="65"/>
      <c r="CL184" s="65"/>
      <c r="CR184" s="65"/>
      <c r="CS184" s="78" t="s">
        <v>574</v>
      </c>
      <c r="CT184" s="33">
        <v>0</v>
      </c>
      <c r="CX184" s="65"/>
      <c r="DD184" s="65"/>
      <c r="DJ184" s="65"/>
      <c r="DP184" s="65"/>
      <c r="DV184" s="109"/>
    </row>
    <row r="185" spans="31:126" x14ac:dyDescent="0.25">
      <c r="AE185" s="45"/>
      <c r="AF185" s="45"/>
      <c r="AG185" s="45"/>
      <c r="AH185" s="45"/>
      <c r="AJ185" s="46"/>
      <c r="AK185" s="64"/>
      <c r="AL185" s="45"/>
      <c r="AM185" s="45"/>
      <c r="AN185" s="45"/>
      <c r="AQ185" s="63"/>
      <c r="AR185" s="45"/>
      <c r="AS185" s="45"/>
      <c r="AT185" s="45"/>
      <c r="AW185" s="47"/>
      <c r="AX185" s="45"/>
      <c r="BC185" s="47"/>
      <c r="BD185" s="45"/>
      <c r="BH185" s="46"/>
      <c r="BI185" s="63" t="s">
        <v>859</v>
      </c>
      <c r="BJ185">
        <v>0</v>
      </c>
      <c r="BN185" s="46"/>
      <c r="BT185" s="46"/>
      <c r="BZ185" s="46"/>
      <c r="CF185" s="65"/>
      <c r="CL185" s="65"/>
      <c r="CR185" s="65"/>
      <c r="CS185" s="63"/>
      <c r="CX185" s="65"/>
      <c r="DD185" s="65"/>
      <c r="DJ185" s="65"/>
      <c r="DP185" s="65"/>
      <c r="DV185" s="109"/>
    </row>
    <row r="186" spans="31:126" x14ac:dyDescent="0.25">
      <c r="AE186" s="45"/>
      <c r="AF186" s="45"/>
      <c r="AG186" s="45"/>
      <c r="AH186" s="45"/>
      <c r="AJ186" s="46"/>
      <c r="AK186" s="64"/>
      <c r="AL186" s="45"/>
      <c r="AM186" s="45"/>
      <c r="AN186" s="45"/>
      <c r="AW186" s="47"/>
      <c r="AX186" s="45"/>
      <c r="BC186" s="47"/>
      <c r="BD186" s="45"/>
      <c r="BH186" s="46"/>
      <c r="BI186" s="63" t="s">
        <v>860</v>
      </c>
      <c r="BJ186">
        <v>0</v>
      </c>
      <c r="BN186" s="46"/>
      <c r="BT186" s="46"/>
      <c r="BZ186" s="46"/>
      <c r="CF186" s="65"/>
      <c r="CL186" s="65"/>
      <c r="CR186" s="65"/>
      <c r="CS186" s="63"/>
      <c r="CX186" s="65"/>
      <c r="DD186" s="65"/>
      <c r="DJ186" s="65"/>
      <c r="DP186" s="65"/>
      <c r="DV186" s="109"/>
    </row>
    <row r="187" spans="31:126" x14ac:dyDescent="0.25">
      <c r="AE187" s="45"/>
      <c r="AF187" s="45"/>
      <c r="AG187" s="45"/>
      <c r="AH187" s="45"/>
      <c r="AJ187" s="46"/>
      <c r="AK187" s="64"/>
      <c r="AL187" s="45"/>
      <c r="AM187" s="45"/>
      <c r="AN187" s="45"/>
      <c r="AW187" s="47"/>
      <c r="AX187" s="45"/>
      <c r="BC187" s="47"/>
      <c r="BD187" s="45"/>
      <c r="BH187" s="46"/>
      <c r="BI187" s="63" t="s">
        <v>861</v>
      </c>
      <c r="BJ187">
        <v>0</v>
      </c>
      <c r="BN187" s="46"/>
      <c r="BT187" s="46"/>
      <c r="BZ187" s="46"/>
      <c r="CF187" s="65"/>
      <c r="CL187" s="65"/>
      <c r="CR187" s="65"/>
      <c r="CS187" s="63"/>
      <c r="CX187" s="65"/>
      <c r="DD187" s="65"/>
      <c r="DJ187" s="65"/>
      <c r="DP187" s="65"/>
      <c r="DV187" s="109"/>
    </row>
    <row r="188" spans="31:126" x14ac:dyDescent="0.25">
      <c r="AE188" s="45"/>
      <c r="AF188" s="45"/>
      <c r="AG188" s="45"/>
      <c r="AH188" s="45"/>
      <c r="AJ188" s="46"/>
      <c r="AK188" s="64"/>
      <c r="AL188" s="45"/>
      <c r="AM188" s="45"/>
      <c r="AN188" s="45"/>
      <c r="AW188" s="47"/>
      <c r="AX188" s="45"/>
      <c r="BC188" s="47"/>
      <c r="BD188" s="45"/>
      <c r="BH188" s="46"/>
      <c r="BI188" s="63" t="s">
        <v>862</v>
      </c>
      <c r="BJ188">
        <v>0</v>
      </c>
      <c r="BN188" s="46"/>
      <c r="BT188" s="46"/>
      <c r="BZ188" s="46"/>
      <c r="CF188" s="65"/>
      <c r="CL188" s="65"/>
      <c r="CR188" s="65"/>
      <c r="CS188" s="63"/>
      <c r="CX188" s="65"/>
      <c r="DD188" s="65"/>
      <c r="DJ188" s="65"/>
      <c r="DP188" s="65"/>
      <c r="DV188" s="109"/>
    </row>
    <row r="189" spans="31:126" x14ac:dyDescent="0.25">
      <c r="AE189" s="45"/>
      <c r="AF189" s="45"/>
      <c r="AG189" s="45"/>
      <c r="AH189" s="45"/>
      <c r="AJ189" s="46"/>
      <c r="AK189" s="64"/>
      <c r="AL189" s="45"/>
      <c r="AM189" s="45"/>
      <c r="AN189" s="45"/>
      <c r="AW189" s="47"/>
      <c r="AX189" s="45"/>
      <c r="BC189" s="47"/>
      <c r="BD189" s="45"/>
      <c r="BH189" s="46"/>
      <c r="BI189" s="63" t="s">
        <v>863</v>
      </c>
      <c r="BJ189">
        <v>0</v>
      </c>
      <c r="BN189" s="46"/>
      <c r="BT189" s="46"/>
      <c r="BZ189" s="46"/>
      <c r="CF189" s="65"/>
      <c r="CL189" s="65"/>
      <c r="CR189" s="65"/>
      <c r="CS189" s="63"/>
      <c r="CX189" s="65"/>
      <c r="DD189" s="65"/>
      <c r="DJ189" s="65"/>
      <c r="DP189" s="65"/>
      <c r="DV189" s="109"/>
    </row>
    <row r="190" spans="31:126" x14ac:dyDescent="0.25">
      <c r="AE190" s="45"/>
      <c r="AF190" s="45"/>
      <c r="AG190" s="45"/>
      <c r="AH190" s="45"/>
      <c r="AJ190" s="46"/>
      <c r="AK190" s="64"/>
      <c r="AL190" s="45"/>
      <c r="AM190" s="45"/>
      <c r="AN190" s="45"/>
      <c r="AW190" s="47"/>
      <c r="AX190" s="45"/>
      <c r="BC190" s="47"/>
      <c r="BD190" s="45"/>
      <c r="BH190" s="46"/>
      <c r="BI190" s="63" t="s">
        <v>864</v>
      </c>
      <c r="BJ190">
        <v>0</v>
      </c>
      <c r="BK190" s="45"/>
      <c r="BL190" s="45"/>
      <c r="BN190" s="46"/>
      <c r="BT190" s="46"/>
      <c r="BZ190" s="46"/>
      <c r="CF190" s="65"/>
      <c r="CL190" s="65"/>
      <c r="CR190" s="65"/>
      <c r="CS190" s="63"/>
      <c r="CU190" s="45"/>
      <c r="CV190" s="45"/>
      <c r="CX190" s="65"/>
      <c r="DD190" s="65"/>
      <c r="DJ190" s="65"/>
      <c r="DP190" s="65"/>
      <c r="DV190" s="109"/>
    </row>
    <row r="191" spans="31:126" x14ac:dyDescent="0.25">
      <c r="AE191" s="45"/>
      <c r="AF191" s="45"/>
      <c r="AG191" s="45"/>
      <c r="AH191" s="45"/>
      <c r="AJ191" s="46"/>
      <c r="AK191" s="64"/>
      <c r="AL191" s="45"/>
      <c r="AM191" s="45"/>
      <c r="AN191" s="45"/>
      <c r="AW191" s="47"/>
      <c r="AX191" s="45"/>
      <c r="BC191" s="47"/>
      <c r="BD191" s="45"/>
      <c r="BH191" s="46"/>
      <c r="BI191" s="63" t="s">
        <v>865</v>
      </c>
      <c r="BJ191">
        <v>0</v>
      </c>
      <c r="BN191" s="46"/>
      <c r="BT191" s="46"/>
      <c r="BZ191" s="46"/>
      <c r="CF191" s="65"/>
      <c r="CL191" s="65"/>
      <c r="CR191" s="65"/>
      <c r="CS191" s="63"/>
      <c r="CX191" s="65"/>
      <c r="DD191" s="65"/>
      <c r="DJ191" s="65"/>
      <c r="DP191" s="65"/>
      <c r="DV191" s="109"/>
    </row>
    <row r="192" spans="31:126" x14ac:dyDescent="0.25">
      <c r="AF192" s="45"/>
      <c r="AJ192" s="46"/>
      <c r="AK192" s="64"/>
      <c r="AL192" s="45"/>
      <c r="AM192" s="45"/>
      <c r="AN192" s="45"/>
      <c r="AW192" s="47"/>
      <c r="AX192" s="45"/>
      <c r="BC192" s="47"/>
      <c r="BD192" s="45"/>
      <c r="BH192" s="46"/>
      <c r="BI192" s="63" t="s">
        <v>866</v>
      </c>
      <c r="BJ192">
        <v>0</v>
      </c>
      <c r="BN192" s="46"/>
      <c r="BT192" s="46"/>
      <c r="BZ192" s="46"/>
      <c r="CF192" s="65"/>
      <c r="CL192" s="65"/>
      <c r="CR192" s="65"/>
      <c r="CS192" s="63"/>
      <c r="CX192" s="65"/>
      <c r="DD192" s="65"/>
      <c r="DJ192" s="65"/>
      <c r="DP192" s="65"/>
      <c r="DV192" s="109"/>
    </row>
    <row r="193" spans="31:126" x14ac:dyDescent="0.25">
      <c r="AF193" s="45"/>
      <c r="AJ193" s="46"/>
      <c r="AK193" s="64"/>
      <c r="AL193" s="45"/>
      <c r="AM193" s="45"/>
      <c r="AN193" s="45"/>
      <c r="AW193" s="47"/>
      <c r="AX193" s="45"/>
      <c r="BC193" s="47"/>
      <c r="BD193" s="45"/>
      <c r="BH193" s="46"/>
      <c r="BI193" s="63" t="s">
        <v>867</v>
      </c>
      <c r="BJ193">
        <v>0</v>
      </c>
      <c r="BN193" s="46"/>
      <c r="BT193" s="46"/>
      <c r="BZ193" s="46"/>
      <c r="CF193" s="65"/>
      <c r="CL193" s="65"/>
      <c r="CR193" s="65"/>
      <c r="CS193" s="63"/>
      <c r="CX193" s="65"/>
      <c r="DD193" s="65"/>
      <c r="DJ193" s="65"/>
      <c r="DP193" s="65"/>
      <c r="DV193" s="109"/>
    </row>
    <row r="194" spans="31:126" x14ac:dyDescent="0.25">
      <c r="AF194" s="45"/>
      <c r="AJ194" s="46"/>
      <c r="AK194" s="64"/>
      <c r="AL194" s="45"/>
      <c r="AW194" s="47"/>
      <c r="AX194" s="45"/>
      <c r="BC194" s="47"/>
      <c r="BD194" s="45"/>
      <c r="BH194" s="46"/>
      <c r="BN194" s="46"/>
      <c r="BT194" s="46"/>
      <c r="BZ194" s="46"/>
      <c r="CF194" s="65"/>
      <c r="CL194" s="65"/>
      <c r="CR194" s="65"/>
      <c r="CX194" s="65"/>
      <c r="DD194" s="65"/>
      <c r="DJ194" s="65"/>
      <c r="DP194" s="65"/>
      <c r="DV194" s="109"/>
    </row>
    <row r="195" spans="31:126" x14ac:dyDescent="0.25">
      <c r="AF195" s="45"/>
      <c r="AJ195" s="46"/>
      <c r="AK195" s="64"/>
      <c r="AL195" s="45"/>
      <c r="AW195" s="47"/>
      <c r="AX195" s="45"/>
      <c r="BC195" s="47"/>
      <c r="BD195" s="45"/>
      <c r="BH195" s="46"/>
      <c r="BN195" s="46"/>
      <c r="BT195" s="46"/>
      <c r="BZ195" s="46"/>
      <c r="CF195" s="65"/>
      <c r="CL195" s="65"/>
      <c r="CR195" s="65"/>
      <c r="CX195" s="65"/>
      <c r="DD195" s="65"/>
      <c r="DJ195" s="65"/>
      <c r="DP195" s="65"/>
      <c r="DV195" s="109"/>
    </row>
    <row r="196" spans="31:126" x14ac:dyDescent="0.25">
      <c r="AF196" s="45"/>
      <c r="AJ196" s="46"/>
      <c r="AK196" s="64"/>
      <c r="AL196" s="45"/>
      <c r="AW196" s="47"/>
      <c r="AX196" s="45"/>
      <c r="BC196" s="47"/>
      <c r="BD196" s="45"/>
      <c r="BH196" s="46"/>
      <c r="BI196" s="45" t="s">
        <v>195</v>
      </c>
      <c r="BN196" s="46"/>
      <c r="BT196" s="46"/>
      <c r="BZ196" s="46"/>
      <c r="CF196" s="65"/>
      <c r="CL196" s="65"/>
      <c r="CR196" s="65"/>
      <c r="CS196" s="45"/>
      <c r="CX196" s="65"/>
      <c r="DD196" s="65"/>
      <c r="DJ196" s="65"/>
      <c r="DP196" s="65"/>
      <c r="DV196" s="109"/>
    </row>
    <row r="197" spans="31:126" x14ac:dyDescent="0.25">
      <c r="AF197" s="45"/>
      <c r="AJ197" s="46"/>
      <c r="AK197" s="64"/>
      <c r="AL197" s="45"/>
      <c r="AW197" s="47"/>
      <c r="AX197" s="45"/>
      <c r="BC197" s="47"/>
      <c r="BD197" s="45"/>
      <c r="BH197" s="46"/>
      <c r="BI197" s="45" t="s">
        <v>768</v>
      </c>
      <c r="BJ197" s="45" t="s">
        <v>344</v>
      </c>
      <c r="BK197" s="45" t="s">
        <v>769</v>
      </c>
      <c r="BL197" s="45" t="s">
        <v>770</v>
      </c>
      <c r="BN197" s="46"/>
      <c r="BT197" s="46"/>
      <c r="BZ197" s="46"/>
      <c r="CF197" s="65"/>
      <c r="CL197" s="65"/>
      <c r="CR197" s="65"/>
      <c r="CS197" s="45"/>
      <c r="CT197" s="45"/>
      <c r="CU197" s="45"/>
      <c r="CV197" s="45"/>
      <c r="CX197" s="65"/>
      <c r="DD197" s="65"/>
      <c r="DJ197" s="65"/>
      <c r="DP197" s="65"/>
      <c r="DV197" s="109"/>
    </row>
    <row r="198" spans="31:126" x14ac:dyDescent="0.25">
      <c r="AJ198" s="46"/>
      <c r="AK198" s="64"/>
      <c r="AL198" s="45"/>
      <c r="AW198" s="47"/>
      <c r="AX198" s="45"/>
      <c r="BC198" s="47"/>
      <c r="BD198" s="45"/>
      <c r="BH198" s="46"/>
      <c r="BI198" s="63" t="s">
        <v>823</v>
      </c>
      <c r="BJ198">
        <v>0</v>
      </c>
      <c r="BK198" s="45" t="s">
        <v>771</v>
      </c>
      <c r="BL198" s="45">
        <f>SUM(BJ198:BJ203)</f>
        <v>1</v>
      </c>
      <c r="BN198" s="46"/>
      <c r="BT198" s="46"/>
      <c r="BZ198" s="46"/>
      <c r="CF198" s="65"/>
      <c r="CL198" s="65"/>
      <c r="CR198" s="65"/>
      <c r="CS198" s="63"/>
      <c r="CU198" s="45"/>
      <c r="CV198" s="45"/>
      <c r="CX198" s="65"/>
      <c r="DD198" s="65"/>
      <c r="DJ198" s="65"/>
      <c r="DP198" s="65"/>
      <c r="DV198" s="109"/>
    </row>
    <row r="199" spans="31:126" x14ac:dyDescent="0.25">
      <c r="AJ199" s="46"/>
      <c r="AK199" s="64"/>
      <c r="AL199" s="45"/>
      <c r="AW199" s="47"/>
      <c r="AX199" s="45"/>
      <c r="BC199" s="47"/>
      <c r="BD199" s="45"/>
      <c r="BH199" s="46"/>
      <c r="BI199" s="63" t="s">
        <v>825</v>
      </c>
      <c r="BJ199">
        <v>0</v>
      </c>
      <c r="BK199" s="45" t="s">
        <v>772</v>
      </c>
      <c r="BL199" s="45">
        <f>MIN(BJ198:BJ203)</f>
        <v>0</v>
      </c>
      <c r="BN199" s="46"/>
      <c r="BT199" s="46"/>
      <c r="BZ199" s="46"/>
      <c r="CF199" s="65"/>
      <c r="CL199" s="65"/>
      <c r="CR199" s="65"/>
      <c r="CS199" s="63"/>
      <c r="CU199" s="45"/>
      <c r="CV199" s="45"/>
      <c r="CX199" s="65"/>
      <c r="DD199" s="65"/>
      <c r="DJ199" s="65"/>
      <c r="DP199" s="65"/>
      <c r="DV199" s="109"/>
    </row>
    <row r="200" spans="31:126" x14ac:dyDescent="0.25">
      <c r="AE200" s="45"/>
      <c r="AF200" s="45"/>
      <c r="AG200" s="45"/>
      <c r="AH200" s="45"/>
      <c r="AJ200" s="46"/>
      <c r="AK200" s="64"/>
      <c r="AL200" s="45"/>
      <c r="AW200" s="47"/>
      <c r="AX200" s="45"/>
      <c r="BC200" s="47"/>
      <c r="BD200" s="45"/>
      <c r="BH200" s="46"/>
      <c r="BI200" s="63" t="s">
        <v>824</v>
      </c>
      <c r="BJ200">
        <v>0</v>
      </c>
      <c r="BK200" s="45" t="s">
        <v>773</v>
      </c>
      <c r="BL200" s="45">
        <f>MAX(BJ198:BJ203)</f>
        <v>1</v>
      </c>
      <c r="BN200" s="46"/>
      <c r="BT200" s="46"/>
      <c r="BZ200" s="46"/>
      <c r="CF200" s="65"/>
      <c r="CL200" s="65"/>
      <c r="CR200" s="65"/>
      <c r="CS200" s="63"/>
      <c r="CU200" s="45"/>
      <c r="CV200" s="45"/>
      <c r="CX200" s="65"/>
      <c r="DD200" s="65"/>
      <c r="DJ200" s="65"/>
      <c r="DP200" s="65"/>
      <c r="DV200" s="109"/>
    </row>
    <row r="201" spans="31:126" x14ac:dyDescent="0.25">
      <c r="AE201" s="45"/>
      <c r="AF201" s="45"/>
      <c r="AG201" s="45"/>
      <c r="AH201" s="45"/>
      <c r="AJ201" s="46"/>
      <c r="AK201" s="64"/>
      <c r="AL201" s="45"/>
      <c r="AW201" s="47"/>
      <c r="AX201" s="45"/>
      <c r="BC201" s="47"/>
      <c r="BD201" s="45"/>
      <c r="BH201" s="46"/>
      <c r="BI201" s="63" t="s">
        <v>826</v>
      </c>
      <c r="BJ201">
        <v>0</v>
      </c>
      <c r="BK201" s="45" t="s">
        <v>774</v>
      </c>
      <c r="BL201" s="45">
        <f>VAR(BJ198:BJ203)</f>
        <v>0.16666666666666669</v>
      </c>
      <c r="BN201" s="46"/>
      <c r="BT201" s="46"/>
      <c r="BZ201" s="46"/>
      <c r="CF201" s="65"/>
      <c r="CL201" s="65"/>
      <c r="CR201" s="65"/>
      <c r="CS201" s="63"/>
      <c r="CU201" s="45"/>
      <c r="CV201" s="45"/>
      <c r="CX201" s="65"/>
      <c r="DD201" s="65"/>
      <c r="DJ201" s="65"/>
      <c r="DP201" s="65"/>
      <c r="DV201" s="109"/>
    </row>
    <row r="202" spans="31:126" x14ac:dyDescent="0.25">
      <c r="AE202" s="45"/>
      <c r="AF202" s="45"/>
      <c r="AG202" s="45"/>
      <c r="AH202" s="45"/>
      <c r="AJ202" s="46"/>
      <c r="AK202" s="64"/>
      <c r="AL202" s="45"/>
      <c r="AW202" s="47"/>
      <c r="AX202" s="45"/>
      <c r="BC202" s="47"/>
      <c r="BD202" s="45"/>
      <c r="BH202" s="46"/>
      <c r="BI202" s="63" t="s">
        <v>827</v>
      </c>
      <c r="BJ202">
        <v>1</v>
      </c>
      <c r="BK202" s="45" t="s">
        <v>775</v>
      </c>
      <c r="BL202" s="45">
        <f>AVERAGE(BJ198:BJ203)</f>
        <v>0.16666666666666666</v>
      </c>
      <c r="BN202" s="46"/>
      <c r="BT202" s="46"/>
      <c r="BZ202" s="46"/>
      <c r="CF202" s="65"/>
      <c r="CL202" s="65"/>
      <c r="CR202" s="65"/>
      <c r="CS202" s="63"/>
      <c r="CU202" s="45"/>
      <c r="CV202" s="45"/>
      <c r="CX202" s="65"/>
      <c r="DD202" s="65"/>
      <c r="DJ202" s="65"/>
      <c r="DP202" s="65"/>
      <c r="DV202" s="109"/>
    </row>
    <row r="203" spans="31:126" x14ac:dyDescent="0.25">
      <c r="AE203" s="45"/>
      <c r="AF203" s="45"/>
      <c r="AG203" s="45"/>
      <c r="AH203" s="45"/>
      <c r="AJ203" s="46"/>
      <c r="AK203" s="64"/>
      <c r="AL203" s="45"/>
      <c r="AW203" s="47"/>
      <c r="AX203" s="45"/>
      <c r="BC203" s="47"/>
      <c r="BD203" s="45"/>
      <c r="BH203" s="46"/>
      <c r="BI203" s="63" t="s">
        <v>828</v>
      </c>
      <c r="BJ203">
        <v>0</v>
      </c>
      <c r="BK203" s="45" t="s">
        <v>776</v>
      </c>
      <c r="BL203" s="45">
        <f>STDEV(BJ198:BJ203)</f>
        <v>0.40824829046386302</v>
      </c>
      <c r="BN203" s="46"/>
      <c r="BT203" s="46"/>
      <c r="BZ203" s="46"/>
      <c r="CF203" s="65"/>
      <c r="CL203" s="65"/>
      <c r="CR203" s="65"/>
      <c r="CS203" s="63"/>
      <c r="CU203" s="45"/>
      <c r="CV203" s="45"/>
      <c r="CX203" s="65"/>
      <c r="DD203" s="65"/>
      <c r="DJ203" s="65"/>
      <c r="DP203" s="65"/>
      <c r="DV203" s="109"/>
    </row>
    <row r="204" spans="31:126" x14ac:dyDescent="0.25">
      <c r="AE204" s="45"/>
      <c r="AF204" s="45"/>
      <c r="AG204" s="45"/>
      <c r="AH204" s="45"/>
      <c r="AJ204" s="46"/>
      <c r="AK204" s="64"/>
      <c r="AL204" s="45"/>
      <c r="AW204" s="47"/>
      <c r="AX204" s="45"/>
      <c r="BC204" s="47"/>
      <c r="BD204" s="45"/>
      <c r="BH204" s="46"/>
      <c r="BI204" s="63"/>
      <c r="BK204" s="45"/>
      <c r="BL204" s="45"/>
      <c r="BN204" s="46"/>
      <c r="BT204" s="46"/>
      <c r="BZ204" s="46"/>
      <c r="CF204" s="65"/>
      <c r="CL204" s="65"/>
      <c r="CR204" s="65"/>
      <c r="CS204" s="63"/>
      <c r="CU204" s="45"/>
      <c r="CV204" s="45"/>
      <c r="CX204" s="65"/>
      <c r="DD204" s="65"/>
      <c r="DJ204" s="65"/>
      <c r="DP204" s="65"/>
      <c r="DV204" s="109"/>
    </row>
    <row r="205" spans="31:126" x14ac:dyDescent="0.25">
      <c r="AE205" s="45"/>
      <c r="AF205" s="45"/>
      <c r="AG205" s="45"/>
      <c r="AH205" s="45"/>
      <c r="AJ205" s="46"/>
      <c r="AK205" s="64"/>
      <c r="AL205" s="45"/>
      <c r="AW205" s="47"/>
      <c r="AX205" s="45"/>
      <c r="BC205" s="47"/>
      <c r="BD205" s="45"/>
      <c r="BH205" s="46"/>
      <c r="BI205" s="63"/>
      <c r="BK205" s="45"/>
      <c r="BL205" s="45"/>
      <c r="BN205" s="46"/>
      <c r="BT205" s="46"/>
      <c r="BZ205" s="46"/>
      <c r="CF205" s="65"/>
      <c r="CL205" s="65"/>
      <c r="CR205" s="65"/>
      <c r="CS205" s="63"/>
      <c r="CU205" s="45"/>
      <c r="CV205" s="45"/>
      <c r="CX205" s="65"/>
      <c r="DD205" s="65"/>
      <c r="DJ205" s="65"/>
      <c r="DP205" s="65"/>
      <c r="DV205" s="109"/>
    </row>
    <row r="206" spans="31:126" x14ac:dyDescent="0.25">
      <c r="AE206" s="45"/>
      <c r="AF206" s="45"/>
      <c r="AG206" s="45"/>
      <c r="AH206" s="45"/>
      <c r="AJ206" s="46"/>
      <c r="AK206" s="64"/>
      <c r="AL206" s="45"/>
      <c r="AW206" s="48"/>
      <c r="AX206" s="45"/>
      <c r="BC206" s="48"/>
      <c r="BD206" s="45"/>
      <c r="BH206" s="46"/>
      <c r="BI206" s="31" t="s">
        <v>667</v>
      </c>
      <c r="BJ206" s="45" t="s">
        <v>344</v>
      </c>
      <c r="BK206" s="45" t="s">
        <v>769</v>
      </c>
      <c r="BL206" s="45" t="s">
        <v>770</v>
      </c>
      <c r="BN206" s="46"/>
      <c r="BT206" s="46"/>
      <c r="BZ206" s="46"/>
      <c r="CF206" s="65"/>
      <c r="CL206" s="65"/>
      <c r="CR206" s="65"/>
      <c r="CS206" s="31"/>
      <c r="CT206" s="45"/>
      <c r="CU206" s="45"/>
      <c r="CV206" s="45"/>
      <c r="CX206" s="65"/>
      <c r="DD206" s="65"/>
      <c r="DJ206" s="65"/>
      <c r="DP206" s="65"/>
      <c r="DV206" s="109"/>
    </row>
    <row r="207" spans="31:126" x14ac:dyDescent="0.25">
      <c r="AE207" s="45"/>
      <c r="AF207" s="45"/>
      <c r="AG207" s="45"/>
      <c r="AH207" s="45"/>
      <c r="AJ207" s="46"/>
      <c r="AW207" s="48"/>
      <c r="AX207" s="45"/>
      <c r="BC207" s="48"/>
      <c r="BD207" s="45"/>
      <c r="BH207" s="46"/>
      <c r="BI207" s="63" t="s">
        <v>450</v>
      </c>
      <c r="BJ207">
        <v>0</v>
      </c>
      <c r="BK207" s="45" t="s">
        <v>771</v>
      </c>
      <c r="BL207" s="45">
        <f>SUM(BJ207:BJ221)</f>
        <v>5</v>
      </c>
      <c r="BN207" s="46"/>
      <c r="BT207" s="46"/>
      <c r="BZ207" s="46"/>
      <c r="CF207" s="65"/>
      <c r="CL207" s="65"/>
      <c r="CR207" s="65"/>
      <c r="CS207" s="63"/>
      <c r="CU207" s="45"/>
      <c r="CV207" s="45"/>
      <c r="CX207" s="65"/>
      <c r="DD207" s="65"/>
      <c r="DJ207" s="65"/>
      <c r="DP207" s="65"/>
      <c r="DV207" s="109"/>
    </row>
    <row r="208" spans="31:126" x14ac:dyDescent="0.25">
      <c r="AE208" s="45"/>
      <c r="AF208" s="45"/>
      <c r="AG208" s="45"/>
      <c r="AH208" s="45"/>
      <c r="AJ208" s="46"/>
      <c r="AW208" s="48"/>
      <c r="AX208" s="45"/>
      <c r="BC208" s="48"/>
      <c r="BD208" s="45"/>
      <c r="BH208" s="46"/>
      <c r="BI208" s="63" t="s">
        <v>829</v>
      </c>
      <c r="BJ208">
        <v>0</v>
      </c>
      <c r="BK208" s="45" t="s">
        <v>772</v>
      </c>
      <c r="BL208" s="45">
        <f>MIN(BJ207:BJ221)</f>
        <v>0</v>
      </c>
      <c r="BN208" s="46"/>
      <c r="BT208" s="46"/>
      <c r="BZ208" s="46"/>
      <c r="CF208" s="65"/>
      <c r="CL208" s="65"/>
      <c r="CR208" s="65"/>
      <c r="CS208" s="63"/>
      <c r="CU208" s="45"/>
      <c r="CV208" s="45"/>
      <c r="CX208" s="65"/>
      <c r="DD208" s="65"/>
      <c r="DJ208" s="65"/>
      <c r="DP208" s="65"/>
      <c r="DV208" s="109"/>
    </row>
    <row r="209" spans="31:126" x14ac:dyDescent="0.25">
      <c r="AE209" s="45"/>
      <c r="AF209" s="45"/>
      <c r="AG209" s="45"/>
      <c r="AH209" s="45"/>
      <c r="AJ209" s="46"/>
      <c r="AK209" s="45"/>
      <c r="AL209" s="45"/>
      <c r="AM209" s="45"/>
      <c r="AN209" s="45"/>
      <c r="AW209" s="48"/>
      <c r="AX209" s="45"/>
      <c r="BC209" s="48"/>
      <c r="BD209" s="45"/>
      <c r="BH209" s="46"/>
      <c r="BI209" s="63" t="s">
        <v>830</v>
      </c>
      <c r="BJ209">
        <v>1</v>
      </c>
      <c r="BK209" s="45" t="s">
        <v>773</v>
      </c>
      <c r="BL209" s="45">
        <f>MAX(BJ207:BJ221)</f>
        <v>2</v>
      </c>
      <c r="BN209" s="46"/>
      <c r="BT209" s="46"/>
      <c r="BZ209" s="46"/>
      <c r="CF209" s="65"/>
      <c r="CL209" s="65"/>
      <c r="CR209" s="65"/>
      <c r="CS209" s="63"/>
      <c r="CU209" s="45"/>
      <c r="CV209" s="45"/>
      <c r="CX209" s="65"/>
      <c r="DD209" s="65"/>
      <c r="DJ209" s="65"/>
      <c r="DP209" s="65"/>
      <c r="DV209" s="109"/>
    </row>
    <row r="210" spans="31:126" x14ac:dyDescent="0.25">
      <c r="AE210" s="45"/>
      <c r="AF210" s="45"/>
      <c r="AG210" s="45"/>
      <c r="AH210" s="45"/>
      <c r="AJ210" s="46"/>
      <c r="AK210" s="45"/>
      <c r="AL210" s="45"/>
      <c r="AM210" s="45"/>
      <c r="AN210" s="45"/>
      <c r="AW210" s="48"/>
      <c r="AX210" s="45"/>
      <c r="BC210" s="48"/>
      <c r="BD210" s="45"/>
      <c r="BH210" s="46"/>
      <c r="BI210" s="63" t="s">
        <v>351</v>
      </c>
      <c r="BJ210">
        <v>2</v>
      </c>
      <c r="BK210" s="45" t="s">
        <v>774</v>
      </c>
      <c r="BL210" s="45">
        <f>VAR(BJ207:BJ221)</f>
        <v>0.52380952380952384</v>
      </c>
      <c r="BN210" s="46"/>
      <c r="BT210" s="46"/>
      <c r="BZ210" s="46"/>
      <c r="CF210" s="65"/>
      <c r="CL210" s="65"/>
      <c r="CR210" s="65"/>
      <c r="CS210" s="63"/>
      <c r="CU210" s="45"/>
      <c r="CV210" s="45"/>
      <c r="CX210" s="65"/>
      <c r="DD210" s="65"/>
      <c r="DJ210" s="65"/>
      <c r="DP210" s="65"/>
      <c r="DV210" s="109"/>
    </row>
    <row r="211" spans="31:126" x14ac:dyDescent="0.25">
      <c r="AE211" s="45"/>
      <c r="AF211" s="45"/>
      <c r="AG211" s="45"/>
      <c r="AH211" s="45"/>
      <c r="AJ211" s="46"/>
      <c r="AK211" s="64"/>
      <c r="AL211" s="45"/>
      <c r="AM211" s="45"/>
      <c r="AN211" s="45"/>
      <c r="AW211" s="48"/>
      <c r="AX211" s="45"/>
      <c r="BC211" s="48"/>
      <c r="BD211" s="45"/>
      <c r="BH211" s="46"/>
      <c r="BI211" s="63" t="s">
        <v>831</v>
      </c>
      <c r="BJ211">
        <v>0</v>
      </c>
      <c r="BK211" s="45" t="s">
        <v>775</v>
      </c>
      <c r="BL211" s="45">
        <f>AVERAGE(BJ207:BJ221)</f>
        <v>0.33333333333333331</v>
      </c>
      <c r="BN211" s="46"/>
      <c r="BT211" s="46"/>
      <c r="BZ211" s="46"/>
      <c r="CF211" s="65"/>
      <c r="CL211" s="65"/>
      <c r="CR211" s="65"/>
      <c r="CS211" s="63"/>
      <c r="CU211" s="45"/>
      <c r="CV211" s="45"/>
      <c r="CX211" s="65"/>
      <c r="DD211" s="65"/>
      <c r="DJ211" s="65"/>
      <c r="DP211" s="65"/>
      <c r="DV211" s="109"/>
    </row>
    <row r="212" spans="31:126" x14ac:dyDescent="0.25">
      <c r="AF212" s="45"/>
      <c r="AJ212" s="46"/>
      <c r="AK212" s="64"/>
      <c r="AL212" s="45"/>
      <c r="AM212" s="45"/>
      <c r="AN212" s="45"/>
      <c r="AW212" s="48"/>
      <c r="AX212" s="45"/>
      <c r="BC212" s="48"/>
      <c r="BD212" s="45"/>
      <c r="BH212" s="46"/>
      <c r="BI212" s="63" t="s">
        <v>762</v>
      </c>
      <c r="BJ212">
        <v>0</v>
      </c>
      <c r="BK212" s="45" t="s">
        <v>776</v>
      </c>
      <c r="BL212" s="45">
        <f>STDEV(BJ207:BJ221)</f>
        <v>0.72374686445574588</v>
      </c>
      <c r="BN212" s="46"/>
      <c r="BT212" s="46"/>
      <c r="BZ212" s="46"/>
      <c r="CF212" s="65"/>
      <c r="CL212" s="65"/>
      <c r="CR212" s="65"/>
      <c r="CS212" s="63"/>
      <c r="CU212" s="45"/>
      <c r="CV212" s="45"/>
      <c r="CX212" s="65"/>
      <c r="DD212" s="65"/>
      <c r="DJ212" s="65"/>
      <c r="DP212" s="65"/>
      <c r="DV212" s="109"/>
    </row>
    <row r="213" spans="31:126" x14ac:dyDescent="0.25">
      <c r="AF213" s="45"/>
      <c r="AJ213" s="46"/>
      <c r="AK213" s="48"/>
      <c r="AL213" s="45"/>
      <c r="AM213" s="45"/>
      <c r="AN213" s="45"/>
      <c r="AW213" s="48"/>
      <c r="AX213" s="45"/>
      <c r="BC213" s="48"/>
      <c r="BD213" s="45"/>
      <c r="BH213" s="46"/>
      <c r="BI213" s="63" t="s">
        <v>832</v>
      </c>
      <c r="BJ213">
        <v>2</v>
      </c>
      <c r="BK213" s="45"/>
      <c r="BL213" s="45"/>
      <c r="BN213" s="46"/>
      <c r="BT213" s="46"/>
      <c r="BZ213" s="46"/>
      <c r="CF213" s="65"/>
      <c r="CL213" s="65"/>
      <c r="CR213" s="65"/>
      <c r="CS213" s="63"/>
      <c r="CU213" s="45"/>
      <c r="CV213" s="45"/>
      <c r="CX213" s="65"/>
      <c r="DD213" s="65"/>
      <c r="DJ213" s="65"/>
      <c r="DP213" s="65"/>
      <c r="DV213" s="109"/>
    </row>
    <row r="214" spans="31:126" x14ac:dyDescent="0.25">
      <c r="AF214" s="45"/>
      <c r="AJ214" s="46"/>
      <c r="AK214" s="64"/>
      <c r="AL214" s="45"/>
      <c r="AM214" s="45"/>
      <c r="AN214" s="45"/>
      <c r="AW214" s="48"/>
      <c r="AX214" s="45"/>
      <c r="BC214" s="48"/>
      <c r="BD214" s="45"/>
      <c r="BH214" s="46"/>
      <c r="BI214" s="63" t="s">
        <v>833</v>
      </c>
      <c r="BJ214">
        <v>0</v>
      </c>
      <c r="BN214" s="46"/>
      <c r="BT214" s="46"/>
      <c r="BZ214" s="46"/>
      <c r="CF214" s="65"/>
      <c r="CL214" s="65"/>
      <c r="CR214" s="65"/>
      <c r="CS214" s="63"/>
      <c r="CX214" s="65"/>
      <c r="DD214" s="65"/>
      <c r="DJ214" s="65"/>
      <c r="DP214" s="65"/>
      <c r="DV214" s="109"/>
    </row>
    <row r="215" spans="31:126" x14ac:dyDescent="0.25">
      <c r="AF215" s="45"/>
      <c r="AJ215" s="46"/>
      <c r="AK215" s="64"/>
      <c r="AL215" s="45"/>
      <c r="AM215" s="45"/>
      <c r="AN215" s="45"/>
      <c r="AW215" s="48"/>
      <c r="AX215" s="45"/>
      <c r="BC215" s="48"/>
      <c r="BD215" s="45"/>
      <c r="BH215" s="46"/>
      <c r="BI215" s="63" t="s">
        <v>834</v>
      </c>
      <c r="BJ215">
        <v>0</v>
      </c>
      <c r="BN215" s="46"/>
      <c r="BT215" s="46"/>
      <c r="BZ215" s="46"/>
      <c r="CF215" s="65"/>
      <c r="CL215" s="65"/>
      <c r="CR215" s="65"/>
      <c r="CS215" s="63"/>
      <c r="CX215" s="65"/>
      <c r="DD215" s="65"/>
      <c r="DJ215" s="65"/>
      <c r="DP215" s="65"/>
      <c r="DV215" s="109"/>
    </row>
    <row r="216" spans="31:126" x14ac:dyDescent="0.25">
      <c r="AF216" s="45"/>
      <c r="AJ216" s="46"/>
      <c r="AK216" s="64"/>
      <c r="AL216" s="45"/>
      <c r="AM216" s="45"/>
      <c r="AN216" s="45"/>
      <c r="AQ216" s="45"/>
      <c r="AR216" s="45"/>
      <c r="AS216" s="45"/>
      <c r="AT216" s="45"/>
      <c r="AW216" s="48"/>
      <c r="AX216" s="45"/>
      <c r="BC216" s="48"/>
      <c r="BD216" s="45"/>
      <c r="BH216" s="46"/>
      <c r="BI216" s="63" t="s">
        <v>835</v>
      </c>
      <c r="BJ216">
        <v>0</v>
      </c>
      <c r="BN216" s="46"/>
      <c r="BT216" s="46"/>
      <c r="BZ216" s="46"/>
      <c r="CF216" s="65"/>
      <c r="CL216" s="65"/>
      <c r="CR216" s="65"/>
      <c r="CS216" s="63"/>
      <c r="CX216" s="65"/>
      <c r="DD216" s="65"/>
      <c r="DJ216" s="65"/>
      <c r="DP216" s="65"/>
      <c r="DV216" s="109"/>
    </row>
    <row r="217" spans="31:126" x14ac:dyDescent="0.25">
      <c r="AF217" s="45"/>
      <c r="AJ217" s="46"/>
      <c r="AK217" s="64"/>
      <c r="AL217" s="45"/>
      <c r="AM217" s="45"/>
      <c r="AN217" s="45"/>
      <c r="AQ217" s="47"/>
      <c r="AR217" s="45"/>
      <c r="AS217" s="45"/>
      <c r="AT217" s="45"/>
      <c r="AW217" s="48"/>
      <c r="AX217" s="45"/>
      <c r="BC217" s="48"/>
      <c r="BD217" s="45"/>
      <c r="BH217" s="46"/>
      <c r="BI217" s="63" t="s">
        <v>836</v>
      </c>
      <c r="BJ217">
        <v>0</v>
      </c>
      <c r="BN217" s="46"/>
      <c r="BT217" s="46"/>
      <c r="BZ217" s="46"/>
      <c r="CF217" s="65"/>
      <c r="CL217" s="65"/>
      <c r="CR217" s="65"/>
      <c r="CS217" s="63"/>
      <c r="CX217" s="65"/>
      <c r="DD217" s="65"/>
      <c r="DJ217" s="65"/>
      <c r="DP217" s="65"/>
      <c r="DV217" s="109"/>
    </row>
    <row r="218" spans="31:126" x14ac:dyDescent="0.25">
      <c r="AJ218" s="46"/>
      <c r="AK218" s="64"/>
      <c r="AL218" s="45"/>
      <c r="AM218" s="45"/>
      <c r="AN218" s="45"/>
      <c r="AQ218" s="47"/>
      <c r="AR218" s="45"/>
      <c r="AS218" s="45"/>
      <c r="AT218" s="45"/>
      <c r="AW218" s="48"/>
      <c r="AX218" s="45"/>
      <c r="BC218" s="48"/>
      <c r="BD218" s="45"/>
      <c r="BH218" s="46"/>
      <c r="BI218" s="63" t="s">
        <v>837</v>
      </c>
      <c r="BJ218">
        <v>0</v>
      </c>
      <c r="BN218" s="46"/>
      <c r="BT218" s="46"/>
      <c r="BZ218" s="46"/>
      <c r="CF218" s="65"/>
      <c r="CL218" s="65"/>
      <c r="CR218" s="65"/>
      <c r="CS218" s="63"/>
      <c r="CX218" s="65"/>
      <c r="DD218" s="65"/>
      <c r="DJ218" s="65"/>
      <c r="DP218" s="65"/>
      <c r="DV218" s="109"/>
    </row>
    <row r="219" spans="31:126" x14ac:dyDescent="0.25">
      <c r="AJ219" s="46"/>
      <c r="AK219" s="64"/>
      <c r="AL219" s="45"/>
      <c r="AM219" s="45"/>
      <c r="AN219" s="45"/>
      <c r="AQ219" s="47"/>
      <c r="AR219" s="45"/>
      <c r="AS219" s="45"/>
      <c r="AT219" s="45"/>
      <c r="AW219" s="48"/>
      <c r="AX219" s="45"/>
      <c r="BC219" s="48"/>
      <c r="BD219" s="45"/>
      <c r="BH219" s="46"/>
      <c r="BI219" s="63" t="s">
        <v>838</v>
      </c>
      <c r="BJ219">
        <v>0</v>
      </c>
      <c r="BN219" s="46"/>
      <c r="BT219" s="46"/>
      <c r="BZ219" s="46"/>
      <c r="CF219" s="65"/>
      <c r="CL219" s="65"/>
      <c r="CR219" s="65"/>
      <c r="CS219" s="63"/>
      <c r="CX219" s="65"/>
      <c r="DD219" s="65"/>
      <c r="DJ219" s="65"/>
      <c r="DP219" s="65"/>
      <c r="DV219" s="109"/>
    </row>
    <row r="220" spans="31:126" x14ac:dyDescent="0.25">
      <c r="AJ220" s="46"/>
      <c r="AK220" s="64"/>
      <c r="AL220" s="45"/>
      <c r="AM220" s="45"/>
      <c r="AN220" s="45"/>
      <c r="AQ220" s="47"/>
      <c r="AR220" s="45"/>
      <c r="AS220" s="45"/>
      <c r="AT220" s="45"/>
      <c r="AW220" s="48"/>
      <c r="AX220" s="45"/>
      <c r="BC220" s="48"/>
      <c r="BD220" s="45"/>
      <c r="BH220" s="46"/>
      <c r="BI220" s="63" t="s">
        <v>839</v>
      </c>
      <c r="BJ220">
        <v>0</v>
      </c>
      <c r="BN220" s="46"/>
      <c r="BT220" s="46"/>
      <c r="BZ220" s="46"/>
      <c r="CF220" s="65"/>
      <c r="CL220" s="65"/>
      <c r="CR220" s="65"/>
      <c r="CS220" s="63"/>
      <c r="CX220" s="65"/>
      <c r="DD220" s="65"/>
      <c r="DJ220" s="65"/>
      <c r="DP220" s="65"/>
      <c r="DV220" s="109"/>
    </row>
    <row r="221" spans="31:126" x14ac:dyDescent="0.25">
      <c r="AJ221" s="46"/>
      <c r="AK221" s="64"/>
      <c r="AL221" s="45"/>
      <c r="AM221" s="45"/>
      <c r="AN221" s="45"/>
      <c r="AQ221" s="47"/>
      <c r="AR221" s="45"/>
      <c r="AS221" s="45"/>
      <c r="AT221" s="45"/>
      <c r="AW221" s="48"/>
      <c r="AX221" s="45"/>
      <c r="BC221" s="48"/>
      <c r="BD221" s="45"/>
      <c r="BH221" s="46"/>
      <c r="BI221" s="63" t="s">
        <v>840</v>
      </c>
      <c r="BJ221">
        <v>0</v>
      </c>
      <c r="BN221" s="46"/>
      <c r="BT221" s="46"/>
      <c r="BZ221" s="46"/>
      <c r="CF221" s="65"/>
      <c r="CL221" s="65"/>
      <c r="CR221" s="65"/>
      <c r="CS221" s="63"/>
      <c r="CX221" s="65"/>
      <c r="DD221" s="65"/>
      <c r="DJ221" s="65"/>
      <c r="DP221" s="65"/>
      <c r="DV221" s="109"/>
    </row>
    <row r="222" spans="31:126" x14ac:dyDescent="0.25">
      <c r="AJ222" s="46"/>
      <c r="AK222" s="64"/>
      <c r="AL222" s="45"/>
      <c r="AM222" s="45"/>
      <c r="AN222" s="45"/>
      <c r="AQ222" s="47"/>
      <c r="AR222" s="45"/>
      <c r="AS222" s="45"/>
      <c r="AT222" s="45"/>
      <c r="AW222" s="48"/>
      <c r="AX222" s="45"/>
      <c r="BC222" s="48"/>
      <c r="BD222" s="45"/>
      <c r="BH222" s="46"/>
      <c r="BI222" s="63"/>
      <c r="BN222" s="46"/>
      <c r="BT222" s="46"/>
      <c r="BZ222" s="46"/>
      <c r="CF222" s="65"/>
      <c r="CL222" s="65"/>
      <c r="CR222" s="65"/>
      <c r="CS222" s="63"/>
      <c r="CX222" s="65"/>
      <c r="DD222" s="65"/>
      <c r="DJ222" s="65"/>
      <c r="DP222" s="65"/>
      <c r="DV222" s="109"/>
    </row>
    <row r="223" spans="31:126" x14ac:dyDescent="0.25">
      <c r="AJ223" s="46"/>
      <c r="AK223" s="64"/>
      <c r="AL223" s="45"/>
      <c r="AQ223" s="47"/>
      <c r="AR223" s="45"/>
      <c r="AS223" s="45"/>
      <c r="AT223" s="45"/>
      <c r="AW223" s="48"/>
      <c r="AX223" s="45"/>
      <c r="BC223" s="48"/>
      <c r="BD223" s="45"/>
      <c r="BH223" s="46"/>
      <c r="BN223" s="46"/>
      <c r="BT223" s="46"/>
      <c r="BZ223" s="46"/>
      <c r="CF223" s="65"/>
      <c r="CL223" s="65"/>
      <c r="CR223" s="65"/>
      <c r="CX223" s="65"/>
      <c r="DD223" s="65"/>
      <c r="DJ223" s="65"/>
      <c r="DP223" s="65"/>
      <c r="DV223" s="109"/>
    </row>
    <row r="224" spans="31:126" x14ac:dyDescent="0.25">
      <c r="AJ224" s="46"/>
      <c r="AK224" s="64"/>
      <c r="AL224" s="45"/>
      <c r="AQ224" s="47"/>
      <c r="AR224" s="45"/>
      <c r="AS224" s="45"/>
      <c r="AT224" s="45"/>
      <c r="AW224" s="48"/>
      <c r="AX224" s="45"/>
      <c r="BC224" s="48"/>
      <c r="BD224" s="45"/>
      <c r="BH224" s="46"/>
      <c r="BI224" s="31" t="s">
        <v>841</v>
      </c>
      <c r="BJ224" t="s">
        <v>344</v>
      </c>
      <c r="BK224" s="45" t="s">
        <v>769</v>
      </c>
      <c r="BL224" s="45" t="s">
        <v>770</v>
      </c>
      <c r="BN224" s="46"/>
      <c r="BT224" s="46"/>
      <c r="BZ224" s="46"/>
      <c r="CF224" s="65"/>
      <c r="CL224" s="65"/>
      <c r="CR224" s="65"/>
      <c r="CS224" s="31"/>
      <c r="CU224" s="45"/>
      <c r="CV224" s="45"/>
      <c r="CX224" s="65"/>
      <c r="DD224" s="65"/>
      <c r="DJ224" s="65"/>
      <c r="DP224" s="65"/>
      <c r="DV224" s="109"/>
    </row>
    <row r="225" spans="36:126" x14ac:dyDescent="0.25">
      <c r="AJ225" s="46"/>
      <c r="AK225" s="64"/>
      <c r="AL225" s="45"/>
      <c r="AQ225" s="47"/>
      <c r="AR225" s="45"/>
      <c r="AS225" s="45"/>
      <c r="AT225" s="45"/>
      <c r="AW225" s="48"/>
      <c r="AX225" s="45"/>
      <c r="BC225" s="48"/>
      <c r="BD225" s="45"/>
      <c r="BH225" s="46"/>
      <c r="BI225" s="63" t="s">
        <v>842</v>
      </c>
      <c r="BJ225">
        <v>0</v>
      </c>
      <c r="BK225" s="45" t="s">
        <v>771</v>
      </c>
      <c r="BL225" s="45">
        <f>SUM(BJ225:BJ227)</f>
        <v>0</v>
      </c>
      <c r="BN225" s="46"/>
      <c r="BT225" s="46"/>
      <c r="BZ225" s="46"/>
      <c r="CF225" s="65"/>
      <c r="CL225" s="65"/>
      <c r="CR225" s="65"/>
      <c r="CS225" s="63"/>
      <c r="CU225" s="45"/>
      <c r="CV225" s="45"/>
      <c r="CX225" s="65"/>
      <c r="DD225" s="65"/>
      <c r="DJ225" s="65"/>
      <c r="DP225" s="65"/>
      <c r="DV225" s="109"/>
    </row>
    <row r="226" spans="36:126" x14ac:dyDescent="0.25">
      <c r="AJ226" s="46"/>
      <c r="AK226" s="64"/>
      <c r="AL226" s="45"/>
      <c r="AQ226" s="47"/>
      <c r="AR226" s="45"/>
      <c r="AS226" s="45"/>
      <c r="AT226" s="45"/>
      <c r="AW226" s="48"/>
      <c r="AX226" s="45"/>
      <c r="BC226" s="48"/>
      <c r="BD226" s="45"/>
      <c r="BH226" s="46"/>
      <c r="BI226" s="63" t="s">
        <v>843</v>
      </c>
      <c r="BJ226">
        <v>0</v>
      </c>
      <c r="BK226" s="45" t="s">
        <v>772</v>
      </c>
      <c r="BL226" s="45">
        <f>MIN(BJ225:BJ227)</f>
        <v>0</v>
      </c>
      <c r="BN226" s="46"/>
      <c r="BT226" s="46"/>
      <c r="BZ226" s="46"/>
      <c r="CF226" s="65"/>
      <c r="CL226" s="65"/>
      <c r="CR226" s="65"/>
      <c r="CS226" s="63"/>
      <c r="CU226" s="45"/>
      <c r="CV226" s="45"/>
      <c r="CX226" s="65"/>
      <c r="DD226" s="65"/>
      <c r="DJ226" s="65"/>
      <c r="DP226" s="65"/>
      <c r="DV226" s="109"/>
    </row>
    <row r="227" spans="36:126" x14ac:dyDescent="0.25">
      <c r="AJ227" s="46"/>
      <c r="AK227" s="64"/>
      <c r="AL227" s="45"/>
      <c r="AQ227" s="47"/>
      <c r="AR227" s="45"/>
      <c r="AS227" s="45"/>
      <c r="AT227" s="45"/>
      <c r="AW227" s="48"/>
      <c r="AX227" s="45"/>
      <c r="BC227" s="48"/>
      <c r="BD227" s="45"/>
      <c r="BH227" s="46"/>
      <c r="BI227" s="63" t="s">
        <v>844</v>
      </c>
      <c r="BJ227">
        <v>0</v>
      </c>
      <c r="BK227" s="45" t="s">
        <v>773</v>
      </c>
      <c r="BL227" s="45">
        <f>MAX(BJ225:BJ227)</f>
        <v>0</v>
      </c>
      <c r="BN227" s="46"/>
      <c r="BT227" s="46"/>
      <c r="BZ227" s="46"/>
      <c r="CF227" s="65"/>
      <c r="CL227" s="65"/>
      <c r="CR227" s="65"/>
      <c r="CS227" s="63"/>
      <c r="CU227" s="45"/>
      <c r="CV227" s="45"/>
      <c r="CX227" s="65"/>
      <c r="DD227" s="65"/>
      <c r="DJ227" s="65"/>
      <c r="DP227" s="65"/>
      <c r="DV227" s="109"/>
    </row>
    <row r="228" spans="36:126" x14ac:dyDescent="0.25">
      <c r="AJ228" s="46"/>
      <c r="AK228" s="64"/>
      <c r="AL228" s="45"/>
      <c r="AQ228" s="47"/>
      <c r="AR228" s="45"/>
      <c r="AS228" s="45"/>
      <c r="AT228" s="45"/>
      <c r="AW228" s="48"/>
      <c r="AX228" s="45"/>
      <c r="BC228" s="48"/>
      <c r="BD228" s="45"/>
      <c r="BH228" s="46"/>
      <c r="BI228" s="63"/>
      <c r="BK228" s="45" t="s">
        <v>774</v>
      </c>
      <c r="BL228" s="45">
        <f>VAR(BJ225:BJ227)</f>
        <v>0</v>
      </c>
      <c r="BN228" s="46"/>
      <c r="BT228" s="46"/>
      <c r="BZ228" s="46"/>
      <c r="CF228" s="65"/>
      <c r="CL228" s="65"/>
      <c r="CR228" s="65"/>
      <c r="CS228" s="63"/>
      <c r="CU228" s="45"/>
      <c r="CV228" s="45"/>
      <c r="CX228" s="65"/>
      <c r="DD228" s="65"/>
      <c r="DJ228" s="65"/>
      <c r="DP228" s="65"/>
      <c r="DV228" s="109"/>
    </row>
    <row r="229" spans="36:126" x14ac:dyDescent="0.25">
      <c r="AJ229" s="46"/>
      <c r="AK229" s="64"/>
      <c r="AL229" s="45"/>
      <c r="AQ229" s="48"/>
      <c r="AR229" s="45"/>
      <c r="AW229" s="48"/>
      <c r="AX229" s="45"/>
      <c r="BC229" s="48"/>
      <c r="BD229" s="45"/>
      <c r="BH229" s="46"/>
      <c r="BI229" s="63"/>
      <c r="BK229" s="45" t="s">
        <v>775</v>
      </c>
      <c r="BL229" s="45">
        <f>AVERAGE(BJ225:BJ227)</f>
        <v>0</v>
      </c>
      <c r="BN229" s="46"/>
      <c r="BT229" s="46"/>
      <c r="BZ229" s="46"/>
      <c r="CF229" s="65"/>
      <c r="CL229" s="65"/>
      <c r="CR229" s="65"/>
      <c r="CS229" s="63"/>
      <c r="CU229" s="45"/>
      <c r="CV229" s="45"/>
      <c r="CX229" s="65"/>
      <c r="DD229" s="65"/>
      <c r="DJ229" s="65"/>
      <c r="DP229" s="65"/>
      <c r="DV229" s="109"/>
    </row>
    <row r="230" spans="36:126" x14ac:dyDescent="0.25">
      <c r="AJ230" s="46"/>
      <c r="AK230" s="64"/>
      <c r="AL230" s="45"/>
      <c r="AQ230" s="47"/>
      <c r="AR230" s="45"/>
      <c r="AW230" s="48"/>
      <c r="AX230" s="45"/>
      <c r="BC230" s="48"/>
      <c r="BD230" s="45"/>
      <c r="BH230" s="46"/>
      <c r="BI230" s="63"/>
      <c r="BK230" s="45" t="s">
        <v>776</v>
      </c>
      <c r="BL230" s="45">
        <f>STDEV(BJ225:BJ227)</f>
        <v>0</v>
      </c>
      <c r="BN230" s="46"/>
      <c r="BT230" s="46"/>
      <c r="BZ230" s="46"/>
      <c r="CF230" s="65"/>
      <c r="CL230" s="65"/>
      <c r="CR230" s="65"/>
      <c r="CS230" s="63"/>
      <c r="CU230" s="45"/>
      <c r="CV230" s="45"/>
      <c r="CX230" s="65"/>
      <c r="DD230" s="65"/>
      <c r="DJ230" s="65"/>
      <c r="DP230" s="65"/>
      <c r="DV230" s="109"/>
    </row>
    <row r="231" spans="36:126" x14ac:dyDescent="0.25">
      <c r="AJ231" s="46"/>
      <c r="AK231" s="64"/>
      <c r="AL231" s="45"/>
      <c r="AQ231" s="47"/>
      <c r="AR231" s="45"/>
      <c r="AW231" s="48"/>
      <c r="AX231" s="45"/>
      <c r="BC231" s="48"/>
      <c r="BD231" s="45"/>
      <c r="BH231" s="46"/>
      <c r="BI231" s="63"/>
      <c r="BN231" s="46"/>
      <c r="BT231" s="46"/>
      <c r="BZ231" s="46"/>
      <c r="CF231" s="65"/>
      <c r="CL231" s="65"/>
      <c r="CR231" s="65"/>
      <c r="CX231" s="65"/>
      <c r="DD231" s="65"/>
      <c r="DJ231" s="65"/>
      <c r="DP231" s="65"/>
      <c r="DV231" s="109"/>
    </row>
    <row r="232" spans="36:126" x14ac:dyDescent="0.25">
      <c r="AJ232" s="46"/>
      <c r="AK232" s="64"/>
      <c r="AL232" s="45"/>
      <c r="AQ232" s="47"/>
      <c r="AR232" s="45"/>
      <c r="AW232" s="48"/>
      <c r="AX232" s="45"/>
      <c r="BC232" s="48"/>
      <c r="BD232" s="45"/>
      <c r="BH232" s="46"/>
      <c r="BN232" s="46"/>
      <c r="BT232" s="46"/>
      <c r="BZ232" s="46"/>
      <c r="CF232" s="65"/>
      <c r="CL232" s="65"/>
      <c r="CR232" s="65"/>
      <c r="CX232" s="65"/>
      <c r="DD232" s="65"/>
      <c r="DJ232" s="65"/>
      <c r="DP232" s="65"/>
      <c r="DV232" s="109"/>
    </row>
    <row r="233" spans="36:126" x14ac:dyDescent="0.25">
      <c r="AJ233" s="46"/>
      <c r="AK233" s="64"/>
      <c r="AL233" s="45"/>
      <c r="AQ233" s="47"/>
      <c r="AR233" s="45"/>
      <c r="AW233" s="48"/>
      <c r="AX233" s="45"/>
      <c r="BC233" s="48"/>
      <c r="BD233" s="45"/>
      <c r="BH233" s="46"/>
      <c r="BI233" s="31" t="s">
        <v>848</v>
      </c>
      <c r="BJ233" t="s">
        <v>344</v>
      </c>
      <c r="BK233" s="45" t="s">
        <v>769</v>
      </c>
      <c r="BL233" s="45" t="s">
        <v>770</v>
      </c>
      <c r="BN233" s="46"/>
      <c r="BT233" s="46"/>
      <c r="BZ233" s="46"/>
      <c r="CF233" s="65"/>
      <c r="CL233" s="65"/>
      <c r="CR233" s="65"/>
      <c r="CX233" s="65"/>
      <c r="DD233" s="65"/>
      <c r="DJ233" s="65"/>
      <c r="DP233" s="65"/>
      <c r="DV233" s="109"/>
    </row>
    <row r="234" spans="36:126" x14ac:dyDescent="0.25">
      <c r="AJ234" s="46"/>
      <c r="AK234" s="64"/>
      <c r="AL234" s="45"/>
      <c r="AQ234" s="47"/>
      <c r="AR234" s="45"/>
      <c r="AW234" s="48"/>
      <c r="AX234" s="45"/>
      <c r="BC234" s="48"/>
      <c r="BD234" s="45"/>
      <c r="BH234" s="46"/>
      <c r="BI234" s="63" t="s">
        <v>845</v>
      </c>
      <c r="BJ234">
        <v>0</v>
      </c>
      <c r="BK234" s="45" t="s">
        <v>771</v>
      </c>
      <c r="BL234" s="45">
        <f>SUM(BJ234:BJ256)</f>
        <v>5</v>
      </c>
      <c r="BN234" s="46"/>
      <c r="BT234" s="46"/>
      <c r="BZ234" s="46"/>
      <c r="CF234" s="65"/>
      <c r="CL234" s="65"/>
      <c r="CR234" s="65"/>
      <c r="CX234" s="65"/>
      <c r="DD234" s="65"/>
      <c r="DJ234" s="65"/>
      <c r="DP234" s="65"/>
      <c r="DV234" s="109"/>
    </row>
    <row r="235" spans="36:126" x14ac:dyDescent="0.25">
      <c r="AJ235" s="46"/>
      <c r="AK235" s="64"/>
      <c r="AL235" s="45"/>
      <c r="AQ235" s="47"/>
      <c r="AR235" s="45"/>
      <c r="BH235" s="46"/>
      <c r="BI235" s="63" t="s">
        <v>846</v>
      </c>
      <c r="BJ235">
        <v>0</v>
      </c>
      <c r="BK235" s="45" t="s">
        <v>772</v>
      </c>
      <c r="BL235" s="45">
        <f>MIN(BJ234:BJ256)</f>
        <v>0</v>
      </c>
      <c r="BN235" s="46"/>
      <c r="BT235" s="46"/>
      <c r="BZ235" s="46"/>
      <c r="CF235" s="65"/>
      <c r="CL235" s="65"/>
      <c r="CR235" s="65"/>
      <c r="CX235" s="65"/>
      <c r="DD235" s="65"/>
      <c r="DJ235" s="65"/>
      <c r="DP235" s="65"/>
      <c r="DV235" s="109"/>
    </row>
    <row r="236" spans="36:126" x14ac:dyDescent="0.25">
      <c r="AJ236" s="46"/>
      <c r="AK236" s="45"/>
      <c r="AL236" s="45"/>
      <c r="AQ236" s="47"/>
      <c r="AR236" s="45"/>
      <c r="BH236" s="46"/>
      <c r="BI236" s="63" t="s">
        <v>847</v>
      </c>
      <c r="BJ236">
        <v>2</v>
      </c>
      <c r="BK236" s="45" t="s">
        <v>773</v>
      </c>
      <c r="BL236" s="45">
        <f>MAX(BJ234:BJ256)</f>
        <v>2</v>
      </c>
      <c r="BN236" s="46"/>
      <c r="BT236" s="46"/>
      <c r="BZ236" s="46"/>
      <c r="CF236" s="65"/>
      <c r="CL236" s="65"/>
      <c r="CR236" s="65"/>
      <c r="CX236" s="65"/>
      <c r="DD236" s="65"/>
      <c r="DJ236" s="65"/>
      <c r="DP236" s="65"/>
      <c r="DV236" s="109"/>
    </row>
    <row r="237" spans="36:126" x14ac:dyDescent="0.25">
      <c r="AJ237" s="46"/>
      <c r="AK237" s="45"/>
      <c r="AL237" s="45"/>
      <c r="AQ237" s="47"/>
      <c r="AR237" s="45"/>
      <c r="AW237" s="45"/>
      <c r="BC237" s="45"/>
      <c r="BH237" s="46"/>
      <c r="BI237" s="63" t="s">
        <v>849</v>
      </c>
      <c r="BJ237">
        <v>0</v>
      </c>
      <c r="BK237" s="45" t="s">
        <v>774</v>
      </c>
      <c r="BL237" s="45">
        <f>VAR(BJ234:BJ256)</f>
        <v>0.35968379446640314</v>
      </c>
      <c r="BN237" s="46"/>
      <c r="BT237" s="46"/>
      <c r="BZ237" s="46"/>
      <c r="CF237" s="65"/>
      <c r="CL237" s="65"/>
      <c r="CR237" s="65"/>
      <c r="CX237" s="65"/>
      <c r="DD237" s="65"/>
      <c r="DJ237" s="65"/>
      <c r="DP237" s="65"/>
      <c r="DV237" s="109"/>
    </row>
    <row r="238" spans="36:126" x14ac:dyDescent="0.25">
      <c r="AJ238" s="46"/>
      <c r="AK238" s="45"/>
      <c r="AL238" s="45"/>
      <c r="AM238" s="45"/>
      <c r="AN238" s="45"/>
      <c r="AQ238" s="47"/>
      <c r="AR238" s="45"/>
      <c r="AW238" s="45"/>
      <c r="AX238" s="45"/>
      <c r="AY238" s="45"/>
      <c r="AZ238" s="45"/>
      <c r="BC238" s="45"/>
      <c r="BD238" s="45"/>
      <c r="BE238" s="45"/>
      <c r="BF238" s="45"/>
      <c r="BH238" s="46"/>
      <c r="BI238" s="63" t="s">
        <v>850</v>
      </c>
      <c r="BJ238">
        <v>0</v>
      </c>
      <c r="BK238" s="45" t="s">
        <v>775</v>
      </c>
      <c r="BL238" s="45">
        <f>AVERAGE(BJ234:BJ256)</f>
        <v>0.21739130434782608</v>
      </c>
      <c r="BN238" s="46"/>
      <c r="BT238" s="46"/>
      <c r="BZ238" s="46"/>
      <c r="CF238" s="65"/>
      <c r="CL238" s="65"/>
      <c r="CR238" s="65"/>
      <c r="CX238" s="65"/>
      <c r="DD238" s="65"/>
      <c r="DJ238" s="65"/>
      <c r="DP238" s="65"/>
      <c r="DV238" s="109"/>
    </row>
    <row r="239" spans="36:126" x14ac:dyDescent="0.25">
      <c r="AJ239" s="46"/>
      <c r="AK239" s="45"/>
      <c r="AL239" s="45"/>
      <c r="AM239" s="45"/>
      <c r="AN239" s="45"/>
      <c r="AQ239" s="47"/>
      <c r="AR239" s="45"/>
      <c r="AW239" s="47"/>
      <c r="AX239" s="45"/>
      <c r="AY239" s="45"/>
      <c r="AZ239" s="45"/>
      <c r="BC239" s="47"/>
      <c r="BD239" s="45"/>
      <c r="BE239" s="45"/>
      <c r="BF239" s="45"/>
      <c r="BH239" s="46"/>
      <c r="BI239" s="63" t="s">
        <v>851</v>
      </c>
      <c r="BJ239">
        <v>0</v>
      </c>
      <c r="BK239" s="45" t="s">
        <v>776</v>
      </c>
      <c r="BL239" s="45">
        <f>STDEV(BJ234:BJ256)</f>
        <v>0.59973643750101024</v>
      </c>
      <c r="BN239" s="46"/>
      <c r="BT239" s="46"/>
      <c r="BZ239" s="46"/>
      <c r="CF239" s="65"/>
      <c r="CL239" s="65"/>
      <c r="CR239" s="65"/>
      <c r="CX239" s="65"/>
      <c r="DD239" s="65"/>
      <c r="DJ239" s="65"/>
      <c r="DP239" s="65"/>
      <c r="DV239" s="109"/>
    </row>
    <row r="240" spans="36:126" x14ac:dyDescent="0.25">
      <c r="AJ240" s="46"/>
      <c r="AK240" s="64"/>
      <c r="AL240" s="45"/>
      <c r="AM240" s="45"/>
      <c r="AN240" s="45"/>
      <c r="AQ240" s="47"/>
      <c r="AR240" s="45"/>
      <c r="AW240" s="47"/>
      <c r="AX240" s="45"/>
      <c r="AY240" s="45"/>
      <c r="AZ240" s="45"/>
      <c r="BC240" s="47"/>
      <c r="BD240" s="45"/>
      <c r="BE240" s="45"/>
      <c r="BF240" s="45"/>
      <c r="BH240" s="46"/>
      <c r="BI240" s="63" t="s">
        <v>852</v>
      </c>
      <c r="BJ240">
        <v>0</v>
      </c>
      <c r="BN240" s="46"/>
      <c r="BT240" s="46"/>
      <c r="BZ240" s="46"/>
      <c r="CF240" s="65"/>
      <c r="CL240" s="65"/>
      <c r="CR240" s="65"/>
      <c r="CX240" s="65"/>
      <c r="DD240" s="65"/>
      <c r="DJ240" s="65"/>
      <c r="DP240" s="65"/>
      <c r="DV240" s="109"/>
    </row>
    <row r="241" spans="36:126" x14ac:dyDescent="0.25">
      <c r="AJ241" s="46"/>
      <c r="AK241" s="64"/>
      <c r="AL241" s="45"/>
      <c r="AM241" s="45"/>
      <c r="AN241" s="45"/>
      <c r="AQ241" s="47"/>
      <c r="AR241" s="45"/>
      <c r="AW241" s="47"/>
      <c r="AX241" s="45"/>
      <c r="AY241" s="45"/>
      <c r="AZ241" s="45"/>
      <c r="BC241" s="47"/>
      <c r="BD241" s="45"/>
      <c r="BE241" s="45"/>
      <c r="BF241" s="45"/>
      <c r="BH241" s="46"/>
      <c r="BI241" s="63" t="s">
        <v>853</v>
      </c>
      <c r="BJ241">
        <v>0</v>
      </c>
      <c r="BN241" s="46"/>
      <c r="BT241" s="46"/>
      <c r="BZ241" s="46"/>
      <c r="CF241" s="65"/>
      <c r="CL241" s="65"/>
      <c r="CR241" s="65"/>
      <c r="CX241" s="65"/>
      <c r="DD241" s="65"/>
      <c r="DJ241" s="65"/>
      <c r="DP241" s="65"/>
      <c r="DV241" s="109"/>
    </row>
    <row r="242" spans="36:126" x14ac:dyDescent="0.25">
      <c r="AJ242" s="46"/>
      <c r="AK242" s="48"/>
      <c r="AL242" s="45"/>
      <c r="AM242" s="45"/>
      <c r="AN242" s="45"/>
      <c r="AQ242" s="47"/>
      <c r="AR242" s="45"/>
      <c r="AW242" s="47"/>
      <c r="AX242" s="45"/>
      <c r="AY242" s="45"/>
      <c r="AZ242" s="45"/>
      <c r="BC242" s="47"/>
      <c r="BD242" s="45"/>
      <c r="BE242" s="45"/>
      <c r="BF242" s="45"/>
      <c r="BH242" s="46"/>
      <c r="BI242" s="63" t="s">
        <v>854</v>
      </c>
      <c r="BJ242">
        <v>0</v>
      </c>
      <c r="BN242" s="46"/>
      <c r="BT242" s="46"/>
      <c r="BZ242" s="46"/>
      <c r="CF242" s="65"/>
      <c r="CL242" s="65"/>
      <c r="CR242" s="65"/>
      <c r="CX242" s="65"/>
      <c r="DD242" s="65"/>
      <c r="DJ242" s="65"/>
      <c r="DP242" s="65"/>
      <c r="DV242" s="109"/>
    </row>
    <row r="243" spans="36:126" x14ac:dyDescent="0.25">
      <c r="AJ243" s="46"/>
      <c r="AK243" s="64"/>
      <c r="AL243" s="45"/>
      <c r="AM243" s="45"/>
      <c r="AN243" s="45"/>
      <c r="AQ243" s="47"/>
      <c r="AR243" s="45"/>
      <c r="AW243" s="47"/>
      <c r="AX243" s="45"/>
      <c r="AY243" s="45"/>
      <c r="AZ243" s="45"/>
      <c r="BC243" s="47"/>
      <c r="BD243" s="45"/>
      <c r="BE243" s="45"/>
      <c r="BF243" s="45"/>
      <c r="BH243" s="46"/>
      <c r="BI243" s="63" t="s">
        <v>855</v>
      </c>
      <c r="BJ243">
        <v>0</v>
      </c>
      <c r="BN243" s="46"/>
      <c r="BT243" s="46"/>
      <c r="BZ243" s="46"/>
      <c r="CF243" s="65"/>
      <c r="CL243" s="65"/>
      <c r="CR243" s="65"/>
      <c r="CX243" s="65"/>
      <c r="DD243" s="65"/>
      <c r="DJ243" s="65"/>
      <c r="DP243" s="65"/>
      <c r="DV243" s="109"/>
    </row>
    <row r="244" spans="36:126" x14ac:dyDescent="0.25">
      <c r="AJ244" s="46"/>
      <c r="AK244" s="64"/>
      <c r="AL244" s="45"/>
      <c r="AM244" s="45"/>
      <c r="AN244" s="45"/>
      <c r="AQ244" s="47"/>
      <c r="AR244" s="45"/>
      <c r="AW244" s="47"/>
      <c r="AX244" s="45"/>
      <c r="AY244" s="45"/>
      <c r="AZ244" s="45"/>
      <c r="BC244" s="47"/>
      <c r="BD244" s="45"/>
      <c r="BE244" s="45"/>
      <c r="BF244" s="45"/>
      <c r="BH244" s="46"/>
      <c r="BI244" s="63" t="s">
        <v>677</v>
      </c>
      <c r="BJ244">
        <v>0</v>
      </c>
      <c r="BN244" s="46"/>
      <c r="BT244" s="46"/>
      <c r="BZ244" s="46"/>
      <c r="CF244" s="65"/>
      <c r="CL244" s="65"/>
      <c r="CR244" s="65"/>
      <c r="CX244" s="65"/>
      <c r="DD244" s="65"/>
      <c r="DJ244" s="65"/>
      <c r="DP244" s="65"/>
      <c r="DV244" s="109"/>
    </row>
    <row r="245" spans="36:126" x14ac:dyDescent="0.25">
      <c r="AJ245" s="46"/>
      <c r="AK245" s="64"/>
      <c r="AL245" s="45"/>
      <c r="AM245" s="45"/>
      <c r="AN245" s="45"/>
      <c r="AQ245" s="47"/>
      <c r="AR245" s="45"/>
      <c r="AW245" s="47"/>
      <c r="AX245" s="45"/>
      <c r="AY245" s="45"/>
      <c r="AZ245" s="45"/>
      <c r="BC245" s="47"/>
      <c r="BD245" s="45"/>
      <c r="BE245" s="45"/>
      <c r="BF245" s="45"/>
      <c r="BH245" s="46"/>
      <c r="BI245" s="63" t="s">
        <v>856</v>
      </c>
      <c r="BJ245">
        <v>2</v>
      </c>
      <c r="BN245" s="46"/>
      <c r="BT245" s="46"/>
      <c r="BZ245" s="46"/>
      <c r="CF245" s="65"/>
      <c r="CL245" s="65"/>
      <c r="CR245" s="65"/>
      <c r="CX245" s="65"/>
      <c r="DD245" s="65"/>
      <c r="DJ245" s="65"/>
      <c r="DP245" s="65"/>
      <c r="DV245" s="109"/>
    </row>
    <row r="246" spans="36:126" x14ac:dyDescent="0.25">
      <c r="AJ246" s="46"/>
      <c r="AK246" s="64"/>
      <c r="AL246" s="45"/>
      <c r="AM246" s="45"/>
      <c r="AN246" s="45"/>
      <c r="AQ246" s="47"/>
      <c r="AR246" s="45"/>
      <c r="AW246" s="47"/>
      <c r="AX246" s="45"/>
      <c r="AY246" s="45"/>
      <c r="AZ246" s="45"/>
      <c r="BC246" s="47"/>
      <c r="BD246" s="45"/>
      <c r="BE246" s="45"/>
      <c r="BF246" s="45"/>
      <c r="BH246" s="46"/>
      <c r="BI246" s="63" t="s">
        <v>857</v>
      </c>
      <c r="BJ246">
        <v>0</v>
      </c>
      <c r="BN246" s="46"/>
      <c r="BT246" s="46"/>
      <c r="BZ246" s="46"/>
      <c r="CF246" s="65"/>
      <c r="CL246" s="65"/>
      <c r="CR246" s="65"/>
      <c r="CX246" s="65"/>
      <c r="DD246" s="65"/>
      <c r="DJ246" s="65"/>
      <c r="DP246" s="65"/>
      <c r="DV246" s="109"/>
    </row>
    <row r="247" spans="36:126" x14ac:dyDescent="0.25">
      <c r="AJ247" s="46"/>
      <c r="AK247" s="64"/>
      <c r="AL247" s="45"/>
      <c r="AM247" s="45"/>
      <c r="AN247" s="45"/>
      <c r="AQ247" s="47"/>
      <c r="AR247" s="45"/>
      <c r="AW247" s="47"/>
      <c r="AX247" s="45"/>
      <c r="AY247" s="45"/>
      <c r="AZ247" s="45"/>
      <c r="BC247" s="47"/>
      <c r="BD247" s="45"/>
      <c r="BE247" s="45"/>
      <c r="BF247" s="45"/>
      <c r="BH247" s="46"/>
      <c r="BI247" s="63" t="s">
        <v>858</v>
      </c>
      <c r="BJ247">
        <v>0</v>
      </c>
      <c r="BN247" s="46"/>
      <c r="BT247" s="46"/>
      <c r="BZ247" s="46"/>
      <c r="CF247" s="65"/>
      <c r="CL247" s="65"/>
      <c r="CR247" s="65"/>
      <c r="CX247" s="65"/>
      <c r="DD247" s="65"/>
      <c r="DJ247" s="65"/>
      <c r="DP247" s="65"/>
      <c r="DV247" s="109"/>
    </row>
    <row r="248" spans="36:126" x14ac:dyDescent="0.25">
      <c r="AJ248" s="46"/>
      <c r="AK248" s="64"/>
      <c r="AL248" s="45"/>
      <c r="AM248" s="45"/>
      <c r="AN248" s="45"/>
      <c r="AQ248" s="47"/>
      <c r="AR248" s="45"/>
      <c r="AW248" s="47"/>
      <c r="AX248" s="45"/>
      <c r="AY248" s="45"/>
      <c r="AZ248" s="45"/>
      <c r="BC248" s="47"/>
      <c r="BD248" s="45"/>
      <c r="BE248" s="45"/>
      <c r="BF248" s="45"/>
      <c r="BH248" s="46"/>
      <c r="BI248" s="63" t="s">
        <v>859</v>
      </c>
      <c r="BJ248">
        <v>1</v>
      </c>
      <c r="BN248" s="46"/>
      <c r="BT248" s="46"/>
      <c r="BZ248" s="46"/>
      <c r="CF248" s="65"/>
      <c r="CL248" s="65"/>
      <c r="CR248" s="65"/>
      <c r="CX248" s="65"/>
      <c r="DD248" s="65"/>
      <c r="DJ248" s="65"/>
      <c r="DP248" s="65"/>
      <c r="DV248" s="109"/>
    </row>
    <row r="249" spans="36:126" x14ac:dyDescent="0.25">
      <c r="AJ249" s="46"/>
      <c r="AK249" s="64"/>
      <c r="AL249" s="45"/>
      <c r="AM249" s="45"/>
      <c r="AN249" s="45"/>
      <c r="AQ249" s="47"/>
      <c r="AR249" s="45"/>
      <c r="AW249" s="47"/>
      <c r="AX249" s="45"/>
      <c r="AY249" s="45"/>
      <c r="AZ249" s="45"/>
      <c r="BC249" s="47"/>
      <c r="BD249" s="45"/>
      <c r="BE249" s="45"/>
      <c r="BF249" s="45"/>
      <c r="BH249" s="46"/>
      <c r="BI249" s="63" t="s">
        <v>860</v>
      </c>
      <c r="BJ249">
        <v>0</v>
      </c>
      <c r="BN249" s="46"/>
      <c r="BT249" s="46"/>
      <c r="BZ249" s="46"/>
      <c r="CF249" s="65"/>
      <c r="CL249" s="65"/>
      <c r="CR249" s="65"/>
      <c r="CX249" s="65"/>
      <c r="DD249" s="65"/>
      <c r="DJ249" s="65"/>
      <c r="DP249" s="65"/>
      <c r="DV249" s="109"/>
    </row>
    <row r="250" spans="36:126" x14ac:dyDescent="0.25">
      <c r="AJ250" s="46"/>
      <c r="AK250" s="64"/>
      <c r="AL250" s="45"/>
      <c r="AM250" s="45"/>
      <c r="AN250" s="45"/>
      <c r="AQ250" s="47"/>
      <c r="AR250" s="45"/>
      <c r="AW250" s="47"/>
      <c r="AX250" s="45"/>
      <c r="AY250" s="45"/>
      <c r="AZ250" s="45"/>
      <c r="BC250" s="47"/>
      <c r="BD250" s="45"/>
      <c r="BE250" s="45"/>
      <c r="BF250" s="45"/>
      <c r="BH250" s="46"/>
      <c r="BI250" s="63" t="s">
        <v>861</v>
      </c>
      <c r="BJ250">
        <v>0</v>
      </c>
      <c r="BN250" s="46"/>
      <c r="BT250" s="46"/>
      <c r="BZ250" s="46"/>
      <c r="CF250" s="65"/>
      <c r="CL250" s="65"/>
      <c r="CR250" s="65"/>
      <c r="CX250" s="65"/>
      <c r="DD250" s="65"/>
      <c r="DJ250" s="65"/>
      <c r="DP250" s="65"/>
      <c r="DV250" s="109"/>
    </row>
    <row r="251" spans="36:126" x14ac:dyDescent="0.25">
      <c r="AJ251" s="46"/>
      <c r="AK251" s="64"/>
      <c r="AL251" s="45"/>
      <c r="AM251" s="45"/>
      <c r="AN251" s="45"/>
      <c r="AQ251" s="47"/>
      <c r="AR251" s="45"/>
      <c r="AW251" s="48"/>
      <c r="AX251" s="45"/>
      <c r="BC251" s="48"/>
      <c r="BD251" s="45"/>
      <c r="BH251" s="46"/>
      <c r="BI251" s="63" t="s">
        <v>862</v>
      </c>
      <c r="BJ251">
        <v>0</v>
      </c>
      <c r="BN251" s="46"/>
      <c r="BT251" s="46"/>
      <c r="BZ251" s="46"/>
      <c r="CF251" s="65"/>
      <c r="CL251" s="65"/>
      <c r="CR251" s="65"/>
      <c r="CX251" s="65"/>
      <c r="DD251" s="65"/>
      <c r="DJ251" s="65"/>
      <c r="DP251" s="65"/>
      <c r="DV251" s="109"/>
    </row>
    <row r="252" spans="36:126" x14ac:dyDescent="0.25">
      <c r="AJ252" s="46"/>
      <c r="AK252" s="64"/>
      <c r="AL252" s="45"/>
      <c r="AQ252" s="47"/>
      <c r="AR252" s="45"/>
      <c r="AW252" s="47"/>
      <c r="AX252" s="45"/>
      <c r="BC252" s="47"/>
      <c r="BD252" s="45"/>
      <c r="BH252" s="46"/>
      <c r="BI252" s="63" t="s">
        <v>863</v>
      </c>
      <c r="BJ252">
        <v>0</v>
      </c>
      <c r="BN252" s="46"/>
      <c r="BT252" s="46"/>
      <c r="BZ252" s="46"/>
      <c r="CF252" s="65"/>
      <c r="CL252" s="65"/>
      <c r="CR252" s="65"/>
      <c r="CX252" s="65"/>
      <c r="DD252" s="65"/>
      <c r="DJ252" s="65"/>
      <c r="DP252" s="65"/>
      <c r="DV252" s="109"/>
    </row>
    <row r="253" spans="36:126" x14ac:dyDescent="0.25">
      <c r="AJ253" s="46"/>
      <c r="AK253" s="64"/>
      <c r="AL253" s="45"/>
      <c r="AQ253" s="47"/>
      <c r="AR253" s="45"/>
      <c r="AW253" s="47"/>
      <c r="AX253" s="45"/>
      <c r="BC253" s="47"/>
      <c r="BD253" s="45"/>
      <c r="BH253" s="46"/>
      <c r="BI253" s="63" t="s">
        <v>864</v>
      </c>
      <c r="BJ253">
        <v>0</v>
      </c>
      <c r="BN253" s="46"/>
      <c r="BT253" s="46"/>
      <c r="BZ253" s="46"/>
      <c r="CF253" s="65"/>
      <c r="CL253" s="65"/>
      <c r="CR253" s="65"/>
      <c r="CX253" s="65"/>
      <c r="DD253" s="65"/>
      <c r="DJ253" s="65"/>
      <c r="DP253" s="65"/>
      <c r="DV253" s="109"/>
    </row>
    <row r="254" spans="36:126" x14ac:dyDescent="0.25">
      <c r="AJ254" s="46"/>
      <c r="AK254" s="64"/>
      <c r="AL254" s="45"/>
      <c r="AQ254" s="47"/>
      <c r="AR254" s="45"/>
      <c r="AW254" s="47"/>
      <c r="AX254" s="45"/>
      <c r="BC254" s="47"/>
      <c r="BD254" s="45"/>
      <c r="BH254" s="46"/>
      <c r="BI254" s="63" t="s">
        <v>865</v>
      </c>
      <c r="BJ254">
        <v>0</v>
      </c>
      <c r="BN254" s="46"/>
      <c r="BT254" s="46"/>
      <c r="BZ254" s="46"/>
      <c r="CF254" s="65"/>
      <c r="CL254" s="65"/>
      <c r="CR254" s="65"/>
      <c r="CX254" s="65"/>
      <c r="DD254" s="65"/>
      <c r="DJ254" s="65"/>
      <c r="DP254" s="65"/>
      <c r="DV254" s="109"/>
    </row>
    <row r="255" spans="36:126" x14ac:dyDescent="0.25">
      <c r="AJ255" s="46"/>
      <c r="AK255" s="64"/>
      <c r="AL255" s="45"/>
      <c r="AQ255" s="47"/>
      <c r="AR255" s="45"/>
      <c r="AW255" s="47"/>
      <c r="AX255" s="45"/>
      <c r="BC255" s="47"/>
      <c r="BD255" s="45"/>
      <c r="BH255" s="46"/>
      <c r="BI255" s="63" t="s">
        <v>866</v>
      </c>
      <c r="BJ255">
        <v>0</v>
      </c>
      <c r="BN255" s="46"/>
      <c r="BT255" s="46"/>
      <c r="BZ255" s="46"/>
      <c r="CF255" s="65"/>
      <c r="CL255" s="65"/>
      <c r="CR255" s="65"/>
      <c r="CX255" s="65"/>
      <c r="DD255" s="65"/>
      <c r="DJ255" s="65"/>
      <c r="DP255" s="65"/>
      <c r="DV255" s="109"/>
    </row>
    <row r="256" spans="36:126" x14ac:dyDescent="0.25">
      <c r="AJ256" s="46"/>
      <c r="AK256" s="64"/>
      <c r="AL256" s="45"/>
      <c r="AQ256" s="47"/>
      <c r="AR256" s="45"/>
      <c r="AW256" s="47"/>
      <c r="AX256" s="45"/>
      <c r="BC256" s="47"/>
      <c r="BD256" s="45"/>
      <c r="BH256" s="46"/>
      <c r="BI256" s="63" t="s">
        <v>867</v>
      </c>
      <c r="BJ256">
        <v>0</v>
      </c>
      <c r="BN256" s="46"/>
      <c r="BT256" s="46"/>
      <c r="BZ256" s="46"/>
      <c r="CF256" s="65"/>
      <c r="CL256" s="65"/>
      <c r="CR256" s="65"/>
      <c r="CX256" s="65"/>
      <c r="DD256" s="65"/>
      <c r="DJ256" s="65"/>
      <c r="DP256" s="65"/>
      <c r="DV256" s="109"/>
    </row>
    <row r="257" spans="31:126" x14ac:dyDescent="0.25">
      <c r="AJ257" s="46"/>
      <c r="AK257" s="64"/>
      <c r="AL257" s="45"/>
      <c r="AQ257" s="47"/>
      <c r="AR257" s="45"/>
      <c r="AW257" s="47"/>
      <c r="AX257" s="45"/>
      <c r="BC257" s="47"/>
      <c r="BD257" s="45"/>
      <c r="BH257" s="46"/>
      <c r="BN257" s="46"/>
      <c r="BT257" s="46"/>
      <c r="BZ257" s="46"/>
      <c r="CF257" s="65"/>
      <c r="CL257" s="65"/>
      <c r="CR257" s="65"/>
      <c r="CX257" s="65"/>
      <c r="DD257" s="65"/>
      <c r="DJ257" s="65"/>
      <c r="DP257" s="65"/>
      <c r="DV257" s="109"/>
    </row>
    <row r="258" spans="31:126" x14ac:dyDescent="0.25">
      <c r="AE258" s="65"/>
      <c r="AF258" s="65"/>
      <c r="AG258" s="65"/>
      <c r="AH258" s="65"/>
      <c r="AI258" s="65"/>
      <c r="AJ258" s="65"/>
      <c r="AK258" s="71"/>
      <c r="AL258" s="66"/>
      <c r="AM258" s="65"/>
      <c r="AN258" s="65"/>
      <c r="AO258" s="65"/>
      <c r="AP258" s="65"/>
      <c r="AQ258" s="72"/>
      <c r="AR258" s="66"/>
      <c r="AS258" s="65"/>
      <c r="AT258" s="65"/>
      <c r="AU258" s="65"/>
      <c r="AV258" s="65"/>
      <c r="AW258" s="72"/>
      <c r="AX258" s="66"/>
      <c r="AY258" s="65"/>
      <c r="AZ258" s="65"/>
      <c r="BA258" s="65"/>
      <c r="BB258" s="65"/>
      <c r="BC258" s="65"/>
      <c r="BD258" s="66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L258" s="65"/>
      <c r="CR258" s="65"/>
      <c r="CX258" s="65"/>
      <c r="DD258" s="65"/>
      <c r="DJ258" s="65"/>
      <c r="DP258" s="65"/>
      <c r="DV258" s="109"/>
    </row>
    <row r="259" spans="31:126" x14ac:dyDescent="0.25">
      <c r="AE259" s="65"/>
      <c r="AF259" s="65"/>
      <c r="AG259" s="65"/>
      <c r="AH259" s="65"/>
      <c r="AI259" s="65"/>
      <c r="AJ259" s="65"/>
      <c r="AK259" s="71"/>
      <c r="AL259" s="66"/>
      <c r="AM259" s="65"/>
      <c r="AN259" s="65"/>
      <c r="AO259" s="65"/>
      <c r="AP259" s="65"/>
      <c r="AQ259" s="72"/>
      <c r="AR259" s="66"/>
      <c r="AS259" s="65"/>
      <c r="AT259" s="65"/>
      <c r="AU259" s="65"/>
      <c r="AV259" s="65"/>
      <c r="AW259" s="72"/>
      <c r="AX259" s="66"/>
      <c r="AY259" s="65"/>
      <c r="AZ259" s="65"/>
      <c r="BA259" s="65"/>
      <c r="BB259" s="65"/>
      <c r="BC259" s="65"/>
      <c r="BD259" s="66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L259" s="65"/>
      <c r="CR259" s="65"/>
      <c r="CX259" s="65"/>
      <c r="DD259" s="65"/>
      <c r="DJ259" s="65"/>
      <c r="DP259" s="65"/>
      <c r="DV259" s="109"/>
    </row>
    <row r="260" spans="31:126" x14ac:dyDescent="0.25">
      <c r="AK260" s="64"/>
      <c r="AL260" s="45"/>
      <c r="AP260"/>
      <c r="AQ260" s="47"/>
      <c r="AR260" s="45"/>
      <c r="AV260"/>
      <c r="AW260" s="47"/>
      <c r="AX260" s="45"/>
      <c r="BB260"/>
      <c r="BC260" s="47"/>
      <c r="BD260" s="45"/>
    </row>
    <row r="261" spans="31:126" x14ac:dyDescent="0.25">
      <c r="AK261" s="64"/>
      <c r="AL261" s="45"/>
      <c r="AP261"/>
      <c r="AQ261" s="47"/>
      <c r="AR261" s="45"/>
      <c r="AV261"/>
      <c r="AW261" s="47"/>
      <c r="AX261" s="45"/>
      <c r="BB261"/>
      <c r="BC261" s="47"/>
      <c r="BD261" s="45"/>
    </row>
    <row r="262" spans="31:126" x14ac:dyDescent="0.25">
      <c r="AK262" s="64"/>
      <c r="AL262" s="45"/>
      <c r="AP262"/>
      <c r="AQ262" s="48"/>
      <c r="AR262" s="45"/>
      <c r="AV262"/>
      <c r="AW262" s="47"/>
      <c r="AX262" s="45"/>
      <c r="BB262"/>
      <c r="BC262" s="47"/>
      <c r="BD262" s="45"/>
    </row>
    <row r="263" spans="31:126" x14ac:dyDescent="0.25">
      <c r="AK263" s="64"/>
      <c r="AL263" s="45"/>
      <c r="AP263"/>
      <c r="AQ263" s="48"/>
      <c r="AR263" s="45"/>
      <c r="AV263"/>
      <c r="AW263" s="47"/>
      <c r="AX263" s="45"/>
      <c r="BB263"/>
      <c r="BC263" s="47"/>
      <c r="BD263" s="45"/>
    </row>
    <row r="264" spans="31:126" x14ac:dyDescent="0.25">
      <c r="AK264" s="64"/>
      <c r="AL264" s="45"/>
      <c r="AP264"/>
      <c r="AQ264" s="48"/>
      <c r="AR264" s="45"/>
      <c r="AV264"/>
      <c r="AW264" s="47"/>
      <c r="AX264" s="45"/>
      <c r="BB264"/>
      <c r="BC264" s="47"/>
      <c r="BD264" s="45"/>
    </row>
    <row r="265" spans="31:126" x14ac:dyDescent="0.25">
      <c r="AP265"/>
      <c r="AQ265" s="48"/>
      <c r="AR265" s="45"/>
      <c r="AV265"/>
      <c r="AW265" s="47"/>
      <c r="AX265" s="45"/>
      <c r="BB265"/>
      <c r="BC265" s="47"/>
      <c r="BD265" s="45"/>
    </row>
    <row r="266" spans="31:126" x14ac:dyDescent="0.25">
      <c r="AP266"/>
      <c r="AV266"/>
      <c r="AW266" s="47"/>
      <c r="AX266" s="45"/>
      <c r="BB266"/>
      <c r="BC266" s="47"/>
      <c r="BD266" s="45"/>
    </row>
    <row r="267" spans="31:126" x14ac:dyDescent="0.25">
      <c r="AK267" s="45"/>
      <c r="AL267" s="45"/>
      <c r="AM267" s="45"/>
      <c r="AN267" s="45"/>
      <c r="AP267"/>
      <c r="AV267"/>
      <c r="AW267" s="47"/>
      <c r="AX267" s="45"/>
      <c r="BB267"/>
      <c r="BC267" s="47"/>
      <c r="BD267" s="45"/>
    </row>
    <row r="268" spans="31:126" x14ac:dyDescent="0.25">
      <c r="AK268" s="45"/>
      <c r="AL268" s="45"/>
      <c r="AM268" s="45"/>
      <c r="AN268" s="45"/>
      <c r="AP268"/>
      <c r="AQ268" s="45"/>
      <c r="AV268"/>
      <c r="AW268" s="47"/>
      <c r="AX268" s="45"/>
      <c r="BB268"/>
      <c r="BC268" s="47"/>
      <c r="BD268" s="45"/>
    </row>
    <row r="269" spans="31:126" x14ac:dyDescent="0.25">
      <c r="AK269" s="64"/>
      <c r="AL269" s="45"/>
      <c r="AM269" s="45"/>
      <c r="AN269" s="45"/>
      <c r="AP269"/>
      <c r="AQ269" s="45"/>
      <c r="AR269" s="45"/>
      <c r="AS269" s="45"/>
      <c r="AT269" s="45"/>
      <c r="AV269"/>
      <c r="AW269" s="47"/>
      <c r="AX269" s="45"/>
      <c r="BB269"/>
      <c r="BC269" s="47"/>
      <c r="BD269" s="45"/>
    </row>
    <row r="270" spans="31:126" x14ac:dyDescent="0.25">
      <c r="AK270" s="64"/>
      <c r="AL270" s="45"/>
      <c r="AM270" s="45"/>
      <c r="AN270" s="45"/>
      <c r="AP270"/>
      <c r="AQ270" s="47"/>
      <c r="AR270" s="45"/>
      <c r="AS270" s="45"/>
      <c r="AT270" s="45"/>
      <c r="AV270"/>
      <c r="AW270" s="47"/>
      <c r="AX270" s="45"/>
      <c r="BB270"/>
      <c r="BC270" s="47"/>
      <c r="BD270" s="45"/>
    </row>
    <row r="271" spans="31:126" x14ac:dyDescent="0.25">
      <c r="AK271" s="48"/>
      <c r="AL271" s="45"/>
      <c r="AM271" s="45"/>
      <c r="AN271" s="45"/>
      <c r="AP271"/>
      <c r="AQ271" s="47"/>
      <c r="AR271" s="45"/>
      <c r="AS271" s="45"/>
      <c r="AT271" s="45"/>
      <c r="AV271"/>
      <c r="AW271" s="47"/>
      <c r="AX271" s="45"/>
      <c r="BB271"/>
      <c r="BC271" s="47"/>
      <c r="BD271" s="45"/>
    </row>
    <row r="272" spans="31:126" x14ac:dyDescent="0.25">
      <c r="AK272" s="64"/>
      <c r="AL272" s="45"/>
      <c r="AM272" s="45"/>
      <c r="AN272" s="45"/>
      <c r="AP272"/>
      <c r="AQ272" s="47"/>
      <c r="AR272" s="45"/>
      <c r="AS272" s="45"/>
      <c r="AT272" s="45"/>
      <c r="AV272"/>
      <c r="AW272" s="47"/>
      <c r="AX272" s="45"/>
      <c r="BB272"/>
      <c r="BC272" s="47"/>
      <c r="BD272" s="45"/>
    </row>
    <row r="273" spans="37:56" x14ac:dyDescent="0.25">
      <c r="AK273" s="64"/>
      <c r="AL273" s="45"/>
      <c r="AM273" s="45"/>
      <c r="AN273" s="45"/>
      <c r="AP273"/>
      <c r="AQ273" s="47"/>
      <c r="AR273" s="45"/>
      <c r="AS273" s="45"/>
      <c r="AT273" s="45"/>
      <c r="AV273"/>
      <c r="AW273" s="47"/>
      <c r="AX273" s="45"/>
      <c r="BB273"/>
      <c r="BC273" s="47"/>
      <c r="BD273" s="45"/>
    </row>
    <row r="274" spans="37:56" x14ac:dyDescent="0.25">
      <c r="AK274" s="64"/>
      <c r="AL274" s="45"/>
      <c r="AM274" s="45"/>
      <c r="AN274" s="45"/>
      <c r="AP274"/>
      <c r="AQ274" s="47"/>
      <c r="AR274" s="45"/>
      <c r="AS274" s="45"/>
      <c r="AT274" s="45"/>
      <c r="AV274"/>
      <c r="AW274" s="47"/>
      <c r="AX274" s="45"/>
      <c r="BB274"/>
      <c r="BC274" s="47"/>
      <c r="BD274" s="45"/>
    </row>
    <row r="275" spans="37:56" x14ac:dyDescent="0.25">
      <c r="AK275" s="64"/>
      <c r="AL275" s="45"/>
      <c r="AM275" s="45"/>
      <c r="AN275" s="45"/>
      <c r="AP275"/>
      <c r="AQ275" s="47"/>
      <c r="AR275" s="45"/>
      <c r="AS275" s="45"/>
      <c r="AT275" s="45"/>
      <c r="AV275"/>
      <c r="AW275" s="47"/>
      <c r="AX275" s="45"/>
      <c r="BB275"/>
      <c r="BC275" s="47"/>
      <c r="BD275" s="45"/>
    </row>
    <row r="276" spans="37:56" x14ac:dyDescent="0.25">
      <c r="AK276" s="64"/>
      <c r="AL276" s="45"/>
      <c r="AM276" s="45"/>
      <c r="AN276" s="45"/>
      <c r="AP276"/>
      <c r="AQ276" s="47"/>
      <c r="AR276" s="45"/>
      <c r="AS276" s="45"/>
      <c r="AT276" s="45"/>
      <c r="AV276"/>
      <c r="AW276" s="47"/>
      <c r="AX276" s="45"/>
      <c r="BB276"/>
      <c r="BC276" s="47"/>
      <c r="BD276" s="45"/>
    </row>
    <row r="277" spans="37:56" x14ac:dyDescent="0.25">
      <c r="AK277" s="64"/>
      <c r="AL277" s="45"/>
      <c r="AM277" s="45"/>
      <c r="AN277" s="45"/>
      <c r="AP277"/>
      <c r="AQ277" s="47"/>
      <c r="AR277" s="45"/>
      <c r="AS277" s="45"/>
      <c r="AT277" s="45"/>
      <c r="AV277"/>
      <c r="AW277" s="47"/>
      <c r="AX277" s="45"/>
      <c r="BB277"/>
      <c r="BC277" s="47"/>
      <c r="BD277" s="45"/>
    </row>
    <row r="278" spans="37:56" x14ac:dyDescent="0.25">
      <c r="AK278" s="64"/>
      <c r="AL278" s="45"/>
      <c r="AM278" s="45"/>
      <c r="AN278" s="45"/>
      <c r="AP278"/>
      <c r="AQ278" s="47"/>
      <c r="AR278" s="45"/>
      <c r="AS278" s="45"/>
      <c r="AT278" s="45"/>
      <c r="AV278"/>
      <c r="AW278" s="47"/>
      <c r="AX278" s="45"/>
      <c r="BB278"/>
      <c r="BC278" s="47"/>
      <c r="BD278" s="45"/>
    </row>
    <row r="279" spans="37:56" x14ac:dyDescent="0.25">
      <c r="AK279" s="64"/>
      <c r="AL279" s="45"/>
      <c r="AM279" s="45"/>
      <c r="AN279" s="45"/>
      <c r="AP279"/>
      <c r="AQ279" s="47"/>
      <c r="AR279" s="45"/>
      <c r="AS279" s="45"/>
      <c r="AT279" s="45"/>
      <c r="AV279"/>
      <c r="AW279" s="47"/>
      <c r="AX279" s="45"/>
      <c r="BB279"/>
      <c r="BC279" s="47"/>
      <c r="BD279" s="45"/>
    </row>
    <row r="280" spans="37:56" x14ac:dyDescent="0.25">
      <c r="AK280" s="64"/>
      <c r="AL280" s="45"/>
      <c r="AM280" s="45"/>
      <c r="AN280" s="45"/>
      <c r="AP280"/>
      <c r="AQ280" s="47"/>
      <c r="AR280" s="45"/>
      <c r="AS280" s="45"/>
      <c r="AT280" s="45"/>
      <c r="AV280"/>
      <c r="AW280" s="47"/>
      <c r="AX280" s="45"/>
      <c r="BB280"/>
      <c r="BC280" s="47"/>
      <c r="BD280" s="45"/>
    </row>
    <row r="281" spans="37:56" x14ac:dyDescent="0.25">
      <c r="AK281" s="64"/>
      <c r="AL281" s="45"/>
      <c r="AP281"/>
      <c r="AQ281" s="47"/>
      <c r="AR281" s="45"/>
      <c r="AS281" s="45"/>
      <c r="AT281" s="45"/>
      <c r="AV281"/>
      <c r="AW281" s="47"/>
      <c r="AX281" s="45"/>
      <c r="BB281"/>
      <c r="BC281" s="47"/>
      <c r="BD281" s="45"/>
    </row>
    <row r="282" spans="37:56" x14ac:dyDescent="0.25">
      <c r="AK282" s="64"/>
      <c r="AL282" s="45"/>
      <c r="AP282"/>
      <c r="AQ282" s="48"/>
      <c r="AR282" s="45"/>
      <c r="AV282"/>
      <c r="AW282" s="47"/>
      <c r="AX282" s="45"/>
      <c r="BB282"/>
      <c r="BC282" s="47"/>
      <c r="BD282" s="45"/>
    </row>
    <row r="283" spans="37:56" x14ac:dyDescent="0.25">
      <c r="AK283" s="64"/>
      <c r="AL283" s="45"/>
      <c r="AP283"/>
      <c r="AQ283" s="47"/>
      <c r="AR283" s="45"/>
      <c r="AV283"/>
      <c r="AW283" s="47"/>
      <c r="AX283" s="45"/>
      <c r="BB283"/>
      <c r="BC283" s="47"/>
      <c r="BD283" s="45"/>
    </row>
    <row r="284" spans="37:56" x14ac:dyDescent="0.25">
      <c r="AK284" s="64"/>
      <c r="AL284" s="45"/>
      <c r="AP284"/>
      <c r="AQ284" s="47"/>
      <c r="AR284" s="45"/>
      <c r="AV284"/>
      <c r="AW284" s="48"/>
      <c r="AX284" s="45"/>
      <c r="BB284"/>
      <c r="BC284" s="48"/>
      <c r="BD284" s="45"/>
    </row>
    <row r="285" spans="37:56" x14ac:dyDescent="0.25">
      <c r="AK285" s="64"/>
      <c r="AL285" s="45"/>
      <c r="AP285"/>
      <c r="AQ285" s="47"/>
      <c r="AR285" s="45"/>
      <c r="AV285"/>
      <c r="AW285" s="48"/>
      <c r="AX285" s="45"/>
      <c r="BB285"/>
      <c r="BC285" s="48"/>
      <c r="BD285" s="45"/>
    </row>
    <row r="286" spans="37:56" x14ac:dyDescent="0.25">
      <c r="AK286" s="64"/>
      <c r="AL286" s="45"/>
      <c r="AP286"/>
      <c r="AQ286" s="47"/>
      <c r="AR286" s="45"/>
      <c r="AV286"/>
      <c r="AW286" s="48"/>
      <c r="AX286" s="45"/>
      <c r="BB286"/>
      <c r="BC286" s="48"/>
      <c r="BD286" s="45"/>
    </row>
    <row r="287" spans="37:56" x14ac:dyDescent="0.25">
      <c r="AK287" s="64"/>
      <c r="AL287" s="45"/>
      <c r="AP287"/>
      <c r="AQ287" s="47"/>
      <c r="AR287" s="45"/>
      <c r="AV287"/>
      <c r="AW287" s="48"/>
      <c r="AX287" s="45"/>
      <c r="BB287"/>
      <c r="BC287" s="48"/>
      <c r="BD287" s="45"/>
    </row>
    <row r="288" spans="37:56" x14ac:dyDescent="0.25">
      <c r="AK288" s="64"/>
      <c r="AL288" s="45"/>
      <c r="AP288"/>
      <c r="AQ288" s="47"/>
      <c r="AR288" s="45"/>
      <c r="AV288"/>
      <c r="AW288" s="48"/>
      <c r="AX288" s="45"/>
      <c r="BB288"/>
      <c r="BC288" s="48"/>
      <c r="BD288" s="45"/>
    </row>
    <row r="289" spans="37:56" x14ac:dyDescent="0.25">
      <c r="AK289" s="64"/>
      <c r="AL289" s="45"/>
      <c r="AP289"/>
      <c r="AQ289" s="47"/>
      <c r="AR289" s="45"/>
      <c r="AV289"/>
      <c r="AW289" s="48"/>
      <c r="AX289" s="45"/>
      <c r="BB289"/>
      <c r="BC289" s="48"/>
      <c r="BD289" s="45"/>
    </row>
    <row r="290" spans="37:56" x14ac:dyDescent="0.25">
      <c r="AK290" s="64"/>
      <c r="AL290" s="45"/>
      <c r="AP290"/>
      <c r="AQ290" s="47"/>
      <c r="AR290" s="45"/>
      <c r="AV290"/>
      <c r="AW290" s="48"/>
      <c r="AX290" s="45"/>
      <c r="BB290"/>
      <c r="BC290" s="48"/>
      <c r="BD290" s="45"/>
    </row>
    <row r="291" spans="37:56" x14ac:dyDescent="0.25">
      <c r="AK291" s="64"/>
      <c r="AL291" s="45"/>
      <c r="AP291"/>
      <c r="AQ291" s="47"/>
      <c r="AR291" s="45"/>
      <c r="AV291"/>
      <c r="AW291" s="48"/>
      <c r="AX291" s="45"/>
      <c r="BB291"/>
      <c r="BC291" s="48"/>
      <c r="BD291" s="45"/>
    </row>
    <row r="292" spans="37:56" x14ac:dyDescent="0.25">
      <c r="AK292" s="64"/>
      <c r="AL292" s="45"/>
      <c r="AP292"/>
      <c r="AQ292" s="47"/>
      <c r="AR292" s="45"/>
      <c r="AV292"/>
      <c r="AW292" s="48"/>
      <c r="AX292" s="45"/>
      <c r="BB292"/>
      <c r="BC292" s="48"/>
      <c r="BD292" s="45"/>
    </row>
    <row r="293" spans="37:56" x14ac:dyDescent="0.25">
      <c r="AK293" s="64"/>
      <c r="AL293" s="45"/>
      <c r="AP293"/>
      <c r="AQ293" s="47"/>
      <c r="AR293" s="45"/>
      <c r="AV293"/>
      <c r="AW293" s="48"/>
      <c r="AX293" s="45"/>
      <c r="BB293"/>
      <c r="BC293" s="48"/>
      <c r="BD293" s="45"/>
    </row>
    <row r="294" spans="37:56" x14ac:dyDescent="0.25">
      <c r="AK294" s="45"/>
      <c r="AP294"/>
      <c r="AQ294" s="47"/>
      <c r="AR294" s="45"/>
      <c r="AV294"/>
      <c r="AW294" s="48"/>
      <c r="AX294" s="45"/>
      <c r="BB294"/>
      <c r="BC294" s="48"/>
      <c r="BD294" s="45"/>
    </row>
    <row r="295" spans="37:56" x14ac:dyDescent="0.25">
      <c r="AK295" s="45"/>
      <c r="AL295" s="45"/>
      <c r="AP295"/>
      <c r="AQ295" s="47"/>
      <c r="AR295" s="45"/>
      <c r="AV295"/>
      <c r="AW295" s="48"/>
      <c r="AX295" s="45"/>
      <c r="BB295"/>
      <c r="BC295" s="48"/>
      <c r="BD295" s="45"/>
    </row>
    <row r="296" spans="37:56" x14ac:dyDescent="0.25">
      <c r="AK296" s="45"/>
      <c r="AL296" s="45"/>
      <c r="AM296" s="45"/>
      <c r="AN296" s="45"/>
      <c r="AP296"/>
      <c r="AQ296" s="47"/>
      <c r="AR296" s="45"/>
      <c r="AV296"/>
      <c r="AW296" s="48"/>
      <c r="AX296" s="45"/>
      <c r="BB296"/>
      <c r="BC296" s="48"/>
      <c r="BD296" s="45"/>
    </row>
    <row r="297" spans="37:56" x14ac:dyDescent="0.25">
      <c r="AK297" s="45"/>
      <c r="AL297" s="45"/>
      <c r="AM297" s="45"/>
      <c r="AN297" s="45"/>
      <c r="AP297"/>
      <c r="AQ297" s="47"/>
      <c r="AR297" s="45"/>
      <c r="AV297"/>
      <c r="AW297" s="48"/>
      <c r="AX297" s="45"/>
      <c r="BB297"/>
      <c r="BC297" s="48"/>
      <c r="BD297" s="45"/>
    </row>
    <row r="298" spans="37:56" x14ac:dyDescent="0.25">
      <c r="AK298" s="64"/>
      <c r="AL298" s="45"/>
      <c r="AM298" s="45"/>
      <c r="AN298" s="45"/>
      <c r="AP298"/>
      <c r="AQ298" s="47"/>
      <c r="AR298" s="45"/>
      <c r="AV298"/>
      <c r="AW298" s="48"/>
      <c r="AX298" s="45"/>
      <c r="BB298"/>
      <c r="BC298" s="48"/>
      <c r="BD298" s="45"/>
    </row>
    <row r="299" spans="37:56" x14ac:dyDescent="0.25">
      <c r="AK299" s="64"/>
      <c r="AL299" s="45"/>
      <c r="AM299" s="45"/>
      <c r="AN299" s="45"/>
      <c r="AP299"/>
      <c r="AQ299" s="47"/>
      <c r="AR299" s="45"/>
      <c r="AV299"/>
      <c r="AW299" s="48"/>
      <c r="AX299" s="45"/>
      <c r="BB299"/>
      <c r="BC299" s="48"/>
      <c r="BD299" s="45"/>
    </row>
    <row r="300" spans="37:56" x14ac:dyDescent="0.25">
      <c r="AK300" s="48"/>
      <c r="AL300" s="45"/>
      <c r="AM300" s="45"/>
      <c r="AN300" s="45"/>
      <c r="AP300"/>
      <c r="AQ300" s="47"/>
      <c r="AR300" s="45"/>
      <c r="AV300"/>
      <c r="AW300" s="48"/>
      <c r="AX300" s="45"/>
      <c r="BB300"/>
      <c r="BC300" s="48"/>
      <c r="BD300" s="45"/>
    </row>
    <row r="301" spans="37:56" x14ac:dyDescent="0.25">
      <c r="AK301" s="64"/>
      <c r="AL301" s="45"/>
      <c r="AM301" s="45"/>
      <c r="AN301" s="45"/>
      <c r="AP301"/>
      <c r="AQ301" s="47"/>
      <c r="AR301" s="45"/>
      <c r="AV301"/>
      <c r="AW301" s="48"/>
      <c r="AX301" s="45"/>
      <c r="BB301"/>
      <c r="BC301" s="48"/>
      <c r="BD301" s="45"/>
    </row>
    <row r="302" spans="37:56" x14ac:dyDescent="0.25">
      <c r="AK302" s="64"/>
      <c r="AL302" s="45"/>
      <c r="AM302" s="45"/>
      <c r="AN302" s="45"/>
      <c r="AP302"/>
      <c r="AQ302" s="47"/>
      <c r="AR302" s="45"/>
      <c r="AV302"/>
      <c r="AW302" s="48"/>
      <c r="AX302" s="45"/>
      <c r="BB302"/>
      <c r="BC302" s="48"/>
      <c r="BD302" s="45"/>
    </row>
    <row r="303" spans="37:56" x14ac:dyDescent="0.25">
      <c r="AK303" s="64"/>
      <c r="AL303" s="45"/>
      <c r="AM303" s="45"/>
      <c r="AN303" s="45"/>
      <c r="AP303"/>
      <c r="AQ303" s="47"/>
      <c r="AR303" s="45"/>
      <c r="AV303"/>
      <c r="AW303" s="48"/>
      <c r="AX303" s="45"/>
      <c r="BB303"/>
      <c r="BC303" s="48"/>
      <c r="BD303" s="45"/>
    </row>
    <row r="304" spans="37:56" x14ac:dyDescent="0.25">
      <c r="AK304" s="64"/>
      <c r="AL304" s="45"/>
      <c r="AM304" s="45"/>
      <c r="AN304" s="45"/>
      <c r="AP304"/>
      <c r="AQ304" s="47"/>
      <c r="AR304" s="45"/>
      <c r="AV304"/>
      <c r="AW304" s="48"/>
      <c r="AX304" s="45"/>
      <c r="BB304"/>
      <c r="BC304" s="48"/>
      <c r="BD304" s="45"/>
    </row>
    <row r="305" spans="37:58" x14ac:dyDescent="0.25">
      <c r="AK305" s="64"/>
      <c r="AL305" s="45"/>
      <c r="AM305" s="45"/>
      <c r="AN305" s="45"/>
      <c r="AP305"/>
      <c r="AQ305" s="47"/>
      <c r="AR305" s="45"/>
      <c r="AV305"/>
      <c r="AW305" s="48"/>
      <c r="AX305" s="45"/>
      <c r="BB305"/>
      <c r="BC305" s="48"/>
      <c r="BD305" s="45"/>
    </row>
    <row r="306" spans="37:58" x14ac:dyDescent="0.25">
      <c r="AK306" s="64"/>
      <c r="AL306" s="45"/>
      <c r="AM306" s="45"/>
      <c r="AN306" s="45"/>
      <c r="AP306"/>
      <c r="AQ306" s="47"/>
      <c r="AR306" s="45"/>
      <c r="AV306"/>
      <c r="AW306" s="48"/>
      <c r="AX306" s="45"/>
      <c r="BB306"/>
      <c r="BC306" s="48"/>
      <c r="BD306" s="45"/>
    </row>
    <row r="307" spans="37:58" x14ac:dyDescent="0.25">
      <c r="AK307" s="64"/>
      <c r="AL307" s="45"/>
      <c r="AM307" s="45"/>
      <c r="AN307" s="45"/>
      <c r="AP307"/>
      <c r="AQ307" s="47"/>
      <c r="AR307" s="45"/>
      <c r="AV307"/>
      <c r="AW307" s="48"/>
      <c r="AX307" s="45"/>
      <c r="BB307"/>
      <c r="BC307" s="48"/>
      <c r="BD307" s="45"/>
    </row>
    <row r="308" spans="37:58" x14ac:dyDescent="0.25">
      <c r="AK308" s="64"/>
      <c r="AL308" s="45"/>
      <c r="AM308" s="45"/>
      <c r="AN308" s="45"/>
      <c r="AP308"/>
      <c r="AQ308" s="47"/>
      <c r="AR308" s="45"/>
      <c r="AV308"/>
      <c r="AW308" s="48"/>
      <c r="AX308" s="45"/>
      <c r="BB308"/>
      <c r="BC308" s="48"/>
      <c r="BD308" s="45"/>
    </row>
    <row r="309" spans="37:58" x14ac:dyDescent="0.25">
      <c r="AK309" s="64"/>
      <c r="AL309" s="45"/>
      <c r="AM309" s="45"/>
      <c r="AN309" s="45"/>
      <c r="AP309"/>
      <c r="AQ309" s="47"/>
      <c r="AR309" s="45"/>
      <c r="AV309"/>
      <c r="AW309" s="48"/>
      <c r="AX309" s="45"/>
      <c r="BB309"/>
      <c r="BC309" s="48"/>
      <c r="BD309" s="45"/>
    </row>
    <row r="310" spans="37:58" x14ac:dyDescent="0.25">
      <c r="AK310" s="64"/>
      <c r="AL310" s="45"/>
      <c r="AP310"/>
      <c r="AQ310" s="47"/>
      <c r="AR310" s="45"/>
      <c r="AV310"/>
      <c r="AW310" s="48"/>
      <c r="AX310" s="45"/>
      <c r="BB310"/>
      <c r="BC310" s="48"/>
      <c r="BD310" s="45"/>
    </row>
    <row r="311" spans="37:58" x14ac:dyDescent="0.25">
      <c r="AK311" s="64"/>
      <c r="AL311" s="45"/>
      <c r="AP311"/>
      <c r="AQ311" s="47"/>
      <c r="AR311" s="45"/>
      <c r="AV311"/>
      <c r="AW311" s="48"/>
      <c r="AX311" s="45"/>
      <c r="BB311"/>
      <c r="BC311" s="48"/>
      <c r="BD311" s="45"/>
    </row>
    <row r="312" spans="37:58" x14ac:dyDescent="0.25">
      <c r="AK312" s="64"/>
      <c r="AL312" s="45"/>
      <c r="AP312"/>
      <c r="AQ312" s="47"/>
      <c r="AR312" s="45"/>
      <c r="AV312"/>
      <c r="AW312" s="48"/>
      <c r="AX312" s="45"/>
      <c r="BB312"/>
      <c r="BC312" s="48"/>
      <c r="BD312" s="45"/>
    </row>
    <row r="313" spans="37:58" x14ac:dyDescent="0.25">
      <c r="AK313" s="64"/>
      <c r="AL313" s="45"/>
      <c r="AP313"/>
      <c r="AQ313" s="47"/>
      <c r="AR313" s="45"/>
      <c r="AV313"/>
      <c r="BB313"/>
    </row>
    <row r="314" spans="37:58" x14ac:dyDescent="0.25">
      <c r="AK314" s="64"/>
      <c r="AL314" s="45"/>
      <c r="AP314"/>
      <c r="AQ314" s="47"/>
      <c r="AR314" s="45"/>
      <c r="AV314"/>
      <c r="BB314"/>
    </row>
    <row r="315" spans="37:58" x14ac:dyDescent="0.25">
      <c r="AK315" s="64"/>
      <c r="AL315" s="45"/>
      <c r="AP315"/>
      <c r="AQ315" s="48"/>
      <c r="AR315" s="45"/>
      <c r="AV315"/>
      <c r="AW315" s="45"/>
      <c r="BB315"/>
      <c r="BC315" s="45"/>
    </row>
    <row r="316" spans="37:58" x14ac:dyDescent="0.25">
      <c r="AK316" s="64"/>
      <c r="AL316" s="45"/>
      <c r="AP316"/>
      <c r="AQ316" s="48"/>
      <c r="AR316" s="45"/>
      <c r="AV316"/>
      <c r="AW316" s="45"/>
      <c r="AX316" s="45"/>
      <c r="AY316" s="45"/>
      <c r="AZ316" s="45"/>
      <c r="BB316"/>
      <c r="BC316" s="45"/>
      <c r="BD316" s="45"/>
      <c r="BE316" s="45"/>
      <c r="BF316" s="45"/>
    </row>
    <row r="317" spans="37:58" x14ac:dyDescent="0.25">
      <c r="AK317" s="64"/>
      <c r="AL317" s="45"/>
      <c r="AP317"/>
      <c r="AQ317" s="48"/>
      <c r="AR317" s="45"/>
      <c r="AV317"/>
      <c r="AW317" s="47"/>
      <c r="AX317" s="45"/>
      <c r="AY317" s="45"/>
      <c r="AZ317" s="45"/>
      <c r="BB317"/>
      <c r="BC317" s="47"/>
      <c r="BD317" s="45"/>
      <c r="BE317" s="45"/>
      <c r="BF317" s="45"/>
    </row>
    <row r="318" spans="37:58" x14ac:dyDescent="0.25">
      <c r="AK318" s="64"/>
      <c r="AL318" s="45"/>
      <c r="AP318"/>
      <c r="AQ318" s="48"/>
      <c r="AR318" s="45"/>
      <c r="AV318"/>
      <c r="AW318" s="47"/>
      <c r="AX318" s="45"/>
      <c r="AY318" s="45"/>
      <c r="AZ318" s="45"/>
      <c r="BB318"/>
      <c r="BC318" s="47"/>
      <c r="BD318" s="45"/>
      <c r="BE318" s="45"/>
      <c r="BF318" s="45"/>
    </row>
    <row r="319" spans="37:58" x14ac:dyDescent="0.25">
      <c r="AK319" s="64"/>
      <c r="AL319" s="45"/>
      <c r="AP319"/>
      <c r="AV319"/>
      <c r="AW319" s="47"/>
      <c r="AX319" s="45"/>
      <c r="AY319" s="45"/>
      <c r="AZ319" s="45"/>
      <c r="BB319"/>
      <c r="BC319" s="47"/>
      <c r="BD319" s="45"/>
      <c r="BE319" s="45"/>
      <c r="BF319" s="45"/>
    </row>
    <row r="320" spans="37:58" x14ac:dyDescent="0.25">
      <c r="AK320" s="64"/>
      <c r="AL320" s="45"/>
      <c r="AP320"/>
      <c r="AV320"/>
      <c r="AW320" s="47"/>
      <c r="AX320" s="45"/>
      <c r="AY320" s="45"/>
      <c r="AZ320" s="45"/>
      <c r="BB320"/>
      <c r="BC320" s="47"/>
      <c r="BD320" s="45"/>
      <c r="BE320" s="45"/>
      <c r="BF320" s="45"/>
    </row>
    <row r="321" spans="37:58" x14ac:dyDescent="0.25">
      <c r="AK321" s="64"/>
      <c r="AL321" s="45"/>
      <c r="AP321"/>
      <c r="AQ321" s="45"/>
      <c r="AV321"/>
      <c r="AW321" s="47"/>
      <c r="AX321" s="45"/>
      <c r="AY321" s="45"/>
      <c r="AZ321" s="45"/>
      <c r="BB321"/>
      <c r="BC321" s="47"/>
      <c r="BD321" s="45"/>
      <c r="BE321" s="45"/>
      <c r="BF321" s="45"/>
    </row>
    <row r="322" spans="37:58" x14ac:dyDescent="0.25">
      <c r="AK322" s="64"/>
      <c r="AL322" s="45"/>
      <c r="AP322"/>
      <c r="AQ322" s="45"/>
      <c r="AR322" s="45"/>
      <c r="AS322" s="45"/>
      <c r="AT322" s="45"/>
      <c r="AV322"/>
      <c r="AW322" s="47"/>
      <c r="AX322" s="45"/>
      <c r="AY322" s="45"/>
      <c r="AZ322" s="45"/>
      <c r="BB322"/>
      <c r="BC322" s="47"/>
      <c r="BD322" s="45"/>
      <c r="BE322" s="45"/>
      <c r="BF322" s="45"/>
    </row>
    <row r="323" spans="37:58" x14ac:dyDescent="0.25">
      <c r="AP323"/>
      <c r="AQ323" s="47"/>
      <c r="AR323" s="45"/>
      <c r="AS323" s="45"/>
      <c r="AT323" s="45"/>
      <c r="AV323"/>
      <c r="AW323" s="47"/>
      <c r="AX323" s="45"/>
      <c r="AY323" s="45"/>
      <c r="AZ323" s="45"/>
      <c r="BB323"/>
      <c r="BC323" s="47"/>
      <c r="BD323" s="45"/>
      <c r="BE323" s="45"/>
      <c r="BF323" s="45"/>
    </row>
    <row r="324" spans="37:58" x14ac:dyDescent="0.25">
      <c r="AP324"/>
      <c r="AQ324" s="47"/>
      <c r="AR324" s="45"/>
      <c r="AS324" s="45"/>
      <c r="AT324" s="45"/>
      <c r="AV324"/>
      <c r="AW324" s="47"/>
      <c r="AX324" s="45"/>
      <c r="AY324" s="45"/>
      <c r="AZ324" s="45"/>
      <c r="BB324"/>
      <c r="BC324" s="47"/>
      <c r="BD324" s="45"/>
      <c r="BE324" s="45"/>
      <c r="BF324" s="45"/>
    </row>
    <row r="325" spans="37:58" x14ac:dyDescent="0.25">
      <c r="AK325" s="45"/>
      <c r="AP325"/>
      <c r="AQ325" s="47"/>
      <c r="AR325" s="45"/>
      <c r="AS325" s="45"/>
      <c r="AT325" s="45"/>
      <c r="AV325"/>
      <c r="AW325" s="47"/>
      <c r="AX325" s="45"/>
      <c r="AY325" s="45"/>
      <c r="AZ325" s="45"/>
      <c r="BB325"/>
      <c r="BC325" s="47"/>
      <c r="BD325" s="45"/>
      <c r="BE325" s="45"/>
      <c r="BF325" s="45"/>
    </row>
    <row r="326" spans="37:58" x14ac:dyDescent="0.25">
      <c r="AK326" s="45"/>
      <c r="AL326" s="45"/>
      <c r="AM326" s="45"/>
      <c r="AN326" s="45"/>
      <c r="AP326"/>
      <c r="AQ326" s="47"/>
      <c r="AR326" s="45"/>
      <c r="AS326" s="45"/>
      <c r="AT326" s="45"/>
      <c r="AV326"/>
      <c r="AW326" s="47"/>
      <c r="AX326" s="45"/>
      <c r="AY326" s="45"/>
      <c r="AZ326" s="45"/>
      <c r="BB326"/>
      <c r="BC326" s="47"/>
      <c r="BD326" s="45"/>
      <c r="BE326" s="45"/>
      <c r="BF326" s="45"/>
    </row>
    <row r="327" spans="37:58" x14ac:dyDescent="0.25">
      <c r="AK327" s="64"/>
      <c r="AL327" s="45"/>
      <c r="AM327" s="45"/>
      <c r="AN327" s="45"/>
      <c r="AP327"/>
      <c r="AQ327" s="47"/>
      <c r="AR327" s="45"/>
      <c r="AS327" s="45"/>
      <c r="AT327" s="45"/>
      <c r="AV327"/>
      <c r="AW327" s="47"/>
      <c r="AX327" s="45"/>
      <c r="AY327" s="45"/>
      <c r="AZ327" s="45"/>
      <c r="BB327"/>
      <c r="BC327" s="47"/>
      <c r="BD327" s="45"/>
      <c r="BE327" s="45"/>
      <c r="BF327" s="45"/>
    </row>
    <row r="328" spans="37:58" x14ac:dyDescent="0.25">
      <c r="AK328" s="64"/>
      <c r="AL328" s="45"/>
      <c r="AM328" s="45"/>
      <c r="AN328" s="45"/>
      <c r="AP328"/>
      <c r="AQ328" s="47"/>
      <c r="AR328" s="45"/>
      <c r="AS328" s="45"/>
      <c r="AT328" s="45"/>
      <c r="AV328"/>
      <c r="AW328" s="47"/>
      <c r="AX328" s="45"/>
      <c r="AY328" s="45"/>
      <c r="AZ328" s="45"/>
      <c r="BB328"/>
      <c r="BC328" s="47"/>
      <c r="BD328" s="45"/>
      <c r="BE328" s="45"/>
      <c r="BF328" s="45"/>
    </row>
    <row r="329" spans="37:58" x14ac:dyDescent="0.25">
      <c r="AK329" s="48"/>
      <c r="AL329" s="45"/>
      <c r="AM329" s="45"/>
      <c r="AN329" s="45"/>
      <c r="AP329"/>
      <c r="AQ329" s="47"/>
      <c r="AR329" s="45"/>
      <c r="AS329" s="45"/>
      <c r="AT329" s="45"/>
      <c r="AV329"/>
      <c r="AW329" s="48"/>
      <c r="AX329" s="45"/>
      <c r="BB329"/>
      <c r="BC329" s="48"/>
      <c r="BD329" s="45"/>
    </row>
    <row r="330" spans="37:58" x14ac:dyDescent="0.25">
      <c r="AK330" s="64"/>
      <c r="AL330" s="45"/>
      <c r="AM330" s="45"/>
      <c r="AN330" s="45"/>
      <c r="AP330"/>
      <c r="AQ330" s="47"/>
      <c r="AR330" s="45"/>
      <c r="AS330" s="45"/>
      <c r="AT330" s="45"/>
      <c r="AV330"/>
      <c r="AW330" s="47"/>
      <c r="AX330" s="45"/>
      <c r="BB330"/>
      <c r="BC330" s="47"/>
      <c r="BD330" s="45"/>
    </row>
    <row r="331" spans="37:58" x14ac:dyDescent="0.25">
      <c r="AK331" s="64"/>
      <c r="AL331" s="45"/>
      <c r="AM331" s="45"/>
      <c r="AN331" s="45"/>
      <c r="AP331"/>
      <c r="AQ331" s="47"/>
      <c r="AR331" s="45"/>
      <c r="AS331" s="45"/>
      <c r="AT331" s="45"/>
      <c r="AV331"/>
      <c r="AW331" s="47"/>
      <c r="AX331" s="45"/>
      <c r="BB331"/>
      <c r="BC331" s="47"/>
      <c r="BD331" s="45"/>
    </row>
    <row r="332" spans="37:58" x14ac:dyDescent="0.25">
      <c r="AK332" s="64"/>
      <c r="AL332" s="45"/>
      <c r="AM332" s="45"/>
      <c r="AN332" s="45"/>
      <c r="AP332"/>
      <c r="AQ332" s="47"/>
      <c r="AR332" s="45"/>
      <c r="AS332" s="45"/>
      <c r="AT332" s="45"/>
      <c r="AV332"/>
      <c r="AW332" s="47"/>
      <c r="AX332" s="45"/>
      <c r="BB332"/>
      <c r="BC332" s="47"/>
      <c r="BD332" s="45"/>
    </row>
    <row r="333" spans="37:58" x14ac:dyDescent="0.25">
      <c r="AK333" s="64"/>
      <c r="AL333" s="45"/>
      <c r="AM333" s="45"/>
      <c r="AN333" s="45"/>
      <c r="AP333"/>
      <c r="AQ333" s="47"/>
      <c r="AR333" s="45"/>
      <c r="AS333" s="45"/>
      <c r="AT333" s="45"/>
      <c r="AV333"/>
      <c r="AW333" s="47"/>
      <c r="AX333" s="45"/>
      <c r="BB333"/>
      <c r="BC333" s="47"/>
      <c r="BD333" s="45"/>
    </row>
    <row r="334" spans="37:58" x14ac:dyDescent="0.25">
      <c r="AK334" s="64"/>
      <c r="AL334" s="45"/>
      <c r="AM334" s="45"/>
      <c r="AN334" s="45"/>
      <c r="AP334"/>
      <c r="AQ334" s="47"/>
      <c r="AR334" s="45"/>
      <c r="AS334" s="45"/>
      <c r="AT334" s="45"/>
      <c r="AV334"/>
      <c r="AW334" s="47"/>
      <c r="AX334" s="45"/>
      <c r="BB334"/>
      <c r="BC334" s="47"/>
      <c r="BD334" s="45"/>
    </row>
    <row r="335" spans="37:58" x14ac:dyDescent="0.25">
      <c r="AK335" s="64"/>
      <c r="AL335" s="45"/>
      <c r="AM335" s="45"/>
      <c r="AN335" s="45"/>
      <c r="AP335"/>
      <c r="AQ335" s="48"/>
      <c r="AR335" s="45"/>
      <c r="AV335"/>
      <c r="AW335" s="47"/>
      <c r="AX335" s="45"/>
      <c r="BB335"/>
      <c r="BC335" s="47"/>
      <c r="BD335" s="45"/>
    </row>
    <row r="336" spans="37:58" x14ac:dyDescent="0.25">
      <c r="AK336" s="64"/>
      <c r="AL336" s="45"/>
      <c r="AM336" s="45"/>
      <c r="AN336" s="45"/>
      <c r="AP336"/>
      <c r="AQ336" s="47"/>
      <c r="AR336" s="45"/>
      <c r="AV336"/>
      <c r="AW336" s="47"/>
      <c r="AX336" s="45"/>
      <c r="BB336"/>
      <c r="BC336" s="47"/>
      <c r="BD336" s="45"/>
    </row>
    <row r="337" spans="37:56" x14ac:dyDescent="0.25">
      <c r="AK337" s="64"/>
      <c r="AL337" s="45"/>
      <c r="AM337" s="45"/>
      <c r="AN337" s="45"/>
      <c r="AP337"/>
      <c r="AQ337" s="47"/>
      <c r="AR337" s="45"/>
      <c r="AV337"/>
      <c r="AW337" s="47"/>
      <c r="AX337" s="45"/>
      <c r="BB337"/>
      <c r="BC337" s="47"/>
      <c r="BD337" s="45"/>
    </row>
    <row r="338" spans="37:56" x14ac:dyDescent="0.25">
      <c r="AK338" s="64"/>
      <c r="AL338" s="45"/>
      <c r="AM338" s="45"/>
      <c r="AN338" s="45"/>
      <c r="AP338"/>
      <c r="AQ338" s="47"/>
      <c r="AR338" s="45"/>
      <c r="AV338"/>
      <c r="AW338" s="47"/>
      <c r="AX338" s="45"/>
      <c r="BB338"/>
      <c r="BC338" s="47"/>
      <c r="BD338" s="45"/>
    </row>
    <row r="339" spans="37:56" x14ac:dyDescent="0.25">
      <c r="AK339" s="64"/>
      <c r="AL339" s="45"/>
      <c r="AP339"/>
      <c r="AQ339" s="47"/>
      <c r="AR339" s="45"/>
      <c r="AV339"/>
      <c r="AW339" s="47"/>
      <c r="AX339" s="45"/>
      <c r="BB339"/>
      <c r="BC339" s="47"/>
      <c r="BD339" s="45"/>
    </row>
    <row r="340" spans="37:56" x14ac:dyDescent="0.25">
      <c r="AK340" s="64"/>
      <c r="AL340" s="45"/>
      <c r="AP340"/>
      <c r="AQ340" s="47"/>
      <c r="AR340" s="45"/>
      <c r="AV340"/>
      <c r="AW340" s="47"/>
      <c r="AX340" s="45"/>
      <c r="BB340"/>
      <c r="BC340" s="47"/>
      <c r="BD340" s="45"/>
    </row>
    <row r="341" spans="37:56" x14ac:dyDescent="0.25">
      <c r="AK341" s="64"/>
      <c r="AL341" s="45"/>
      <c r="AP341"/>
      <c r="AQ341" s="47"/>
      <c r="AR341" s="45"/>
      <c r="AV341"/>
      <c r="AW341" s="47"/>
      <c r="AX341" s="45"/>
      <c r="BB341"/>
      <c r="BC341" s="47"/>
      <c r="BD341" s="45"/>
    </row>
    <row r="342" spans="37:56" x14ac:dyDescent="0.25">
      <c r="AK342" s="64"/>
      <c r="AL342" s="45"/>
      <c r="AP342"/>
      <c r="AQ342" s="47"/>
      <c r="AR342" s="45"/>
      <c r="AV342"/>
      <c r="AW342" s="47"/>
      <c r="AX342" s="45"/>
      <c r="BB342"/>
      <c r="BC342" s="47"/>
      <c r="BD342" s="45"/>
    </row>
    <row r="343" spans="37:56" x14ac:dyDescent="0.25">
      <c r="AK343" s="64"/>
      <c r="AL343" s="45"/>
      <c r="AP343"/>
      <c r="AQ343" s="47"/>
      <c r="AR343" s="45"/>
      <c r="AV343"/>
      <c r="AW343" s="47"/>
      <c r="AX343" s="45"/>
      <c r="BB343"/>
      <c r="BC343" s="47"/>
      <c r="BD343" s="45"/>
    </row>
    <row r="344" spans="37:56" x14ac:dyDescent="0.25">
      <c r="AK344" s="64"/>
      <c r="AL344" s="45"/>
      <c r="AP344"/>
      <c r="AQ344" s="47"/>
      <c r="AR344" s="45"/>
      <c r="AV344"/>
      <c r="AW344" s="47"/>
      <c r="AX344" s="45"/>
      <c r="BB344"/>
      <c r="BC344" s="47"/>
      <c r="BD344" s="45"/>
    </row>
    <row r="345" spans="37:56" x14ac:dyDescent="0.25">
      <c r="AK345" s="64"/>
      <c r="AL345" s="45"/>
      <c r="AP345"/>
      <c r="AQ345" s="47"/>
      <c r="AR345" s="45"/>
      <c r="AV345"/>
      <c r="AW345" s="47"/>
      <c r="AX345" s="45"/>
      <c r="BB345"/>
      <c r="BC345" s="47"/>
      <c r="BD345" s="45"/>
    </row>
    <row r="346" spans="37:56" x14ac:dyDescent="0.25">
      <c r="AK346" s="64"/>
      <c r="AL346" s="45"/>
      <c r="AP346"/>
      <c r="AQ346" s="47"/>
      <c r="AR346" s="45"/>
      <c r="AV346"/>
      <c r="AW346" s="47"/>
      <c r="AX346" s="45"/>
      <c r="BB346"/>
      <c r="BC346" s="47"/>
      <c r="BD346" s="45"/>
    </row>
    <row r="347" spans="37:56" x14ac:dyDescent="0.25">
      <c r="AK347" s="64"/>
      <c r="AL347" s="45"/>
      <c r="AP347"/>
      <c r="AQ347" s="47"/>
      <c r="AR347" s="45"/>
      <c r="AV347"/>
      <c r="AW347" s="47"/>
      <c r="AX347" s="45"/>
      <c r="BB347"/>
      <c r="BC347" s="47"/>
      <c r="BD347" s="45"/>
    </row>
    <row r="348" spans="37:56" x14ac:dyDescent="0.25">
      <c r="AK348" s="64"/>
      <c r="AL348" s="45"/>
      <c r="AP348"/>
      <c r="AQ348" s="47"/>
      <c r="AR348" s="45"/>
      <c r="AV348"/>
      <c r="AW348" s="47"/>
      <c r="AX348" s="45"/>
      <c r="BB348"/>
      <c r="BC348" s="47"/>
      <c r="BD348" s="45"/>
    </row>
    <row r="349" spans="37:56" x14ac:dyDescent="0.25">
      <c r="AK349" s="64"/>
      <c r="AL349" s="45"/>
      <c r="AP349"/>
      <c r="AQ349" s="47"/>
      <c r="AR349" s="45"/>
      <c r="AV349"/>
      <c r="AW349" s="47"/>
      <c r="AX349" s="45"/>
      <c r="BB349"/>
      <c r="BC349" s="47"/>
      <c r="BD349" s="45"/>
    </row>
    <row r="350" spans="37:56" x14ac:dyDescent="0.25">
      <c r="AK350" s="64"/>
      <c r="AL350" s="45"/>
      <c r="AP350"/>
      <c r="AQ350" s="47"/>
      <c r="AR350" s="45"/>
      <c r="AV350"/>
      <c r="AW350" s="47"/>
      <c r="AX350" s="45"/>
      <c r="BB350"/>
      <c r="BC350" s="47"/>
      <c r="BD350" s="45"/>
    </row>
    <row r="351" spans="37:56" x14ac:dyDescent="0.25">
      <c r="AK351" s="64"/>
      <c r="AL351" s="45"/>
      <c r="AP351"/>
      <c r="AQ351" s="47"/>
      <c r="AR351" s="45"/>
      <c r="AV351"/>
      <c r="AW351" s="47"/>
      <c r="AX351" s="45"/>
      <c r="BB351"/>
      <c r="BC351" s="47"/>
      <c r="BD351" s="45"/>
    </row>
    <row r="352" spans="37:56" x14ac:dyDescent="0.25">
      <c r="AP352"/>
      <c r="AQ352" s="47"/>
      <c r="AR352" s="45"/>
      <c r="AV352"/>
      <c r="AW352" s="47"/>
      <c r="AX352" s="45"/>
      <c r="BB352"/>
      <c r="BC352" s="47"/>
      <c r="BD352" s="45"/>
    </row>
    <row r="353" spans="37:56" x14ac:dyDescent="0.25">
      <c r="AP353"/>
      <c r="AQ353" s="47"/>
      <c r="AR353" s="45"/>
      <c r="AV353"/>
      <c r="AW353" s="47"/>
      <c r="AX353" s="45"/>
      <c r="BB353"/>
      <c r="BC353" s="47"/>
      <c r="BD353" s="45"/>
    </row>
    <row r="354" spans="37:56" x14ac:dyDescent="0.25">
      <c r="AK354" s="45"/>
      <c r="AP354"/>
      <c r="AQ354" s="47"/>
      <c r="AR354" s="45"/>
      <c r="AV354"/>
      <c r="AW354" s="47"/>
      <c r="AX354" s="45"/>
      <c r="BB354"/>
      <c r="BC354" s="47"/>
      <c r="BD354" s="45"/>
    </row>
    <row r="355" spans="37:56" x14ac:dyDescent="0.25">
      <c r="AK355" s="45"/>
      <c r="AL355" s="45"/>
      <c r="AM355" s="45"/>
      <c r="AN355" s="45"/>
      <c r="AP355"/>
      <c r="AQ355" s="47"/>
      <c r="AR355" s="45"/>
      <c r="AV355"/>
      <c r="AW355" s="47"/>
      <c r="AX355" s="45"/>
      <c r="BB355"/>
      <c r="BC355" s="47"/>
      <c r="BD355" s="45"/>
    </row>
    <row r="356" spans="37:56" x14ac:dyDescent="0.25">
      <c r="AK356" s="64"/>
      <c r="AL356" s="45"/>
      <c r="AM356" s="45"/>
      <c r="AN356" s="45"/>
      <c r="AP356"/>
      <c r="AQ356" s="47"/>
      <c r="AR356" s="45"/>
      <c r="AV356"/>
      <c r="AW356" s="47"/>
      <c r="AX356" s="45"/>
      <c r="BB356"/>
      <c r="BC356" s="47"/>
      <c r="BD356" s="45"/>
    </row>
    <row r="357" spans="37:56" x14ac:dyDescent="0.25">
      <c r="AK357" s="64"/>
      <c r="AL357" s="45"/>
      <c r="AM357" s="45"/>
      <c r="AN357" s="45"/>
      <c r="AP357"/>
      <c r="AQ357" s="47"/>
      <c r="AR357" s="45"/>
      <c r="AV357"/>
      <c r="AW357" s="47"/>
      <c r="AX357" s="45"/>
      <c r="BB357"/>
      <c r="BC357" s="47"/>
      <c r="BD357" s="45"/>
    </row>
    <row r="358" spans="37:56" x14ac:dyDescent="0.25">
      <c r="AK358" s="48"/>
      <c r="AL358" s="45"/>
      <c r="AM358" s="45"/>
      <c r="AN358" s="45"/>
      <c r="AP358"/>
      <c r="AQ358" s="47"/>
      <c r="AR358" s="45"/>
      <c r="AV358"/>
      <c r="AW358" s="47"/>
      <c r="AX358" s="45"/>
      <c r="BB358"/>
      <c r="BC358" s="47"/>
      <c r="BD358" s="45"/>
    </row>
    <row r="359" spans="37:56" x14ac:dyDescent="0.25">
      <c r="AK359" s="64"/>
      <c r="AL359" s="45"/>
      <c r="AM359" s="45"/>
      <c r="AN359" s="45"/>
      <c r="AP359"/>
      <c r="AQ359" s="47"/>
      <c r="AR359" s="45"/>
      <c r="AV359"/>
      <c r="AW359" s="47"/>
      <c r="AX359" s="45"/>
      <c r="BB359"/>
      <c r="BC359" s="47"/>
      <c r="BD359" s="45"/>
    </row>
    <row r="360" spans="37:56" x14ac:dyDescent="0.25">
      <c r="AK360" s="64"/>
      <c r="AL360" s="45"/>
      <c r="AM360" s="45"/>
      <c r="AN360" s="45"/>
      <c r="AP360"/>
      <c r="AQ360" s="47"/>
      <c r="AR360" s="45"/>
      <c r="AV360"/>
      <c r="AW360" s="47"/>
      <c r="AX360" s="45"/>
      <c r="BB360"/>
      <c r="BC360" s="47"/>
      <c r="BD360" s="45"/>
    </row>
    <row r="361" spans="37:56" x14ac:dyDescent="0.25">
      <c r="AK361" s="64"/>
      <c r="AL361" s="45"/>
      <c r="AM361" s="45"/>
      <c r="AN361" s="45"/>
      <c r="AP361"/>
      <c r="AQ361" s="47"/>
      <c r="AR361" s="45"/>
      <c r="AV361"/>
      <c r="AW361" s="47"/>
      <c r="AX361" s="45"/>
      <c r="BB361"/>
      <c r="BC361" s="47"/>
      <c r="BD361" s="45"/>
    </row>
    <row r="362" spans="37:56" x14ac:dyDescent="0.25">
      <c r="AK362" s="64"/>
      <c r="AL362" s="45"/>
      <c r="AM362" s="45"/>
      <c r="AN362" s="45"/>
      <c r="AP362"/>
      <c r="AQ362" s="47"/>
      <c r="AR362" s="45"/>
      <c r="AV362"/>
      <c r="AW362" s="48"/>
      <c r="AX362" s="45"/>
      <c r="BB362"/>
      <c r="BC362" s="48"/>
      <c r="BD362" s="45"/>
    </row>
    <row r="363" spans="37:56" x14ac:dyDescent="0.25">
      <c r="AK363" s="64"/>
      <c r="AL363" s="45"/>
      <c r="AM363" s="45"/>
      <c r="AN363" s="45"/>
      <c r="AP363"/>
      <c r="AQ363" s="47"/>
      <c r="AR363" s="45"/>
      <c r="AV363"/>
      <c r="AW363" s="48"/>
      <c r="AX363" s="45"/>
      <c r="BB363"/>
      <c r="BC363" s="48"/>
      <c r="BD363" s="45"/>
    </row>
    <row r="364" spans="37:56" x14ac:dyDescent="0.25">
      <c r="AK364" s="64"/>
      <c r="AL364" s="45"/>
      <c r="AM364" s="45"/>
      <c r="AN364" s="45"/>
      <c r="AP364"/>
      <c r="AQ364" s="47"/>
      <c r="AR364" s="45"/>
      <c r="AV364"/>
      <c r="AW364" s="48"/>
      <c r="AX364" s="45"/>
      <c r="BB364"/>
      <c r="BC364" s="48"/>
      <c r="BD364" s="45"/>
    </row>
    <row r="365" spans="37:56" x14ac:dyDescent="0.25">
      <c r="AK365" s="64"/>
      <c r="AL365" s="45"/>
      <c r="AM365" s="45"/>
      <c r="AN365" s="45"/>
      <c r="AP365"/>
      <c r="AQ365" s="47"/>
      <c r="AR365" s="45"/>
      <c r="AV365"/>
      <c r="AW365" s="48"/>
      <c r="AX365" s="45"/>
      <c r="BB365"/>
      <c r="BC365" s="48"/>
      <c r="BD365" s="45"/>
    </row>
    <row r="366" spans="37:56" x14ac:dyDescent="0.25">
      <c r="AK366" s="64"/>
      <c r="AL366" s="45"/>
      <c r="AM366" s="45"/>
      <c r="AN366" s="45"/>
      <c r="AP366"/>
      <c r="AQ366" s="47"/>
      <c r="AR366" s="45"/>
      <c r="AV366"/>
      <c r="AW366" s="48"/>
      <c r="AX366" s="45"/>
      <c r="BB366"/>
      <c r="BC366" s="48"/>
      <c r="BD366" s="45"/>
    </row>
    <row r="367" spans="37:56" x14ac:dyDescent="0.25">
      <c r="AK367" s="64"/>
      <c r="AL367" s="45"/>
      <c r="AM367" s="45"/>
      <c r="AN367" s="45"/>
      <c r="AP367"/>
      <c r="AQ367" s="47"/>
      <c r="AR367" s="45"/>
      <c r="AV367"/>
      <c r="AW367" s="48"/>
      <c r="AX367" s="45"/>
      <c r="BB367"/>
      <c r="BC367" s="48"/>
      <c r="BD367" s="45"/>
    </row>
    <row r="368" spans="37:56" x14ac:dyDescent="0.25">
      <c r="AK368" s="64"/>
      <c r="AL368" s="45"/>
      <c r="AP368"/>
      <c r="AQ368" s="48"/>
      <c r="AR368" s="45"/>
      <c r="AV368"/>
      <c r="AW368" s="48"/>
      <c r="AX368" s="45"/>
      <c r="BB368"/>
      <c r="BC368" s="48"/>
      <c r="BD368" s="45"/>
    </row>
    <row r="369" spans="37:56" x14ac:dyDescent="0.25">
      <c r="AK369" s="64"/>
      <c r="AL369" s="45"/>
      <c r="AP369"/>
      <c r="AQ369" s="48"/>
      <c r="AR369" s="45"/>
      <c r="AV369"/>
      <c r="AW369" s="48"/>
      <c r="AX369" s="45"/>
      <c r="BB369"/>
      <c r="BC369" s="48"/>
      <c r="BD369" s="45"/>
    </row>
    <row r="370" spans="37:56" x14ac:dyDescent="0.25">
      <c r="AK370" s="64"/>
      <c r="AL370" s="45"/>
      <c r="AP370"/>
      <c r="AQ370" s="48"/>
      <c r="AR370" s="45"/>
      <c r="AV370"/>
      <c r="AW370" s="48"/>
      <c r="AX370" s="45"/>
      <c r="BB370"/>
      <c r="BC370" s="48"/>
      <c r="BD370" s="45"/>
    </row>
    <row r="371" spans="37:56" x14ac:dyDescent="0.25">
      <c r="AK371" s="64"/>
      <c r="AL371" s="45"/>
      <c r="AP371"/>
      <c r="AQ371" s="48"/>
      <c r="AR371" s="45"/>
      <c r="AV371"/>
      <c r="AW371" s="48"/>
      <c r="AX371" s="45"/>
      <c r="BB371"/>
      <c r="BC371" s="48"/>
      <c r="BD371" s="45"/>
    </row>
    <row r="372" spans="37:56" x14ac:dyDescent="0.25">
      <c r="AK372" s="64"/>
      <c r="AL372" s="45"/>
      <c r="AP372"/>
      <c r="AV372"/>
      <c r="AW372" s="48"/>
      <c r="AX372" s="45"/>
      <c r="BB372"/>
      <c r="BC372" s="48"/>
      <c r="BD372" s="45"/>
    </row>
    <row r="373" spans="37:56" x14ac:dyDescent="0.25">
      <c r="AK373" s="64"/>
      <c r="AL373" s="45"/>
      <c r="AP373"/>
      <c r="AV373"/>
      <c r="AW373" s="48"/>
      <c r="AX373" s="45"/>
      <c r="BB373"/>
      <c r="BC373" s="48"/>
      <c r="BD373" s="45"/>
    </row>
    <row r="374" spans="37:56" x14ac:dyDescent="0.25">
      <c r="AK374" s="64"/>
      <c r="AL374" s="45"/>
      <c r="AP374"/>
      <c r="AQ374" s="45"/>
      <c r="AV374"/>
      <c r="AW374" s="48"/>
      <c r="AX374" s="45"/>
      <c r="BB374"/>
      <c r="BC374" s="48"/>
      <c r="BD374" s="45"/>
    </row>
    <row r="375" spans="37:56" x14ac:dyDescent="0.25">
      <c r="AK375" s="64"/>
      <c r="AL375" s="45"/>
      <c r="AP375"/>
      <c r="AQ375" s="45"/>
      <c r="AR375" s="45"/>
      <c r="AS375" s="45"/>
      <c r="AT375" s="45"/>
      <c r="AV375"/>
      <c r="AW375" s="48"/>
      <c r="AX375" s="45"/>
      <c r="BB375"/>
      <c r="BC375" s="48"/>
      <c r="BD375" s="45"/>
    </row>
    <row r="376" spans="37:56" x14ac:dyDescent="0.25">
      <c r="AK376" s="64"/>
      <c r="AL376" s="45"/>
      <c r="AP376"/>
      <c r="AQ376" s="47"/>
      <c r="AR376" s="45"/>
      <c r="AS376" s="45"/>
      <c r="AT376" s="45"/>
      <c r="AV376"/>
      <c r="AW376" s="48"/>
      <c r="AX376" s="45"/>
      <c r="BB376"/>
      <c r="BC376" s="48"/>
      <c r="BD376" s="45"/>
    </row>
    <row r="377" spans="37:56" x14ac:dyDescent="0.25">
      <c r="AK377" s="64"/>
      <c r="AL377" s="45"/>
      <c r="AP377"/>
      <c r="AQ377" s="47"/>
      <c r="AR377" s="45"/>
      <c r="AS377" s="45"/>
      <c r="AT377" s="45"/>
      <c r="AV377"/>
      <c r="AW377" s="48"/>
      <c r="AX377" s="45"/>
      <c r="BB377"/>
      <c r="BC377" s="48"/>
      <c r="BD377" s="45"/>
    </row>
    <row r="378" spans="37:56" x14ac:dyDescent="0.25">
      <c r="AK378" s="64"/>
      <c r="AL378" s="45"/>
      <c r="AP378"/>
      <c r="AQ378" s="47"/>
      <c r="AR378" s="45"/>
      <c r="AS378" s="45"/>
      <c r="AT378" s="45"/>
      <c r="AV378"/>
      <c r="AW378" s="48"/>
      <c r="AX378" s="45"/>
      <c r="BB378"/>
      <c r="BC378" s="48"/>
      <c r="BD378" s="45"/>
    </row>
    <row r="379" spans="37:56" x14ac:dyDescent="0.25">
      <c r="AK379" s="64"/>
      <c r="AL379" s="45"/>
      <c r="AP379"/>
      <c r="AQ379" s="47"/>
      <c r="AR379" s="45"/>
      <c r="AS379" s="45"/>
      <c r="AT379" s="45"/>
      <c r="AV379"/>
      <c r="AW379" s="48"/>
      <c r="AX379" s="45"/>
      <c r="BB379"/>
      <c r="BC379" s="48"/>
      <c r="BD379" s="45"/>
    </row>
    <row r="380" spans="37:56" x14ac:dyDescent="0.25">
      <c r="AK380" s="64"/>
      <c r="AL380" s="45"/>
      <c r="AP380"/>
      <c r="AQ380" s="47"/>
      <c r="AR380" s="45"/>
      <c r="AS380" s="45"/>
      <c r="AT380" s="45"/>
      <c r="AV380"/>
      <c r="AW380" s="48"/>
      <c r="AX380" s="45"/>
      <c r="BB380"/>
      <c r="BC380" s="48"/>
      <c r="BD380" s="45"/>
    </row>
    <row r="381" spans="37:56" x14ac:dyDescent="0.25">
      <c r="AK381" s="45"/>
      <c r="AL381" s="45"/>
      <c r="AP381"/>
      <c r="AQ381" s="47"/>
      <c r="AR381" s="45"/>
      <c r="AS381" s="45"/>
      <c r="AT381" s="45"/>
      <c r="AV381"/>
      <c r="AW381" s="48"/>
      <c r="AX381" s="45"/>
      <c r="BB381"/>
      <c r="BC381" s="48"/>
      <c r="BD381" s="45"/>
    </row>
    <row r="382" spans="37:56" x14ac:dyDescent="0.25">
      <c r="AK382" s="45"/>
      <c r="AL382" s="45"/>
      <c r="AP382"/>
      <c r="AQ382" s="47"/>
      <c r="AR382" s="45"/>
      <c r="AS382" s="45"/>
      <c r="AT382" s="45"/>
      <c r="AV382"/>
      <c r="AW382" s="48"/>
      <c r="AX382" s="45"/>
      <c r="BB382"/>
      <c r="BC382" s="48"/>
      <c r="BD382" s="45"/>
    </row>
    <row r="383" spans="37:56" x14ac:dyDescent="0.25">
      <c r="AK383" s="45"/>
      <c r="AP383"/>
      <c r="AQ383" s="47"/>
      <c r="AR383" s="45"/>
      <c r="AS383" s="45"/>
      <c r="AT383" s="45"/>
      <c r="AV383"/>
      <c r="AW383" s="48"/>
      <c r="AX383" s="45"/>
      <c r="BB383"/>
      <c r="BC383" s="48"/>
      <c r="BD383" s="45"/>
    </row>
    <row r="384" spans="37:56" x14ac:dyDescent="0.25">
      <c r="AK384" s="45"/>
      <c r="AL384" s="45"/>
      <c r="AM384" s="45"/>
      <c r="AN384" s="45"/>
      <c r="AP384"/>
      <c r="AQ384" s="47"/>
      <c r="AR384" s="45"/>
      <c r="AS384" s="45"/>
      <c r="AT384" s="45"/>
      <c r="AV384"/>
      <c r="AW384" s="48"/>
      <c r="AX384" s="45"/>
      <c r="BB384"/>
      <c r="BC384" s="48"/>
      <c r="BD384" s="45"/>
    </row>
    <row r="385" spans="37:58" x14ac:dyDescent="0.25">
      <c r="AK385" s="64"/>
      <c r="AL385" s="45"/>
      <c r="AM385" s="45"/>
      <c r="AN385" s="45"/>
      <c r="AP385"/>
      <c r="AQ385" s="47"/>
      <c r="AR385" s="45"/>
      <c r="AS385" s="45"/>
      <c r="AT385" s="45"/>
      <c r="AV385"/>
      <c r="AW385" s="48"/>
      <c r="AX385" s="45"/>
      <c r="BB385"/>
      <c r="BC385" s="48"/>
      <c r="BD385" s="45"/>
    </row>
    <row r="386" spans="37:58" x14ac:dyDescent="0.25">
      <c r="AK386" s="64"/>
      <c r="AL386" s="45"/>
      <c r="AM386" s="45"/>
      <c r="AN386" s="45"/>
      <c r="AP386"/>
      <c r="AQ386" s="47"/>
      <c r="AR386" s="45"/>
      <c r="AS386" s="45"/>
      <c r="AT386" s="45"/>
      <c r="AV386"/>
      <c r="AW386" s="48"/>
      <c r="AX386" s="45"/>
      <c r="BB386"/>
      <c r="BC386" s="48"/>
      <c r="BD386" s="45"/>
    </row>
    <row r="387" spans="37:58" x14ac:dyDescent="0.25">
      <c r="AK387" s="48"/>
      <c r="AL387" s="45"/>
      <c r="AM387" s="45"/>
      <c r="AN387" s="45"/>
      <c r="AP387"/>
      <c r="AQ387" s="47"/>
      <c r="AR387" s="45"/>
      <c r="AS387" s="45"/>
      <c r="AT387" s="45"/>
      <c r="AV387"/>
      <c r="AW387" s="48"/>
      <c r="AX387" s="45"/>
      <c r="BB387"/>
      <c r="BC387" s="48"/>
      <c r="BD387" s="45"/>
    </row>
    <row r="388" spans="37:58" x14ac:dyDescent="0.25">
      <c r="AK388" s="64"/>
      <c r="AL388" s="45"/>
      <c r="AM388" s="45"/>
      <c r="AN388" s="45"/>
      <c r="AP388"/>
      <c r="AQ388" s="48"/>
      <c r="AR388" s="45"/>
      <c r="AV388"/>
      <c r="AW388" s="48"/>
      <c r="AX388" s="45"/>
      <c r="BB388"/>
      <c r="BC388" s="48"/>
      <c r="BD388" s="45"/>
    </row>
    <row r="389" spans="37:58" x14ac:dyDescent="0.25">
      <c r="AK389" s="64"/>
      <c r="AL389" s="45"/>
      <c r="AM389" s="45"/>
      <c r="AN389" s="45"/>
      <c r="AP389"/>
      <c r="AQ389" s="47"/>
      <c r="AR389" s="45"/>
      <c r="AV389"/>
      <c r="AW389" s="48"/>
      <c r="AX389" s="45"/>
      <c r="BB389"/>
      <c r="BC389" s="48"/>
      <c r="BD389" s="45"/>
    </row>
    <row r="390" spans="37:58" x14ac:dyDescent="0.25">
      <c r="AK390" s="64"/>
      <c r="AL390" s="45"/>
      <c r="AM390" s="45"/>
      <c r="AN390" s="45"/>
      <c r="AP390"/>
      <c r="AQ390" s="47"/>
      <c r="AR390" s="45"/>
      <c r="AV390"/>
      <c r="AW390" s="48"/>
      <c r="AX390" s="45"/>
      <c r="BB390"/>
      <c r="BC390" s="48"/>
      <c r="BD390" s="45"/>
    </row>
    <row r="391" spans="37:58" x14ac:dyDescent="0.25">
      <c r="AK391" s="64"/>
      <c r="AL391" s="45"/>
      <c r="AM391" s="45"/>
      <c r="AN391" s="45"/>
      <c r="AP391"/>
      <c r="AQ391" s="47"/>
      <c r="AR391" s="45"/>
      <c r="AV391"/>
      <c r="BB391"/>
    </row>
    <row r="392" spans="37:58" x14ac:dyDescent="0.25">
      <c r="AK392" s="64"/>
      <c r="AL392" s="45"/>
      <c r="AM392" s="45"/>
      <c r="AN392" s="45"/>
      <c r="AP392"/>
      <c r="AQ392" s="47"/>
      <c r="AR392" s="45"/>
      <c r="AV392"/>
      <c r="BB392"/>
    </row>
    <row r="393" spans="37:58" x14ac:dyDescent="0.25">
      <c r="AK393" s="64"/>
      <c r="AL393" s="45"/>
      <c r="AM393" s="45"/>
      <c r="AN393" s="45"/>
      <c r="AP393"/>
      <c r="AQ393" s="47"/>
      <c r="AR393" s="45"/>
      <c r="AV393"/>
      <c r="AW393" s="45"/>
      <c r="BB393"/>
      <c r="BC393" s="45"/>
    </row>
    <row r="394" spans="37:58" x14ac:dyDescent="0.25">
      <c r="AK394" s="64"/>
      <c r="AL394" s="45"/>
      <c r="AM394" s="45"/>
      <c r="AN394" s="45"/>
      <c r="AP394"/>
      <c r="AQ394" s="47"/>
      <c r="AR394" s="45"/>
      <c r="AV394"/>
      <c r="AW394" s="45"/>
      <c r="AX394" s="45"/>
      <c r="AY394" s="45"/>
      <c r="AZ394" s="45"/>
      <c r="BB394"/>
      <c r="BC394" s="45"/>
      <c r="BD394" s="45"/>
      <c r="BE394" s="45"/>
      <c r="BF394" s="45"/>
    </row>
    <row r="395" spans="37:58" x14ac:dyDescent="0.25">
      <c r="AK395" s="64"/>
      <c r="AL395" s="45"/>
      <c r="AM395" s="45"/>
      <c r="AN395" s="45"/>
      <c r="AP395"/>
      <c r="AQ395" s="47"/>
      <c r="AR395" s="45"/>
      <c r="AV395"/>
      <c r="AW395" s="47"/>
      <c r="AX395" s="45"/>
      <c r="AY395" s="45"/>
      <c r="AZ395" s="45"/>
      <c r="BB395"/>
      <c r="BC395" s="47"/>
      <c r="BD395" s="45"/>
      <c r="BE395" s="45"/>
      <c r="BF395" s="45"/>
    </row>
    <row r="396" spans="37:58" x14ac:dyDescent="0.25">
      <c r="AK396" s="64"/>
      <c r="AL396" s="45"/>
      <c r="AM396" s="45"/>
      <c r="AN396" s="45"/>
      <c r="AP396"/>
      <c r="AQ396" s="47"/>
      <c r="AR396" s="45"/>
      <c r="AV396"/>
      <c r="AW396" s="47"/>
      <c r="AX396" s="45"/>
      <c r="AY396" s="45"/>
      <c r="AZ396" s="45"/>
      <c r="BB396"/>
      <c r="BC396" s="47"/>
      <c r="BD396" s="45"/>
      <c r="BE396" s="45"/>
      <c r="BF396" s="45"/>
    </row>
    <row r="397" spans="37:58" x14ac:dyDescent="0.25">
      <c r="AK397" s="64"/>
      <c r="AL397" s="45"/>
      <c r="AP397"/>
      <c r="AQ397" s="47"/>
      <c r="AR397" s="45"/>
      <c r="AV397"/>
      <c r="AW397" s="47"/>
      <c r="AX397" s="45"/>
      <c r="AY397" s="45"/>
      <c r="AZ397" s="45"/>
      <c r="BB397"/>
      <c r="BC397" s="47"/>
      <c r="BD397" s="45"/>
      <c r="BE397" s="45"/>
      <c r="BF397" s="45"/>
    </row>
    <row r="398" spans="37:58" x14ac:dyDescent="0.25">
      <c r="AK398" s="64"/>
      <c r="AL398" s="45"/>
      <c r="AP398"/>
      <c r="AQ398" s="47"/>
      <c r="AR398" s="45"/>
      <c r="AV398"/>
      <c r="AW398" s="47"/>
      <c r="AX398" s="45"/>
      <c r="AY398" s="45"/>
      <c r="AZ398" s="45"/>
      <c r="BB398"/>
      <c r="BC398" s="47"/>
      <c r="BD398" s="45"/>
      <c r="BE398" s="45"/>
      <c r="BF398" s="45"/>
    </row>
    <row r="399" spans="37:58" x14ac:dyDescent="0.25">
      <c r="AK399" s="64"/>
      <c r="AL399" s="45"/>
      <c r="AP399"/>
      <c r="AQ399" s="47"/>
      <c r="AR399" s="45"/>
      <c r="AV399"/>
      <c r="AW399" s="47"/>
      <c r="AX399" s="45"/>
      <c r="AY399" s="45"/>
      <c r="AZ399" s="45"/>
      <c r="BB399"/>
      <c r="BC399" s="47"/>
      <c r="BD399" s="45"/>
      <c r="BE399" s="45"/>
      <c r="BF399" s="45"/>
    </row>
    <row r="400" spans="37:58" x14ac:dyDescent="0.25">
      <c r="AK400" s="64"/>
      <c r="AL400" s="45"/>
      <c r="AP400"/>
      <c r="AQ400" s="47"/>
      <c r="AR400" s="45"/>
      <c r="AV400"/>
      <c r="AW400" s="47"/>
      <c r="AX400" s="45"/>
      <c r="AY400" s="45"/>
      <c r="AZ400" s="45"/>
      <c r="BB400"/>
      <c r="BC400" s="47"/>
      <c r="BD400" s="45"/>
      <c r="BE400" s="45"/>
      <c r="BF400" s="45"/>
    </row>
    <row r="401" spans="37:58" x14ac:dyDescent="0.25">
      <c r="AK401" s="64"/>
      <c r="AL401" s="45"/>
      <c r="AP401"/>
      <c r="AQ401" s="47"/>
      <c r="AR401" s="45"/>
      <c r="AV401"/>
      <c r="AW401" s="47"/>
      <c r="AX401" s="45"/>
      <c r="AY401" s="45"/>
      <c r="AZ401" s="45"/>
      <c r="BB401"/>
      <c r="BC401" s="47"/>
      <c r="BD401" s="45"/>
      <c r="BE401" s="45"/>
      <c r="BF401" s="45"/>
    </row>
    <row r="402" spans="37:58" x14ac:dyDescent="0.25">
      <c r="AK402" s="64"/>
      <c r="AL402" s="45"/>
      <c r="AP402"/>
      <c r="AQ402" s="47"/>
      <c r="AR402" s="45"/>
      <c r="AV402"/>
      <c r="AW402" s="47"/>
      <c r="AX402" s="45"/>
      <c r="AY402" s="45"/>
      <c r="AZ402" s="45"/>
      <c r="BB402"/>
      <c r="BC402" s="47"/>
      <c r="BD402" s="45"/>
      <c r="BE402" s="45"/>
      <c r="BF402" s="45"/>
    </row>
    <row r="403" spans="37:58" x14ac:dyDescent="0.25">
      <c r="AK403" s="64"/>
      <c r="AL403" s="45"/>
      <c r="AP403"/>
      <c r="AQ403" s="47"/>
      <c r="AR403" s="45"/>
      <c r="AV403"/>
      <c r="AW403" s="47"/>
      <c r="AX403" s="45"/>
      <c r="AY403" s="45"/>
      <c r="AZ403" s="45"/>
      <c r="BB403"/>
      <c r="BC403" s="47"/>
      <c r="BD403" s="45"/>
      <c r="BE403" s="45"/>
      <c r="BF403" s="45"/>
    </row>
    <row r="404" spans="37:58" x14ac:dyDescent="0.25">
      <c r="AK404" s="64"/>
      <c r="AL404" s="45"/>
      <c r="AP404"/>
      <c r="AQ404" s="47"/>
      <c r="AR404" s="45"/>
      <c r="AV404"/>
      <c r="AW404" s="47"/>
      <c r="AX404" s="45"/>
      <c r="AY404" s="45"/>
      <c r="AZ404" s="45"/>
      <c r="BB404"/>
      <c r="BC404" s="47"/>
      <c r="BD404" s="45"/>
      <c r="BE404" s="45"/>
      <c r="BF404" s="45"/>
    </row>
    <row r="405" spans="37:58" x14ac:dyDescent="0.25">
      <c r="AK405" s="64"/>
      <c r="AL405" s="45"/>
      <c r="AP405"/>
      <c r="AQ405" s="47"/>
      <c r="AR405" s="45"/>
      <c r="AV405"/>
      <c r="AW405" s="47"/>
      <c r="AX405" s="45"/>
      <c r="AY405" s="45"/>
      <c r="AZ405" s="45"/>
      <c r="BB405"/>
      <c r="BC405" s="47"/>
      <c r="BD405" s="45"/>
      <c r="BE405" s="45"/>
      <c r="BF405" s="45"/>
    </row>
    <row r="406" spans="37:58" x14ac:dyDescent="0.25">
      <c r="AK406" s="64"/>
      <c r="AL406" s="45"/>
      <c r="AP406"/>
      <c r="AQ406" s="47"/>
      <c r="AR406" s="45"/>
      <c r="AV406"/>
      <c r="AW406" s="47"/>
      <c r="AX406" s="45"/>
      <c r="AY406" s="45"/>
      <c r="AZ406" s="45"/>
      <c r="BB406"/>
      <c r="BC406" s="47"/>
      <c r="BD406" s="45"/>
      <c r="BE406" s="45"/>
      <c r="BF406" s="45"/>
    </row>
    <row r="407" spans="37:58" x14ac:dyDescent="0.25">
      <c r="AK407" s="64"/>
      <c r="AL407" s="45"/>
      <c r="AP407"/>
      <c r="AQ407" s="47"/>
      <c r="AR407" s="45"/>
      <c r="AV407"/>
      <c r="AW407" s="48"/>
      <c r="AX407" s="45"/>
      <c r="BB407"/>
      <c r="BC407" s="48"/>
      <c r="BD407" s="45"/>
    </row>
    <row r="408" spans="37:58" x14ac:dyDescent="0.25">
      <c r="AK408" s="64"/>
      <c r="AL408" s="45"/>
      <c r="AP408"/>
      <c r="AQ408" s="47"/>
      <c r="AR408" s="45"/>
      <c r="AV408"/>
      <c r="AW408" s="47"/>
      <c r="AX408" s="45"/>
      <c r="BB408"/>
      <c r="BC408" s="47"/>
      <c r="BD408" s="45"/>
    </row>
    <row r="409" spans="37:58" x14ac:dyDescent="0.25">
      <c r="AK409" s="64"/>
      <c r="AL409" s="45"/>
      <c r="AP409"/>
      <c r="AQ409" s="47"/>
      <c r="AR409" s="45"/>
      <c r="AV409"/>
      <c r="AW409" s="47"/>
      <c r="AX409" s="45"/>
      <c r="BB409"/>
      <c r="BC409" s="47"/>
      <c r="BD409" s="45"/>
    </row>
    <row r="410" spans="37:58" x14ac:dyDescent="0.25">
      <c r="AP410"/>
      <c r="AQ410" s="47"/>
      <c r="AR410" s="45"/>
      <c r="AV410"/>
      <c r="AW410" s="47"/>
      <c r="AX410" s="45"/>
      <c r="BB410"/>
      <c r="BC410" s="47"/>
      <c r="BD410" s="45"/>
    </row>
    <row r="411" spans="37:58" x14ac:dyDescent="0.25">
      <c r="AP411"/>
      <c r="AQ411" s="47"/>
      <c r="AR411" s="45"/>
      <c r="AV411"/>
      <c r="AW411" s="47"/>
      <c r="AX411" s="45"/>
      <c r="BB411"/>
      <c r="BC411" s="47"/>
      <c r="BD411" s="45"/>
    </row>
    <row r="412" spans="37:58" x14ac:dyDescent="0.25">
      <c r="AP412"/>
      <c r="AQ412" s="47"/>
      <c r="AR412" s="45"/>
      <c r="AV412"/>
      <c r="AW412" s="47"/>
      <c r="AX412" s="45"/>
      <c r="BB412"/>
      <c r="BC412" s="47"/>
      <c r="BD412" s="45"/>
    </row>
    <row r="413" spans="37:58" x14ac:dyDescent="0.25">
      <c r="AP413"/>
      <c r="AQ413" s="47"/>
      <c r="AR413" s="45"/>
      <c r="AV413"/>
      <c r="AW413" s="47"/>
      <c r="AX413" s="45"/>
      <c r="BB413"/>
      <c r="BC413" s="47"/>
      <c r="BD413" s="45"/>
    </row>
    <row r="414" spans="37:58" x14ac:dyDescent="0.25">
      <c r="AP414"/>
      <c r="AQ414" s="47"/>
      <c r="AR414" s="45"/>
      <c r="AV414"/>
      <c r="AW414" s="47"/>
      <c r="AX414" s="45"/>
      <c r="BB414"/>
      <c r="BC414" s="47"/>
      <c r="BD414" s="45"/>
    </row>
    <row r="415" spans="37:58" x14ac:dyDescent="0.25">
      <c r="AP415"/>
      <c r="AQ415" s="47"/>
      <c r="AR415" s="45"/>
      <c r="AV415"/>
      <c r="AW415" s="47"/>
      <c r="AX415" s="45"/>
      <c r="BB415"/>
      <c r="BC415" s="47"/>
      <c r="BD415" s="45"/>
    </row>
    <row r="416" spans="37:58" x14ac:dyDescent="0.25">
      <c r="AP416"/>
      <c r="AQ416" s="47"/>
      <c r="AR416" s="45"/>
      <c r="AV416"/>
      <c r="AW416" s="47"/>
      <c r="AX416" s="45"/>
      <c r="BB416"/>
      <c r="BC416" s="47"/>
      <c r="BD416" s="45"/>
    </row>
    <row r="417" spans="37:56" x14ac:dyDescent="0.25">
      <c r="AP417"/>
      <c r="AQ417" s="47"/>
      <c r="AR417" s="45"/>
      <c r="AV417"/>
      <c r="AW417" s="47"/>
      <c r="AX417" s="45"/>
      <c r="BB417"/>
      <c r="BC417" s="47"/>
      <c r="BD417" s="45"/>
    </row>
    <row r="418" spans="37:56" x14ac:dyDescent="0.25">
      <c r="AP418"/>
      <c r="AQ418" s="47"/>
      <c r="AR418" s="45"/>
      <c r="AV418"/>
      <c r="AW418" s="47"/>
      <c r="AX418" s="45"/>
      <c r="BB418"/>
      <c r="BC418" s="47"/>
      <c r="BD418" s="45"/>
    </row>
    <row r="419" spans="37:56" x14ac:dyDescent="0.25">
      <c r="AP419"/>
      <c r="AQ419" s="47"/>
      <c r="AR419" s="45"/>
      <c r="AV419"/>
      <c r="AW419" s="47"/>
      <c r="AX419" s="45"/>
      <c r="BB419"/>
      <c r="BC419" s="47"/>
      <c r="BD419" s="45"/>
    </row>
    <row r="420" spans="37:56" x14ac:dyDescent="0.25">
      <c r="AP420"/>
      <c r="AQ420" s="47"/>
      <c r="AR420" s="45"/>
      <c r="AV420"/>
      <c r="AW420" s="47"/>
      <c r="AX420" s="45"/>
      <c r="BB420"/>
      <c r="BC420" s="47"/>
      <c r="BD420" s="45"/>
    </row>
    <row r="421" spans="37:56" x14ac:dyDescent="0.25">
      <c r="AP421"/>
      <c r="AQ421" s="48"/>
      <c r="AR421" s="45"/>
      <c r="AV421"/>
      <c r="AW421" s="47"/>
      <c r="AX421" s="45"/>
      <c r="BB421"/>
      <c r="BC421" s="47"/>
      <c r="BD421" s="45"/>
    </row>
    <row r="422" spans="37:56" x14ac:dyDescent="0.25">
      <c r="AP422"/>
      <c r="AQ422" s="48"/>
      <c r="AR422" s="45"/>
      <c r="AV422"/>
      <c r="AW422" s="47"/>
      <c r="AX422" s="45"/>
      <c r="BB422"/>
      <c r="BC422" s="47"/>
      <c r="BD422" s="45"/>
    </row>
    <row r="423" spans="37:56" x14ac:dyDescent="0.25">
      <c r="AK423" s="45"/>
      <c r="AL423" s="45"/>
      <c r="AP423"/>
      <c r="AQ423" s="48"/>
      <c r="AR423" s="45"/>
      <c r="AV423"/>
      <c r="AW423" s="47"/>
      <c r="AX423" s="45"/>
      <c r="BB423"/>
      <c r="BC423" s="47"/>
      <c r="BD423" s="45"/>
    </row>
    <row r="424" spans="37:56" x14ac:dyDescent="0.25">
      <c r="AK424" s="45"/>
      <c r="AL424" s="45"/>
      <c r="AP424"/>
      <c r="AQ424" s="48"/>
      <c r="AR424" s="45"/>
      <c r="AV424"/>
      <c r="AW424" s="47"/>
      <c r="AX424" s="45"/>
      <c r="BB424"/>
      <c r="BC424" s="47"/>
      <c r="BD424" s="45"/>
    </row>
    <row r="425" spans="37:56" x14ac:dyDescent="0.25">
      <c r="AK425" s="45"/>
      <c r="AL425" s="45"/>
      <c r="AP425"/>
      <c r="AV425"/>
      <c r="AW425" s="47"/>
      <c r="AX425" s="45"/>
      <c r="BB425"/>
      <c r="BC425" s="47"/>
      <c r="BD425" s="45"/>
    </row>
    <row r="426" spans="37:56" x14ac:dyDescent="0.25">
      <c r="AK426" s="45"/>
      <c r="AL426" s="45"/>
      <c r="AP426"/>
      <c r="AV426"/>
      <c r="AW426" s="47"/>
      <c r="AX426" s="45"/>
      <c r="BB426"/>
      <c r="BC426" s="47"/>
      <c r="BD426" s="45"/>
    </row>
    <row r="427" spans="37:56" x14ac:dyDescent="0.25">
      <c r="AK427" s="45"/>
      <c r="AL427" s="45"/>
      <c r="AP427"/>
      <c r="AQ427" s="45"/>
      <c r="AV427"/>
      <c r="AW427" s="47"/>
      <c r="AX427" s="45"/>
      <c r="BB427"/>
      <c r="BC427" s="47"/>
      <c r="BD427" s="45"/>
    </row>
    <row r="428" spans="37:56" x14ac:dyDescent="0.25">
      <c r="AK428" s="45"/>
      <c r="AL428" s="45"/>
      <c r="AP428"/>
      <c r="AQ428" s="45"/>
      <c r="AR428" s="45"/>
      <c r="AS428" s="45"/>
      <c r="AT428" s="45"/>
      <c r="AV428"/>
      <c r="AW428" s="47"/>
      <c r="AX428" s="45"/>
      <c r="BB428"/>
      <c r="BC428" s="47"/>
      <c r="BD428" s="45"/>
    </row>
    <row r="429" spans="37:56" x14ac:dyDescent="0.25">
      <c r="AK429" s="45"/>
      <c r="AL429" s="45"/>
      <c r="AP429"/>
      <c r="AQ429" s="47"/>
      <c r="AR429" s="45"/>
      <c r="AS429" s="45"/>
      <c r="AT429" s="45"/>
      <c r="AV429"/>
      <c r="AW429" s="47"/>
      <c r="AX429" s="45"/>
      <c r="BB429"/>
      <c r="BC429" s="47"/>
      <c r="BD429" s="45"/>
    </row>
    <row r="430" spans="37:56" x14ac:dyDescent="0.25">
      <c r="AK430" s="45"/>
      <c r="AL430" s="45"/>
      <c r="AP430"/>
      <c r="AQ430" s="47"/>
      <c r="AR430" s="45"/>
      <c r="AS430" s="45"/>
      <c r="AT430" s="45"/>
      <c r="AV430"/>
      <c r="AW430" s="47"/>
      <c r="AX430" s="45"/>
      <c r="BB430"/>
      <c r="BC430" s="47"/>
      <c r="BD430" s="45"/>
    </row>
    <row r="431" spans="37:56" x14ac:dyDescent="0.25">
      <c r="AK431" s="45"/>
      <c r="AL431" s="45"/>
      <c r="AP431"/>
      <c r="AQ431" s="47"/>
      <c r="AR431" s="45"/>
      <c r="AS431" s="45"/>
      <c r="AT431" s="45"/>
      <c r="AV431"/>
      <c r="AW431" s="47"/>
      <c r="AX431" s="45"/>
      <c r="BB431"/>
      <c r="BC431" s="47"/>
      <c r="BD431" s="45"/>
    </row>
    <row r="432" spans="37:56" x14ac:dyDescent="0.25">
      <c r="AL432" s="45"/>
      <c r="AP432"/>
      <c r="AQ432" s="47"/>
      <c r="AR432" s="45"/>
      <c r="AS432" s="45"/>
      <c r="AT432" s="45"/>
      <c r="AV432"/>
      <c r="AW432" s="47"/>
      <c r="AX432" s="45"/>
      <c r="BB432"/>
      <c r="BC432" s="47"/>
      <c r="BD432" s="45"/>
    </row>
    <row r="433" spans="37:56" x14ac:dyDescent="0.25">
      <c r="AK433" s="45"/>
      <c r="AL433" s="45"/>
      <c r="AP433"/>
      <c r="AQ433" s="47"/>
      <c r="AR433" s="45"/>
      <c r="AS433" s="45"/>
      <c r="AT433" s="45"/>
      <c r="AV433"/>
      <c r="AW433" s="47"/>
      <c r="AX433" s="45"/>
      <c r="BB433"/>
      <c r="BC433" s="47"/>
      <c r="BD433" s="45"/>
    </row>
    <row r="434" spans="37:56" x14ac:dyDescent="0.25">
      <c r="AK434" s="45"/>
      <c r="AL434" s="45"/>
      <c r="AP434"/>
      <c r="AQ434" s="47"/>
      <c r="AR434" s="45"/>
      <c r="AS434" s="45"/>
      <c r="AT434" s="45"/>
      <c r="AV434"/>
      <c r="AW434" s="47"/>
      <c r="AX434" s="45"/>
      <c r="BB434"/>
      <c r="BC434" s="47"/>
      <c r="BD434" s="45"/>
    </row>
    <row r="435" spans="37:56" x14ac:dyDescent="0.25">
      <c r="AK435" s="45"/>
      <c r="AL435" s="45"/>
      <c r="AP435"/>
      <c r="AQ435" s="47"/>
      <c r="AR435" s="45"/>
      <c r="AS435" s="45"/>
      <c r="AT435" s="45"/>
      <c r="AV435"/>
      <c r="AW435" s="47"/>
      <c r="AX435" s="45"/>
      <c r="BB435"/>
      <c r="BC435" s="47"/>
      <c r="BD435" s="45"/>
    </row>
    <row r="436" spans="37:56" x14ac:dyDescent="0.25">
      <c r="AK436" s="45"/>
      <c r="AL436" s="45"/>
      <c r="AP436"/>
      <c r="AQ436" s="47"/>
      <c r="AR436" s="45"/>
      <c r="AS436" s="45"/>
      <c r="AT436" s="45"/>
      <c r="AV436"/>
      <c r="AW436" s="47"/>
      <c r="AX436" s="45"/>
      <c r="BB436"/>
      <c r="BC436" s="47"/>
      <c r="BD436" s="45"/>
    </row>
    <row r="437" spans="37:56" x14ac:dyDescent="0.25">
      <c r="AK437" s="45"/>
      <c r="AL437" s="45"/>
      <c r="AP437"/>
      <c r="AQ437" s="47"/>
      <c r="AR437" s="45"/>
      <c r="AS437" s="45"/>
      <c r="AT437" s="45"/>
      <c r="AV437"/>
      <c r="AW437" s="47"/>
      <c r="AX437" s="45"/>
      <c r="BB437"/>
      <c r="BC437" s="47"/>
      <c r="BD437" s="45"/>
    </row>
    <row r="438" spans="37:56" x14ac:dyDescent="0.25">
      <c r="AK438" s="45"/>
      <c r="AL438" s="45"/>
      <c r="AP438"/>
      <c r="AQ438" s="47"/>
      <c r="AR438" s="45"/>
      <c r="AS438" s="45"/>
      <c r="AT438" s="45"/>
      <c r="AV438"/>
      <c r="AW438" s="47"/>
      <c r="AX438" s="45"/>
      <c r="BB438"/>
      <c r="BC438" s="47"/>
      <c r="BD438" s="45"/>
    </row>
    <row r="439" spans="37:56" x14ac:dyDescent="0.25">
      <c r="AK439" s="45"/>
      <c r="AL439" s="45"/>
      <c r="AP439"/>
      <c r="AQ439" s="47"/>
      <c r="AR439" s="45"/>
      <c r="AS439" s="45"/>
      <c r="AT439" s="45"/>
      <c r="AV439"/>
      <c r="AW439" s="47"/>
      <c r="AX439" s="45"/>
      <c r="BB439"/>
      <c r="BC439" s="47"/>
      <c r="BD439" s="45"/>
    </row>
    <row r="440" spans="37:56" x14ac:dyDescent="0.25">
      <c r="AK440" s="45"/>
      <c r="AL440" s="45"/>
      <c r="AP440"/>
      <c r="AQ440" s="47"/>
      <c r="AR440" s="45"/>
      <c r="AS440" s="45"/>
      <c r="AT440" s="45"/>
      <c r="AV440"/>
      <c r="AW440" s="48"/>
      <c r="AX440" s="45"/>
      <c r="BB440"/>
      <c r="BC440" s="48"/>
      <c r="BD440" s="45"/>
    </row>
    <row r="441" spans="37:56" x14ac:dyDescent="0.25">
      <c r="AK441" s="45"/>
      <c r="AL441" s="45"/>
      <c r="AP441"/>
      <c r="AQ441" s="48"/>
      <c r="AR441" s="45"/>
      <c r="AV441"/>
      <c r="AW441" s="48"/>
      <c r="AX441" s="45"/>
      <c r="BB441"/>
      <c r="BC441" s="48"/>
      <c r="BD441" s="45"/>
    </row>
    <row r="442" spans="37:56" x14ac:dyDescent="0.25">
      <c r="AK442" s="45"/>
      <c r="AL442" s="45"/>
      <c r="AP442"/>
      <c r="AQ442" s="47"/>
      <c r="AR442" s="45"/>
      <c r="AV442"/>
      <c r="AW442" s="48"/>
      <c r="AX442" s="45"/>
      <c r="BB442"/>
      <c r="BC442" s="48"/>
      <c r="BD442" s="45"/>
    </row>
    <row r="443" spans="37:56" x14ac:dyDescent="0.25">
      <c r="AP443"/>
      <c r="AQ443" s="47"/>
      <c r="AR443" s="45"/>
      <c r="AV443"/>
      <c r="AW443" s="48"/>
      <c r="AX443" s="45"/>
      <c r="BB443"/>
      <c r="BC443" s="48"/>
      <c r="BD443" s="45"/>
    </row>
    <row r="444" spans="37:56" x14ac:dyDescent="0.25">
      <c r="AP444"/>
      <c r="AQ444" s="47"/>
      <c r="AR444" s="45"/>
      <c r="AV444"/>
      <c r="AW444" s="48"/>
      <c r="AX444" s="45"/>
      <c r="BB444"/>
      <c r="BC444" s="48"/>
      <c r="BD444" s="45"/>
    </row>
    <row r="445" spans="37:56" x14ac:dyDescent="0.25">
      <c r="AP445"/>
      <c r="AQ445" s="47"/>
      <c r="AR445" s="45"/>
      <c r="AV445"/>
      <c r="AW445" s="48"/>
      <c r="AX445" s="45"/>
      <c r="BB445"/>
      <c r="BC445" s="48"/>
      <c r="BD445" s="45"/>
    </row>
    <row r="446" spans="37:56" x14ac:dyDescent="0.25">
      <c r="AP446"/>
      <c r="AQ446" s="47"/>
      <c r="AR446" s="45"/>
      <c r="AV446"/>
      <c r="AW446" s="48"/>
      <c r="AX446" s="45"/>
      <c r="BB446"/>
      <c r="BC446" s="48"/>
      <c r="BD446" s="45"/>
    </row>
    <row r="447" spans="37:56" x14ac:dyDescent="0.25">
      <c r="AP447"/>
      <c r="AQ447" s="47"/>
      <c r="AR447" s="45"/>
      <c r="AV447"/>
      <c r="AW447" s="48"/>
      <c r="AX447" s="45"/>
      <c r="BB447"/>
      <c r="BC447" s="48"/>
      <c r="BD447" s="45"/>
    </row>
    <row r="448" spans="37:56" x14ac:dyDescent="0.25">
      <c r="AP448"/>
      <c r="AQ448" s="47"/>
      <c r="AR448" s="45"/>
      <c r="AV448"/>
      <c r="AW448" s="48"/>
      <c r="AX448" s="45"/>
      <c r="BB448"/>
      <c r="BC448" s="48"/>
      <c r="BD448" s="45"/>
    </row>
    <row r="449" spans="42:56" x14ac:dyDescent="0.25">
      <c r="AP449"/>
      <c r="AQ449" s="47"/>
      <c r="AR449" s="45"/>
      <c r="AV449"/>
      <c r="AW449" s="48"/>
      <c r="AX449" s="45"/>
      <c r="BB449"/>
      <c r="BC449" s="48"/>
      <c r="BD449" s="45"/>
    </row>
    <row r="450" spans="42:56" x14ac:dyDescent="0.25">
      <c r="AP450"/>
      <c r="AQ450" s="47"/>
      <c r="AR450" s="45"/>
      <c r="AV450"/>
      <c r="AW450" s="48"/>
      <c r="AX450" s="45"/>
      <c r="BB450"/>
      <c r="BC450" s="48"/>
      <c r="BD450" s="45"/>
    </row>
    <row r="451" spans="42:56" x14ac:dyDescent="0.25">
      <c r="AP451"/>
      <c r="AQ451" s="47"/>
      <c r="AR451" s="45"/>
      <c r="AV451"/>
      <c r="AW451" s="48"/>
      <c r="AX451" s="45"/>
      <c r="BB451"/>
      <c r="BC451" s="48"/>
      <c r="BD451" s="45"/>
    </row>
    <row r="452" spans="42:56" x14ac:dyDescent="0.25">
      <c r="AP452"/>
      <c r="AQ452" s="47"/>
      <c r="AR452" s="45"/>
      <c r="AV452"/>
      <c r="AW452" s="48"/>
      <c r="AX452" s="45"/>
      <c r="BB452"/>
      <c r="BC452" s="48"/>
      <c r="BD452" s="45"/>
    </row>
    <row r="453" spans="42:56" x14ac:dyDescent="0.25">
      <c r="AP453"/>
      <c r="AQ453" s="47"/>
      <c r="AR453" s="45"/>
      <c r="AV453"/>
      <c r="AW453" s="48"/>
      <c r="AX453" s="45"/>
      <c r="BB453"/>
      <c r="BC453" s="48"/>
      <c r="BD453" s="45"/>
    </row>
    <row r="454" spans="42:56" x14ac:dyDescent="0.25">
      <c r="AP454"/>
      <c r="AQ454" s="47"/>
      <c r="AR454" s="45"/>
      <c r="AV454"/>
      <c r="AW454" s="48"/>
      <c r="AX454" s="45"/>
      <c r="BB454"/>
      <c r="BC454" s="48"/>
      <c r="BD454" s="45"/>
    </row>
    <row r="455" spans="42:56" x14ac:dyDescent="0.25">
      <c r="AP455"/>
      <c r="AQ455" s="47"/>
      <c r="AR455" s="45"/>
      <c r="AV455"/>
      <c r="AW455" s="48"/>
      <c r="AX455" s="45"/>
      <c r="BB455"/>
      <c r="BC455" s="48"/>
      <c r="BD455" s="45"/>
    </row>
    <row r="456" spans="42:56" x14ac:dyDescent="0.25">
      <c r="AP456"/>
      <c r="AQ456" s="47"/>
      <c r="AR456" s="45"/>
      <c r="AV456"/>
      <c r="AW456" s="48"/>
      <c r="AX456" s="45"/>
      <c r="BB456"/>
      <c r="BC456" s="48"/>
      <c r="BD456" s="45"/>
    </row>
    <row r="457" spans="42:56" x14ac:dyDescent="0.25">
      <c r="AP457"/>
      <c r="AQ457" s="47"/>
      <c r="AR457" s="45"/>
      <c r="AV457"/>
      <c r="AW457" s="48"/>
      <c r="AX457" s="45"/>
      <c r="BB457"/>
      <c r="BC457" s="48"/>
      <c r="BD457" s="45"/>
    </row>
    <row r="458" spans="42:56" x14ac:dyDescent="0.25">
      <c r="AP458"/>
      <c r="AQ458" s="47"/>
      <c r="AR458" s="45"/>
      <c r="AV458"/>
      <c r="AW458" s="48"/>
      <c r="AX458" s="45"/>
      <c r="BB458"/>
      <c r="BC458" s="48"/>
      <c r="BD458" s="45"/>
    </row>
    <row r="459" spans="42:56" x14ac:dyDescent="0.25">
      <c r="AP459"/>
      <c r="AQ459" s="47"/>
      <c r="AR459" s="45"/>
      <c r="AV459"/>
      <c r="AW459" s="48"/>
      <c r="AX459" s="45"/>
      <c r="BB459"/>
      <c r="BC459" s="48"/>
      <c r="BD459" s="45"/>
    </row>
    <row r="460" spans="42:56" x14ac:dyDescent="0.25">
      <c r="AP460"/>
      <c r="AQ460" s="47"/>
      <c r="AR460" s="45"/>
      <c r="AV460"/>
      <c r="AW460" s="48"/>
      <c r="AX460" s="45"/>
      <c r="BB460"/>
      <c r="BC460" s="48"/>
      <c r="BD460" s="45"/>
    </row>
    <row r="461" spans="42:56" x14ac:dyDescent="0.25">
      <c r="AP461"/>
      <c r="AQ461" s="47"/>
      <c r="AR461" s="45"/>
      <c r="AV461"/>
      <c r="AW461" s="48"/>
      <c r="AX461" s="45"/>
      <c r="BB461"/>
      <c r="BC461" s="48"/>
      <c r="BD461" s="45"/>
    </row>
    <row r="462" spans="42:56" x14ac:dyDescent="0.25">
      <c r="AP462"/>
      <c r="AQ462" s="47"/>
      <c r="AR462" s="45"/>
      <c r="AV462"/>
      <c r="AW462" s="48"/>
      <c r="AX462" s="45"/>
      <c r="BB462"/>
      <c r="BC462" s="48"/>
      <c r="BD462" s="45"/>
    </row>
    <row r="463" spans="42:56" x14ac:dyDescent="0.25">
      <c r="AP463"/>
      <c r="AQ463" s="47"/>
      <c r="AR463" s="45"/>
      <c r="AV463"/>
      <c r="AW463" s="48"/>
      <c r="AX463" s="45"/>
      <c r="BB463"/>
      <c r="BC463" s="48"/>
      <c r="BD463" s="45"/>
    </row>
    <row r="464" spans="42:56" x14ac:dyDescent="0.25">
      <c r="AP464"/>
      <c r="AQ464" s="47"/>
      <c r="AR464" s="45"/>
      <c r="AV464"/>
      <c r="AW464" s="48"/>
      <c r="AX464" s="45"/>
      <c r="BB464"/>
      <c r="BC464" s="48"/>
      <c r="BD464" s="45"/>
    </row>
    <row r="465" spans="37:58" x14ac:dyDescent="0.25">
      <c r="AP465"/>
      <c r="AQ465" s="47"/>
      <c r="AR465" s="45"/>
      <c r="AV465"/>
      <c r="AW465" s="48"/>
      <c r="AX465" s="45"/>
      <c r="BB465"/>
      <c r="BC465" s="48"/>
      <c r="BD465" s="45"/>
    </row>
    <row r="466" spans="37:58" x14ac:dyDescent="0.25">
      <c r="AP466"/>
      <c r="AQ466" s="47"/>
      <c r="AR466" s="45"/>
      <c r="AV466"/>
      <c r="AW466" s="48"/>
      <c r="AX466" s="45"/>
      <c r="BB466"/>
      <c r="BC466" s="48"/>
      <c r="BD466" s="45"/>
    </row>
    <row r="467" spans="37:58" x14ac:dyDescent="0.25">
      <c r="AP467"/>
      <c r="AQ467" s="47"/>
      <c r="AR467" s="45"/>
      <c r="AV467"/>
      <c r="AW467" s="48"/>
      <c r="AX467" s="45"/>
      <c r="BB467"/>
      <c r="BC467" s="48"/>
      <c r="BD467" s="45"/>
    </row>
    <row r="468" spans="37:58" x14ac:dyDescent="0.25">
      <c r="AP468"/>
      <c r="AQ468" s="47"/>
      <c r="AR468" s="45"/>
      <c r="AV468"/>
      <c r="AW468" s="48"/>
      <c r="AX468" s="45"/>
      <c r="BB468"/>
      <c r="BC468" s="48"/>
      <c r="BD468" s="45"/>
    </row>
    <row r="469" spans="37:58" x14ac:dyDescent="0.25">
      <c r="AP469"/>
      <c r="AQ469" s="47"/>
      <c r="AR469" s="45"/>
      <c r="AV469"/>
      <c r="BB469"/>
    </row>
    <row r="470" spans="37:58" x14ac:dyDescent="0.25">
      <c r="AP470"/>
      <c r="AQ470" s="47"/>
      <c r="AR470" s="45"/>
      <c r="AV470"/>
      <c r="BB470"/>
    </row>
    <row r="471" spans="37:58" x14ac:dyDescent="0.25">
      <c r="AP471"/>
      <c r="AQ471" s="47"/>
      <c r="AR471" s="45"/>
      <c r="AV471"/>
      <c r="AW471" s="45"/>
      <c r="BB471"/>
      <c r="BC471" s="45"/>
    </row>
    <row r="472" spans="37:58" x14ac:dyDescent="0.25">
      <c r="AK472" s="45"/>
      <c r="AL472" s="45"/>
      <c r="AP472"/>
      <c r="AQ472" s="47"/>
      <c r="AR472" s="45"/>
      <c r="AV472"/>
      <c r="AW472" s="45"/>
      <c r="AX472" s="45"/>
      <c r="AY472" s="45"/>
      <c r="AZ472" s="45"/>
      <c r="BB472"/>
      <c r="BC472" s="45"/>
      <c r="BD472" s="45"/>
      <c r="BE472" s="45"/>
      <c r="BF472" s="45"/>
    </row>
    <row r="473" spans="37:58" x14ac:dyDescent="0.25">
      <c r="AK473" s="45"/>
      <c r="AL473" s="45"/>
      <c r="AP473"/>
      <c r="AQ473" s="47"/>
      <c r="AR473" s="45"/>
      <c r="AV473"/>
      <c r="AW473" s="47"/>
      <c r="AX473" s="45"/>
      <c r="AY473" s="45"/>
      <c r="AZ473" s="45"/>
      <c r="BB473"/>
      <c r="BC473" s="47"/>
      <c r="BD473" s="45"/>
      <c r="BE473" s="45"/>
      <c r="BF473" s="45"/>
    </row>
    <row r="474" spans="37:58" x14ac:dyDescent="0.25">
      <c r="AK474" s="45"/>
      <c r="AL474" s="45"/>
      <c r="AP474"/>
      <c r="AQ474" s="48"/>
      <c r="AR474" s="45"/>
      <c r="AV474"/>
      <c r="AW474" s="47"/>
      <c r="AX474" s="45"/>
      <c r="AY474" s="45"/>
      <c r="AZ474" s="45"/>
      <c r="BB474"/>
      <c r="BC474" s="47"/>
      <c r="BD474" s="45"/>
      <c r="BE474" s="45"/>
      <c r="BF474" s="45"/>
    </row>
    <row r="475" spans="37:58" x14ac:dyDescent="0.25">
      <c r="AK475" s="45"/>
      <c r="AL475" s="45"/>
      <c r="AP475"/>
      <c r="AQ475" s="48"/>
      <c r="AR475" s="45"/>
      <c r="AV475"/>
      <c r="AW475" s="47"/>
      <c r="AX475" s="45"/>
      <c r="AY475" s="45"/>
      <c r="AZ475" s="45"/>
      <c r="BB475"/>
      <c r="BC475" s="47"/>
      <c r="BD475" s="45"/>
      <c r="BE475" s="45"/>
      <c r="BF475" s="45"/>
    </row>
    <row r="476" spans="37:58" x14ac:dyDescent="0.25">
      <c r="AK476" s="45"/>
      <c r="AL476" s="45"/>
      <c r="AP476"/>
      <c r="AQ476" s="48"/>
      <c r="AR476" s="45"/>
      <c r="AV476"/>
      <c r="AW476" s="47"/>
      <c r="AX476" s="45"/>
      <c r="AY476" s="45"/>
      <c r="AZ476" s="45"/>
      <c r="BB476"/>
      <c r="BC476" s="47"/>
      <c r="BD476" s="45"/>
      <c r="BE476" s="45"/>
      <c r="BF476" s="45"/>
    </row>
    <row r="477" spans="37:58" x14ac:dyDescent="0.25">
      <c r="AK477" s="45"/>
      <c r="AL477" s="45"/>
      <c r="AP477"/>
      <c r="AQ477" s="48"/>
      <c r="AR477" s="45"/>
      <c r="AV477"/>
      <c r="AW477" s="47"/>
      <c r="AX477" s="45"/>
      <c r="AY477" s="45"/>
      <c r="AZ477" s="45"/>
      <c r="BB477"/>
      <c r="BC477" s="47"/>
      <c r="BD477" s="45"/>
      <c r="BE477" s="45"/>
      <c r="BF477" s="45"/>
    </row>
    <row r="478" spans="37:58" x14ac:dyDescent="0.25">
      <c r="AK478" s="45"/>
      <c r="AL478" s="45"/>
      <c r="AP478"/>
      <c r="AV478"/>
      <c r="AW478" s="47"/>
      <c r="AX478" s="45"/>
      <c r="AY478" s="45"/>
      <c r="AZ478" s="45"/>
      <c r="BB478"/>
      <c r="BC478" s="47"/>
      <c r="BD478" s="45"/>
      <c r="BE478" s="45"/>
      <c r="BF478" s="45"/>
    </row>
    <row r="479" spans="37:58" x14ac:dyDescent="0.25">
      <c r="AK479" s="45"/>
      <c r="AL479" s="45"/>
      <c r="AP479"/>
      <c r="AV479"/>
      <c r="AW479" s="47"/>
      <c r="AX479" s="45"/>
      <c r="AY479" s="45"/>
      <c r="AZ479" s="45"/>
      <c r="BB479"/>
      <c r="BC479" s="47"/>
      <c r="BD479" s="45"/>
      <c r="BE479" s="45"/>
      <c r="BF479" s="45"/>
    </row>
    <row r="480" spans="37:58" x14ac:dyDescent="0.25">
      <c r="AK480" s="45"/>
      <c r="AL480" s="45"/>
      <c r="AP480"/>
      <c r="AQ480" s="45"/>
      <c r="AV480"/>
      <c r="AW480" s="47"/>
      <c r="AX480" s="45"/>
      <c r="AY480" s="45"/>
      <c r="AZ480" s="45"/>
      <c r="BB480"/>
      <c r="BC480" s="47"/>
      <c r="BD480" s="45"/>
      <c r="BE480" s="45"/>
      <c r="BF480" s="45"/>
    </row>
    <row r="481" spans="37:58" x14ac:dyDescent="0.25">
      <c r="AL481" s="45"/>
      <c r="AP481"/>
      <c r="AQ481" s="45"/>
      <c r="AR481" s="45"/>
      <c r="AS481" s="45"/>
      <c r="AT481" s="45"/>
      <c r="AV481"/>
      <c r="AW481" s="47"/>
      <c r="AX481" s="45"/>
      <c r="AY481" s="45"/>
      <c r="AZ481" s="45"/>
      <c r="BB481"/>
      <c r="BC481" s="47"/>
      <c r="BD481" s="45"/>
      <c r="BE481" s="45"/>
      <c r="BF481" s="45"/>
    </row>
    <row r="482" spans="37:58" x14ac:dyDescent="0.25">
      <c r="AK482" s="45"/>
      <c r="AL482" s="45"/>
      <c r="AP482"/>
      <c r="AQ482" s="47"/>
      <c r="AR482" s="45"/>
      <c r="AS482" s="45"/>
      <c r="AT482" s="45"/>
      <c r="AV482"/>
      <c r="AW482" s="47"/>
      <c r="AX482" s="45"/>
      <c r="AY482" s="45"/>
      <c r="AZ482" s="45"/>
      <c r="BB482"/>
      <c r="BC482" s="47"/>
      <c r="BD482" s="45"/>
      <c r="BE482" s="45"/>
      <c r="BF482" s="45"/>
    </row>
    <row r="483" spans="37:58" x14ac:dyDescent="0.25">
      <c r="AK483" s="45"/>
      <c r="AL483" s="45"/>
      <c r="AP483"/>
      <c r="AQ483" s="47"/>
      <c r="AR483" s="45"/>
      <c r="AS483" s="45"/>
      <c r="AT483" s="45"/>
      <c r="AV483"/>
      <c r="AW483" s="47"/>
      <c r="AX483" s="45"/>
      <c r="AY483" s="45"/>
      <c r="AZ483" s="45"/>
      <c r="BB483"/>
      <c r="BC483" s="47"/>
      <c r="BD483" s="45"/>
      <c r="BE483" s="45"/>
      <c r="BF483" s="45"/>
    </row>
    <row r="484" spans="37:58" x14ac:dyDescent="0.25">
      <c r="AK484" s="45"/>
      <c r="AL484" s="45"/>
      <c r="AP484"/>
      <c r="AQ484" s="47"/>
      <c r="AR484" s="45"/>
      <c r="AS484" s="45"/>
      <c r="AT484" s="45"/>
      <c r="AV484"/>
      <c r="AW484" s="47"/>
      <c r="AX484" s="45"/>
      <c r="AY484" s="45"/>
      <c r="AZ484" s="45"/>
      <c r="BB484"/>
      <c r="BC484" s="47"/>
      <c r="BD484" s="45"/>
      <c r="BE484" s="45"/>
      <c r="BF484" s="45"/>
    </row>
    <row r="485" spans="37:58" x14ac:dyDescent="0.25">
      <c r="AK485" s="45"/>
      <c r="AL485" s="45"/>
      <c r="AP485"/>
      <c r="AQ485" s="47"/>
      <c r="AR485" s="45"/>
      <c r="AS485" s="45"/>
      <c r="AT485" s="45"/>
      <c r="AV485"/>
      <c r="AW485" s="48"/>
      <c r="AX485" s="45"/>
      <c r="BB485"/>
      <c r="BC485" s="48"/>
      <c r="BD485" s="45"/>
    </row>
    <row r="486" spans="37:58" x14ac:dyDescent="0.25">
      <c r="AK486" s="45"/>
      <c r="AL486" s="45"/>
      <c r="AP486"/>
      <c r="AQ486" s="47"/>
      <c r="AR486" s="45"/>
      <c r="AS486" s="45"/>
      <c r="AT486" s="45"/>
      <c r="AV486"/>
      <c r="AW486" s="47"/>
      <c r="AX486" s="45"/>
      <c r="BB486"/>
      <c r="BC486" s="47"/>
      <c r="BD486" s="45"/>
    </row>
    <row r="487" spans="37:58" x14ac:dyDescent="0.25">
      <c r="AK487" s="45"/>
      <c r="AL487" s="45"/>
      <c r="AP487"/>
      <c r="AQ487" s="47"/>
      <c r="AR487" s="45"/>
      <c r="AS487" s="45"/>
      <c r="AT487" s="45"/>
      <c r="AV487"/>
      <c r="AW487" s="47"/>
      <c r="AX487" s="45"/>
      <c r="BB487"/>
      <c r="BC487" s="47"/>
      <c r="BD487" s="45"/>
    </row>
    <row r="488" spans="37:58" x14ac:dyDescent="0.25">
      <c r="AK488" s="45"/>
      <c r="AL488" s="45"/>
      <c r="AP488"/>
      <c r="AQ488" s="47"/>
      <c r="AR488" s="45"/>
      <c r="AS488" s="45"/>
      <c r="AT488" s="45"/>
      <c r="AV488"/>
      <c r="AW488" s="47"/>
      <c r="AX488" s="45"/>
      <c r="BB488"/>
      <c r="BC488" s="47"/>
      <c r="BD488" s="45"/>
    </row>
    <row r="489" spans="37:58" x14ac:dyDescent="0.25">
      <c r="AK489" s="45"/>
      <c r="AL489" s="45"/>
      <c r="AP489"/>
      <c r="AQ489" s="47"/>
      <c r="AR489" s="45"/>
      <c r="AS489" s="45"/>
      <c r="AT489" s="45"/>
      <c r="AV489"/>
      <c r="AW489" s="47"/>
      <c r="AX489" s="45"/>
      <c r="BB489"/>
      <c r="BC489" s="47"/>
      <c r="BD489" s="45"/>
    </row>
    <row r="490" spans="37:58" x14ac:dyDescent="0.25">
      <c r="AK490" s="45"/>
      <c r="AL490" s="45"/>
      <c r="AP490"/>
      <c r="AQ490" s="47"/>
      <c r="AR490" s="45"/>
      <c r="AS490" s="45"/>
      <c r="AT490" s="45"/>
      <c r="AV490"/>
      <c r="AW490" s="47"/>
      <c r="AX490" s="45"/>
      <c r="BB490"/>
      <c r="BC490" s="47"/>
      <c r="BD490" s="45"/>
    </row>
    <row r="491" spans="37:58" x14ac:dyDescent="0.25">
      <c r="AK491" s="45"/>
      <c r="AL491" s="45"/>
      <c r="AP491"/>
      <c r="AQ491" s="47"/>
      <c r="AR491" s="45"/>
      <c r="AS491" s="45"/>
      <c r="AT491" s="45"/>
      <c r="AV491"/>
      <c r="AW491" s="47"/>
      <c r="AX491" s="45"/>
      <c r="BB491"/>
      <c r="BC491" s="47"/>
      <c r="BD491" s="45"/>
    </row>
    <row r="492" spans="37:58" x14ac:dyDescent="0.25">
      <c r="AP492"/>
      <c r="AQ492" s="47"/>
      <c r="AR492" s="45"/>
      <c r="AS492" s="45"/>
      <c r="AT492" s="45"/>
      <c r="AV492"/>
      <c r="AW492" s="47"/>
      <c r="AX492" s="45"/>
      <c r="BB492"/>
      <c r="BC492" s="47"/>
      <c r="BD492" s="45"/>
    </row>
    <row r="493" spans="37:58" x14ac:dyDescent="0.25">
      <c r="AP493"/>
      <c r="AQ493" s="47"/>
      <c r="AR493" s="45"/>
      <c r="AS493" s="45"/>
      <c r="AT493" s="45"/>
      <c r="AV493"/>
      <c r="AW493" s="47"/>
      <c r="AX493" s="45"/>
      <c r="BB493"/>
      <c r="BC493" s="47"/>
      <c r="BD493" s="45"/>
    </row>
    <row r="494" spans="37:58" x14ac:dyDescent="0.25">
      <c r="AP494"/>
      <c r="AQ494" s="48"/>
      <c r="AR494" s="45"/>
      <c r="AV494"/>
      <c r="AW494" s="47"/>
      <c r="AX494" s="45"/>
      <c r="BB494"/>
      <c r="BC494" s="47"/>
      <c r="BD494" s="45"/>
    </row>
    <row r="495" spans="37:58" x14ac:dyDescent="0.25">
      <c r="AP495"/>
      <c r="AQ495" s="47"/>
      <c r="AR495" s="45"/>
      <c r="AV495"/>
      <c r="AW495" s="47"/>
      <c r="AX495" s="45"/>
      <c r="BB495"/>
      <c r="BC495" s="47"/>
      <c r="BD495" s="45"/>
    </row>
    <row r="496" spans="37:58" x14ac:dyDescent="0.25">
      <c r="AP496"/>
      <c r="AQ496" s="47"/>
      <c r="AR496" s="45"/>
      <c r="AV496"/>
      <c r="AW496" s="47"/>
      <c r="AX496" s="45"/>
      <c r="BB496"/>
      <c r="BC496" s="47"/>
      <c r="BD496" s="45"/>
    </row>
    <row r="497" spans="42:56" x14ac:dyDescent="0.25">
      <c r="AP497"/>
      <c r="AQ497" s="47"/>
      <c r="AR497" s="45"/>
      <c r="AV497"/>
      <c r="AW497" s="47"/>
      <c r="AX497" s="45"/>
      <c r="BB497"/>
      <c r="BC497" s="47"/>
      <c r="BD497" s="45"/>
    </row>
    <row r="498" spans="42:56" x14ac:dyDescent="0.25">
      <c r="AP498"/>
      <c r="AQ498" s="47"/>
      <c r="AR498" s="45"/>
      <c r="AV498"/>
      <c r="AW498" s="47"/>
      <c r="AX498" s="45"/>
      <c r="BB498"/>
      <c r="BC498" s="47"/>
      <c r="BD498" s="45"/>
    </row>
    <row r="499" spans="42:56" x14ac:dyDescent="0.25">
      <c r="AP499"/>
      <c r="AQ499" s="47"/>
      <c r="AR499" s="45"/>
      <c r="AV499"/>
      <c r="AW499" s="47"/>
      <c r="AX499" s="45"/>
      <c r="BB499"/>
      <c r="BC499" s="47"/>
      <c r="BD499" s="45"/>
    </row>
    <row r="500" spans="42:56" x14ac:dyDescent="0.25">
      <c r="AP500"/>
      <c r="AQ500" s="47"/>
      <c r="AR500" s="45"/>
      <c r="AV500"/>
      <c r="AW500" s="47"/>
      <c r="AX500" s="45"/>
      <c r="BB500"/>
      <c r="BC500" s="47"/>
      <c r="BD500" s="45"/>
    </row>
    <row r="501" spans="42:56" x14ac:dyDescent="0.25">
      <c r="AP501"/>
      <c r="AQ501" s="47"/>
      <c r="AR501" s="45"/>
      <c r="AV501"/>
      <c r="AW501" s="47"/>
      <c r="AX501" s="45"/>
      <c r="BB501"/>
      <c r="BC501" s="47"/>
      <c r="BD501" s="45"/>
    </row>
    <row r="502" spans="42:56" x14ac:dyDescent="0.25">
      <c r="AP502"/>
      <c r="AQ502" s="47"/>
      <c r="AR502" s="45"/>
      <c r="AV502"/>
      <c r="AW502" s="47"/>
      <c r="AX502" s="45"/>
      <c r="BB502"/>
      <c r="BC502" s="47"/>
      <c r="BD502" s="45"/>
    </row>
    <row r="503" spans="42:56" x14ac:dyDescent="0.25">
      <c r="AP503"/>
      <c r="AQ503" s="47"/>
      <c r="AR503" s="45"/>
      <c r="AV503"/>
      <c r="AW503" s="47"/>
      <c r="AX503" s="45"/>
      <c r="BB503"/>
      <c r="BC503" s="47"/>
      <c r="BD503" s="45"/>
    </row>
    <row r="504" spans="42:56" x14ac:dyDescent="0.25">
      <c r="AP504"/>
      <c r="AQ504" s="47"/>
      <c r="AR504" s="45"/>
      <c r="AV504"/>
      <c r="AW504" s="47"/>
      <c r="AX504" s="45"/>
      <c r="BB504"/>
      <c r="BC504" s="47"/>
      <c r="BD504" s="45"/>
    </row>
    <row r="505" spans="42:56" x14ac:dyDescent="0.25">
      <c r="AP505"/>
      <c r="AQ505" s="47"/>
      <c r="AR505" s="45"/>
      <c r="AV505"/>
      <c r="AW505" s="47"/>
      <c r="AX505" s="45"/>
      <c r="BB505"/>
      <c r="BC505" s="47"/>
      <c r="BD505" s="45"/>
    </row>
    <row r="506" spans="42:56" x14ac:dyDescent="0.25">
      <c r="AP506"/>
      <c r="AQ506" s="47"/>
      <c r="AR506" s="45"/>
      <c r="AV506"/>
      <c r="AW506" s="47"/>
      <c r="AX506" s="45"/>
      <c r="BB506"/>
      <c r="BC506" s="47"/>
      <c r="BD506" s="45"/>
    </row>
    <row r="507" spans="42:56" x14ac:dyDescent="0.25">
      <c r="AP507"/>
      <c r="AQ507" s="47"/>
      <c r="AR507" s="45"/>
      <c r="AV507"/>
      <c r="AW507" s="47"/>
      <c r="AX507" s="45"/>
      <c r="BB507"/>
      <c r="BC507" s="47"/>
      <c r="BD507" s="45"/>
    </row>
    <row r="508" spans="42:56" x14ac:dyDescent="0.25">
      <c r="AP508"/>
      <c r="AQ508" s="47"/>
      <c r="AR508" s="45"/>
      <c r="AV508"/>
      <c r="AW508" s="47"/>
      <c r="AX508" s="45"/>
      <c r="BB508"/>
      <c r="BC508" s="47"/>
      <c r="BD508" s="45"/>
    </row>
    <row r="509" spans="42:56" x14ac:dyDescent="0.25">
      <c r="AP509"/>
      <c r="AQ509" s="47"/>
      <c r="AR509" s="45"/>
      <c r="AV509"/>
      <c r="AW509" s="47"/>
      <c r="AX509" s="45"/>
      <c r="BB509"/>
      <c r="BC509" s="47"/>
      <c r="BD509" s="45"/>
    </row>
    <row r="510" spans="42:56" x14ac:dyDescent="0.25">
      <c r="AP510"/>
      <c r="AQ510" s="47"/>
      <c r="AR510" s="45"/>
      <c r="AV510"/>
      <c r="AW510" s="47"/>
      <c r="AX510" s="45"/>
      <c r="BB510"/>
      <c r="BC510" s="47"/>
      <c r="BD510" s="45"/>
    </row>
    <row r="511" spans="42:56" x14ac:dyDescent="0.25">
      <c r="AP511"/>
      <c r="AQ511" s="47"/>
      <c r="AR511" s="45"/>
      <c r="AV511"/>
      <c r="AW511" s="47"/>
      <c r="AX511" s="45"/>
      <c r="BB511"/>
      <c r="BC511" s="47"/>
      <c r="BD511" s="45"/>
    </row>
    <row r="512" spans="42:56" x14ac:dyDescent="0.25">
      <c r="AP512"/>
      <c r="AQ512" s="47"/>
      <c r="AR512" s="45"/>
      <c r="AV512"/>
      <c r="AW512" s="47"/>
      <c r="AX512" s="45"/>
      <c r="BB512"/>
      <c r="BC512" s="47"/>
      <c r="BD512" s="45"/>
    </row>
    <row r="513" spans="37:56" x14ac:dyDescent="0.25">
      <c r="AP513"/>
      <c r="AQ513" s="47"/>
      <c r="AR513" s="45"/>
      <c r="AV513"/>
      <c r="AW513" s="47"/>
      <c r="AX513" s="45"/>
      <c r="BB513"/>
      <c r="BC513" s="47"/>
      <c r="BD513" s="45"/>
    </row>
    <row r="514" spans="37:56" x14ac:dyDescent="0.25">
      <c r="AP514"/>
      <c r="AQ514" s="47"/>
      <c r="AR514" s="45"/>
      <c r="AV514"/>
      <c r="AW514" s="47"/>
      <c r="AX514" s="45"/>
      <c r="BB514"/>
      <c r="BC514" s="47"/>
      <c r="BD514" s="45"/>
    </row>
    <row r="515" spans="37:56" x14ac:dyDescent="0.25">
      <c r="AP515"/>
      <c r="AQ515" s="47"/>
      <c r="AR515" s="45"/>
      <c r="AV515"/>
      <c r="AW515" s="47"/>
      <c r="AX515" s="45"/>
      <c r="BB515"/>
      <c r="BC515" s="47"/>
      <c r="BD515" s="45"/>
    </row>
    <row r="516" spans="37:56" x14ac:dyDescent="0.25">
      <c r="AP516"/>
      <c r="AQ516" s="47"/>
      <c r="AR516" s="45"/>
      <c r="AV516"/>
      <c r="AW516" s="47"/>
      <c r="AX516" s="45"/>
      <c r="BB516"/>
      <c r="BC516" s="47"/>
      <c r="BD516" s="45"/>
    </row>
    <row r="517" spans="37:56" x14ac:dyDescent="0.25">
      <c r="AP517"/>
      <c r="AQ517" s="47"/>
      <c r="AR517" s="45"/>
      <c r="AV517"/>
      <c r="AW517" s="47"/>
      <c r="AX517" s="45"/>
      <c r="BB517"/>
      <c r="BC517" s="47"/>
      <c r="BD517" s="45"/>
    </row>
    <row r="518" spans="37:56" x14ac:dyDescent="0.25">
      <c r="AP518"/>
      <c r="AQ518" s="47"/>
      <c r="AR518" s="45"/>
      <c r="AV518"/>
      <c r="AW518" s="48"/>
      <c r="AX518" s="45"/>
      <c r="BB518"/>
      <c r="BC518" s="48"/>
      <c r="BD518" s="45"/>
    </row>
    <row r="519" spans="37:56" x14ac:dyDescent="0.25">
      <c r="AP519"/>
      <c r="AQ519" s="47"/>
      <c r="AR519" s="45"/>
      <c r="AV519"/>
      <c r="AW519" s="48"/>
      <c r="AX519" s="45"/>
      <c r="BB519"/>
      <c r="BC519" s="48"/>
      <c r="BD519" s="45"/>
    </row>
    <row r="520" spans="37:56" x14ac:dyDescent="0.25">
      <c r="AP520"/>
      <c r="AQ520" s="47"/>
      <c r="AR520" s="45"/>
      <c r="AV520"/>
      <c r="AW520" s="48"/>
      <c r="AX520" s="45"/>
      <c r="BB520"/>
      <c r="BC520" s="48"/>
      <c r="BD520" s="45"/>
    </row>
    <row r="521" spans="37:56" x14ac:dyDescent="0.25">
      <c r="AK521" s="45"/>
      <c r="AL521" s="45"/>
      <c r="AP521"/>
      <c r="AQ521" s="47"/>
      <c r="AR521" s="45"/>
      <c r="AV521"/>
      <c r="AW521" s="48"/>
      <c r="AX521" s="45"/>
      <c r="BB521"/>
      <c r="BC521" s="48"/>
      <c r="BD521" s="45"/>
    </row>
    <row r="522" spans="37:56" x14ac:dyDescent="0.25">
      <c r="AK522" s="45"/>
      <c r="AL522" s="45"/>
      <c r="AP522"/>
      <c r="AQ522" s="47"/>
      <c r="AR522" s="45"/>
      <c r="AV522"/>
      <c r="AW522" s="48"/>
      <c r="AX522" s="45"/>
      <c r="BB522"/>
      <c r="BC522" s="48"/>
      <c r="BD522" s="45"/>
    </row>
    <row r="523" spans="37:56" x14ac:dyDescent="0.25">
      <c r="AK523" s="45"/>
      <c r="AL523" s="45"/>
      <c r="AP523"/>
      <c r="AQ523" s="47"/>
      <c r="AR523" s="45"/>
      <c r="AV523"/>
      <c r="AW523" s="48"/>
      <c r="AX523" s="45"/>
      <c r="BB523"/>
      <c r="BC523" s="48"/>
      <c r="BD523" s="45"/>
    </row>
    <row r="524" spans="37:56" x14ac:dyDescent="0.25">
      <c r="AK524" s="45"/>
      <c r="AL524" s="45"/>
      <c r="AP524"/>
      <c r="AQ524" s="47"/>
      <c r="AR524" s="45"/>
      <c r="AV524"/>
      <c r="AW524" s="48"/>
      <c r="AX524" s="45"/>
      <c r="BB524"/>
      <c r="BC524" s="48"/>
      <c r="BD524" s="45"/>
    </row>
    <row r="525" spans="37:56" x14ac:dyDescent="0.25">
      <c r="AK525" s="45"/>
      <c r="AL525" s="45"/>
      <c r="AP525"/>
      <c r="AQ525" s="47"/>
      <c r="AR525" s="45"/>
      <c r="AV525"/>
      <c r="AW525" s="48"/>
      <c r="AX525" s="45"/>
      <c r="BB525"/>
      <c r="BC525" s="48"/>
      <c r="BD525" s="45"/>
    </row>
    <row r="526" spans="37:56" x14ac:dyDescent="0.25">
      <c r="AK526" s="45"/>
      <c r="AL526" s="45"/>
      <c r="AP526"/>
      <c r="AQ526" s="47"/>
      <c r="AR526" s="45"/>
      <c r="AV526"/>
      <c r="AW526" s="48"/>
      <c r="AX526" s="45"/>
      <c r="BB526"/>
      <c r="BC526" s="48"/>
      <c r="BD526" s="45"/>
    </row>
    <row r="527" spans="37:56" x14ac:dyDescent="0.25">
      <c r="AK527" s="45"/>
      <c r="AL527" s="45"/>
      <c r="AP527"/>
      <c r="AQ527" s="48"/>
      <c r="AR527" s="45"/>
      <c r="AV527"/>
      <c r="AW527" s="48"/>
      <c r="AX527" s="45"/>
      <c r="BB527"/>
      <c r="BC527" s="48"/>
      <c r="BD527" s="45"/>
    </row>
    <row r="528" spans="37:56" x14ac:dyDescent="0.25">
      <c r="AK528" s="45"/>
      <c r="AL528" s="45"/>
      <c r="AP528"/>
      <c r="AQ528" s="48"/>
      <c r="AR528" s="45"/>
      <c r="AV528"/>
      <c r="AW528" s="48"/>
      <c r="AX528" s="45"/>
      <c r="BB528"/>
      <c r="BC528" s="48"/>
      <c r="BD528" s="45"/>
    </row>
    <row r="529" spans="37:56" x14ac:dyDescent="0.25">
      <c r="AK529" s="45"/>
      <c r="AL529" s="45"/>
      <c r="AP529"/>
      <c r="AQ529" s="48"/>
      <c r="AR529" s="45"/>
      <c r="AV529"/>
      <c r="AW529" s="48"/>
      <c r="AX529" s="45"/>
      <c r="BB529"/>
      <c r="BC529" s="48"/>
      <c r="BD529" s="45"/>
    </row>
    <row r="530" spans="37:56" x14ac:dyDescent="0.25">
      <c r="AL530" s="45"/>
      <c r="AP530"/>
      <c r="AQ530" s="48"/>
      <c r="AR530" s="45"/>
      <c r="AV530"/>
      <c r="AW530" s="48"/>
      <c r="AX530" s="45"/>
      <c r="BB530"/>
      <c r="BC530" s="48"/>
      <c r="BD530" s="45"/>
    </row>
    <row r="531" spans="37:56" x14ac:dyDescent="0.25">
      <c r="AK531" s="45"/>
      <c r="AL531" s="45"/>
      <c r="AP531"/>
      <c r="AV531"/>
      <c r="AW531" s="48"/>
      <c r="AX531" s="45"/>
      <c r="BB531"/>
      <c r="BC531" s="48"/>
      <c r="BD531" s="45"/>
    </row>
    <row r="532" spans="37:56" x14ac:dyDescent="0.25">
      <c r="AK532" s="45"/>
      <c r="AL532" s="45"/>
      <c r="AP532"/>
      <c r="AV532"/>
      <c r="AW532" s="48"/>
      <c r="AX532" s="45"/>
      <c r="BB532"/>
      <c r="BC532" s="48"/>
      <c r="BD532" s="45"/>
    </row>
    <row r="533" spans="37:56" x14ac:dyDescent="0.25">
      <c r="AK533" s="45"/>
      <c r="AL533" s="45"/>
      <c r="AP533"/>
      <c r="AQ533" s="45"/>
      <c r="AV533"/>
      <c r="AW533" s="48"/>
      <c r="AX533" s="45"/>
      <c r="BB533"/>
      <c r="BC533" s="48"/>
      <c r="BD533" s="45"/>
    </row>
    <row r="534" spans="37:56" x14ac:dyDescent="0.25">
      <c r="AK534" s="45"/>
      <c r="AL534" s="45"/>
      <c r="AP534"/>
      <c r="AQ534" s="45"/>
      <c r="AR534" s="45"/>
      <c r="AS534" s="45"/>
      <c r="AT534" s="45"/>
      <c r="AV534"/>
      <c r="AW534" s="48"/>
      <c r="AX534" s="45"/>
      <c r="BB534"/>
      <c r="BC534" s="48"/>
      <c r="BD534" s="45"/>
    </row>
    <row r="535" spans="37:56" x14ac:dyDescent="0.25">
      <c r="AK535" s="45"/>
      <c r="AL535" s="45"/>
      <c r="AP535"/>
      <c r="AQ535" s="47"/>
      <c r="AR535" s="45"/>
      <c r="AS535" s="45"/>
      <c r="AT535" s="45"/>
      <c r="AV535"/>
      <c r="AW535" s="48"/>
      <c r="AX535" s="45"/>
      <c r="BB535"/>
      <c r="BC535" s="48"/>
      <c r="BD535" s="45"/>
    </row>
    <row r="536" spans="37:56" x14ac:dyDescent="0.25">
      <c r="AK536" s="45"/>
      <c r="AL536" s="45"/>
      <c r="AP536"/>
      <c r="AQ536" s="47"/>
      <c r="AR536" s="45"/>
      <c r="AS536" s="45"/>
      <c r="AT536" s="45"/>
      <c r="AV536"/>
      <c r="AW536" s="48"/>
      <c r="AX536" s="45"/>
      <c r="BB536"/>
      <c r="BC536" s="48"/>
      <c r="BD536" s="45"/>
    </row>
    <row r="537" spans="37:56" x14ac:dyDescent="0.25">
      <c r="AK537" s="45"/>
      <c r="AL537" s="45"/>
      <c r="AP537"/>
      <c r="AQ537" s="47"/>
      <c r="AR537" s="45"/>
      <c r="AS537" s="45"/>
      <c r="AT537" s="45"/>
      <c r="AV537"/>
      <c r="AW537" s="48"/>
      <c r="AX537" s="45"/>
      <c r="BB537"/>
      <c r="BC537" s="48"/>
      <c r="BD537" s="45"/>
    </row>
    <row r="538" spans="37:56" x14ac:dyDescent="0.25">
      <c r="AK538" s="45"/>
      <c r="AL538" s="45"/>
      <c r="AP538"/>
      <c r="AQ538" s="47"/>
      <c r="AR538" s="45"/>
      <c r="AS538" s="45"/>
      <c r="AT538" s="45"/>
      <c r="AV538"/>
      <c r="AW538" s="48"/>
      <c r="AX538" s="45"/>
      <c r="BB538"/>
      <c r="BC538" s="48"/>
      <c r="BD538" s="45"/>
    </row>
    <row r="539" spans="37:56" x14ac:dyDescent="0.25">
      <c r="AK539" s="45"/>
      <c r="AL539" s="45"/>
      <c r="AP539"/>
      <c r="AQ539" s="47"/>
      <c r="AR539" s="45"/>
      <c r="AS539" s="45"/>
      <c r="AT539" s="45"/>
      <c r="AV539"/>
      <c r="AW539" s="48"/>
      <c r="AX539" s="45"/>
      <c r="BB539"/>
      <c r="BC539" s="48"/>
      <c r="BD539" s="45"/>
    </row>
    <row r="540" spans="37:56" x14ac:dyDescent="0.25">
      <c r="AK540" s="45"/>
      <c r="AL540" s="45"/>
      <c r="AP540"/>
      <c r="AQ540" s="47"/>
      <c r="AR540" s="45"/>
      <c r="AS540" s="45"/>
      <c r="AT540" s="45"/>
      <c r="AV540"/>
      <c r="AW540" s="48"/>
      <c r="AX540" s="45"/>
      <c r="BB540"/>
      <c r="BC540" s="48"/>
      <c r="BD540" s="45"/>
    </row>
    <row r="541" spans="37:56" x14ac:dyDescent="0.25">
      <c r="AP541"/>
      <c r="AQ541" s="47"/>
      <c r="AR541" s="45"/>
      <c r="AS541" s="45"/>
      <c r="AT541" s="45"/>
      <c r="AV541"/>
      <c r="AW541" s="48"/>
      <c r="AX541" s="45"/>
      <c r="BB541"/>
      <c r="BC541" s="48"/>
      <c r="BD541" s="45"/>
    </row>
    <row r="542" spans="37:56" x14ac:dyDescent="0.25">
      <c r="AP542"/>
      <c r="AQ542" s="47"/>
      <c r="AR542" s="45"/>
      <c r="AS542" s="45"/>
      <c r="AT542" s="45"/>
      <c r="AV542"/>
      <c r="AW542" s="48"/>
      <c r="AX542" s="45"/>
      <c r="BB542"/>
      <c r="BC542" s="48"/>
      <c r="BD542" s="45"/>
    </row>
    <row r="543" spans="37:56" x14ac:dyDescent="0.25">
      <c r="AP543"/>
      <c r="AQ543" s="47"/>
      <c r="AR543" s="45"/>
      <c r="AS543" s="45"/>
      <c r="AT543" s="45"/>
      <c r="AV543"/>
      <c r="AW543" s="48"/>
      <c r="AX543" s="45"/>
      <c r="BB543"/>
      <c r="BC543" s="48"/>
      <c r="BD543" s="45"/>
    </row>
    <row r="544" spans="37:56" x14ac:dyDescent="0.25">
      <c r="AP544"/>
      <c r="AQ544" s="47"/>
      <c r="AR544" s="45"/>
      <c r="AS544" s="45"/>
      <c r="AT544" s="45"/>
      <c r="AV544"/>
      <c r="AW544" s="48"/>
      <c r="AX544" s="45"/>
      <c r="BB544"/>
      <c r="BC544" s="48"/>
      <c r="BD544" s="45"/>
    </row>
    <row r="545" spans="42:58" x14ac:dyDescent="0.25">
      <c r="AP545"/>
      <c r="AQ545" s="47"/>
      <c r="AR545" s="45"/>
      <c r="AS545" s="45"/>
      <c r="AT545" s="45"/>
      <c r="AV545"/>
      <c r="AW545" s="48"/>
      <c r="AX545" s="45"/>
      <c r="BB545"/>
      <c r="BC545" s="48"/>
      <c r="BD545" s="45"/>
    </row>
    <row r="546" spans="42:58" x14ac:dyDescent="0.25">
      <c r="AP546"/>
      <c r="AQ546" s="47"/>
      <c r="AR546" s="45"/>
      <c r="AS546" s="45"/>
      <c r="AT546" s="45"/>
      <c r="AV546"/>
      <c r="AW546" s="48"/>
      <c r="AX546" s="45"/>
      <c r="BB546"/>
      <c r="BC546" s="48"/>
      <c r="BD546" s="45"/>
    </row>
    <row r="547" spans="42:58" x14ac:dyDescent="0.25">
      <c r="AP547"/>
      <c r="AQ547" s="48"/>
      <c r="AR547" s="45"/>
      <c r="AV547"/>
      <c r="BB547"/>
    </row>
    <row r="548" spans="42:58" x14ac:dyDescent="0.25">
      <c r="AP548"/>
      <c r="AQ548" s="47"/>
      <c r="AR548" s="45"/>
      <c r="AV548"/>
      <c r="BB548"/>
    </row>
    <row r="549" spans="42:58" x14ac:dyDescent="0.25">
      <c r="AP549"/>
      <c r="AQ549" s="47"/>
      <c r="AR549" s="45"/>
      <c r="AV549"/>
      <c r="AW549" s="45"/>
      <c r="BB549"/>
      <c r="BC549" s="45"/>
    </row>
    <row r="550" spans="42:58" x14ac:dyDescent="0.25">
      <c r="AP550"/>
      <c r="AQ550" s="47"/>
      <c r="AR550" s="45"/>
      <c r="AV550"/>
      <c r="AW550" s="45"/>
      <c r="AX550" s="45"/>
      <c r="AY550" s="45"/>
      <c r="AZ550" s="45"/>
      <c r="BB550"/>
      <c r="BC550" s="45"/>
      <c r="BD550" s="45"/>
      <c r="BE550" s="45"/>
      <c r="BF550" s="45"/>
    </row>
    <row r="551" spans="42:58" x14ac:dyDescent="0.25">
      <c r="AP551"/>
      <c r="AQ551" s="47"/>
      <c r="AR551" s="45"/>
      <c r="AV551"/>
      <c r="AW551" s="47"/>
      <c r="AX551" s="45"/>
      <c r="AY551" s="45"/>
      <c r="AZ551" s="45"/>
      <c r="BB551"/>
      <c r="BC551" s="47"/>
      <c r="BD551" s="45"/>
      <c r="BE551" s="45"/>
      <c r="BF551" s="45"/>
    </row>
    <row r="552" spans="42:58" x14ac:dyDescent="0.25">
      <c r="AP552"/>
      <c r="AQ552" s="47"/>
      <c r="AR552" s="45"/>
      <c r="AV552"/>
      <c r="AW552" s="47"/>
      <c r="AX552" s="45"/>
      <c r="AY552" s="45"/>
      <c r="AZ552" s="45"/>
      <c r="BB552"/>
      <c r="BC552" s="47"/>
      <c r="BD552" s="45"/>
      <c r="BE552" s="45"/>
      <c r="BF552" s="45"/>
    </row>
    <row r="553" spans="42:58" x14ac:dyDescent="0.25">
      <c r="AP553"/>
      <c r="AQ553" s="47"/>
      <c r="AR553" s="45"/>
      <c r="AV553"/>
      <c r="AW553" s="47"/>
      <c r="AX553" s="45"/>
      <c r="AY553" s="45"/>
      <c r="AZ553" s="45"/>
      <c r="BB553"/>
      <c r="BC553" s="47"/>
      <c r="BD553" s="45"/>
      <c r="BE553" s="45"/>
      <c r="BF553" s="45"/>
    </row>
    <row r="554" spans="42:58" x14ac:dyDescent="0.25">
      <c r="AP554"/>
      <c r="AQ554" s="47"/>
      <c r="AR554" s="45"/>
      <c r="AV554"/>
      <c r="AW554" s="47"/>
      <c r="AX554" s="45"/>
      <c r="AY554" s="45"/>
      <c r="AZ554" s="45"/>
      <c r="BB554"/>
      <c r="BC554" s="47"/>
      <c r="BD554" s="45"/>
      <c r="BE554" s="45"/>
      <c r="BF554" s="45"/>
    </row>
    <row r="555" spans="42:58" x14ac:dyDescent="0.25">
      <c r="AP555"/>
      <c r="AQ555" s="47"/>
      <c r="AR555" s="45"/>
      <c r="AV555"/>
      <c r="AW555" s="47"/>
      <c r="AX555" s="45"/>
      <c r="AY555" s="45"/>
      <c r="AZ555" s="45"/>
      <c r="BB555"/>
      <c r="BC555" s="47"/>
      <c r="BD555" s="45"/>
      <c r="BE555" s="45"/>
      <c r="BF555" s="45"/>
    </row>
    <row r="556" spans="42:58" x14ac:dyDescent="0.25">
      <c r="AP556"/>
      <c r="AQ556" s="47"/>
      <c r="AR556" s="45"/>
      <c r="AV556"/>
      <c r="AW556" s="47"/>
      <c r="AX556" s="45"/>
      <c r="AY556" s="45"/>
      <c r="AZ556" s="45"/>
      <c r="BB556"/>
      <c r="BC556" s="47"/>
      <c r="BD556" s="45"/>
      <c r="BE556" s="45"/>
      <c r="BF556" s="45"/>
    </row>
    <row r="557" spans="42:58" x14ac:dyDescent="0.25">
      <c r="AP557"/>
      <c r="AQ557" s="47"/>
      <c r="AR557" s="45"/>
      <c r="AV557"/>
      <c r="AW557" s="47"/>
      <c r="AX557" s="45"/>
      <c r="AY557" s="45"/>
      <c r="AZ557" s="45"/>
      <c r="BB557"/>
      <c r="BC557" s="47"/>
      <c r="BD557" s="45"/>
      <c r="BE557" s="45"/>
      <c r="BF557" s="45"/>
    </row>
    <row r="558" spans="42:58" x14ac:dyDescent="0.25">
      <c r="AP558"/>
      <c r="AQ558" s="47"/>
      <c r="AR558" s="45"/>
      <c r="AV558"/>
      <c r="AW558" s="47"/>
      <c r="AX558" s="45"/>
      <c r="AY558" s="45"/>
      <c r="AZ558" s="45"/>
      <c r="BB558"/>
      <c r="BC558" s="47"/>
      <c r="BD558" s="45"/>
      <c r="BE558" s="45"/>
      <c r="BF558" s="45"/>
    </row>
    <row r="559" spans="42:58" x14ac:dyDescent="0.25">
      <c r="AP559"/>
      <c r="AQ559" s="47"/>
      <c r="AR559" s="45"/>
      <c r="AV559"/>
      <c r="AW559" s="47"/>
      <c r="AX559" s="45"/>
      <c r="AY559" s="45"/>
      <c r="AZ559" s="45"/>
      <c r="BB559"/>
      <c r="BC559" s="47"/>
      <c r="BD559" s="45"/>
      <c r="BE559" s="45"/>
      <c r="BF559" s="45"/>
    </row>
    <row r="560" spans="42:58" x14ac:dyDescent="0.25">
      <c r="AP560"/>
      <c r="AQ560" s="47"/>
      <c r="AR560" s="45"/>
      <c r="AV560"/>
      <c r="AW560" s="47"/>
      <c r="AX560" s="45"/>
      <c r="AY560" s="45"/>
      <c r="AZ560" s="45"/>
      <c r="BB560"/>
      <c r="BC560" s="47"/>
      <c r="BD560" s="45"/>
      <c r="BE560" s="45"/>
      <c r="BF560" s="45"/>
    </row>
    <row r="561" spans="37:58" x14ac:dyDescent="0.25">
      <c r="AP561"/>
      <c r="AQ561" s="47"/>
      <c r="AR561" s="45"/>
      <c r="AV561"/>
      <c r="AW561" s="47"/>
      <c r="AX561" s="45"/>
      <c r="AY561" s="45"/>
      <c r="AZ561" s="45"/>
      <c r="BB561"/>
      <c r="BC561" s="47"/>
      <c r="BD561" s="45"/>
      <c r="BE561" s="45"/>
      <c r="BF561" s="45"/>
    </row>
    <row r="562" spans="37:58" x14ac:dyDescent="0.25">
      <c r="AP562"/>
      <c r="AQ562" s="47"/>
      <c r="AR562" s="45"/>
      <c r="AV562"/>
      <c r="AW562" s="47"/>
      <c r="AX562" s="45"/>
      <c r="AY562" s="45"/>
      <c r="AZ562" s="45"/>
      <c r="BB562"/>
      <c r="BC562" s="47"/>
      <c r="BD562" s="45"/>
      <c r="BE562" s="45"/>
      <c r="BF562" s="45"/>
    </row>
    <row r="563" spans="37:58" x14ac:dyDescent="0.25">
      <c r="AP563"/>
      <c r="AQ563" s="47"/>
      <c r="AR563" s="45"/>
      <c r="AV563"/>
      <c r="AW563" s="48"/>
      <c r="AX563" s="45"/>
      <c r="BB563"/>
      <c r="BC563" s="48"/>
      <c r="BD563" s="45"/>
    </row>
    <row r="564" spans="37:58" x14ac:dyDescent="0.25">
      <c r="AP564"/>
      <c r="AQ564" s="47"/>
      <c r="AR564" s="45"/>
      <c r="AV564"/>
      <c r="AW564" s="47"/>
      <c r="AX564" s="45"/>
      <c r="BB564"/>
      <c r="BC564" s="47"/>
      <c r="BD564" s="45"/>
    </row>
    <row r="565" spans="37:58" x14ac:dyDescent="0.25">
      <c r="AP565"/>
      <c r="AQ565" s="47"/>
      <c r="AR565" s="45"/>
      <c r="AV565"/>
      <c r="AW565" s="47"/>
      <c r="AX565" s="45"/>
      <c r="BB565"/>
      <c r="BC565" s="47"/>
      <c r="BD565" s="45"/>
    </row>
    <row r="566" spans="37:58" x14ac:dyDescent="0.25">
      <c r="AP566"/>
      <c r="AQ566" s="47"/>
      <c r="AR566" s="45"/>
      <c r="AV566"/>
      <c r="AW566" s="47"/>
      <c r="AX566" s="45"/>
      <c r="BB566"/>
      <c r="BC566" s="47"/>
      <c r="BD566" s="45"/>
    </row>
    <row r="567" spans="37:58" x14ac:dyDescent="0.25">
      <c r="AP567"/>
      <c r="AQ567" s="47"/>
      <c r="AR567" s="45"/>
      <c r="AV567"/>
      <c r="AW567" s="47"/>
      <c r="AX567" s="45"/>
      <c r="BB567"/>
      <c r="BC567" s="47"/>
      <c r="BD567" s="45"/>
    </row>
    <row r="568" spans="37:58" x14ac:dyDescent="0.25">
      <c r="AP568"/>
      <c r="AQ568" s="47"/>
      <c r="AR568" s="45"/>
      <c r="AV568"/>
      <c r="AW568" s="47"/>
      <c r="AX568" s="45"/>
      <c r="BB568"/>
      <c r="BC568" s="47"/>
      <c r="BD568" s="45"/>
    </row>
    <row r="569" spans="37:58" x14ac:dyDescent="0.25">
      <c r="AP569"/>
      <c r="AQ569" s="47"/>
      <c r="AR569" s="45"/>
      <c r="AV569"/>
      <c r="AW569" s="47"/>
      <c r="AX569" s="45"/>
      <c r="BB569"/>
      <c r="BC569" s="47"/>
      <c r="BD569" s="45"/>
    </row>
    <row r="570" spans="37:58" x14ac:dyDescent="0.25">
      <c r="AK570" s="45"/>
      <c r="AL570" s="45"/>
      <c r="AP570"/>
      <c r="AQ570" s="47"/>
      <c r="AR570" s="45"/>
      <c r="AV570"/>
      <c r="AW570" s="47"/>
      <c r="AX570" s="45"/>
      <c r="BB570"/>
      <c r="BC570" s="47"/>
      <c r="BD570" s="45"/>
    </row>
    <row r="571" spans="37:58" x14ac:dyDescent="0.25">
      <c r="AK571" s="45"/>
      <c r="AL571" s="45"/>
      <c r="AP571"/>
      <c r="AQ571" s="47"/>
      <c r="AR571" s="45"/>
      <c r="AV571"/>
      <c r="AW571" s="47"/>
      <c r="AX571" s="45"/>
      <c r="BB571"/>
      <c r="BC571" s="47"/>
      <c r="BD571" s="45"/>
    </row>
    <row r="572" spans="37:58" x14ac:dyDescent="0.25">
      <c r="AK572" s="45"/>
      <c r="AL572" s="45"/>
      <c r="AP572"/>
      <c r="AQ572" s="47"/>
      <c r="AR572" s="45"/>
      <c r="AV572"/>
      <c r="AW572" s="47"/>
      <c r="AX572" s="45"/>
      <c r="BB572"/>
      <c r="BC572" s="47"/>
      <c r="BD572" s="45"/>
    </row>
    <row r="573" spans="37:58" x14ac:dyDescent="0.25">
      <c r="AK573" s="45"/>
      <c r="AL573" s="45"/>
      <c r="AP573"/>
      <c r="AQ573" s="47"/>
      <c r="AR573" s="45"/>
      <c r="AV573"/>
      <c r="AW573" s="47"/>
      <c r="AX573" s="45"/>
      <c r="BB573"/>
      <c r="BC573" s="47"/>
      <c r="BD573" s="45"/>
    </row>
    <row r="574" spans="37:58" x14ac:dyDescent="0.25">
      <c r="AK574" s="45"/>
      <c r="AL574" s="45"/>
      <c r="AP574"/>
      <c r="AQ574" s="47"/>
      <c r="AR574" s="45"/>
      <c r="AV574"/>
      <c r="AW574" s="47"/>
      <c r="AX574" s="45"/>
      <c r="BB574"/>
      <c r="BC574" s="47"/>
      <c r="BD574" s="45"/>
    </row>
    <row r="575" spans="37:58" x14ac:dyDescent="0.25">
      <c r="AK575" s="45"/>
      <c r="AL575" s="45"/>
      <c r="AP575"/>
      <c r="AQ575" s="47"/>
      <c r="AR575" s="45"/>
      <c r="AV575"/>
      <c r="AW575" s="47"/>
      <c r="AX575" s="45"/>
      <c r="BB575"/>
      <c r="BC575" s="47"/>
      <c r="BD575" s="45"/>
    </row>
    <row r="576" spans="37:58" x14ac:dyDescent="0.25">
      <c r="AK576" s="45"/>
      <c r="AL576" s="45"/>
      <c r="AP576"/>
      <c r="AQ576" s="47"/>
      <c r="AR576" s="45"/>
      <c r="AV576"/>
      <c r="AW576" s="47"/>
      <c r="AX576" s="45"/>
      <c r="BB576"/>
      <c r="BC576" s="47"/>
      <c r="BD576" s="45"/>
    </row>
    <row r="577" spans="37:56" x14ac:dyDescent="0.25">
      <c r="AK577" s="45"/>
      <c r="AL577" s="45"/>
      <c r="AP577"/>
      <c r="AQ577" s="47"/>
      <c r="AR577" s="45"/>
      <c r="AV577"/>
      <c r="AW577" s="47"/>
      <c r="AX577" s="45"/>
      <c r="BB577"/>
      <c r="BC577" s="47"/>
      <c r="BD577" s="45"/>
    </row>
    <row r="578" spans="37:56" x14ac:dyDescent="0.25">
      <c r="AK578" s="45"/>
      <c r="AL578" s="45"/>
      <c r="AP578"/>
      <c r="AQ578" s="47"/>
      <c r="AR578" s="45"/>
      <c r="AV578"/>
      <c r="AW578" s="47"/>
      <c r="AX578" s="45"/>
      <c r="BB578"/>
      <c r="BC578" s="47"/>
      <c r="BD578" s="45"/>
    </row>
    <row r="579" spans="37:56" x14ac:dyDescent="0.25">
      <c r="AL579" s="45"/>
      <c r="AP579"/>
      <c r="AQ579" s="47"/>
      <c r="AR579" s="45"/>
      <c r="AV579"/>
      <c r="AW579" s="47"/>
      <c r="AX579" s="45"/>
      <c r="BB579"/>
      <c r="BC579" s="47"/>
      <c r="BD579" s="45"/>
    </row>
    <row r="580" spans="37:56" x14ac:dyDescent="0.25">
      <c r="AK580" s="45"/>
      <c r="AL580" s="45"/>
      <c r="AP580"/>
      <c r="AQ580" s="48"/>
      <c r="AR580" s="45"/>
      <c r="AV580"/>
      <c r="AW580" s="47"/>
      <c r="AX580" s="45"/>
      <c r="BB580"/>
      <c r="BC580" s="47"/>
      <c r="BD580" s="45"/>
    </row>
    <row r="581" spans="37:56" x14ac:dyDescent="0.25">
      <c r="AK581" s="45"/>
      <c r="AL581" s="45"/>
      <c r="AP581"/>
      <c r="AQ581" s="48"/>
      <c r="AR581" s="45"/>
      <c r="AV581"/>
      <c r="AW581" s="47"/>
      <c r="AX581" s="45"/>
      <c r="BB581"/>
      <c r="BC581" s="47"/>
      <c r="BD581" s="45"/>
    </row>
    <row r="582" spans="37:56" x14ac:dyDescent="0.25">
      <c r="AK582" s="45"/>
      <c r="AL582" s="45"/>
      <c r="AP582"/>
      <c r="AQ582" s="48"/>
      <c r="AR582" s="45"/>
      <c r="AV582"/>
      <c r="AW582" s="47"/>
      <c r="AX582" s="45"/>
      <c r="BB582"/>
      <c r="BC582" s="47"/>
      <c r="BD582" s="45"/>
    </row>
    <row r="583" spans="37:56" x14ac:dyDescent="0.25">
      <c r="AK583" s="45"/>
      <c r="AL583" s="45"/>
      <c r="AP583"/>
      <c r="AQ583" s="48"/>
      <c r="AR583" s="45"/>
      <c r="AV583"/>
      <c r="AW583" s="47"/>
      <c r="AX583" s="45"/>
      <c r="BB583"/>
      <c r="BC583" s="47"/>
      <c r="BD583" s="45"/>
    </row>
    <row r="584" spans="37:56" x14ac:dyDescent="0.25">
      <c r="AK584" s="45"/>
      <c r="AL584" s="45"/>
      <c r="AP584"/>
      <c r="AV584"/>
      <c r="AW584" s="47"/>
      <c r="AX584" s="45"/>
      <c r="BB584"/>
      <c r="BC584" s="47"/>
      <c r="BD584" s="45"/>
    </row>
    <row r="585" spans="37:56" x14ac:dyDescent="0.25">
      <c r="AK585" s="45"/>
      <c r="AL585" s="45"/>
      <c r="AP585"/>
      <c r="AV585"/>
      <c r="AW585" s="47"/>
      <c r="AX585" s="45"/>
      <c r="BB585"/>
      <c r="BC585" s="47"/>
      <c r="BD585" s="45"/>
    </row>
    <row r="586" spans="37:56" x14ac:dyDescent="0.25">
      <c r="AK586" s="45"/>
      <c r="AL586" s="45"/>
      <c r="AP586"/>
      <c r="AQ586" s="45"/>
      <c r="AV586"/>
      <c r="AW586" s="47"/>
      <c r="AX586" s="45"/>
      <c r="BB586"/>
      <c r="BC586" s="47"/>
      <c r="BD586" s="45"/>
    </row>
    <row r="587" spans="37:56" x14ac:dyDescent="0.25">
      <c r="AK587" s="45"/>
      <c r="AL587" s="45"/>
      <c r="AP587"/>
      <c r="AQ587" s="45"/>
      <c r="AR587" s="45"/>
      <c r="AS587" s="45"/>
      <c r="AT587" s="45"/>
      <c r="AV587"/>
      <c r="AW587" s="47"/>
      <c r="AX587" s="45"/>
      <c r="BB587"/>
      <c r="BC587" s="47"/>
      <c r="BD587" s="45"/>
    </row>
    <row r="588" spans="37:56" x14ac:dyDescent="0.25">
      <c r="AK588" s="45"/>
      <c r="AL588" s="45"/>
      <c r="AP588"/>
      <c r="AQ588" s="47"/>
      <c r="AR588" s="45"/>
      <c r="AS588" s="45"/>
      <c r="AT588" s="45"/>
      <c r="AV588"/>
      <c r="AW588" s="47"/>
      <c r="AX588" s="45"/>
      <c r="BB588"/>
      <c r="BC588" s="47"/>
      <c r="BD588" s="45"/>
    </row>
    <row r="589" spans="37:56" x14ac:dyDescent="0.25">
      <c r="AK589" s="45"/>
      <c r="AL589" s="45"/>
      <c r="AP589"/>
      <c r="AQ589" s="47"/>
      <c r="AR589" s="45"/>
      <c r="AS589" s="45"/>
      <c r="AT589" s="45"/>
      <c r="AV589"/>
      <c r="AW589" s="47"/>
      <c r="AX589" s="45"/>
      <c r="BB589"/>
      <c r="BC589" s="47"/>
      <c r="BD589" s="45"/>
    </row>
    <row r="590" spans="37:56" x14ac:dyDescent="0.25">
      <c r="AP590"/>
      <c r="AQ590" s="47"/>
      <c r="AR590" s="45"/>
      <c r="AS590" s="45"/>
      <c r="AT590" s="45"/>
      <c r="AV590"/>
      <c r="AW590" s="47"/>
      <c r="AX590" s="45"/>
      <c r="BB590"/>
      <c r="BC590" s="47"/>
      <c r="BD590" s="45"/>
    </row>
    <row r="591" spans="37:56" x14ac:dyDescent="0.25">
      <c r="AP591"/>
      <c r="AQ591" s="47"/>
      <c r="AR591" s="45"/>
      <c r="AS591" s="45"/>
      <c r="AT591" s="45"/>
      <c r="AV591"/>
      <c r="AW591" s="47"/>
      <c r="AX591" s="45"/>
      <c r="BB591"/>
      <c r="BC591" s="47"/>
      <c r="BD591" s="45"/>
    </row>
    <row r="592" spans="37:56" x14ac:dyDescent="0.25">
      <c r="AP592"/>
      <c r="AQ592" s="47"/>
      <c r="AR592" s="45"/>
      <c r="AS592" s="45"/>
      <c r="AT592" s="45"/>
      <c r="AV592"/>
      <c r="AW592" s="47"/>
      <c r="AX592" s="45"/>
      <c r="BB592"/>
      <c r="BC592" s="47"/>
      <c r="BD592" s="45"/>
    </row>
    <row r="593" spans="42:56" x14ac:dyDescent="0.25">
      <c r="AP593"/>
      <c r="AQ593" s="47"/>
      <c r="AR593" s="45"/>
      <c r="AS593" s="45"/>
      <c r="AT593" s="45"/>
      <c r="AV593"/>
      <c r="AW593" s="47"/>
      <c r="AX593" s="45"/>
      <c r="BB593"/>
      <c r="BC593" s="47"/>
      <c r="BD593" s="45"/>
    </row>
    <row r="594" spans="42:56" x14ac:dyDescent="0.25">
      <c r="AP594"/>
      <c r="AQ594" s="47"/>
      <c r="AR594" s="45"/>
      <c r="AS594" s="45"/>
      <c r="AT594" s="45"/>
      <c r="AV594"/>
      <c r="AW594" s="47"/>
      <c r="AX594" s="45"/>
      <c r="BB594"/>
      <c r="BC594" s="47"/>
      <c r="BD594" s="45"/>
    </row>
    <row r="595" spans="42:56" x14ac:dyDescent="0.25">
      <c r="AP595"/>
      <c r="AQ595" s="47"/>
      <c r="AR595" s="45"/>
      <c r="AS595" s="45"/>
      <c r="AT595" s="45"/>
      <c r="AV595"/>
      <c r="AW595" s="47"/>
      <c r="AX595" s="45"/>
      <c r="BB595"/>
      <c r="BC595" s="47"/>
      <c r="BD595" s="45"/>
    </row>
    <row r="596" spans="42:56" x14ac:dyDescent="0.25">
      <c r="AP596"/>
      <c r="AQ596" s="47"/>
      <c r="AR596" s="45"/>
      <c r="AS596" s="45"/>
      <c r="AT596" s="45"/>
      <c r="AV596"/>
      <c r="AW596" s="48"/>
      <c r="AX596" s="45"/>
      <c r="BB596"/>
      <c r="BC596" s="48"/>
      <c r="BD596" s="45"/>
    </row>
    <row r="597" spans="42:56" x14ac:dyDescent="0.25">
      <c r="AP597"/>
      <c r="AQ597" s="47"/>
      <c r="AR597" s="45"/>
      <c r="AS597" s="45"/>
      <c r="AT597" s="45"/>
      <c r="AV597"/>
      <c r="AW597" s="48"/>
      <c r="AX597" s="45"/>
      <c r="BB597"/>
      <c r="BC597" s="48"/>
      <c r="BD597" s="45"/>
    </row>
    <row r="598" spans="42:56" x14ac:dyDescent="0.25">
      <c r="AP598"/>
      <c r="AQ598" s="47"/>
      <c r="AR598" s="45"/>
      <c r="AS598" s="45"/>
      <c r="AT598" s="45"/>
      <c r="AV598"/>
      <c r="AW598" s="48"/>
      <c r="AX598" s="45"/>
      <c r="BB598"/>
      <c r="BC598" s="48"/>
      <c r="BD598" s="45"/>
    </row>
    <row r="599" spans="42:56" x14ac:dyDescent="0.25">
      <c r="AP599"/>
      <c r="AQ599" s="47"/>
      <c r="AR599" s="45"/>
      <c r="AS599" s="45"/>
      <c r="AT599" s="45"/>
      <c r="AV599"/>
      <c r="AW599" s="48"/>
      <c r="AX599" s="45"/>
      <c r="BB599"/>
      <c r="BC599" s="48"/>
      <c r="BD599" s="45"/>
    </row>
    <row r="600" spans="42:56" x14ac:dyDescent="0.25">
      <c r="AP600"/>
      <c r="AQ600" s="48"/>
      <c r="AR600" s="45"/>
      <c r="AV600"/>
      <c r="AW600" s="48"/>
      <c r="AX600" s="45"/>
      <c r="BB600"/>
      <c r="BC600" s="48"/>
      <c r="BD600" s="45"/>
    </row>
    <row r="601" spans="42:56" x14ac:dyDescent="0.25">
      <c r="AP601"/>
      <c r="AQ601" s="47"/>
      <c r="AR601" s="45"/>
      <c r="AV601"/>
      <c r="AW601" s="48"/>
      <c r="AX601" s="45"/>
      <c r="BB601"/>
      <c r="BC601" s="48"/>
      <c r="BD601" s="45"/>
    </row>
    <row r="602" spans="42:56" x14ac:dyDescent="0.25">
      <c r="AP602"/>
      <c r="AQ602" s="47"/>
      <c r="AR602" s="45"/>
      <c r="AV602"/>
      <c r="AW602" s="48"/>
      <c r="AX602" s="45"/>
      <c r="BB602"/>
      <c r="BC602" s="48"/>
      <c r="BD602" s="45"/>
    </row>
    <row r="603" spans="42:56" x14ac:dyDescent="0.25">
      <c r="AP603"/>
      <c r="AQ603" s="47"/>
      <c r="AR603" s="45"/>
      <c r="AV603"/>
      <c r="AW603" s="48"/>
      <c r="AX603" s="45"/>
      <c r="BB603"/>
      <c r="BC603" s="48"/>
      <c r="BD603" s="45"/>
    </row>
    <row r="604" spans="42:56" x14ac:dyDescent="0.25">
      <c r="AP604"/>
      <c r="AQ604" s="47"/>
      <c r="AR604" s="45"/>
      <c r="AV604"/>
      <c r="AW604" s="48"/>
      <c r="AX604" s="45"/>
      <c r="BB604"/>
      <c r="BC604" s="48"/>
      <c r="BD604" s="45"/>
    </row>
    <row r="605" spans="42:56" x14ac:dyDescent="0.25">
      <c r="AP605"/>
      <c r="AQ605" s="47"/>
      <c r="AR605" s="45"/>
      <c r="AV605"/>
      <c r="AW605" s="48"/>
      <c r="AX605" s="45"/>
      <c r="BB605"/>
      <c r="BC605" s="48"/>
      <c r="BD605" s="45"/>
    </row>
    <row r="606" spans="42:56" x14ac:dyDescent="0.25">
      <c r="AP606"/>
      <c r="AQ606" s="47"/>
      <c r="AR606" s="45"/>
      <c r="AV606"/>
      <c r="AW606" s="48"/>
      <c r="AX606" s="45"/>
      <c r="BB606"/>
      <c r="BC606" s="48"/>
      <c r="BD606" s="45"/>
    </row>
    <row r="607" spans="42:56" x14ac:dyDescent="0.25">
      <c r="AP607"/>
      <c r="AQ607" s="47"/>
      <c r="AR607" s="45"/>
      <c r="AV607"/>
      <c r="AW607" s="48"/>
      <c r="AX607" s="45"/>
      <c r="BB607"/>
      <c r="BC607" s="48"/>
      <c r="BD607" s="45"/>
    </row>
    <row r="608" spans="42:56" x14ac:dyDescent="0.25">
      <c r="AP608"/>
      <c r="AQ608" s="47"/>
      <c r="AR608" s="45"/>
      <c r="AV608"/>
      <c r="AW608" s="48"/>
      <c r="AX608" s="45"/>
      <c r="BB608"/>
      <c r="BC608" s="48"/>
      <c r="BD608" s="45"/>
    </row>
    <row r="609" spans="42:56" x14ac:dyDescent="0.25">
      <c r="AP609"/>
      <c r="AQ609" s="47"/>
      <c r="AR609" s="45"/>
      <c r="AV609"/>
      <c r="AW609" s="48"/>
      <c r="AX609" s="45"/>
      <c r="BB609"/>
      <c r="BC609" s="48"/>
      <c r="BD609" s="45"/>
    </row>
    <row r="610" spans="42:56" x14ac:dyDescent="0.25">
      <c r="AP610"/>
      <c r="AQ610" s="47"/>
      <c r="AR610" s="45"/>
      <c r="AV610"/>
      <c r="AW610" s="48"/>
      <c r="AX610" s="45"/>
      <c r="BB610"/>
      <c r="BC610" s="48"/>
      <c r="BD610" s="45"/>
    </row>
    <row r="611" spans="42:56" x14ac:dyDescent="0.25">
      <c r="AP611"/>
      <c r="AQ611" s="47"/>
      <c r="AR611" s="45"/>
      <c r="AV611"/>
      <c r="AW611" s="48"/>
      <c r="AX611" s="45"/>
      <c r="BB611"/>
      <c r="BC611" s="48"/>
      <c r="BD611" s="45"/>
    </row>
    <row r="612" spans="42:56" x14ac:dyDescent="0.25">
      <c r="AP612"/>
      <c r="AQ612" s="47"/>
      <c r="AR612" s="45"/>
      <c r="AV612"/>
      <c r="AW612" s="48"/>
      <c r="AX612" s="45"/>
      <c r="BB612"/>
      <c r="BC612" s="48"/>
      <c r="BD612" s="45"/>
    </row>
    <row r="613" spans="42:56" x14ac:dyDescent="0.25">
      <c r="AP613"/>
      <c r="AQ613" s="47"/>
      <c r="AR613" s="45"/>
      <c r="AV613"/>
      <c r="AW613" s="48"/>
      <c r="AX613" s="45"/>
      <c r="BB613"/>
      <c r="BC613" s="48"/>
      <c r="BD613" s="45"/>
    </row>
    <row r="614" spans="42:56" x14ac:dyDescent="0.25">
      <c r="AP614"/>
      <c r="AQ614" s="47"/>
      <c r="AR614" s="45"/>
      <c r="AV614"/>
      <c r="AW614" s="48"/>
      <c r="AX614" s="45"/>
      <c r="BB614"/>
      <c r="BC614" s="48"/>
      <c r="BD614" s="45"/>
    </row>
    <row r="615" spans="42:56" x14ac:dyDescent="0.25">
      <c r="AP615"/>
      <c r="AQ615" s="47"/>
      <c r="AR615" s="45"/>
      <c r="AV615"/>
      <c r="AW615" s="48"/>
      <c r="AX615" s="45"/>
      <c r="BB615"/>
      <c r="BC615" s="48"/>
      <c r="BD615" s="45"/>
    </row>
    <row r="616" spans="42:56" x14ac:dyDescent="0.25">
      <c r="AP616"/>
      <c r="AQ616" s="47"/>
      <c r="AR616" s="45"/>
      <c r="AV616"/>
      <c r="AW616" s="48"/>
      <c r="AX616" s="45"/>
      <c r="BB616"/>
      <c r="BC616" s="48"/>
      <c r="BD616" s="45"/>
    </row>
    <row r="617" spans="42:56" x14ac:dyDescent="0.25">
      <c r="AP617"/>
      <c r="AQ617" s="47"/>
      <c r="AR617" s="45"/>
      <c r="AV617"/>
      <c r="AW617" s="48"/>
      <c r="AX617" s="45"/>
      <c r="BB617"/>
      <c r="BC617" s="48"/>
      <c r="BD617" s="45"/>
    </row>
    <row r="618" spans="42:56" x14ac:dyDescent="0.25">
      <c r="AP618"/>
      <c r="AQ618" s="47"/>
      <c r="AR618" s="45"/>
      <c r="AV618"/>
      <c r="AW618" s="48"/>
      <c r="AX618" s="45"/>
      <c r="BB618"/>
      <c r="BC618" s="48"/>
      <c r="BD618" s="45"/>
    </row>
    <row r="619" spans="42:56" x14ac:dyDescent="0.25">
      <c r="AP619"/>
      <c r="AQ619" s="47"/>
      <c r="AR619" s="45"/>
      <c r="AV619"/>
      <c r="AW619" s="48"/>
      <c r="AX619" s="45"/>
      <c r="BB619"/>
      <c r="BC619" s="48"/>
      <c r="BD619" s="45"/>
    </row>
    <row r="620" spans="42:56" x14ac:dyDescent="0.25">
      <c r="AP620"/>
      <c r="AQ620" s="47"/>
      <c r="AR620" s="45"/>
      <c r="AV620"/>
      <c r="AW620" s="48"/>
      <c r="AX620" s="45"/>
      <c r="BB620"/>
      <c r="BC620" s="48"/>
      <c r="BD620" s="45"/>
    </row>
    <row r="621" spans="42:56" x14ac:dyDescent="0.25">
      <c r="AP621"/>
      <c r="AQ621" s="47"/>
      <c r="AR621" s="45"/>
      <c r="AV621"/>
      <c r="AW621" s="48"/>
      <c r="AX621" s="45"/>
      <c r="BB621"/>
      <c r="BC621" s="48"/>
      <c r="BD621" s="45"/>
    </row>
    <row r="622" spans="42:56" x14ac:dyDescent="0.25">
      <c r="AP622"/>
      <c r="AQ622" s="47"/>
      <c r="AR622" s="45"/>
      <c r="AV622"/>
      <c r="AW622" s="48"/>
      <c r="AX622" s="45"/>
      <c r="BB622"/>
      <c r="BC622" s="48"/>
      <c r="BD622" s="45"/>
    </row>
    <row r="623" spans="42:56" x14ac:dyDescent="0.25">
      <c r="AP623"/>
      <c r="AQ623" s="47"/>
      <c r="AR623" s="45"/>
      <c r="AV623"/>
      <c r="AW623" s="48"/>
      <c r="AX623" s="45"/>
      <c r="BB623"/>
      <c r="BC623" s="48"/>
      <c r="BD623" s="45"/>
    </row>
    <row r="624" spans="42:56" x14ac:dyDescent="0.25">
      <c r="AP624"/>
      <c r="AQ624" s="47"/>
      <c r="AR624" s="45"/>
      <c r="AV624"/>
      <c r="AW624" s="48"/>
      <c r="AX624" s="45"/>
      <c r="BB624"/>
      <c r="BC624" s="48"/>
      <c r="BD624" s="45"/>
    </row>
    <row r="625" spans="42:58" x14ac:dyDescent="0.25">
      <c r="AP625"/>
      <c r="AQ625" s="47"/>
      <c r="AR625" s="45"/>
      <c r="AV625"/>
      <c r="BB625"/>
    </row>
    <row r="626" spans="42:58" x14ac:dyDescent="0.25">
      <c r="AP626"/>
      <c r="AQ626" s="47"/>
      <c r="AR626" s="45"/>
      <c r="AV626"/>
      <c r="BB626"/>
    </row>
    <row r="627" spans="42:58" x14ac:dyDescent="0.25">
      <c r="AP627"/>
      <c r="AQ627" s="47"/>
      <c r="AR627" s="45"/>
      <c r="AV627"/>
      <c r="AW627" s="45"/>
      <c r="BB627"/>
      <c r="BC627" s="45"/>
    </row>
    <row r="628" spans="42:58" x14ac:dyDescent="0.25">
      <c r="AP628"/>
      <c r="AQ628" s="47"/>
      <c r="AR628" s="45"/>
      <c r="AV628"/>
      <c r="AW628" s="45"/>
      <c r="AX628" s="45"/>
      <c r="AY628" s="45"/>
      <c r="AZ628" s="45"/>
      <c r="BB628"/>
      <c r="BC628" s="45"/>
      <c r="BD628" s="45"/>
      <c r="BE628" s="45"/>
      <c r="BF628" s="45"/>
    </row>
    <row r="629" spans="42:58" x14ac:dyDescent="0.25">
      <c r="AP629"/>
      <c r="AQ629" s="47"/>
      <c r="AR629" s="45"/>
      <c r="AV629"/>
      <c r="AW629" s="47"/>
      <c r="AX629" s="45"/>
      <c r="AY629" s="45"/>
      <c r="AZ629" s="45"/>
      <c r="BB629"/>
      <c r="BC629" s="47"/>
      <c r="BD629" s="45"/>
      <c r="BE629" s="45"/>
      <c r="BF629" s="45"/>
    </row>
    <row r="630" spans="42:58" x14ac:dyDescent="0.25">
      <c r="AP630"/>
      <c r="AQ630" s="47"/>
      <c r="AR630" s="45"/>
      <c r="AV630"/>
      <c r="AW630" s="47"/>
      <c r="AX630" s="45"/>
      <c r="AY630" s="45"/>
      <c r="AZ630" s="45"/>
      <c r="BB630"/>
      <c r="BC630" s="47"/>
      <c r="BD630" s="45"/>
      <c r="BE630" s="45"/>
      <c r="BF630" s="45"/>
    </row>
    <row r="631" spans="42:58" x14ac:dyDescent="0.25">
      <c r="AP631"/>
      <c r="AQ631" s="47"/>
      <c r="AR631" s="45"/>
      <c r="AV631"/>
      <c r="AW631" s="47"/>
      <c r="AX631" s="45"/>
      <c r="AY631" s="45"/>
      <c r="AZ631" s="45"/>
      <c r="BB631"/>
      <c r="BC631" s="47"/>
      <c r="BD631" s="45"/>
      <c r="BE631" s="45"/>
      <c r="BF631" s="45"/>
    </row>
    <row r="632" spans="42:58" x14ac:dyDescent="0.25">
      <c r="AP632"/>
      <c r="AQ632" s="47"/>
      <c r="AR632" s="45"/>
      <c r="AV632"/>
      <c r="AW632" s="47"/>
      <c r="AX632" s="45"/>
      <c r="AY632" s="45"/>
      <c r="AZ632" s="45"/>
      <c r="BB632"/>
      <c r="BC632" s="47"/>
      <c r="BD632" s="45"/>
      <c r="BE632" s="45"/>
      <c r="BF632" s="45"/>
    </row>
    <row r="633" spans="42:58" x14ac:dyDescent="0.25">
      <c r="AP633"/>
      <c r="AQ633" s="48"/>
      <c r="AR633" s="45"/>
      <c r="AV633"/>
      <c r="AW633" s="47"/>
      <c r="AX633" s="45"/>
      <c r="AY633" s="45"/>
      <c r="AZ633" s="45"/>
      <c r="BB633"/>
      <c r="BC633" s="47"/>
      <c r="BD633" s="45"/>
      <c r="BE633" s="45"/>
      <c r="BF633" s="45"/>
    </row>
    <row r="634" spans="42:58" x14ac:dyDescent="0.25">
      <c r="AP634"/>
      <c r="AQ634" s="48"/>
      <c r="AR634" s="45"/>
      <c r="AV634"/>
      <c r="AW634" s="47"/>
      <c r="AX634" s="45"/>
      <c r="AY634" s="45"/>
      <c r="AZ634" s="45"/>
      <c r="BB634"/>
      <c r="BC634" s="47"/>
      <c r="BD634" s="45"/>
      <c r="BE634" s="45"/>
      <c r="BF634" s="45"/>
    </row>
    <row r="635" spans="42:58" x14ac:dyDescent="0.25">
      <c r="AP635"/>
      <c r="AQ635" s="48"/>
      <c r="AR635" s="45"/>
      <c r="AV635"/>
      <c r="AW635" s="47"/>
      <c r="AX635" s="45"/>
      <c r="AY635" s="45"/>
      <c r="AZ635" s="45"/>
      <c r="BB635"/>
      <c r="BC635" s="47"/>
      <c r="BD635" s="45"/>
      <c r="BE635" s="45"/>
      <c r="BF635" s="45"/>
    </row>
    <row r="636" spans="42:58" x14ac:dyDescent="0.25">
      <c r="AP636"/>
      <c r="AQ636" s="48"/>
      <c r="AR636" s="45"/>
      <c r="AV636"/>
      <c r="AW636" s="47"/>
      <c r="AX636" s="45"/>
      <c r="AY636" s="45"/>
      <c r="AZ636" s="45"/>
      <c r="BB636"/>
      <c r="BC636" s="47"/>
      <c r="BD636" s="45"/>
      <c r="BE636" s="45"/>
      <c r="BF636" s="45"/>
    </row>
    <row r="637" spans="42:58" x14ac:dyDescent="0.25">
      <c r="AP637"/>
      <c r="AV637"/>
      <c r="AW637" s="47"/>
      <c r="AX637" s="45"/>
      <c r="AY637" s="45"/>
      <c r="AZ637" s="45"/>
      <c r="BB637"/>
      <c r="BC637" s="47"/>
      <c r="BD637" s="45"/>
      <c r="BE637" s="45"/>
      <c r="BF637" s="45"/>
    </row>
    <row r="638" spans="42:58" x14ac:dyDescent="0.25">
      <c r="AP638"/>
      <c r="AV638"/>
      <c r="AW638" s="47"/>
      <c r="AX638" s="45"/>
      <c r="AY638" s="45"/>
      <c r="AZ638" s="45"/>
      <c r="BB638"/>
      <c r="BC638" s="47"/>
      <c r="BD638" s="45"/>
      <c r="BE638" s="45"/>
      <c r="BF638" s="45"/>
    </row>
    <row r="639" spans="42:58" x14ac:dyDescent="0.25">
      <c r="AP639"/>
      <c r="AQ639" s="45"/>
      <c r="AV639"/>
      <c r="AW639" s="47"/>
      <c r="AX639" s="45"/>
      <c r="AY639" s="45"/>
      <c r="AZ639" s="45"/>
      <c r="BB639"/>
      <c r="BC639" s="47"/>
      <c r="BD639" s="45"/>
      <c r="BE639" s="45"/>
      <c r="BF639" s="45"/>
    </row>
    <row r="640" spans="42:58" x14ac:dyDescent="0.25">
      <c r="AP640"/>
      <c r="AQ640" s="45"/>
      <c r="AR640" s="45"/>
      <c r="AS640" s="45"/>
      <c r="AT640" s="45"/>
      <c r="AV640"/>
      <c r="AW640" s="47"/>
      <c r="AX640" s="45"/>
      <c r="AY640" s="45"/>
      <c r="AZ640" s="45"/>
      <c r="BB640"/>
      <c r="BC640" s="47"/>
      <c r="BD640" s="45"/>
      <c r="BE640" s="45"/>
      <c r="BF640" s="45"/>
    </row>
    <row r="641" spans="42:56" x14ac:dyDescent="0.25">
      <c r="AP641"/>
      <c r="AQ641" s="47"/>
      <c r="AR641" s="45"/>
      <c r="AS641" s="45"/>
      <c r="AT641" s="45"/>
      <c r="AV641"/>
      <c r="AW641" s="48"/>
      <c r="AX641" s="45"/>
      <c r="BB641"/>
      <c r="BC641" s="48"/>
      <c r="BD641" s="45"/>
    </row>
    <row r="642" spans="42:56" x14ac:dyDescent="0.25">
      <c r="AP642"/>
      <c r="AQ642" s="47"/>
      <c r="AR642" s="45"/>
      <c r="AS642" s="45"/>
      <c r="AT642" s="45"/>
      <c r="AV642"/>
      <c r="AW642" s="47"/>
      <c r="AX642" s="45"/>
      <c r="BB642"/>
      <c r="BC642" s="47"/>
      <c r="BD642" s="45"/>
    </row>
    <row r="643" spans="42:56" x14ac:dyDescent="0.25">
      <c r="AP643"/>
      <c r="AQ643" s="47"/>
      <c r="AR643" s="45"/>
      <c r="AS643" s="45"/>
      <c r="AT643" s="45"/>
      <c r="AV643"/>
      <c r="AW643" s="47"/>
      <c r="AX643" s="45"/>
      <c r="BB643"/>
      <c r="BC643" s="47"/>
      <c r="BD643" s="45"/>
    </row>
    <row r="644" spans="42:56" x14ac:dyDescent="0.25">
      <c r="AP644"/>
      <c r="AQ644" s="47"/>
      <c r="AR644" s="45"/>
      <c r="AS644" s="45"/>
      <c r="AT644" s="45"/>
      <c r="AV644"/>
      <c r="AW644" s="47"/>
      <c r="AX644" s="45"/>
      <c r="BB644"/>
      <c r="BC644" s="47"/>
      <c r="BD644" s="45"/>
    </row>
    <row r="645" spans="42:56" x14ac:dyDescent="0.25">
      <c r="AP645"/>
      <c r="AQ645" s="47"/>
      <c r="AR645" s="45"/>
      <c r="AS645" s="45"/>
      <c r="AT645" s="45"/>
      <c r="AV645"/>
      <c r="AW645" s="47"/>
      <c r="AX645" s="45"/>
      <c r="BB645"/>
      <c r="BC645" s="47"/>
      <c r="BD645" s="45"/>
    </row>
    <row r="646" spans="42:56" x14ac:dyDescent="0.25">
      <c r="AP646"/>
      <c r="AQ646" s="47"/>
      <c r="AR646" s="45"/>
      <c r="AS646" s="45"/>
      <c r="AT646" s="45"/>
      <c r="AV646"/>
      <c r="AW646" s="47"/>
      <c r="AX646" s="45"/>
      <c r="BB646"/>
      <c r="BC646" s="47"/>
      <c r="BD646" s="45"/>
    </row>
    <row r="647" spans="42:56" x14ac:dyDescent="0.25">
      <c r="AP647"/>
      <c r="AQ647" s="47"/>
      <c r="AR647" s="45"/>
      <c r="AS647" s="45"/>
      <c r="AT647" s="45"/>
      <c r="AV647"/>
      <c r="AW647" s="47"/>
      <c r="AX647" s="45"/>
      <c r="BB647"/>
      <c r="BC647" s="47"/>
      <c r="BD647" s="45"/>
    </row>
    <row r="648" spans="42:56" x14ac:dyDescent="0.25">
      <c r="AP648"/>
      <c r="AQ648" s="47"/>
      <c r="AR648" s="45"/>
      <c r="AS648" s="45"/>
      <c r="AT648" s="45"/>
      <c r="AV648"/>
      <c r="AW648" s="47"/>
      <c r="AX648" s="45"/>
      <c r="BB648"/>
      <c r="BC648" s="47"/>
      <c r="BD648" s="45"/>
    </row>
    <row r="649" spans="42:56" x14ac:dyDescent="0.25">
      <c r="AP649"/>
      <c r="AQ649" s="47"/>
      <c r="AR649" s="45"/>
      <c r="AS649" s="45"/>
      <c r="AT649" s="45"/>
      <c r="AV649"/>
      <c r="AW649" s="47"/>
      <c r="AX649" s="45"/>
      <c r="BB649"/>
      <c r="BC649" s="47"/>
      <c r="BD649" s="45"/>
    </row>
    <row r="650" spans="42:56" x14ac:dyDescent="0.25">
      <c r="AP650"/>
      <c r="AQ650" s="47"/>
      <c r="AR650" s="45"/>
      <c r="AS650" s="45"/>
      <c r="AT650" s="45"/>
      <c r="AV650"/>
      <c r="AW650" s="47"/>
      <c r="AX650" s="45"/>
      <c r="BB650"/>
      <c r="BC650" s="47"/>
      <c r="BD650" s="45"/>
    </row>
    <row r="651" spans="42:56" x14ac:dyDescent="0.25">
      <c r="AP651"/>
      <c r="AQ651" s="47"/>
      <c r="AR651" s="45"/>
      <c r="AS651" s="45"/>
      <c r="AT651" s="45"/>
      <c r="AV651"/>
      <c r="AW651" s="47"/>
      <c r="AX651" s="45"/>
      <c r="BB651"/>
      <c r="BC651" s="47"/>
      <c r="BD651" s="45"/>
    </row>
    <row r="652" spans="42:56" x14ac:dyDescent="0.25">
      <c r="AP652"/>
      <c r="AQ652" s="47"/>
      <c r="AR652" s="45"/>
      <c r="AS652" s="45"/>
      <c r="AT652" s="45"/>
      <c r="AV652"/>
      <c r="AW652" s="47"/>
      <c r="AX652" s="45"/>
      <c r="BB652"/>
      <c r="BC652" s="47"/>
      <c r="BD652" s="45"/>
    </row>
    <row r="653" spans="42:56" x14ac:dyDescent="0.25">
      <c r="AP653"/>
      <c r="AQ653" s="48"/>
      <c r="AR653" s="45"/>
      <c r="AV653"/>
      <c r="AW653" s="47"/>
      <c r="AX653" s="45"/>
      <c r="BB653"/>
      <c r="BC653" s="47"/>
      <c r="BD653" s="45"/>
    </row>
    <row r="654" spans="42:56" x14ac:dyDescent="0.25">
      <c r="AP654"/>
      <c r="AQ654" s="47"/>
      <c r="AR654" s="45"/>
      <c r="AV654"/>
      <c r="AW654" s="47"/>
      <c r="AX654" s="45"/>
      <c r="BB654"/>
      <c r="BC654" s="47"/>
      <c r="BD654" s="45"/>
    </row>
    <row r="655" spans="42:56" x14ac:dyDescent="0.25">
      <c r="AP655"/>
      <c r="AQ655" s="47"/>
      <c r="AR655" s="45"/>
      <c r="AV655"/>
      <c r="AW655" s="47"/>
      <c r="AX655" s="45"/>
      <c r="BB655"/>
      <c r="BC655" s="47"/>
      <c r="BD655" s="45"/>
    </row>
    <row r="656" spans="42:56" x14ac:dyDescent="0.25">
      <c r="AP656"/>
      <c r="AQ656" s="47"/>
      <c r="AR656" s="45"/>
      <c r="AV656"/>
      <c r="AW656" s="47"/>
      <c r="AX656" s="45"/>
      <c r="BB656"/>
      <c r="BC656" s="47"/>
      <c r="BD656" s="45"/>
    </row>
    <row r="657" spans="42:56" x14ac:dyDescent="0.25">
      <c r="AP657"/>
      <c r="AQ657" s="47"/>
      <c r="AR657" s="45"/>
      <c r="AV657"/>
      <c r="AW657" s="47"/>
      <c r="AX657" s="45"/>
      <c r="BB657"/>
      <c r="BC657" s="47"/>
      <c r="BD657" s="45"/>
    </row>
    <row r="658" spans="42:56" x14ac:dyDescent="0.25">
      <c r="AP658"/>
      <c r="AQ658" s="47"/>
      <c r="AR658" s="45"/>
      <c r="AV658"/>
      <c r="AW658" s="47"/>
      <c r="AX658" s="45"/>
      <c r="BB658"/>
      <c r="BC658" s="47"/>
      <c r="BD658" s="45"/>
    </row>
    <row r="659" spans="42:56" x14ac:dyDescent="0.25">
      <c r="AP659"/>
      <c r="AQ659" s="47"/>
      <c r="AR659" s="45"/>
      <c r="AV659"/>
      <c r="AW659" s="47"/>
      <c r="AX659" s="45"/>
      <c r="BB659"/>
      <c r="BC659" s="47"/>
      <c r="BD659" s="45"/>
    </row>
    <row r="660" spans="42:56" x14ac:dyDescent="0.25">
      <c r="AP660"/>
      <c r="AQ660" s="47"/>
      <c r="AR660" s="45"/>
      <c r="AV660"/>
      <c r="AW660" s="47"/>
      <c r="AX660" s="45"/>
      <c r="BB660"/>
      <c r="BC660" s="47"/>
      <c r="BD660" s="45"/>
    </row>
    <row r="661" spans="42:56" x14ac:dyDescent="0.25">
      <c r="AP661"/>
      <c r="AQ661" s="47"/>
      <c r="AR661" s="45"/>
      <c r="AV661"/>
      <c r="AW661" s="47"/>
      <c r="AX661" s="45"/>
      <c r="BB661"/>
      <c r="BC661" s="47"/>
      <c r="BD661" s="45"/>
    </row>
    <row r="662" spans="42:56" x14ac:dyDescent="0.25">
      <c r="AP662"/>
      <c r="AQ662" s="47"/>
      <c r="AR662" s="45"/>
      <c r="AV662"/>
      <c r="AW662" s="47"/>
      <c r="AX662" s="45"/>
      <c r="BB662"/>
      <c r="BC662" s="47"/>
      <c r="BD662" s="45"/>
    </row>
    <row r="663" spans="42:56" x14ac:dyDescent="0.25">
      <c r="AP663"/>
      <c r="AQ663" s="47"/>
      <c r="AR663" s="45"/>
      <c r="AV663"/>
      <c r="AW663" s="47"/>
      <c r="AX663" s="45"/>
      <c r="BB663"/>
      <c r="BC663" s="47"/>
      <c r="BD663" s="45"/>
    </row>
    <row r="664" spans="42:56" x14ac:dyDescent="0.25">
      <c r="AP664"/>
      <c r="AQ664" s="47"/>
      <c r="AR664" s="45"/>
      <c r="AV664"/>
      <c r="AW664" s="47"/>
      <c r="AX664" s="45"/>
      <c r="BB664"/>
      <c r="BC664" s="47"/>
      <c r="BD664" s="45"/>
    </row>
    <row r="665" spans="42:56" x14ac:dyDescent="0.25">
      <c r="AP665"/>
      <c r="AQ665" s="47"/>
      <c r="AR665" s="45"/>
      <c r="AV665"/>
      <c r="AW665" s="47"/>
      <c r="AX665" s="45"/>
      <c r="BB665"/>
      <c r="BC665" s="47"/>
      <c r="BD665" s="45"/>
    </row>
    <row r="666" spans="42:56" x14ac:dyDescent="0.25">
      <c r="AP666"/>
      <c r="AQ666" s="47"/>
      <c r="AR666" s="45"/>
      <c r="AV666"/>
      <c r="AW666" s="47"/>
      <c r="AX666" s="45"/>
      <c r="BB666"/>
      <c r="BC666" s="47"/>
      <c r="BD666" s="45"/>
    </row>
    <row r="667" spans="42:56" x14ac:dyDescent="0.25">
      <c r="AP667"/>
      <c r="AQ667" s="47"/>
      <c r="AR667" s="45"/>
      <c r="AV667"/>
      <c r="AW667" s="47"/>
      <c r="AX667" s="45"/>
      <c r="BB667"/>
      <c r="BC667" s="47"/>
      <c r="BD667" s="45"/>
    </row>
    <row r="668" spans="42:56" x14ac:dyDescent="0.25">
      <c r="AP668"/>
      <c r="AQ668" s="47"/>
      <c r="AR668" s="45"/>
      <c r="AV668"/>
      <c r="AW668" s="47"/>
      <c r="AX668" s="45"/>
      <c r="BB668"/>
      <c r="BC668" s="47"/>
      <c r="BD668" s="45"/>
    </row>
    <row r="669" spans="42:56" x14ac:dyDescent="0.25">
      <c r="AP669"/>
      <c r="AQ669" s="47"/>
      <c r="AR669" s="45"/>
      <c r="AV669"/>
      <c r="AW669" s="47"/>
      <c r="AX669" s="45"/>
      <c r="BB669"/>
      <c r="BC669" s="47"/>
      <c r="BD669" s="45"/>
    </row>
    <row r="670" spans="42:56" x14ac:dyDescent="0.25">
      <c r="AP670"/>
      <c r="AQ670" s="47"/>
      <c r="AR670" s="45"/>
      <c r="AV670"/>
      <c r="AW670" s="47"/>
      <c r="AX670" s="45"/>
      <c r="BB670"/>
      <c r="BC670" s="47"/>
      <c r="BD670" s="45"/>
    </row>
    <row r="671" spans="42:56" x14ac:dyDescent="0.25">
      <c r="AP671"/>
      <c r="AQ671" s="47"/>
      <c r="AR671" s="45"/>
      <c r="AV671"/>
      <c r="AW671" s="47"/>
      <c r="AX671" s="45"/>
      <c r="BB671"/>
      <c r="BC671" s="47"/>
      <c r="BD671" s="45"/>
    </row>
    <row r="672" spans="42:56" x14ac:dyDescent="0.25">
      <c r="AP672"/>
      <c r="AQ672" s="47"/>
      <c r="AR672" s="45"/>
      <c r="AV672"/>
      <c r="AW672" s="47"/>
      <c r="AX672" s="45"/>
      <c r="BB672"/>
      <c r="BC672" s="47"/>
      <c r="BD672" s="45"/>
    </row>
    <row r="673" spans="42:56" x14ac:dyDescent="0.25">
      <c r="AP673"/>
      <c r="AQ673" s="47"/>
      <c r="AR673" s="45"/>
      <c r="AV673"/>
      <c r="AW673" s="47"/>
      <c r="AX673" s="45"/>
      <c r="BB673"/>
      <c r="BC673" s="47"/>
      <c r="BD673" s="45"/>
    </row>
    <row r="674" spans="42:56" x14ac:dyDescent="0.25">
      <c r="AP674"/>
      <c r="AQ674" s="47"/>
      <c r="AR674" s="45"/>
      <c r="AV674"/>
      <c r="AW674" s="48"/>
      <c r="AX674" s="45"/>
      <c r="BB674"/>
      <c r="BC674" s="48"/>
      <c r="BD674" s="45"/>
    </row>
    <row r="675" spans="42:56" x14ac:dyDescent="0.25">
      <c r="AP675"/>
      <c r="AQ675" s="47"/>
      <c r="AR675" s="45"/>
      <c r="AV675"/>
      <c r="AW675" s="48"/>
      <c r="AX675" s="45"/>
      <c r="BB675"/>
      <c r="BC675" s="48"/>
      <c r="BD675" s="45"/>
    </row>
    <row r="676" spans="42:56" x14ac:dyDescent="0.25">
      <c r="AP676"/>
      <c r="AQ676" s="47"/>
      <c r="AR676" s="45"/>
      <c r="AV676"/>
      <c r="AW676" s="48"/>
      <c r="AX676" s="45"/>
      <c r="BB676"/>
      <c r="BC676" s="48"/>
      <c r="BD676" s="45"/>
    </row>
    <row r="677" spans="42:56" x14ac:dyDescent="0.25">
      <c r="AP677"/>
      <c r="AQ677" s="47"/>
      <c r="AR677" s="45"/>
      <c r="AV677"/>
      <c r="AW677" s="48"/>
      <c r="AX677" s="45"/>
      <c r="BB677"/>
      <c r="BC677" s="48"/>
      <c r="BD677" s="45"/>
    </row>
    <row r="678" spans="42:56" x14ac:dyDescent="0.25">
      <c r="AP678"/>
      <c r="AQ678" s="47"/>
      <c r="AR678" s="45"/>
      <c r="AV678"/>
      <c r="AW678" s="48"/>
      <c r="AX678" s="45"/>
      <c r="BB678"/>
      <c r="BC678" s="48"/>
      <c r="BD678" s="45"/>
    </row>
    <row r="679" spans="42:56" x14ac:dyDescent="0.25">
      <c r="AP679"/>
      <c r="AQ679" s="47"/>
      <c r="AR679" s="45"/>
      <c r="AV679"/>
      <c r="AW679" s="48"/>
      <c r="AX679" s="45"/>
      <c r="BB679"/>
      <c r="BC679" s="48"/>
      <c r="BD679" s="45"/>
    </row>
    <row r="680" spans="42:56" x14ac:dyDescent="0.25">
      <c r="AP680"/>
      <c r="AQ680" s="47"/>
      <c r="AR680" s="45"/>
      <c r="AV680"/>
      <c r="AW680" s="48"/>
      <c r="AX680" s="45"/>
      <c r="BB680"/>
      <c r="BC680" s="48"/>
      <c r="BD680" s="45"/>
    </row>
    <row r="681" spans="42:56" x14ac:dyDescent="0.25">
      <c r="AP681"/>
      <c r="AQ681" s="47"/>
      <c r="AR681" s="45"/>
      <c r="AV681"/>
      <c r="AW681" s="48"/>
      <c r="AX681" s="45"/>
      <c r="BB681"/>
      <c r="BC681" s="48"/>
      <c r="BD681" s="45"/>
    </row>
    <row r="682" spans="42:56" x14ac:dyDescent="0.25">
      <c r="AP682"/>
      <c r="AQ682" s="47"/>
      <c r="AR682" s="45"/>
      <c r="AV682"/>
      <c r="AW682" s="48"/>
      <c r="AX682" s="45"/>
      <c r="BB682"/>
      <c r="BC682" s="48"/>
      <c r="BD682" s="45"/>
    </row>
    <row r="683" spans="42:56" x14ac:dyDescent="0.25">
      <c r="AP683"/>
      <c r="AQ683" s="47"/>
      <c r="AR683" s="45"/>
      <c r="AV683"/>
      <c r="AW683" s="48"/>
      <c r="AX683" s="45"/>
      <c r="BB683"/>
      <c r="BC683" s="48"/>
      <c r="BD683" s="45"/>
    </row>
    <row r="684" spans="42:56" x14ac:dyDescent="0.25">
      <c r="AP684"/>
      <c r="AQ684" s="47"/>
      <c r="AR684" s="45"/>
      <c r="AV684"/>
      <c r="AW684" s="48"/>
      <c r="AX684" s="45"/>
      <c r="BB684"/>
      <c r="BC684" s="48"/>
      <c r="BD684" s="45"/>
    </row>
    <row r="685" spans="42:56" x14ac:dyDescent="0.25">
      <c r="AP685"/>
      <c r="AQ685" s="47"/>
      <c r="AR685" s="45"/>
      <c r="AV685"/>
      <c r="AW685" s="48"/>
      <c r="AX685" s="45"/>
      <c r="BB685"/>
      <c r="BC685" s="48"/>
      <c r="BD685" s="45"/>
    </row>
    <row r="686" spans="42:56" x14ac:dyDescent="0.25">
      <c r="AP686"/>
      <c r="AQ686" s="48"/>
      <c r="AR686" s="45"/>
      <c r="AV686"/>
      <c r="AW686" s="48"/>
      <c r="AX686" s="45"/>
      <c r="BB686"/>
      <c r="BC686" s="48"/>
      <c r="BD686" s="45"/>
    </row>
    <row r="687" spans="42:56" x14ac:dyDescent="0.25">
      <c r="AP687"/>
      <c r="AQ687" s="48"/>
      <c r="AR687" s="45"/>
      <c r="AV687"/>
      <c r="AW687" s="48"/>
      <c r="AX687" s="45"/>
      <c r="BB687"/>
      <c r="BC687" s="48"/>
      <c r="BD687" s="45"/>
    </row>
    <row r="688" spans="42:56" x14ac:dyDescent="0.25">
      <c r="AP688"/>
      <c r="AQ688" s="48"/>
      <c r="AR688" s="45"/>
      <c r="AV688"/>
      <c r="AW688" s="48"/>
      <c r="AX688" s="45"/>
      <c r="BB688"/>
      <c r="BC688" s="48"/>
      <c r="BD688" s="45"/>
    </row>
    <row r="689" spans="42:56" x14ac:dyDescent="0.25">
      <c r="AP689"/>
      <c r="AQ689" s="48"/>
      <c r="AR689" s="45"/>
      <c r="AV689"/>
      <c r="AW689" s="48"/>
      <c r="AX689" s="45"/>
      <c r="BB689"/>
      <c r="BC689" s="48"/>
      <c r="BD689" s="45"/>
    </row>
    <row r="690" spans="42:56" x14ac:dyDescent="0.25">
      <c r="AP690"/>
      <c r="AV690"/>
      <c r="AW690" s="48"/>
      <c r="AX690" s="45"/>
      <c r="BB690"/>
      <c r="BC690" s="48"/>
      <c r="BD690" s="45"/>
    </row>
    <row r="691" spans="42:56" x14ac:dyDescent="0.25">
      <c r="AP691"/>
      <c r="AV691"/>
      <c r="AW691" s="48"/>
      <c r="AX691" s="45"/>
      <c r="BB691"/>
      <c r="BC691" s="48"/>
      <c r="BD691" s="45"/>
    </row>
    <row r="692" spans="42:56" x14ac:dyDescent="0.25">
      <c r="AP692"/>
      <c r="AV692"/>
      <c r="AW692" s="48"/>
      <c r="AX692" s="45"/>
      <c r="BB692"/>
      <c r="BC692" s="48"/>
      <c r="BD692" s="45"/>
    </row>
    <row r="693" spans="42:56" x14ac:dyDescent="0.25">
      <c r="AP693"/>
      <c r="AV693"/>
      <c r="AW693" s="48"/>
      <c r="AX693" s="45"/>
      <c r="BB693"/>
      <c r="BC693" s="48"/>
      <c r="BD693" s="45"/>
    </row>
    <row r="694" spans="42:56" x14ac:dyDescent="0.25">
      <c r="AP694"/>
      <c r="AV694"/>
      <c r="AW694" s="48"/>
      <c r="AX694" s="45"/>
      <c r="BB694"/>
      <c r="BC694" s="48"/>
      <c r="BD694" s="45"/>
    </row>
    <row r="695" spans="42:56" x14ac:dyDescent="0.25">
      <c r="AP695"/>
      <c r="AV695"/>
      <c r="AW695" s="48"/>
      <c r="AX695" s="45"/>
      <c r="BB695"/>
      <c r="BC695" s="48"/>
      <c r="BD695" s="45"/>
    </row>
    <row r="696" spans="42:56" x14ac:dyDescent="0.25">
      <c r="AP696"/>
      <c r="AV696"/>
      <c r="AW696" s="48"/>
      <c r="AX696" s="45"/>
      <c r="BB696"/>
      <c r="BC696" s="48"/>
      <c r="BD696" s="45"/>
    </row>
    <row r="697" spans="42:56" x14ac:dyDescent="0.25">
      <c r="AP697"/>
      <c r="AV697"/>
      <c r="AW697" s="48"/>
      <c r="AX697" s="45"/>
      <c r="BB697"/>
      <c r="BC697" s="48"/>
      <c r="BD697" s="45"/>
    </row>
    <row r="698" spans="42:56" x14ac:dyDescent="0.25">
      <c r="AP698"/>
      <c r="AV698"/>
      <c r="AW698" s="48"/>
      <c r="AX698" s="45"/>
      <c r="BB698"/>
      <c r="BC698" s="48"/>
      <c r="BD698" s="45"/>
    </row>
    <row r="699" spans="42:56" x14ac:dyDescent="0.25">
      <c r="AP699"/>
      <c r="AV699"/>
      <c r="AW699" s="48"/>
      <c r="AX699" s="45"/>
      <c r="BB699"/>
      <c r="BC699" s="48"/>
      <c r="BD699" s="45"/>
    </row>
    <row r="700" spans="42:56" x14ac:dyDescent="0.25">
      <c r="AP700"/>
      <c r="AV700"/>
      <c r="AW700" s="48"/>
      <c r="AX700" s="45"/>
      <c r="BB700"/>
      <c r="BC700" s="48"/>
      <c r="BD700" s="45"/>
    </row>
    <row r="701" spans="42:56" x14ac:dyDescent="0.25">
      <c r="AP701"/>
      <c r="AV701"/>
      <c r="AW701" s="48"/>
      <c r="AX701" s="45"/>
      <c r="BB701"/>
      <c r="BC701" s="48"/>
      <c r="BD701" s="45"/>
    </row>
    <row r="702" spans="42:56" x14ac:dyDescent="0.25">
      <c r="AP702"/>
      <c r="AV702"/>
      <c r="AW702" s="48"/>
      <c r="AX702" s="45"/>
      <c r="BB702"/>
      <c r="BC702" s="48"/>
      <c r="BD702" s="45"/>
    </row>
    <row r="703" spans="42:56" x14ac:dyDescent="0.25">
      <c r="AP703"/>
      <c r="AV703"/>
      <c r="BB703"/>
    </row>
    <row r="704" spans="42:56" x14ac:dyDescent="0.25">
      <c r="AP704"/>
      <c r="AV704"/>
      <c r="BB704"/>
    </row>
    <row r="705" spans="42:58" x14ac:dyDescent="0.25">
      <c r="AP705"/>
      <c r="AV705"/>
      <c r="AW705" s="45"/>
      <c r="BB705"/>
      <c r="BC705" s="45"/>
    </row>
    <row r="706" spans="42:58" x14ac:dyDescent="0.25">
      <c r="AP706"/>
      <c r="AV706"/>
      <c r="AW706" s="45"/>
      <c r="AX706" s="45"/>
      <c r="AY706" s="45"/>
      <c r="AZ706" s="45"/>
      <c r="BB706"/>
      <c r="BC706" s="45"/>
      <c r="BD706" s="45"/>
      <c r="BE706" s="45"/>
      <c r="BF706" s="45"/>
    </row>
    <row r="707" spans="42:58" x14ac:dyDescent="0.25">
      <c r="AP707"/>
      <c r="AV707"/>
      <c r="AW707" s="47"/>
      <c r="AX707" s="45"/>
      <c r="AY707" s="45"/>
      <c r="AZ707" s="45"/>
      <c r="BB707"/>
      <c r="BC707" s="47"/>
      <c r="BD707" s="45"/>
      <c r="BE707" s="45"/>
      <c r="BF707" s="45"/>
    </row>
    <row r="708" spans="42:58" x14ac:dyDescent="0.25">
      <c r="AP708"/>
      <c r="AV708"/>
      <c r="AW708" s="47"/>
      <c r="AX708" s="45"/>
      <c r="AY708" s="45"/>
      <c r="AZ708" s="45"/>
      <c r="BB708"/>
      <c r="BC708" s="47"/>
      <c r="BD708" s="45"/>
      <c r="BE708" s="45"/>
      <c r="BF708" s="45"/>
    </row>
    <row r="709" spans="42:58" x14ac:dyDescent="0.25">
      <c r="AP709"/>
      <c r="AV709"/>
      <c r="AW709" s="47"/>
      <c r="AX709" s="45"/>
      <c r="AY709" s="45"/>
      <c r="AZ709" s="45"/>
      <c r="BB709"/>
      <c r="BC709" s="47"/>
      <c r="BD709" s="45"/>
      <c r="BE709" s="45"/>
      <c r="BF709" s="45"/>
    </row>
    <row r="710" spans="42:58" x14ac:dyDescent="0.25">
      <c r="AP710"/>
      <c r="AV710"/>
      <c r="AW710" s="47"/>
      <c r="AX710" s="45"/>
      <c r="AY710" s="45"/>
      <c r="AZ710" s="45"/>
      <c r="BB710"/>
      <c r="BC710" s="47"/>
      <c r="BD710" s="45"/>
      <c r="BE710" s="45"/>
      <c r="BF710" s="45"/>
    </row>
    <row r="711" spans="42:58" x14ac:dyDescent="0.25">
      <c r="AP711"/>
      <c r="AV711"/>
      <c r="AW711" s="47"/>
      <c r="AX711" s="45"/>
      <c r="AY711" s="45"/>
      <c r="AZ711" s="45"/>
      <c r="BB711"/>
      <c r="BC711" s="47"/>
      <c r="BD711" s="45"/>
      <c r="BE711" s="45"/>
      <c r="BF711" s="45"/>
    </row>
    <row r="712" spans="42:58" x14ac:dyDescent="0.25">
      <c r="AP712"/>
      <c r="AV712"/>
      <c r="AW712" s="47"/>
      <c r="AX712" s="45"/>
      <c r="AY712" s="45"/>
      <c r="AZ712" s="45"/>
      <c r="BB712"/>
      <c r="BC712" s="47"/>
      <c r="BD712" s="45"/>
      <c r="BE712" s="45"/>
      <c r="BF712" s="45"/>
    </row>
    <row r="713" spans="42:58" x14ac:dyDescent="0.25">
      <c r="AP713"/>
      <c r="AV713"/>
      <c r="AW713" s="47"/>
      <c r="AX713" s="45"/>
      <c r="AY713" s="45"/>
      <c r="AZ713" s="45"/>
      <c r="BB713"/>
      <c r="BC713" s="47"/>
      <c r="BD713" s="45"/>
      <c r="BE713" s="45"/>
      <c r="BF713" s="45"/>
    </row>
    <row r="714" spans="42:58" x14ac:dyDescent="0.25">
      <c r="AP714"/>
      <c r="AV714"/>
      <c r="AW714" s="47"/>
      <c r="AX714" s="45"/>
      <c r="AY714" s="45"/>
      <c r="AZ714" s="45"/>
      <c r="BB714"/>
      <c r="BC714" s="47"/>
      <c r="BD714" s="45"/>
      <c r="BE714" s="45"/>
      <c r="BF714" s="45"/>
    </row>
    <row r="715" spans="42:58" x14ac:dyDescent="0.25">
      <c r="AP715"/>
      <c r="AV715"/>
      <c r="AW715" s="47"/>
      <c r="AX715" s="45"/>
      <c r="AY715" s="45"/>
      <c r="AZ715" s="45"/>
      <c r="BB715"/>
      <c r="BC715" s="47"/>
      <c r="BD715" s="45"/>
      <c r="BE715" s="45"/>
      <c r="BF715" s="45"/>
    </row>
    <row r="716" spans="42:58" x14ac:dyDescent="0.25">
      <c r="AP716"/>
      <c r="AV716"/>
      <c r="AW716" s="47"/>
      <c r="AX716" s="45"/>
      <c r="AY716" s="45"/>
      <c r="AZ716" s="45"/>
      <c r="BB716"/>
      <c r="BC716" s="47"/>
      <c r="BD716" s="45"/>
      <c r="BE716" s="45"/>
      <c r="BF716" s="45"/>
    </row>
    <row r="717" spans="42:58" x14ac:dyDescent="0.25">
      <c r="AP717"/>
      <c r="AV717"/>
      <c r="AW717" s="47"/>
      <c r="AX717" s="45"/>
      <c r="AY717" s="45"/>
      <c r="AZ717" s="45"/>
      <c r="BB717"/>
      <c r="BC717" s="47"/>
      <c r="BD717" s="45"/>
      <c r="BE717" s="45"/>
      <c r="BF717" s="45"/>
    </row>
    <row r="718" spans="42:58" x14ac:dyDescent="0.25">
      <c r="AP718"/>
      <c r="AV718"/>
      <c r="AW718" s="47"/>
      <c r="AX718" s="45"/>
      <c r="AY718" s="45"/>
      <c r="AZ718" s="45"/>
      <c r="BB718"/>
      <c r="BC718" s="47"/>
      <c r="BD718" s="45"/>
      <c r="BE718" s="45"/>
      <c r="BF718" s="45"/>
    </row>
    <row r="719" spans="42:58" x14ac:dyDescent="0.25">
      <c r="AP719"/>
      <c r="AV719"/>
      <c r="AW719" s="48"/>
      <c r="AX719" s="45"/>
      <c r="BB719"/>
      <c r="BC719" s="48"/>
      <c r="BD719" s="45"/>
    </row>
    <row r="720" spans="42:58" x14ac:dyDescent="0.25">
      <c r="AP720"/>
      <c r="AV720"/>
      <c r="AW720" s="47"/>
      <c r="AX720" s="45"/>
      <c r="BB720"/>
      <c r="BC720" s="47"/>
      <c r="BD720" s="45"/>
    </row>
    <row r="721" spans="42:56" x14ac:dyDescent="0.25">
      <c r="AP721"/>
      <c r="AV721"/>
      <c r="AW721" s="47"/>
      <c r="AX721" s="45"/>
      <c r="BB721"/>
      <c r="BC721" s="47"/>
      <c r="BD721" s="45"/>
    </row>
    <row r="722" spans="42:56" x14ac:dyDescent="0.25">
      <c r="AP722"/>
      <c r="AV722"/>
      <c r="AW722" s="47"/>
      <c r="AX722" s="45"/>
      <c r="BB722"/>
      <c r="BC722" s="47"/>
      <c r="BD722" s="45"/>
    </row>
    <row r="723" spans="42:56" x14ac:dyDescent="0.25">
      <c r="AP723"/>
      <c r="AV723"/>
      <c r="AW723" s="47"/>
      <c r="AX723" s="45"/>
      <c r="BB723"/>
      <c r="BC723" s="47"/>
      <c r="BD723" s="45"/>
    </row>
    <row r="724" spans="42:56" x14ac:dyDescent="0.25">
      <c r="AP724"/>
      <c r="AV724"/>
      <c r="AW724" s="47"/>
      <c r="AX724" s="45"/>
      <c r="BB724"/>
      <c r="BC724" s="47"/>
      <c r="BD724" s="45"/>
    </row>
    <row r="725" spans="42:56" x14ac:dyDescent="0.25">
      <c r="AP725"/>
      <c r="AV725"/>
      <c r="AW725" s="47"/>
      <c r="AX725" s="45"/>
      <c r="BB725"/>
      <c r="BC725" s="47"/>
      <c r="BD725" s="45"/>
    </row>
    <row r="726" spans="42:56" x14ac:dyDescent="0.25">
      <c r="AP726"/>
      <c r="AV726"/>
      <c r="AW726" s="47"/>
      <c r="AX726" s="45"/>
      <c r="BB726"/>
      <c r="BC726" s="47"/>
      <c r="BD726" s="45"/>
    </row>
    <row r="727" spans="42:56" x14ac:dyDescent="0.25">
      <c r="AP727"/>
      <c r="AV727"/>
      <c r="AW727" s="47"/>
      <c r="AX727" s="45"/>
      <c r="BB727"/>
      <c r="BC727" s="47"/>
      <c r="BD727" s="45"/>
    </row>
    <row r="728" spans="42:56" x14ac:dyDescent="0.25">
      <c r="AP728"/>
      <c r="AV728"/>
      <c r="AW728" s="47"/>
      <c r="AX728" s="45"/>
      <c r="BB728"/>
      <c r="BC728" s="47"/>
      <c r="BD728" s="45"/>
    </row>
    <row r="729" spans="42:56" x14ac:dyDescent="0.25">
      <c r="AP729"/>
      <c r="AV729"/>
      <c r="AW729" s="47"/>
      <c r="AX729" s="45"/>
      <c r="BB729"/>
      <c r="BC729" s="47"/>
      <c r="BD729" s="45"/>
    </row>
    <row r="730" spans="42:56" x14ac:dyDescent="0.25">
      <c r="AP730"/>
      <c r="AV730"/>
      <c r="AW730" s="47"/>
      <c r="AX730" s="45"/>
      <c r="BB730"/>
      <c r="BC730" s="47"/>
      <c r="BD730" s="45"/>
    </row>
    <row r="731" spans="42:56" x14ac:dyDescent="0.25">
      <c r="AP731"/>
      <c r="AV731"/>
      <c r="AW731" s="47"/>
      <c r="AX731" s="45"/>
      <c r="BB731"/>
      <c r="BC731" s="47"/>
      <c r="BD731" s="45"/>
    </row>
    <row r="732" spans="42:56" x14ac:dyDescent="0.25">
      <c r="AP732"/>
      <c r="AV732"/>
      <c r="AW732" s="47"/>
      <c r="AX732" s="45"/>
      <c r="BB732"/>
      <c r="BC732" s="47"/>
      <c r="BD732" s="45"/>
    </row>
    <row r="733" spans="42:56" x14ac:dyDescent="0.25">
      <c r="AP733"/>
      <c r="AV733"/>
      <c r="AW733" s="47"/>
      <c r="AX733" s="45"/>
      <c r="BB733"/>
      <c r="BC733" s="47"/>
      <c r="BD733" s="45"/>
    </row>
    <row r="734" spans="42:56" x14ac:dyDescent="0.25">
      <c r="AP734"/>
      <c r="AV734"/>
      <c r="AW734" s="47"/>
      <c r="AX734" s="45"/>
      <c r="BB734"/>
      <c r="BC734" s="47"/>
      <c r="BD734" s="45"/>
    </row>
    <row r="735" spans="42:56" x14ac:dyDescent="0.25">
      <c r="AP735"/>
      <c r="AV735"/>
      <c r="AW735" s="47"/>
      <c r="AX735" s="45"/>
      <c r="BB735"/>
      <c r="BC735" s="47"/>
      <c r="BD735" s="45"/>
    </row>
    <row r="736" spans="42:56" x14ac:dyDescent="0.25">
      <c r="AP736"/>
      <c r="AV736"/>
      <c r="AW736" s="47"/>
      <c r="AX736" s="45"/>
      <c r="BB736"/>
      <c r="BC736" s="47"/>
      <c r="BD736" s="45"/>
    </row>
    <row r="737" spans="42:56" x14ac:dyDescent="0.25">
      <c r="AP737"/>
      <c r="AV737"/>
      <c r="AW737" s="47"/>
      <c r="AX737" s="45"/>
      <c r="BB737"/>
      <c r="BC737" s="47"/>
      <c r="BD737" s="45"/>
    </row>
    <row r="738" spans="42:56" x14ac:dyDescent="0.25">
      <c r="AP738"/>
      <c r="AV738"/>
      <c r="AW738" s="47"/>
      <c r="AX738" s="45"/>
      <c r="BB738"/>
      <c r="BC738" s="47"/>
      <c r="BD738" s="45"/>
    </row>
    <row r="739" spans="42:56" x14ac:dyDescent="0.25">
      <c r="AP739"/>
      <c r="AV739"/>
      <c r="AW739" s="47"/>
      <c r="AX739" s="45"/>
      <c r="BB739"/>
      <c r="BC739" s="47"/>
      <c r="BD739" s="45"/>
    </row>
    <row r="740" spans="42:56" x14ac:dyDescent="0.25">
      <c r="AP740"/>
      <c r="AV740"/>
      <c r="AW740" s="47"/>
      <c r="AX740" s="45"/>
      <c r="BB740"/>
      <c r="BC740" s="47"/>
      <c r="BD740" s="45"/>
    </row>
    <row r="741" spans="42:56" x14ac:dyDescent="0.25">
      <c r="AP741"/>
      <c r="AV741"/>
      <c r="AW741" s="47"/>
      <c r="AX741" s="45"/>
      <c r="BB741"/>
      <c r="BC741" s="47"/>
      <c r="BD741" s="45"/>
    </row>
    <row r="742" spans="42:56" x14ac:dyDescent="0.25">
      <c r="AP742"/>
      <c r="AV742"/>
      <c r="AW742" s="47"/>
      <c r="AX742" s="45"/>
      <c r="BB742"/>
      <c r="BC742" s="47"/>
      <c r="BD742" s="45"/>
    </row>
    <row r="743" spans="42:56" x14ac:dyDescent="0.25">
      <c r="AP743"/>
      <c r="AV743"/>
      <c r="AW743" s="47"/>
      <c r="AX743" s="45"/>
      <c r="BB743"/>
      <c r="BC743" s="47"/>
      <c r="BD743" s="45"/>
    </row>
    <row r="744" spans="42:56" x14ac:dyDescent="0.25">
      <c r="AP744"/>
      <c r="AV744"/>
      <c r="AW744" s="47"/>
      <c r="AX744" s="45"/>
      <c r="BB744"/>
      <c r="BC744" s="47"/>
      <c r="BD744" s="45"/>
    </row>
    <row r="745" spans="42:56" x14ac:dyDescent="0.25">
      <c r="AP745"/>
      <c r="AV745"/>
      <c r="AW745" s="47"/>
      <c r="AX745" s="45"/>
      <c r="BB745"/>
      <c r="BC745" s="47"/>
      <c r="BD745" s="45"/>
    </row>
    <row r="746" spans="42:56" x14ac:dyDescent="0.25">
      <c r="AP746"/>
      <c r="AV746"/>
      <c r="AW746" s="47"/>
      <c r="AX746" s="45"/>
      <c r="BB746"/>
      <c r="BC746" s="47"/>
      <c r="BD746" s="45"/>
    </row>
    <row r="747" spans="42:56" x14ac:dyDescent="0.25">
      <c r="AP747"/>
      <c r="AV747"/>
      <c r="AW747" s="47"/>
      <c r="AX747" s="45"/>
      <c r="BB747"/>
      <c r="BC747" s="47"/>
      <c r="BD747" s="45"/>
    </row>
    <row r="748" spans="42:56" x14ac:dyDescent="0.25">
      <c r="AP748"/>
      <c r="AV748"/>
      <c r="AW748" s="47"/>
      <c r="AX748" s="45"/>
      <c r="BB748"/>
      <c r="BC748" s="47"/>
      <c r="BD748" s="45"/>
    </row>
    <row r="749" spans="42:56" x14ac:dyDescent="0.25">
      <c r="AP749"/>
      <c r="AV749"/>
      <c r="AW749" s="47"/>
      <c r="AX749" s="45"/>
      <c r="BB749"/>
      <c r="BC749" s="47"/>
      <c r="BD749" s="45"/>
    </row>
    <row r="750" spans="42:56" x14ac:dyDescent="0.25">
      <c r="AP750"/>
      <c r="AV750"/>
      <c r="AW750" s="47"/>
      <c r="AX750" s="45"/>
      <c r="BB750"/>
      <c r="BC750" s="47"/>
      <c r="BD750" s="45"/>
    </row>
    <row r="751" spans="42:56" x14ac:dyDescent="0.25">
      <c r="AP751"/>
      <c r="AV751"/>
      <c r="AW751" s="47"/>
      <c r="AX751" s="45"/>
      <c r="BB751"/>
      <c r="BC751" s="47"/>
      <c r="BD751" s="45"/>
    </row>
    <row r="752" spans="42:56" x14ac:dyDescent="0.25">
      <c r="AP752"/>
      <c r="AV752"/>
      <c r="AW752" s="48"/>
      <c r="AX752" s="45"/>
      <c r="BB752"/>
      <c r="BC752" s="48"/>
      <c r="BD752" s="45"/>
    </row>
    <row r="753" spans="42:56" x14ac:dyDescent="0.25">
      <c r="AP753"/>
      <c r="AV753"/>
      <c r="AW753" s="48"/>
      <c r="AX753" s="45"/>
      <c r="BB753"/>
      <c r="BC753" s="48"/>
      <c r="BD753" s="45"/>
    </row>
    <row r="754" spans="42:56" x14ac:dyDescent="0.25">
      <c r="AP754"/>
      <c r="AV754"/>
      <c r="AW754" s="48"/>
      <c r="AX754" s="45"/>
      <c r="BB754"/>
      <c r="BC754" s="48"/>
      <c r="BD754" s="45"/>
    </row>
    <row r="755" spans="42:56" x14ac:dyDescent="0.25">
      <c r="AP755"/>
      <c r="AV755"/>
      <c r="AW755" s="48"/>
      <c r="AX755" s="45"/>
      <c r="BB755"/>
      <c r="BC755" s="48"/>
      <c r="BD755" s="45"/>
    </row>
    <row r="756" spans="42:56" x14ac:dyDescent="0.25">
      <c r="AP756"/>
      <c r="AV756"/>
      <c r="AW756" s="48"/>
      <c r="AX756" s="45"/>
      <c r="BB756"/>
      <c r="BC756" s="48"/>
      <c r="BD756" s="45"/>
    </row>
    <row r="757" spans="42:56" x14ac:dyDescent="0.25">
      <c r="AP757"/>
      <c r="AV757"/>
      <c r="AW757" s="48"/>
      <c r="AX757" s="45"/>
      <c r="BB757"/>
      <c r="BC757" s="48"/>
      <c r="BD757" s="45"/>
    </row>
    <row r="758" spans="42:56" x14ac:dyDescent="0.25">
      <c r="AP758"/>
      <c r="AV758"/>
      <c r="AW758" s="48"/>
      <c r="AX758" s="45"/>
      <c r="BB758"/>
      <c r="BC758" s="48"/>
      <c r="BD758" s="45"/>
    </row>
    <row r="759" spans="42:56" x14ac:dyDescent="0.25">
      <c r="AP759"/>
      <c r="AV759"/>
      <c r="AW759" s="48"/>
      <c r="AX759" s="45"/>
      <c r="BB759"/>
      <c r="BC759" s="48"/>
      <c r="BD759" s="45"/>
    </row>
    <row r="760" spans="42:56" x14ac:dyDescent="0.25">
      <c r="AP760"/>
      <c r="AV760"/>
      <c r="AW760" s="48"/>
      <c r="AX760" s="45"/>
      <c r="BB760"/>
      <c r="BC760" s="48"/>
      <c r="BD760" s="45"/>
    </row>
    <row r="761" spans="42:56" x14ac:dyDescent="0.25">
      <c r="AP761"/>
      <c r="AV761"/>
      <c r="AW761" s="48"/>
      <c r="AX761" s="45"/>
      <c r="BB761"/>
      <c r="BC761" s="48"/>
      <c r="BD761" s="45"/>
    </row>
    <row r="762" spans="42:56" x14ac:dyDescent="0.25">
      <c r="AP762"/>
      <c r="AV762"/>
      <c r="AW762" s="48"/>
      <c r="AX762" s="45"/>
      <c r="BB762"/>
      <c r="BC762" s="48"/>
      <c r="BD762" s="45"/>
    </row>
    <row r="763" spans="42:56" x14ac:dyDescent="0.25">
      <c r="AP763"/>
      <c r="AV763"/>
      <c r="AW763" s="48"/>
      <c r="AX763" s="45"/>
      <c r="BB763"/>
      <c r="BC763" s="48"/>
      <c r="BD763" s="45"/>
    </row>
    <row r="764" spans="42:56" x14ac:dyDescent="0.25">
      <c r="AP764"/>
      <c r="AV764"/>
      <c r="AW764" s="48"/>
      <c r="AX764" s="45"/>
      <c r="BB764"/>
      <c r="BC764" s="48"/>
      <c r="BD764" s="45"/>
    </row>
    <row r="765" spans="42:56" x14ac:dyDescent="0.25">
      <c r="AP765"/>
      <c r="AV765"/>
      <c r="AW765" s="48"/>
      <c r="AX765" s="45"/>
      <c r="BB765"/>
      <c r="BC765" s="48"/>
      <c r="BD765" s="45"/>
    </row>
    <row r="766" spans="42:56" x14ac:dyDescent="0.25">
      <c r="AP766"/>
      <c r="AV766"/>
      <c r="AW766" s="48"/>
      <c r="AX766" s="45"/>
      <c r="BB766"/>
      <c r="BC766" s="48"/>
      <c r="BD766" s="45"/>
    </row>
    <row r="767" spans="42:56" x14ac:dyDescent="0.25">
      <c r="AP767"/>
      <c r="AV767"/>
      <c r="AW767" s="48"/>
      <c r="AX767" s="45"/>
      <c r="BB767"/>
      <c r="BC767" s="48"/>
      <c r="BD767" s="45"/>
    </row>
    <row r="768" spans="42:56" x14ac:dyDescent="0.25">
      <c r="AP768"/>
      <c r="AV768"/>
      <c r="AW768" s="48"/>
      <c r="AX768" s="45"/>
      <c r="BB768"/>
      <c r="BC768" s="48"/>
      <c r="BD768" s="45"/>
    </row>
    <row r="769" spans="42:58" x14ac:dyDescent="0.25">
      <c r="AP769"/>
      <c r="AV769"/>
      <c r="AW769" s="48"/>
      <c r="AX769" s="45"/>
      <c r="BB769"/>
      <c r="BC769" s="48"/>
      <c r="BD769" s="45"/>
    </row>
    <row r="770" spans="42:58" x14ac:dyDescent="0.25">
      <c r="AP770"/>
      <c r="AV770"/>
      <c r="AW770" s="48"/>
      <c r="AX770" s="45"/>
      <c r="BB770"/>
      <c r="BC770" s="48"/>
      <c r="BD770" s="45"/>
    </row>
    <row r="771" spans="42:58" x14ac:dyDescent="0.25">
      <c r="AP771"/>
      <c r="AV771"/>
      <c r="AW771" s="48"/>
      <c r="AX771" s="45"/>
      <c r="BB771"/>
      <c r="BC771" s="48"/>
      <c r="BD771" s="45"/>
    </row>
    <row r="772" spans="42:58" x14ac:dyDescent="0.25">
      <c r="AP772"/>
      <c r="AV772"/>
      <c r="AW772" s="48"/>
      <c r="AX772" s="45"/>
      <c r="BB772"/>
      <c r="BC772" s="48"/>
      <c r="BD772" s="45"/>
    </row>
    <row r="773" spans="42:58" x14ac:dyDescent="0.25">
      <c r="AP773"/>
      <c r="AV773"/>
      <c r="AW773" s="48"/>
      <c r="AX773" s="45"/>
      <c r="BB773"/>
      <c r="BC773" s="48"/>
      <c r="BD773" s="45"/>
    </row>
    <row r="774" spans="42:58" x14ac:dyDescent="0.25">
      <c r="AP774"/>
      <c r="AV774"/>
      <c r="AW774" s="48"/>
      <c r="AX774" s="45"/>
      <c r="BB774"/>
      <c r="BC774" s="48"/>
      <c r="BD774" s="45"/>
    </row>
    <row r="775" spans="42:58" x14ac:dyDescent="0.25">
      <c r="AP775"/>
      <c r="AV775"/>
      <c r="AW775" s="48"/>
      <c r="AX775" s="45"/>
      <c r="BB775"/>
      <c r="BC775" s="48"/>
      <c r="BD775" s="45"/>
    </row>
    <row r="776" spans="42:58" x14ac:dyDescent="0.25">
      <c r="AP776"/>
      <c r="AV776"/>
      <c r="AW776" s="48"/>
      <c r="AX776" s="45"/>
      <c r="BB776"/>
      <c r="BC776" s="48"/>
      <c r="BD776" s="45"/>
    </row>
    <row r="777" spans="42:58" x14ac:dyDescent="0.25">
      <c r="AP777"/>
      <c r="AV777"/>
      <c r="AW777" s="48"/>
      <c r="AX777" s="45"/>
      <c r="BB777"/>
      <c r="BC777" s="48"/>
      <c r="BD777" s="45"/>
    </row>
    <row r="778" spans="42:58" x14ac:dyDescent="0.25">
      <c r="AP778"/>
      <c r="AV778"/>
      <c r="AW778" s="48"/>
      <c r="AX778" s="45"/>
      <c r="BB778"/>
      <c r="BC778" s="48"/>
      <c r="BD778" s="45"/>
    </row>
    <row r="779" spans="42:58" x14ac:dyDescent="0.25">
      <c r="AP779"/>
      <c r="AV779"/>
      <c r="AW779" s="48"/>
      <c r="AX779" s="45"/>
      <c r="BB779"/>
      <c r="BC779" s="48"/>
      <c r="BD779" s="45"/>
    </row>
    <row r="780" spans="42:58" x14ac:dyDescent="0.25">
      <c r="AP780"/>
      <c r="AV780"/>
      <c r="AW780" s="48"/>
      <c r="AX780" s="45"/>
      <c r="BB780"/>
      <c r="BC780" s="48"/>
      <c r="BD780" s="45"/>
    </row>
    <row r="781" spans="42:58" x14ac:dyDescent="0.25">
      <c r="AP781"/>
      <c r="AV781"/>
      <c r="BB781"/>
    </row>
    <row r="782" spans="42:58" x14ac:dyDescent="0.25">
      <c r="AP782"/>
      <c r="AV782"/>
      <c r="BB782"/>
    </row>
    <row r="783" spans="42:58" x14ac:dyDescent="0.25">
      <c r="AP783"/>
      <c r="AV783"/>
      <c r="AW783" s="45"/>
      <c r="BB783"/>
      <c r="BC783" s="45"/>
    </row>
    <row r="784" spans="42:58" x14ac:dyDescent="0.25">
      <c r="AP784"/>
      <c r="AV784"/>
      <c r="AW784" s="45"/>
      <c r="AX784" s="45"/>
      <c r="AY784" s="45"/>
      <c r="AZ784" s="45"/>
      <c r="BB784"/>
      <c r="BC784" s="45"/>
      <c r="BD784" s="45"/>
      <c r="BE784" s="45"/>
      <c r="BF784" s="45"/>
    </row>
    <row r="785" spans="42:58" x14ac:dyDescent="0.25">
      <c r="AP785"/>
      <c r="AV785"/>
      <c r="AW785" s="47"/>
      <c r="AX785" s="45"/>
      <c r="AY785" s="45"/>
      <c r="AZ785" s="45"/>
      <c r="BB785"/>
      <c r="BC785" s="47"/>
      <c r="BD785" s="45"/>
      <c r="BE785" s="45"/>
      <c r="BF785" s="45"/>
    </row>
    <row r="786" spans="42:58" x14ac:dyDescent="0.25">
      <c r="AP786"/>
      <c r="AV786"/>
      <c r="AW786" s="47"/>
      <c r="AX786" s="45"/>
      <c r="AY786" s="45"/>
      <c r="AZ786" s="45"/>
      <c r="BB786"/>
      <c r="BC786" s="47"/>
      <c r="BD786" s="45"/>
      <c r="BE786" s="45"/>
      <c r="BF786" s="45"/>
    </row>
    <row r="787" spans="42:58" x14ac:dyDescent="0.25">
      <c r="AP787"/>
      <c r="AV787"/>
      <c r="AW787" s="47"/>
      <c r="AX787" s="45"/>
      <c r="AY787" s="45"/>
      <c r="AZ787" s="45"/>
      <c r="BB787"/>
      <c r="BC787" s="47"/>
      <c r="BD787" s="45"/>
      <c r="BE787" s="45"/>
      <c r="BF787" s="45"/>
    </row>
    <row r="788" spans="42:58" x14ac:dyDescent="0.25">
      <c r="AP788"/>
      <c r="AV788"/>
      <c r="AW788" s="47"/>
      <c r="AX788" s="45"/>
      <c r="AY788" s="45"/>
      <c r="AZ788" s="45"/>
      <c r="BB788"/>
      <c r="BC788" s="47"/>
      <c r="BD788" s="45"/>
      <c r="BE788" s="45"/>
      <c r="BF788" s="45"/>
    </row>
    <row r="789" spans="42:58" x14ac:dyDescent="0.25">
      <c r="AP789"/>
      <c r="AV789"/>
      <c r="AW789" s="47"/>
      <c r="AX789" s="45"/>
      <c r="AY789" s="45"/>
      <c r="AZ789" s="45"/>
      <c r="BB789"/>
      <c r="BC789" s="47"/>
      <c r="BD789" s="45"/>
      <c r="BE789" s="45"/>
      <c r="BF789" s="45"/>
    </row>
    <row r="790" spans="42:58" x14ac:dyDescent="0.25">
      <c r="AP790"/>
      <c r="AV790"/>
      <c r="AW790" s="47"/>
      <c r="AX790" s="45"/>
      <c r="AY790" s="45"/>
      <c r="AZ790" s="45"/>
      <c r="BB790"/>
      <c r="BC790" s="47"/>
      <c r="BD790" s="45"/>
      <c r="BE790" s="45"/>
      <c r="BF790" s="45"/>
    </row>
    <row r="791" spans="42:58" x14ac:dyDescent="0.25">
      <c r="AP791"/>
      <c r="AV791"/>
      <c r="AW791" s="47"/>
      <c r="AX791" s="45"/>
      <c r="AY791" s="45"/>
      <c r="AZ791" s="45"/>
      <c r="BB791"/>
      <c r="BC791" s="47"/>
      <c r="BD791" s="45"/>
      <c r="BE791" s="45"/>
      <c r="BF791" s="45"/>
    </row>
    <row r="792" spans="42:58" x14ac:dyDescent="0.25">
      <c r="AP792"/>
      <c r="AV792"/>
      <c r="AW792" s="47"/>
      <c r="AX792" s="45"/>
      <c r="AY792" s="45"/>
      <c r="AZ792" s="45"/>
      <c r="BB792"/>
      <c r="BC792" s="47"/>
      <c r="BD792" s="45"/>
      <c r="BE792" s="45"/>
      <c r="BF792" s="45"/>
    </row>
    <row r="793" spans="42:58" x14ac:dyDescent="0.25">
      <c r="AP793"/>
      <c r="AV793"/>
      <c r="AW793" s="47"/>
      <c r="AX793" s="45"/>
      <c r="AY793" s="45"/>
      <c r="AZ793" s="45"/>
      <c r="BB793"/>
      <c r="BC793" s="47"/>
      <c r="BD793" s="45"/>
      <c r="BE793" s="45"/>
      <c r="BF793" s="45"/>
    </row>
    <row r="794" spans="42:58" x14ac:dyDescent="0.25">
      <c r="AP794"/>
      <c r="AV794"/>
      <c r="AW794" s="47"/>
      <c r="AX794" s="45"/>
      <c r="AY794" s="45"/>
      <c r="AZ794" s="45"/>
      <c r="BB794"/>
      <c r="BC794" s="47"/>
      <c r="BD794" s="45"/>
      <c r="BE794" s="45"/>
      <c r="BF794" s="45"/>
    </row>
    <row r="795" spans="42:58" x14ac:dyDescent="0.25">
      <c r="AP795"/>
      <c r="AV795"/>
      <c r="AW795" s="47"/>
      <c r="AX795" s="45"/>
      <c r="AY795" s="45"/>
      <c r="AZ795" s="45"/>
      <c r="BB795"/>
      <c r="BC795" s="47"/>
      <c r="BD795" s="45"/>
      <c r="BE795" s="45"/>
      <c r="BF795" s="45"/>
    </row>
    <row r="796" spans="42:58" x14ac:dyDescent="0.25">
      <c r="AP796"/>
      <c r="AV796"/>
      <c r="AW796" s="47"/>
      <c r="AX796" s="45"/>
      <c r="AY796" s="45"/>
      <c r="AZ796" s="45"/>
      <c r="BB796"/>
      <c r="BC796" s="47"/>
      <c r="BD796" s="45"/>
      <c r="BE796" s="45"/>
      <c r="BF796" s="45"/>
    </row>
    <row r="797" spans="42:58" x14ac:dyDescent="0.25">
      <c r="AP797"/>
      <c r="AV797"/>
      <c r="AW797" s="48"/>
      <c r="AX797" s="45"/>
      <c r="BB797"/>
      <c r="BC797" s="48"/>
      <c r="BD797" s="45"/>
    </row>
    <row r="798" spans="42:58" x14ac:dyDescent="0.25">
      <c r="AP798"/>
      <c r="AV798"/>
      <c r="AW798" s="47"/>
      <c r="AX798" s="45"/>
      <c r="BB798"/>
      <c r="BC798" s="47"/>
      <c r="BD798" s="45"/>
    </row>
    <row r="799" spans="42:58" x14ac:dyDescent="0.25">
      <c r="AP799"/>
      <c r="AV799"/>
      <c r="AW799" s="47"/>
      <c r="AX799" s="45"/>
      <c r="BB799"/>
      <c r="BC799" s="47"/>
      <c r="BD799" s="45"/>
    </row>
    <row r="800" spans="42:58" x14ac:dyDescent="0.25">
      <c r="AP800"/>
      <c r="AV800"/>
      <c r="AW800" s="47"/>
      <c r="AX800" s="45"/>
      <c r="BB800"/>
      <c r="BC800" s="47"/>
      <c r="BD800" s="45"/>
    </row>
    <row r="801" spans="42:56" x14ac:dyDescent="0.25">
      <c r="AP801"/>
      <c r="AV801"/>
      <c r="AW801" s="47"/>
      <c r="AX801" s="45"/>
      <c r="BB801"/>
      <c r="BC801" s="47"/>
      <c r="BD801" s="45"/>
    </row>
    <row r="802" spans="42:56" x14ac:dyDescent="0.25">
      <c r="AP802"/>
      <c r="AV802"/>
      <c r="AW802" s="47"/>
      <c r="AX802" s="45"/>
      <c r="BB802"/>
      <c r="BC802" s="47"/>
      <c r="BD802" s="45"/>
    </row>
    <row r="803" spans="42:56" x14ac:dyDescent="0.25">
      <c r="AP803"/>
      <c r="AV803"/>
      <c r="AW803" s="47"/>
      <c r="AX803" s="45"/>
      <c r="BB803"/>
      <c r="BC803" s="47"/>
      <c r="BD803" s="45"/>
    </row>
    <row r="804" spans="42:56" x14ac:dyDescent="0.25">
      <c r="AP804"/>
      <c r="AV804"/>
      <c r="AW804" s="47"/>
      <c r="AX804" s="45"/>
      <c r="BB804"/>
      <c r="BC804" s="47"/>
      <c r="BD804" s="45"/>
    </row>
    <row r="805" spans="42:56" x14ac:dyDescent="0.25">
      <c r="AP805"/>
      <c r="AV805"/>
      <c r="AW805" s="47"/>
      <c r="AX805" s="45"/>
      <c r="BB805"/>
      <c r="BC805" s="47"/>
      <c r="BD805" s="45"/>
    </row>
    <row r="806" spans="42:56" x14ac:dyDescent="0.25">
      <c r="AP806"/>
      <c r="AV806"/>
      <c r="AW806" s="47"/>
      <c r="AX806" s="45"/>
      <c r="BB806"/>
      <c r="BC806" s="47"/>
      <c r="BD806" s="45"/>
    </row>
    <row r="807" spans="42:56" x14ac:dyDescent="0.25">
      <c r="AP807"/>
      <c r="AV807"/>
      <c r="AW807" s="47"/>
      <c r="AX807" s="45"/>
      <c r="BB807"/>
      <c r="BC807" s="47"/>
      <c r="BD807" s="45"/>
    </row>
    <row r="808" spans="42:56" x14ac:dyDescent="0.25">
      <c r="AP808"/>
      <c r="AV808"/>
      <c r="AW808" s="47"/>
      <c r="AX808" s="45"/>
      <c r="BB808"/>
      <c r="BC808" s="47"/>
      <c r="BD808" s="45"/>
    </row>
    <row r="809" spans="42:56" x14ac:dyDescent="0.25">
      <c r="AP809"/>
      <c r="AV809"/>
      <c r="AW809" s="47"/>
      <c r="AX809" s="45"/>
      <c r="BB809"/>
      <c r="BC809" s="47"/>
      <c r="BD809" s="45"/>
    </row>
    <row r="810" spans="42:56" x14ac:dyDescent="0.25">
      <c r="AP810"/>
      <c r="AV810"/>
      <c r="AW810" s="47"/>
      <c r="AX810" s="45"/>
      <c r="BB810"/>
      <c r="BC810" s="47"/>
      <c r="BD810" s="45"/>
    </row>
    <row r="811" spans="42:56" x14ac:dyDescent="0.25">
      <c r="AP811"/>
      <c r="AV811"/>
      <c r="AW811" s="47"/>
      <c r="AX811" s="45"/>
      <c r="BB811"/>
      <c r="BC811" s="47"/>
      <c r="BD811" s="45"/>
    </row>
    <row r="812" spans="42:56" x14ac:dyDescent="0.25">
      <c r="AP812"/>
      <c r="AV812"/>
      <c r="AW812" s="47"/>
      <c r="AX812" s="45"/>
      <c r="BB812"/>
      <c r="BC812" s="47"/>
      <c r="BD812" s="45"/>
    </row>
    <row r="813" spans="42:56" x14ac:dyDescent="0.25">
      <c r="AP813"/>
      <c r="AV813"/>
      <c r="AW813" s="47"/>
      <c r="AX813" s="45"/>
      <c r="BB813"/>
      <c r="BC813" s="47"/>
      <c r="BD813" s="45"/>
    </row>
    <row r="814" spans="42:56" x14ac:dyDescent="0.25">
      <c r="AP814"/>
      <c r="AV814"/>
      <c r="AW814" s="47"/>
      <c r="AX814" s="45"/>
      <c r="BB814"/>
      <c r="BC814" s="47"/>
      <c r="BD814" s="45"/>
    </row>
    <row r="815" spans="42:56" x14ac:dyDescent="0.25">
      <c r="AP815"/>
      <c r="AV815"/>
      <c r="AW815" s="47"/>
      <c r="AX815" s="45"/>
      <c r="BB815"/>
      <c r="BC815" s="47"/>
      <c r="BD815" s="45"/>
    </row>
    <row r="816" spans="42:56" x14ac:dyDescent="0.25">
      <c r="AP816"/>
      <c r="AV816"/>
      <c r="AW816" s="47"/>
      <c r="AX816" s="45"/>
      <c r="BB816"/>
      <c r="BC816" s="47"/>
      <c r="BD816" s="45"/>
    </row>
    <row r="817" spans="42:56" x14ac:dyDescent="0.25">
      <c r="AP817"/>
      <c r="AV817"/>
      <c r="AW817" s="47"/>
      <c r="AX817" s="45"/>
      <c r="BB817"/>
      <c r="BC817" s="47"/>
      <c r="BD817" s="45"/>
    </row>
    <row r="818" spans="42:56" x14ac:dyDescent="0.25">
      <c r="AP818"/>
      <c r="AV818"/>
      <c r="AW818" s="47"/>
      <c r="AX818" s="45"/>
      <c r="BB818"/>
      <c r="BC818" s="47"/>
      <c r="BD818" s="45"/>
    </row>
    <row r="819" spans="42:56" x14ac:dyDescent="0.25">
      <c r="AP819"/>
      <c r="AV819"/>
      <c r="AW819" s="47"/>
      <c r="AX819" s="45"/>
      <c r="BB819"/>
      <c r="BC819" s="47"/>
      <c r="BD819" s="45"/>
    </row>
    <row r="820" spans="42:56" x14ac:dyDescent="0.25">
      <c r="AP820"/>
      <c r="AV820"/>
      <c r="AW820" s="47"/>
      <c r="AX820" s="45"/>
      <c r="BB820"/>
      <c r="BC820" s="47"/>
      <c r="BD820" s="45"/>
    </row>
    <row r="821" spans="42:56" x14ac:dyDescent="0.25">
      <c r="AP821"/>
      <c r="AV821"/>
      <c r="AW821" s="47"/>
      <c r="AX821" s="45"/>
      <c r="BB821"/>
      <c r="BC821" s="47"/>
      <c r="BD821" s="45"/>
    </row>
    <row r="822" spans="42:56" x14ac:dyDescent="0.25">
      <c r="AP822"/>
      <c r="AV822"/>
      <c r="AW822" s="47"/>
      <c r="AX822" s="45"/>
      <c r="BB822"/>
      <c r="BC822" s="47"/>
      <c r="BD822" s="45"/>
    </row>
    <row r="823" spans="42:56" x14ac:dyDescent="0.25">
      <c r="AP823"/>
      <c r="AV823"/>
      <c r="AW823" s="47"/>
      <c r="AX823" s="45"/>
      <c r="BB823"/>
      <c r="BC823" s="47"/>
      <c r="BD823" s="45"/>
    </row>
    <row r="824" spans="42:56" x14ac:dyDescent="0.25">
      <c r="AP824"/>
      <c r="AV824"/>
      <c r="AW824" s="47"/>
      <c r="AX824" s="45"/>
      <c r="BB824"/>
      <c r="BC824" s="47"/>
      <c r="BD824" s="45"/>
    </row>
    <row r="825" spans="42:56" x14ac:dyDescent="0.25">
      <c r="AP825"/>
      <c r="AV825"/>
      <c r="AW825" s="47"/>
      <c r="AX825" s="45"/>
      <c r="BB825"/>
      <c r="BC825" s="47"/>
      <c r="BD825" s="45"/>
    </row>
    <row r="826" spans="42:56" x14ac:dyDescent="0.25">
      <c r="AP826"/>
      <c r="AV826"/>
      <c r="AW826" s="47"/>
      <c r="AX826" s="45"/>
      <c r="BB826"/>
      <c r="BC826" s="47"/>
      <c r="BD826" s="45"/>
    </row>
    <row r="827" spans="42:56" x14ac:dyDescent="0.25">
      <c r="AP827"/>
      <c r="AV827"/>
      <c r="AW827" s="47"/>
      <c r="AX827" s="45"/>
      <c r="BB827"/>
      <c r="BC827" s="47"/>
      <c r="BD827" s="45"/>
    </row>
    <row r="828" spans="42:56" x14ac:dyDescent="0.25">
      <c r="AP828"/>
      <c r="AV828"/>
      <c r="AW828" s="47"/>
      <c r="AX828" s="45"/>
      <c r="BB828"/>
      <c r="BC828" s="47"/>
      <c r="BD828" s="45"/>
    </row>
    <row r="829" spans="42:56" x14ac:dyDescent="0.25">
      <c r="AP829"/>
      <c r="AV829"/>
      <c r="AW829" s="47"/>
      <c r="AX829" s="45"/>
      <c r="BB829"/>
      <c r="BC829" s="47"/>
      <c r="BD829" s="45"/>
    </row>
    <row r="830" spans="42:56" x14ac:dyDescent="0.25">
      <c r="AP830"/>
      <c r="AV830"/>
      <c r="AW830" s="48"/>
      <c r="AX830" s="45"/>
      <c r="BB830"/>
      <c r="BC830" s="48"/>
      <c r="BD830" s="45"/>
    </row>
    <row r="831" spans="42:56" x14ac:dyDescent="0.25">
      <c r="AP831"/>
      <c r="AV831"/>
      <c r="AW831" s="48"/>
      <c r="AX831" s="45"/>
      <c r="BB831"/>
      <c r="BC831" s="48"/>
      <c r="BD831" s="45"/>
    </row>
    <row r="832" spans="42:56" x14ac:dyDescent="0.25">
      <c r="AP832"/>
      <c r="AV832"/>
      <c r="AW832" s="48"/>
      <c r="AX832" s="45"/>
      <c r="BB832"/>
      <c r="BC832" s="48"/>
      <c r="BD832" s="45"/>
    </row>
    <row r="833" spans="42:56" x14ac:dyDescent="0.25">
      <c r="AP833"/>
      <c r="AV833"/>
      <c r="AW833" s="48"/>
      <c r="AX833" s="45"/>
      <c r="BB833"/>
      <c r="BC833" s="48"/>
      <c r="BD833" s="45"/>
    </row>
    <row r="834" spans="42:56" x14ac:dyDescent="0.25">
      <c r="AP834"/>
      <c r="AV834"/>
      <c r="AW834" s="48"/>
      <c r="AX834" s="45"/>
      <c r="BB834"/>
      <c r="BC834" s="48"/>
      <c r="BD834" s="45"/>
    </row>
    <row r="835" spans="42:56" x14ac:dyDescent="0.25">
      <c r="AP835"/>
      <c r="AV835"/>
      <c r="AW835" s="48"/>
      <c r="AX835" s="45"/>
      <c r="BB835"/>
      <c r="BC835" s="48"/>
      <c r="BD835" s="45"/>
    </row>
    <row r="836" spans="42:56" x14ac:dyDescent="0.25">
      <c r="AP836"/>
      <c r="AV836"/>
      <c r="AW836" s="48"/>
      <c r="AX836" s="45"/>
      <c r="BB836"/>
      <c r="BC836" s="48"/>
      <c r="BD836" s="45"/>
    </row>
    <row r="837" spans="42:56" x14ac:dyDescent="0.25">
      <c r="AP837"/>
      <c r="AV837"/>
      <c r="AW837" s="48"/>
      <c r="AX837" s="45"/>
      <c r="BB837"/>
      <c r="BC837" s="48"/>
      <c r="BD837" s="45"/>
    </row>
    <row r="838" spans="42:56" x14ac:dyDescent="0.25">
      <c r="AP838"/>
      <c r="AV838"/>
      <c r="AW838" s="48"/>
      <c r="AX838" s="45"/>
      <c r="BB838"/>
      <c r="BC838" s="48"/>
      <c r="BD838" s="45"/>
    </row>
    <row r="839" spans="42:56" x14ac:dyDescent="0.25">
      <c r="AP839"/>
      <c r="AV839"/>
      <c r="AW839" s="48"/>
      <c r="AX839" s="45"/>
      <c r="BB839"/>
      <c r="BC839" s="48"/>
      <c r="BD839" s="45"/>
    </row>
    <row r="840" spans="42:56" x14ac:dyDescent="0.25">
      <c r="AP840"/>
      <c r="AV840"/>
      <c r="AW840" s="48"/>
      <c r="AX840" s="45"/>
      <c r="BB840"/>
      <c r="BC840" s="48"/>
      <c r="BD840" s="45"/>
    </row>
    <row r="841" spans="42:56" x14ac:dyDescent="0.25">
      <c r="AP841"/>
      <c r="AV841"/>
      <c r="AW841" s="48"/>
      <c r="AX841" s="45"/>
      <c r="BB841"/>
      <c r="BC841" s="48"/>
      <c r="BD841" s="45"/>
    </row>
    <row r="842" spans="42:56" x14ac:dyDescent="0.25">
      <c r="AP842"/>
      <c r="AV842"/>
      <c r="AW842" s="48"/>
      <c r="AX842" s="45"/>
      <c r="BB842"/>
      <c r="BC842" s="48"/>
      <c r="BD842" s="45"/>
    </row>
    <row r="843" spans="42:56" x14ac:dyDescent="0.25">
      <c r="AP843"/>
      <c r="AV843"/>
      <c r="AW843" s="48"/>
      <c r="AX843" s="45"/>
      <c r="BB843"/>
      <c r="BC843" s="48"/>
      <c r="BD843" s="45"/>
    </row>
    <row r="844" spans="42:56" x14ac:dyDescent="0.25">
      <c r="AP844"/>
      <c r="AV844"/>
      <c r="AW844" s="48"/>
      <c r="AX844" s="45"/>
      <c r="BB844"/>
      <c r="BC844" s="48"/>
      <c r="BD844" s="45"/>
    </row>
    <row r="845" spans="42:56" x14ac:dyDescent="0.25">
      <c r="AP845"/>
      <c r="AV845"/>
      <c r="AW845" s="48"/>
      <c r="AX845" s="45"/>
      <c r="BB845"/>
      <c r="BC845" s="48"/>
      <c r="BD845" s="45"/>
    </row>
    <row r="846" spans="42:56" x14ac:dyDescent="0.25">
      <c r="AP846"/>
      <c r="AV846"/>
      <c r="AW846" s="48"/>
      <c r="AX846" s="45"/>
      <c r="BB846"/>
      <c r="BC846" s="48"/>
      <c r="BD846" s="45"/>
    </row>
    <row r="847" spans="42:56" x14ac:dyDescent="0.25">
      <c r="AP847"/>
      <c r="AV847"/>
      <c r="AW847" s="48"/>
      <c r="AX847" s="45"/>
      <c r="BB847"/>
      <c r="BC847" s="48"/>
      <c r="BD847" s="45"/>
    </row>
    <row r="848" spans="42:56" x14ac:dyDescent="0.25">
      <c r="AP848"/>
      <c r="AV848"/>
      <c r="AW848" s="48"/>
      <c r="AX848" s="45"/>
      <c r="BB848"/>
      <c r="BC848" s="48"/>
      <c r="BD848" s="45"/>
    </row>
    <row r="849" spans="31:56" x14ac:dyDescent="0.25">
      <c r="AP849"/>
      <c r="AV849"/>
      <c r="AW849" s="48"/>
      <c r="AX849" s="45"/>
      <c r="BB849"/>
      <c r="BC849" s="48"/>
      <c r="BD849" s="45"/>
    </row>
    <row r="850" spans="31:56" x14ac:dyDescent="0.25">
      <c r="AP850"/>
      <c r="AV850"/>
      <c r="AW850" s="48"/>
      <c r="AX850" s="45"/>
      <c r="BB850"/>
      <c r="BC850" s="48"/>
      <c r="BD850" s="45"/>
    </row>
    <row r="851" spans="31:56" x14ac:dyDescent="0.25">
      <c r="AP851"/>
      <c r="AV851"/>
      <c r="AW851" s="48"/>
      <c r="AX851" s="45"/>
      <c r="BB851"/>
      <c r="BC851" s="48"/>
      <c r="BD851" s="45"/>
    </row>
    <row r="852" spans="31:56" x14ac:dyDescent="0.25">
      <c r="AP852"/>
      <c r="AV852"/>
      <c r="AW852" s="48"/>
      <c r="AX852" s="45"/>
      <c r="BB852"/>
      <c r="BC852" s="48"/>
      <c r="BD852" s="45"/>
    </row>
    <row r="853" spans="31:56" x14ac:dyDescent="0.25">
      <c r="AP853"/>
      <c r="AV853"/>
      <c r="AW853" s="48"/>
      <c r="AX853" s="45"/>
      <c r="BB853"/>
      <c r="BC853" s="48"/>
      <c r="BD853" s="45"/>
    </row>
    <row r="854" spans="31:56" x14ac:dyDescent="0.25">
      <c r="AP854"/>
      <c r="AV854"/>
      <c r="AW854" s="48"/>
      <c r="AX854" s="45"/>
      <c r="BB854"/>
      <c r="BC854" s="48"/>
      <c r="BD854" s="45"/>
    </row>
    <row r="855" spans="31:56" x14ac:dyDescent="0.25">
      <c r="AP855"/>
      <c r="AV855"/>
      <c r="AW855" s="48"/>
      <c r="AX855" s="45"/>
      <c r="BB855"/>
      <c r="BC855" s="48"/>
      <c r="BD855" s="45"/>
    </row>
    <row r="856" spans="31:56" x14ac:dyDescent="0.25">
      <c r="AP856"/>
      <c r="AV856"/>
      <c r="AW856" s="48"/>
      <c r="AX856" s="45"/>
      <c r="BB856"/>
      <c r="BC856" s="48"/>
      <c r="BD856" s="45"/>
    </row>
    <row r="857" spans="31:56" x14ac:dyDescent="0.25">
      <c r="AP857"/>
      <c r="AV857"/>
      <c r="AW857" s="48"/>
      <c r="AX857" s="45"/>
      <c r="BB857"/>
      <c r="BC857" s="48"/>
      <c r="BD857" s="45"/>
    </row>
    <row r="858" spans="31:56" x14ac:dyDescent="0.25">
      <c r="AP858"/>
      <c r="AV858"/>
      <c r="AW858" s="48"/>
      <c r="AX858" s="45"/>
      <c r="BB858"/>
      <c r="BC858" s="48"/>
      <c r="BD858" s="45"/>
    </row>
    <row r="859" spans="31:56" x14ac:dyDescent="0.25">
      <c r="AE859" s="46"/>
      <c r="AF859" s="46"/>
      <c r="AG859" s="46"/>
      <c r="AH859" s="46"/>
      <c r="AI859" s="46"/>
      <c r="AP859"/>
      <c r="AV859"/>
      <c r="BB859"/>
    </row>
    <row r="860" spans="31:56" x14ac:dyDescent="0.25">
      <c r="AE860" s="46"/>
      <c r="AF860" s="46"/>
      <c r="AG860" s="46"/>
      <c r="AH860" s="46"/>
      <c r="AI860" s="46"/>
      <c r="AP860"/>
      <c r="AV860"/>
      <c r="BB860"/>
    </row>
    <row r="861" spans="31:56" x14ac:dyDescent="0.25">
      <c r="AP861"/>
      <c r="AV861"/>
      <c r="BB861"/>
    </row>
    <row r="862" spans="31:56" x14ac:dyDescent="0.25">
      <c r="AP862"/>
      <c r="AV862"/>
      <c r="BB862"/>
    </row>
    <row r="863" spans="31:56" x14ac:dyDescent="0.25">
      <c r="AP863"/>
      <c r="AV863"/>
      <c r="BB863"/>
    </row>
    <row r="864" spans="31:56" x14ac:dyDescent="0.25">
      <c r="AP864"/>
      <c r="AV864"/>
      <c r="BB864"/>
    </row>
    <row r="865" spans="42:54" x14ac:dyDescent="0.25">
      <c r="AP865"/>
      <c r="AV865"/>
      <c r="BB865"/>
    </row>
    <row r="866" spans="42:54" x14ac:dyDescent="0.25">
      <c r="AP866"/>
      <c r="AV866"/>
      <c r="BB866"/>
    </row>
    <row r="867" spans="42:54" x14ac:dyDescent="0.25">
      <c r="AP867"/>
      <c r="AV867"/>
      <c r="BB867"/>
    </row>
    <row r="868" spans="42:54" x14ac:dyDescent="0.25">
      <c r="AP868"/>
      <c r="AV868"/>
      <c r="BB868"/>
    </row>
    <row r="869" spans="42:54" x14ac:dyDescent="0.25">
      <c r="AP869"/>
      <c r="AV869"/>
      <c r="BB869"/>
    </row>
    <row r="870" spans="42:54" x14ac:dyDescent="0.25">
      <c r="AP870"/>
      <c r="AV870"/>
      <c r="BB870"/>
    </row>
    <row r="871" spans="42:54" x14ac:dyDescent="0.25">
      <c r="AP871"/>
      <c r="AV871"/>
      <c r="BB871"/>
    </row>
    <row r="872" spans="42:54" x14ac:dyDescent="0.25">
      <c r="AP872"/>
      <c r="AV872"/>
      <c r="BB872"/>
    </row>
    <row r="873" spans="42:54" x14ac:dyDescent="0.25">
      <c r="AP873"/>
      <c r="AV873"/>
      <c r="BB873"/>
    </row>
    <row r="874" spans="42:54" x14ac:dyDescent="0.25">
      <c r="AP874"/>
      <c r="AV874"/>
      <c r="BB874"/>
    </row>
    <row r="875" spans="42:54" x14ac:dyDescent="0.25">
      <c r="AP875"/>
      <c r="AV875"/>
      <c r="BB875"/>
    </row>
    <row r="876" spans="42:54" x14ac:dyDescent="0.25">
      <c r="AP876"/>
      <c r="AV876"/>
      <c r="BB876"/>
    </row>
    <row r="877" spans="42:54" x14ac:dyDescent="0.25">
      <c r="AP877"/>
      <c r="AV877"/>
      <c r="BB877"/>
    </row>
    <row r="878" spans="42:54" x14ac:dyDescent="0.25">
      <c r="AP878"/>
      <c r="AV878"/>
      <c r="BB878"/>
    </row>
    <row r="879" spans="42:54" x14ac:dyDescent="0.25">
      <c r="AP879"/>
      <c r="AV879"/>
      <c r="BB879"/>
    </row>
    <row r="880" spans="42:54" x14ac:dyDescent="0.25">
      <c r="AP880"/>
      <c r="AV880"/>
      <c r="BB880"/>
    </row>
    <row r="881" spans="42:54" x14ac:dyDescent="0.25">
      <c r="AP881"/>
      <c r="AV881"/>
      <c r="BB881"/>
    </row>
    <row r="882" spans="42:54" x14ac:dyDescent="0.25">
      <c r="AP882"/>
      <c r="AV882"/>
      <c r="BB882"/>
    </row>
    <row r="883" spans="42:54" x14ac:dyDescent="0.25">
      <c r="AP883"/>
      <c r="AV883"/>
      <c r="BB883"/>
    </row>
    <row r="884" spans="42:54" x14ac:dyDescent="0.25">
      <c r="AP884"/>
      <c r="AV884"/>
      <c r="BB884"/>
    </row>
    <row r="885" spans="42:54" x14ac:dyDescent="0.25">
      <c r="AP885"/>
      <c r="AV885"/>
      <c r="BB885"/>
    </row>
    <row r="886" spans="42:54" x14ac:dyDescent="0.25">
      <c r="AP886"/>
      <c r="AV886"/>
      <c r="BB886"/>
    </row>
    <row r="887" spans="42:54" x14ac:dyDescent="0.25">
      <c r="AP887"/>
      <c r="AV887"/>
      <c r="BB887"/>
    </row>
    <row r="888" spans="42:54" x14ac:dyDescent="0.25">
      <c r="AP888"/>
      <c r="AV888"/>
      <c r="BB888"/>
    </row>
    <row r="889" spans="42:54" x14ac:dyDescent="0.25">
      <c r="AP889"/>
      <c r="AV889"/>
      <c r="BB889"/>
    </row>
    <row r="890" spans="42:54" x14ac:dyDescent="0.25">
      <c r="AP890"/>
      <c r="AV890"/>
      <c r="BB890"/>
    </row>
    <row r="891" spans="42:54" x14ac:dyDescent="0.25">
      <c r="AP891"/>
      <c r="AV891"/>
      <c r="BB891"/>
    </row>
    <row r="892" spans="42:54" x14ac:dyDescent="0.25">
      <c r="AP892"/>
      <c r="AV892"/>
      <c r="BB892"/>
    </row>
    <row r="893" spans="42:54" x14ac:dyDescent="0.25">
      <c r="AP893"/>
      <c r="AV893"/>
      <c r="BB893"/>
    </row>
    <row r="894" spans="42:54" x14ac:dyDescent="0.25">
      <c r="AP894"/>
      <c r="AV894"/>
      <c r="BB894"/>
    </row>
    <row r="895" spans="42:54" x14ac:dyDescent="0.25">
      <c r="AP895"/>
      <c r="AV895"/>
      <c r="BB895"/>
    </row>
    <row r="896" spans="42:54" x14ac:dyDescent="0.25">
      <c r="AP896"/>
      <c r="AV896"/>
      <c r="BB896"/>
    </row>
    <row r="897" spans="42:54" x14ac:dyDescent="0.25">
      <c r="AP897"/>
      <c r="AV897"/>
      <c r="BB897"/>
    </row>
    <row r="898" spans="42:54" x14ac:dyDescent="0.25">
      <c r="AP898"/>
      <c r="AV898"/>
      <c r="BB898"/>
    </row>
    <row r="899" spans="42:54" x14ac:dyDescent="0.25">
      <c r="AP899"/>
      <c r="AV899"/>
      <c r="BB899"/>
    </row>
    <row r="900" spans="42:54" x14ac:dyDescent="0.25">
      <c r="AP900"/>
      <c r="AV900"/>
      <c r="BB900"/>
    </row>
    <row r="901" spans="42:54" x14ac:dyDescent="0.25">
      <c r="AP901"/>
      <c r="AV901"/>
      <c r="BB901"/>
    </row>
    <row r="902" spans="42:54" x14ac:dyDescent="0.25">
      <c r="AP902"/>
      <c r="AV902"/>
      <c r="BB902"/>
    </row>
    <row r="903" spans="42:54" x14ac:dyDescent="0.25">
      <c r="AP903"/>
      <c r="AV903"/>
      <c r="BB903"/>
    </row>
    <row r="904" spans="42:54" x14ac:dyDescent="0.25">
      <c r="AP904"/>
      <c r="AV904"/>
      <c r="BB904"/>
    </row>
    <row r="905" spans="42:54" x14ac:dyDescent="0.25">
      <c r="AP905"/>
      <c r="AV905"/>
      <c r="BB905"/>
    </row>
    <row r="906" spans="42:54" x14ac:dyDescent="0.25">
      <c r="AP906"/>
      <c r="AV906"/>
      <c r="BB906"/>
    </row>
    <row r="907" spans="42:54" x14ac:dyDescent="0.25">
      <c r="AP907"/>
      <c r="AV907"/>
      <c r="BB907"/>
    </row>
    <row r="908" spans="42:54" x14ac:dyDescent="0.25">
      <c r="AP908"/>
      <c r="AV908"/>
      <c r="BB908"/>
    </row>
    <row r="909" spans="42:54" x14ac:dyDescent="0.25">
      <c r="AP909"/>
      <c r="AV909"/>
      <c r="BB909"/>
    </row>
    <row r="910" spans="42:54" x14ac:dyDescent="0.25">
      <c r="AP910"/>
      <c r="AV910"/>
      <c r="BB910"/>
    </row>
    <row r="911" spans="42:54" x14ac:dyDescent="0.25">
      <c r="AP911"/>
      <c r="AV911"/>
      <c r="BB911"/>
    </row>
    <row r="912" spans="42:54" x14ac:dyDescent="0.25">
      <c r="AP912"/>
      <c r="AV912"/>
      <c r="BB912"/>
    </row>
    <row r="913" spans="42:54" x14ac:dyDescent="0.25">
      <c r="AP913"/>
      <c r="AV913"/>
      <c r="BB913"/>
    </row>
    <row r="914" spans="42:54" x14ac:dyDescent="0.25">
      <c r="AP914"/>
      <c r="AV914"/>
      <c r="BB914"/>
    </row>
    <row r="915" spans="42:54" x14ac:dyDescent="0.25">
      <c r="AP915"/>
      <c r="AV915"/>
      <c r="BB915"/>
    </row>
    <row r="916" spans="42:54" x14ac:dyDescent="0.25">
      <c r="AP916"/>
      <c r="AV916"/>
      <c r="BB916"/>
    </row>
    <row r="917" spans="42:54" x14ac:dyDescent="0.25">
      <c r="AP917"/>
      <c r="AV917"/>
      <c r="BB917"/>
    </row>
    <row r="918" spans="42:54" x14ac:dyDescent="0.25">
      <c r="AP918"/>
      <c r="AV918"/>
      <c r="BB918"/>
    </row>
    <row r="919" spans="42:54" x14ac:dyDescent="0.25">
      <c r="AP919"/>
      <c r="AV919"/>
      <c r="BB919"/>
    </row>
    <row r="920" spans="42:54" x14ac:dyDescent="0.25">
      <c r="AP920"/>
      <c r="AV920"/>
      <c r="BB920"/>
    </row>
    <row r="921" spans="42:54" x14ac:dyDescent="0.25">
      <c r="AP921"/>
      <c r="AV921"/>
      <c r="BB921"/>
    </row>
    <row r="922" spans="42:54" x14ac:dyDescent="0.25">
      <c r="AP922"/>
      <c r="AV922"/>
      <c r="BB922"/>
    </row>
    <row r="923" spans="42:54" x14ac:dyDescent="0.25">
      <c r="AP923"/>
      <c r="AV923"/>
      <c r="BB923"/>
    </row>
    <row r="924" spans="42:54" x14ac:dyDescent="0.25">
      <c r="AP924"/>
      <c r="AV924"/>
      <c r="BB924"/>
    </row>
    <row r="925" spans="42:54" x14ac:dyDescent="0.25">
      <c r="AP925"/>
      <c r="AV925"/>
      <c r="BB925"/>
    </row>
    <row r="926" spans="42:54" x14ac:dyDescent="0.25">
      <c r="AP926"/>
      <c r="AV926"/>
      <c r="BB926"/>
    </row>
    <row r="927" spans="42:54" x14ac:dyDescent="0.25">
      <c r="AP927"/>
      <c r="AV927"/>
      <c r="BB927"/>
    </row>
    <row r="928" spans="42:54" x14ac:dyDescent="0.25">
      <c r="AP928"/>
      <c r="AV928"/>
      <c r="BB928"/>
    </row>
    <row r="929" spans="42:54" x14ac:dyDescent="0.25">
      <c r="AP929"/>
      <c r="AV929"/>
      <c r="BB929"/>
    </row>
    <row r="930" spans="42:54" x14ac:dyDescent="0.25">
      <c r="AP930"/>
      <c r="AV930"/>
      <c r="BB930"/>
    </row>
    <row r="931" spans="42:54" x14ac:dyDescent="0.25">
      <c r="AP931"/>
      <c r="AV931"/>
      <c r="BB931"/>
    </row>
    <row r="932" spans="42:54" x14ac:dyDescent="0.25">
      <c r="AP932"/>
      <c r="AV932"/>
      <c r="BB932"/>
    </row>
    <row r="933" spans="42:54" x14ac:dyDescent="0.25">
      <c r="AP933"/>
      <c r="AV933"/>
      <c r="BB933"/>
    </row>
    <row r="934" spans="42:54" x14ac:dyDescent="0.25">
      <c r="AP934"/>
      <c r="AV934"/>
      <c r="BB934"/>
    </row>
    <row r="935" spans="42:54" x14ac:dyDescent="0.25">
      <c r="AP935"/>
      <c r="AV935"/>
      <c r="BB935"/>
    </row>
    <row r="936" spans="42:54" x14ac:dyDescent="0.25">
      <c r="AP936"/>
      <c r="AV936"/>
      <c r="BB936"/>
    </row>
    <row r="937" spans="42:54" x14ac:dyDescent="0.25">
      <c r="AP937"/>
      <c r="AV937"/>
      <c r="BB937"/>
    </row>
  </sheetData>
  <mergeCells count="10">
    <mergeCell ref="T118:U118"/>
    <mergeCell ref="T153:U153"/>
    <mergeCell ref="DR1:DS1"/>
    <mergeCell ref="H13:I13"/>
    <mergeCell ref="T24:U24"/>
    <mergeCell ref="H79:I79"/>
    <mergeCell ref="H96:I96"/>
    <mergeCell ref="H113:I113"/>
    <mergeCell ref="T90:U90"/>
    <mergeCell ref="T146:U14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K60"/>
  <sheetViews>
    <sheetView topLeftCell="L1" workbookViewId="0">
      <selection activeCell="X62" sqref="X62"/>
    </sheetView>
  </sheetViews>
  <sheetFormatPr defaultRowHeight="12.75" x14ac:dyDescent="0.2"/>
  <cols>
    <col min="1" max="1" width="10.140625" bestFit="1" customWidth="1"/>
    <col min="2" max="5" width="14.42578125" bestFit="1" customWidth="1"/>
    <col min="6" max="6" width="13.28515625" bestFit="1" customWidth="1"/>
    <col min="7" max="7" width="13.7109375" bestFit="1" customWidth="1"/>
    <col min="8" max="8" width="14.42578125" bestFit="1" customWidth="1"/>
    <col min="9" max="9" width="14.28515625" customWidth="1"/>
    <col min="10" max="10" width="15.5703125" bestFit="1" customWidth="1"/>
    <col min="11" max="11" width="16.140625" bestFit="1" customWidth="1"/>
    <col min="12" max="12" width="16.140625" customWidth="1"/>
    <col min="13" max="13" width="14.85546875" bestFit="1" customWidth="1"/>
    <col min="14" max="14" width="17" bestFit="1" customWidth="1"/>
    <col min="15" max="15" width="14.85546875" bestFit="1" customWidth="1"/>
    <col min="16" max="17" width="14.85546875" style="33" bestFit="1" customWidth="1"/>
    <col min="18" max="18" width="13.85546875" bestFit="1" customWidth="1"/>
    <col min="19" max="20" width="14.85546875" style="33" bestFit="1" customWidth="1"/>
    <col min="21" max="22" width="13.85546875" style="33" bestFit="1" customWidth="1"/>
    <col min="23" max="24" width="13.85546875" bestFit="1" customWidth="1"/>
  </cols>
  <sheetData>
    <row r="1" spans="2:24" x14ac:dyDescent="0.2">
      <c r="B1" s="27" t="s">
        <v>1352</v>
      </c>
      <c r="C1" s="27" t="s">
        <v>1353</v>
      </c>
      <c r="D1" s="27" t="s">
        <v>1354</v>
      </c>
      <c r="E1" s="27" t="s">
        <v>1355</v>
      </c>
      <c r="F1" s="27" t="s">
        <v>1357</v>
      </c>
      <c r="G1" s="27" t="s">
        <v>1356</v>
      </c>
      <c r="H1" s="27" t="s">
        <v>1358</v>
      </c>
      <c r="I1" s="27"/>
      <c r="J1" s="27" t="s">
        <v>1359</v>
      </c>
      <c r="K1" s="27" t="s">
        <v>1360</v>
      </c>
      <c r="L1" s="27"/>
      <c r="M1" s="27" t="s">
        <v>1361</v>
      </c>
      <c r="N1" s="27" t="s">
        <v>1362</v>
      </c>
      <c r="O1" s="27" t="s">
        <v>1363</v>
      </c>
      <c r="P1" s="120" t="s">
        <v>1364</v>
      </c>
      <c r="Q1" s="120" t="s">
        <v>1365</v>
      </c>
      <c r="R1" s="120" t="s">
        <v>1366</v>
      </c>
      <c r="S1" s="120" t="s">
        <v>1367</v>
      </c>
      <c r="T1" s="120" t="s">
        <v>1368</v>
      </c>
      <c r="U1" s="120" t="s">
        <v>1369</v>
      </c>
      <c r="V1" s="120" t="s">
        <v>1370</v>
      </c>
      <c r="W1" s="120" t="s">
        <v>1371</v>
      </c>
      <c r="X1" s="120" t="s">
        <v>1372</v>
      </c>
    </row>
    <row r="2" spans="2:24" x14ac:dyDescent="0.2">
      <c r="B2" s="33">
        <v>0</v>
      </c>
      <c r="C2" s="33">
        <v>0</v>
      </c>
      <c r="D2" s="33">
        <v>13</v>
      </c>
      <c r="E2" s="33">
        <v>3</v>
      </c>
      <c r="F2" s="33">
        <v>30</v>
      </c>
      <c r="G2" s="67">
        <v>52</v>
      </c>
      <c r="H2" s="33">
        <v>0</v>
      </c>
      <c r="I2" s="33"/>
      <c r="J2" s="42"/>
      <c r="K2" s="42"/>
      <c r="L2" s="33"/>
      <c r="M2" s="81"/>
      <c r="N2" s="33">
        <v>4</v>
      </c>
      <c r="O2" s="82"/>
      <c r="P2" s="33">
        <v>2</v>
      </c>
      <c r="Q2" s="33">
        <v>9</v>
      </c>
      <c r="R2" s="33">
        <v>0</v>
      </c>
      <c r="S2" s="33">
        <v>6</v>
      </c>
      <c r="T2" s="33">
        <v>6</v>
      </c>
      <c r="U2" s="33">
        <v>5</v>
      </c>
      <c r="V2" s="33">
        <v>7</v>
      </c>
      <c r="W2">
        <v>28</v>
      </c>
      <c r="X2">
        <v>4</v>
      </c>
    </row>
    <row r="3" spans="2:24" x14ac:dyDescent="0.2">
      <c r="B3" s="33">
        <v>0</v>
      </c>
      <c r="C3" s="33">
        <v>1</v>
      </c>
      <c r="D3" s="33">
        <v>5</v>
      </c>
      <c r="E3" s="33">
        <v>14</v>
      </c>
      <c r="F3" s="33">
        <v>1</v>
      </c>
      <c r="G3" s="67">
        <v>96</v>
      </c>
      <c r="H3" s="33">
        <v>0</v>
      </c>
      <c r="I3" s="33"/>
      <c r="J3" s="67">
        <v>0</v>
      </c>
      <c r="K3" s="67">
        <v>1</v>
      </c>
      <c r="L3" s="67"/>
      <c r="M3" s="33">
        <v>4</v>
      </c>
      <c r="N3" s="33">
        <v>5</v>
      </c>
      <c r="O3" s="33">
        <v>0</v>
      </c>
      <c r="P3" s="33">
        <v>8</v>
      </c>
      <c r="Q3" s="33">
        <v>40</v>
      </c>
      <c r="R3" s="33">
        <v>0</v>
      </c>
      <c r="S3" s="33">
        <v>5</v>
      </c>
      <c r="T3" s="33">
        <v>9</v>
      </c>
      <c r="U3" s="33">
        <v>10</v>
      </c>
      <c r="V3" s="33">
        <v>9</v>
      </c>
      <c r="W3">
        <v>40</v>
      </c>
      <c r="X3">
        <v>3</v>
      </c>
    </row>
    <row r="4" spans="2:24" x14ac:dyDescent="0.2">
      <c r="B4" s="33">
        <v>0</v>
      </c>
      <c r="C4" s="33">
        <v>1</v>
      </c>
      <c r="D4" s="33">
        <v>0</v>
      </c>
      <c r="E4" s="33">
        <v>1</v>
      </c>
      <c r="F4" s="33">
        <v>1</v>
      </c>
      <c r="G4" s="67">
        <v>70</v>
      </c>
      <c r="H4" s="33">
        <v>0</v>
      </c>
      <c r="I4" s="33"/>
      <c r="J4" s="67">
        <v>14</v>
      </c>
      <c r="K4" s="67">
        <v>2</v>
      </c>
      <c r="L4" s="67"/>
      <c r="M4" s="33">
        <v>1</v>
      </c>
      <c r="N4" s="33">
        <v>11</v>
      </c>
      <c r="O4" s="33">
        <v>0</v>
      </c>
      <c r="P4" s="33">
        <v>17</v>
      </c>
      <c r="Q4" s="33">
        <v>52</v>
      </c>
      <c r="R4">
        <v>2</v>
      </c>
      <c r="S4" s="33">
        <v>26</v>
      </c>
      <c r="T4" s="33">
        <v>11</v>
      </c>
      <c r="U4" s="33">
        <v>4</v>
      </c>
      <c r="V4" s="33">
        <v>3</v>
      </c>
      <c r="W4">
        <v>26</v>
      </c>
      <c r="X4">
        <v>4</v>
      </c>
    </row>
    <row r="5" spans="2:24" x14ac:dyDescent="0.2">
      <c r="B5" s="33">
        <v>0</v>
      </c>
      <c r="C5" s="33">
        <v>0</v>
      </c>
      <c r="D5" s="33">
        <v>6</v>
      </c>
      <c r="E5" s="33">
        <v>6</v>
      </c>
      <c r="F5" s="33">
        <v>35</v>
      </c>
      <c r="G5" s="67">
        <v>128</v>
      </c>
      <c r="H5" s="33">
        <v>1</v>
      </c>
      <c r="I5" s="33"/>
      <c r="J5" s="67">
        <v>4</v>
      </c>
      <c r="K5" s="67">
        <v>2</v>
      </c>
      <c r="L5" s="67"/>
      <c r="M5" s="33">
        <v>0</v>
      </c>
      <c r="N5" s="33">
        <v>19</v>
      </c>
      <c r="O5" s="33">
        <v>8</v>
      </c>
      <c r="P5" s="33">
        <v>56</v>
      </c>
      <c r="Q5" s="33">
        <v>19</v>
      </c>
      <c r="R5">
        <v>11</v>
      </c>
      <c r="S5" s="33">
        <v>4</v>
      </c>
      <c r="T5" s="33">
        <v>14</v>
      </c>
      <c r="U5" s="33">
        <v>17</v>
      </c>
      <c r="V5" s="33">
        <v>17</v>
      </c>
      <c r="W5">
        <v>18</v>
      </c>
      <c r="X5">
        <v>1</v>
      </c>
    </row>
    <row r="6" spans="2:24" x14ac:dyDescent="0.2">
      <c r="B6" s="33">
        <v>0</v>
      </c>
      <c r="C6" s="33">
        <v>3</v>
      </c>
      <c r="D6" s="33">
        <v>4</v>
      </c>
      <c r="E6" s="33">
        <v>8</v>
      </c>
      <c r="F6" s="33">
        <v>0</v>
      </c>
      <c r="G6" s="67">
        <v>2</v>
      </c>
      <c r="H6" s="33">
        <v>1</v>
      </c>
      <c r="I6" s="33"/>
      <c r="J6" s="67">
        <v>5</v>
      </c>
      <c r="K6" s="67">
        <v>1</v>
      </c>
      <c r="L6" s="67"/>
      <c r="M6" s="33">
        <v>5</v>
      </c>
      <c r="N6" s="33">
        <v>34</v>
      </c>
      <c r="O6" s="33">
        <v>3</v>
      </c>
      <c r="P6" s="33">
        <v>42</v>
      </c>
      <c r="Q6" s="33">
        <v>4</v>
      </c>
      <c r="R6">
        <v>38</v>
      </c>
      <c r="S6" s="33">
        <v>0</v>
      </c>
      <c r="T6" s="33">
        <v>17</v>
      </c>
      <c r="U6" s="33">
        <v>24</v>
      </c>
      <c r="V6" s="33">
        <v>1</v>
      </c>
      <c r="W6">
        <v>44</v>
      </c>
      <c r="X6">
        <v>16</v>
      </c>
    </row>
    <row r="7" spans="2:24" x14ac:dyDescent="0.2">
      <c r="B7" s="33">
        <v>0</v>
      </c>
      <c r="C7" s="33">
        <v>0</v>
      </c>
      <c r="D7" s="33">
        <v>5</v>
      </c>
      <c r="E7" s="33">
        <v>0</v>
      </c>
      <c r="F7" s="33">
        <v>4</v>
      </c>
      <c r="G7" s="67">
        <v>30</v>
      </c>
      <c r="H7" s="33">
        <v>1</v>
      </c>
      <c r="I7" s="33"/>
      <c r="J7" s="67">
        <v>16</v>
      </c>
      <c r="K7" s="67">
        <v>3</v>
      </c>
      <c r="L7" s="67"/>
      <c r="M7" s="33">
        <v>2</v>
      </c>
      <c r="N7" s="33">
        <v>3</v>
      </c>
      <c r="O7" s="33">
        <v>31</v>
      </c>
      <c r="P7" s="33">
        <v>17</v>
      </c>
      <c r="Q7" s="33">
        <v>4</v>
      </c>
      <c r="R7" s="33">
        <v>0</v>
      </c>
      <c r="S7" s="33">
        <v>4</v>
      </c>
      <c r="T7" s="33">
        <v>13</v>
      </c>
      <c r="U7" s="33">
        <v>2</v>
      </c>
      <c r="V7" s="33">
        <v>28</v>
      </c>
      <c r="W7">
        <v>41</v>
      </c>
      <c r="X7">
        <v>1</v>
      </c>
    </row>
    <row r="8" spans="2:24" x14ac:dyDescent="0.2">
      <c r="B8" s="33">
        <v>0</v>
      </c>
      <c r="C8" s="33">
        <v>2</v>
      </c>
      <c r="D8" s="33">
        <v>18</v>
      </c>
      <c r="E8" s="33">
        <v>0</v>
      </c>
      <c r="F8" s="33">
        <v>22</v>
      </c>
      <c r="G8" s="67">
        <v>49</v>
      </c>
      <c r="H8" s="33">
        <v>0</v>
      </c>
      <c r="I8" s="33"/>
      <c r="J8" s="67">
        <v>14</v>
      </c>
      <c r="K8" s="67">
        <v>8</v>
      </c>
      <c r="L8" s="67"/>
      <c r="M8" s="33">
        <v>0</v>
      </c>
      <c r="N8" s="33">
        <v>7</v>
      </c>
      <c r="O8" s="33">
        <v>11</v>
      </c>
      <c r="P8" s="33">
        <v>1</v>
      </c>
      <c r="Q8" s="33">
        <v>5</v>
      </c>
      <c r="R8">
        <v>56</v>
      </c>
      <c r="S8" s="33">
        <v>1</v>
      </c>
      <c r="T8" s="33">
        <v>7</v>
      </c>
      <c r="U8" s="33">
        <v>10</v>
      </c>
      <c r="V8" s="33">
        <v>25</v>
      </c>
      <c r="W8">
        <v>16</v>
      </c>
      <c r="X8">
        <v>1</v>
      </c>
    </row>
    <row r="9" spans="2:24" x14ac:dyDescent="0.2">
      <c r="B9" s="33">
        <v>0</v>
      </c>
      <c r="C9" s="33">
        <v>9</v>
      </c>
      <c r="D9" s="33">
        <v>2</v>
      </c>
      <c r="E9" s="33">
        <v>5</v>
      </c>
      <c r="F9" s="33">
        <v>9</v>
      </c>
      <c r="G9" s="67">
        <v>20</v>
      </c>
      <c r="H9" s="33">
        <v>0</v>
      </c>
      <c r="I9" s="33"/>
      <c r="J9" s="67">
        <v>24</v>
      </c>
      <c r="K9" s="67">
        <v>17</v>
      </c>
      <c r="L9" s="67"/>
      <c r="M9" s="33">
        <v>0</v>
      </c>
      <c r="N9" s="33">
        <v>8</v>
      </c>
      <c r="O9" s="33">
        <v>4</v>
      </c>
      <c r="P9" s="33">
        <v>44</v>
      </c>
      <c r="Q9" s="33">
        <v>0</v>
      </c>
      <c r="R9">
        <v>83</v>
      </c>
      <c r="S9" s="33">
        <v>1</v>
      </c>
      <c r="U9" s="33">
        <v>21</v>
      </c>
      <c r="V9" s="33">
        <v>12</v>
      </c>
      <c r="W9">
        <v>3</v>
      </c>
      <c r="X9">
        <v>8</v>
      </c>
    </row>
    <row r="10" spans="2:24" x14ac:dyDescent="0.2">
      <c r="B10" s="33">
        <v>0</v>
      </c>
      <c r="C10" s="33">
        <v>1</v>
      </c>
      <c r="D10" s="33">
        <v>9</v>
      </c>
      <c r="E10" s="33">
        <v>31</v>
      </c>
      <c r="F10" s="33">
        <v>27</v>
      </c>
      <c r="G10" s="67">
        <v>0</v>
      </c>
      <c r="H10" s="33">
        <v>2</v>
      </c>
      <c r="I10" s="33"/>
      <c r="J10" s="67">
        <v>7</v>
      </c>
      <c r="K10" s="67">
        <v>16</v>
      </c>
      <c r="L10" s="67"/>
      <c r="M10" s="33">
        <v>2</v>
      </c>
      <c r="N10" s="33">
        <v>13</v>
      </c>
      <c r="O10" s="33">
        <v>74</v>
      </c>
      <c r="P10" s="33">
        <v>6</v>
      </c>
      <c r="Q10" s="33">
        <v>8</v>
      </c>
      <c r="R10">
        <v>10</v>
      </c>
      <c r="S10" s="33">
        <v>4</v>
      </c>
      <c r="T10" s="121"/>
      <c r="U10" s="33">
        <v>20</v>
      </c>
      <c r="V10" s="33">
        <v>13</v>
      </c>
      <c r="W10">
        <v>24</v>
      </c>
      <c r="X10">
        <v>8</v>
      </c>
    </row>
    <row r="11" spans="2:24" x14ac:dyDescent="0.2">
      <c r="B11" s="33">
        <v>0</v>
      </c>
      <c r="C11" s="33">
        <v>5</v>
      </c>
      <c r="D11" s="33">
        <v>9</v>
      </c>
      <c r="E11" s="33">
        <v>36</v>
      </c>
      <c r="F11" s="33">
        <v>2</v>
      </c>
      <c r="G11" s="67">
        <v>15</v>
      </c>
      <c r="H11" s="33">
        <v>0</v>
      </c>
      <c r="I11" s="33"/>
      <c r="J11" s="67">
        <v>8</v>
      </c>
      <c r="K11" s="67">
        <v>30</v>
      </c>
      <c r="L11" s="67"/>
      <c r="M11" s="33">
        <v>0</v>
      </c>
      <c r="N11" s="33">
        <v>4</v>
      </c>
      <c r="O11" s="33">
        <v>79</v>
      </c>
      <c r="P11" s="33">
        <v>28</v>
      </c>
      <c r="Q11" s="33">
        <v>21</v>
      </c>
      <c r="R11">
        <v>39</v>
      </c>
      <c r="S11" s="33">
        <v>0</v>
      </c>
      <c r="U11" s="33">
        <v>14</v>
      </c>
      <c r="W11">
        <v>12</v>
      </c>
      <c r="X11">
        <v>8</v>
      </c>
    </row>
    <row r="12" spans="2:24" x14ac:dyDescent="0.2">
      <c r="B12" s="33">
        <v>0</v>
      </c>
      <c r="C12" s="33">
        <v>2</v>
      </c>
      <c r="D12" s="33">
        <v>5</v>
      </c>
      <c r="E12" s="33">
        <v>28</v>
      </c>
      <c r="F12" s="33">
        <v>11</v>
      </c>
      <c r="G12" s="67">
        <v>0</v>
      </c>
      <c r="H12" s="33">
        <v>0</v>
      </c>
      <c r="I12" s="33"/>
      <c r="J12" s="67">
        <v>13</v>
      </c>
      <c r="K12" s="67">
        <v>5</v>
      </c>
      <c r="L12" s="67"/>
      <c r="M12" s="33">
        <v>0</v>
      </c>
      <c r="N12" s="33">
        <v>7</v>
      </c>
      <c r="O12" s="33">
        <v>91</v>
      </c>
      <c r="P12" s="33">
        <v>59</v>
      </c>
      <c r="Q12" s="33">
        <v>7</v>
      </c>
      <c r="R12">
        <v>38</v>
      </c>
      <c r="U12" s="33">
        <v>6</v>
      </c>
      <c r="V12" s="84"/>
      <c r="W12">
        <v>14</v>
      </c>
      <c r="X12">
        <v>27</v>
      </c>
    </row>
    <row r="13" spans="2:24" x14ac:dyDescent="0.2">
      <c r="B13" s="33">
        <v>2</v>
      </c>
      <c r="C13" s="33">
        <v>4</v>
      </c>
      <c r="D13" s="33"/>
      <c r="E13" s="33">
        <v>12</v>
      </c>
      <c r="F13" s="33">
        <v>22</v>
      </c>
      <c r="G13" s="67">
        <v>0</v>
      </c>
      <c r="H13" s="33">
        <v>2</v>
      </c>
      <c r="I13" s="33"/>
      <c r="J13" s="67">
        <v>7</v>
      </c>
      <c r="K13" s="67">
        <v>0</v>
      </c>
      <c r="L13" s="67"/>
      <c r="M13" s="33">
        <v>0</v>
      </c>
      <c r="N13" s="33">
        <v>0</v>
      </c>
      <c r="O13" s="33">
        <v>117</v>
      </c>
      <c r="P13" s="33">
        <v>4</v>
      </c>
      <c r="Q13" s="33">
        <v>97</v>
      </c>
      <c r="R13">
        <v>37</v>
      </c>
      <c r="S13" s="121"/>
      <c r="U13" s="33">
        <v>18</v>
      </c>
      <c r="W13">
        <v>0</v>
      </c>
      <c r="X13">
        <v>4</v>
      </c>
    </row>
    <row r="14" spans="2:24" x14ac:dyDescent="0.2">
      <c r="B14" s="33">
        <v>0</v>
      </c>
      <c r="C14" s="33">
        <v>1</v>
      </c>
      <c r="D14" s="40"/>
      <c r="E14" s="33">
        <v>14</v>
      </c>
      <c r="F14" s="33">
        <v>17</v>
      </c>
      <c r="G14" s="67">
        <v>2</v>
      </c>
      <c r="H14" s="33">
        <v>0</v>
      </c>
      <c r="I14" s="33"/>
      <c r="J14" s="67">
        <v>6</v>
      </c>
      <c r="K14" s="67">
        <v>3</v>
      </c>
      <c r="L14" s="67"/>
      <c r="M14" s="33">
        <v>0</v>
      </c>
      <c r="N14" s="33">
        <v>37</v>
      </c>
      <c r="O14" s="33">
        <v>139</v>
      </c>
      <c r="P14" s="33">
        <v>8</v>
      </c>
      <c r="Q14" s="33">
        <v>41</v>
      </c>
      <c r="R14">
        <v>26</v>
      </c>
      <c r="U14" s="33">
        <v>11</v>
      </c>
      <c r="W14">
        <v>3</v>
      </c>
      <c r="X14">
        <v>0</v>
      </c>
    </row>
    <row r="15" spans="2:24" x14ac:dyDescent="0.2">
      <c r="B15" s="33">
        <v>0</v>
      </c>
      <c r="C15" s="33">
        <v>6</v>
      </c>
      <c r="E15" s="33">
        <v>0</v>
      </c>
      <c r="F15" s="33">
        <v>1</v>
      </c>
      <c r="G15" s="67">
        <v>2</v>
      </c>
      <c r="H15" s="33">
        <v>3</v>
      </c>
      <c r="I15" s="33"/>
      <c r="J15" s="67">
        <v>18</v>
      </c>
      <c r="K15" s="67">
        <v>1</v>
      </c>
      <c r="L15" s="67"/>
      <c r="M15" s="33">
        <v>0</v>
      </c>
      <c r="N15" s="33">
        <v>11</v>
      </c>
      <c r="O15" s="33">
        <v>23</v>
      </c>
      <c r="P15" s="33">
        <v>1</v>
      </c>
      <c r="Q15" s="33">
        <v>91</v>
      </c>
      <c r="R15">
        <v>31</v>
      </c>
      <c r="U15" s="33">
        <v>19</v>
      </c>
      <c r="W15">
        <v>2</v>
      </c>
      <c r="X15">
        <v>21</v>
      </c>
    </row>
    <row r="16" spans="2:24" x14ac:dyDescent="0.2">
      <c r="B16" s="33">
        <v>0</v>
      </c>
      <c r="C16" s="33">
        <v>0</v>
      </c>
      <c r="E16" s="33">
        <v>3</v>
      </c>
      <c r="F16" s="33">
        <v>27</v>
      </c>
      <c r="G16" s="67">
        <v>8</v>
      </c>
      <c r="H16" s="33">
        <v>5</v>
      </c>
      <c r="I16" s="33"/>
      <c r="J16" s="67">
        <v>9</v>
      </c>
      <c r="K16" s="67">
        <v>48</v>
      </c>
      <c r="L16" s="67"/>
      <c r="M16" s="33">
        <v>0</v>
      </c>
      <c r="N16" s="33">
        <v>28</v>
      </c>
      <c r="O16" s="33">
        <v>112</v>
      </c>
      <c r="P16" s="33">
        <v>1</v>
      </c>
      <c r="Q16" s="33">
        <v>2</v>
      </c>
      <c r="R16">
        <v>18</v>
      </c>
      <c r="U16" s="33">
        <v>40</v>
      </c>
      <c r="W16">
        <v>17</v>
      </c>
      <c r="X16">
        <v>3</v>
      </c>
    </row>
    <row r="17" spans="2:37" x14ac:dyDescent="0.2">
      <c r="B17" s="33">
        <v>0</v>
      </c>
      <c r="C17" s="33">
        <v>4</v>
      </c>
      <c r="E17" s="33">
        <v>14</v>
      </c>
      <c r="F17" s="33">
        <v>8</v>
      </c>
      <c r="G17" s="67">
        <v>5</v>
      </c>
      <c r="H17" s="33">
        <v>8</v>
      </c>
      <c r="I17" s="33"/>
      <c r="J17" s="67">
        <v>0</v>
      </c>
      <c r="K17" s="67">
        <v>37</v>
      </c>
      <c r="L17" s="67"/>
      <c r="N17" s="33">
        <v>15</v>
      </c>
      <c r="O17" s="33">
        <v>124</v>
      </c>
      <c r="P17" s="33">
        <v>2</v>
      </c>
      <c r="Q17" s="33">
        <v>15</v>
      </c>
      <c r="R17">
        <v>10</v>
      </c>
      <c r="U17" s="33">
        <v>0</v>
      </c>
      <c r="W17">
        <v>26</v>
      </c>
      <c r="X17">
        <v>3</v>
      </c>
    </row>
    <row r="18" spans="2:37" x14ac:dyDescent="0.2">
      <c r="B18" s="33">
        <v>0</v>
      </c>
      <c r="C18" s="33">
        <v>0</v>
      </c>
      <c r="E18" s="33">
        <v>47</v>
      </c>
      <c r="F18" s="33">
        <v>6</v>
      </c>
      <c r="G18" s="67">
        <v>27</v>
      </c>
      <c r="H18" s="33">
        <v>1</v>
      </c>
      <c r="I18" s="33"/>
      <c r="J18" s="67">
        <v>22</v>
      </c>
      <c r="K18" s="67">
        <v>35</v>
      </c>
      <c r="L18" s="67"/>
      <c r="N18" s="33">
        <v>9</v>
      </c>
      <c r="O18" s="33">
        <v>108</v>
      </c>
      <c r="P18" s="33">
        <v>4</v>
      </c>
      <c r="Q18" s="33">
        <v>18</v>
      </c>
      <c r="R18">
        <v>16</v>
      </c>
      <c r="U18" s="33">
        <v>21</v>
      </c>
      <c r="X18">
        <v>14</v>
      </c>
    </row>
    <row r="19" spans="2:37" x14ac:dyDescent="0.2">
      <c r="B19" s="33">
        <v>0</v>
      </c>
      <c r="C19" s="33">
        <v>0</v>
      </c>
      <c r="E19" s="33">
        <v>5</v>
      </c>
      <c r="F19" s="33">
        <v>2</v>
      </c>
      <c r="G19" s="67">
        <v>10</v>
      </c>
      <c r="H19" s="33">
        <v>8</v>
      </c>
      <c r="I19" s="33"/>
      <c r="J19" s="67">
        <v>16</v>
      </c>
      <c r="K19" s="67">
        <v>29</v>
      </c>
      <c r="L19" s="67"/>
      <c r="M19" s="85"/>
      <c r="N19" s="33">
        <v>22</v>
      </c>
      <c r="O19" s="33">
        <v>44</v>
      </c>
      <c r="P19" s="33">
        <v>1</v>
      </c>
      <c r="Q19" s="33">
        <v>17</v>
      </c>
      <c r="R19">
        <v>26</v>
      </c>
      <c r="U19" s="33">
        <v>10</v>
      </c>
      <c r="W19" s="87"/>
      <c r="X19">
        <v>0</v>
      </c>
    </row>
    <row r="20" spans="2:37" x14ac:dyDescent="0.2">
      <c r="B20" s="33">
        <v>0</v>
      </c>
      <c r="C20" s="33">
        <v>2</v>
      </c>
      <c r="E20" s="33">
        <v>17</v>
      </c>
      <c r="F20" s="33">
        <v>9</v>
      </c>
      <c r="G20" s="67">
        <v>13</v>
      </c>
      <c r="H20" s="33">
        <v>3</v>
      </c>
      <c r="I20" s="33"/>
      <c r="J20" s="67">
        <v>58</v>
      </c>
      <c r="K20" s="67">
        <v>144</v>
      </c>
      <c r="L20" s="67"/>
      <c r="N20" s="33">
        <v>14</v>
      </c>
      <c r="O20" s="33">
        <v>23</v>
      </c>
      <c r="P20" s="33">
        <v>4</v>
      </c>
      <c r="Q20" s="33">
        <v>50</v>
      </c>
      <c r="R20" s="33">
        <v>0</v>
      </c>
      <c r="U20" s="33">
        <v>5</v>
      </c>
      <c r="X20">
        <v>1</v>
      </c>
    </row>
    <row r="21" spans="2:37" x14ac:dyDescent="0.2">
      <c r="B21" s="33">
        <v>0</v>
      </c>
      <c r="C21" s="33">
        <v>25</v>
      </c>
      <c r="E21" s="33">
        <v>0</v>
      </c>
      <c r="F21" s="33">
        <v>13</v>
      </c>
      <c r="G21" s="67">
        <v>2</v>
      </c>
      <c r="H21" s="33">
        <v>2</v>
      </c>
      <c r="I21" s="33"/>
      <c r="J21" s="67">
        <v>16</v>
      </c>
      <c r="K21" s="67">
        <v>42</v>
      </c>
      <c r="L21" s="67"/>
      <c r="N21" s="33">
        <v>15</v>
      </c>
      <c r="O21" s="33">
        <v>40</v>
      </c>
      <c r="P21" s="33">
        <v>0</v>
      </c>
      <c r="Q21" s="33">
        <v>31</v>
      </c>
      <c r="R21">
        <v>3</v>
      </c>
      <c r="U21" s="33">
        <v>5</v>
      </c>
      <c r="X21">
        <v>73</v>
      </c>
    </row>
    <row r="22" spans="2:37" x14ac:dyDescent="0.2">
      <c r="B22" s="33">
        <v>0</v>
      </c>
      <c r="C22" s="33">
        <v>10</v>
      </c>
      <c r="E22" s="33">
        <v>9</v>
      </c>
      <c r="F22" s="33">
        <v>6</v>
      </c>
      <c r="G22" s="67">
        <v>14</v>
      </c>
      <c r="H22" s="33">
        <v>0</v>
      </c>
      <c r="I22" s="33"/>
      <c r="J22" s="67">
        <v>36</v>
      </c>
      <c r="K22" s="67">
        <v>48</v>
      </c>
      <c r="L22" s="67"/>
      <c r="N22" s="33">
        <v>3</v>
      </c>
      <c r="O22" s="33">
        <v>3</v>
      </c>
      <c r="P22" s="33">
        <v>21</v>
      </c>
      <c r="Q22" s="33">
        <v>8</v>
      </c>
      <c r="U22" s="33">
        <v>12</v>
      </c>
      <c r="X22">
        <v>6</v>
      </c>
    </row>
    <row r="23" spans="2:37" x14ac:dyDescent="0.2">
      <c r="B23" s="33">
        <v>0</v>
      </c>
      <c r="C23" s="33">
        <v>22</v>
      </c>
      <c r="E23" s="33">
        <v>5</v>
      </c>
      <c r="F23" s="33">
        <v>4</v>
      </c>
      <c r="G23" s="67">
        <v>15</v>
      </c>
      <c r="H23" s="33">
        <v>15</v>
      </c>
      <c r="I23" s="33"/>
      <c r="J23" s="67">
        <v>13</v>
      </c>
      <c r="K23" s="67">
        <v>30</v>
      </c>
      <c r="L23" s="67"/>
      <c r="N23" s="33">
        <v>18</v>
      </c>
      <c r="O23" s="33">
        <v>0</v>
      </c>
      <c r="P23" s="33">
        <v>16</v>
      </c>
      <c r="Q23" s="33">
        <v>1</v>
      </c>
      <c r="R23" s="87"/>
      <c r="U23" s="33">
        <v>5</v>
      </c>
      <c r="X23">
        <v>19</v>
      </c>
    </row>
    <row r="24" spans="2:37" x14ac:dyDescent="0.2">
      <c r="B24" s="33">
        <v>0</v>
      </c>
      <c r="C24" s="33">
        <v>2</v>
      </c>
      <c r="E24" s="33">
        <v>6</v>
      </c>
      <c r="F24" s="33">
        <v>10</v>
      </c>
      <c r="G24" s="67">
        <v>2</v>
      </c>
      <c r="H24" s="33">
        <v>0</v>
      </c>
      <c r="I24" s="33"/>
      <c r="J24" s="33">
        <v>19</v>
      </c>
      <c r="K24" s="67">
        <v>64</v>
      </c>
      <c r="L24" s="67"/>
      <c r="N24" s="33">
        <v>15</v>
      </c>
      <c r="O24" s="33">
        <v>8</v>
      </c>
      <c r="P24" s="33">
        <v>0</v>
      </c>
      <c r="Q24" s="33">
        <v>2</v>
      </c>
      <c r="U24" s="33">
        <v>0</v>
      </c>
      <c r="X24">
        <v>3</v>
      </c>
    </row>
    <row r="25" spans="2:37" x14ac:dyDescent="0.2">
      <c r="B25" s="33">
        <v>0</v>
      </c>
      <c r="C25" s="33">
        <v>3</v>
      </c>
      <c r="E25" s="33">
        <v>1</v>
      </c>
      <c r="F25" s="33"/>
      <c r="G25" s="67">
        <v>0</v>
      </c>
      <c r="H25" s="33">
        <v>2</v>
      </c>
      <c r="I25" s="33"/>
      <c r="J25" s="67">
        <v>29</v>
      </c>
      <c r="K25" s="67">
        <v>3</v>
      </c>
      <c r="L25" s="67"/>
      <c r="N25" s="33">
        <v>33</v>
      </c>
      <c r="O25" s="33">
        <v>0</v>
      </c>
      <c r="P25" s="33">
        <v>12</v>
      </c>
      <c r="Q25" s="33">
        <v>3</v>
      </c>
      <c r="U25" s="33">
        <v>11</v>
      </c>
      <c r="X25">
        <v>8</v>
      </c>
    </row>
    <row r="26" spans="2:37" x14ac:dyDescent="0.2">
      <c r="B26" s="33">
        <v>2</v>
      </c>
      <c r="E26" s="33">
        <v>10</v>
      </c>
      <c r="F26" s="40"/>
      <c r="G26" s="67">
        <v>22</v>
      </c>
      <c r="H26" s="33">
        <v>9</v>
      </c>
      <c r="I26" s="33"/>
      <c r="J26" s="67">
        <v>25</v>
      </c>
      <c r="K26" s="67">
        <v>0</v>
      </c>
      <c r="L26" s="67"/>
      <c r="N26" s="33">
        <v>31</v>
      </c>
      <c r="O26" s="33">
        <v>1</v>
      </c>
      <c r="P26" s="33">
        <v>68</v>
      </c>
      <c r="Q26" s="33">
        <v>0</v>
      </c>
      <c r="U26" s="33">
        <v>19</v>
      </c>
      <c r="X26">
        <v>56</v>
      </c>
    </row>
    <row r="27" spans="2:37" x14ac:dyDescent="0.2">
      <c r="B27" s="33">
        <v>0</v>
      </c>
      <c r="C27" s="33"/>
      <c r="E27" s="33"/>
      <c r="G27" s="33"/>
      <c r="I27" s="33"/>
      <c r="J27" s="33">
        <v>12</v>
      </c>
      <c r="K27" s="67">
        <v>13</v>
      </c>
      <c r="L27" s="67"/>
    </row>
    <row r="28" spans="2:37" x14ac:dyDescent="0.2">
      <c r="C28" s="40"/>
      <c r="E28" s="40"/>
      <c r="G28" s="40"/>
      <c r="H28" s="33"/>
      <c r="I28" s="33"/>
      <c r="J28" s="33">
        <v>4</v>
      </c>
      <c r="K28" s="33">
        <v>8</v>
      </c>
      <c r="L28" s="67"/>
      <c r="N28" s="87"/>
      <c r="O28" s="33"/>
      <c r="P28" s="84"/>
      <c r="U28" s="84"/>
      <c r="X28" s="87"/>
    </row>
    <row r="29" spans="2:37" x14ac:dyDescent="0.2">
      <c r="I29" s="67"/>
      <c r="J29" s="33">
        <v>43</v>
      </c>
      <c r="K29" s="67">
        <v>9</v>
      </c>
      <c r="L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</row>
    <row r="30" spans="2:37" x14ac:dyDescent="0.2">
      <c r="I30" s="33"/>
      <c r="J30" s="33">
        <v>1</v>
      </c>
      <c r="K30" s="67">
        <v>19</v>
      </c>
      <c r="L30" s="67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spans="2:37" x14ac:dyDescent="0.2">
      <c r="I31" s="33"/>
      <c r="J31" s="33">
        <v>3</v>
      </c>
      <c r="K31" s="33">
        <v>77</v>
      </c>
      <c r="L31" s="67"/>
      <c r="M31" s="33"/>
      <c r="N31" s="33"/>
      <c r="O31" s="33"/>
      <c r="R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spans="2:37" x14ac:dyDescent="0.2">
      <c r="B32" s="33"/>
      <c r="C32" s="33"/>
      <c r="D32" s="33"/>
      <c r="E32" s="33"/>
      <c r="F32" s="33"/>
      <c r="G32" s="33"/>
      <c r="H32" s="33"/>
      <c r="I32" s="33"/>
      <c r="J32" s="33">
        <v>23</v>
      </c>
      <c r="K32" s="33">
        <v>50</v>
      </c>
      <c r="L32" s="33"/>
      <c r="M32" s="33"/>
      <c r="N32" s="33"/>
      <c r="O32" s="33"/>
      <c r="R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</row>
    <row r="33" spans="2:37" x14ac:dyDescent="0.2">
      <c r="B33" s="33"/>
      <c r="C33" s="33"/>
      <c r="D33" s="33"/>
      <c r="E33" s="33"/>
      <c r="F33" s="33"/>
      <c r="G33" s="33"/>
      <c r="H33" s="33"/>
      <c r="I33" s="33"/>
      <c r="J33" s="33">
        <v>20</v>
      </c>
      <c r="L33" s="33"/>
      <c r="M33" s="33"/>
      <c r="N33" s="33"/>
      <c r="O33" s="33"/>
      <c r="R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</row>
    <row r="34" spans="2:37" x14ac:dyDescent="0.2">
      <c r="B34" s="33"/>
      <c r="J34" s="33">
        <v>17</v>
      </c>
      <c r="K34" s="33"/>
      <c r="L34" s="33"/>
    </row>
    <row r="35" spans="2:37" x14ac:dyDescent="0.2">
      <c r="J35" s="33">
        <v>20</v>
      </c>
      <c r="K35" s="67"/>
      <c r="L35" s="40"/>
    </row>
    <row r="36" spans="2:37" x14ac:dyDescent="0.2">
      <c r="B36" s="33"/>
      <c r="J36" s="33">
        <v>0</v>
      </c>
      <c r="K36" s="33"/>
    </row>
    <row r="37" spans="2:37" x14ac:dyDescent="0.2">
      <c r="J37" s="33">
        <v>0</v>
      </c>
    </row>
    <row r="38" spans="2:37" x14ac:dyDescent="0.2">
      <c r="B38" s="33"/>
      <c r="J38" s="33">
        <v>144</v>
      </c>
    </row>
    <row r="39" spans="2:37" x14ac:dyDescent="0.2">
      <c r="J39" s="33">
        <v>42</v>
      </c>
    </row>
    <row r="40" spans="2:37" x14ac:dyDescent="0.2">
      <c r="J40" s="33">
        <v>18</v>
      </c>
    </row>
    <row r="41" spans="2:37" x14ac:dyDescent="0.2">
      <c r="B41" s="33"/>
      <c r="J41" s="33">
        <v>33</v>
      </c>
    </row>
    <row r="42" spans="2:37" x14ac:dyDescent="0.2">
      <c r="B42" s="33"/>
      <c r="J42" s="33">
        <v>16</v>
      </c>
    </row>
    <row r="43" spans="2:37" x14ac:dyDescent="0.2">
      <c r="B43" s="33"/>
      <c r="J43" s="33">
        <v>19</v>
      </c>
    </row>
    <row r="44" spans="2:37" x14ac:dyDescent="0.2">
      <c r="B44" s="34"/>
      <c r="J44" s="33">
        <v>3</v>
      </c>
    </row>
    <row r="45" spans="2:37" x14ac:dyDescent="0.2">
      <c r="J45" s="33">
        <v>22</v>
      </c>
    </row>
    <row r="46" spans="2:37" x14ac:dyDescent="0.2">
      <c r="J46" s="33">
        <v>9</v>
      </c>
    </row>
    <row r="47" spans="2:37" x14ac:dyDescent="0.2">
      <c r="J47" s="33">
        <v>27</v>
      </c>
    </row>
    <row r="48" spans="2:37" x14ac:dyDescent="0.2">
      <c r="J48" s="33">
        <v>12</v>
      </c>
    </row>
    <row r="49" spans="1:24" x14ac:dyDescent="0.2">
      <c r="J49" s="33">
        <v>22</v>
      </c>
    </row>
    <row r="53" spans="1:24" x14ac:dyDescent="0.2">
      <c r="J53" s="33"/>
    </row>
    <row r="54" spans="1:24" x14ac:dyDescent="0.2">
      <c r="A54" t="s">
        <v>1373</v>
      </c>
      <c r="B54" s="33">
        <f>SUM(B2:B27)</f>
        <v>4</v>
      </c>
      <c r="C54" s="33">
        <f>SUM(C2:C25)</f>
        <v>103</v>
      </c>
      <c r="D54" s="33">
        <f>SUM(D2:D12)</f>
        <v>76</v>
      </c>
      <c r="E54" s="33">
        <f>SUM(E2:E26)</f>
        <v>275</v>
      </c>
      <c r="F54" s="33">
        <f>SUM(F2:F24)</f>
        <v>267</v>
      </c>
      <c r="G54" s="33">
        <f>SUM(G2:G26)</f>
        <v>584</v>
      </c>
      <c r="H54" s="67">
        <f>SUM(H2:H26)</f>
        <v>63</v>
      </c>
      <c r="J54" s="67">
        <f>SUM(J3:J49)</f>
        <v>889</v>
      </c>
      <c r="K54" s="122">
        <f>SUM(K3:K32)</f>
        <v>745</v>
      </c>
      <c r="M54" s="33">
        <f>SUM(M3:M11)</f>
        <v>14</v>
      </c>
      <c r="N54" s="33">
        <f>SUM(N2:N26)</f>
        <v>366</v>
      </c>
      <c r="O54" s="33">
        <f>SUM(O3:O26)</f>
        <v>1043</v>
      </c>
      <c r="P54" s="33">
        <f>SUM(P2:P26)</f>
        <v>422</v>
      </c>
      <c r="Q54" s="33">
        <f>SUM(Q2:Q26)</f>
        <v>545</v>
      </c>
      <c r="R54" s="33">
        <f>SUM(R2:R21)</f>
        <v>444</v>
      </c>
      <c r="S54" s="33">
        <f>SUM(S2:S11)</f>
        <v>51</v>
      </c>
      <c r="T54" s="33">
        <f>SUM(T2:T8)</f>
        <v>77</v>
      </c>
      <c r="U54" s="33">
        <f>SUM(U2:U26)</f>
        <v>309</v>
      </c>
      <c r="V54" s="33">
        <f>SUM(V2:V10)</f>
        <v>115</v>
      </c>
      <c r="W54" s="33">
        <f>SUM(W2:W17)</f>
        <v>314</v>
      </c>
      <c r="X54" s="33">
        <f>SUM(X2:X26)</f>
        <v>292</v>
      </c>
    </row>
    <row r="55" spans="1:24" x14ac:dyDescent="0.2">
      <c r="A55" t="s">
        <v>1374</v>
      </c>
      <c r="B55" s="40">
        <f>VAR(B2:B27)</f>
        <v>0.29538461538461541</v>
      </c>
      <c r="C55" s="40">
        <f>VAR(C2:C25)</f>
        <v>42.563405797101446</v>
      </c>
      <c r="D55" s="40">
        <f>VAR(D2:D12)</f>
        <v>26.090909090909086</v>
      </c>
      <c r="E55" s="40">
        <f>VAR(E2:E26)</f>
        <v>152.41666666666666</v>
      </c>
      <c r="F55" s="40">
        <f>VAR(F2:F24)</f>
        <v>112.33992094861659</v>
      </c>
      <c r="G55" s="40">
        <f>VAR(G2,G3,G4,G5,G6,G7,G8,G9,G10,G11,G12,G13,G14,G15,G16,G17,G18,G19,G20,G21,G22,G23,G24,G25,G26)</f>
        <v>1062.49</v>
      </c>
      <c r="H55" s="40">
        <f>VAR(H2:H26)</f>
        <v>14.093333333333334</v>
      </c>
      <c r="J55" s="40">
        <f>VAR(J3:J49)</f>
        <v>499.38390379278445</v>
      </c>
      <c r="K55">
        <f>VAR(K3:K32)</f>
        <v>955.66091954022988</v>
      </c>
      <c r="M55" s="123">
        <f>VAR(M3:M15)</f>
        <v>2.9102564102564101</v>
      </c>
      <c r="N55">
        <f>VAR(N2:N26)</f>
        <v>115.40666666666668</v>
      </c>
      <c r="O55">
        <f>VAR(O3:O26)</f>
        <v>2308.8677536231885</v>
      </c>
      <c r="P55" s="33">
        <f>VAR(P2:P26)</f>
        <v>426.85999999999996</v>
      </c>
      <c r="Q55" s="33">
        <f>VAR(Q2:Q26)</f>
        <v>717.83333333333337</v>
      </c>
      <c r="R55">
        <f>VAR(R2:R21)</f>
        <v>482.8</v>
      </c>
      <c r="S55" s="33">
        <f>VAR(S2:S11)</f>
        <v>58.544444444444444</v>
      </c>
      <c r="T55" s="33">
        <f>VAR(T2:T8)</f>
        <v>15.666666666666666</v>
      </c>
      <c r="U55" s="33">
        <f>VAR(U2:U26)</f>
        <v>83.823333333333338</v>
      </c>
      <c r="V55" s="33">
        <f>VAR(V2:V10)</f>
        <v>85.194444444444457</v>
      </c>
      <c r="W55">
        <f>VAR(W2:W17)</f>
        <v>199.85</v>
      </c>
      <c r="X55">
        <f>VAR(X2:X26)</f>
        <v>309.06</v>
      </c>
    </row>
    <row r="56" spans="1:24" s="33" customFormat="1" x14ac:dyDescent="0.2">
      <c r="A56" s="33" t="s">
        <v>1375</v>
      </c>
      <c r="B56" s="33">
        <v>26</v>
      </c>
      <c r="C56" s="33">
        <v>15</v>
      </c>
      <c r="D56" s="33">
        <v>11</v>
      </c>
      <c r="E56" s="33">
        <v>25</v>
      </c>
      <c r="F56" s="33">
        <v>23</v>
      </c>
      <c r="G56" s="33">
        <v>25</v>
      </c>
      <c r="H56" s="33">
        <v>22</v>
      </c>
      <c r="J56" s="33">
        <v>47</v>
      </c>
      <c r="K56" s="33">
        <v>30</v>
      </c>
      <c r="M56" s="33">
        <v>14</v>
      </c>
      <c r="N56" s="33">
        <v>25</v>
      </c>
      <c r="O56" s="33">
        <v>20</v>
      </c>
      <c r="P56" s="33">
        <v>25</v>
      </c>
      <c r="Q56" s="33">
        <v>25</v>
      </c>
      <c r="R56" s="33">
        <v>20</v>
      </c>
      <c r="S56" s="33">
        <v>10</v>
      </c>
      <c r="T56" s="33">
        <v>7</v>
      </c>
      <c r="U56" s="33">
        <v>25</v>
      </c>
      <c r="V56" s="33">
        <v>9</v>
      </c>
      <c r="W56" s="33">
        <v>16</v>
      </c>
      <c r="X56" s="33">
        <v>25</v>
      </c>
    </row>
    <row r="57" spans="1:24" s="33" customFormat="1" x14ac:dyDescent="0.2">
      <c r="A57" s="35" t="s">
        <v>616</v>
      </c>
      <c r="B57" s="33">
        <v>1400</v>
      </c>
      <c r="C57" s="33">
        <v>16700</v>
      </c>
      <c r="D57" s="33">
        <v>540</v>
      </c>
      <c r="E57" s="33">
        <v>8280</v>
      </c>
      <c r="F57" s="33">
        <v>2475</v>
      </c>
      <c r="G57" s="33">
        <v>2625</v>
      </c>
      <c r="H57" s="33">
        <v>2850</v>
      </c>
      <c r="J57" s="33">
        <v>17650</v>
      </c>
      <c r="K57" s="33">
        <v>4860</v>
      </c>
      <c r="M57" s="33">
        <v>1290</v>
      </c>
      <c r="N57" s="33">
        <v>3120</v>
      </c>
      <c r="O57" s="33">
        <v>8000</v>
      </c>
      <c r="P57" s="33">
        <v>5400</v>
      </c>
      <c r="Q57" s="33">
        <v>6000</v>
      </c>
      <c r="R57" s="33">
        <v>2000</v>
      </c>
      <c r="S57" s="33">
        <v>880</v>
      </c>
      <c r="T57" s="33">
        <v>700</v>
      </c>
      <c r="U57" s="33">
        <v>2800</v>
      </c>
      <c r="V57" s="33">
        <v>880</v>
      </c>
      <c r="W57" s="33">
        <v>1610</v>
      </c>
      <c r="X57" s="33">
        <v>5150</v>
      </c>
    </row>
    <row r="58" spans="1:24" s="33" customFormat="1" x14ac:dyDescent="0.2">
      <c r="A58" s="35" t="s">
        <v>1376</v>
      </c>
      <c r="B58" s="35" t="s">
        <v>1378</v>
      </c>
      <c r="C58" s="35" t="s">
        <v>1379</v>
      </c>
      <c r="D58" s="35" t="s">
        <v>1380</v>
      </c>
      <c r="E58" s="35" t="s">
        <v>1381</v>
      </c>
      <c r="F58" s="35" t="s">
        <v>1382</v>
      </c>
      <c r="G58" s="35" t="s">
        <v>1377</v>
      </c>
      <c r="H58" s="35" t="s">
        <v>1383</v>
      </c>
      <c r="J58" s="35" t="s">
        <v>1384</v>
      </c>
      <c r="K58" s="35" t="s">
        <v>1385</v>
      </c>
      <c r="M58" s="35" t="s">
        <v>1387</v>
      </c>
      <c r="N58" s="35" t="s">
        <v>1388</v>
      </c>
      <c r="O58" s="35" t="s">
        <v>1389</v>
      </c>
      <c r="P58" s="35" t="s">
        <v>1390</v>
      </c>
      <c r="Q58" s="35" t="s">
        <v>1391</v>
      </c>
      <c r="R58" s="35" t="s">
        <v>1392</v>
      </c>
      <c r="S58" s="35" t="s">
        <v>1393</v>
      </c>
      <c r="T58" s="35" t="s">
        <v>1394</v>
      </c>
      <c r="U58" s="35" t="s">
        <v>1395</v>
      </c>
      <c r="V58" s="35" t="s">
        <v>1396</v>
      </c>
      <c r="W58" s="35" t="s">
        <v>1397</v>
      </c>
      <c r="X58" s="35" t="s">
        <v>1398</v>
      </c>
    </row>
    <row r="60" spans="1:24" x14ac:dyDescent="0.2">
      <c r="K60" s="30" t="s">
        <v>1386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31"/>
  <sheetViews>
    <sheetView workbookViewId="0">
      <selection activeCell="E13" sqref="E13:E14"/>
    </sheetView>
  </sheetViews>
  <sheetFormatPr defaultColWidth="12.5703125" defaultRowHeight="12.75" x14ac:dyDescent="0.2"/>
  <cols>
    <col min="1" max="1" width="15.140625" style="110" customWidth="1"/>
    <col min="2" max="256" width="12.5703125" style="110"/>
    <col min="257" max="257" width="15.140625" style="110" customWidth="1"/>
    <col min="258" max="512" width="12.5703125" style="110"/>
    <col min="513" max="513" width="15.140625" style="110" customWidth="1"/>
    <col min="514" max="768" width="12.5703125" style="110"/>
    <col min="769" max="769" width="15.140625" style="110" customWidth="1"/>
    <col min="770" max="1024" width="12.5703125" style="110"/>
    <col min="1025" max="1025" width="15.140625" style="110" customWidth="1"/>
    <col min="1026" max="1280" width="12.5703125" style="110"/>
    <col min="1281" max="1281" width="15.140625" style="110" customWidth="1"/>
    <col min="1282" max="1536" width="12.5703125" style="110"/>
    <col min="1537" max="1537" width="15.140625" style="110" customWidth="1"/>
    <col min="1538" max="1792" width="12.5703125" style="110"/>
    <col min="1793" max="1793" width="15.140625" style="110" customWidth="1"/>
    <col min="1794" max="2048" width="12.5703125" style="110"/>
    <col min="2049" max="2049" width="15.140625" style="110" customWidth="1"/>
    <col min="2050" max="2304" width="12.5703125" style="110"/>
    <col min="2305" max="2305" width="15.140625" style="110" customWidth="1"/>
    <col min="2306" max="2560" width="12.5703125" style="110"/>
    <col min="2561" max="2561" width="15.140625" style="110" customWidth="1"/>
    <col min="2562" max="2816" width="12.5703125" style="110"/>
    <col min="2817" max="2817" width="15.140625" style="110" customWidth="1"/>
    <col min="2818" max="3072" width="12.5703125" style="110"/>
    <col min="3073" max="3073" width="15.140625" style="110" customWidth="1"/>
    <col min="3074" max="3328" width="12.5703125" style="110"/>
    <col min="3329" max="3329" width="15.140625" style="110" customWidth="1"/>
    <col min="3330" max="3584" width="12.5703125" style="110"/>
    <col min="3585" max="3585" width="15.140625" style="110" customWidth="1"/>
    <col min="3586" max="3840" width="12.5703125" style="110"/>
    <col min="3841" max="3841" width="15.140625" style="110" customWidth="1"/>
    <col min="3842" max="4096" width="12.5703125" style="110"/>
    <col min="4097" max="4097" width="15.140625" style="110" customWidth="1"/>
    <col min="4098" max="4352" width="12.5703125" style="110"/>
    <col min="4353" max="4353" width="15.140625" style="110" customWidth="1"/>
    <col min="4354" max="4608" width="12.5703125" style="110"/>
    <col min="4609" max="4609" width="15.140625" style="110" customWidth="1"/>
    <col min="4610" max="4864" width="12.5703125" style="110"/>
    <col min="4865" max="4865" width="15.140625" style="110" customWidth="1"/>
    <col min="4866" max="5120" width="12.5703125" style="110"/>
    <col min="5121" max="5121" width="15.140625" style="110" customWidth="1"/>
    <col min="5122" max="5376" width="12.5703125" style="110"/>
    <col min="5377" max="5377" width="15.140625" style="110" customWidth="1"/>
    <col min="5378" max="5632" width="12.5703125" style="110"/>
    <col min="5633" max="5633" width="15.140625" style="110" customWidth="1"/>
    <col min="5634" max="5888" width="12.5703125" style="110"/>
    <col min="5889" max="5889" width="15.140625" style="110" customWidth="1"/>
    <col min="5890" max="6144" width="12.5703125" style="110"/>
    <col min="6145" max="6145" width="15.140625" style="110" customWidth="1"/>
    <col min="6146" max="6400" width="12.5703125" style="110"/>
    <col min="6401" max="6401" width="15.140625" style="110" customWidth="1"/>
    <col min="6402" max="6656" width="12.5703125" style="110"/>
    <col min="6657" max="6657" width="15.140625" style="110" customWidth="1"/>
    <col min="6658" max="6912" width="12.5703125" style="110"/>
    <col min="6913" max="6913" width="15.140625" style="110" customWidth="1"/>
    <col min="6914" max="7168" width="12.5703125" style="110"/>
    <col min="7169" max="7169" width="15.140625" style="110" customWidth="1"/>
    <col min="7170" max="7424" width="12.5703125" style="110"/>
    <col min="7425" max="7425" width="15.140625" style="110" customWidth="1"/>
    <col min="7426" max="7680" width="12.5703125" style="110"/>
    <col min="7681" max="7681" width="15.140625" style="110" customWidth="1"/>
    <col min="7682" max="7936" width="12.5703125" style="110"/>
    <col min="7937" max="7937" width="15.140625" style="110" customWidth="1"/>
    <col min="7938" max="8192" width="12.5703125" style="110"/>
    <col min="8193" max="8193" width="15.140625" style="110" customWidth="1"/>
    <col min="8194" max="8448" width="12.5703125" style="110"/>
    <col min="8449" max="8449" width="15.140625" style="110" customWidth="1"/>
    <col min="8450" max="8704" width="12.5703125" style="110"/>
    <col min="8705" max="8705" width="15.140625" style="110" customWidth="1"/>
    <col min="8706" max="8960" width="12.5703125" style="110"/>
    <col min="8961" max="8961" width="15.140625" style="110" customWidth="1"/>
    <col min="8962" max="9216" width="12.5703125" style="110"/>
    <col min="9217" max="9217" width="15.140625" style="110" customWidth="1"/>
    <col min="9218" max="9472" width="12.5703125" style="110"/>
    <col min="9473" max="9473" width="15.140625" style="110" customWidth="1"/>
    <col min="9474" max="9728" width="12.5703125" style="110"/>
    <col min="9729" max="9729" width="15.140625" style="110" customWidth="1"/>
    <col min="9730" max="9984" width="12.5703125" style="110"/>
    <col min="9985" max="9985" width="15.140625" style="110" customWidth="1"/>
    <col min="9986" max="10240" width="12.5703125" style="110"/>
    <col min="10241" max="10241" width="15.140625" style="110" customWidth="1"/>
    <col min="10242" max="10496" width="12.5703125" style="110"/>
    <col min="10497" max="10497" width="15.140625" style="110" customWidth="1"/>
    <col min="10498" max="10752" width="12.5703125" style="110"/>
    <col min="10753" max="10753" width="15.140625" style="110" customWidth="1"/>
    <col min="10754" max="11008" width="12.5703125" style="110"/>
    <col min="11009" max="11009" width="15.140625" style="110" customWidth="1"/>
    <col min="11010" max="11264" width="12.5703125" style="110"/>
    <col min="11265" max="11265" width="15.140625" style="110" customWidth="1"/>
    <col min="11266" max="11520" width="12.5703125" style="110"/>
    <col min="11521" max="11521" width="15.140625" style="110" customWidth="1"/>
    <col min="11522" max="11776" width="12.5703125" style="110"/>
    <col min="11777" max="11777" width="15.140625" style="110" customWidth="1"/>
    <col min="11778" max="12032" width="12.5703125" style="110"/>
    <col min="12033" max="12033" width="15.140625" style="110" customWidth="1"/>
    <col min="12034" max="12288" width="12.5703125" style="110"/>
    <col min="12289" max="12289" width="15.140625" style="110" customWidth="1"/>
    <col min="12290" max="12544" width="12.5703125" style="110"/>
    <col min="12545" max="12545" width="15.140625" style="110" customWidth="1"/>
    <col min="12546" max="12800" width="12.5703125" style="110"/>
    <col min="12801" max="12801" width="15.140625" style="110" customWidth="1"/>
    <col min="12802" max="13056" width="12.5703125" style="110"/>
    <col min="13057" max="13057" width="15.140625" style="110" customWidth="1"/>
    <col min="13058" max="13312" width="12.5703125" style="110"/>
    <col min="13313" max="13313" width="15.140625" style="110" customWidth="1"/>
    <col min="13314" max="13568" width="12.5703125" style="110"/>
    <col min="13569" max="13569" width="15.140625" style="110" customWidth="1"/>
    <col min="13570" max="13824" width="12.5703125" style="110"/>
    <col min="13825" max="13825" width="15.140625" style="110" customWidth="1"/>
    <col min="13826" max="14080" width="12.5703125" style="110"/>
    <col min="14081" max="14081" width="15.140625" style="110" customWidth="1"/>
    <col min="14082" max="14336" width="12.5703125" style="110"/>
    <col min="14337" max="14337" width="15.140625" style="110" customWidth="1"/>
    <col min="14338" max="14592" width="12.5703125" style="110"/>
    <col min="14593" max="14593" width="15.140625" style="110" customWidth="1"/>
    <col min="14594" max="14848" width="12.5703125" style="110"/>
    <col min="14849" max="14849" width="15.140625" style="110" customWidth="1"/>
    <col min="14850" max="15104" width="12.5703125" style="110"/>
    <col min="15105" max="15105" width="15.140625" style="110" customWidth="1"/>
    <col min="15106" max="15360" width="12.5703125" style="110"/>
    <col min="15361" max="15361" width="15.140625" style="110" customWidth="1"/>
    <col min="15362" max="15616" width="12.5703125" style="110"/>
    <col min="15617" max="15617" width="15.140625" style="110" customWidth="1"/>
    <col min="15618" max="15872" width="12.5703125" style="110"/>
    <col min="15873" max="15873" width="15.140625" style="110" customWidth="1"/>
    <col min="15874" max="16128" width="12.5703125" style="110"/>
    <col min="16129" max="16129" width="15.140625" style="110" customWidth="1"/>
    <col min="16130" max="16384" width="12.5703125" style="110"/>
  </cols>
  <sheetData>
    <row r="1" spans="1:11" x14ac:dyDescent="0.2">
      <c r="B1" s="111" t="s">
        <v>778</v>
      </c>
      <c r="C1" s="111" t="s">
        <v>778</v>
      </c>
      <c r="D1" s="111" t="s">
        <v>778</v>
      </c>
      <c r="E1" s="111" t="s">
        <v>778</v>
      </c>
    </row>
    <row r="2" spans="1:11" x14ac:dyDescent="0.2">
      <c r="B2" s="111" t="s">
        <v>779</v>
      </c>
      <c r="C2" s="111" t="s">
        <v>780</v>
      </c>
      <c r="D2" s="111" t="s">
        <v>781</v>
      </c>
      <c r="E2" s="111" t="s">
        <v>782</v>
      </c>
      <c r="F2" s="111" t="s">
        <v>783</v>
      </c>
      <c r="G2" s="111" t="s">
        <v>784</v>
      </c>
      <c r="H2" s="111" t="s">
        <v>785</v>
      </c>
      <c r="I2" s="111" t="s">
        <v>786</v>
      </c>
      <c r="J2" s="111" t="s">
        <v>787</v>
      </c>
      <c r="K2" s="111" t="s">
        <v>788</v>
      </c>
    </row>
    <row r="3" spans="1:11" x14ac:dyDescent="0.2">
      <c r="A3" s="112" t="s">
        <v>789</v>
      </c>
      <c r="B3" s="110">
        <v>7</v>
      </c>
      <c r="C3" s="110">
        <v>700</v>
      </c>
      <c r="D3" s="110">
        <v>2</v>
      </c>
      <c r="E3" s="113">
        <v>0.23809523809523811</v>
      </c>
      <c r="F3" s="110">
        <f>B3/C3</f>
        <v>0.01</v>
      </c>
      <c r="G3" s="110">
        <f>1/F3</f>
        <v>100</v>
      </c>
      <c r="H3" s="110">
        <f>D3*G3</f>
        <v>200</v>
      </c>
      <c r="I3" s="110">
        <f>(C3*C3)*E3*(1-F3)/B3</f>
        <v>16500</v>
      </c>
      <c r="J3" s="110">
        <f>I3/$I$5</f>
        <v>1</v>
      </c>
      <c r="K3" s="110">
        <f>J3*J3/($B$3-1)</f>
        <v>0.16666666666666666</v>
      </c>
    </row>
    <row r="5" spans="1:11" x14ac:dyDescent="0.2">
      <c r="A5" s="112" t="s">
        <v>767</v>
      </c>
      <c r="F5" s="110">
        <f t="shared" ref="F5:K5" si="0">SUM(F3)</f>
        <v>0.01</v>
      </c>
      <c r="G5" s="110">
        <f t="shared" si="0"/>
        <v>100</v>
      </c>
      <c r="H5" s="110">
        <f t="shared" si="0"/>
        <v>200</v>
      </c>
      <c r="I5" s="110">
        <f t="shared" si="0"/>
        <v>16500</v>
      </c>
      <c r="J5" s="110">
        <f t="shared" si="0"/>
        <v>1</v>
      </c>
      <c r="K5" s="110">
        <f t="shared" si="0"/>
        <v>0.16666666666666666</v>
      </c>
    </row>
    <row r="7" spans="1:11" x14ac:dyDescent="0.2">
      <c r="A7" s="112" t="s">
        <v>792</v>
      </c>
      <c r="C7" s="111" t="s">
        <v>793</v>
      </c>
      <c r="D7" s="113">
        <f>$H$5</f>
        <v>200</v>
      </c>
      <c r="F7" s="112" t="s">
        <v>794</v>
      </c>
    </row>
    <row r="8" spans="1:11" x14ac:dyDescent="0.2">
      <c r="A8" s="112" t="s">
        <v>795</v>
      </c>
      <c r="C8" s="111" t="s">
        <v>796</v>
      </c>
      <c r="D8" s="110">
        <f>1/$K$5</f>
        <v>6</v>
      </c>
      <c r="F8" s="112" t="s">
        <v>1348</v>
      </c>
    </row>
    <row r="9" spans="1:11" x14ac:dyDescent="0.2">
      <c r="A9" s="112" t="s">
        <v>797</v>
      </c>
      <c r="F9" s="112" t="s">
        <v>798</v>
      </c>
    </row>
    <row r="10" spans="1:11" x14ac:dyDescent="0.2">
      <c r="A10" s="112"/>
      <c r="F10" s="112" t="s">
        <v>799</v>
      </c>
    </row>
    <row r="11" spans="1:11" x14ac:dyDescent="0.2">
      <c r="A11" s="111" t="s">
        <v>800</v>
      </c>
      <c r="B11" s="110">
        <f>(TDIST(0.95,D8,1))*10</f>
        <v>1.8939610316232089</v>
      </c>
      <c r="F11" s="112" t="s">
        <v>801</v>
      </c>
    </row>
    <row r="12" spans="1:11" ht="15.75" x14ac:dyDescent="0.25">
      <c r="A12" s="112" t="s">
        <v>802</v>
      </c>
      <c r="D12" s="114" t="s">
        <v>1349</v>
      </c>
      <c r="E12" s="115"/>
      <c r="F12" s="115"/>
    </row>
    <row r="13" spans="1:11" x14ac:dyDescent="0.2">
      <c r="A13" s="111" t="s">
        <v>803</v>
      </c>
      <c r="B13" s="113">
        <f>$D$7+(B11)*SQRT($I$5)</f>
        <v>443.28369946128663</v>
      </c>
      <c r="D13" s="111" t="s">
        <v>804</v>
      </c>
      <c r="E13" s="116">
        <f>$D$7</f>
        <v>200</v>
      </c>
    </row>
    <row r="14" spans="1:11" x14ac:dyDescent="0.2">
      <c r="A14" s="111" t="s">
        <v>805</v>
      </c>
      <c r="B14" s="113">
        <f>$D$7-(B11)*SQRT($I$5)</f>
        <v>-43.283699461286631</v>
      </c>
      <c r="D14" s="117" t="s">
        <v>806</v>
      </c>
      <c r="E14" s="116">
        <f>(B11)*SQRT($I$5)</f>
        <v>243.28369946128663</v>
      </c>
    </row>
    <row r="16" spans="1:11" ht="13.5" thickBot="1" x14ac:dyDescent="0.25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1:5" ht="13.5" thickTop="1" x14ac:dyDescent="0.2">
      <c r="A17" s="119" t="s">
        <v>1350</v>
      </c>
    </row>
    <row r="18" spans="1:5" x14ac:dyDescent="0.2">
      <c r="A18" s="110" t="s">
        <v>802</v>
      </c>
    </row>
    <row r="19" spans="1:5" x14ac:dyDescent="0.2">
      <c r="A19" s="110" t="s">
        <v>803</v>
      </c>
      <c r="B19" s="110">
        <v>520773.34174040123</v>
      </c>
      <c r="D19" s="110" t="s">
        <v>804</v>
      </c>
      <c r="E19" s="110">
        <v>447707.43243243243</v>
      </c>
    </row>
    <row r="20" spans="1:5" x14ac:dyDescent="0.2">
      <c r="A20" s="110" t="s">
        <v>805</v>
      </c>
      <c r="B20" s="110">
        <v>374641.52312446362</v>
      </c>
      <c r="D20" s="110" t="s">
        <v>806</v>
      </c>
      <c r="E20" s="110">
        <v>73065.909307968774</v>
      </c>
    </row>
    <row r="23" spans="1:5" x14ac:dyDescent="0.2">
      <c r="A23" s="119" t="s">
        <v>1351</v>
      </c>
    </row>
    <row r="24" spans="1:5" x14ac:dyDescent="0.2">
      <c r="A24" s="110" t="s">
        <v>802</v>
      </c>
    </row>
    <row r="25" spans="1:5" x14ac:dyDescent="0.2">
      <c r="A25" s="110" t="s">
        <v>803</v>
      </c>
      <c r="B25" s="110">
        <v>1149.7549151443359</v>
      </c>
      <c r="D25" s="110" t="s">
        <v>804</v>
      </c>
      <c r="E25" s="110">
        <v>419.59459459459458</v>
      </c>
    </row>
    <row r="26" spans="1:5" x14ac:dyDescent="0.2">
      <c r="A26" s="110" t="s">
        <v>805</v>
      </c>
      <c r="B26" s="110">
        <v>-310.56572595514672</v>
      </c>
      <c r="D26" s="110" t="s">
        <v>806</v>
      </c>
      <c r="E26" s="110">
        <v>730.1603205497413</v>
      </c>
    </row>
    <row r="28" spans="1:5" x14ac:dyDescent="0.2">
      <c r="A28" s="119" t="s">
        <v>314</v>
      </c>
    </row>
    <row r="29" spans="1:5" x14ac:dyDescent="0.2">
      <c r="A29" s="110" t="s">
        <v>802</v>
      </c>
    </row>
    <row r="30" spans="1:5" x14ac:dyDescent="0.2">
      <c r="A30" s="110" t="s">
        <v>803</v>
      </c>
      <c r="B30" s="110">
        <v>86891.885011890248</v>
      </c>
      <c r="D30" s="110" t="s">
        <v>804</v>
      </c>
      <c r="E30" s="110">
        <v>65037.16216216216</v>
      </c>
    </row>
    <row r="31" spans="1:5" x14ac:dyDescent="0.2">
      <c r="A31" s="110" t="s">
        <v>805</v>
      </c>
      <c r="B31" s="110">
        <v>43182.439312434071</v>
      </c>
      <c r="D31" s="110" t="s">
        <v>806</v>
      </c>
      <c r="E31" s="110">
        <v>21854.722849728088</v>
      </c>
    </row>
  </sheetData>
  <pageMargins left="0.75" right="0.75" top="1" bottom="1" header="0.5" footer="0.5"/>
  <pageSetup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L137"/>
  <sheetViews>
    <sheetView topLeftCell="A10" workbookViewId="0">
      <selection activeCell="Z32" sqref="Z32"/>
    </sheetView>
  </sheetViews>
  <sheetFormatPr defaultColWidth="12.5703125" defaultRowHeight="12.75" x14ac:dyDescent="0.2"/>
  <cols>
    <col min="1" max="1" width="15.140625" style="49" customWidth="1"/>
    <col min="2" max="256" width="12.5703125" style="49"/>
    <col min="257" max="257" width="15.140625" style="49" customWidth="1"/>
    <col min="258" max="512" width="12.5703125" style="49"/>
    <col min="513" max="513" width="15.140625" style="49" customWidth="1"/>
    <col min="514" max="768" width="12.5703125" style="49"/>
    <col min="769" max="769" width="15.140625" style="49" customWidth="1"/>
    <col min="770" max="1024" width="12.5703125" style="49"/>
    <col min="1025" max="1025" width="15.140625" style="49" customWidth="1"/>
    <col min="1026" max="1280" width="12.5703125" style="49"/>
    <col min="1281" max="1281" width="15.140625" style="49" customWidth="1"/>
    <col min="1282" max="1536" width="12.5703125" style="49"/>
    <col min="1537" max="1537" width="15.140625" style="49" customWidth="1"/>
    <col min="1538" max="1792" width="12.5703125" style="49"/>
    <col min="1793" max="1793" width="15.140625" style="49" customWidth="1"/>
    <col min="1794" max="2048" width="12.5703125" style="49"/>
    <col min="2049" max="2049" width="15.140625" style="49" customWidth="1"/>
    <col min="2050" max="2304" width="12.5703125" style="49"/>
    <col min="2305" max="2305" width="15.140625" style="49" customWidth="1"/>
    <col min="2306" max="2560" width="12.5703125" style="49"/>
    <col min="2561" max="2561" width="15.140625" style="49" customWidth="1"/>
    <col min="2562" max="2816" width="12.5703125" style="49"/>
    <col min="2817" max="2817" width="15.140625" style="49" customWidth="1"/>
    <col min="2818" max="3072" width="12.5703125" style="49"/>
    <col min="3073" max="3073" width="15.140625" style="49" customWidth="1"/>
    <col min="3074" max="3328" width="12.5703125" style="49"/>
    <col min="3329" max="3329" width="15.140625" style="49" customWidth="1"/>
    <col min="3330" max="3584" width="12.5703125" style="49"/>
    <col min="3585" max="3585" width="15.140625" style="49" customWidth="1"/>
    <col min="3586" max="3840" width="12.5703125" style="49"/>
    <col min="3841" max="3841" width="15.140625" style="49" customWidth="1"/>
    <col min="3842" max="4096" width="12.5703125" style="49"/>
    <col min="4097" max="4097" width="15.140625" style="49" customWidth="1"/>
    <col min="4098" max="4352" width="12.5703125" style="49"/>
    <col min="4353" max="4353" width="15.140625" style="49" customWidth="1"/>
    <col min="4354" max="4608" width="12.5703125" style="49"/>
    <col min="4609" max="4609" width="15.140625" style="49" customWidth="1"/>
    <col min="4610" max="4864" width="12.5703125" style="49"/>
    <col min="4865" max="4865" width="15.140625" style="49" customWidth="1"/>
    <col min="4866" max="5120" width="12.5703125" style="49"/>
    <col min="5121" max="5121" width="15.140625" style="49" customWidth="1"/>
    <col min="5122" max="5376" width="12.5703125" style="49"/>
    <col min="5377" max="5377" width="15.140625" style="49" customWidth="1"/>
    <col min="5378" max="5632" width="12.5703125" style="49"/>
    <col min="5633" max="5633" width="15.140625" style="49" customWidth="1"/>
    <col min="5634" max="5888" width="12.5703125" style="49"/>
    <col min="5889" max="5889" width="15.140625" style="49" customWidth="1"/>
    <col min="5890" max="6144" width="12.5703125" style="49"/>
    <col min="6145" max="6145" width="15.140625" style="49" customWidth="1"/>
    <col min="6146" max="6400" width="12.5703125" style="49"/>
    <col min="6401" max="6401" width="15.140625" style="49" customWidth="1"/>
    <col min="6402" max="6656" width="12.5703125" style="49"/>
    <col min="6657" max="6657" width="15.140625" style="49" customWidth="1"/>
    <col min="6658" max="6912" width="12.5703125" style="49"/>
    <col min="6913" max="6913" width="15.140625" style="49" customWidth="1"/>
    <col min="6914" max="7168" width="12.5703125" style="49"/>
    <col min="7169" max="7169" width="15.140625" style="49" customWidth="1"/>
    <col min="7170" max="7424" width="12.5703125" style="49"/>
    <col min="7425" max="7425" width="15.140625" style="49" customWidth="1"/>
    <col min="7426" max="7680" width="12.5703125" style="49"/>
    <col min="7681" max="7681" width="15.140625" style="49" customWidth="1"/>
    <col min="7682" max="7936" width="12.5703125" style="49"/>
    <col min="7937" max="7937" width="15.140625" style="49" customWidth="1"/>
    <col min="7938" max="8192" width="12.5703125" style="49"/>
    <col min="8193" max="8193" width="15.140625" style="49" customWidth="1"/>
    <col min="8194" max="8448" width="12.5703125" style="49"/>
    <col min="8449" max="8449" width="15.140625" style="49" customWidth="1"/>
    <col min="8450" max="8704" width="12.5703125" style="49"/>
    <col min="8705" max="8705" width="15.140625" style="49" customWidth="1"/>
    <col min="8706" max="8960" width="12.5703125" style="49"/>
    <col min="8961" max="8961" width="15.140625" style="49" customWidth="1"/>
    <col min="8962" max="9216" width="12.5703125" style="49"/>
    <col min="9217" max="9217" width="15.140625" style="49" customWidth="1"/>
    <col min="9218" max="9472" width="12.5703125" style="49"/>
    <col min="9473" max="9473" width="15.140625" style="49" customWidth="1"/>
    <col min="9474" max="9728" width="12.5703125" style="49"/>
    <col min="9729" max="9729" width="15.140625" style="49" customWidth="1"/>
    <col min="9730" max="9984" width="12.5703125" style="49"/>
    <col min="9985" max="9985" width="15.140625" style="49" customWidth="1"/>
    <col min="9986" max="10240" width="12.5703125" style="49"/>
    <col min="10241" max="10241" width="15.140625" style="49" customWidth="1"/>
    <col min="10242" max="10496" width="12.5703125" style="49"/>
    <col min="10497" max="10497" width="15.140625" style="49" customWidth="1"/>
    <col min="10498" max="10752" width="12.5703125" style="49"/>
    <col min="10753" max="10753" width="15.140625" style="49" customWidth="1"/>
    <col min="10754" max="11008" width="12.5703125" style="49"/>
    <col min="11009" max="11009" width="15.140625" style="49" customWidth="1"/>
    <col min="11010" max="11264" width="12.5703125" style="49"/>
    <col min="11265" max="11265" width="15.140625" style="49" customWidth="1"/>
    <col min="11266" max="11520" width="12.5703125" style="49"/>
    <col min="11521" max="11521" width="15.140625" style="49" customWidth="1"/>
    <col min="11522" max="11776" width="12.5703125" style="49"/>
    <col min="11777" max="11777" width="15.140625" style="49" customWidth="1"/>
    <col min="11778" max="12032" width="12.5703125" style="49"/>
    <col min="12033" max="12033" width="15.140625" style="49" customWidth="1"/>
    <col min="12034" max="12288" width="12.5703125" style="49"/>
    <col min="12289" max="12289" width="15.140625" style="49" customWidth="1"/>
    <col min="12290" max="12544" width="12.5703125" style="49"/>
    <col min="12545" max="12545" width="15.140625" style="49" customWidth="1"/>
    <col min="12546" max="12800" width="12.5703125" style="49"/>
    <col min="12801" max="12801" width="15.140625" style="49" customWidth="1"/>
    <col min="12802" max="13056" width="12.5703125" style="49"/>
    <col min="13057" max="13057" width="15.140625" style="49" customWidth="1"/>
    <col min="13058" max="13312" width="12.5703125" style="49"/>
    <col min="13313" max="13313" width="15.140625" style="49" customWidth="1"/>
    <col min="13314" max="13568" width="12.5703125" style="49"/>
    <col min="13569" max="13569" width="15.140625" style="49" customWidth="1"/>
    <col min="13570" max="13824" width="12.5703125" style="49"/>
    <col min="13825" max="13825" width="15.140625" style="49" customWidth="1"/>
    <col min="13826" max="14080" width="12.5703125" style="49"/>
    <col min="14081" max="14081" width="15.140625" style="49" customWidth="1"/>
    <col min="14082" max="14336" width="12.5703125" style="49"/>
    <col min="14337" max="14337" width="15.140625" style="49" customWidth="1"/>
    <col min="14338" max="14592" width="12.5703125" style="49"/>
    <col min="14593" max="14593" width="15.140625" style="49" customWidth="1"/>
    <col min="14594" max="14848" width="12.5703125" style="49"/>
    <col min="14849" max="14849" width="15.140625" style="49" customWidth="1"/>
    <col min="14850" max="15104" width="12.5703125" style="49"/>
    <col min="15105" max="15105" width="15.140625" style="49" customWidth="1"/>
    <col min="15106" max="15360" width="12.5703125" style="49"/>
    <col min="15361" max="15361" width="15.140625" style="49" customWidth="1"/>
    <col min="15362" max="15616" width="12.5703125" style="49"/>
    <col min="15617" max="15617" width="15.140625" style="49" customWidth="1"/>
    <col min="15618" max="15872" width="12.5703125" style="49"/>
    <col min="15873" max="15873" width="15.140625" style="49" customWidth="1"/>
    <col min="15874" max="16128" width="12.5703125" style="49"/>
    <col min="16129" max="16129" width="15.140625" style="49" customWidth="1"/>
    <col min="16130" max="16384" width="12.5703125" style="49"/>
  </cols>
  <sheetData>
    <row r="1" spans="1:11" x14ac:dyDescent="0.2">
      <c r="B1" s="50" t="s">
        <v>778</v>
      </c>
      <c r="C1" s="50" t="s">
        <v>778</v>
      </c>
      <c r="D1" s="50" t="s">
        <v>778</v>
      </c>
      <c r="E1" s="50" t="s">
        <v>778</v>
      </c>
    </row>
    <row r="2" spans="1:11" x14ac:dyDescent="0.2">
      <c r="B2" s="50" t="s">
        <v>779</v>
      </c>
      <c r="C2" s="50" t="s">
        <v>780</v>
      </c>
      <c r="D2" s="50" t="s">
        <v>781</v>
      </c>
      <c r="E2" s="50" t="s">
        <v>782</v>
      </c>
      <c r="F2" s="50" t="s">
        <v>783</v>
      </c>
      <c r="G2" s="50" t="s">
        <v>784</v>
      </c>
      <c r="H2" s="50" t="s">
        <v>785</v>
      </c>
      <c r="I2" s="50" t="s">
        <v>786</v>
      </c>
      <c r="J2" s="50" t="s">
        <v>787</v>
      </c>
      <c r="K2" s="50" t="s">
        <v>788</v>
      </c>
    </row>
    <row r="3" spans="1:11" x14ac:dyDescent="0.2">
      <c r="A3" s="51" t="s">
        <v>789</v>
      </c>
      <c r="B3" s="49">
        <v>25</v>
      </c>
      <c r="C3" s="49">
        <v>5400</v>
      </c>
      <c r="D3" s="49">
        <v>7</v>
      </c>
      <c r="E3" s="52">
        <v>0.29333300000000001</v>
      </c>
      <c r="F3" s="49">
        <f>B3/C3</f>
        <v>4.6296296296296294E-3</v>
      </c>
      <c r="G3" s="49">
        <f>1/F3</f>
        <v>216</v>
      </c>
      <c r="H3" s="49">
        <f>D3*G3</f>
        <v>1512</v>
      </c>
      <c r="I3" s="49">
        <f>(C3*C3)*E3*(1-F3)/B3</f>
        <v>340559.61300000007</v>
      </c>
      <c r="J3" s="49">
        <f>I3/$I$8</f>
        <v>1</v>
      </c>
      <c r="K3" s="49">
        <f>J3*J3/($B$3-1)</f>
        <v>4.1666666666666664E-2</v>
      </c>
    </row>
    <row r="4" spans="1:11" x14ac:dyDescent="0.2">
      <c r="A4" s="51" t="s">
        <v>790</v>
      </c>
      <c r="E4" s="52"/>
    </row>
    <row r="5" spans="1:11" x14ac:dyDescent="0.2">
      <c r="A5" s="51" t="s">
        <v>915</v>
      </c>
      <c r="E5" s="52"/>
    </row>
    <row r="6" spans="1:11" x14ac:dyDescent="0.2">
      <c r="A6" s="51" t="s">
        <v>916</v>
      </c>
      <c r="E6" s="52"/>
    </row>
    <row r="7" spans="1:11" x14ac:dyDescent="0.2">
      <c r="D7" s="49" t="s">
        <v>791</v>
      </c>
    </row>
    <row r="8" spans="1:11" x14ac:dyDescent="0.2">
      <c r="A8" s="51" t="s">
        <v>767</v>
      </c>
      <c r="F8" s="49">
        <f t="shared" ref="F8:K8" si="0">SUM(F3:F6)</f>
        <v>4.6296296296296294E-3</v>
      </c>
      <c r="G8" s="49">
        <f t="shared" si="0"/>
        <v>216</v>
      </c>
      <c r="H8" s="49">
        <f t="shared" si="0"/>
        <v>1512</v>
      </c>
      <c r="I8" s="49">
        <f t="shared" si="0"/>
        <v>340559.61300000007</v>
      </c>
      <c r="J8" s="49">
        <f t="shared" si="0"/>
        <v>1</v>
      </c>
      <c r="K8" s="49">
        <f t="shared" si="0"/>
        <v>4.1666666666666664E-2</v>
      </c>
    </row>
    <row r="10" spans="1:11" x14ac:dyDescent="0.2">
      <c r="A10" s="51" t="s">
        <v>792</v>
      </c>
      <c r="C10" s="50" t="s">
        <v>793</v>
      </c>
      <c r="D10" s="52">
        <f>$H$8</f>
        <v>1512</v>
      </c>
      <c r="F10" s="51" t="s">
        <v>794</v>
      </c>
    </row>
    <row r="11" spans="1:11" x14ac:dyDescent="0.2">
      <c r="A11" s="51" t="s">
        <v>795</v>
      </c>
      <c r="C11" s="50" t="s">
        <v>796</v>
      </c>
      <c r="D11" s="49">
        <f>1/$K$8</f>
        <v>24</v>
      </c>
      <c r="F11" s="51" t="s">
        <v>1236</v>
      </c>
    </row>
    <row r="12" spans="1:11" x14ac:dyDescent="0.2">
      <c r="A12" s="51" t="s">
        <v>797</v>
      </c>
      <c r="F12" s="51" t="s">
        <v>798</v>
      </c>
    </row>
    <row r="13" spans="1:11" x14ac:dyDescent="0.2">
      <c r="A13" s="51"/>
      <c r="F13" s="51" t="s">
        <v>799</v>
      </c>
    </row>
    <row r="14" spans="1:11" x14ac:dyDescent="0.2">
      <c r="A14" s="50" t="s">
        <v>800</v>
      </c>
      <c r="B14" s="49">
        <f>(TDIST(0.95,D11,1))*10</f>
        <v>1.7579078750503192</v>
      </c>
      <c r="F14" s="51" t="s">
        <v>801</v>
      </c>
    </row>
    <row r="15" spans="1:11" ht="15.75" x14ac:dyDescent="0.25">
      <c r="A15" s="51" t="s">
        <v>802</v>
      </c>
      <c r="D15" s="53"/>
      <c r="E15" s="54"/>
      <c r="F15" s="54"/>
    </row>
    <row r="16" spans="1:11" x14ac:dyDescent="0.2">
      <c r="A16" s="50" t="s">
        <v>803</v>
      </c>
      <c r="B16" s="52">
        <f>$D$10+(B14)*SQRT($I$8)</f>
        <v>2537.870835713361</v>
      </c>
      <c r="D16" s="50" t="s">
        <v>804</v>
      </c>
      <c r="E16" s="55">
        <f>$D$10</f>
        <v>1512</v>
      </c>
    </row>
    <row r="17" spans="1:35" x14ac:dyDescent="0.2">
      <c r="A17" s="50" t="s">
        <v>805</v>
      </c>
      <c r="B17" s="52">
        <f>$D$10-(B14)*SQRT($I$8)</f>
        <v>486.1291642866388</v>
      </c>
      <c r="D17" s="56" t="s">
        <v>806</v>
      </c>
      <c r="E17" s="55">
        <f>(B14)*SQRT($I$8)</f>
        <v>1025.8708357133612</v>
      </c>
    </row>
    <row r="19" spans="1:35" ht="13.5" thickBot="1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</row>
    <row r="20" spans="1:35" ht="13.5" thickTop="1" x14ac:dyDescent="0.2">
      <c r="A20" s="58" t="s">
        <v>807</v>
      </c>
    </row>
    <row r="21" spans="1:35" x14ac:dyDescent="0.2">
      <c r="A21" s="59" t="s">
        <v>1399</v>
      </c>
      <c r="E21" s="59" t="s">
        <v>1399</v>
      </c>
      <c r="I21" s="59" t="s">
        <v>1399</v>
      </c>
      <c r="M21" s="59" t="s">
        <v>1399</v>
      </c>
      <c r="Q21" s="59" t="s">
        <v>1399</v>
      </c>
      <c r="U21" s="59" t="s">
        <v>1399</v>
      </c>
      <c r="Y21" s="59" t="s">
        <v>1399</v>
      </c>
    </row>
    <row r="22" spans="1:35" x14ac:dyDescent="0.2">
      <c r="A22" s="59" t="s">
        <v>1400</v>
      </c>
      <c r="E22" s="59" t="s">
        <v>1401</v>
      </c>
      <c r="I22" s="59" t="s">
        <v>1402</v>
      </c>
      <c r="M22" s="59" t="s">
        <v>1403</v>
      </c>
      <c r="Q22" s="59" t="s">
        <v>1404</v>
      </c>
      <c r="U22" s="59" t="s">
        <v>1405</v>
      </c>
      <c r="Y22" s="59" t="s">
        <v>1406</v>
      </c>
    </row>
    <row r="23" spans="1:35" x14ac:dyDescent="0.2">
      <c r="A23" s="49" t="s">
        <v>802</v>
      </c>
      <c r="E23" s="49" t="s">
        <v>802</v>
      </c>
      <c r="I23" s="49" t="s">
        <v>802</v>
      </c>
      <c r="M23" s="49" t="s">
        <v>802</v>
      </c>
      <c r="Q23" s="49" t="s">
        <v>802</v>
      </c>
      <c r="U23" s="49" t="s">
        <v>802</v>
      </c>
      <c r="Y23" s="49" t="s">
        <v>802</v>
      </c>
    </row>
    <row r="24" spans="1:35" x14ac:dyDescent="0.2">
      <c r="A24" s="49" t="s">
        <v>804</v>
      </c>
      <c r="B24" s="55">
        <v>317446.00000000006</v>
      </c>
      <c r="E24" s="49" t="s">
        <v>804</v>
      </c>
      <c r="F24" s="55">
        <v>110770</v>
      </c>
      <c r="I24" s="49" t="s">
        <v>804</v>
      </c>
      <c r="J24" s="55">
        <v>168000</v>
      </c>
      <c r="M24" s="49" t="s">
        <v>804</v>
      </c>
      <c r="N24" s="55">
        <v>310128</v>
      </c>
      <c r="Q24" s="49" t="s">
        <v>804</v>
      </c>
      <c r="R24" s="55">
        <v>243200</v>
      </c>
      <c r="U24" s="49" t="s">
        <v>804</v>
      </c>
      <c r="V24" s="55">
        <v>55440</v>
      </c>
      <c r="Y24" s="49" t="s">
        <v>804</v>
      </c>
      <c r="Z24" s="55">
        <v>77500</v>
      </c>
    </row>
    <row r="25" spans="1:35" x14ac:dyDescent="0.2">
      <c r="A25" s="49" t="s">
        <v>806</v>
      </c>
      <c r="B25" s="55">
        <v>92490.914515241035</v>
      </c>
      <c r="E25" s="49" t="s">
        <v>806</v>
      </c>
      <c r="F25" s="55">
        <v>29047.478889016951</v>
      </c>
      <c r="I25" s="49" t="s">
        <v>806</v>
      </c>
      <c r="J25" s="55">
        <v>44336.663395702562</v>
      </c>
      <c r="M25" s="49" t="s">
        <v>806</v>
      </c>
      <c r="N25" s="55">
        <v>49726.172578143887</v>
      </c>
      <c r="Q25" s="49" t="s">
        <v>806</v>
      </c>
      <c r="R25" s="55">
        <v>71204.03529770684</v>
      </c>
      <c r="U25" s="49" t="s">
        <v>806</v>
      </c>
      <c r="V25" s="55">
        <v>29186.625186604953</v>
      </c>
      <c r="Y25" s="49" t="s">
        <v>806</v>
      </c>
      <c r="Z25" s="55">
        <v>22227.930437363579</v>
      </c>
    </row>
    <row r="28" spans="1:35" x14ac:dyDescent="0.2">
      <c r="A28" s="61" t="s">
        <v>322</v>
      </c>
      <c r="E28" s="61" t="s">
        <v>322</v>
      </c>
      <c r="I28" s="61" t="s">
        <v>322</v>
      </c>
      <c r="M28" s="61" t="s">
        <v>322</v>
      </c>
      <c r="Q28" s="61" t="s">
        <v>322</v>
      </c>
      <c r="U28" s="61" t="s">
        <v>322</v>
      </c>
      <c r="Y28" s="61" t="s">
        <v>322</v>
      </c>
    </row>
    <row r="29" spans="1:35" x14ac:dyDescent="0.2">
      <c r="A29" s="49" t="s">
        <v>802</v>
      </c>
      <c r="E29" s="49" t="s">
        <v>802</v>
      </c>
      <c r="I29" s="49" t="s">
        <v>802</v>
      </c>
      <c r="M29" s="49" t="s">
        <v>802</v>
      </c>
      <c r="Q29" s="49" t="s">
        <v>802</v>
      </c>
      <c r="U29" s="49" t="s">
        <v>802</v>
      </c>
      <c r="Y29" s="49" t="s">
        <v>802</v>
      </c>
    </row>
    <row r="30" spans="1:35" x14ac:dyDescent="0.2">
      <c r="A30" s="49" t="s">
        <v>804</v>
      </c>
      <c r="B30" s="55">
        <v>206.00000000000003</v>
      </c>
      <c r="E30" s="49" t="s">
        <v>804</v>
      </c>
      <c r="F30" s="55">
        <v>550</v>
      </c>
      <c r="I30" s="49" t="s">
        <v>804</v>
      </c>
      <c r="J30" s="55">
        <v>100</v>
      </c>
      <c r="M30" s="49" t="s">
        <v>804</v>
      </c>
      <c r="N30" s="49">
        <v>0</v>
      </c>
      <c r="Q30" s="49" t="s">
        <v>804</v>
      </c>
      <c r="R30" s="49">
        <v>0</v>
      </c>
      <c r="U30" s="49" t="s">
        <v>804</v>
      </c>
      <c r="V30" s="55">
        <v>176</v>
      </c>
      <c r="Y30" s="49" t="s">
        <v>804</v>
      </c>
      <c r="Z30" s="49">
        <v>0</v>
      </c>
    </row>
    <row r="31" spans="1:35" x14ac:dyDescent="0.2">
      <c r="A31" s="49" t="s">
        <v>806</v>
      </c>
      <c r="B31" s="55">
        <v>361.24899903422943</v>
      </c>
      <c r="E31" s="49" t="s">
        <v>806</v>
      </c>
      <c r="F31" s="55">
        <v>510.42754088270635</v>
      </c>
      <c r="I31" s="49" t="s">
        <v>806</v>
      </c>
      <c r="J31" s="55">
        <v>177.68928456123862</v>
      </c>
      <c r="M31" s="49" t="s">
        <v>806</v>
      </c>
      <c r="N31" s="49">
        <v>0</v>
      </c>
      <c r="Q31" s="49" t="s">
        <v>806</v>
      </c>
      <c r="R31" s="49">
        <v>0</v>
      </c>
      <c r="U31" s="49" t="s">
        <v>806</v>
      </c>
      <c r="V31" s="55">
        <v>321.05323377866796</v>
      </c>
      <c r="Y31" s="49" t="s">
        <v>806</v>
      </c>
      <c r="Z31" s="49">
        <v>0</v>
      </c>
    </row>
    <row r="33" spans="1:26" x14ac:dyDescent="0.2">
      <c r="A33" s="61" t="s">
        <v>337</v>
      </c>
      <c r="E33" s="61" t="s">
        <v>337</v>
      </c>
      <c r="I33" s="61" t="s">
        <v>337</v>
      </c>
      <c r="M33" s="61" t="s">
        <v>337</v>
      </c>
      <c r="Q33" s="61" t="s">
        <v>337</v>
      </c>
      <c r="U33" s="61" t="s">
        <v>337</v>
      </c>
      <c r="Y33" s="61" t="s">
        <v>337</v>
      </c>
    </row>
    <row r="34" spans="1:26" x14ac:dyDescent="0.2">
      <c r="A34" s="49" t="s">
        <v>802</v>
      </c>
      <c r="E34" s="49" t="s">
        <v>802</v>
      </c>
      <c r="I34" s="49" t="s">
        <v>802</v>
      </c>
      <c r="M34" s="49" t="s">
        <v>802</v>
      </c>
      <c r="Q34" s="49" t="s">
        <v>802</v>
      </c>
      <c r="U34" s="49" t="s">
        <v>802</v>
      </c>
      <c r="Y34" s="49" t="s">
        <v>802</v>
      </c>
    </row>
    <row r="35" spans="1:26" x14ac:dyDescent="0.2">
      <c r="A35" s="49" t="s">
        <v>804</v>
      </c>
      <c r="B35" s="55">
        <v>206.00000000000003</v>
      </c>
      <c r="E35" s="49" t="s">
        <v>804</v>
      </c>
      <c r="F35" s="49">
        <v>0</v>
      </c>
      <c r="I35" s="49" t="s">
        <v>804</v>
      </c>
      <c r="J35" s="55">
        <v>300</v>
      </c>
      <c r="M35" s="49" t="s">
        <v>804</v>
      </c>
      <c r="N35" s="55">
        <v>336</v>
      </c>
      <c r="Q35" s="49" t="s">
        <v>804</v>
      </c>
      <c r="R35" s="55">
        <v>500</v>
      </c>
      <c r="U35" s="49" t="s">
        <v>804</v>
      </c>
      <c r="V35" s="49">
        <v>0</v>
      </c>
      <c r="Y35" s="49" t="s">
        <v>804</v>
      </c>
      <c r="Z35" s="55">
        <v>200</v>
      </c>
    </row>
    <row r="36" spans="1:26" x14ac:dyDescent="0.2">
      <c r="A36" s="49" t="s">
        <v>806</v>
      </c>
      <c r="B36" s="55">
        <v>361.24899903422943</v>
      </c>
      <c r="E36" s="49" t="s">
        <v>806</v>
      </c>
      <c r="F36" s="49">
        <v>0</v>
      </c>
      <c r="I36" s="49" t="s">
        <v>806</v>
      </c>
      <c r="J36" s="55">
        <v>286.51536224869437</v>
      </c>
      <c r="M36" s="49" t="s">
        <v>806</v>
      </c>
      <c r="N36" s="55">
        <v>325.03711856008135</v>
      </c>
      <c r="Q36" s="49" t="s">
        <v>806</v>
      </c>
      <c r="R36" s="55">
        <v>349.941077998499</v>
      </c>
      <c r="U36" s="49" t="s">
        <v>806</v>
      </c>
      <c r="V36" s="49">
        <v>0</v>
      </c>
      <c r="Y36" s="49" t="s">
        <v>806</v>
      </c>
      <c r="Z36" s="55">
        <v>243.28369946128663</v>
      </c>
    </row>
    <row r="38" spans="1:26" x14ac:dyDescent="0.2">
      <c r="A38" s="61" t="s">
        <v>338</v>
      </c>
      <c r="E38" s="61" t="s">
        <v>338</v>
      </c>
      <c r="I38" s="61" t="s">
        <v>338</v>
      </c>
      <c r="M38" s="61" t="s">
        <v>338</v>
      </c>
      <c r="Q38" s="61" t="s">
        <v>338</v>
      </c>
      <c r="U38" s="61" t="s">
        <v>338</v>
      </c>
      <c r="Y38" s="61" t="s">
        <v>338</v>
      </c>
    </row>
    <row r="39" spans="1:26" x14ac:dyDescent="0.2">
      <c r="A39" s="49" t="s">
        <v>802</v>
      </c>
      <c r="E39" s="49" t="s">
        <v>802</v>
      </c>
      <c r="I39" s="49" t="s">
        <v>802</v>
      </c>
      <c r="M39" s="49" t="s">
        <v>802</v>
      </c>
      <c r="Q39" s="49" t="s">
        <v>802</v>
      </c>
      <c r="U39" s="49" t="s">
        <v>802</v>
      </c>
      <c r="Y39" s="49" t="s">
        <v>802</v>
      </c>
    </row>
    <row r="40" spans="1:26" x14ac:dyDescent="0.2">
      <c r="A40" s="49" t="s">
        <v>804</v>
      </c>
      <c r="B40" s="49">
        <v>0</v>
      </c>
      <c r="E40" s="49" t="s">
        <v>804</v>
      </c>
      <c r="F40" s="49">
        <v>0</v>
      </c>
      <c r="I40" s="49" t="s">
        <v>804</v>
      </c>
      <c r="J40" s="55">
        <v>200</v>
      </c>
      <c r="M40" s="49" t="s">
        <v>804</v>
      </c>
      <c r="N40" s="55">
        <v>112</v>
      </c>
      <c r="Q40" s="49" t="s">
        <v>804</v>
      </c>
      <c r="R40" s="55">
        <v>200</v>
      </c>
      <c r="U40" s="49" t="s">
        <v>804</v>
      </c>
      <c r="V40" s="49">
        <v>0</v>
      </c>
      <c r="Y40" s="49" t="s">
        <v>804</v>
      </c>
      <c r="Z40" s="49">
        <v>0</v>
      </c>
    </row>
    <row r="41" spans="1:26" x14ac:dyDescent="0.2">
      <c r="A41" s="49" t="s">
        <v>806</v>
      </c>
      <c r="B41" s="49">
        <v>0</v>
      </c>
      <c r="E41" s="49" t="s">
        <v>806</v>
      </c>
      <c r="F41" s="49">
        <v>0</v>
      </c>
      <c r="I41" s="49" t="s">
        <v>806</v>
      </c>
      <c r="J41" s="55">
        <v>242.76978007167963</v>
      </c>
      <c r="M41" s="49" t="s">
        <v>806</v>
      </c>
      <c r="N41" s="55">
        <v>196.0047573094642</v>
      </c>
      <c r="Q41" s="49" t="s">
        <v>806</v>
      </c>
      <c r="R41" s="55">
        <v>352.26629346517791</v>
      </c>
      <c r="U41" s="49" t="s">
        <v>806</v>
      </c>
      <c r="V41" s="49">
        <v>0</v>
      </c>
      <c r="Y41" s="49" t="s">
        <v>806</v>
      </c>
      <c r="Z41" s="49">
        <v>0</v>
      </c>
    </row>
    <row r="43" spans="1:26" ht="13.5" thickBot="1" x14ac:dyDescent="0.25">
      <c r="A43" s="74"/>
      <c r="B43" s="75"/>
      <c r="E43" s="74"/>
      <c r="F43" s="75"/>
      <c r="G43" s="75"/>
      <c r="I43" s="74"/>
      <c r="J43" s="75"/>
      <c r="K43" s="75"/>
      <c r="M43" s="74"/>
      <c r="N43" s="75"/>
      <c r="O43" s="75"/>
      <c r="Q43" s="75"/>
      <c r="R43" s="75"/>
      <c r="U43" s="75"/>
      <c r="V43" s="75"/>
      <c r="Y43" s="75"/>
      <c r="Z43" s="75"/>
    </row>
    <row r="44" spans="1:26" x14ac:dyDescent="0.2">
      <c r="A44" s="58"/>
    </row>
    <row r="45" spans="1:26" x14ac:dyDescent="0.2">
      <c r="A45" s="59" t="s">
        <v>1231</v>
      </c>
      <c r="E45" s="59" t="s">
        <v>1232</v>
      </c>
      <c r="I45" s="59" t="s">
        <v>1233</v>
      </c>
      <c r="M45" s="59" t="s">
        <v>1234</v>
      </c>
      <c r="Q45" s="59" t="s">
        <v>1235</v>
      </c>
    </row>
    <row r="46" spans="1:26" x14ac:dyDescent="0.2">
      <c r="A46" s="49" t="s">
        <v>802</v>
      </c>
      <c r="E46" s="49" t="s">
        <v>802</v>
      </c>
      <c r="I46" s="49" t="s">
        <v>802</v>
      </c>
      <c r="M46" s="49" t="s">
        <v>802</v>
      </c>
      <c r="Q46" s="49" t="s">
        <v>802</v>
      </c>
    </row>
    <row r="47" spans="1:26" x14ac:dyDescent="0.2">
      <c r="A47" s="49" t="s">
        <v>804</v>
      </c>
      <c r="B47" s="49">
        <v>1328880</v>
      </c>
      <c r="E47" s="49" t="s">
        <v>804</v>
      </c>
      <c r="F47" s="49">
        <v>71160</v>
      </c>
      <c r="I47" s="49" t="s">
        <v>804</v>
      </c>
      <c r="J47" s="55">
        <v>270941</v>
      </c>
      <c r="M47" s="49" t="s">
        <v>804</v>
      </c>
      <c r="N47" s="49">
        <v>1615680</v>
      </c>
      <c r="Q47" s="49" t="s">
        <v>804</v>
      </c>
      <c r="R47" s="55">
        <v>1084536</v>
      </c>
    </row>
    <row r="48" spans="1:26" x14ac:dyDescent="0.2">
      <c r="A48" s="49" t="s">
        <v>806</v>
      </c>
      <c r="B48" s="49">
        <v>313926</v>
      </c>
      <c r="E48" s="49" t="s">
        <v>806</v>
      </c>
      <c r="F48" s="49">
        <v>22812</v>
      </c>
      <c r="I48" s="49" t="s">
        <v>806</v>
      </c>
      <c r="J48" s="55">
        <v>60169</v>
      </c>
      <c r="M48" s="49" t="s">
        <v>806</v>
      </c>
      <c r="N48" s="49">
        <v>450337</v>
      </c>
      <c r="Q48" s="49" t="s">
        <v>806</v>
      </c>
      <c r="R48" s="55">
        <v>270307</v>
      </c>
    </row>
    <row r="51" spans="1:18" x14ac:dyDescent="0.2">
      <c r="A51" s="61" t="s">
        <v>322</v>
      </c>
      <c r="E51" s="61" t="s">
        <v>322</v>
      </c>
      <c r="I51" s="61" t="s">
        <v>322</v>
      </c>
      <c r="M51" s="61" t="s">
        <v>322</v>
      </c>
      <c r="Q51" s="61" t="s">
        <v>322</v>
      </c>
    </row>
    <row r="52" spans="1:18" x14ac:dyDescent="0.2">
      <c r="A52" s="49" t="s">
        <v>802</v>
      </c>
      <c r="E52" s="49" t="s">
        <v>802</v>
      </c>
      <c r="I52" s="49" t="s">
        <v>802</v>
      </c>
      <c r="M52" s="49" t="s">
        <v>802</v>
      </c>
      <c r="Q52" s="49" t="s">
        <v>802</v>
      </c>
    </row>
    <row r="53" spans="1:18" x14ac:dyDescent="0.2">
      <c r="A53" s="49" t="s">
        <v>804</v>
      </c>
      <c r="B53" s="49">
        <v>720</v>
      </c>
      <c r="E53" s="49" t="s">
        <v>804</v>
      </c>
      <c r="F53" s="49">
        <v>92</v>
      </c>
      <c r="I53" s="49" t="s">
        <v>804</v>
      </c>
      <c r="J53" s="55">
        <v>374</v>
      </c>
      <c r="M53" s="49" t="s">
        <v>804</v>
      </c>
      <c r="N53" s="49">
        <v>640</v>
      </c>
      <c r="Q53" s="49" t="s">
        <v>804</v>
      </c>
      <c r="R53" s="49">
        <v>864</v>
      </c>
    </row>
    <row r="54" spans="1:18" x14ac:dyDescent="0.2">
      <c r="A54" s="49" t="s">
        <v>806</v>
      </c>
      <c r="B54" s="49">
        <v>698</v>
      </c>
      <c r="E54" s="49" t="s">
        <v>806</v>
      </c>
      <c r="F54" s="49">
        <v>165</v>
      </c>
      <c r="I54" s="49" t="s">
        <v>806</v>
      </c>
      <c r="J54" s="55">
        <v>369</v>
      </c>
      <c r="M54" s="49" t="s">
        <v>806</v>
      </c>
      <c r="N54" s="49">
        <v>793</v>
      </c>
      <c r="Q54" s="49" t="s">
        <v>806</v>
      </c>
      <c r="R54" s="49">
        <v>709</v>
      </c>
    </row>
    <row r="56" spans="1:18" x14ac:dyDescent="0.2">
      <c r="A56" s="61" t="s">
        <v>337</v>
      </c>
      <c r="E56" s="61" t="s">
        <v>337</v>
      </c>
      <c r="I56" s="61" t="s">
        <v>337</v>
      </c>
      <c r="M56" s="61" t="s">
        <v>337</v>
      </c>
      <c r="Q56" s="61" t="s">
        <v>337</v>
      </c>
    </row>
    <row r="57" spans="1:18" x14ac:dyDescent="0.2">
      <c r="A57" s="49" t="s">
        <v>802</v>
      </c>
      <c r="E57" s="49" t="s">
        <v>802</v>
      </c>
      <c r="I57" s="49" t="s">
        <v>802</v>
      </c>
      <c r="M57" s="49" t="s">
        <v>802</v>
      </c>
      <c r="Q57" s="49" t="s">
        <v>802</v>
      </c>
    </row>
    <row r="58" spans="1:18" x14ac:dyDescent="0.2">
      <c r="A58" s="49" t="s">
        <v>804</v>
      </c>
      <c r="B58" s="49">
        <v>480</v>
      </c>
      <c r="E58" s="49" t="s">
        <v>804</v>
      </c>
      <c r="F58" s="49">
        <v>92</v>
      </c>
      <c r="I58" s="49" t="s">
        <v>804</v>
      </c>
      <c r="J58" s="49">
        <v>0</v>
      </c>
      <c r="M58" s="49" t="s">
        <v>804</v>
      </c>
      <c r="N58" s="49">
        <v>640</v>
      </c>
      <c r="Q58" s="49" t="s">
        <v>804</v>
      </c>
      <c r="R58" s="49">
        <v>216</v>
      </c>
    </row>
    <row r="59" spans="1:18" x14ac:dyDescent="0.2">
      <c r="A59" s="49" t="s">
        <v>806</v>
      </c>
      <c r="B59" s="49">
        <v>583</v>
      </c>
      <c r="E59" s="49" t="s">
        <v>806</v>
      </c>
      <c r="F59" s="49">
        <v>165</v>
      </c>
      <c r="I59" s="49" t="s">
        <v>806</v>
      </c>
      <c r="J59" s="49">
        <v>0</v>
      </c>
      <c r="M59" s="49" t="s">
        <v>806</v>
      </c>
      <c r="N59" s="49">
        <v>793</v>
      </c>
      <c r="Q59" s="49" t="s">
        <v>806</v>
      </c>
      <c r="R59" s="49">
        <v>379</v>
      </c>
    </row>
    <row r="61" spans="1:18" x14ac:dyDescent="0.2">
      <c r="A61" s="61" t="s">
        <v>338</v>
      </c>
      <c r="E61" s="61" t="s">
        <v>338</v>
      </c>
      <c r="I61" s="61" t="s">
        <v>338</v>
      </c>
      <c r="M61" s="61" t="s">
        <v>338</v>
      </c>
      <c r="Q61" s="61" t="s">
        <v>338</v>
      </c>
    </row>
    <row r="62" spans="1:18" x14ac:dyDescent="0.2">
      <c r="A62" s="49" t="s">
        <v>802</v>
      </c>
      <c r="E62" s="49" t="s">
        <v>802</v>
      </c>
      <c r="I62" s="49" t="s">
        <v>802</v>
      </c>
      <c r="M62" s="49" t="s">
        <v>802</v>
      </c>
      <c r="Q62" s="49" t="s">
        <v>802</v>
      </c>
    </row>
    <row r="63" spans="1:18" x14ac:dyDescent="0.2">
      <c r="A63" s="49" t="s">
        <v>804</v>
      </c>
      <c r="B63" s="49">
        <v>480</v>
      </c>
      <c r="E63" s="49" t="s">
        <v>804</v>
      </c>
      <c r="F63" s="49">
        <v>737</v>
      </c>
      <c r="I63" s="49" t="s">
        <v>804</v>
      </c>
      <c r="J63" s="55">
        <v>125</v>
      </c>
      <c r="M63" s="49" t="s">
        <v>804</v>
      </c>
      <c r="N63" s="49">
        <v>1280</v>
      </c>
      <c r="Q63" s="49" t="s">
        <v>804</v>
      </c>
      <c r="R63" s="49">
        <v>1512</v>
      </c>
    </row>
    <row r="64" spans="1:18" x14ac:dyDescent="0.2">
      <c r="A64" s="49" t="s">
        <v>806</v>
      </c>
      <c r="B64" s="49">
        <v>583</v>
      </c>
      <c r="E64" s="49" t="s">
        <v>806</v>
      </c>
      <c r="F64" s="49">
        <v>714</v>
      </c>
      <c r="I64" s="49" t="s">
        <v>806</v>
      </c>
      <c r="J64" s="55">
        <v>219</v>
      </c>
      <c r="M64" s="49" t="s">
        <v>806</v>
      </c>
      <c r="N64" s="49">
        <v>1586</v>
      </c>
      <c r="Q64" s="49" t="s">
        <v>806</v>
      </c>
      <c r="R64" s="49">
        <v>1026</v>
      </c>
    </row>
    <row r="66" spans="1:38" ht="13.5" thickBot="1" x14ac:dyDescent="0.25">
      <c r="A66" s="74"/>
      <c r="B66" s="75"/>
      <c r="E66" s="74"/>
      <c r="F66" s="75"/>
      <c r="G66" s="75"/>
      <c r="I66" s="74"/>
      <c r="J66" s="75"/>
      <c r="K66" s="75"/>
      <c r="M66" s="74"/>
      <c r="N66" s="75"/>
      <c r="O66" s="75"/>
      <c r="Q66" s="75"/>
      <c r="R66" s="75"/>
      <c r="S66" s="75"/>
    </row>
    <row r="67" spans="1:38" x14ac:dyDescent="0.2">
      <c r="A67" s="58"/>
    </row>
    <row r="68" spans="1:38" x14ac:dyDescent="0.2">
      <c r="A68" s="58"/>
    </row>
    <row r="69" spans="1:38" x14ac:dyDescent="0.2">
      <c r="A69" s="59" t="s">
        <v>917</v>
      </c>
      <c r="E69" s="59" t="s">
        <v>917</v>
      </c>
      <c r="I69" s="59" t="s">
        <v>917</v>
      </c>
      <c r="M69" s="59" t="s">
        <v>917</v>
      </c>
      <c r="Q69" s="59" t="s">
        <v>917</v>
      </c>
      <c r="U69" s="59" t="s">
        <v>917</v>
      </c>
      <c r="Y69" s="59" t="s">
        <v>917</v>
      </c>
      <c r="AC69" s="59" t="s">
        <v>917</v>
      </c>
      <c r="AG69" s="59" t="s">
        <v>917</v>
      </c>
    </row>
    <row r="70" spans="1:38" x14ac:dyDescent="0.2">
      <c r="A70" s="59" t="s">
        <v>907</v>
      </c>
      <c r="D70" s="60"/>
      <c r="E70" s="59" t="s">
        <v>908</v>
      </c>
      <c r="H70" s="60"/>
      <c r="I70" s="59" t="s">
        <v>909</v>
      </c>
      <c r="L70" s="60"/>
      <c r="M70" s="59" t="s">
        <v>935</v>
      </c>
      <c r="P70" s="60"/>
      <c r="Q70" s="59" t="s">
        <v>910</v>
      </c>
      <c r="T70" s="60"/>
      <c r="U70" s="59" t="s">
        <v>914</v>
      </c>
      <c r="X70" s="60"/>
      <c r="Y70" s="59" t="s">
        <v>911</v>
      </c>
      <c r="AB70" s="60"/>
      <c r="AC70" s="59" t="s">
        <v>912</v>
      </c>
      <c r="AF70" s="60"/>
      <c r="AG70" s="59" t="s">
        <v>913</v>
      </c>
      <c r="AJ70" s="60"/>
      <c r="AK70" s="59"/>
    </row>
    <row r="71" spans="1:38" x14ac:dyDescent="0.2">
      <c r="A71" s="49" t="s">
        <v>802</v>
      </c>
      <c r="D71" s="60"/>
      <c r="E71" s="49" t="s">
        <v>802</v>
      </c>
      <c r="H71" s="60"/>
      <c r="I71" s="49" t="s">
        <v>802</v>
      </c>
      <c r="L71" s="60"/>
      <c r="M71" s="49" t="s">
        <v>802</v>
      </c>
      <c r="P71" s="60"/>
      <c r="Q71" s="49" t="s">
        <v>802</v>
      </c>
      <c r="T71" s="60"/>
      <c r="U71" s="49" t="s">
        <v>802</v>
      </c>
      <c r="X71" s="60"/>
      <c r="Y71" s="49" t="s">
        <v>802</v>
      </c>
      <c r="AB71" s="60"/>
      <c r="AC71" s="49" t="s">
        <v>802</v>
      </c>
      <c r="AF71" s="60"/>
      <c r="AG71" s="49" t="s">
        <v>802</v>
      </c>
      <c r="AJ71" s="60"/>
    </row>
    <row r="72" spans="1:38" x14ac:dyDescent="0.2">
      <c r="A72" s="49" t="s">
        <v>804</v>
      </c>
      <c r="B72" s="49">
        <v>64604</v>
      </c>
      <c r="D72" s="60"/>
      <c r="E72" s="49" t="s">
        <v>804</v>
      </c>
      <c r="F72" s="49">
        <v>80070</v>
      </c>
      <c r="H72" s="60"/>
      <c r="I72" s="49" t="s">
        <v>804</v>
      </c>
      <c r="J72" s="55">
        <v>1068442.857142857</v>
      </c>
      <c r="L72" s="60"/>
      <c r="M72" s="49" t="s">
        <v>804</v>
      </c>
      <c r="N72" s="49">
        <v>1143965</v>
      </c>
      <c r="P72" s="60"/>
      <c r="Q72" s="49" t="s">
        <v>804</v>
      </c>
      <c r="R72" s="55">
        <v>237995.99999999997</v>
      </c>
      <c r="T72" s="60"/>
      <c r="U72" s="49" t="s">
        <v>804</v>
      </c>
      <c r="V72" s="55">
        <v>267722.72727272729</v>
      </c>
      <c r="X72" s="60"/>
      <c r="Y72" s="49" t="s">
        <v>804</v>
      </c>
      <c r="Z72" s="49">
        <v>427085.99999999994</v>
      </c>
      <c r="AB72" s="60"/>
      <c r="AC72" s="49" t="s">
        <v>804</v>
      </c>
      <c r="AD72" s="55">
        <v>3362877.8260869561</v>
      </c>
      <c r="AF72" s="60"/>
      <c r="AG72" s="49" t="s">
        <v>804</v>
      </c>
      <c r="AH72" s="55">
        <v>1139410.3999999999</v>
      </c>
      <c r="AJ72" s="60"/>
      <c r="AL72" s="55"/>
    </row>
    <row r="73" spans="1:38" x14ac:dyDescent="0.2">
      <c r="A73" s="49" t="s">
        <v>806</v>
      </c>
      <c r="B73" s="49">
        <v>14097</v>
      </c>
      <c r="D73" s="60"/>
      <c r="E73" s="49" t="s">
        <v>806</v>
      </c>
      <c r="F73" s="49">
        <v>20977</v>
      </c>
      <c r="H73" s="60"/>
      <c r="I73" s="49" t="s">
        <v>806</v>
      </c>
      <c r="J73" s="55">
        <v>255107.28319980053</v>
      </c>
      <c r="L73" s="60"/>
      <c r="M73" s="49" t="s">
        <v>806</v>
      </c>
      <c r="N73" s="49">
        <v>225857</v>
      </c>
      <c r="P73" s="60"/>
      <c r="Q73" s="49" t="s">
        <v>806</v>
      </c>
      <c r="R73" s="55">
        <v>65964.357172384334</v>
      </c>
      <c r="T73" s="60"/>
      <c r="U73" s="49" t="s">
        <v>806</v>
      </c>
      <c r="V73" s="55">
        <v>91036.742210069016</v>
      </c>
      <c r="X73" s="60"/>
      <c r="Y73" s="49" t="s">
        <v>806</v>
      </c>
      <c r="Z73" s="55">
        <v>171378.64858798572</v>
      </c>
      <c r="AB73" s="60"/>
      <c r="AC73" s="49" t="s">
        <v>806</v>
      </c>
      <c r="AD73" s="55">
        <v>548036.10755421326</v>
      </c>
      <c r="AF73" s="60"/>
      <c r="AG73" s="49" t="s">
        <v>806</v>
      </c>
      <c r="AH73" s="55">
        <v>261331.32301325497</v>
      </c>
      <c r="AJ73" s="60"/>
      <c r="AL73" s="55"/>
    </row>
    <row r="74" spans="1:38" x14ac:dyDescent="0.2">
      <c r="D74" s="60"/>
      <c r="H74" s="60"/>
      <c r="L74" s="60"/>
      <c r="P74" s="60"/>
      <c r="T74" s="60"/>
      <c r="X74" s="60"/>
      <c r="AB74" s="60"/>
      <c r="AF74" s="60"/>
      <c r="AJ74" s="60"/>
    </row>
    <row r="75" spans="1:38" x14ac:dyDescent="0.2">
      <c r="D75" s="60"/>
      <c r="H75" s="60"/>
      <c r="L75" s="60"/>
      <c r="P75" s="60"/>
      <c r="T75" s="60"/>
      <c r="X75" s="60"/>
      <c r="AB75" s="60"/>
      <c r="AF75" s="60"/>
      <c r="AJ75" s="60"/>
    </row>
    <row r="76" spans="1:38" x14ac:dyDescent="0.2">
      <c r="A76" s="61" t="s">
        <v>322</v>
      </c>
      <c r="D76" s="60"/>
      <c r="E76" s="61" t="s">
        <v>322</v>
      </c>
      <c r="H76" s="60"/>
      <c r="I76" s="61" t="s">
        <v>322</v>
      </c>
      <c r="L76" s="60"/>
      <c r="M76" s="61" t="s">
        <v>322</v>
      </c>
      <c r="P76" s="60"/>
      <c r="Q76" s="61" t="s">
        <v>322</v>
      </c>
      <c r="T76" s="60"/>
      <c r="U76" s="61" t="s">
        <v>322</v>
      </c>
      <c r="X76" s="60"/>
      <c r="Y76" s="61" t="s">
        <v>322</v>
      </c>
      <c r="AB76" s="60"/>
      <c r="AC76" s="61" t="s">
        <v>322</v>
      </c>
      <c r="AF76" s="60"/>
      <c r="AG76" s="61" t="s">
        <v>322</v>
      </c>
      <c r="AJ76" s="60"/>
    </row>
    <row r="77" spans="1:38" x14ac:dyDescent="0.2">
      <c r="A77" s="49" t="s">
        <v>802</v>
      </c>
      <c r="D77" s="60"/>
      <c r="E77" s="49" t="s">
        <v>802</v>
      </c>
      <c r="H77" s="60"/>
      <c r="I77" s="49" t="s">
        <v>802</v>
      </c>
      <c r="L77" s="60"/>
      <c r="M77" s="49" t="s">
        <v>802</v>
      </c>
      <c r="P77" s="60"/>
      <c r="Q77" s="49" t="s">
        <v>802</v>
      </c>
      <c r="T77" s="60"/>
      <c r="U77" s="49" t="s">
        <v>802</v>
      </c>
      <c r="X77" s="60"/>
      <c r="Y77" s="49" t="s">
        <v>802</v>
      </c>
      <c r="AB77" s="60"/>
      <c r="AC77" s="49" t="s">
        <v>802</v>
      </c>
      <c r="AF77" s="60"/>
      <c r="AG77" s="49" t="s">
        <v>802</v>
      </c>
      <c r="AJ77" s="60"/>
    </row>
    <row r="78" spans="1:38" x14ac:dyDescent="0.2">
      <c r="A78" s="49" t="s">
        <v>804</v>
      </c>
      <c r="B78" s="49">
        <v>0</v>
      </c>
      <c r="D78" s="60"/>
      <c r="E78" s="49" t="s">
        <v>804</v>
      </c>
      <c r="F78" s="49">
        <v>170</v>
      </c>
      <c r="H78" s="60"/>
      <c r="I78" s="49" t="s">
        <v>804</v>
      </c>
      <c r="J78" s="55">
        <v>2814.2857142857142</v>
      </c>
      <c r="L78" s="60"/>
      <c r="M78" s="49" t="s">
        <v>804</v>
      </c>
      <c r="N78" s="49">
        <v>1656</v>
      </c>
      <c r="P78" s="60"/>
      <c r="Q78" s="49" t="s">
        <v>804</v>
      </c>
      <c r="R78" s="49">
        <v>0</v>
      </c>
      <c r="T78" s="60"/>
      <c r="U78" s="49" t="s">
        <v>804</v>
      </c>
      <c r="V78" s="55">
        <v>347.72727272727275</v>
      </c>
      <c r="X78" s="60"/>
      <c r="Y78" s="49" t="s">
        <v>804</v>
      </c>
      <c r="Z78" s="49">
        <v>198</v>
      </c>
      <c r="AB78" s="60"/>
      <c r="AC78" s="49" t="s">
        <v>804</v>
      </c>
      <c r="AD78" s="55">
        <v>1882.6811594202898</v>
      </c>
      <c r="AF78" s="60"/>
      <c r="AG78" s="49" t="s">
        <v>804</v>
      </c>
      <c r="AH78" s="55">
        <v>721.59999999999991</v>
      </c>
      <c r="AJ78" s="60"/>
    </row>
    <row r="79" spans="1:38" x14ac:dyDescent="0.2">
      <c r="A79" s="49" t="s">
        <v>806</v>
      </c>
      <c r="B79" s="49">
        <v>0</v>
      </c>
      <c r="D79" s="60"/>
      <c r="E79" s="49" t="s">
        <v>806</v>
      </c>
      <c r="F79" s="49">
        <v>207</v>
      </c>
      <c r="H79" s="60"/>
      <c r="I79" s="49" t="s">
        <v>806</v>
      </c>
      <c r="J79" s="55">
        <v>2352.4879182610212</v>
      </c>
      <c r="L79" s="60"/>
      <c r="M79" s="49" t="s">
        <v>806</v>
      </c>
      <c r="N79" s="49">
        <v>1187</v>
      </c>
      <c r="P79" s="60"/>
      <c r="Q79" s="49" t="s">
        <v>806</v>
      </c>
      <c r="R79" s="49">
        <v>0</v>
      </c>
      <c r="T79" s="60"/>
      <c r="U79" s="49" t="s">
        <v>806</v>
      </c>
      <c r="V79" s="55">
        <v>420.56224859065742</v>
      </c>
      <c r="X79" s="60"/>
      <c r="Y79" s="49" t="s">
        <v>806</v>
      </c>
      <c r="Z79" s="49">
        <v>240</v>
      </c>
      <c r="AB79" s="60"/>
      <c r="AC79" s="49" t="s">
        <v>806</v>
      </c>
      <c r="AD79" s="55">
        <v>1478.7997624060638</v>
      </c>
      <c r="AF79" s="60"/>
      <c r="AG79" s="49" t="s">
        <v>806</v>
      </c>
      <c r="AH79" s="55">
        <v>747.26110222857642</v>
      </c>
      <c r="AJ79" s="60"/>
    </row>
    <row r="80" spans="1:38" x14ac:dyDescent="0.2">
      <c r="D80" s="60"/>
      <c r="H80" s="60"/>
      <c r="L80" s="60"/>
      <c r="P80" s="60"/>
      <c r="T80" s="60"/>
      <c r="X80" s="60"/>
      <c r="AB80" s="60"/>
      <c r="AF80" s="60"/>
      <c r="AJ80" s="60"/>
    </row>
    <row r="81" spans="1:36" x14ac:dyDescent="0.2">
      <c r="A81" s="61" t="s">
        <v>337</v>
      </c>
      <c r="D81" s="60"/>
      <c r="E81" s="61" t="s">
        <v>337</v>
      </c>
      <c r="H81" s="60"/>
      <c r="I81" s="61" t="s">
        <v>337</v>
      </c>
      <c r="L81" s="60"/>
      <c r="M81" s="61" t="s">
        <v>337</v>
      </c>
      <c r="P81" s="60"/>
      <c r="Q81" s="61" t="s">
        <v>337</v>
      </c>
      <c r="T81" s="60"/>
      <c r="U81" s="61" t="s">
        <v>337</v>
      </c>
      <c r="X81" s="60"/>
      <c r="Y81" s="61" t="s">
        <v>337</v>
      </c>
      <c r="AB81" s="60"/>
      <c r="AC81" s="61" t="s">
        <v>337</v>
      </c>
      <c r="AF81" s="60"/>
      <c r="AG81" s="61" t="s">
        <v>337</v>
      </c>
      <c r="AJ81" s="60"/>
    </row>
    <row r="82" spans="1:36" x14ac:dyDescent="0.2">
      <c r="A82" s="49" t="s">
        <v>802</v>
      </c>
      <c r="D82" s="60"/>
      <c r="E82" s="49" t="s">
        <v>802</v>
      </c>
      <c r="H82" s="60"/>
      <c r="I82" s="49" t="s">
        <v>802</v>
      </c>
      <c r="L82" s="60"/>
      <c r="M82" s="49" t="s">
        <v>802</v>
      </c>
      <c r="P82" s="60"/>
      <c r="Q82" s="49" t="s">
        <v>802</v>
      </c>
      <c r="T82" s="60"/>
      <c r="U82" s="49" t="s">
        <v>802</v>
      </c>
      <c r="X82" s="60"/>
      <c r="Y82" s="49" t="s">
        <v>802</v>
      </c>
      <c r="AB82" s="60"/>
      <c r="AC82" s="49" t="s">
        <v>802</v>
      </c>
      <c r="AF82" s="60"/>
      <c r="AG82" s="49" t="s">
        <v>802</v>
      </c>
      <c r="AJ82" s="60"/>
    </row>
    <row r="83" spans="1:36" x14ac:dyDescent="0.2">
      <c r="A83" s="49" t="s">
        <v>804</v>
      </c>
      <c r="B83" s="49">
        <v>0</v>
      </c>
      <c r="D83" s="60"/>
      <c r="E83" s="49" t="s">
        <v>804</v>
      </c>
      <c r="F83" s="49">
        <v>0</v>
      </c>
      <c r="H83" s="60"/>
      <c r="I83" s="49" t="s">
        <v>804</v>
      </c>
      <c r="J83" s="49">
        <v>0</v>
      </c>
      <c r="L83" s="60"/>
      <c r="M83" s="49" t="s">
        <v>804</v>
      </c>
      <c r="N83" s="49">
        <v>994</v>
      </c>
      <c r="P83" s="60"/>
      <c r="Q83" s="49" t="s">
        <v>804</v>
      </c>
      <c r="R83" s="49">
        <v>792</v>
      </c>
      <c r="T83" s="60"/>
      <c r="U83" s="49" t="s">
        <v>804</v>
      </c>
      <c r="V83" s="55">
        <v>463.63636363636368</v>
      </c>
      <c r="X83" s="60"/>
      <c r="Y83" s="49" t="s">
        <v>804</v>
      </c>
      <c r="Z83" s="49">
        <v>99</v>
      </c>
      <c r="AB83" s="60"/>
      <c r="AC83" s="49" t="s">
        <v>804</v>
      </c>
      <c r="AD83" s="55">
        <v>3373.0434782608691</v>
      </c>
      <c r="AF83" s="60"/>
      <c r="AG83" s="49" t="s">
        <v>804</v>
      </c>
      <c r="AH83" s="55">
        <v>2595.5999999999995</v>
      </c>
      <c r="AJ83" s="60"/>
    </row>
    <row r="84" spans="1:36" x14ac:dyDescent="0.2">
      <c r="A84" s="49" t="s">
        <v>806</v>
      </c>
      <c r="B84" s="49">
        <v>0</v>
      </c>
      <c r="D84" s="60"/>
      <c r="E84" s="49" t="s">
        <v>806</v>
      </c>
      <c r="F84" s="49">
        <v>0</v>
      </c>
      <c r="H84" s="60"/>
      <c r="I84" s="49" t="s">
        <v>806</v>
      </c>
      <c r="J84" s="49">
        <v>0</v>
      </c>
      <c r="L84" s="60"/>
      <c r="M84" s="49" t="s">
        <v>806</v>
      </c>
      <c r="N84" s="49">
        <v>964</v>
      </c>
      <c r="P84" s="60"/>
      <c r="Q84" s="49" t="s">
        <v>806</v>
      </c>
      <c r="R84" s="49">
        <v>694</v>
      </c>
      <c r="T84" s="60"/>
      <c r="U84" s="49" t="s">
        <v>806</v>
      </c>
      <c r="V84" s="55">
        <v>599.95938711960412</v>
      </c>
      <c r="X84" s="60"/>
      <c r="Y84" s="49" t="s">
        <v>806</v>
      </c>
      <c r="Z84" s="49">
        <v>173</v>
      </c>
      <c r="AB84" s="60"/>
      <c r="AC84" s="49" t="s">
        <v>806</v>
      </c>
      <c r="AD84" s="55">
        <v>2682.3502284811993</v>
      </c>
      <c r="AF84" s="60"/>
      <c r="AG84" s="49" t="s">
        <v>806</v>
      </c>
      <c r="AH84" s="55">
        <v>1303.2488788175956</v>
      </c>
      <c r="AJ84" s="60"/>
    </row>
    <row r="85" spans="1:36" x14ac:dyDescent="0.2">
      <c r="D85" s="60"/>
      <c r="H85" s="60"/>
      <c r="L85" s="60"/>
      <c r="P85" s="60"/>
      <c r="T85" s="60"/>
      <c r="X85" s="60"/>
      <c r="AB85" s="60"/>
      <c r="AF85" s="60"/>
      <c r="AJ85" s="60"/>
    </row>
    <row r="86" spans="1:36" x14ac:dyDescent="0.2">
      <c r="A86" s="61" t="s">
        <v>338</v>
      </c>
      <c r="D86" s="60"/>
      <c r="E86" s="61" t="s">
        <v>338</v>
      </c>
      <c r="H86" s="60"/>
      <c r="I86" s="61" t="s">
        <v>338</v>
      </c>
      <c r="L86" s="60"/>
      <c r="M86" s="61" t="s">
        <v>338</v>
      </c>
      <c r="P86" s="60"/>
      <c r="Q86" s="61" t="s">
        <v>338</v>
      </c>
      <c r="T86" s="60"/>
      <c r="U86" s="61" t="s">
        <v>338</v>
      </c>
      <c r="X86" s="60"/>
      <c r="Y86" s="61" t="s">
        <v>338</v>
      </c>
      <c r="AB86" s="60"/>
      <c r="AC86" s="61" t="s">
        <v>338</v>
      </c>
      <c r="AF86" s="60"/>
      <c r="AG86" s="61" t="s">
        <v>338</v>
      </c>
      <c r="AJ86" s="60"/>
    </row>
    <row r="87" spans="1:36" x14ac:dyDescent="0.2">
      <c r="A87" s="49" t="s">
        <v>802</v>
      </c>
      <c r="D87" s="60"/>
      <c r="E87" s="49" t="s">
        <v>802</v>
      </c>
      <c r="H87" s="60"/>
      <c r="I87" s="49" t="s">
        <v>802</v>
      </c>
      <c r="L87" s="60"/>
      <c r="M87" s="49" t="s">
        <v>802</v>
      </c>
      <c r="P87" s="60"/>
      <c r="Q87" s="49" t="s">
        <v>802</v>
      </c>
      <c r="T87" s="60"/>
      <c r="U87" s="49" t="s">
        <v>802</v>
      </c>
      <c r="X87" s="60"/>
      <c r="Y87" s="49" t="s">
        <v>802</v>
      </c>
      <c r="AB87" s="60"/>
      <c r="AC87" s="49" t="s">
        <v>802</v>
      </c>
      <c r="AF87" s="60"/>
      <c r="AG87" s="49" t="s">
        <v>802</v>
      </c>
      <c r="AJ87" s="60"/>
    </row>
    <row r="88" spans="1:36" x14ac:dyDescent="0.2">
      <c r="A88" s="49" t="s">
        <v>804</v>
      </c>
      <c r="B88" s="49">
        <v>491</v>
      </c>
      <c r="D88" s="60"/>
      <c r="E88" s="49" t="s">
        <v>804</v>
      </c>
      <c r="F88" s="49">
        <v>850</v>
      </c>
      <c r="H88" s="60"/>
      <c r="I88" s="49" t="s">
        <v>804</v>
      </c>
      <c r="J88" s="55">
        <v>11821.428571428571</v>
      </c>
      <c r="L88" s="60"/>
      <c r="M88" s="49" t="s">
        <v>804</v>
      </c>
      <c r="N88" s="49">
        <v>2981</v>
      </c>
      <c r="P88" s="60"/>
      <c r="Q88" s="49" t="s">
        <v>804</v>
      </c>
      <c r="R88" s="49">
        <v>198</v>
      </c>
      <c r="T88" s="60"/>
      <c r="U88" s="49" t="s">
        <v>804</v>
      </c>
      <c r="V88" s="55">
        <v>811.36363636363649</v>
      </c>
      <c r="X88" s="60"/>
      <c r="Y88" s="49" t="s">
        <v>804</v>
      </c>
      <c r="Z88" s="49">
        <v>396</v>
      </c>
      <c r="AB88" s="60"/>
      <c r="AC88" s="49" t="s">
        <v>804</v>
      </c>
      <c r="AD88" s="55">
        <v>4199.2028985507241</v>
      </c>
      <c r="AF88" s="60"/>
      <c r="AG88" s="49" t="s">
        <v>804</v>
      </c>
      <c r="AH88" s="55">
        <v>2234.7999999999997</v>
      </c>
      <c r="AJ88" s="60"/>
    </row>
    <row r="89" spans="1:36" x14ac:dyDescent="0.2">
      <c r="A89" s="49" t="s">
        <v>806</v>
      </c>
      <c r="B89" s="49">
        <v>244</v>
      </c>
      <c r="D89" s="60"/>
      <c r="E89" s="49" t="s">
        <v>806</v>
      </c>
      <c r="F89" s="49">
        <v>731</v>
      </c>
      <c r="H89" s="60"/>
      <c r="I89" s="49" t="s">
        <v>806</v>
      </c>
      <c r="J89" s="55">
        <v>5914.8772171950422</v>
      </c>
      <c r="L89" s="60"/>
      <c r="M89" s="49" t="s">
        <v>806</v>
      </c>
      <c r="N89" s="49">
        <v>1653</v>
      </c>
      <c r="P89" s="60"/>
      <c r="Q89" s="49" t="s">
        <v>806</v>
      </c>
      <c r="R89" s="49">
        <v>240</v>
      </c>
      <c r="T89" s="60"/>
      <c r="U89" s="49" t="s">
        <v>806</v>
      </c>
      <c r="V89" s="55">
        <v>857.564967317369</v>
      </c>
      <c r="X89" s="60"/>
      <c r="Y89" s="49" t="s">
        <v>806</v>
      </c>
      <c r="Z89" s="49">
        <v>324</v>
      </c>
      <c r="AB89" s="60"/>
      <c r="AC89" s="49" t="s">
        <v>806</v>
      </c>
      <c r="AD89" s="55">
        <v>2893.156644648504</v>
      </c>
      <c r="AF89" s="60"/>
      <c r="AG89" s="49" t="s">
        <v>806</v>
      </c>
      <c r="AH89" s="55">
        <v>1135.8152000402449</v>
      </c>
      <c r="AJ89" s="60"/>
    </row>
    <row r="90" spans="1:36" x14ac:dyDescent="0.2">
      <c r="D90" s="60"/>
      <c r="H90" s="60"/>
      <c r="L90" s="60"/>
      <c r="P90" s="60"/>
      <c r="T90" s="60"/>
      <c r="X90" s="60"/>
      <c r="AB90" s="60"/>
      <c r="AF90" s="60"/>
      <c r="AJ90" s="60"/>
    </row>
    <row r="91" spans="1:36" s="75" customFormat="1" ht="13.5" thickBot="1" x14ac:dyDescent="0.25">
      <c r="A91" s="74"/>
      <c r="D91" s="76"/>
      <c r="E91" s="74"/>
      <c r="H91" s="76"/>
      <c r="I91" s="74"/>
      <c r="L91" s="76"/>
      <c r="M91" s="74"/>
      <c r="P91" s="76"/>
      <c r="T91" s="76"/>
      <c r="X91" s="76"/>
      <c r="AB91" s="76"/>
      <c r="AF91" s="76"/>
      <c r="AJ91" s="76"/>
    </row>
    <row r="92" spans="1:36" x14ac:dyDescent="0.2">
      <c r="D92" s="60"/>
      <c r="H92" s="60"/>
      <c r="L92" s="60"/>
      <c r="P92" s="60"/>
      <c r="T92" s="60"/>
      <c r="X92" s="60"/>
      <c r="AB92" s="60"/>
      <c r="AF92" s="60"/>
      <c r="AJ92" s="60"/>
    </row>
    <row r="93" spans="1:36" x14ac:dyDescent="0.2">
      <c r="A93" s="59" t="s">
        <v>922</v>
      </c>
      <c r="D93" s="60"/>
      <c r="E93" s="59" t="s">
        <v>922</v>
      </c>
      <c r="H93" s="60"/>
      <c r="I93" s="59" t="s">
        <v>931</v>
      </c>
      <c r="L93" s="60"/>
      <c r="P93" s="60"/>
      <c r="T93" s="60"/>
      <c r="X93" s="60"/>
      <c r="AB93" s="60"/>
      <c r="AF93" s="60"/>
      <c r="AJ93" s="60"/>
    </row>
    <row r="94" spans="1:36" x14ac:dyDescent="0.2">
      <c r="A94" s="59" t="s">
        <v>921</v>
      </c>
      <c r="D94" s="60"/>
      <c r="E94" s="59" t="s">
        <v>923</v>
      </c>
      <c r="H94" s="60"/>
      <c r="I94" s="59" t="s">
        <v>932</v>
      </c>
      <c r="L94" s="60"/>
      <c r="P94" s="60"/>
      <c r="T94" s="60"/>
      <c r="X94" s="60"/>
      <c r="AB94" s="60"/>
      <c r="AF94" s="60"/>
      <c r="AJ94" s="60"/>
    </row>
    <row r="95" spans="1:36" x14ac:dyDescent="0.2">
      <c r="A95" s="49" t="s">
        <v>802</v>
      </c>
      <c r="D95" s="60"/>
      <c r="E95" s="49" t="s">
        <v>802</v>
      </c>
      <c r="H95" s="60"/>
      <c r="I95" s="49" t="s">
        <v>802</v>
      </c>
      <c r="L95" s="60"/>
      <c r="P95" s="60"/>
      <c r="T95" s="60"/>
      <c r="X95" s="60"/>
      <c r="AB95" s="60"/>
      <c r="AF95" s="60"/>
      <c r="AJ95" s="60"/>
    </row>
    <row r="96" spans="1:36" x14ac:dyDescent="0.2">
      <c r="A96" s="49" t="s">
        <v>804</v>
      </c>
      <c r="B96" s="55">
        <v>427370.19230769231</v>
      </c>
      <c r="D96" s="60"/>
      <c r="E96" s="49" t="s">
        <v>804</v>
      </c>
      <c r="F96" s="55">
        <v>310099.28571428568</v>
      </c>
      <c r="H96" s="60"/>
      <c r="I96" s="49" t="s">
        <v>804</v>
      </c>
      <c r="J96" s="55">
        <v>93000</v>
      </c>
      <c r="L96" s="60"/>
      <c r="M96" s="61"/>
      <c r="P96" s="60"/>
      <c r="T96" s="60"/>
      <c r="X96" s="60"/>
      <c r="AB96" s="60"/>
      <c r="AF96" s="60"/>
      <c r="AJ96" s="60"/>
    </row>
    <row r="97" spans="1:36" x14ac:dyDescent="0.2">
      <c r="A97" s="49" t="s">
        <v>806</v>
      </c>
      <c r="B97" s="55">
        <v>103212.92581893395</v>
      </c>
      <c r="D97" s="60"/>
      <c r="E97" s="49" t="s">
        <v>806</v>
      </c>
      <c r="F97" s="55">
        <v>72230.810578262492</v>
      </c>
      <c r="H97" s="60"/>
      <c r="I97" s="49" t="s">
        <v>806</v>
      </c>
      <c r="J97" s="55">
        <v>28716</v>
      </c>
      <c r="L97" s="60"/>
      <c r="P97" s="60"/>
      <c r="T97" s="60"/>
      <c r="X97" s="60"/>
      <c r="AB97" s="60"/>
      <c r="AF97" s="60"/>
      <c r="AJ97" s="60"/>
    </row>
    <row r="98" spans="1:36" x14ac:dyDescent="0.2">
      <c r="D98" s="60"/>
      <c r="H98" s="60"/>
      <c r="L98" s="60"/>
      <c r="P98" s="60"/>
      <c r="T98" s="60"/>
      <c r="X98" s="60"/>
      <c r="AB98" s="60"/>
      <c r="AF98" s="60"/>
      <c r="AJ98" s="60"/>
    </row>
    <row r="99" spans="1:36" x14ac:dyDescent="0.2">
      <c r="A99" s="61" t="s">
        <v>322</v>
      </c>
      <c r="D99" s="60"/>
      <c r="E99" s="61" t="s">
        <v>322</v>
      </c>
      <c r="H99" s="60"/>
      <c r="I99" s="61" t="s">
        <v>322</v>
      </c>
      <c r="L99" s="60"/>
      <c r="P99" s="60"/>
      <c r="T99" s="60"/>
      <c r="X99" s="60"/>
      <c r="AB99" s="60"/>
      <c r="AF99" s="60"/>
      <c r="AJ99" s="60"/>
    </row>
    <row r="100" spans="1:36" x14ac:dyDescent="0.2">
      <c r="A100" s="49" t="s">
        <v>802</v>
      </c>
      <c r="D100" s="60"/>
      <c r="E100" s="49" t="s">
        <v>802</v>
      </c>
      <c r="H100" s="60"/>
      <c r="I100" s="49" t="s">
        <v>802</v>
      </c>
      <c r="L100" s="60"/>
      <c r="P100" s="60"/>
      <c r="T100" s="60"/>
      <c r="X100" s="60"/>
      <c r="AB100" s="60"/>
      <c r="AF100" s="60"/>
      <c r="AJ100" s="60"/>
    </row>
    <row r="101" spans="1:36" x14ac:dyDescent="0.2">
      <c r="A101" s="49" t="s">
        <v>804</v>
      </c>
      <c r="B101" s="55">
        <v>706.73076923076928</v>
      </c>
      <c r="D101" s="60"/>
      <c r="E101" s="49" t="s">
        <v>804</v>
      </c>
      <c r="F101" s="55">
        <v>1435.7142857142858</v>
      </c>
      <c r="H101" s="60"/>
      <c r="I101" s="49" t="s">
        <v>804</v>
      </c>
      <c r="J101" s="55"/>
      <c r="L101" s="60"/>
      <c r="M101" s="61"/>
      <c r="P101" s="60"/>
      <c r="T101" s="60"/>
      <c r="X101" s="60"/>
      <c r="AB101" s="60"/>
      <c r="AF101" s="60"/>
      <c r="AJ101" s="60"/>
    </row>
    <row r="102" spans="1:36" x14ac:dyDescent="0.2">
      <c r="A102" s="49" t="s">
        <v>806</v>
      </c>
      <c r="B102" s="55">
        <v>487.18560165856491</v>
      </c>
      <c r="D102" s="60"/>
      <c r="E102" s="49" t="s">
        <v>806</v>
      </c>
      <c r="F102" s="55">
        <v>452.73458055516693</v>
      </c>
      <c r="H102" s="60"/>
      <c r="I102" s="49" t="s">
        <v>806</v>
      </c>
      <c r="J102" s="55"/>
      <c r="L102" s="60"/>
      <c r="P102" s="60"/>
      <c r="T102" s="60"/>
      <c r="X102" s="60"/>
      <c r="AB102" s="60"/>
      <c r="AF102" s="60"/>
      <c r="AJ102" s="60"/>
    </row>
    <row r="103" spans="1:36" x14ac:dyDescent="0.2">
      <c r="D103" s="60"/>
      <c r="H103" s="60"/>
      <c r="L103" s="60"/>
      <c r="P103" s="60"/>
      <c r="T103" s="60"/>
      <c r="X103" s="60"/>
      <c r="AB103" s="60"/>
      <c r="AF103" s="60"/>
      <c r="AJ103" s="60"/>
    </row>
    <row r="104" spans="1:36" x14ac:dyDescent="0.2">
      <c r="A104" s="61" t="s">
        <v>337</v>
      </c>
      <c r="D104" s="60"/>
      <c r="E104" s="61" t="s">
        <v>337</v>
      </c>
      <c r="H104" s="60"/>
      <c r="I104" s="61" t="s">
        <v>337</v>
      </c>
      <c r="L104" s="60"/>
      <c r="P104" s="60"/>
      <c r="T104" s="60"/>
      <c r="X104" s="60"/>
      <c r="AB104" s="60"/>
      <c r="AF104" s="60"/>
      <c r="AJ104" s="60"/>
    </row>
    <row r="105" spans="1:36" x14ac:dyDescent="0.2">
      <c r="A105" s="49" t="s">
        <v>802</v>
      </c>
      <c r="D105" s="60"/>
      <c r="E105" s="49" t="s">
        <v>802</v>
      </c>
      <c r="H105" s="60"/>
      <c r="I105" s="49" t="s">
        <v>802</v>
      </c>
      <c r="L105" s="60"/>
      <c r="P105" s="60"/>
      <c r="T105" s="60"/>
      <c r="X105" s="60"/>
      <c r="AB105" s="60"/>
      <c r="AF105" s="60"/>
      <c r="AJ105" s="60"/>
    </row>
    <row r="106" spans="1:36" x14ac:dyDescent="0.2">
      <c r="A106" s="49" t="s">
        <v>804</v>
      </c>
      <c r="B106" s="55">
        <v>1110.5769230769231</v>
      </c>
      <c r="D106" s="60"/>
      <c r="E106" s="49" t="s">
        <v>804</v>
      </c>
      <c r="F106" s="55">
        <v>1298.5714285714284</v>
      </c>
      <c r="H106" s="60"/>
      <c r="I106" s="49" t="s">
        <v>804</v>
      </c>
      <c r="J106" s="55"/>
      <c r="L106" s="60"/>
      <c r="M106" s="61"/>
    </row>
    <row r="107" spans="1:36" x14ac:dyDescent="0.2">
      <c r="A107" s="49" t="s">
        <v>806</v>
      </c>
      <c r="B107" s="55">
        <v>782.46701190410238</v>
      </c>
      <c r="D107" s="60"/>
      <c r="E107" s="49" t="s">
        <v>806</v>
      </c>
      <c r="F107" s="55">
        <v>806.94361598515604</v>
      </c>
      <c r="H107" s="60"/>
      <c r="I107" s="49" t="s">
        <v>806</v>
      </c>
      <c r="J107" s="55"/>
      <c r="L107" s="60"/>
    </row>
    <row r="108" spans="1:36" x14ac:dyDescent="0.2">
      <c r="D108" s="60"/>
      <c r="H108" s="60"/>
      <c r="L108" s="60"/>
    </row>
    <row r="109" spans="1:36" x14ac:dyDescent="0.2">
      <c r="A109" s="61" t="s">
        <v>338</v>
      </c>
      <c r="D109" s="60"/>
      <c r="E109" s="61" t="s">
        <v>338</v>
      </c>
      <c r="H109" s="60"/>
      <c r="I109" s="61" t="s">
        <v>338</v>
      </c>
      <c r="L109" s="60"/>
    </row>
    <row r="110" spans="1:36" x14ac:dyDescent="0.2">
      <c r="A110" s="49" t="s">
        <v>802</v>
      </c>
      <c r="D110" s="60"/>
      <c r="E110" s="49" t="s">
        <v>802</v>
      </c>
      <c r="H110" s="60"/>
      <c r="I110" s="49" t="s">
        <v>802</v>
      </c>
      <c r="L110" s="60"/>
    </row>
    <row r="111" spans="1:36" x14ac:dyDescent="0.2">
      <c r="A111" s="49" t="s">
        <v>804</v>
      </c>
      <c r="B111" s="55">
        <v>201.92307692307693</v>
      </c>
      <c r="D111" s="60"/>
      <c r="E111" s="49" t="s">
        <v>804</v>
      </c>
      <c r="F111" s="55">
        <v>355.71428571428567</v>
      </c>
      <c r="H111" s="60"/>
      <c r="I111" s="49" t="s">
        <v>804</v>
      </c>
      <c r="J111" s="55">
        <v>1615</v>
      </c>
      <c r="L111" s="60"/>
      <c r="M111" s="61"/>
    </row>
    <row r="112" spans="1:36" x14ac:dyDescent="0.2">
      <c r="A112" s="49" t="s">
        <v>806</v>
      </c>
      <c r="B112" s="55">
        <v>359.81041255089622</v>
      </c>
      <c r="D112" s="60"/>
      <c r="E112" s="49" t="s">
        <v>806</v>
      </c>
      <c r="F112" s="55">
        <v>340.73552450548948</v>
      </c>
      <c r="H112" s="60"/>
      <c r="I112" s="49" t="s">
        <v>806</v>
      </c>
      <c r="J112" s="55">
        <v>693</v>
      </c>
      <c r="L112" s="60"/>
    </row>
    <row r="114" spans="1:16" s="75" customFormat="1" ht="13.5" thickBot="1" x14ac:dyDescent="0.25"/>
    <row r="116" spans="1:16" x14ac:dyDescent="0.2">
      <c r="A116" s="59" t="s">
        <v>926</v>
      </c>
      <c r="D116" s="60"/>
      <c r="E116" s="59" t="s">
        <v>926</v>
      </c>
      <c r="H116" s="60"/>
      <c r="I116" s="59" t="s">
        <v>926</v>
      </c>
      <c r="L116" s="60"/>
      <c r="M116" s="59" t="s">
        <v>926</v>
      </c>
      <c r="P116" s="60"/>
    </row>
    <row r="117" spans="1:16" x14ac:dyDescent="0.2">
      <c r="A117" s="59" t="s">
        <v>927</v>
      </c>
      <c r="D117" s="60"/>
      <c r="E117" s="59" t="s">
        <v>928</v>
      </c>
      <c r="H117" s="60"/>
      <c r="I117" s="59" t="s">
        <v>929</v>
      </c>
      <c r="L117" s="60"/>
      <c r="M117" s="59" t="s">
        <v>930</v>
      </c>
      <c r="P117" s="60"/>
    </row>
    <row r="118" spans="1:16" x14ac:dyDescent="0.2">
      <c r="A118" s="49" t="s">
        <v>802</v>
      </c>
      <c r="D118" s="60"/>
      <c r="E118" s="49" t="s">
        <v>802</v>
      </c>
      <c r="H118" s="60"/>
      <c r="I118" s="49" t="s">
        <v>802</v>
      </c>
      <c r="L118" s="60"/>
      <c r="M118" s="49" t="s">
        <v>802</v>
      </c>
      <c r="P118" s="60"/>
    </row>
    <row r="119" spans="1:16" x14ac:dyDescent="0.2">
      <c r="A119" s="49" t="s">
        <v>804</v>
      </c>
      <c r="D119" s="60"/>
      <c r="E119" s="49" t="s">
        <v>804</v>
      </c>
      <c r="F119" s="55">
        <v>42415</v>
      </c>
      <c r="H119" s="60"/>
      <c r="I119" s="49" t="s">
        <v>804</v>
      </c>
      <c r="J119" s="55">
        <v>129910.9090909091</v>
      </c>
      <c r="L119" s="60"/>
      <c r="M119" s="49" t="s">
        <v>804</v>
      </c>
      <c r="N119" s="55">
        <v>203687.99999999997</v>
      </c>
      <c r="P119" s="60"/>
    </row>
    <row r="120" spans="1:16" x14ac:dyDescent="0.2">
      <c r="A120" s="49" t="s">
        <v>806</v>
      </c>
      <c r="D120" s="60"/>
      <c r="E120" s="49" t="s">
        <v>806</v>
      </c>
      <c r="F120" s="55">
        <v>6517.7152493020767</v>
      </c>
      <c r="H120" s="60"/>
      <c r="I120" s="49" t="s">
        <v>806</v>
      </c>
      <c r="J120" s="55">
        <v>43446.729862942993</v>
      </c>
      <c r="L120" s="60"/>
      <c r="M120" s="49" t="s">
        <v>806</v>
      </c>
      <c r="N120" s="55">
        <v>43570.952610352775</v>
      </c>
      <c r="P120" s="60"/>
    </row>
    <row r="121" spans="1:16" x14ac:dyDescent="0.2">
      <c r="D121" s="60"/>
      <c r="H121" s="60"/>
      <c r="L121" s="60"/>
      <c r="P121" s="60"/>
    </row>
    <row r="122" spans="1:16" x14ac:dyDescent="0.2">
      <c r="A122" s="61" t="s">
        <v>322</v>
      </c>
      <c r="D122" s="60"/>
      <c r="E122" s="61" t="s">
        <v>322</v>
      </c>
      <c r="H122" s="60"/>
      <c r="I122" s="61" t="s">
        <v>322</v>
      </c>
      <c r="L122" s="60"/>
      <c r="M122" s="61" t="s">
        <v>322</v>
      </c>
      <c r="P122" s="60"/>
    </row>
    <row r="123" spans="1:16" x14ac:dyDescent="0.2">
      <c r="A123" s="49" t="s">
        <v>802</v>
      </c>
      <c r="D123" s="60"/>
      <c r="E123" s="49" t="s">
        <v>802</v>
      </c>
      <c r="H123" s="60"/>
      <c r="I123" s="49" t="s">
        <v>802</v>
      </c>
      <c r="L123" s="60"/>
      <c r="M123" s="49" t="s">
        <v>802</v>
      </c>
      <c r="P123" s="60"/>
    </row>
    <row r="124" spans="1:16" x14ac:dyDescent="0.2">
      <c r="A124" s="49" t="s">
        <v>804</v>
      </c>
      <c r="D124" s="60"/>
      <c r="E124" s="49" t="s">
        <v>804</v>
      </c>
      <c r="F124" s="55">
        <v>170</v>
      </c>
      <c r="H124" s="60"/>
      <c r="I124" s="49" t="s">
        <v>804</v>
      </c>
      <c r="J124" s="55">
        <v>278.18181818181819</v>
      </c>
      <c r="L124" s="60"/>
      <c r="M124" s="49" t="s">
        <v>804</v>
      </c>
      <c r="N124" s="55">
        <v>883.19999999999993</v>
      </c>
      <c r="P124" s="60"/>
    </row>
    <row r="125" spans="1:16" x14ac:dyDescent="0.2">
      <c r="A125" s="49" t="s">
        <v>806</v>
      </c>
      <c r="D125" s="60"/>
      <c r="E125" s="49" t="s">
        <v>806</v>
      </c>
      <c r="F125" s="55">
        <v>206.69688570597262</v>
      </c>
      <c r="H125" s="60"/>
      <c r="I125" s="49" t="s">
        <v>806</v>
      </c>
      <c r="J125" s="55">
        <v>360.50182964700684</v>
      </c>
      <c r="L125" s="60"/>
      <c r="M125" s="49" t="s">
        <v>806</v>
      </c>
      <c r="N125" s="55">
        <v>459.88912815594551</v>
      </c>
      <c r="P125" s="60"/>
    </row>
    <row r="126" spans="1:16" x14ac:dyDescent="0.2">
      <c r="D126" s="60"/>
      <c r="H126" s="60"/>
      <c r="L126" s="60"/>
      <c r="P126" s="60"/>
    </row>
    <row r="127" spans="1:16" x14ac:dyDescent="0.2">
      <c r="A127" s="61" t="s">
        <v>337</v>
      </c>
      <c r="D127" s="60"/>
      <c r="E127" s="61" t="s">
        <v>337</v>
      </c>
      <c r="H127" s="60"/>
      <c r="I127" s="61" t="s">
        <v>337</v>
      </c>
      <c r="L127" s="60"/>
      <c r="M127" s="61" t="s">
        <v>337</v>
      </c>
      <c r="P127" s="60"/>
    </row>
    <row r="128" spans="1:16" x14ac:dyDescent="0.2">
      <c r="A128" s="49" t="s">
        <v>802</v>
      </c>
      <c r="D128" s="60"/>
      <c r="E128" s="49" t="s">
        <v>802</v>
      </c>
      <c r="H128" s="60"/>
      <c r="I128" s="49" t="s">
        <v>802</v>
      </c>
      <c r="L128" s="60"/>
      <c r="M128" s="49" t="s">
        <v>802</v>
      </c>
      <c r="P128" s="60"/>
    </row>
    <row r="129" spans="1:16" x14ac:dyDescent="0.2">
      <c r="A129" s="49" t="s">
        <v>804</v>
      </c>
      <c r="D129" s="60"/>
      <c r="E129" s="49" t="s">
        <v>804</v>
      </c>
      <c r="F129" s="55">
        <v>170</v>
      </c>
      <c r="H129" s="60"/>
      <c r="I129" s="49" t="s">
        <v>804</v>
      </c>
      <c r="J129" s="55">
        <v>927.27272727272737</v>
      </c>
      <c r="L129" s="60"/>
      <c r="M129" s="49" t="s">
        <v>804</v>
      </c>
      <c r="N129" s="55">
        <v>220.79999999999998</v>
      </c>
      <c r="P129" s="60"/>
    </row>
    <row r="130" spans="1:16" x14ac:dyDescent="0.2">
      <c r="A130" s="49" t="s">
        <v>806</v>
      </c>
      <c r="D130" s="60"/>
      <c r="E130" s="49" t="s">
        <v>806</v>
      </c>
      <c r="F130" s="55">
        <v>206.69688570597262</v>
      </c>
      <c r="H130" s="60"/>
      <c r="I130" s="49" t="s">
        <v>806</v>
      </c>
      <c r="J130" s="55">
        <v>724.91156682945382</v>
      </c>
      <c r="L130" s="60"/>
      <c r="M130" s="49" t="s">
        <v>806</v>
      </c>
      <c r="N130" s="55">
        <v>267.46231825054019</v>
      </c>
      <c r="P130" s="60"/>
    </row>
    <row r="131" spans="1:16" x14ac:dyDescent="0.2">
      <c r="D131" s="60"/>
      <c r="H131" s="60"/>
      <c r="L131" s="60"/>
      <c r="P131" s="60"/>
    </row>
    <row r="132" spans="1:16" x14ac:dyDescent="0.2">
      <c r="A132" s="61" t="s">
        <v>338</v>
      </c>
      <c r="D132" s="60"/>
      <c r="E132" s="61" t="s">
        <v>338</v>
      </c>
      <c r="H132" s="60"/>
      <c r="I132" s="61" t="s">
        <v>338</v>
      </c>
      <c r="L132" s="60"/>
      <c r="M132" s="61" t="s">
        <v>338</v>
      </c>
      <c r="P132" s="60"/>
    </row>
    <row r="133" spans="1:16" x14ac:dyDescent="0.2">
      <c r="A133" s="49" t="s">
        <v>802</v>
      </c>
      <c r="D133" s="60"/>
      <c r="E133" s="49" t="s">
        <v>802</v>
      </c>
      <c r="H133" s="60"/>
      <c r="I133" s="49" t="s">
        <v>802</v>
      </c>
      <c r="L133" s="60"/>
      <c r="M133" s="49" t="s">
        <v>802</v>
      </c>
      <c r="P133" s="60"/>
    </row>
    <row r="134" spans="1:16" x14ac:dyDescent="0.2">
      <c r="A134" s="49" t="s">
        <v>804</v>
      </c>
      <c r="B134" s="55">
        <v>9217</v>
      </c>
      <c r="D134" s="60"/>
      <c r="E134" s="49" t="s">
        <v>804</v>
      </c>
      <c r="F134" s="55">
        <v>510</v>
      </c>
      <c r="H134" s="60"/>
      <c r="I134" s="49" t="s">
        <v>804</v>
      </c>
      <c r="J134" s="55">
        <v>540</v>
      </c>
      <c r="L134" s="60"/>
      <c r="M134" s="49" t="s">
        <v>804</v>
      </c>
      <c r="N134" s="55">
        <v>1214</v>
      </c>
      <c r="P134" s="60"/>
    </row>
    <row r="135" spans="1:16" x14ac:dyDescent="0.2">
      <c r="A135" s="49" t="s">
        <v>806</v>
      </c>
      <c r="B135" s="55">
        <v>4114</v>
      </c>
      <c r="D135" s="60"/>
      <c r="E135" s="49" t="s">
        <v>806</v>
      </c>
      <c r="F135" s="55">
        <v>253</v>
      </c>
      <c r="H135" s="60"/>
      <c r="I135" s="49" t="s">
        <v>806</v>
      </c>
      <c r="J135" s="55">
        <v>415</v>
      </c>
      <c r="L135" s="60"/>
      <c r="M135" s="49" t="s">
        <v>806</v>
      </c>
      <c r="N135" s="55">
        <v>742</v>
      </c>
      <c r="P135" s="60"/>
    </row>
    <row r="136" spans="1:16" x14ac:dyDescent="0.2">
      <c r="E136" s="61"/>
      <c r="H136" s="60"/>
      <c r="I136" s="61"/>
      <c r="L136" s="60"/>
      <c r="M136" s="61"/>
      <c r="P136" s="60"/>
    </row>
    <row r="137" spans="1:16" s="75" customFormat="1" ht="13.5" thickBot="1" x14ac:dyDescent="0.25"/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130"/>
  <sheetViews>
    <sheetView workbookViewId="0">
      <selection activeCell="R60" sqref="R60"/>
    </sheetView>
  </sheetViews>
  <sheetFormatPr defaultRowHeight="12.75" x14ac:dyDescent="0.2"/>
  <cols>
    <col min="1" max="1" width="13.5703125" customWidth="1"/>
    <col min="2" max="2" width="10.140625" customWidth="1"/>
    <col min="5" max="5" width="13.140625" customWidth="1"/>
    <col min="6" max="6" width="13.140625" style="143" customWidth="1"/>
    <col min="7" max="7" width="14" customWidth="1"/>
    <col min="8" max="8" width="10.28515625" customWidth="1"/>
    <col min="12" max="12" width="14.85546875" style="144" customWidth="1"/>
    <col min="13" max="13" width="14" customWidth="1"/>
    <col min="14" max="14" width="10.5703125" customWidth="1"/>
    <col min="18" max="18" width="9.140625" style="33"/>
  </cols>
  <sheetData>
    <row r="1" spans="1:18" x14ac:dyDescent="0.2">
      <c r="A1" s="133" t="s">
        <v>1047</v>
      </c>
      <c r="B1" s="133"/>
      <c r="C1" s="133"/>
      <c r="D1" s="133"/>
      <c r="E1" s="133"/>
      <c r="G1" s="134" t="s">
        <v>1048</v>
      </c>
      <c r="H1" s="134"/>
      <c r="I1" s="134"/>
      <c r="J1" s="134"/>
      <c r="K1" s="134"/>
      <c r="M1" s="135" t="s">
        <v>1049</v>
      </c>
      <c r="N1" s="135"/>
      <c r="O1" s="135"/>
      <c r="P1" s="135"/>
      <c r="Q1" s="135"/>
    </row>
    <row r="2" spans="1:18" x14ac:dyDescent="0.2">
      <c r="A2" s="133"/>
      <c r="B2" s="133"/>
      <c r="C2" s="133"/>
      <c r="D2" s="133"/>
      <c r="E2" s="133"/>
      <c r="G2" s="134"/>
      <c r="H2" s="134"/>
      <c r="I2" s="134"/>
      <c r="J2" s="134"/>
      <c r="K2" s="134"/>
      <c r="M2" s="135"/>
      <c r="N2" s="135"/>
      <c r="O2" s="135"/>
      <c r="P2" s="135"/>
      <c r="Q2" s="135"/>
    </row>
    <row r="3" spans="1:18" ht="75" customHeight="1" x14ac:dyDescent="0.2">
      <c r="A3" s="133"/>
      <c r="B3" s="133"/>
      <c r="C3" s="133"/>
      <c r="D3" s="133"/>
      <c r="E3" s="133"/>
      <c r="G3" s="134"/>
      <c r="H3" s="134"/>
      <c r="I3" s="134"/>
      <c r="J3" s="134"/>
      <c r="K3" s="134"/>
      <c r="M3" s="135"/>
      <c r="N3" s="135"/>
      <c r="O3" s="135"/>
      <c r="P3" s="135"/>
      <c r="Q3" s="135"/>
    </row>
    <row r="4" spans="1:18" x14ac:dyDescent="0.2">
      <c r="A4" s="136" t="s">
        <v>1223</v>
      </c>
      <c r="B4" s="136"/>
      <c r="C4" s="136"/>
      <c r="D4" s="136"/>
      <c r="E4" s="136"/>
      <c r="G4" s="137" t="s">
        <v>1223</v>
      </c>
      <c r="H4" s="137"/>
      <c r="I4" s="137"/>
      <c r="J4" s="137"/>
      <c r="K4" s="137"/>
      <c r="M4" s="136" t="s">
        <v>1224</v>
      </c>
      <c r="N4" s="136"/>
      <c r="O4" s="136"/>
      <c r="P4" s="136"/>
      <c r="Q4" s="136"/>
    </row>
    <row r="5" spans="1:18" x14ac:dyDescent="0.2">
      <c r="A5" s="136"/>
      <c r="B5" s="136"/>
      <c r="C5" s="136"/>
      <c r="D5" s="136"/>
      <c r="E5" s="136"/>
      <c r="G5" s="137"/>
      <c r="H5" s="137"/>
      <c r="I5" s="137"/>
      <c r="J5" s="137"/>
      <c r="K5" s="137"/>
      <c r="M5" s="136"/>
      <c r="N5" s="136"/>
      <c r="O5" s="136"/>
      <c r="P5" s="136"/>
      <c r="Q5" s="136"/>
    </row>
    <row r="6" spans="1:18" x14ac:dyDescent="0.2">
      <c r="A6" s="140" t="s">
        <v>1050</v>
      </c>
      <c r="B6" s="140" t="s">
        <v>1051</v>
      </c>
      <c r="C6" s="140" t="s">
        <v>1052</v>
      </c>
      <c r="D6" s="140" t="s">
        <v>1053</v>
      </c>
      <c r="E6" s="140" t="s">
        <v>1054</v>
      </c>
      <c r="G6" s="140" t="s">
        <v>1050</v>
      </c>
      <c r="H6" s="146" t="s">
        <v>1055</v>
      </c>
      <c r="I6" s="140" t="s">
        <v>1052</v>
      </c>
      <c r="J6" s="140" t="s">
        <v>1053</v>
      </c>
      <c r="K6" s="140" t="s">
        <v>1054</v>
      </c>
      <c r="M6" s="140" t="s">
        <v>1050</v>
      </c>
      <c r="N6" s="140" t="s">
        <v>1055</v>
      </c>
      <c r="O6" s="140" t="s">
        <v>1052</v>
      </c>
      <c r="P6" s="140" t="s">
        <v>1053</v>
      </c>
      <c r="Q6" s="140" t="s">
        <v>1054</v>
      </c>
      <c r="R6" s="139" t="s">
        <v>1225</v>
      </c>
    </row>
    <row r="7" spans="1:18" x14ac:dyDescent="0.2">
      <c r="A7" s="140"/>
      <c r="B7" s="140"/>
      <c r="C7" s="140"/>
      <c r="D7" s="140"/>
      <c r="E7" s="140"/>
      <c r="G7" s="140"/>
      <c r="H7" s="146"/>
      <c r="I7" s="140"/>
      <c r="J7" s="140"/>
      <c r="K7" s="140"/>
      <c r="M7" s="140"/>
      <c r="N7" s="140"/>
      <c r="O7" s="140"/>
      <c r="P7" s="140"/>
      <c r="Q7" s="140"/>
      <c r="R7" s="139"/>
    </row>
    <row r="8" spans="1:18" x14ac:dyDescent="0.2">
      <c r="A8" s="145">
        <v>2012</v>
      </c>
      <c r="B8" s="145"/>
      <c r="C8" s="145"/>
      <c r="D8" s="145"/>
      <c r="E8" s="145"/>
      <c r="G8" s="145">
        <v>2012</v>
      </c>
      <c r="H8" s="145"/>
      <c r="I8" s="145"/>
      <c r="J8" s="145"/>
      <c r="K8" s="145"/>
      <c r="M8" s="145">
        <v>2012</v>
      </c>
      <c r="N8" s="145"/>
      <c r="O8" s="145"/>
      <c r="P8" s="145"/>
      <c r="Q8" s="145"/>
      <c r="R8" s="102"/>
    </row>
    <row r="9" spans="1:18" x14ac:dyDescent="0.2">
      <c r="A9" s="97">
        <v>158</v>
      </c>
      <c r="B9" s="98" t="s">
        <v>1056</v>
      </c>
      <c r="C9" s="97">
        <v>51.4</v>
      </c>
      <c r="D9" s="97">
        <v>42.4</v>
      </c>
      <c r="E9" s="97">
        <v>29.4</v>
      </c>
      <c r="G9" s="97">
        <v>158</v>
      </c>
      <c r="H9" s="98" t="s">
        <v>1057</v>
      </c>
      <c r="I9" s="97">
        <v>45.5</v>
      </c>
      <c r="J9" s="97">
        <v>20.7</v>
      </c>
      <c r="K9" s="97">
        <v>16.399999999999999</v>
      </c>
      <c r="M9" s="97">
        <v>158</v>
      </c>
      <c r="N9" s="98" t="s">
        <v>1058</v>
      </c>
      <c r="O9" s="97">
        <v>66.900000000000006</v>
      </c>
      <c r="P9" s="97">
        <v>54.4</v>
      </c>
      <c r="Q9" s="97">
        <v>41.5</v>
      </c>
      <c r="R9" s="35" t="s">
        <v>1226</v>
      </c>
    </row>
    <row r="10" spans="1:18" x14ac:dyDescent="0.2">
      <c r="A10" s="97">
        <v>158</v>
      </c>
      <c r="B10" s="98" t="s">
        <v>1059</v>
      </c>
      <c r="C10" s="97">
        <v>46.1</v>
      </c>
      <c r="D10" s="97">
        <v>42.5</v>
      </c>
      <c r="E10" s="97">
        <v>26.6</v>
      </c>
      <c r="G10" s="97">
        <v>158</v>
      </c>
      <c r="H10" s="98" t="s">
        <v>1060</v>
      </c>
      <c r="I10" s="97">
        <v>62.5</v>
      </c>
      <c r="J10" s="97">
        <v>26.1</v>
      </c>
      <c r="K10" s="97">
        <v>20.100000000000001</v>
      </c>
      <c r="M10" s="97">
        <v>158</v>
      </c>
      <c r="N10" s="98" t="s">
        <v>1060</v>
      </c>
      <c r="O10" s="97">
        <v>48.9</v>
      </c>
      <c r="P10" s="97">
        <v>42.5</v>
      </c>
      <c r="Q10" s="97">
        <v>35</v>
      </c>
      <c r="R10" s="35" t="s">
        <v>1226</v>
      </c>
    </row>
    <row r="11" spans="1:18" x14ac:dyDescent="0.2">
      <c r="A11" s="97">
        <v>158</v>
      </c>
      <c r="B11" s="98" t="s">
        <v>1061</v>
      </c>
      <c r="C11" s="97">
        <v>33.799999999999997</v>
      </c>
      <c r="D11" s="97">
        <v>31.5</v>
      </c>
      <c r="E11" s="97">
        <v>19.2</v>
      </c>
      <c r="G11" s="97">
        <v>158</v>
      </c>
      <c r="H11" s="98" t="s">
        <v>1062</v>
      </c>
      <c r="I11" s="97">
        <v>60</v>
      </c>
      <c r="J11" s="97">
        <v>26.7</v>
      </c>
      <c r="K11" s="97">
        <v>23</v>
      </c>
      <c r="M11" s="97">
        <v>158</v>
      </c>
      <c r="N11" s="98" t="s">
        <v>1063</v>
      </c>
      <c r="O11" s="97">
        <v>56.5</v>
      </c>
      <c r="P11" s="97">
        <v>48.2</v>
      </c>
      <c r="Q11" s="97">
        <v>33.200000000000003</v>
      </c>
      <c r="R11" s="35" t="s">
        <v>1227</v>
      </c>
    </row>
    <row r="12" spans="1:18" x14ac:dyDescent="0.2">
      <c r="A12" s="97">
        <v>143</v>
      </c>
      <c r="B12" s="98" t="s">
        <v>1064</v>
      </c>
      <c r="C12" s="97">
        <v>60.6</v>
      </c>
      <c r="D12" s="97">
        <v>53.3</v>
      </c>
      <c r="E12" s="97">
        <v>30.2</v>
      </c>
      <c r="G12" s="97">
        <v>143</v>
      </c>
      <c r="H12" s="98" t="s">
        <v>1065</v>
      </c>
      <c r="I12" s="97">
        <v>52.2</v>
      </c>
      <c r="J12" s="97">
        <v>23.3</v>
      </c>
      <c r="K12" s="97">
        <v>17.2</v>
      </c>
      <c r="M12" s="97">
        <v>153</v>
      </c>
      <c r="N12" s="98" t="s">
        <v>1066</v>
      </c>
      <c r="O12" s="97">
        <v>57.7</v>
      </c>
      <c r="P12" s="97">
        <v>45.8</v>
      </c>
      <c r="Q12" s="97">
        <v>30.2</v>
      </c>
      <c r="R12" s="35" t="s">
        <v>1228</v>
      </c>
    </row>
    <row r="13" spans="1:18" x14ac:dyDescent="0.2">
      <c r="A13" s="97">
        <v>143</v>
      </c>
      <c r="B13" s="98" t="s">
        <v>1067</v>
      </c>
      <c r="C13" s="97">
        <v>75.8</v>
      </c>
      <c r="D13" s="97">
        <v>60.5</v>
      </c>
      <c r="E13" s="97">
        <v>35</v>
      </c>
      <c r="G13" s="97">
        <v>153</v>
      </c>
      <c r="H13" s="98" t="s">
        <v>1068</v>
      </c>
      <c r="I13" s="99" t="s">
        <v>1069</v>
      </c>
      <c r="J13" s="99" t="s">
        <v>1069</v>
      </c>
      <c r="K13" s="99" t="s">
        <v>1069</v>
      </c>
      <c r="M13" s="100" t="s">
        <v>1070</v>
      </c>
      <c r="N13" s="98" t="s">
        <v>1071</v>
      </c>
      <c r="O13" s="97">
        <v>73.7</v>
      </c>
      <c r="P13" s="97">
        <v>55.3</v>
      </c>
      <c r="Q13" s="97">
        <v>40.6</v>
      </c>
      <c r="R13" s="35" t="s">
        <v>1228</v>
      </c>
    </row>
    <row r="14" spans="1:18" x14ac:dyDescent="0.2">
      <c r="A14" s="97">
        <v>143</v>
      </c>
      <c r="B14" s="98" t="s">
        <v>1067</v>
      </c>
      <c r="C14" s="97">
        <v>75.400000000000006</v>
      </c>
      <c r="D14" s="97">
        <v>60.3</v>
      </c>
      <c r="E14" s="97">
        <v>35.299999999999997</v>
      </c>
      <c r="G14" s="97">
        <v>153</v>
      </c>
      <c r="H14" s="98" t="s">
        <v>1072</v>
      </c>
      <c r="I14" s="100" t="s">
        <v>1069</v>
      </c>
      <c r="J14" s="100" t="s">
        <v>1069</v>
      </c>
      <c r="K14" s="100" t="s">
        <v>1069</v>
      </c>
      <c r="M14" s="100" t="s">
        <v>1070</v>
      </c>
      <c r="N14" s="98" t="s">
        <v>1073</v>
      </c>
      <c r="O14" s="97">
        <v>60.2</v>
      </c>
      <c r="P14" s="97">
        <v>46.8</v>
      </c>
      <c r="Q14" s="97">
        <v>34.1</v>
      </c>
      <c r="R14" s="35" t="s">
        <v>1228</v>
      </c>
    </row>
    <row r="15" spans="1:18" x14ac:dyDescent="0.2">
      <c r="A15" s="97">
        <v>143</v>
      </c>
      <c r="B15" s="98" t="s">
        <v>1067</v>
      </c>
      <c r="C15" s="97">
        <v>57.8</v>
      </c>
      <c r="D15" s="97">
        <v>46.8</v>
      </c>
      <c r="E15" s="97">
        <v>30.2</v>
      </c>
      <c r="G15" s="97">
        <v>153</v>
      </c>
      <c r="H15" s="98" t="s">
        <v>1074</v>
      </c>
      <c r="I15" s="97">
        <v>65.5</v>
      </c>
      <c r="J15" s="97">
        <v>25.8</v>
      </c>
      <c r="K15" s="97">
        <v>25.5</v>
      </c>
      <c r="M15" s="97">
        <v>155</v>
      </c>
      <c r="N15" s="98" t="s">
        <v>1075</v>
      </c>
      <c r="O15" s="97">
        <v>51.6</v>
      </c>
      <c r="P15" s="97">
        <v>41</v>
      </c>
      <c r="Q15" s="97">
        <v>28.8</v>
      </c>
      <c r="R15" s="35" t="s">
        <v>1229</v>
      </c>
    </row>
    <row r="16" spans="1:18" x14ac:dyDescent="0.2">
      <c r="A16" s="97">
        <v>143</v>
      </c>
      <c r="B16" s="98" t="s">
        <v>1067</v>
      </c>
      <c r="C16" s="97">
        <v>54.1</v>
      </c>
      <c r="D16" s="97">
        <v>44.1</v>
      </c>
      <c r="E16" s="97">
        <v>26.5</v>
      </c>
      <c r="G16" s="97">
        <v>153</v>
      </c>
      <c r="H16" s="98" t="s">
        <v>1074</v>
      </c>
      <c r="I16" s="97">
        <v>61.3</v>
      </c>
      <c r="J16" s="97">
        <v>27</v>
      </c>
      <c r="K16" s="97">
        <v>22.8</v>
      </c>
      <c r="M16" s="97">
        <v>155</v>
      </c>
      <c r="N16" s="98" t="s">
        <v>1076</v>
      </c>
      <c r="O16" s="97">
        <v>60</v>
      </c>
      <c r="P16" s="97">
        <v>46.1</v>
      </c>
      <c r="Q16" s="97">
        <v>36.4</v>
      </c>
      <c r="R16" s="35" t="s">
        <v>1228</v>
      </c>
    </row>
    <row r="17" spans="1:18" x14ac:dyDescent="0.2">
      <c r="A17" s="97">
        <v>143</v>
      </c>
      <c r="B17" s="98" t="s">
        <v>1067</v>
      </c>
      <c r="C17" s="97">
        <v>83.6</v>
      </c>
      <c r="D17" s="97">
        <v>55.2</v>
      </c>
      <c r="E17" s="97">
        <v>40.9</v>
      </c>
      <c r="G17" s="97">
        <v>153</v>
      </c>
      <c r="H17" s="98" t="s">
        <v>1077</v>
      </c>
      <c r="I17" s="97">
        <v>44.9</v>
      </c>
      <c r="J17" s="97">
        <v>20.9</v>
      </c>
      <c r="K17" s="97">
        <v>17.8</v>
      </c>
      <c r="M17" s="97">
        <v>157</v>
      </c>
      <c r="N17" s="98" t="s">
        <v>1078</v>
      </c>
      <c r="O17" s="97">
        <v>55.3</v>
      </c>
      <c r="P17" s="97">
        <v>45.7</v>
      </c>
      <c r="Q17" s="97">
        <v>35.200000000000003</v>
      </c>
      <c r="R17" s="35" t="s">
        <v>1226</v>
      </c>
    </row>
    <row r="18" spans="1:18" x14ac:dyDescent="0.2">
      <c r="A18" s="97">
        <v>143</v>
      </c>
      <c r="B18" s="98" t="s">
        <v>1079</v>
      </c>
      <c r="C18" s="97">
        <v>48.2</v>
      </c>
      <c r="D18" s="97">
        <v>40.200000000000003</v>
      </c>
      <c r="E18" s="97">
        <v>23.6</v>
      </c>
      <c r="G18" s="97">
        <v>153</v>
      </c>
      <c r="H18" s="98" t="s">
        <v>1080</v>
      </c>
      <c r="I18" s="97">
        <v>58.5</v>
      </c>
      <c r="J18" s="97">
        <v>25.4</v>
      </c>
      <c r="K18" s="97">
        <v>21.2</v>
      </c>
      <c r="M18" s="97">
        <v>157</v>
      </c>
      <c r="N18" s="98" t="s">
        <v>1081</v>
      </c>
      <c r="O18" s="97">
        <v>64.599999999999994</v>
      </c>
      <c r="P18" s="97">
        <v>49.6</v>
      </c>
      <c r="Q18" s="97">
        <v>38.299999999999997</v>
      </c>
      <c r="R18" s="35" t="s">
        <v>1228</v>
      </c>
    </row>
    <row r="19" spans="1:18" x14ac:dyDescent="0.2">
      <c r="A19" s="97">
        <v>143</v>
      </c>
      <c r="B19" s="98" t="s">
        <v>1082</v>
      </c>
      <c r="C19" s="97">
        <v>71</v>
      </c>
      <c r="D19" s="97">
        <v>56.4</v>
      </c>
      <c r="E19" s="97">
        <v>32.799999999999997</v>
      </c>
      <c r="G19" s="100" t="s">
        <v>1070</v>
      </c>
      <c r="H19" s="98" t="s">
        <v>1083</v>
      </c>
      <c r="I19" s="97">
        <v>52.2</v>
      </c>
      <c r="J19" s="97">
        <v>28.8</v>
      </c>
      <c r="K19" s="97">
        <v>20</v>
      </c>
      <c r="M19" s="97">
        <v>157</v>
      </c>
      <c r="N19" s="98" t="s">
        <v>1084</v>
      </c>
      <c r="O19" s="97">
        <v>66.5</v>
      </c>
      <c r="P19" s="97">
        <v>52.4</v>
      </c>
      <c r="Q19" s="97">
        <v>36.9</v>
      </c>
      <c r="R19" s="35" t="s">
        <v>1229</v>
      </c>
    </row>
    <row r="20" spans="1:18" x14ac:dyDescent="0.2">
      <c r="A20" s="97">
        <v>143</v>
      </c>
      <c r="B20" s="98" t="s">
        <v>1085</v>
      </c>
      <c r="C20" s="97">
        <v>81</v>
      </c>
      <c r="D20" s="97">
        <v>57.4</v>
      </c>
      <c r="E20" s="97">
        <v>30</v>
      </c>
      <c r="G20" s="100" t="s">
        <v>1086</v>
      </c>
      <c r="H20" s="98" t="s">
        <v>1087</v>
      </c>
      <c r="I20" s="97">
        <v>59.3</v>
      </c>
      <c r="J20" s="97">
        <v>25.5</v>
      </c>
      <c r="K20" s="97">
        <v>21.7</v>
      </c>
      <c r="M20" s="97">
        <v>157</v>
      </c>
      <c r="N20" s="98" t="s">
        <v>1088</v>
      </c>
      <c r="O20" s="97">
        <v>70.5</v>
      </c>
      <c r="P20" s="97">
        <v>57.6</v>
      </c>
      <c r="Q20" s="97">
        <v>43.7</v>
      </c>
      <c r="R20" s="35" t="s">
        <v>1228</v>
      </c>
    </row>
    <row r="21" spans="1:18" x14ac:dyDescent="0.2">
      <c r="A21" s="97">
        <v>143</v>
      </c>
      <c r="B21" s="98" t="s">
        <v>1089</v>
      </c>
      <c r="C21" s="97">
        <v>78</v>
      </c>
      <c r="D21" s="97">
        <v>54</v>
      </c>
      <c r="E21" s="97">
        <v>30.3</v>
      </c>
      <c r="G21" s="100">
        <v>157</v>
      </c>
      <c r="H21" s="98" t="s">
        <v>1081</v>
      </c>
      <c r="I21" s="97">
        <v>56.4</v>
      </c>
      <c r="J21" s="97">
        <v>23.2</v>
      </c>
      <c r="K21" s="97">
        <v>19.3</v>
      </c>
      <c r="M21" s="97">
        <v>157</v>
      </c>
      <c r="N21" s="98" t="s">
        <v>1090</v>
      </c>
      <c r="O21" s="97">
        <v>73.2</v>
      </c>
      <c r="P21" s="97">
        <v>56</v>
      </c>
      <c r="Q21" s="97">
        <v>41.3</v>
      </c>
      <c r="R21" s="35" t="s">
        <v>1228</v>
      </c>
    </row>
    <row r="22" spans="1:18" x14ac:dyDescent="0.2">
      <c r="A22" s="97">
        <v>153</v>
      </c>
      <c r="B22" s="98" t="s">
        <v>1091</v>
      </c>
      <c r="C22" s="97">
        <v>43.3</v>
      </c>
      <c r="D22" s="97">
        <v>35.799999999999997</v>
      </c>
      <c r="E22" s="97">
        <v>25.1</v>
      </c>
      <c r="G22" s="100">
        <v>157</v>
      </c>
      <c r="H22" s="98" t="s">
        <v>1092</v>
      </c>
      <c r="I22" s="97">
        <v>67</v>
      </c>
      <c r="J22" s="97">
        <v>28.3</v>
      </c>
      <c r="K22" s="97">
        <v>26.3</v>
      </c>
      <c r="M22" s="97">
        <v>157</v>
      </c>
      <c r="N22" s="98" t="s">
        <v>1092</v>
      </c>
      <c r="O22" s="97">
        <v>68.7</v>
      </c>
      <c r="P22" s="97">
        <v>53.8</v>
      </c>
      <c r="Q22" s="97">
        <v>35.700000000000003</v>
      </c>
      <c r="R22" s="35" t="s">
        <v>1228</v>
      </c>
    </row>
    <row r="23" spans="1:18" x14ac:dyDescent="0.2">
      <c r="A23" s="100" t="s">
        <v>1086</v>
      </c>
      <c r="B23" s="98" t="s">
        <v>1093</v>
      </c>
      <c r="C23" s="97">
        <v>51.5</v>
      </c>
      <c r="D23" s="97">
        <v>46.3</v>
      </c>
      <c r="E23" s="97">
        <v>29.5</v>
      </c>
      <c r="G23" s="100"/>
      <c r="H23" s="98"/>
      <c r="I23" s="97"/>
      <c r="J23" s="97"/>
      <c r="K23" s="97"/>
      <c r="M23" s="97">
        <v>157</v>
      </c>
      <c r="N23" s="98" t="s">
        <v>1094</v>
      </c>
      <c r="O23" s="97">
        <v>71.099999999999994</v>
      </c>
      <c r="P23" s="97">
        <v>61.2</v>
      </c>
      <c r="Q23" s="97">
        <v>39.700000000000003</v>
      </c>
      <c r="R23" s="35" t="s">
        <v>1228</v>
      </c>
    </row>
    <row r="24" spans="1:18" x14ac:dyDescent="0.2">
      <c r="A24" s="100" t="s">
        <v>1086</v>
      </c>
      <c r="B24" s="98" t="s">
        <v>1095</v>
      </c>
      <c r="C24" s="97">
        <v>51</v>
      </c>
      <c r="D24" s="97">
        <v>40.9</v>
      </c>
      <c r="E24" s="97">
        <v>27.1</v>
      </c>
      <c r="G24" s="100"/>
      <c r="H24" s="98"/>
      <c r="I24" s="97"/>
      <c r="J24" s="97"/>
      <c r="K24" s="97"/>
      <c r="M24" s="97"/>
      <c r="N24" s="98"/>
      <c r="O24" s="97"/>
      <c r="P24" s="97"/>
      <c r="Q24" s="97"/>
    </row>
    <row r="25" spans="1:18" x14ac:dyDescent="0.2">
      <c r="A25" s="100" t="s">
        <v>1070</v>
      </c>
      <c r="B25" s="98" t="s">
        <v>1087</v>
      </c>
      <c r="C25" s="97">
        <v>50</v>
      </c>
      <c r="D25" s="97">
        <v>42.3</v>
      </c>
      <c r="E25" s="97">
        <v>28.8</v>
      </c>
      <c r="G25" s="97"/>
      <c r="H25" s="98"/>
      <c r="I25" s="97"/>
      <c r="J25" s="97"/>
      <c r="K25" s="97"/>
      <c r="M25" s="97"/>
      <c r="N25" s="98"/>
      <c r="O25" s="97"/>
      <c r="P25" s="97"/>
      <c r="Q25" s="97"/>
    </row>
    <row r="26" spans="1:18" x14ac:dyDescent="0.2">
      <c r="A26" s="100">
        <v>155</v>
      </c>
      <c r="B26" s="98" t="s">
        <v>1096</v>
      </c>
      <c r="C26" s="97">
        <v>42.3</v>
      </c>
      <c r="D26" s="97">
        <v>34.799999999999997</v>
      </c>
      <c r="E26" s="97">
        <v>24.6</v>
      </c>
      <c r="G26" s="97"/>
      <c r="H26" s="98"/>
      <c r="I26" s="97"/>
      <c r="J26" s="97"/>
      <c r="K26" s="97"/>
      <c r="M26" s="97"/>
      <c r="N26" s="98"/>
      <c r="O26" s="97"/>
      <c r="P26" s="97"/>
      <c r="Q26" s="97"/>
    </row>
    <row r="27" spans="1:18" x14ac:dyDescent="0.2">
      <c r="A27" s="100">
        <v>155</v>
      </c>
      <c r="B27" s="98" t="s">
        <v>1097</v>
      </c>
      <c r="C27" s="97">
        <v>62.5</v>
      </c>
      <c r="D27" s="97">
        <v>49.8</v>
      </c>
      <c r="E27" s="97">
        <v>35.700000000000003</v>
      </c>
      <c r="G27" s="97"/>
      <c r="H27" s="98"/>
      <c r="I27" s="97"/>
      <c r="J27" s="97"/>
      <c r="K27" s="97"/>
      <c r="M27" s="97"/>
      <c r="N27" s="98"/>
      <c r="O27" s="97"/>
      <c r="P27" s="97"/>
      <c r="Q27" s="97"/>
    </row>
    <row r="28" spans="1:18" x14ac:dyDescent="0.2">
      <c r="A28" s="100">
        <v>155</v>
      </c>
      <c r="B28" s="98" t="s">
        <v>1098</v>
      </c>
      <c r="C28" s="97">
        <v>57.5</v>
      </c>
      <c r="D28" s="97">
        <v>47.5</v>
      </c>
      <c r="E28" s="97">
        <v>33.6</v>
      </c>
      <c r="G28" s="97"/>
      <c r="H28" s="98"/>
      <c r="I28" s="97"/>
      <c r="J28" s="97"/>
      <c r="K28" s="97"/>
      <c r="M28" s="97"/>
      <c r="N28" s="98"/>
      <c r="O28" s="97"/>
      <c r="P28" s="97"/>
      <c r="Q28" s="97"/>
    </row>
    <row r="29" spans="1:18" x14ac:dyDescent="0.2">
      <c r="A29" s="97">
        <v>157</v>
      </c>
      <c r="B29" s="98" t="s">
        <v>1099</v>
      </c>
      <c r="C29" s="97">
        <v>23.4</v>
      </c>
      <c r="D29" s="97">
        <v>47.2</v>
      </c>
      <c r="E29" s="97">
        <v>31.5</v>
      </c>
      <c r="G29" s="97"/>
      <c r="H29" s="98"/>
      <c r="I29" s="97"/>
      <c r="J29" s="97"/>
      <c r="K29" s="97"/>
      <c r="M29" s="97"/>
      <c r="N29" s="98"/>
      <c r="O29" s="97"/>
      <c r="P29" s="97"/>
      <c r="Q29" s="97"/>
    </row>
    <row r="30" spans="1:18" x14ac:dyDescent="0.2">
      <c r="A30" s="97">
        <v>157</v>
      </c>
      <c r="B30" s="98" t="s">
        <v>1100</v>
      </c>
      <c r="C30" s="97">
        <v>29.9</v>
      </c>
      <c r="D30" s="97">
        <v>27.6</v>
      </c>
      <c r="E30" s="97">
        <v>16.600000000000001</v>
      </c>
      <c r="G30" s="97"/>
      <c r="H30" s="98"/>
      <c r="I30" s="97"/>
      <c r="J30" s="97"/>
      <c r="K30" s="97"/>
      <c r="M30" s="97"/>
      <c r="N30" s="98"/>
      <c r="O30" s="97"/>
      <c r="P30" s="97"/>
      <c r="Q30" s="97"/>
    </row>
    <row r="31" spans="1:18" x14ac:dyDescent="0.2">
      <c r="A31" s="97">
        <v>157</v>
      </c>
      <c r="B31" s="98" t="s">
        <v>1101</v>
      </c>
      <c r="C31" s="97">
        <v>41</v>
      </c>
      <c r="D31" s="97">
        <v>35.4</v>
      </c>
      <c r="E31" s="97">
        <v>21.5</v>
      </c>
      <c r="G31" s="97"/>
      <c r="H31" s="98"/>
      <c r="I31" s="97"/>
      <c r="J31" s="97"/>
      <c r="K31" s="97"/>
      <c r="M31" s="97"/>
      <c r="N31" s="98"/>
      <c r="O31" s="97"/>
      <c r="P31" s="97"/>
      <c r="Q31" s="97"/>
    </row>
    <row r="32" spans="1:18" x14ac:dyDescent="0.2">
      <c r="A32" s="97">
        <v>157</v>
      </c>
      <c r="B32" s="98" t="s">
        <v>1102</v>
      </c>
      <c r="C32" s="97">
        <v>56.4</v>
      </c>
      <c r="D32" s="97">
        <v>47.6</v>
      </c>
      <c r="E32" s="97">
        <v>30.9</v>
      </c>
      <c r="G32" s="97"/>
      <c r="H32" s="98"/>
      <c r="I32" s="97"/>
      <c r="J32" s="97"/>
      <c r="K32" s="97"/>
      <c r="M32" s="97"/>
      <c r="N32" s="98"/>
      <c r="O32" s="97"/>
      <c r="P32" s="97"/>
      <c r="Q32" s="97"/>
    </row>
    <row r="33" spans="1:18" x14ac:dyDescent="0.2">
      <c r="A33" s="97">
        <v>157</v>
      </c>
      <c r="B33" s="98" t="s">
        <v>1103</v>
      </c>
      <c r="C33" s="97">
        <v>54.5</v>
      </c>
      <c r="D33" s="97">
        <v>44.8</v>
      </c>
      <c r="E33" s="97">
        <v>29.7</v>
      </c>
      <c r="G33" s="97"/>
      <c r="H33" s="98"/>
      <c r="I33" s="97"/>
      <c r="J33" s="97"/>
      <c r="K33" s="97"/>
      <c r="M33" s="97"/>
      <c r="N33" s="98"/>
      <c r="O33" s="97"/>
      <c r="P33" s="97"/>
      <c r="Q33" s="97"/>
    </row>
    <row r="34" spans="1:18" x14ac:dyDescent="0.2">
      <c r="A34" s="97">
        <v>157</v>
      </c>
      <c r="B34" s="98" t="s">
        <v>1103</v>
      </c>
      <c r="C34" s="97">
        <v>41.9</v>
      </c>
      <c r="D34" s="97">
        <v>36.700000000000003</v>
      </c>
      <c r="E34" s="97">
        <v>24.5</v>
      </c>
      <c r="G34" s="97"/>
      <c r="H34" s="98"/>
      <c r="I34" s="97"/>
      <c r="J34" s="97"/>
      <c r="K34" s="97"/>
      <c r="M34" s="97"/>
      <c r="N34" s="98"/>
      <c r="O34" s="97"/>
      <c r="P34" s="97"/>
      <c r="Q34" s="97"/>
    </row>
    <row r="35" spans="1:18" x14ac:dyDescent="0.2">
      <c r="A35" s="97">
        <v>157</v>
      </c>
      <c r="B35" s="98" t="s">
        <v>1104</v>
      </c>
      <c r="C35" s="97">
        <v>44.5</v>
      </c>
      <c r="D35" s="97">
        <v>38.5</v>
      </c>
      <c r="E35" s="97">
        <v>23.2</v>
      </c>
      <c r="G35" s="97"/>
      <c r="H35" s="98"/>
      <c r="I35" s="97"/>
      <c r="J35" s="97"/>
      <c r="K35" s="97"/>
      <c r="M35" s="97"/>
      <c r="N35" s="98"/>
      <c r="O35" s="97"/>
      <c r="P35" s="97"/>
      <c r="Q35" s="97"/>
    </row>
    <row r="36" spans="1:18" x14ac:dyDescent="0.2">
      <c r="A36" s="138">
        <v>2011</v>
      </c>
      <c r="B36" s="138"/>
      <c r="C36" s="138"/>
      <c r="D36" s="138"/>
      <c r="E36" s="138"/>
      <c r="G36" s="138">
        <v>2011</v>
      </c>
      <c r="H36" s="138"/>
      <c r="I36" s="138"/>
      <c r="J36" s="138"/>
      <c r="K36" s="138"/>
      <c r="M36" s="138">
        <v>2011</v>
      </c>
      <c r="N36" s="138"/>
      <c r="O36" s="138"/>
      <c r="P36" s="138"/>
      <c r="Q36" s="138"/>
    </row>
    <row r="37" spans="1:18" x14ac:dyDescent="0.2">
      <c r="A37" s="97">
        <v>146</v>
      </c>
      <c r="B37" s="98" t="s">
        <v>1105</v>
      </c>
      <c r="C37" s="97">
        <v>45.8</v>
      </c>
      <c r="D37" s="97">
        <v>22.9</v>
      </c>
      <c r="E37" s="97">
        <v>38.4</v>
      </c>
      <c r="G37" s="97">
        <v>152</v>
      </c>
      <c r="H37" s="98" t="s">
        <v>1106</v>
      </c>
      <c r="I37" s="97">
        <v>62.3</v>
      </c>
      <c r="J37" s="97">
        <v>26.5</v>
      </c>
      <c r="K37" s="97">
        <v>19.600000000000001</v>
      </c>
      <c r="M37" s="97">
        <v>145</v>
      </c>
      <c r="N37" s="98" t="s">
        <v>1107</v>
      </c>
      <c r="O37" s="97">
        <v>71.5</v>
      </c>
      <c r="P37" s="97">
        <v>40.799999999999997</v>
      </c>
      <c r="Q37" s="97">
        <v>54.7</v>
      </c>
      <c r="R37" s="35" t="s">
        <v>1229</v>
      </c>
    </row>
    <row r="38" spans="1:18" x14ac:dyDescent="0.2">
      <c r="A38" s="97">
        <v>146</v>
      </c>
      <c r="B38" s="98" t="s">
        <v>1108</v>
      </c>
      <c r="C38" s="97">
        <v>59.1</v>
      </c>
      <c r="D38" s="97">
        <v>33.5</v>
      </c>
      <c r="E38" s="97">
        <v>49</v>
      </c>
      <c r="G38" s="97">
        <v>152</v>
      </c>
      <c r="H38" s="98" t="s">
        <v>1090</v>
      </c>
      <c r="I38" s="97">
        <v>44.1</v>
      </c>
      <c r="J38" s="97">
        <v>13.9</v>
      </c>
      <c r="K38" s="97">
        <v>19.5</v>
      </c>
      <c r="M38" s="97">
        <v>145</v>
      </c>
      <c r="N38" s="98" t="s">
        <v>1109</v>
      </c>
      <c r="O38" s="97">
        <v>74.099999999999994</v>
      </c>
      <c r="P38" s="97">
        <v>54.2</v>
      </c>
      <c r="Q38" s="97">
        <v>38.9</v>
      </c>
      <c r="R38" s="35" t="s">
        <v>1229</v>
      </c>
    </row>
    <row r="39" spans="1:18" x14ac:dyDescent="0.2">
      <c r="A39" s="97">
        <v>146</v>
      </c>
      <c r="B39" s="98" t="s">
        <v>1110</v>
      </c>
      <c r="C39" s="97">
        <v>50.5</v>
      </c>
      <c r="D39" s="97">
        <v>44.3</v>
      </c>
      <c r="E39" s="97">
        <v>28.3</v>
      </c>
      <c r="G39" s="97">
        <v>152</v>
      </c>
      <c r="H39" s="98" t="s">
        <v>1111</v>
      </c>
      <c r="I39" s="97">
        <v>46.1</v>
      </c>
      <c r="J39" s="97">
        <v>15.2</v>
      </c>
      <c r="K39" s="97">
        <v>20</v>
      </c>
      <c r="M39" s="100" t="s">
        <v>1112</v>
      </c>
      <c r="N39" s="98" t="s">
        <v>1113</v>
      </c>
      <c r="O39" s="97">
        <v>33.1</v>
      </c>
      <c r="P39" s="97">
        <v>27.3</v>
      </c>
      <c r="Q39" s="97">
        <v>22.4</v>
      </c>
      <c r="R39" s="35" t="s">
        <v>1228</v>
      </c>
    </row>
    <row r="40" spans="1:18" x14ac:dyDescent="0.2">
      <c r="A40" s="97">
        <v>146</v>
      </c>
      <c r="B40" s="98" t="s">
        <v>1114</v>
      </c>
      <c r="C40" s="97">
        <v>48.3</v>
      </c>
      <c r="D40" s="97">
        <v>41.6</v>
      </c>
      <c r="E40" s="97">
        <v>28.9</v>
      </c>
      <c r="G40" s="97">
        <v>71</v>
      </c>
      <c r="H40" s="98" t="s">
        <v>1115</v>
      </c>
      <c r="I40" s="97">
        <v>45.8</v>
      </c>
      <c r="J40" s="97">
        <v>15.3</v>
      </c>
      <c r="K40" s="97">
        <v>20.5</v>
      </c>
      <c r="M40" s="100" t="s">
        <v>1112</v>
      </c>
      <c r="N40" s="98" t="s">
        <v>1116</v>
      </c>
      <c r="O40" s="97">
        <v>74</v>
      </c>
      <c r="P40" s="97">
        <v>40.5</v>
      </c>
      <c r="Q40" s="97">
        <v>56.5</v>
      </c>
      <c r="R40" s="35" t="s">
        <v>1229</v>
      </c>
    </row>
    <row r="41" spans="1:18" x14ac:dyDescent="0.2">
      <c r="A41" s="97">
        <v>146</v>
      </c>
      <c r="B41" s="98" t="s">
        <v>1117</v>
      </c>
      <c r="C41" s="97">
        <v>54.4</v>
      </c>
      <c r="D41" s="97">
        <v>46.3</v>
      </c>
      <c r="E41" s="97">
        <v>27.6</v>
      </c>
      <c r="G41" s="97">
        <v>71</v>
      </c>
      <c r="H41" s="98" t="s">
        <v>1115</v>
      </c>
      <c r="I41" s="97">
        <v>74.3</v>
      </c>
      <c r="J41" s="97">
        <v>28.3</v>
      </c>
      <c r="K41" s="97">
        <v>30.4</v>
      </c>
      <c r="M41" s="100" t="s">
        <v>1118</v>
      </c>
      <c r="N41" s="98" t="s">
        <v>1119</v>
      </c>
      <c r="O41" s="97">
        <v>39.1</v>
      </c>
      <c r="P41" s="97">
        <v>28.2</v>
      </c>
      <c r="Q41" s="97">
        <v>22.8</v>
      </c>
      <c r="R41" s="35" t="s">
        <v>1229</v>
      </c>
    </row>
    <row r="42" spans="1:18" x14ac:dyDescent="0.2">
      <c r="A42" s="97">
        <v>146</v>
      </c>
      <c r="B42" s="98" t="s">
        <v>1117</v>
      </c>
      <c r="C42" s="97">
        <v>41.2</v>
      </c>
      <c r="D42" s="97">
        <v>35</v>
      </c>
      <c r="E42" s="97">
        <v>20.7</v>
      </c>
      <c r="G42" s="97">
        <v>71</v>
      </c>
      <c r="H42" s="98" t="s">
        <v>1115</v>
      </c>
      <c r="I42" s="97">
        <v>68.8</v>
      </c>
      <c r="J42" s="97">
        <v>28.9</v>
      </c>
      <c r="K42" s="97">
        <v>27.4</v>
      </c>
      <c r="M42" s="100" t="s">
        <v>1118</v>
      </c>
      <c r="N42" s="98" t="s">
        <v>1120</v>
      </c>
      <c r="O42" s="97">
        <v>64.2</v>
      </c>
      <c r="P42" s="97">
        <v>51.1</v>
      </c>
      <c r="Q42" s="97">
        <v>36.200000000000003</v>
      </c>
      <c r="R42" s="35" t="s">
        <v>1229</v>
      </c>
    </row>
    <row r="43" spans="1:18" x14ac:dyDescent="0.2">
      <c r="A43" s="97">
        <v>146</v>
      </c>
      <c r="B43" s="98" t="s">
        <v>1121</v>
      </c>
      <c r="C43" s="100" t="s">
        <v>1069</v>
      </c>
      <c r="D43" s="100" t="s">
        <v>1069</v>
      </c>
      <c r="E43" s="100" t="s">
        <v>1069</v>
      </c>
      <c r="G43" s="97">
        <v>71</v>
      </c>
      <c r="H43" s="98" t="s">
        <v>1122</v>
      </c>
      <c r="I43" s="97">
        <v>54.9</v>
      </c>
      <c r="J43" s="97">
        <v>27</v>
      </c>
      <c r="K43" s="97">
        <v>27.3</v>
      </c>
      <c r="M43" s="97">
        <v>152</v>
      </c>
      <c r="N43" s="98" t="s">
        <v>1123</v>
      </c>
      <c r="O43" s="97">
        <v>67.3</v>
      </c>
      <c r="P43" s="97">
        <v>50.5</v>
      </c>
      <c r="Q43" s="97">
        <v>34.4</v>
      </c>
      <c r="R43" s="35" t="s">
        <v>1228</v>
      </c>
    </row>
    <row r="44" spans="1:18" x14ac:dyDescent="0.2">
      <c r="A44" s="97">
        <v>146</v>
      </c>
      <c r="B44" s="98" t="s">
        <v>1124</v>
      </c>
      <c r="C44" s="97">
        <v>53.2</v>
      </c>
      <c r="D44" s="97">
        <v>44.3</v>
      </c>
      <c r="E44" s="97">
        <v>32</v>
      </c>
      <c r="G44" s="97">
        <v>71</v>
      </c>
      <c r="H44" s="98" t="s">
        <v>1122</v>
      </c>
      <c r="I44" s="97">
        <v>64.900000000000006</v>
      </c>
      <c r="J44" s="97">
        <v>27.3</v>
      </c>
      <c r="K44" s="97">
        <v>28.7</v>
      </c>
      <c r="M44" s="97">
        <v>152</v>
      </c>
      <c r="N44" s="98" t="s">
        <v>1125</v>
      </c>
      <c r="O44" s="97">
        <v>76.599999999999994</v>
      </c>
      <c r="P44" s="97">
        <v>38.6</v>
      </c>
      <c r="Q44" s="97">
        <v>57</v>
      </c>
      <c r="R44" s="35" t="s">
        <v>1228</v>
      </c>
    </row>
    <row r="45" spans="1:18" x14ac:dyDescent="0.2">
      <c r="A45" s="97">
        <v>146</v>
      </c>
      <c r="B45" s="98" t="s">
        <v>1124</v>
      </c>
      <c r="C45" s="97">
        <v>41.4</v>
      </c>
      <c r="D45" s="97">
        <v>35.5</v>
      </c>
      <c r="E45" s="97">
        <v>24.4</v>
      </c>
      <c r="G45" s="97">
        <v>71</v>
      </c>
      <c r="H45" s="98" t="s">
        <v>1126</v>
      </c>
      <c r="I45" s="97">
        <v>63.2</v>
      </c>
      <c r="J45" s="97">
        <v>20.6</v>
      </c>
      <c r="K45" s="97">
        <v>25.5</v>
      </c>
      <c r="M45" s="97">
        <v>152</v>
      </c>
      <c r="N45" s="98" t="s">
        <v>1090</v>
      </c>
      <c r="O45" s="97">
        <v>66.099999999999994</v>
      </c>
      <c r="P45" s="97">
        <v>36.9</v>
      </c>
      <c r="Q45" s="97">
        <v>52.4</v>
      </c>
      <c r="R45" s="35" t="s">
        <v>1229</v>
      </c>
    </row>
    <row r="46" spans="1:18" x14ac:dyDescent="0.2">
      <c r="A46" s="97">
        <v>146</v>
      </c>
      <c r="B46" s="98" t="s">
        <v>1127</v>
      </c>
      <c r="C46" s="97">
        <v>50.4</v>
      </c>
      <c r="D46" s="97">
        <v>44.9</v>
      </c>
      <c r="E46" s="97">
        <v>30.2</v>
      </c>
      <c r="G46" s="97">
        <v>71</v>
      </c>
      <c r="H46" s="101" t="s">
        <v>1128</v>
      </c>
      <c r="I46" s="97">
        <v>58.3</v>
      </c>
      <c r="J46" s="97">
        <v>18.5</v>
      </c>
      <c r="K46" s="97">
        <v>24.1</v>
      </c>
      <c r="M46" s="97">
        <v>152</v>
      </c>
      <c r="N46" s="98" t="s">
        <v>1129</v>
      </c>
      <c r="O46" s="97">
        <v>17.8</v>
      </c>
      <c r="P46" s="97">
        <v>12.5</v>
      </c>
      <c r="Q46" s="97">
        <v>9.5</v>
      </c>
      <c r="R46" s="35" t="s">
        <v>1228</v>
      </c>
    </row>
    <row r="47" spans="1:18" x14ac:dyDescent="0.2">
      <c r="A47" s="97">
        <v>145</v>
      </c>
      <c r="B47" s="98" t="s">
        <v>1130</v>
      </c>
      <c r="C47" s="97">
        <v>63.9</v>
      </c>
      <c r="D47" s="97">
        <v>33</v>
      </c>
      <c r="E47" s="97">
        <v>52.6</v>
      </c>
      <c r="G47" s="97">
        <v>71</v>
      </c>
      <c r="H47" s="101" t="s">
        <v>1128</v>
      </c>
      <c r="I47" s="97">
        <v>62.2</v>
      </c>
      <c r="J47" s="97">
        <v>21</v>
      </c>
      <c r="K47" s="97">
        <v>26.2</v>
      </c>
      <c r="M47" s="97">
        <v>152</v>
      </c>
      <c r="N47" s="98" t="s">
        <v>1131</v>
      </c>
      <c r="O47" s="97">
        <v>50.5</v>
      </c>
      <c r="P47" s="97">
        <v>40.6</v>
      </c>
      <c r="Q47" s="97">
        <v>27.7</v>
      </c>
      <c r="R47" s="35" t="s">
        <v>1229</v>
      </c>
    </row>
    <row r="48" spans="1:18" x14ac:dyDescent="0.2">
      <c r="A48" s="97">
        <v>145</v>
      </c>
      <c r="B48" s="98" t="s">
        <v>1107</v>
      </c>
      <c r="C48" s="97">
        <v>56.4</v>
      </c>
      <c r="D48" s="97">
        <v>26.1</v>
      </c>
      <c r="E48" s="97">
        <v>44.8</v>
      </c>
      <c r="G48" s="97" t="s">
        <v>1132</v>
      </c>
      <c r="H48" s="101" t="s">
        <v>1133</v>
      </c>
      <c r="I48" s="97">
        <v>73.400000000000006</v>
      </c>
      <c r="J48" s="97">
        <v>24</v>
      </c>
      <c r="K48" s="97">
        <v>27.9</v>
      </c>
      <c r="M48" s="97" t="s">
        <v>1132</v>
      </c>
      <c r="N48" s="98" t="s">
        <v>1134</v>
      </c>
      <c r="O48" s="97">
        <v>54.4</v>
      </c>
      <c r="P48" s="97">
        <v>41.5</v>
      </c>
      <c r="Q48" s="97">
        <v>31.3</v>
      </c>
      <c r="R48" s="35" t="s">
        <v>1229</v>
      </c>
    </row>
    <row r="49" spans="1:18" x14ac:dyDescent="0.2">
      <c r="A49" s="97">
        <v>145</v>
      </c>
      <c r="B49" s="98" t="s">
        <v>1130</v>
      </c>
      <c r="C49" s="97">
        <v>51.9</v>
      </c>
      <c r="D49" s="97">
        <v>25</v>
      </c>
      <c r="E49" s="97">
        <v>43.8</v>
      </c>
      <c r="G49" s="97" t="s">
        <v>1132</v>
      </c>
      <c r="H49" s="101" t="s">
        <v>1133</v>
      </c>
      <c r="I49" s="97">
        <v>61.6</v>
      </c>
      <c r="J49" s="97">
        <v>20.2</v>
      </c>
      <c r="K49" s="97">
        <v>26.3</v>
      </c>
      <c r="M49" s="97" t="s">
        <v>1132</v>
      </c>
      <c r="N49" s="98" t="s">
        <v>1135</v>
      </c>
      <c r="O49" s="97">
        <v>53.2</v>
      </c>
      <c r="P49" s="97">
        <v>46.9</v>
      </c>
      <c r="Q49" s="97">
        <v>32.9</v>
      </c>
      <c r="R49" s="35" t="s">
        <v>1226</v>
      </c>
    </row>
    <row r="50" spans="1:18" x14ac:dyDescent="0.2">
      <c r="A50" s="97">
        <v>145</v>
      </c>
      <c r="B50" s="98" t="s">
        <v>1136</v>
      </c>
      <c r="C50" s="97">
        <v>33.5</v>
      </c>
      <c r="D50" s="97">
        <v>17.899999999999999</v>
      </c>
      <c r="E50" s="97">
        <v>28.8</v>
      </c>
      <c r="G50" s="97" t="s">
        <v>1132</v>
      </c>
      <c r="H50" s="101" t="s">
        <v>1137</v>
      </c>
      <c r="I50" s="97">
        <v>90.6</v>
      </c>
      <c r="J50" s="97">
        <v>32.700000000000003</v>
      </c>
      <c r="K50" s="97">
        <v>34</v>
      </c>
      <c r="M50" s="97" t="s">
        <v>1132</v>
      </c>
      <c r="N50" s="98" t="s">
        <v>1137</v>
      </c>
      <c r="O50" s="97">
        <v>91.7</v>
      </c>
      <c r="P50" s="97">
        <v>47.6</v>
      </c>
      <c r="Q50" s="97">
        <v>68.2</v>
      </c>
      <c r="R50" s="35" t="s">
        <v>1228</v>
      </c>
    </row>
    <row r="51" spans="1:18" x14ac:dyDescent="0.2">
      <c r="A51" s="97">
        <v>145</v>
      </c>
      <c r="B51" s="98" t="s">
        <v>1138</v>
      </c>
      <c r="C51" s="97">
        <v>58.1</v>
      </c>
      <c r="D51" s="97">
        <v>47.5</v>
      </c>
      <c r="E51" s="97">
        <v>31.1</v>
      </c>
      <c r="G51" s="97" t="s">
        <v>1132</v>
      </c>
      <c r="H51" s="101" t="s">
        <v>1139</v>
      </c>
      <c r="I51" s="97">
        <v>69.5</v>
      </c>
      <c r="J51" s="97">
        <v>24</v>
      </c>
      <c r="K51" s="97">
        <v>29.6</v>
      </c>
      <c r="M51" s="97">
        <v>70</v>
      </c>
      <c r="N51" s="98" t="s">
        <v>1140</v>
      </c>
      <c r="O51" s="97">
        <v>51.2</v>
      </c>
      <c r="P51" s="97">
        <v>40.5</v>
      </c>
      <c r="Q51" s="97">
        <v>26.9</v>
      </c>
      <c r="R51" s="35" t="s">
        <v>1228</v>
      </c>
    </row>
    <row r="52" spans="1:18" x14ac:dyDescent="0.2">
      <c r="A52" s="97">
        <v>145</v>
      </c>
      <c r="B52" s="98" t="s">
        <v>1138</v>
      </c>
      <c r="C52" s="97">
        <v>50.6</v>
      </c>
      <c r="D52" s="97">
        <v>45.3</v>
      </c>
      <c r="E52" s="97">
        <v>28.7</v>
      </c>
      <c r="G52" s="97">
        <v>70</v>
      </c>
      <c r="H52" s="101" t="s">
        <v>1141</v>
      </c>
      <c r="I52" s="97">
        <v>59.7</v>
      </c>
      <c r="J52" s="97">
        <v>18.899999999999999</v>
      </c>
      <c r="K52" s="97">
        <v>25.9</v>
      </c>
      <c r="M52" s="97">
        <v>70</v>
      </c>
      <c r="N52" s="98" t="s">
        <v>1142</v>
      </c>
      <c r="O52" s="97">
        <v>58.3</v>
      </c>
      <c r="P52" s="97">
        <v>26.8</v>
      </c>
      <c r="Q52" s="97">
        <v>34.700000000000003</v>
      </c>
      <c r="R52" s="35" t="s">
        <v>1228</v>
      </c>
    </row>
    <row r="53" spans="1:18" x14ac:dyDescent="0.2">
      <c r="A53" s="97">
        <v>145</v>
      </c>
      <c r="B53" s="98" t="s">
        <v>1138</v>
      </c>
      <c r="C53" s="97">
        <v>59.6</v>
      </c>
      <c r="D53" s="97">
        <v>50.9</v>
      </c>
      <c r="E53" s="97">
        <v>32.4</v>
      </c>
      <c r="G53" s="100" t="s">
        <v>1143</v>
      </c>
      <c r="H53" s="101" t="s">
        <v>1144</v>
      </c>
      <c r="I53" s="97">
        <v>54.5</v>
      </c>
      <c r="J53" s="97">
        <v>22.5</v>
      </c>
      <c r="K53" s="97">
        <v>22.7</v>
      </c>
      <c r="M53" s="100" t="s">
        <v>1143</v>
      </c>
      <c r="N53" s="98" t="s">
        <v>1145</v>
      </c>
      <c r="O53" s="97">
        <v>54.6</v>
      </c>
      <c r="P53" s="97">
        <v>32.200000000000003</v>
      </c>
      <c r="Q53" s="97">
        <v>45.8</v>
      </c>
      <c r="R53" s="35" t="s">
        <v>1226</v>
      </c>
    </row>
    <row r="54" spans="1:18" x14ac:dyDescent="0.2">
      <c r="A54" s="97">
        <v>145</v>
      </c>
      <c r="B54" s="98" t="s">
        <v>1146</v>
      </c>
      <c r="C54" s="97">
        <v>47.9</v>
      </c>
      <c r="D54" s="97">
        <v>41.5</v>
      </c>
      <c r="E54" s="97">
        <v>28.8</v>
      </c>
      <c r="G54" s="100" t="s">
        <v>1143</v>
      </c>
      <c r="H54" s="101" t="s">
        <v>1147</v>
      </c>
      <c r="I54" s="97">
        <v>34.200000000000003</v>
      </c>
      <c r="J54" s="97">
        <v>13.6</v>
      </c>
      <c r="K54" s="97">
        <v>16.399999999999999</v>
      </c>
      <c r="M54" s="100" t="s">
        <v>1143</v>
      </c>
      <c r="N54" s="98" t="s">
        <v>1145</v>
      </c>
      <c r="O54" s="97">
        <v>17.5</v>
      </c>
      <c r="P54" s="97">
        <v>10.1</v>
      </c>
      <c r="Q54" s="97">
        <v>13.8</v>
      </c>
      <c r="R54" s="35" t="s">
        <v>1230</v>
      </c>
    </row>
    <row r="55" spans="1:18" x14ac:dyDescent="0.2">
      <c r="A55" s="97">
        <v>145</v>
      </c>
      <c r="B55" s="98" t="s">
        <v>1146</v>
      </c>
      <c r="C55" s="97">
        <v>47.8</v>
      </c>
      <c r="D55" s="97">
        <v>42.4</v>
      </c>
      <c r="E55" s="97">
        <v>27</v>
      </c>
      <c r="G55" s="100" t="s">
        <v>1143</v>
      </c>
      <c r="H55" s="101" t="s">
        <v>1148</v>
      </c>
      <c r="I55" s="97">
        <v>54.4</v>
      </c>
      <c r="J55" s="97">
        <v>18.399999999999999</v>
      </c>
      <c r="K55" s="97">
        <v>22.3</v>
      </c>
      <c r="M55" s="100" t="s">
        <v>1143</v>
      </c>
      <c r="N55" s="98" t="s">
        <v>1147</v>
      </c>
      <c r="O55" s="97">
        <v>50.8</v>
      </c>
      <c r="P55" s="97">
        <v>32</v>
      </c>
      <c r="Q55" s="97">
        <v>44.2</v>
      </c>
      <c r="R55" s="35" t="s">
        <v>1227</v>
      </c>
    </row>
    <row r="56" spans="1:18" x14ac:dyDescent="0.2">
      <c r="A56" s="97">
        <v>145</v>
      </c>
      <c r="B56" s="98" t="s">
        <v>1149</v>
      </c>
      <c r="C56" s="97">
        <v>57.5</v>
      </c>
      <c r="D56" s="97">
        <v>48.3</v>
      </c>
      <c r="E56" s="97">
        <v>30.3</v>
      </c>
      <c r="G56" s="100" t="s">
        <v>1143</v>
      </c>
      <c r="H56" s="101" t="s">
        <v>1150</v>
      </c>
      <c r="I56" s="97">
        <v>48.4</v>
      </c>
      <c r="J56" s="97">
        <v>20.6</v>
      </c>
      <c r="K56" s="97">
        <v>17.899999999999999</v>
      </c>
      <c r="M56" s="100" t="s">
        <v>1143</v>
      </c>
      <c r="N56" s="98" t="s">
        <v>1151</v>
      </c>
      <c r="O56" s="97">
        <v>43.3</v>
      </c>
      <c r="P56" s="97">
        <v>22.2</v>
      </c>
      <c r="Q56" s="97">
        <v>31.9</v>
      </c>
      <c r="R56" s="35" t="s">
        <v>1229</v>
      </c>
    </row>
    <row r="57" spans="1:18" x14ac:dyDescent="0.2">
      <c r="A57" s="97">
        <v>145</v>
      </c>
      <c r="B57" s="98" t="s">
        <v>1149</v>
      </c>
      <c r="C57" s="97">
        <v>43.9</v>
      </c>
      <c r="D57" s="97">
        <v>39.299999999999997</v>
      </c>
      <c r="E57" s="97">
        <v>23.2</v>
      </c>
      <c r="G57" s="100" t="s">
        <v>1152</v>
      </c>
      <c r="H57" s="101" t="s">
        <v>1153</v>
      </c>
      <c r="I57" s="97">
        <v>51.4</v>
      </c>
      <c r="J57" s="97">
        <v>23.2</v>
      </c>
      <c r="K57" s="97">
        <v>20.8</v>
      </c>
      <c r="M57" s="100" t="s">
        <v>1154</v>
      </c>
      <c r="N57" s="98" t="s">
        <v>1155</v>
      </c>
      <c r="O57" s="97">
        <v>56.2</v>
      </c>
      <c r="P57" s="97">
        <v>28.9</v>
      </c>
      <c r="Q57" s="97">
        <v>41.4</v>
      </c>
      <c r="R57" s="35" t="s">
        <v>1229</v>
      </c>
    </row>
    <row r="58" spans="1:18" x14ac:dyDescent="0.2">
      <c r="A58" s="100" t="s">
        <v>1112</v>
      </c>
      <c r="B58" s="98" t="s">
        <v>1113</v>
      </c>
      <c r="C58" s="97">
        <v>46.4</v>
      </c>
      <c r="D58" s="97">
        <v>46.9</v>
      </c>
      <c r="E58" s="97">
        <v>28.5</v>
      </c>
      <c r="G58" s="100" t="s">
        <v>1143</v>
      </c>
      <c r="H58" s="101" t="s">
        <v>1156</v>
      </c>
      <c r="I58" s="97">
        <v>46.7</v>
      </c>
      <c r="J58" s="97">
        <v>21.3</v>
      </c>
      <c r="K58" s="97">
        <v>17.5</v>
      </c>
      <c r="M58" s="100" t="s">
        <v>1157</v>
      </c>
      <c r="N58" s="98" t="s">
        <v>1158</v>
      </c>
      <c r="O58" s="97">
        <v>58.9</v>
      </c>
      <c r="P58" s="97">
        <v>50</v>
      </c>
      <c r="Q58" s="97">
        <v>36.5</v>
      </c>
      <c r="R58" s="35" t="s">
        <v>1228</v>
      </c>
    </row>
    <row r="59" spans="1:18" x14ac:dyDescent="0.2">
      <c r="A59" s="100" t="s">
        <v>1112</v>
      </c>
      <c r="B59" s="98" t="s">
        <v>1113</v>
      </c>
      <c r="C59" s="97">
        <v>45.5</v>
      </c>
      <c r="D59" s="97">
        <v>46</v>
      </c>
      <c r="E59" s="97">
        <v>30.6</v>
      </c>
      <c r="G59" s="100" t="s">
        <v>1143</v>
      </c>
      <c r="H59" s="101" t="s">
        <v>1159</v>
      </c>
      <c r="I59" s="97">
        <v>39.700000000000003</v>
      </c>
      <c r="J59" s="97">
        <v>18.600000000000001</v>
      </c>
      <c r="K59" s="97">
        <v>15.9</v>
      </c>
      <c r="M59" s="100" t="s">
        <v>1160</v>
      </c>
      <c r="N59" s="98" t="s">
        <v>1161</v>
      </c>
      <c r="O59" s="97">
        <v>58</v>
      </c>
      <c r="P59" s="97">
        <v>44.9</v>
      </c>
      <c r="Q59" s="97">
        <v>30.8</v>
      </c>
      <c r="R59" s="35" t="s">
        <v>1228</v>
      </c>
    </row>
    <row r="60" spans="1:18" x14ac:dyDescent="0.2">
      <c r="A60" s="100" t="s">
        <v>1112</v>
      </c>
      <c r="B60" s="98" t="s">
        <v>1162</v>
      </c>
      <c r="C60" s="97">
        <v>49.7</v>
      </c>
      <c r="D60" s="97">
        <v>43.3</v>
      </c>
      <c r="E60" s="97">
        <v>29.7</v>
      </c>
      <c r="G60" s="100" t="s">
        <v>1152</v>
      </c>
      <c r="H60" s="101" t="s">
        <v>1159</v>
      </c>
      <c r="I60" s="97">
        <v>54</v>
      </c>
      <c r="J60" s="97">
        <v>24.7</v>
      </c>
      <c r="K60" s="97">
        <v>19.600000000000001</v>
      </c>
      <c r="M60" s="100" t="s">
        <v>1163</v>
      </c>
      <c r="N60" s="98" t="s">
        <v>1164</v>
      </c>
      <c r="O60" s="97">
        <v>57.3</v>
      </c>
      <c r="P60" s="97">
        <v>42.3</v>
      </c>
      <c r="Q60" s="97">
        <v>28.3</v>
      </c>
      <c r="R60" s="35" t="s">
        <v>1228</v>
      </c>
    </row>
    <row r="61" spans="1:18" x14ac:dyDescent="0.2">
      <c r="A61" s="100" t="s">
        <v>1165</v>
      </c>
      <c r="B61" s="98" t="s">
        <v>1166</v>
      </c>
      <c r="C61" s="97">
        <v>45.6</v>
      </c>
      <c r="D61" s="97">
        <v>41.6</v>
      </c>
      <c r="E61" s="97">
        <v>29.1</v>
      </c>
      <c r="G61" s="100" t="s">
        <v>1143</v>
      </c>
      <c r="H61" s="101" t="s">
        <v>1159</v>
      </c>
      <c r="I61" s="97">
        <v>38.1</v>
      </c>
      <c r="J61" s="97">
        <v>18.2</v>
      </c>
      <c r="K61" s="97">
        <v>15.4</v>
      </c>
      <c r="M61" s="97"/>
      <c r="N61" s="97"/>
      <c r="O61" s="97"/>
      <c r="P61" s="97"/>
      <c r="Q61" s="97"/>
    </row>
    <row r="62" spans="1:18" x14ac:dyDescent="0.2">
      <c r="A62" s="100" t="s">
        <v>1165</v>
      </c>
      <c r="B62" s="98" t="s">
        <v>1167</v>
      </c>
      <c r="C62" s="97">
        <v>55.4</v>
      </c>
      <c r="D62" s="97">
        <v>50</v>
      </c>
      <c r="E62" s="97">
        <v>32.4</v>
      </c>
      <c r="G62" s="100" t="s">
        <v>1143</v>
      </c>
      <c r="H62" s="101" t="s">
        <v>1168</v>
      </c>
      <c r="I62" s="97">
        <v>45.5</v>
      </c>
      <c r="J62" s="97">
        <v>21.5</v>
      </c>
      <c r="K62" s="97">
        <v>17.8</v>
      </c>
      <c r="M62" s="97"/>
      <c r="N62" s="98"/>
      <c r="O62" s="97"/>
      <c r="P62" s="97"/>
      <c r="Q62" s="97"/>
    </row>
    <row r="63" spans="1:18" x14ac:dyDescent="0.2">
      <c r="A63" s="100" t="s">
        <v>1165</v>
      </c>
      <c r="B63" s="98" t="s">
        <v>1167</v>
      </c>
      <c r="C63" s="97">
        <v>55.6</v>
      </c>
      <c r="D63" s="97">
        <v>47.4</v>
      </c>
      <c r="E63" s="97">
        <v>33.700000000000003</v>
      </c>
      <c r="G63" s="100" t="s">
        <v>1152</v>
      </c>
      <c r="H63" s="101" t="s">
        <v>1168</v>
      </c>
      <c r="I63" s="97">
        <v>39.4</v>
      </c>
      <c r="J63" s="97">
        <v>18.600000000000001</v>
      </c>
      <c r="K63" s="97">
        <v>14.8</v>
      </c>
      <c r="M63" s="97"/>
      <c r="N63" s="98"/>
      <c r="O63" s="97"/>
      <c r="P63" s="97"/>
      <c r="Q63" s="97"/>
    </row>
    <row r="64" spans="1:18" x14ac:dyDescent="0.2">
      <c r="A64" s="100" t="s">
        <v>1169</v>
      </c>
      <c r="B64" s="98" t="s">
        <v>1116</v>
      </c>
      <c r="C64" s="97">
        <v>50.8</v>
      </c>
      <c r="D64" s="97">
        <v>23.4</v>
      </c>
      <c r="E64" s="97">
        <v>45</v>
      </c>
      <c r="G64" s="100" t="s">
        <v>1143</v>
      </c>
      <c r="H64" s="101" t="s">
        <v>1170</v>
      </c>
      <c r="I64" s="97">
        <v>58.3</v>
      </c>
      <c r="J64" s="97">
        <v>25.2</v>
      </c>
      <c r="K64" s="97">
        <v>23.7</v>
      </c>
      <c r="M64" s="97"/>
      <c r="N64" s="98"/>
      <c r="O64" s="97"/>
      <c r="P64" s="97"/>
      <c r="Q64" s="97"/>
    </row>
    <row r="65" spans="1:17" x14ac:dyDescent="0.2">
      <c r="A65" s="100" t="s">
        <v>1112</v>
      </c>
      <c r="B65" s="98" t="s">
        <v>1171</v>
      </c>
      <c r="C65" s="97">
        <v>78.2</v>
      </c>
      <c r="D65" s="97">
        <v>37.700000000000003</v>
      </c>
      <c r="E65" s="97">
        <v>62.8</v>
      </c>
      <c r="G65" s="100" t="s">
        <v>1143</v>
      </c>
      <c r="H65" s="101" t="s">
        <v>1172</v>
      </c>
      <c r="I65" s="97">
        <v>42.94</v>
      </c>
      <c r="J65" s="97">
        <v>19.68</v>
      </c>
      <c r="K65" s="97">
        <v>17.579999999999998</v>
      </c>
      <c r="M65" s="97"/>
      <c r="N65" s="98"/>
      <c r="O65" s="97"/>
      <c r="P65" s="97"/>
      <c r="Q65" s="97"/>
    </row>
    <row r="66" spans="1:17" x14ac:dyDescent="0.2">
      <c r="A66" s="100" t="s">
        <v>1112</v>
      </c>
      <c r="B66" s="98" t="s">
        <v>1171</v>
      </c>
      <c r="C66" s="97">
        <v>60.5</v>
      </c>
      <c r="D66" s="97">
        <v>32.200000000000003</v>
      </c>
      <c r="E66" s="97">
        <v>52.1</v>
      </c>
      <c r="G66" s="100" t="s">
        <v>1173</v>
      </c>
      <c r="H66" s="101" t="s">
        <v>1174</v>
      </c>
      <c r="I66" s="97">
        <v>57.5</v>
      </c>
      <c r="J66" s="97">
        <v>23.5</v>
      </c>
      <c r="K66" s="97">
        <v>23</v>
      </c>
      <c r="M66" s="97"/>
      <c r="N66" s="98"/>
      <c r="O66" s="97"/>
      <c r="P66" s="97"/>
      <c r="Q66" s="97"/>
    </row>
    <row r="67" spans="1:17" x14ac:dyDescent="0.2">
      <c r="A67" s="100" t="s">
        <v>1118</v>
      </c>
      <c r="B67" s="98" t="s">
        <v>1175</v>
      </c>
      <c r="C67" s="97">
        <v>70.5</v>
      </c>
      <c r="D67" s="97">
        <v>56.2</v>
      </c>
      <c r="E67" s="97">
        <v>37.6</v>
      </c>
      <c r="G67" s="100" t="s">
        <v>1157</v>
      </c>
      <c r="H67" s="101" t="s">
        <v>1176</v>
      </c>
      <c r="I67" s="97">
        <v>49.5</v>
      </c>
      <c r="J67" s="97">
        <v>19.2</v>
      </c>
      <c r="K67" s="97">
        <v>22.5</v>
      </c>
      <c r="M67" s="97"/>
      <c r="N67" s="98"/>
      <c r="O67" s="97"/>
      <c r="P67" s="97"/>
      <c r="Q67" s="97"/>
    </row>
    <row r="68" spans="1:17" x14ac:dyDescent="0.2">
      <c r="A68" s="100" t="s">
        <v>1118</v>
      </c>
      <c r="B68" s="98" t="s">
        <v>1175</v>
      </c>
      <c r="C68" s="97">
        <v>56.6</v>
      </c>
      <c r="D68" s="97">
        <v>49.2</v>
      </c>
      <c r="E68" s="97">
        <v>31.2</v>
      </c>
      <c r="G68" s="100" t="s">
        <v>1157</v>
      </c>
      <c r="H68" s="101" t="s">
        <v>1177</v>
      </c>
      <c r="I68" s="97">
        <v>22</v>
      </c>
      <c r="J68" s="97">
        <v>10.5</v>
      </c>
      <c r="K68" s="97">
        <v>8</v>
      </c>
      <c r="M68" s="97"/>
      <c r="N68" s="98"/>
      <c r="O68" s="97"/>
      <c r="P68" s="97"/>
      <c r="Q68" s="97"/>
    </row>
    <row r="69" spans="1:17" x14ac:dyDescent="0.2">
      <c r="A69" s="100" t="s">
        <v>1118</v>
      </c>
      <c r="B69" s="98" t="s">
        <v>1175</v>
      </c>
      <c r="C69" s="97">
        <v>48.1</v>
      </c>
      <c r="D69" s="97">
        <v>42.4</v>
      </c>
      <c r="E69" s="97">
        <v>27.2</v>
      </c>
      <c r="G69" s="100" t="s">
        <v>1157</v>
      </c>
      <c r="H69" s="101" t="s">
        <v>1177</v>
      </c>
      <c r="I69" s="97">
        <v>30.8</v>
      </c>
      <c r="J69" s="97">
        <v>25.5</v>
      </c>
      <c r="K69" s="97">
        <v>25.5</v>
      </c>
      <c r="M69" s="97"/>
      <c r="N69" s="98"/>
      <c r="O69" s="97"/>
      <c r="P69" s="97"/>
      <c r="Q69" s="97"/>
    </row>
    <row r="70" spans="1:17" x14ac:dyDescent="0.2">
      <c r="A70" s="100" t="s">
        <v>1118</v>
      </c>
      <c r="B70" s="98" t="s">
        <v>1178</v>
      </c>
      <c r="C70" s="97">
        <v>61.1</v>
      </c>
      <c r="D70" s="97">
        <v>31.9</v>
      </c>
      <c r="E70" s="97">
        <v>50.2</v>
      </c>
      <c r="G70" s="100" t="s">
        <v>1157</v>
      </c>
      <c r="H70" s="101" t="s">
        <v>1179</v>
      </c>
      <c r="I70" s="97">
        <v>34.6</v>
      </c>
      <c r="J70" s="97">
        <v>15.4</v>
      </c>
      <c r="K70" s="97">
        <v>12.2</v>
      </c>
      <c r="M70" s="97"/>
      <c r="N70" s="98"/>
      <c r="O70" s="97"/>
      <c r="P70" s="97"/>
      <c r="Q70" s="97"/>
    </row>
    <row r="71" spans="1:17" x14ac:dyDescent="0.2">
      <c r="A71" s="100" t="s">
        <v>1118</v>
      </c>
      <c r="B71" s="98" t="s">
        <v>1180</v>
      </c>
      <c r="C71" s="97">
        <v>59.8</v>
      </c>
      <c r="D71" s="97">
        <v>32</v>
      </c>
      <c r="E71" s="97">
        <v>48.6</v>
      </c>
      <c r="G71" s="100" t="s">
        <v>1163</v>
      </c>
      <c r="H71" s="98" t="s">
        <v>1181</v>
      </c>
      <c r="I71" s="97">
        <v>61.8</v>
      </c>
      <c r="J71" s="97">
        <v>27.2</v>
      </c>
      <c r="K71" s="97">
        <v>23</v>
      </c>
      <c r="M71" s="97"/>
      <c r="N71" s="98"/>
      <c r="O71" s="97"/>
      <c r="P71" s="97"/>
      <c r="Q71" s="97"/>
    </row>
    <row r="72" spans="1:17" x14ac:dyDescent="0.2">
      <c r="A72" s="100" t="s">
        <v>1118</v>
      </c>
      <c r="B72" s="98" t="s">
        <v>1180</v>
      </c>
      <c r="C72" s="97">
        <v>40.200000000000003</v>
      </c>
      <c r="D72" s="97">
        <v>20.8</v>
      </c>
      <c r="E72" s="97">
        <v>32.6</v>
      </c>
      <c r="G72" s="100" t="s">
        <v>1163</v>
      </c>
      <c r="H72" s="101" t="s">
        <v>1182</v>
      </c>
      <c r="I72" s="97">
        <v>39.700000000000003</v>
      </c>
      <c r="J72" s="97">
        <v>18.600000000000001</v>
      </c>
      <c r="K72" s="97">
        <v>15.9</v>
      </c>
      <c r="M72" s="97"/>
      <c r="N72" s="98"/>
      <c r="O72" s="97"/>
      <c r="P72" s="97"/>
      <c r="Q72" s="97"/>
    </row>
    <row r="73" spans="1:17" x14ac:dyDescent="0.2">
      <c r="A73" s="100" t="s">
        <v>1118</v>
      </c>
      <c r="B73" s="98" t="s">
        <v>1183</v>
      </c>
      <c r="C73" s="97">
        <v>59.8</v>
      </c>
      <c r="D73" s="97">
        <v>49.4</v>
      </c>
      <c r="E73" s="97">
        <v>33.799999999999997</v>
      </c>
      <c r="G73" s="100" t="s">
        <v>1163</v>
      </c>
      <c r="H73" s="101" t="s">
        <v>1159</v>
      </c>
      <c r="I73" s="97">
        <v>54</v>
      </c>
      <c r="J73" s="97">
        <v>24.7</v>
      </c>
      <c r="K73" s="97">
        <v>19.600000000000001</v>
      </c>
      <c r="M73" s="97"/>
      <c r="N73" s="98"/>
      <c r="O73" s="97"/>
      <c r="P73" s="97"/>
      <c r="Q73" s="97"/>
    </row>
    <row r="74" spans="1:17" x14ac:dyDescent="0.2">
      <c r="A74" s="97">
        <v>152</v>
      </c>
      <c r="B74" s="98" t="s">
        <v>1184</v>
      </c>
      <c r="C74" s="97">
        <v>45.8</v>
      </c>
      <c r="D74" s="97">
        <v>41.3</v>
      </c>
      <c r="E74" s="97">
        <v>28.7</v>
      </c>
      <c r="G74" s="100" t="s">
        <v>1163</v>
      </c>
      <c r="H74" s="101" t="s">
        <v>1159</v>
      </c>
      <c r="I74" s="97">
        <v>38.1</v>
      </c>
      <c r="J74" s="97">
        <v>18.2</v>
      </c>
      <c r="K74" s="97">
        <v>15.4</v>
      </c>
      <c r="M74" s="97"/>
      <c r="N74" s="98"/>
      <c r="O74" s="97"/>
      <c r="P74" s="97"/>
      <c r="Q74" s="97"/>
    </row>
    <row r="75" spans="1:17" x14ac:dyDescent="0.2">
      <c r="A75" s="97">
        <v>152</v>
      </c>
      <c r="B75" s="98" t="s">
        <v>1185</v>
      </c>
      <c r="C75" s="97">
        <v>37.1</v>
      </c>
      <c r="D75" s="97">
        <v>34.5</v>
      </c>
      <c r="E75" s="97">
        <v>21.8</v>
      </c>
      <c r="G75" s="100" t="s">
        <v>1163</v>
      </c>
      <c r="H75" s="101" t="s">
        <v>1168</v>
      </c>
      <c r="I75" s="97">
        <v>45.5</v>
      </c>
      <c r="J75" s="97">
        <v>21.5</v>
      </c>
      <c r="K75" s="97">
        <v>17.8</v>
      </c>
      <c r="M75" s="97"/>
      <c r="N75" s="98"/>
      <c r="O75" s="97"/>
      <c r="P75" s="97"/>
      <c r="Q75" s="97"/>
    </row>
    <row r="76" spans="1:17" x14ac:dyDescent="0.2">
      <c r="A76" s="97">
        <v>152</v>
      </c>
      <c r="B76" s="98" t="s">
        <v>1125</v>
      </c>
      <c r="C76" s="97">
        <v>36.700000000000003</v>
      </c>
      <c r="D76" s="97">
        <v>21.1</v>
      </c>
      <c r="E76" s="97">
        <v>31.2</v>
      </c>
      <c r="G76" s="100" t="s">
        <v>1163</v>
      </c>
      <c r="H76" s="101" t="s">
        <v>1168</v>
      </c>
      <c r="I76" s="97">
        <v>39.4</v>
      </c>
      <c r="J76" s="97">
        <v>18.600000000000001</v>
      </c>
      <c r="K76" s="97">
        <v>14.8</v>
      </c>
      <c r="M76" s="97"/>
      <c r="N76" s="98"/>
      <c r="O76" s="97"/>
      <c r="P76" s="97"/>
      <c r="Q76" s="97"/>
    </row>
    <row r="77" spans="1:17" x14ac:dyDescent="0.2">
      <c r="A77" s="97">
        <v>152</v>
      </c>
      <c r="B77" s="98" t="s">
        <v>1186</v>
      </c>
      <c r="C77" s="97">
        <v>43.1</v>
      </c>
      <c r="D77" s="97">
        <v>22.1</v>
      </c>
      <c r="E77" s="97">
        <v>34.5</v>
      </c>
      <c r="G77" s="97"/>
      <c r="H77" s="101"/>
      <c r="I77" s="97"/>
      <c r="J77" s="97"/>
      <c r="K77" s="97"/>
      <c r="M77" s="97"/>
      <c r="N77" s="98"/>
      <c r="O77" s="97"/>
      <c r="P77" s="97"/>
      <c r="Q77" s="97"/>
    </row>
    <row r="78" spans="1:17" x14ac:dyDescent="0.2">
      <c r="A78" s="97">
        <v>152</v>
      </c>
      <c r="B78" s="98" t="s">
        <v>1088</v>
      </c>
      <c r="C78" s="97">
        <v>24.9</v>
      </c>
      <c r="D78" s="97">
        <v>16.2</v>
      </c>
      <c r="E78" s="97">
        <v>20.2</v>
      </c>
      <c r="G78" s="97"/>
      <c r="H78" s="101"/>
      <c r="I78" s="97"/>
      <c r="J78" s="97"/>
      <c r="K78" s="97"/>
      <c r="M78" s="97"/>
      <c r="N78" s="98"/>
      <c r="O78" s="97"/>
      <c r="P78" s="97"/>
      <c r="Q78" s="97"/>
    </row>
    <row r="79" spans="1:17" x14ac:dyDescent="0.2">
      <c r="A79" s="97">
        <v>152</v>
      </c>
      <c r="B79" s="98" t="s">
        <v>1090</v>
      </c>
      <c r="C79" s="97">
        <v>48.3</v>
      </c>
      <c r="D79" s="97">
        <v>27.3</v>
      </c>
      <c r="E79" s="97">
        <v>40.6</v>
      </c>
      <c r="G79" s="97"/>
      <c r="H79" s="101"/>
      <c r="I79" s="97"/>
      <c r="J79" s="97"/>
      <c r="K79" s="97"/>
      <c r="M79" s="97"/>
      <c r="N79" s="98"/>
      <c r="O79" s="97"/>
      <c r="P79" s="97"/>
      <c r="Q79" s="97"/>
    </row>
    <row r="80" spans="1:17" x14ac:dyDescent="0.2">
      <c r="A80" s="97">
        <v>152</v>
      </c>
      <c r="B80" s="98" t="s">
        <v>1187</v>
      </c>
      <c r="C80" s="97">
        <v>39.6</v>
      </c>
      <c r="D80" s="97">
        <v>23.7</v>
      </c>
      <c r="E80" s="97">
        <v>32.5</v>
      </c>
      <c r="G80" s="97"/>
      <c r="H80" s="101"/>
      <c r="I80" s="97"/>
      <c r="J80" s="97"/>
      <c r="K80" s="97"/>
      <c r="M80" s="97"/>
      <c r="N80" s="98"/>
      <c r="O80" s="97"/>
      <c r="P80" s="97"/>
      <c r="Q80" s="97"/>
    </row>
    <row r="81" spans="1:17" x14ac:dyDescent="0.2">
      <c r="A81" s="97">
        <v>152</v>
      </c>
      <c r="B81" s="98" t="s">
        <v>1188</v>
      </c>
      <c r="C81" s="97">
        <v>43.2</v>
      </c>
      <c r="D81" s="97">
        <v>23.5</v>
      </c>
      <c r="E81" s="97">
        <v>37.799999999999997</v>
      </c>
      <c r="G81" s="97"/>
      <c r="H81" s="101"/>
      <c r="I81" s="97"/>
      <c r="J81" s="97"/>
      <c r="K81" s="97"/>
      <c r="M81" s="97"/>
      <c r="N81" s="98"/>
      <c r="O81" s="97"/>
      <c r="P81" s="97"/>
      <c r="Q81" s="97"/>
    </row>
    <row r="82" spans="1:17" x14ac:dyDescent="0.2">
      <c r="A82" s="97">
        <v>152</v>
      </c>
      <c r="B82" s="98" t="s">
        <v>1189</v>
      </c>
      <c r="C82" s="97">
        <v>43.7</v>
      </c>
      <c r="D82" s="97">
        <v>26.3</v>
      </c>
      <c r="E82" s="97">
        <v>38.200000000000003</v>
      </c>
      <c r="G82" s="97"/>
      <c r="H82" s="101"/>
      <c r="I82" s="97"/>
      <c r="J82" s="97"/>
      <c r="K82" s="97"/>
      <c r="M82" s="97"/>
      <c r="N82" s="97"/>
      <c r="O82" s="97"/>
      <c r="P82" s="97"/>
      <c r="Q82" s="97"/>
    </row>
    <row r="83" spans="1:17" x14ac:dyDescent="0.2">
      <c r="A83" s="97">
        <v>71</v>
      </c>
      <c r="B83" s="98" t="s">
        <v>1190</v>
      </c>
      <c r="C83" s="97">
        <v>40.5</v>
      </c>
      <c r="D83" s="97">
        <v>21.7</v>
      </c>
      <c r="E83" s="97">
        <v>33.9</v>
      </c>
      <c r="G83" s="97"/>
      <c r="H83" s="101"/>
      <c r="I83" s="97"/>
      <c r="J83" s="97"/>
      <c r="K83" s="97"/>
      <c r="M83" s="97"/>
      <c r="N83" s="97"/>
      <c r="O83" s="97"/>
      <c r="P83" s="97"/>
      <c r="Q83" s="97"/>
    </row>
    <row r="84" spans="1:17" x14ac:dyDescent="0.2">
      <c r="A84" s="97">
        <v>71</v>
      </c>
      <c r="B84" s="98" t="s">
        <v>1191</v>
      </c>
      <c r="C84" s="97">
        <v>62</v>
      </c>
      <c r="D84" s="97">
        <v>28</v>
      </c>
      <c r="E84" s="97">
        <v>48.2</v>
      </c>
      <c r="G84" s="97"/>
      <c r="H84" s="101"/>
      <c r="I84" s="97"/>
      <c r="J84" s="97"/>
      <c r="K84" s="97"/>
      <c r="M84" s="97"/>
      <c r="N84" s="97"/>
      <c r="O84" s="97"/>
      <c r="P84" s="97"/>
      <c r="Q84" s="97"/>
    </row>
    <row r="85" spans="1:17" x14ac:dyDescent="0.2">
      <c r="A85" s="97" t="s">
        <v>1132</v>
      </c>
      <c r="B85" s="98" t="s">
        <v>1192</v>
      </c>
      <c r="C85" s="97">
        <v>55.3</v>
      </c>
      <c r="D85" s="97">
        <v>48.6</v>
      </c>
      <c r="E85" s="97">
        <v>30.7</v>
      </c>
      <c r="G85" s="97"/>
      <c r="H85" s="101"/>
      <c r="I85" s="97"/>
      <c r="J85" s="97"/>
      <c r="K85" s="97"/>
      <c r="M85" s="97"/>
      <c r="N85" s="97"/>
      <c r="O85" s="97"/>
      <c r="P85" s="97"/>
      <c r="Q85" s="97"/>
    </row>
    <row r="86" spans="1:17" x14ac:dyDescent="0.2">
      <c r="A86" s="97" t="s">
        <v>1132</v>
      </c>
      <c r="B86" s="98" t="s">
        <v>1193</v>
      </c>
      <c r="C86" s="97">
        <v>57.7</v>
      </c>
      <c r="D86" s="97">
        <v>29.2</v>
      </c>
      <c r="E86" s="97">
        <v>45.9</v>
      </c>
      <c r="G86" s="97"/>
      <c r="H86" s="101"/>
      <c r="I86" s="97"/>
      <c r="J86" s="97"/>
      <c r="K86" s="97"/>
      <c r="M86" s="97"/>
      <c r="N86" s="97"/>
      <c r="O86" s="97"/>
      <c r="P86" s="97"/>
      <c r="Q86" s="97"/>
    </row>
    <row r="87" spans="1:17" x14ac:dyDescent="0.2">
      <c r="A87" s="97" t="s">
        <v>1132</v>
      </c>
      <c r="B87" s="98" t="s">
        <v>1194</v>
      </c>
      <c r="C87" s="97">
        <v>54.4</v>
      </c>
      <c r="D87" s="97">
        <v>29.5</v>
      </c>
      <c r="E87" s="97">
        <v>46.4</v>
      </c>
      <c r="G87" s="97"/>
      <c r="H87" s="101"/>
      <c r="I87" s="97"/>
      <c r="J87" s="97"/>
      <c r="K87" s="97"/>
      <c r="M87" s="97"/>
      <c r="N87" s="97"/>
      <c r="O87" s="97"/>
      <c r="P87" s="97"/>
      <c r="Q87" s="97"/>
    </row>
    <row r="88" spans="1:17" x14ac:dyDescent="0.2">
      <c r="A88" s="97" t="s">
        <v>1132</v>
      </c>
      <c r="B88" s="98" t="s">
        <v>1195</v>
      </c>
      <c r="C88" s="97">
        <v>49.8</v>
      </c>
      <c r="D88" s="97">
        <v>25.5</v>
      </c>
      <c r="E88" s="97">
        <v>40.200000000000003</v>
      </c>
      <c r="G88" s="97"/>
      <c r="H88" s="101"/>
      <c r="I88" s="97"/>
      <c r="J88" s="97"/>
      <c r="K88" s="97"/>
      <c r="M88" s="97"/>
      <c r="N88" s="97"/>
      <c r="O88" s="97"/>
      <c r="P88" s="97"/>
      <c r="Q88" s="97"/>
    </row>
    <row r="89" spans="1:17" x14ac:dyDescent="0.2">
      <c r="A89" s="97" t="s">
        <v>1132</v>
      </c>
      <c r="B89" s="98" t="s">
        <v>1196</v>
      </c>
      <c r="C89" s="97">
        <v>62</v>
      </c>
      <c r="D89" s="97">
        <v>32.700000000000003</v>
      </c>
      <c r="E89" s="97">
        <v>49.9</v>
      </c>
      <c r="G89" s="97"/>
      <c r="H89" s="101"/>
      <c r="I89" s="97"/>
      <c r="J89" s="97"/>
      <c r="K89" s="97"/>
      <c r="M89" s="97"/>
      <c r="N89" s="97"/>
      <c r="O89" s="97"/>
      <c r="P89" s="97"/>
      <c r="Q89" s="97"/>
    </row>
    <row r="90" spans="1:17" x14ac:dyDescent="0.2">
      <c r="A90" s="97" t="s">
        <v>1132</v>
      </c>
      <c r="B90" s="98" t="s">
        <v>1196</v>
      </c>
      <c r="C90" s="97">
        <v>60.2</v>
      </c>
      <c r="D90" s="97">
        <v>32.299999999999997</v>
      </c>
      <c r="E90" s="97">
        <v>50.6</v>
      </c>
      <c r="G90" s="97"/>
      <c r="H90" s="101"/>
      <c r="I90" s="97"/>
      <c r="J90" s="97"/>
      <c r="K90" s="97"/>
      <c r="M90" s="97"/>
      <c r="N90" s="97"/>
      <c r="O90" s="97"/>
      <c r="P90" s="97"/>
      <c r="Q90" s="97"/>
    </row>
    <row r="91" spans="1:17" x14ac:dyDescent="0.2">
      <c r="A91" s="97" t="s">
        <v>1132</v>
      </c>
      <c r="B91" s="98" t="s">
        <v>1196</v>
      </c>
      <c r="C91" s="97">
        <v>39.700000000000003</v>
      </c>
      <c r="D91" s="97">
        <v>22.6</v>
      </c>
      <c r="E91" s="97">
        <v>33.299999999999997</v>
      </c>
      <c r="G91" s="97"/>
      <c r="H91" s="101"/>
      <c r="I91" s="97"/>
      <c r="J91" s="97"/>
      <c r="K91" s="97"/>
      <c r="M91" s="97"/>
      <c r="N91" s="97"/>
      <c r="O91" s="97"/>
      <c r="P91" s="97"/>
      <c r="Q91" s="97"/>
    </row>
    <row r="92" spans="1:17" x14ac:dyDescent="0.2">
      <c r="A92" s="97">
        <v>70</v>
      </c>
      <c r="B92" s="98" t="s">
        <v>1197</v>
      </c>
      <c r="C92" s="97">
        <v>71.5</v>
      </c>
      <c r="D92" s="97">
        <v>58.3</v>
      </c>
      <c r="E92" s="97">
        <v>37.6</v>
      </c>
      <c r="G92" s="97"/>
      <c r="H92" s="101"/>
      <c r="I92" s="97"/>
      <c r="J92" s="97"/>
      <c r="K92" s="97"/>
      <c r="M92" s="97"/>
      <c r="N92" s="97"/>
      <c r="O92" s="97"/>
      <c r="P92" s="97"/>
      <c r="Q92" s="97"/>
    </row>
    <row r="93" spans="1:17" x14ac:dyDescent="0.2">
      <c r="A93" s="97">
        <v>70</v>
      </c>
      <c r="B93" s="98" t="s">
        <v>1198</v>
      </c>
      <c r="C93" s="97">
        <v>53.8</v>
      </c>
      <c r="D93" s="97">
        <v>46.4</v>
      </c>
      <c r="E93" s="97">
        <v>29.6</v>
      </c>
      <c r="G93" s="97"/>
      <c r="H93" s="101"/>
      <c r="I93" s="97"/>
      <c r="J93" s="97"/>
      <c r="K93" s="97"/>
      <c r="M93" s="97"/>
      <c r="N93" s="97"/>
      <c r="O93" s="97"/>
      <c r="P93" s="97"/>
      <c r="Q93" s="97"/>
    </row>
    <row r="94" spans="1:17" x14ac:dyDescent="0.2">
      <c r="A94" s="97">
        <v>70</v>
      </c>
      <c r="B94" s="98" t="s">
        <v>1199</v>
      </c>
      <c r="C94" s="97">
        <v>53.2</v>
      </c>
      <c r="D94" s="97">
        <v>27.8</v>
      </c>
      <c r="E94" s="97">
        <v>45.4</v>
      </c>
      <c r="G94" s="97"/>
      <c r="H94" s="101"/>
      <c r="I94" s="97"/>
      <c r="J94" s="97"/>
      <c r="K94" s="97"/>
      <c r="M94" s="97"/>
      <c r="N94" s="97"/>
      <c r="O94" s="97"/>
      <c r="P94" s="97"/>
      <c r="Q94" s="97"/>
    </row>
    <row r="95" spans="1:17" x14ac:dyDescent="0.2">
      <c r="A95" s="97">
        <v>70</v>
      </c>
      <c r="B95" s="98" t="s">
        <v>1200</v>
      </c>
      <c r="C95" s="97">
        <v>54.4</v>
      </c>
      <c r="D95" s="97">
        <v>28.6</v>
      </c>
      <c r="E95" s="97">
        <v>46.6</v>
      </c>
      <c r="G95" s="97"/>
      <c r="H95" s="101"/>
      <c r="I95" s="97"/>
      <c r="J95" s="97"/>
      <c r="K95" s="97"/>
      <c r="M95" s="97"/>
      <c r="N95" s="97"/>
      <c r="O95" s="97"/>
      <c r="P95" s="97"/>
      <c r="Q95" s="97"/>
    </row>
    <row r="96" spans="1:17" x14ac:dyDescent="0.2">
      <c r="A96" s="100" t="s">
        <v>1143</v>
      </c>
      <c r="B96" s="98" t="s">
        <v>1201</v>
      </c>
      <c r="C96" s="97">
        <v>41.8</v>
      </c>
      <c r="D96" s="97">
        <v>23.7</v>
      </c>
      <c r="E96" s="97">
        <v>36.5</v>
      </c>
      <c r="G96" s="97"/>
      <c r="H96" s="101"/>
      <c r="I96" s="97"/>
      <c r="J96" s="97"/>
      <c r="K96" s="97"/>
      <c r="M96" s="97"/>
      <c r="N96" s="97"/>
      <c r="O96" s="97"/>
      <c r="P96" s="97"/>
      <c r="Q96" s="97"/>
    </row>
    <row r="97" spans="1:17" x14ac:dyDescent="0.2">
      <c r="A97" s="100" t="s">
        <v>1143</v>
      </c>
      <c r="B97" s="98" t="s">
        <v>1202</v>
      </c>
      <c r="C97" s="97">
        <v>47.7</v>
      </c>
      <c r="D97" s="97">
        <v>26.5</v>
      </c>
      <c r="E97" s="97">
        <v>38.6</v>
      </c>
      <c r="G97" s="97"/>
      <c r="H97" s="101"/>
      <c r="I97" s="97"/>
      <c r="J97" s="97"/>
      <c r="K97" s="97"/>
      <c r="M97" s="97"/>
      <c r="N97" s="97"/>
      <c r="O97" s="97"/>
      <c r="P97" s="97"/>
      <c r="Q97" s="97"/>
    </row>
    <row r="98" spans="1:17" x14ac:dyDescent="0.2">
      <c r="A98" s="100" t="s">
        <v>1143</v>
      </c>
      <c r="B98" s="98" t="s">
        <v>1203</v>
      </c>
      <c r="C98" s="97">
        <v>43</v>
      </c>
      <c r="D98" s="97">
        <v>26.9</v>
      </c>
      <c r="E98" s="97">
        <v>37.5</v>
      </c>
      <c r="G98" s="97"/>
      <c r="H98" s="101"/>
      <c r="I98" s="97"/>
      <c r="J98" s="97"/>
      <c r="K98" s="97"/>
      <c r="M98" s="97"/>
      <c r="N98" s="97"/>
      <c r="O98" s="97"/>
      <c r="P98" s="97"/>
      <c r="Q98" s="97"/>
    </row>
    <row r="99" spans="1:17" x14ac:dyDescent="0.2">
      <c r="A99" s="100" t="s">
        <v>1143</v>
      </c>
      <c r="B99" s="98" t="s">
        <v>1203</v>
      </c>
      <c r="C99" s="97">
        <v>43</v>
      </c>
      <c r="D99" s="97">
        <v>25.1</v>
      </c>
      <c r="E99" s="97">
        <v>36.5</v>
      </c>
      <c r="G99" s="97"/>
      <c r="H99" s="101"/>
      <c r="I99" s="97"/>
      <c r="J99" s="97"/>
      <c r="K99" s="97"/>
      <c r="M99" s="97"/>
      <c r="N99" s="97"/>
      <c r="O99" s="97"/>
      <c r="P99" s="97"/>
      <c r="Q99" s="97"/>
    </row>
    <row r="100" spans="1:17" x14ac:dyDescent="0.2">
      <c r="A100" s="100" t="s">
        <v>1143</v>
      </c>
      <c r="B100" s="98" t="s">
        <v>1147</v>
      </c>
      <c r="C100" s="97">
        <v>44.7</v>
      </c>
      <c r="D100" s="97">
        <v>28.5</v>
      </c>
      <c r="E100" s="97">
        <v>38.200000000000003</v>
      </c>
      <c r="G100" s="97"/>
      <c r="H100" s="101"/>
      <c r="I100" s="97"/>
      <c r="J100" s="97"/>
      <c r="K100" s="97"/>
      <c r="M100" s="97"/>
      <c r="N100" s="97"/>
      <c r="O100" s="97"/>
      <c r="P100" s="97"/>
      <c r="Q100" s="97"/>
    </row>
    <row r="101" spans="1:17" x14ac:dyDescent="0.2">
      <c r="A101" s="100" t="s">
        <v>1143</v>
      </c>
      <c r="B101" s="98" t="s">
        <v>1204</v>
      </c>
      <c r="C101" s="97">
        <v>52.6</v>
      </c>
      <c r="D101" s="97">
        <v>42.03</v>
      </c>
      <c r="E101" s="97">
        <v>30.73</v>
      </c>
      <c r="G101" s="97"/>
      <c r="H101" s="101"/>
      <c r="I101" s="97"/>
      <c r="J101" s="97"/>
      <c r="K101" s="97"/>
      <c r="M101" s="97"/>
      <c r="N101" s="97"/>
      <c r="O101" s="97"/>
      <c r="P101" s="97"/>
      <c r="Q101" s="97"/>
    </row>
    <row r="102" spans="1:17" x14ac:dyDescent="0.2">
      <c r="A102" s="100" t="s">
        <v>1143</v>
      </c>
      <c r="B102" s="98" t="s">
        <v>1204</v>
      </c>
      <c r="C102" s="97">
        <v>43.25</v>
      </c>
      <c r="D102" s="97">
        <v>39.68</v>
      </c>
      <c r="E102" s="97">
        <v>24.45</v>
      </c>
      <c r="G102" s="97"/>
      <c r="H102" s="101"/>
      <c r="I102" s="97"/>
      <c r="J102" s="97"/>
      <c r="K102" s="97"/>
      <c r="M102" s="97"/>
      <c r="N102" s="97"/>
      <c r="O102" s="97"/>
      <c r="P102" s="97"/>
      <c r="Q102" s="97"/>
    </row>
    <row r="103" spans="1:17" x14ac:dyDescent="0.2">
      <c r="A103" s="100" t="s">
        <v>1143</v>
      </c>
      <c r="B103" s="98" t="s">
        <v>1153</v>
      </c>
      <c r="C103" s="97">
        <v>53.4</v>
      </c>
      <c r="D103" s="97">
        <v>43.1</v>
      </c>
      <c r="E103" s="97">
        <v>30.1</v>
      </c>
      <c r="G103" s="97"/>
      <c r="H103" s="101"/>
      <c r="I103" s="97"/>
      <c r="J103" s="97"/>
      <c r="K103" s="97"/>
      <c r="M103" s="97"/>
      <c r="N103" s="97"/>
      <c r="O103" s="97"/>
      <c r="P103" s="97"/>
      <c r="Q103" s="97"/>
    </row>
    <row r="104" spans="1:17" x14ac:dyDescent="0.2">
      <c r="A104" s="100" t="s">
        <v>1143</v>
      </c>
      <c r="B104" s="98" t="s">
        <v>1159</v>
      </c>
      <c r="C104" s="97">
        <v>42.3</v>
      </c>
      <c r="D104" s="97">
        <v>35.799999999999997</v>
      </c>
      <c r="E104" s="97">
        <v>26</v>
      </c>
      <c r="G104" s="97"/>
      <c r="H104" s="101"/>
      <c r="I104" s="97"/>
      <c r="J104" s="97"/>
      <c r="K104" s="97"/>
      <c r="M104" s="97"/>
      <c r="N104" s="97"/>
      <c r="O104" s="97"/>
      <c r="P104" s="97"/>
      <c r="Q104" s="97"/>
    </row>
    <row r="105" spans="1:17" x14ac:dyDescent="0.2">
      <c r="A105" s="100" t="s">
        <v>1143</v>
      </c>
      <c r="B105" s="98" t="s">
        <v>1159</v>
      </c>
      <c r="C105" s="97">
        <v>35.1</v>
      </c>
      <c r="D105" s="97">
        <v>29.1</v>
      </c>
      <c r="E105" s="97">
        <v>19.399999999999999</v>
      </c>
      <c r="G105" s="97"/>
      <c r="H105" s="101"/>
      <c r="I105" s="97"/>
      <c r="J105" s="97"/>
      <c r="K105" s="97"/>
      <c r="M105" s="97"/>
      <c r="N105" s="97"/>
      <c r="O105" s="97"/>
      <c r="P105" s="97"/>
      <c r="Q105" s="97"/>
    </row>
    <row r="106" spans="1:17" x14ac:dyDescent="0.2">
      <c r="A106" s="100" t="s">
        <v>1143</v>
      </c>
      <c r="B106" s="98" t="s">
        <v>1205</v>
      </c>
      <c r="C106" s="97">
        <v>41.2</v>
      </c>
      <c r="D106" s="97">
        <v>35.700000000000003</v>
      </c>
      <c r="E106" s="97">
        <v>23.8</v>
      </c>
      <c r="G106" s="97"/>
      <c r="H106" s="101"/>
      <c r="I106" s="97"/>
      <c r="J106" s="97"/>
      <c r="K106" s="97"/>
      <c r="M106" s="97"/>
      <c r="N106" s="97"/>
      <c r="O106" s="97"/>
      <c r="P106" s="97"/>
      <c r="Q106" s="97"/>
    </row>
    <row r="107" spans="1:17" x14ac:dyDescent="0.2">
      <c r="A107" s="100" t="s">
        <v>1143</v>
      </c>
      <c r="B107" s="98" t="s">
        <v>1206</v>
      </c>
      <c r="C107" s="97">
        <v>52.4</v>
      </c>
      <c r="D107" s="97">
        <v>44.1</v>
      </c>
      <c r="E107" s="97">
        <v>30.1</v>
      </c>
      <c r="G107" s="97"/>
      <c r="H107" s="101"/>
      <c r="I107" s="97"/>
      <c r="J107" s="97"/>
      <c r="K107" s="97"/>
      <c r="M107" s="97"/>
      <c r="N107" s="97"/>
      <c r="O107" s="97"/>
      <c r="P107" s="97"/>
      <c r="Q107" s="97"/>
    </row>
    <row r="108" spans="1:17" x14ac:dyDescent="0.2">
      <c r="A108" s="100" t="s">
        <v>1207</v>
      </c>
      <c r="B108" s="98" t="s">
        <v>1208</v>
      </c>
      <c r="C108" s="97">
        <v>31.5</v>
      </c>
      <c r="D108" s="97">
        <v>25.5</v>
      </c>
      <c r="E108" s="97">
        <v>19.3</v>
      </c>
      <c r="G108" s="97"/>
      <c r="H108" s="101"/>
      <c r="I108" s="97"/>
      <c r="J108" s="97"/>
      <c r="K108" s="97"/>
      <c r="M108" s="97"/>
      <c r="N108" s="97"/>
      <c r="O108" s="97"/>
      <c r="P108" s="97"/>
      <c r="Q108" s="97"/>
    </row>
    <row r="109" spans="1:17" x14ac:dyDescent="0.2">
      <c r="A109" s="100" t="s">
        <v>1154</v>
      </c>
      <c r="B109" s="98" t="s">
        <v>1209</v>
      </c>
      <c r="C109" s="97">
        <v>32.799999999999997</v>
      </c>
      <c r="D109" s="97">
        <v>19.399999999999999</v>
      </c>
      <c r="E109" s="97">
        <v>27.5</v>
      </c>
      <c r="G109" s="97"/>
      <c r="H109" s="101"/>
      <c r="I109" s="97"/>
      <c r="J109" s="97"/>
      <c r="K109" s="97"/>
      <c r="M109" s="97"/>
      <c r="N109" s="97"/>
      <c r="O109" s="97"/>
      <c r="P109" s="97"/>
      <c r="Q109" s="97"/>
    </row>
    <row r="110" spans="1:17" x14ac:dyDescent="0.2">
      <c r="A110" s="100" t="s">
        <v>1157</v>
      </c>
      <c r="B110" s="98" t="s">
        <v>1176</v>
      </c>
      <c r="C110" s="97">
        <v>51.3</v>
      </c>
      <c r="D110" s="97">
        <v>27.5</v>
      </c>
      <c r="E110" s="97">
        <v>41.3</v>
      </c>
      <c r="G110" s="97"/>
      <c r="H110" s="101"/>
      <c r="I110" s="97"/>
      <c r="J110" s="97"/>
      <c r="K110" s="97"/>
      <c r="M110" s="97"/>
      <c r="N110" s="97"/>
      <c r="O110" s="97"/>
      <c r="P110" s="97"/>
      <c r="Q110" s="97"/>
    </row>
    <row r="111" spans="1:17" x14ac:dyDescent="0.2">
      <c r="A111" s="100" t="s">
        <v>1157</v>
      </c>
      <c r="B111" s="98" t="s">
        <v>1210</v>
      </c>
      <c r="C111" s="97">
        <v>52.8</v>
      </c>
      <c r="D111" s="97">
        <v>43.4</v>
      </c>
      <c r="E111" s="97">
        <v>26.5</v>
      </c>
      <c r="G111" s="97"/>
      <c r="H111" s="101"/>
      <c r="I111" s="97"/>
      <c r="J111" s="97"/>
      <c r="K111" s="97"/>
      <c r="M111" s="97"/>
      <c r="N111" s="97"/>
      <c r="O111" s="97"/>
      <c r="P111" s="97"/>
      <c r="Q111" s="97"/>
    </row>
    <row r="112" spans="1:17" x14ac:dyDescent="0.2">
      <c r="A112" s="100" t="s">
        <v>1157</v>
      </c>
      <c r="B112" s="98" t="s">
        <v>1210</v>
      </c>
      <c r="C112" s="97">
        <v>52.5</v>
      </c>
      <c r="D112" s="97">
        <v>42.9</v>
      </c>
      <c r="E112" s="97">
        <v>25.8</v>
      </c>
      <c r="G112" s="97"/>
      <c r="H112" s="101"/>
      <c r="I112" s="97"/>
      <c r="J112" s="97"/>
      <c r="K112" s="97"/>
      <c r="M112" s="97"/>
      <c r="N112" s="97"/>
      <c r="O112" s="97"/>
      <c r="P112" s="97"/>
      <c r="Q112" s="97"/>
    </row>
    <row r="113" spans="1:17" x14ac:dyDescent="0.2">
      <c r="A113" s="100" t="s">
        <v>1157</v>
      </c>
      <c r="B113" s="98" t="s">
        <v>1177</v>
      </c>
      <c r="C113" s="97">
        <v>36.799999999999997</v>
      </c>
      <c r="D113" s="97">
        <v>30.6</v>
      </c>
      <c r="E113" s="97">
        <v>18.399999999999999</v>
      </c>
      <c r="G113" s="97"/>
      <c r="H113" s="101"/>
      <c r="I113" s="97"/>
      <c r="J113" s="97"/>
      <c r="K113" s="97"/>
      <c r="M113" s="97"/>
      <c r="N113" s="97"/>
      <c r="O113" s="97"/>
      <c r="P113" s="97"/>
      <c r="Q113" s="97"/>
    </row>
    <row r="114" spans="1:17" x14ac:dyDescent="0.2">
      <c r="A114" s="100" t="s">
        <v>1163</v>
      </c>
      <c r="B114" s="98" t="s">
        <v>1211</v>
      </c>
      <c r="C114" s="97">
        <v>43.3</v>
      </c>
      <c r="D114" s="97">
        <v>37.4</v>
      </c>
      <c r="E114" s="97">
        <v>28.2</v>
      </c>
      <c r="G114" s="97"/>
      <c r="H114" s="101"/>
      <c r="I114" s="97"/>
      <c r="J114" s="97"/>
      <c r="K114" s="97"/>
      <c r="M114" s="97"/>
      <c r="N114" s="97"/>
      <c r="O114" s="97"/>
      <c r="P114" s="97"/>
      <c r="Q114" s="97"/>
    </row>
    <row r="115" spans="1:17" x14ac:dyDescent="0.2">
      <c r="A115" s="100" t="s">
        <v>1163</v>
      </c>
      <c r="B115" s="98" t="s">
        <v>1212</v>
      </c>
      <c r="C115" s="97">
        <v>39.6</v>
      </c>
      <c r="D115" s="97">
        <v>34.6</v>
      </c>
      <c r="E115" s="97">
        <v>24.9</v>
      </c>
      <c r="G115" s="97"/>
      <c r="H115" s="101"/>
      <c r="I115" s="97"/>
      <c r="J115" s="97"/>
      <c r="K115" s="97"/>
      <c r="M115" s="97"/>
      <c r="N115" s="97"/>
      <c r="O115" s="97"/>
      <c r="P115" s="97"/>
      <c r="Q115" s="97"/>
    </row>
    <row r="116" spans="1:17" x14ac:dyDescent="0.2">
      <c r="A116" s="100" t="s">
        <v>1163</v>
      </c>
      <c r="B116" s="98" t="s">
        <v>1159</v>
      </c>
      <c r="C116" s="97">
        <v>42.3</v>
      </c>
      <c r="D116" s="97">
        <v>35.299999999999997</v>
      </c>
      <c r="E116" s="97">
        <v>26</v>
      </c>
      <c r="G116" s="97"/>
      <c r="H116" s="101"/>
      <c r="I116" s="97"/>
      <c r="J116" s="97"/>
      <c r="K116" s="97"/>
      <c r="M116" s="97"/>
      <c r="N116" s="97"/>
      <c r="O116" s="97"/>
      <c r="P116" s="97"/>
      <c r="Q116" s="97"/>
    </row>
    <row r="117" spans="1:17" x14ac:dyDescent="0.2">
      <c r="A117" s="100" t="s">
        <v>1163</v>
      </c>
      <c r="B117" s="98" t="s">
        <v>1159</v>
      </c>
      <c r="C117" s="97">
        <v>35.1</v>
      </c>
      <c r="D117" s="97">
        <v>29.1</v>
      </c>
      <c r="E117" s="97">
        <v>19.399999999999999</v>
      </c>
      <c r="G117" s="97"/>
      <c r="H117" s="101"/>
      <c r="I117" s="97"/>
      <c r="J117" s="97"/>
      <c r="K117" s="97"/>
      <c r="M117" s="97"/>
      <c r="N117" s="97"/>
      <c r="O117" s="97"/>
      <c r="P117" s="97"/>
      <c r="Q117" s="97"/>
    </row>
    <row r="118" spans="1:17" x14ac:dyDescent="0.2">
      <c r="A118" s="100" t="s">
        <v>1163</v>
      </c>
      <c r="B118" s="98" t="s">
        <v>1213</v>
      </c>
      <c r="C118" s="97">
        <v>49</v>
      </c>
      <c r="D118" s="97">
        <v>40.6</v>
      </c>
      <c r="E118" s="97">
        <v>28.8</v>
      </c>
      <c r="G118" s="97"/>
      <c r="H118" s="101"/>
      <c r="I118" s="97"/>
      <c r="J118" s="97"/>
      <c r="K118" s="97"/>
      <c r="M118" s="97"/>
      <c r="N118" s="97"/>
      <c r="O118" s="97"/>
      <c r="P118" s="97"/>
      <c r="Q118" s="97"/>
    </row>
    <row r="119" spans="1:17" x14ac:dyDescent="0.2">
      <c r="A119" s="138">
        <v>2008</v>
      </c>
      <c r="B119" s="138"/>
      <c r="C119" s="138"/>
      <c r="D119" s="138"/>
      <c r="E119" s="138"/>
      <c r="G119" s="141">
        <v>2008</v>
      </c>
      <c r="H119" s="142"/>
      <c r="I119" s="142"/>
      <c r="J119" s="142"/>
      <c r="K119" s="142"/>
      <c r="M119" s="138">
        <v>2008</v>
      </c>
      <c r="N119" s="138"/>
      <c r="O119" s="138"/>
      <c r="P119" s="138"/>
      <c r="Q119" s="138"/>
    </row>
    <row r="120" spans="1:17" x14ac:dyDescent="0.2">
      <c r="A120" s="97">
        <v>71</v>
      </c>
      <c r="B120" s="98" t="s">
        <v>1214</v>
      </c>
      <c r="C120" s="97">
        <v>52.7</v>
      </c>
      <c r="D120" s="97">
        <v>43</v>
      </c>
      <c r="E120" s="97">
        <v>29.1</v>
      </c>
      <c r="G120" s="97"/>
      <c r="H120" s="101"/>
      <c r="I120" s="97"/>
      <c r="J120" s="97"/>
      <c r="K120" s="97"/>
      <c r="M120" s="97">
        <v>71</v>
      </c>
      <c r="N120" s="98" t="s">
        <v>1215</v>
      </c>
      <c r="O120" s="97">
        <v>72</v>
      </c>
      <c r="P120" s="97">
        <v>57.2</v>
      </c>
      <c r="Q120" s="97">
        <v>44.2</v>
      </c>
    </row>
    <row r="121" spans="1:17" x14ac:dyDescent="0.2">
      <c r="A121" s="97">
        <v>71</v>
      </c>
      <c r="B121" s="98" t="s">
        <v>1216</v>
      </c>
      <c r="C121" s="97">
        <v>55.4</v>
      </c>
      <c r="D121" s="97">
        <v>30.8</v>
      </c>
      <c r="E121" s="97">
        <v>48</v>
      </c>
      <c r="G121" s="97"/>
      <c r="H121" s="101"/>
      <c r="I121" s="97"/>
      <c r="J121" s="97"/>
      <c r="K121" s="97"/>
      <c r="M121" s="97">
        <v>71</v>
      </c>
      <c r="N121" s="98" t="s">
        <v>1074</v>
      </c>
      <c r="O121" s="97">
        <v>68.599999999999994</v>
      </c>
      <c r="P121" s="97">
        <v>52.7</v>
      </c>
      <c r="Q121" s="97">
        <v>35</v>
      </c>
    </row>
    <row r="122" spans="1:17" x14ac:dyDescent="0.2">
      <c r="A122" s="97">
        <v>70</v>
      </c>
      <c r="B122" s="98" t="s">
        <v>1217</v>
      </c>
      <c r="C122" s="97">
        <v>73.2</v>
      </c>
      <c r="D122" s="97">
        <v>59</v>
      </c>
      <c r="E122" s="97">
        <v>42.1</v>
      </c>
      <c r="G122" s="97"/>
      <c r="H122" s="101"/>
      <c r="I122" s="97"/>
      <c r="J122" s="97"/>
      <c r="K122" s="97"/>
      <c r="M122" s="97">
        <v>70</v>
      </c>
      <c r="N122" s="97" t="s">
        <v>1218</v>
      </c>
      <c r="O122" s="97">
        <v>77.099999999999994</v>
      </c>
      <c r="P122" s="97">
        <v>55.7</v>
      </c>
      <c r="Q122" s="97">
        <v>45</v>
      </c>
    </row>
    <row r="123" spans="1:17" x14ac:dyDescent="0.2">
      <c r="A123" s="97">
        <v>70</v>
      </c>
      <c r="B123" s="98" t="s">
        <v>1219</v>
      </c>
      <c r="C123" s="97">
        <v>76.2</v>
      </c>
      <c r="D123" s="97">
        <v>59.8</v>
      </c>
      <c r="E123" s="97">
        <v>40.6</v>
      </c>
      <c r="G123" s="97"/>
      <c r="H123" s="101"/>
      <c r="I123" s="97"/>
      <c r="J123" s="97"/>
      <c r="K123" s="97"/>
      <c r="M123" s="97">
        <v>70</v>
      </c>
      <c r="N123" s="97" t="s">
        <v>1220</v>
      </c>
      <c r="O123" s="97">
        <v>72.099999999999994</v>
      </c>
      <c r="P123" s="97">
        <v>60.2</v>
      </c>
      <c r="Q123" s="97">
        <v>39.799999999999997</v>
      </c>
    </row>
    <row r="124" spans="1:17" x14ac:dyDescent="0.2">
      <c r="A124" s="97"/>
      <c r="B124" s="97"/>
      <c r="C124" s="97"/>
      <c r="D124" s="97"/>
      <c r="E124" s="97"/>
      <c r="G124" s="97"/>
      <c r="H124" s="101"/>
      <c r="I124" s="97"/>
      <c r="J124" s="97"/>
      <c r="K124" s="97"/>
      <c r="M124" s="97">
        <v>70</v>
      </c>
      <c r="N124" s="97" t="s">
        <v>1220</v>
      </c>
      <c r="O124" s="97">
        <v>58.6</v>
      </c>
      <c r="P124" s="97">
        <v>50.3</v>
      </c>
      <c r="Q124" s="97">
        <v>35</v>
      </c>
    </row>
    <row r="125" spans="1:17" x14ac:dyDescent="0.2">
      <c r="A125" s="97"/>
      <c r="B125" s="97"/>
      <c r="C125" s="97"/>
      <c r="D125" s="97"/>
      <c r="E125" s="97"/>
      <c r="G125" s="97"/>
      <c r="H125" s="101"/>
      <c r="I125" s="97"/>
      <c r="J125" s="97"/>
      <c r="K125" s="97"/>
      <c r="M125" s="97">
        <v>70</v>
      </c>
      <c r="N125" s="97" t="s">
        <v>1221</v>
      </c>
      <c r="O125" s="97">
        <v>80.099999999999994</v>
      </c>
      <c r="P125" s="97">
        <v>56.3</v>
      </c>
      <c r="Q125" s="97">
        <v>44.6</v>
      </c>
    </row>
    <row r="126" spans="1:17" x14ac:dyDescent="0.2">
      <c r="A126" s="97"/>
      <c r="B126" s="97"/>
      <c r="C126" s="97"/>
      <c r="D126" s="97"/>
      <c r="E126" s="97"/>
      <c r="G126" s="97"/>
      <c r="H126" s="101"/>
      <c r="I126" s="97"/>
      <c r="J126" s="97"/>
      <c r="K126" s="97"/>
      <c r="M126" s="97">
        <v>70</v>
      </c>
      <c r="N126" s="97" t="s">
        <v>1222</v>
      </c>
      <c r="O126" s="97">
        <v>70.5</v>
      </c>
      <c r="P126" s="97">
        <v>39.6</v>
      </c>
      <c r="Q126" s="97">
        <v>51.6</v>
      </c>
    </row>
    <row r="127" spans="1:17" x14ac:dyDescent="0.2">
      <c r="A127" s="97"/>
      <c r="B127" s="97"/>
      <c r="C127" s="97"/>
      <c r="D127" s="97"/>
      <c r="E127" s="97"/>
      <c r="G127" s="97"/>
      <c r="H127" s="101"/>
      <c r="I127" s="97"/>
      <c r="J127" s="97"/>
      <c r="K127" s="97"/>
      <c r="M127" s="97"/>
      <c r="N127" s="97"/>
      <c r="O127" s="97"/>
      <c r="P127" s="97"/>
      <c r="Q127" s="97"/>
    </row>
    <row r="128" spans="1:17" x14ac:dyDescent="0.2">
      <c r="A128" s="97"/>
      <c r="B128" s="97"/>
      <c r="C128" s="97"/>
      <c r="D128" s="97"/>
      <c r="E128" s="97"/>
      <c r="G128" s="97"/>
      <c r="H128" s="101"/>
      <c r="I128" s="97"/>
      <c r="J128" s="97"/>
      <c r="K128" s="97"/>
      <c r="M128" s="97"/>
      <c r="N128" s="97"/>
      <c r="O128" s="97"/>
      <c r="P128" s="97"/>
      <c r="Q128" s="97"/>
    </row>
    <row r="129" spans="1:17" x14ac:dyDescent="0.2">
      <c r="A129" s="97"/>
      <c r="B129" s="97"/>
      <c r="C129" s="97"/>
      <c r="D129" s="97"/>
      <c r="E129" s="97"/>
      <c r="G129" s="97"/>
      <c r="H129" s="101"/>
      <c r="I129" s="97"/>
      <c r="J129" s="97"/>
      <c r="K129" s="97"/>
      <c r="M129" s="97"/>
      <c r="N129" s="97"/>
      <c r="O129" s="97"/>
      <c r="P129" s="97"/>
      <c r="Q129" s="97"/>
    </row>
    <row r="130" spans="1:17" x14ac:dyDescent="0.2">
      <c r="A130" s="97"/>
      <c r="B130" s="97"/>
      <c r="C130" s="97"/>
      <c r="D130" s="97"/>
      <c r="E130" s="97"/>
      <c r="G130" s="97"/>
      <c r="H130" s="101"/>
      <c r="I130" s="97"/>
      <c r="J130" s="97"/>
      <c r="K130" s="97"/>
      <c r="M130" s="97"/>
      <c r="N130" s="97"/>
      <c r="O130" s="97"/>
      <c r="P130" s="97"/>
      <c r="Q130" s="97"/>
    </row>
  </sheetData>
  <mergeCells count="33">
    <mergeCell ref="A119:E119"/>
    <mergeCell ref="G119:K119"/>
    <mergeCell ref="M119:Q119"/>
    <mergeCell ref="F1:F1048576"/>
    <mergeCell ref="L1:L1048576"/>
    <mergeCell ref="O6:O7"/>
    <mergeCell ref="P6:P7"/>
    <mergeCell ref="Q6:Q7"/>
    <mergeCell ref="A8:E8"/>
    <mergeCell ref="G8:K8"/>
    <mergeCell ref="M8:Q8"/>
    <mergeCell ref="H6:H7"/>
    <mergeCell ref="M6:M7"/>
    <mergeCell ref="N6:N7"/>
    <mergeCell ref="A36:E36"/>
    <mergeCell ref="K6:K7"/>
    <mergeCell ref="M36:Q36"/>
    <mergeCell ref="R6:R7"/>
    <mergeCell ref="G6:G7"/>
    <mergeCell ref="A6:A7"/>
    <mergeCell ref="B6:B7"/>
    <mergeCell ref="C6:C7"/>
    <mergeCell ref="D6:D7"/>
    <mergeCell ref="E6:E7"/>
    <mergeCell ref="I6:I7"/>
    <mergeCell ref="G36:K36"/>
    <mergeCell ref="J6:J7"/>
    <mergeCell ref="A1:E3"/>
    <mergeCell ref="G1:K3"/>
    <mergeCell ref="M1:Q3"/>
    <mergeCell ref="A4:E5"/>
    <mergeCell ref="G4:K5"/>
    <mergeCell ref="M4:Q5"/>
  </mergeCells>
  <pageMargins left="0.7" right="0.7" top="0.75" bottom="0.75" header="0.3" footer="0.3"/>
  <pageSetup orientation="portrait" r:id="rId1"/>
  <colBreaks count="3" manualBreakCount="3">
    <brk id="6" max="1048575" man="1"/>
    <brk id="12" max="1048575" man="1"/>
    <brk id="17" max="1048575" man="1"/>
  </colBreaks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Davidson &amp; Clem 2002,2004</vt:lpstr>
      <vt:lpstr>SRB70 13AUG08</vt:lpstr>
      <vt:lpstr>SRB71 14AUG08</vt:lpstr>
      <vt:lpstr>SRB141 Harris 2005</vt:lpstr>
      <vt:lpstr>SRB145 Harris 2005</vt:lpstr>
      <vt:lpstr>SRB146 Harris 2005</vt:lpstr>
      <vt:lpstr>SRB152 Harris 2005</vt:lpstr>
      <vt:lpstr>SRB141 2010 Original Defined</vt:lpstr>
      <vt:lpstr>SRB141 2010 Redefined</vt:lpstr>
      <vt:lpstr>SRB141 2010 Pop Est</vt:lpstr>
      <vt:lpstr>SRB145 2011 Original Defined</vt:lpstr>
      <vt:lpstr>SRB145 2011 REDEFINED</vt:lpstr>
      <vt:lpstr>SRB146 2011 Redefined</vt:lpstr>
      <vt:lpstr>SRB152 2011 Redefined</vt:lpstr>
      <vt:lpstr>SRB71 2011</vt:lpstr>
      <vt:lpstr>SRB70 2011</vt:lpstr>
      <vt:lpstr>SRB147 2011 REDEFINED</vt:lpstr>
      <vt:lpstr>SRB159B Redefined</vt:lpstr>
      <vt:lpstr>SRB159A 2011</vt:lpstr>
      <vt:lpstr>SRB159A 2022</vt:lpstr>
      <vt:lpstr>SRB143 - 2012</vt:lpstr>
      <vt:lpstr>SRB153 - 2012</vt:lpstr>
      <vt:lpstr> SRB155 - 2012</vt:lpstr>
      <vt:lpstr>SRB157 - 2012</vt:lpstr>
      <vt:lpstr>SRB158 - 2012</vt:lpstr>
      <vt:lpstr>SRB158 - 2022</vt:lpstr>
      <vt:lpstr>SRB99 - 2015</vt:lpstr>
      <vt:lpstr>SRB125 - 2015</vt:lpstr>
      <vt:lpstr>SRB131 - 2015</vt:lpstr>
      <vt:lpstr>SRB85 - 2015</vt:lpstr>
      <vt:lpstr>SRB77 - 2015</vt:lpstr>
      <vt:lpstr>SRB79 - 2015</vt:lpstr>
      <vt:lpstr>SRB56 - 2015</vt:lpstr>
      <vt:lpstr>Summary Stats</vt:lpstr>
      <vt:lpstr>P. riddellii</vt:lpstr>
      <vt:lpstr>PopEst</vt:lpstr>
      <vt:lpstr>Population Size</vt:lpstr>
      <vt:lpstr>Size Data</vt:lpstr>
      <vt:lpstr>'Davidson &amp; Clem 2002,2004'!Print_Titles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</dc:creator>
  <cp:lastModifiedBy>Davidson, Chris</cp:lastModifiedBy>
  <cp:lastPrinted>2011-12-09T15:29:47Z</cp:lastPrinted>
  <dcterms:created xsi:type="dcterms:W3CDTF">2015-03-03T16:27:20Z</dcterms:created>
  <dcterms:modified xsi:type="dcterms:W3CDTF">2026-08-14T12:46:04Z</dcterms:modified>
</cp:coreProperties>
</file>