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105" windowWidth="8235" windowHeight="11640" tabRatio="910"/>
  </bookViews>
  <sheets>
    <sheet name="Bed (Quantitative) Data" sheetId="1" r:id="rId1"/>
    <sheet name="Bed Site Data" sheetId="3" r:id="rId2"/>
    <sheet name="Site (Qualitative) Data" sheetId="7" r:id="rId3"/>
    <sheet name="Population Size Data" sheetId="32" r:id="rId4"/>
    <sheet name="Summary Stats for Entire Beds" sheetId="10" r:id="rId5"/>
    <sheet name="SRB0.0m 2014" sheetId="26" r:id="rId6"/>
    <sheet name="SRB0.5M 2014 Strat I" sheetId="24" r:id="rId7"/>
    <sheet name="SRB0.5M 2014 Strat II" sheetId="25" r:id="rId8"/>
    <sheet name="Pop Size 0.5M Strat 2" sheetId="31" r:id="rId9"/>
    <sheet name="SRB2m 2014" sheetId="23" r:id="rId10"/>
    <sheet name="SRB3M 2014 Strat 1" sheetId="27" r:id="rId11"/>
    <sheet name="SRB3M 2014 Strat 2" sheetId="22" r:id="rId12"/>
    <sheet name="SRB4m 2014" sheetId="21" r:id="rId13"/>
    <sheet name="SRB5M 2014" sheetId="20" r:id="rId14"/>
    <sheet name="SRB6M 2014 Strat 1" sheetId="12" r:id="rId15"/>
    <sheet name="SRB6M 2014 Strat 2" sheetId="13" r:id="rId16"/>
    <sheet name="SRB6.5M 2014" sheetId="14" r:id="rId17"/>
    <sheet name="SRB7M 2014" sheetId="15" r:id="rId18"/>
    <sheet name="SRB7.5M 2014" sheetId="16" r:id="rId19"/>
    <sheet name="SRB8M 2014" sheetId="17" r:id="rId20"/>
    <sheet name="SRB9m 2014" sheetId="18" r:id="rId21"/>
    <sheet name="SRB10M 2014" sheetId="9" r:id="rId22"/>
    <sheet name="Population Size" sheetId="11" r:id="rId23"/>
    <sheet name="Summary Stats for Each Species" sheetId="28" r:id="rId24"/>
    <sheet name="Measurements" sheetId="4" r:id="rId25"/>
    <sheet name="Statistics" sheetId="5" r:id="rId26"/>
  </sheets>
  <calcPr calcId="145621"/>
</workbook>
</file>

<file path=xl/calcChain.xml><?xml version="1.0" encoding="utf-8"?>
<calcChain xmlns="http://schemas.openxmlformats.org/spreadsheetml/2006/main">
  <c r="S36" i="1" l="1"/>
  <c r="AZ41" i="10" l="1"/>
  <c r="AZ40" i="10"/>
  <c r="AZ39" i="10"/>
  <c r="AZ38" i="10"/>
  <c r="AZ37" i="10"/>
  <c r="AZ36" i="10"/>
  <c r="AZ7" i="10"/>
  <c r="AN9" i="10" l="1"/>
  <c r="AN8" i="10"/>
  <c r="AN7" i="10"/>
  <c r="AN4" i="10"/>
  <c r="AN6" i="10"/>
  <c r="BL39" i="10"/>
  <c r="BL38" i="10"/>
  <c r="BL37" i="10"/>
  <c r="BL36" i="10"/>
  <c r="BL35" i="10"/>
  <c r="BL34" i="10"/>
  <c r="I4" i="11" l="1"/>
  <c r="F4" i="11"/>
  <c r="G4" i="11" s="1"/>
  <c r="H4" i="11" s="1"/>
  <c r="AN5" i="10" l="1"/>
  <c r="F3" i="31"/>
  <c r="F8" i="31" s="1"/>
  <c r="BX792" i="28"/>
  <c r="BX791" i="28"/>
  <c r="BX790" i="28"/>
  <c r="BX789" i="28"/>
  <c r="BX788" i="28"/>
  <c r="BX787" i="28"/>
  <c r="BX763" i="28"/>
  <c r="BX762" i="28"/>
  <c r="BX761" i="28"/>
  <c r="BX760" i="28"/>
  <c r="BX759" i="28"/>
  <c r="BX758" i="28"/>
  <c r="BX734" i="28"/>
  <c r="BX733" i="28"/>
  <c r="BX732" i="28"/>
  <c r="BX731" i="28"/>
  <c r="BX730" i="28"/>
  <c r="BX729" i="28"/>
  <c r="BX705" i="28"/>
  <c r="BX704" i="28"/>
  <c r="BX703" i="28"/>
  <c r="BX702" i="28"/>
  <c r="BX701" i="28"/>
  <c r="BX700" i="28"/>
  <c r="BX676" i="28"/>
  <c r="BX675" i="28"/>
  <c r="BX674" i="28"/>
  <c r="BX673" i="28"/>
  <c r="BX672" i="28"/>
  <c r="BX671" i="28"/>
  <c r="BX647" i="28"/>
  <c r="BX646" i="28"/>
  <c r="BX645" i="28"/>
  <c r="BX644" i="28"/>
  <c r="BX643" i="28"/>
  <c r="BX642" i="28"/>
  <c r="BX618" i="28"/>
  <c r="BX617" i="28"/>
  <c r="BX616" i="28"/>
  <c r="BX615" i="28"/>
  <c r="BX614" i="28"/>
  <c r="BX613" i="28"/>
  <c r="BX589" i="28"/>
  <c r="BX588" i="28"/>
  <c r="BX587" i="28"/>
  <c r="BX586" i="28"/>
  <c r="BX585" i="28"/>
  <c r="BX584" i="28"/>
  <c r="BX560" i="28"/>
  <c r="BX559" i="28"/>
  <c r="BX558" i="28"/>
  <c r="BX557" i="28"/>
  <c r="BX556" i="28"/>
  <c r="BX555" i="28"/>
  <c r="BX531" i="28"/>
  <c r="BX530" i="28"/>
  <c r="BX529" i="28"/>
  <c r="BX528" i="28"/>
  <c r="BX527" i="28"/>
  <c r="BX526" i="28"/>
  <c r="BX502" i="28"/>
  <c r="BX501" i="28"/>
  <c r="BX500" i="28"/>
  <c r="BX499" i="28"/>
  <c r="BX498" i="28"/>
  <c r="BX497" i="28"/>
  <c r="BX473" i="28"/>
  <c r="BX472" i="28"/>
  <c r="BX471" i="28"/>
  <c r="BX470" i="28"/>
  <c r="BX469" i="28"/>
  <c r="BX468" i="28"/>
  <c r="BX444" i="28"/>
  <c r="BX443" i="28"/>
  <c r="BX442" i="28"/>
  <c r="BX441" i="28"/>
  <c r="BX440" i="28"/>
  <c r="BX439" i="28"/>
  <c r="BX415" i="28"/>
  <c r="BX414" i="28"/>
  <c r="BX413" i="28"/>
  <c r="BX412" i="28"/>
  <c r="BX411" i="28"/>
  <c r="BX410" i="28"/>
  <c r="BX386" i="28"/>
  <c r="BX385" i="28"/>
  <c r="BX384" i="28"/>
  <c r="BX383" i="28"/>
  <c r="BX382" i="28"/>
  <c r="BX381" i="28"/>
  <c r="BX357" i="28"/>
  <c r="BX356" i="28"/>
  <c r="BX355" i="28"/>
  <c r="BX354" i="28"/>
  <c r="BX353" i="28"/>
  <c r="BX352" i="28"/>
  <c r="BX328" i="28"/>
  <c r="BX327" i="28"/>
  <c r="BX326" i="28"/>
  <c r="BX325" i="28"/>
  <c r="BX324" i="28"/>
  <c r="BX323" i="28"/>
  <c r="BX299" i="28"/>
  <c r="BX298" i="28"/>
  <c r="BX297" i="28"/>
  <c r="BX296" i="28"/>
  <c r="BX295" i="28"/>
  <c r="BX294" i="28"/>
  <c r="BX270" i="28"/>
  <c r="BX269" i="28"/>
  <c r="BX268" i="28"/>
  <c r="BX267" i="28"/>
  <c r="BX266" i="28"/>
  <c r="BX265" i="28"/>
  <c r="BX241" i="28"/>
  <c r="BX240" i="28"/>
  <c r="BX239" i="28"/>
  <c r="BX238" i="28"/>
  <c r="BX237" i="28"/>
  <c r="BX236" i="28"/>
  <c r="BX212" i="28"/>
  <c r="BX211" i="28"/>
  <c r="BX210" i="28"/>
  <c r="BX209" i="28"/>
  <c r="BX208" i="28"/>
  <c r="BX207" i="28"/>
  <c r="BX183" i="28"/>
  <c r="BX182" i="28"/>
  <c r="BX181" i="28"/>
  <c r="BX180" i="28"/>
  <c r="BX179" i="28"/>
  <c r="BX178" i="28"/>
  <c r="BX154" i="28"/>
  <c r="BX153" i="28"/>
  <c r="BX152" i="28"/>
  <c r="BX151" i="28"/>
  <c r="BX150" i="28"/>
  <c r="BX149" i="28"/>
  <c r="BX125" i="28"/>
  <c r="BX124" i="28"/>
  <c r="BX123" i="28"/>
  <c r="BX122" i="28"/>
  <c r="BX121" i="28"/>
  <c r="BX120" i="28"/>
  <c r="BX96" i="28"/>
  <c r="BX95" i="28"/>
  <c r="BX94" i="28"/>
  <c r="BX93" i="28"/>
  <c r="BX92" i="28"/>
  <c r="BX91" i="28"/>
  <c r="BX67" i="28"/>
  <c r="BX66" i="28"/>
  <c r="BX65" i="28"/>
  <c r="BX64" i="28"/>
  <c r="BX63" i="28"/>
  <c r="BX62" i="28"/>
  <c r="BX38" i="28"/>
  <c r="BX37" i="28"/>
  <c r="BX36" i="28"/>
  <c r="BX35" i="28"/>
  <c r="BX34" i="28"/>
  <c r="BX33" i="28"/>
  <c r="B38" i="17"/>
  <c r="C38" i="17"/>
  <c r="D38" i="17"/>
  <c r="BR354" i="28"/>
  <c r="BR353" i="28"/>
  <c r="BR352" i="28"/>
  <c r="BR351" i="28"/>
  <c r="BR350" i="28"/>
  <c r="BR349" i="28"/>
  <c r="BR331" i="28"/>
  <c r="BR330" i="28"/>
  <c r="BR329" i="28"/>
  <c r="BR328" i="28"/>
  <c r="BR327" i="28"/>
  <c r="BR326" i="28"/>
  <c r="BR303" i="28"/>
  <c r="BR308" i="28"/>
  <c r="BR307" i="28"/>
  <c r="BR306" i="28"/>
  <c r="BR305" i="28"/>
  <c r="BR304" i="28"/>
  <c r="BR285" i="28"/>
  <c r="BR284" i="28"/>
  <c r="BR283" i="28"/>
  <c r="BR282" i="28"/>
  <c r="BR281" i="28"/>
  <c r="BR280" i="28"/>
  <c r="BR262" i="28"/>
  <c r="BR261" i="28"/>
  <c r="BR260" i="28"/>
  <c r="BR259" i="28"/>
  <c r="BR258" i="28"/>
  <c r="BR257" i="28"/>
  <c r="BR239" i="28"/>
  <c r="BR238" i="28"/>
  <c r="BR237" i="28"/>
  <c r="BR236" i="28"/>
  <c r="BR235" i="28"/>
  <c r="BR234" i="28"/>
  <c r="BR216" i="28"/>
  <c r="BR215" i="28"/>
  <c r="BR214" i="28"/>
  <c r="BR213" i="28"/>
  <c r="BR212" i="28"/>
  <c r="BR211" i="28"/>
  <c r="BR193" i="28"/>
  <c r="BR192" i="28"/>
  <c r="BR191" i="28"/>
  <c r="BR190" i="28"/>
  <c r="BR189" i="28"/>
  <c r="BR188" i="28"/>
  <c r="BR170" i="28"/>
  <c r="BR169" i="28"/>
  <c r="BR168" i="28"/>
  <c r="BR167" i="28"/>
  <c r="BR166" i="28"/>
  <c r="BR165" i="28"/>
  <c r="BR147" i="28"/>
  <c r="BR146" i="28"/>
  <c r="BR145" i="28"/>
  <c r="BR144" i="28"/>
  <c r="BR143" i="28"/>
  <c r="BR142" i="28"/>
  <c r="BR124" i="28"/>
  <c r="BR123" i="28"/>
  <c r="BR122" i="28"/>
  <c r="BR121" i="28"/>
  <c r="BR120" i="28"/>
  <c r="BR119" i="28"/>
  <c r="BR101" i="28"/>
  <c r="BR100" i="28"/>
  <c r="BR99" i="28"/>
  <c r="BR98" i="28"/>
  <c r="BR97" i="28"/>
  <c r="BR96" i="28"/>
  <c r="BR78" i="28"/>
  <c r="BR77" i="28"/>
  <c r="BR76" i="28"/>
  <c r="BR75" i="28"/>
  <c r="BR74" i="28"/>
  <c r="BR73" i="28"/>
  <c r="BR55" i="28"/>
  <c r="BR54" i="28"/>
  <c r="BR53" i="28"/>
  <c r="BR52" i="28"/>
  <c r="BR51" i="28"/>
  <c r="BR50" i="28"/>
  <c r="BR32" i="28"/>
  <c r="BR31" i="28"/>
  <c r="BR30" i="28"/>
  <c r="BR29" i="28"/>
  <c r="BR28" i="28"/>
  <c r="BR27" i="28"/>
  <c r="BR9" i="28"/>
  <c r="BR8" i="28"/>
  <c r="BR7" i="28"/>
  <c r="BR6" i="28"/>
  <c r="BR5" i="28"/>
  <c r="BR4" i="28"/>
  <c r="BX4" i="28"/>
  <c r="BL249" i="28"/>
  <c r="BL248" i="28"/>
  <c r="BL247" i="28"/>
  <c r="BL246" i="28"/>
  <c r="BL245" i="28"/>
  <c r="BL244" i="28"/>
  <c r="BL233" i="28"/>
  <c r="BL232" i="28"/>
  <c r="BL231" i="28"/>
  <c r="BL230" i="28"/>
  <c r="BL229" i="28"/>
  <c r="BL228" i="28"/>
  <c r="BL217" i="28"/>
  <c r="BL216" i="28"/>
  <c r="BL215" i="28"/>
  <c r="BL214" i="28"/>
  <c r="BL213" i="28"/>
  <c r="BL212" i="28"/>
  <c r="BL201" i="28"/>
  <c r="BL200" i="28"/>
  <c r="BL199" i="28"/>
  <c r="BL198" i="28"/>
  <c r="BL197" i="28"/>
  <c r="BL196" i="28"/>
  <c r="BL185" i="28"/>
  <c r="BL184" i="28"/>
  <c r="BL183" i="28"/>
  <c r="BL182" i="28"/>
  <c r="BL181" i="28"/>
  <c r="BL180" i="28"/>
  <c r="BL169" i="28"/>
  <c r="BL168" i="28"/>
  <c r="BL167" i="28"/>
  <c r="BL166" i="28"/>
  <c r="BL165" i="28"/>
  <c r="BL164" i="28"/>
  <c r="BL153" i="28"/>
  <c r="BL152" i="28"/>
  <c r="BL151" i="28"/>
  <c r="BL150" i="28"/>
  <c r="BL149" i="28"/>
  <c r="BL148" i="28"/>
  <c r="BL137" i="28"/>
  <c r="BL136" i="28"/>
  <c r="BL135" i="28"/>
  <c r="BL134" i="28"/>
  <c r="BL133" i="28"/>
  <c r="BL132" i="28"/>
  <c r="BL121" i="28"/>
  <c r="BL120" i="28"/>
  <c r="BL119" i="28"/>
  <c r="BL118" i="28"/>
  <c r="BL117" i="28"/>
  <c r="BL116" i="28"/>
  <c r="BL105" i="28"/>
  <c r="BL104" i="28"/>
  <c r="BL103" i="28"/>
  <c r="BL102" i="28"/>
  <c r="BL101" i="28"/>
  <c r="BL100" i="28"/>
  <c r="BL89" i="28"/>
  <c r="BL88" i="28"/>
  <c r="BL87" i="28"/>
  <c r="BL86" i="28"/>
  <c r="BL85" i="28"/>
  <c r="BL84" i="28"/>
  <c r="BL73" i="28"/>
  <c r="BL72" i="28"/>
  <c r="BL71" i="28"/>
  <c r="BL70" i="28"/>
  <c r="BL69" i="28"/>
  <c r="BL68" i="28"/>
  <c r="BL57" i="28"/>
  <c r="BL56" i="28"/>
  <c r="BL55" i="28"/>
  <c r="BL54" i="28"/>
  <c r="BL53" i="28"/>
  <c r="BL52" i="28"/>
  <c r="BL41" i="28"/>
  <c r="BL40" i="28"/>
  <c r="BL39" i="28"/>
  <c r="BL38" i="28"/>
  <c r="BL37" i="28"/>
  <c r="BL36" i="28"/>
  <c r="BL25" i="28"/>
  <c r="BL24" i="28"/>
  <c r="BL23" i="28"/>
  <c r="BL22" i="28"/>
  <c r="BL21" i="28"/>
  <c r="BL20" i="28"/>
  <c r="BL9" i="28"/>
  <c r="BL8" i="28"/>
  <c r="BL7" i="28"/>
  <c r="BL6" i="28"/>
  <c r="BL5" i="28"/>
  <c r="BL4" i="28"/>
  <c r="BF213" i="28"/>
  <c r="BF212" i="28"/>
  <c r="BF211" i="28"/>
  <c r="BF210" i="28"/>
  <c r="BF209" i="28"/>
  <c r="BF208" i="28"/>
  <c r="BF196" i="28"/>
  <c r="BF195" i="28"/>
  <c r="BF194" i="28"/>
  <c r="BF193" i="28"/>
  <c r="BF192" i="28"/>
  <c r="BF191" i="28"/>
  <c r="BF179" i="28"/>
  <c r="BF178" i="28"/>
  <c r="BF177" i="28"/>
  <c r="BF176" i="28"/>
  <c r="BF175" i="28"/>
  <c r="BF174" i="28"/>
  <c r="BF162" i="28"/>
  <c r="BF161" i="28"/>
  <c r="BF160" i="28"/>
  <c r="BF159" i="28"/>
  <c r="BF158" i="28"/>
  <c r="BF157" i="28"/>
  <c r="BF145" i="28"/>
  <c r="BF144" i="28"/>
  <c r="BF143" i="28"/>
  <c r="BF142" i="28"/>
  <c r="BF141" i="28"/>
  <c r="BF140" i="28"/>
  <c r="BF128" i="28"/>
  <c r="BF127" i="28"/>
  <c r="BF126" i="28"/>
  <c r="BF125" i="28"/>
  <c r="BF124" i="28"/>
  <c r="BF123" i="28"/>
  <c r="BF111" i="28"/>
  <c r="BF110" i="28"/>
  <c r="BF109" i="28"/>
  <c r="BF108" i="28"/>
  <c r="BF107" i="28"/>
  <c r="BF106" i="28"/>
  <c r="BF94" i="28"/>
  <c r="BF93" i="28"/>
  <c r="BF92" i="28"/>
  <c r="BF91" i="28"/>
  <c r="BF90" i="28"/>
  <c r="BF89" i="28"/>
  <c r="BF77" i="28"/>
  <c r="BF76" i="28"/>
  <c r="BF75" i="28"/>
  <c r="BF74" i="28"/>
  <c r="BF73" i="28"/>
  <c r="BF72" i="28"/>
  <c r="BF60" i="28"/>
  <c r="BF59" i="28"/>
  <c r="BF58" i="28"/>
  <c r="BF57" i="28"/>
  <c r="BF56" i="28"/>
  <c r="BF55" i="28"/>
  <c r="BF38" i="28"/>
  <c r="BF43" i="28"/>
  <c r="BF42" i="28"/>
  <c r="BF41" i="28"/>
  <c r="BF40" i="28"/>
  <c r="BF39" i="28"/>
  <c r="BF26" i="28"/>
  <c r="BF25" i="28"/>
  <c r="BF24" i="28"/>
  <c r="BF23" i="28"/>
  <c r="BF22" i="28"/>
  <c r="BF21" i="28"/>
  <c r="BF9" i="28"/>
  <c r="BF8" i="28"/>
  <c r="BF7" i="28"/>
  <c r="BF6" i="28"/>
  <c r="BF5" i="28"/>
  <c r="BF4" i="28"/>
  <c r="AZ229" i="28"/>
  <c r="AZ228" i="28"/>
  <c r="AZ227" i="28"/>
  <c r="AZ226" i="28"/>
  <c r="AZ225" i="28"/>
  <c r="AZ224" i="28"/>
  <c r="AZ204" i="28"/>
  <c r="AZ209" i="28"/>
  <c r="AZ208" i="28"/>
  <c r="AZ207" i="28"/>
  <c r="AZ206" i="28"/>
  <c r="AZ205" i="28"/>
  <c r="AZ184" i="28"/>
  <c r="AZ189" i="28"/>
  <c r="AZ188" i="28"/>
  <c r="AZ187" i="28"/>
  <c r="AZ186" i="28"/>
  <c r="AZ185" i="28"/>
  <c r="AZ169" i="28"/>
  <c r="AZ168" i="28"/>
  <c r="AZ167" i="28"/>
  <c r="AZ166" i="28"/>
  <c r="AZ165" i="28"/>
  <c r="AZ164" i="28"/>
  <c r="AZ149" i="28"/>
  <c r="AZ148" i="28"/>
  <c r="AZ147" i="28"/>
  <c r="AZ146" i="28"/>
  <c r="AZ145" i="28"/>
  <c r="AZ144" i="28"/>
  <c r="AZ129" i="28"/>
  <c r="AZ128" i="28"/>
  <c r="AZ127" i="28"/>
  <c r="AZ126" i="28"/>
  <c r="AZ125" i="28"/>
  <c r="AZ124" i="28"/>
  <c r="AZ109" i="28"/>
  <c r="AZ108" i="28"/>
  <c r="AZ107" i="28"/>
  <c r="AZ106" i="28"/>
  <c r="AZ105" i="28"/>
  <c r="AZ104" i="28"/>
  <c r="AZ89" i="28"/>
  <c r="AZ88" i="28"/>
  <c r="AZ87" i="28"/>
  <c r="AZ86" i="28"/>
  <c r="AZ85" i="28"/>
  <c r="AZ84" i="28"/>
  <c r="AZ69" i="28"/>
  <c r="AZ68" i="28"/>
  <c r="AZ67" i="28"/>
  <c r="AZ66" i="28"/>
  <c r="AZ65" i="28"/>
  <c r="AZ64" i="28"/>
  <c r="AZ49" i="28"/>
  <c r="AZ48" i="28"/>
  <c r="AZ47" i="28"/>
  <c r="AZ46" i="28"/>
  <c r="AZ45" i="28"/>
  <c r="AZ44" i="28"/>
  <c r="AZ29" i="28"/>
  <c r="AZ28" i="28"/>
  <c r="AZ27" i="28"/>
  <c r="AZ26" i="28"/>
  <c r="AZ25" i="28"/>
  <c r="AZ24" i="28"/>
  <c r="AZ9" i="28"/>
  <c r="AZ8" i="28"/>
  <c r="AZ7" i="28"/>
  <c r="AZ6" i="28"/>
  <c r="AZ5" i="28"/>
  <c r="AZ4" i="28"/>
  <c r="AT177" i="28"/>
  <c r="AT176" i="28"/>
  <c r="AT175" i="28"/>
  <c r="AT174" i="28"/>
  <c r="AT173" i="28"/>
  <c r="AT172" i="28"/>
  <c r="AT163" i="28"/>
  <c r="AT162" i="28"/>
  <c r="AT161" i="28"/>
  <c r="AT160" i="28"/>
  <c r="AT159" i="28"/>
  <c r="AT158" i="28"/>
  <c r="AT149" i="28"/>
  <c r="AT148" i="28"/>
  <c r="AT147" i="28"/>
  <c r="AT146" i="28"/>
  <c r="AT145" i="28"/>
  <c r="AT144" i="28"/>
  <c r="AT135" i="28"/>
  <c r="AT134" i="28"/>
  <c r="AT133" i="28"/>
  <c r="AT132" i="28"/>
  <c r="AT131" i="28"/>
  <c r="AT130" i="28"/>
  <c r="AT121" i="28"/>
  <c r="AT120" i="28"/>
  <c r="AT119" i="28"/>
  <c r="AT118" i="28"/>
  <c r="AT117" i="28"/>
  <c r="AT116" i="28"/>
  <c r="AT107" i="28"/>
  <c r="AT106" i="28"/>
  <c r="AT105" i="28"/>
  <c r="AT104" i="28"/>
  <c r="AT103" i="28"/>
  <c r="AT102" i="28"/>
  <c r="AT93" i="28"/>
  <c r="AT92" i="28"/>
  <c r="AT91" i="28"/>
  <c r="AT90" i="28"/>
  <c r="AT89" i="28"/>
  <c r="AT88" i="28"/>
  <c r="AT79" i="28"/>
  <c r="AT78" i="28"/>
  <c r="AT77" i="28"/>
  <c r="AT76" i="28"/>
  <c r="AT75" i="28"/>
  <c r="AT74" i="28"/>
  <c r="AT65" i="28"/>
  <c r="AT64" i="28"/>
  <c r="AT63" i="28"/>
  <c r="AT62" i="28"/>
  <c r="AT61" i="28"/>
  <c r="AT60" i="28"/>
  <c r="AT51" i="28"/>
  <c r="AT50" i="28"/>
  <c r="AT49" i="28"/>
  <c r="AT48" i="28"/>
  <c r="AT47" i="28"/>
  <c r="AT46" i="28"/>
  <c r="AT37" i="28"/>
  <c r="AT36" i="28"/>
  <c r="AT35" i="28"/>
  <c r="AT34" i="28"/>
  <c r="AT33" i="28"/>
  <c r="AT32" i="28"/>
  <c r="AT23" i="28"/>
  <c r="AT22" i="28"/>
  <c r="AT21" i="28"/>
  <c r="AT20" i="28"/>
  <c r="AT19" i="28"/>
  <c r="AT18" i="28"/>
  <c r="AT9" i="28"/>
  <c r="AT8" i="28"/>
  <c r="AT7" i="28"/>
  <c r="AT6" i="28"/>
  <c r="AT5" i="28"/>
  <c r="AT4" i="28"/>
  <c r="AN243" i="28"/>
  <c r="AN242" i="28"/>
  <c r="AN241" i="28"/>
  <c r="AN240" i="28"/>
  <c r="AN239" i="28"/>
  <c r="AN238" i="28"/>
  <c r="AN225" i="28"/>
  <c r="AN224" i="28"/>
  <c r="AN223" i="28"/>
  <c r="AN222" i="28"/>
  <c r="AN221" i="28"/>
  <c r="AN220" i="28"/>
  <c r="AN207" i="28"/>
  <c r="AN206" i="28"/>
  <c r="AN205" i="28"/>
  <c r="AN204" i="28"/>
  <c r="AN203" i="28"/>
  <c r="AN202" i="28"/>
  <c r="AN189" i="28"/>
  <c r="AN188" i="28"/>
  <c r="AN187" i="28"/>
  <c r="AN186" i="28"/>
  <c r="AN185" i="28"/>
  <c r="AN184" i="28"/>
  <c r="AN171" i="28"/>
  <c r="AN170" i="28"/>
  <c r="AN169" i="28"/>
  <c r="AN168" i="28"/>
  <c r="AN167" i="28"/>
  <c r="AN166" i="28"/>
  <c r="AN151" i="28"/>
  <c r="AN153" i="28"/>
  <c r="AN152" i="28"/>
  <c r="AN150" i="28"/>
  <c r="AN149" i="28"/>
  <c r="AN148" i="28"/>
  <c r="AN135" i="28"/>
  <c r="AN134" i="28"/>
  <c r="AN133" i="28"/>
  <c r="AN132" i="28"/>
  <c r="AN131" i="28"/>
  <c r="AN130" i="28"/>
  <c r="AN117" i="28"/>
  <c r="AN116" i="28"/>
  <c r="AN115" i="28"/>
  <c r="AN114" i="28"/>
  <c r="AN113" i="28"/>
  <c r="AN112" i="28"/>
  <c r="AN99" i="28"/>
  <c r="AN98" i="28"/>
  <c r="AN97" i="28"/>
  <c r="AN96" i="28"/>
  <c r="AN95" i="28"/>
  <c r="AN94" i="28"/>
  <c r="AN81" i="28"/>
  <c r="AN80" i="28"/>
  <c r="AN79" i="28"/>
  <c r="AN78" i="28"/>
  <c r="AN77" i="28"/>
  <c r="AN76" i="28"/>
  <c r="AN63" i="28"/>
  <c r="AN62" i="28"/>
  <c r="AN61" i="28"/>
  <c r="AN60" i="28"/>
  <c r="AN59" i="28"/>
  <c r="AN58" i="28"/>
  <c r="AN45" i="28"/>
  <c r="AN44" i="28"/>
  <c r="AN43" i="28"/>
  <c r="AN42" i="28"/>
  <c r="AN41" i="28"/>
  <c r="AN40" i="28"/>
  <c r="AN27" i="28"/>
  <c r="AN26" i="28"/>
  <c r="AN25" i="28"/>
  <c r="AN24" i="28"/>
  <c r="AN23" i="28"/>
  <c r="AN22" i="28"/>
  <c r="AN9" i="28"/>
  <c r="AN8" i="28"/>
  <c r="AN7" i="28"/>
  <c r="AN6" i="28"/>
  <c r="AN5" i="28"/>
  <c r="AN4" i="28"/>
  <c r="AH676" i="28"/>
  <c r="AH675" i="28"/>
  <c r="AH674" i="28"/>
  <c r="AH673" i="28"/>
  <c r="AH672" i="28"/>
  <c r="AH671" i="28"/>
  <c r="AH647" i="28"/>
  <c r="AH646" i="28"/>
  <c r="AH645" i="28"/>
  <c r="AH644" i="28"/>
  <c r="AH643" i="28"/>
  <c r="AH642" i="28"/>
  <c r="AH613" i="28"/>
  <c r="AH618" i="28"/>
  <c r="AH617" i="28"/>
  <c r="AH616" i="28"/>
  <c r="AH615" i="28"/>
  <c r="AH614" i="28"/>
  <c r="AH589" i="28"/>
  <c r="AH588" i="28"/>
  <c r="AH587" i="28"/>
  <c r="AH586" i="28"/>
  <c r="AH585" i="28"/>
  <c r="AH584" i="28"/>
  <c r="AH560" i="28"/>
  <c r="AH559" i="28"/>
  <c r="AH558" i="28"/>
  <c r="AH557" i="28"/>
  <c r="AH556" i="28"/>
  <c r="AH555" i="28"/>
  <c r="AH531" i="28"/>
  <c r="AH530" i="28"/>
  <c r="AH529" i="28"/>
  <c r="AH528" i="28"/>
  <c r="AH527" i="28"/>
  <c r="AH526" i="28"/>
  <c r="AH502" i="28"/>
  <c r="AH501" i="28"/>
  <c r="AH500" i="28"/>
  <c r="AH499" i="28"/>
  <c r="AH498" i="28"/>
  <c r="AH497" i="28"/>
  <c r="AH473" i="28"/>
  <c r="AH472" i="28"/>
  <c r="AH471" i="28"/>
  <c r="AH470" i="28"/>
  <c r="AH469" i="28"/>
  <c r="AH468" i="28"/>
  <c r="AH444" i="28"/>
  <c r="AH443" i="28"/>
  <c r="AH442" i="28"/>
  <c r="AH441" i="28"/>
  <c r="AH440" i="28"/>
  <c r="AH439" i="28"/>
  <c r="AH415" i="28"/>
  <c r="AH414" i="28"/>
  <c r="AH413" i="28"/>
  <c r="AH412" i="28"/>
  <c r="AH411" i="28"/>
  <c r="AH410" i="28"/>
  <c r="AH386" i="28"/>
  <c r="AH385" i="28"/>
  <c r="AH384" i="28"/>
  <c r="AH383" i="28"/>
  <c r="AH382" i="28"/>
  <c r="AH381" i="28"/>
  <c r="AH357" i="28"/>
  <c r="AH356" i="28"/>
  <c r="AH355" i="28"/>
  <c r="AH354" i="28"/>
  <c r="AH353" i="28"/>
  <c r="AH352" i="28"/>
  <c r="AH328" i="28"/>
  <c r="AH327" i="28"/>
  <c r="AH326" i="28"/>
  <c r="AH325" i="28"/>
  <c r="AH324" i="28"/>
  <c r="AH323" i="28"/>
  <c r="AH299" i="28"/>
  <c r="AH298" i="28"/>
  <c r="AH297" i="28"/>
  <c r="AH296" i="28"/>
  <c r="AH295" i="28"/>
  <c r="AH294" i="28"/>
  <c r="AH270" i="28"/>
  <c r="AH269" i="28"/>
  <c r="AH268" i="28"/>
  <c r="AH267" i="28"/>
  <c r="AH266" i="28"/>
  <c r="AH265" i="28"/>
  <c r="AH241" i="28"/>
  <c r="AH240" i="28"/>
  <c r="AH239" i="28"/>
  <c r="AH238" i="28"/>
  <c r="AH237" i="28"/>
  <c r="AH236" i="28"/>
  <c r="AH212" i="28"/>
  <c r="AH211" i="28"/>
  <c r="AH210" i="28"/>
  <c r="AH209" i="28"/>
  <c r="AH208" i="28"/>
  <c r="AH207" i="28"/>
  <c r="AH183" i="28"/>
  <c r="AH182" i="28"/>
  <c r="AH181" i="28"/>
  <c r="AH180" i="28"/>
  <c r="AH179" i="28"/>
  <c r="AH178" i="28"/>
  <c r="AH154" i="28"/>
  <c r="AH153" i="28"/>
  <c r="AH152" i="28"/>
  <c r="AH151" i="28"/>
  <c r="AH150" i="28"/>
  <c r="AH149" i="28"/>
  <c r="AH125" i="28"/>
  <c r="AH124" i="28"/>
  <c r="AH123" i="28"/>
  <c r="AH122" i="28"/>
  <c r="AH121" i="28"/>
  <c r="AH120" i="28"/>
  <c r="AH96" i="28"/>
  <c r="AH95" i="28"/>
  <c r="AH94" i="28"/>
  <c r="AH93" i="28"/>
  <c r="AH92" i="28"/>
  <c r="AH91" i="28"/>
  <c r="AH67" i="28"/>
  <c r="AH66" i="28"/>
  <c r="AH65" i="28"/>
  <c r="AH64" i="28"/>
  <c r="AH63" i="28"/>
  <c r="AH62" i="28"/>
  <c r="AH38" i="28"/>
  <c r="AH37" i="28"/>
  <c r="AH36" i="28"/>
  <c r="AH35" i="28"/>
  <c r="AH34" i="28"/>
  <c r="AH33" i="28"/>
  <c r="AH9" i="28"/>
  <c r="AH8" i="28"/>
  <c r="AH7" i="28"/>
  <c r="AH6" i="28"/>
  <c r="AH5" i="28"/>
  <c r="AH4" i="28"/>
  <c r="AB132" i="28"/>
  <c r="AB130" i="28"/>
  <c r="AB135" i="28"/>
  <c r="AB134" i="28"/>
  <c r="AB133" i="28"/>
  <c r="AB131" i="28"/>
  <c r="AB121" i="28"/>
  <c r="AB120" i="28"/>
  <c r="AB119" i="28"/>
  <c r="AB118" i="28"/>
  <c r="AB117" i="28"/>
  <c r="AB116" i="28"/>
  <c r="AB107" i="28"/>
  <c r="AB106" i="28"/>
  <c r="AB105" i="28"/>
  <c r="AB104" i="28"/>
  <c r="AB103" i="28"/>
  <c r="AB102" i="28"/>
  <c r="AB93" i="28"/>
  <c r="AB92" i="28"/>
  <c r="AB91" i="28"/>
  <c r="AB90" i="28"/>
  <c r="AB89" i="28"/>
  <c r="AB88" i="28"/>
  <c r="AB79" i="28"/>
  <c r="AB78" i="28"/>
  <c r="AB77" i="28"/>
  <c r="AB76" i="28"/>
  <c r="AB75" i="28"/>
  <c r="AB74" i="28"/>
  <c r="AB60" i="28"/>
  <c r="AB65" i="28"/>
  <c r="AB64" i="28"/>
  <c r="AB63" i="28"/>
  <c r="AB62" i="28"/>
  <c r="AB61" i="28"/>
  <c r="AB51" i="28"/>
  <c r="AB50" i="28"/>
  <c r="AB49" i="28"/>
  <c r="AB48" i="28"/>
  <c r="AB47" i="28"/>
  <c r="AB46" i="28"/>
  <c r="AB33" i="28"/>
  <c r="AB37" i="28"/>
  <c r="AB36" i="28"/>
  <c r="AB35" i="28"/>
  <c r="AB34" i="28"/>
  <c r="AB32" i="28"/>
  <c r="AB23" i="28"/>
  <c r="AB22" i="28"/>
  <c r="AB21" i="28"/>
  <c r="AB20" i="28"/>
  <c r="AB19" i="28"/>
  <c r="AB18" i="28"/>
  <c r="AB9" i="28"/>
  <c r="AB8" i="28"/>
  <c r="AB7" i="28"/>
  <c r="AB6" i="28"/>
  <c r="AB5" i="28"/>
  <c r="AB4" i="28"/>
  <c r="V400" i="28"/>
  <c r="V405" i="28"/>
  <c r="V404" i="28"/>
  <c r="V403" i="28"/>
  <c r="V402" i="28"/>
  <c r="V401" i="28"/>
  <c r="V383" i="28"/>
  <c r="V382" i="28"/>
  <c r="V381" i="28"/>
  <c r="V380" i="28"/>
  <c r="V379" i="28"/>
  <c r="V378" i="28"/>
  <c r="V361" i="28"/>
  <c r="V360" i="28"/>
  <c r="V359" i="28"/>
  <c r="V358" i="28"/>
  <c r="V357" i="28"/>
  <c r="V356" i="28"/>
  <c r="V339" i="28"/>
  <c r="V338" i="28"/>
  <c r="V337" i="28"/>
  <c r="V336" i="28"/>
  <c r="V335" i="28"/>
  <c r="V334" i="28"/>
  <c r="V312" i="28"/>
  <c r="V317" i="28"/>
  <c r="V316" i="28"/>
  <c r="V315" i="28"/>
  <c r="V314" i="28"/>
  <c r="V313" i="28"/>
  <c r="V295" i="28"/>
  <c r="V294" i="28"/>
  <c r="V293" i="28"/>
  <c r="V292" i="28"/>
  <c r="V291" i="28"/>
  <c r="V290" i="28"/>
  <c r="V273" i="28"/>
  <c r="V272" i="28"/>
  <c r="V271" i="28"/>
  <c r="V270" i="28"/>
  <c r="V269" i="28"/>
  <c r="V268" i="28"/>
  <c r="V251" i="28"/>
  <c r="V250" i="28"/>
  <c r="V249" i="28"/>
  <c r="V248" i="28"/>
  <c r="V247" i="28"/>
  <c r="V246" i="28"/>
  <c r="V229" i="28"/>
  <c r="V228" i="28"/>
  <c r="V227" i="28"/>
  <c r="V226" i="28"/>
  <c r="V225" i="28"/>
  <c r="V224" i="28"/>
  <c r="V207" i="28"/>
  <c r="V206" i="28"/>
  <c r="V205" i="28"/>
  <c r="V204" i="28"/>
  <c r="V203" i="28"/>
  <c r="V202" i="28"/>
  <c r="V185" i="28"/>
  <c r="V184" i="28"/>
  <c r="V183" i="28"/>
  <c r="V182" i="28"/>
  <c r="V181" i="28"/>
  <c r="V180" i="28"/>
  <c r="V163" i="28"/>
  <c r="V162" i="28"/>
  <c r="V161" i="28"/>
  <c r="V160" i="28"/>
  <c r="V159" i="28"/>
  <c r="V158" i="28"/>
  <c r="V141" i="28"/>
  <c r="V140" i="28"/>
  <c r="V139" i="28"/>
  <c r="V138" i="28"/>
  <c r="V137" i="28"/>
  <c r="V136" i="28"/>
  <c r="V119" i="28"/>
  <c r="V118" i="28"/>
  <c r="V117" i="28"/>
  <c r="V116" i="28"/>
  <c r="V115" i="28"/>
  <c r="V114" i="28"/>
  <c r="V97" i="28"/>
  <c r="V96" i="28"/>
  <c r="V95" i="28"/>
  <c r="V94" i="28"/>
  <c r="V93" i="28"/>
  <c r="V92" i="28"/>
  <c r="V75" i="28"/>
  <c r="V74" i="28"/>
  <c r="V73" i="28"/>
  <c r="V72" i="28"/>
  <c r="V71" i="28"/>
  <c r="V70" i="28"/>
  <c r="V53" i="28"/>
  <c r="V52" i="28"/>
  <c r="V51" i="28"/>
  <c r="V50" i="28"/>
  <c r="V49" i="28"/>
  <c r="V48" i="28"/>
  <c r="V31" i="28"/>
  <c r="V30" i="28"/>
  <c r="V29" i="28"/>
  <c r="V28" i="28"/>
  <c r="V27" i="28"/>
  <c r="V26" i="28"/>
  <c r="V6" i="28"/>
  <c r="V9" i="28"/>
  <c r="V8" i="28"/>
  <c r="V7" i="28"/>
  <c r="V5" i="28"/>
  <c r="V4" i="28"/>
  <c r="J23" i="28"/>
  <c r="J22" i="28"/>
  <c r="J21" i="28"/>
  <c r="J20" i="28"/>
  <c r="J19" i="28"/>
  <c r="J18" i="28"/>
  <c r="J37" i="28"/>
  <c r="J36" i="28"/>
  <c r="J35" i="28"/>
  <c r="J34" i="28"/>
  <c r="J33" i="28"/>
  <c r="J32" i="28"/>
  <c r="J51" i="28"/>
  <c r="J50" i="28"/>
  <c r="J49" i="28"/>
  <c r="J48" i="28"/>
  <c r="J47" i="28"/>
  <c r="J46" i="28"/>
  <c r="J65" i="28"/>
  <c r="J64" i="28"/>
  <c r="J63" i="28"/>
  <c r="J62" i="28"/>
  <c r="J61" i="28"/>
  <c r="J60" i="28"/>
  <c r="J79" i="28"/>
  <c r="J78" i="28"/>
  <c r="J77" i="28"/>
  <c r="J76" i="28"/>
  <c r="J75" i="28"/>
  <c r="J74" i="28"/>
  <c r="J107" i="28"/>
  <c r="J106" i="28"/>
  <c r="J105" i="28"/>
  <c r="J104" i="28"/>
  <c r="J103" i="28"/>
  <c r="J102" i="28"/>
  <c r="J121" i="28"/>
  <c r="J120" i="28"/>
  <c r="J119" i="28"/>
  <c r="J118" i="28"/>
  <c r="J117" i="28"/>
  <c r="J116" i="28"/>
  <c r="J135" i="28"/>
  <c r="J134" i="28"/>
  <c r="J133" i="28"/>
  <c r="J132" i="28"/>
  <c r="J131" i="28"/>
  <c r="J130" i="28"/>
  <c r="J147" i="28"/>
  <c r="J149" i="28"/>
  <c r="J148" i="28"/>
  <c r="J146" i="28"/>
  <c r="J145" i="28"/>
  <c r="J144" i="28"/>
  <c r="J163" i="28"/>
  <c r="J162" i="28"/>
  <c r="J161" i="28"/>
  <c r="J160" i="28"/>
  <c r="J159" i="28"/>
  <c r="J158" i="28"/>
  <c r="J177" i="28"/>
  <c r="J176" i="28"/>
  <c r="J175" i="28"/>
  <c r="J174" i="28"/>
  <c r="J173" i="28"/>
  <c r="J172" i="28"/>
  <c r="J191" i="28"/>
  <c r="J190" i="28"/>
  <c r="J189" i="28"/>
  <c r="J188" i="28"/>
  <c r="J187" i="28"/>
  <c r="J186" i="28"/>
  <c r="P139" i="28"/>
  <c r="P138" i="28"/>
  <c r="P137" i="28"/>
  <c r="P136" i="28"/>
  <c r="P135" i="28"/>
  <c r="P134" i="28"/>
  <c r="P129" i="28"/>
  <c r="P128" i="28"/>
  <c r="P127" i="28"/>
  <c r="P126" i="28"/>
  <c r="P125" i="28"/>
  <c r="P124" i="28"/>
  <c r="P119" i="28"/>
  <c r="P118" i="28"/>
  <c r="P117" i="28"/>
  <c r="P116" i="28"/>
  <c r="P115" i="28"/>
  <c r="P114" i="28"/>
  <c r="P109" i="28"/>
  <c r="P108" i="28"/>
  <c r="P107" i="28"/>
  <c r="P106" i="28"/>
  <c r="P105" i="28"/>
  <c r="P104" i="28"/>
  <c r="P99" i="28"/>
  <c r="P98" i="28"/>
  <c r="P97" i="28"/>
  <c r="P96" i="28"/>
  <c r="P95" i="28"/>
  <c r="P94" i="28"/>
  <c r="P84" i="28"/>
  <c r="P89" i="28"/>
  <c r="P88" i="28"/>
  <c r="P87" i="28"/>
  <c r="P86" i="28"/>
  <c r="P85" i="28"/>
  <c r="P74" i="28"/>
  <c r="P79" i="28"/>
  <c r="P78" i="28"/>
  <c r="P77" i="28"/>
  <c r="P76" i="28"/>
  <c r="P75" i="28"/>
  <c r="P64" i="28"/>
  <c r="P69" i="28"/>
  <c r="P68" i="28"/>
  <c r="P67" i="28"/>
  <c r="P66" i="28"/>
  <c r="P65" i="28"/>
  <c r="P59" i="28"/>
  <c r="P58" i="28"/>
  <c r="P57" i="28"/>
  <c r="P56" i="28"/>
  <c r="P55" i="28"/>
  <c r="P54" i="28"/>
  <c r="P49" i="28"/>
  <c r="P48" i="28"/>
  <c r="P47" i="28"/>
  <c r="P46" i="28"/>
  <c r="P45" i="28"/>
  <c r="P44" i="28"/>
  <c r="P34" i="28"/>
  <c r="P39" i="28"/>
  <c r="P38" i="28"/>
  <c r="P37" i="28"/>
  <c r="P36" i="28"/>
  <c r="P35" i="28"/>
  <c r="P29" i="28"/>
  <c r="P28" i="28"/>
  <c r="P27" i="28"/>
  <c r="P26" i="28"/>
  <c r="P25" i="28"/>
  <c r="P24" i="28"/>
  <c r="P14" i="28"/>
  <c r="P19" i="28"/>
  <c r="P18" i="28"/>
  <c r="P17" i="28"/>
  <c r="P16" i="28"/>
  <c r="P15" i="28"/>
  <c r="P9" i="28"/>
  <c r="P8" i="28"/>
  <c r="P7" i="28"/>
  <c r="P6" i="28"/>
  <c r="P4" i="28"/>
  <c r="P5" i="28"/>
  <c r="J93" i="28"/>
  <c r="J92" i="28"/>
  <c r="J91" i="28"/>
  <c r="J90" i="28"/>
  <c r="J89" i="28"/>
  <c r="J88" i="28"/>
  <c r="J9" i="28"/>
  <c r="J8" i="28"/>
  <c r="J7" i="28"/>
  <c r="J5" i="28"/>
  <c r="J4" i="28"/>
  <c r="J6" i="28"/>
  <c r="D39" i="28"/>
  <c r="D38" i="28"/>
  <c r="D37" i="28"/>
  <c r="D36" i="28"/>
  <c r="D35" i="28"/>
  <c r="D34" i="28"/>
  <c r="D29" i="28"/>
  <c r="D28" i="28"/>
  <c r="D27" i="28"/>
  <c r="D26" i="28"/>
  <c r="D25" i="28"/>
  <c r="D24" i="28"/>
  <c r="D14" i="28"/>
  <c r="D15" i="28"/>
  <c r="D16" i="28"/>
  <c r="D19" i="28"/>
  <c r="D18" i="28"/>
  <c r="D17" i="28"/>
  <c r="D9" i="28"/>
  <c r="D8" i="28"/>
  <c r="D7" i="28"/>
  <c r="D6" i="28"/>
  <c r="D5" i="28"/>
  <c r="D4" i="28"/>
  <c r="BX9" i="28"/>
  <c r="BX8" i="28"/>
  <c r="BX7" i="28"/>
  <c r="BX6" i="28"/>
  <c r="BX5" i="28"/>
  <c r="G3" i="31" l="1"/>
  <c r="I3" i="31"/>
  <c r="J38" i="1"/>
  <c r="AN64" i="10"/>
  <c r="AN63" i="10"/>
  <c r="AN62" i="10"/>
  <c r="AN61" i="10"/>
  <c r="AN60" i="10"/>
  <c r="AN59" i="10"/>
  <c r="AB57" i="10"/>
  <c r="AB56" i="10"/>
  <c r="AB55" i="10"/>
  <c r="AB54" i="10"/>
  <c r="AB53" i="10"/>
  <c r="AB52" i="10"/>
  <c r="AN37" i="10"/>
  <c r="AH23" i="10"/>
  <c r="AB35" i="10"/>
  <c r="AN36" i="10"/>
  <c r="AH22" i="10"/>
  <c r="AB34" i="10"/>
  <c r="AN35" i="10"/>
  <c r="AH21" i="10"/>
  <c r="AB33" i="10"/>
  <c r="AN34" i="10"/>
  <c r="AH20" i="10"/>
  <c r="AB32" i="10"/>
  <c r="AN33" i="10"/>
  <c r="AH19" i="10"/>
  <c r="AB31" i="10"/>
  <c r="AN32" i="10"/>
  <c r="AH18" i="10"/>
  <c r="AB30" i="10"/>
  <c r="BL15" i="10"/>
  <c r="BL5" i="10"/>
  <c r="BF5" i="10"/>
  <c r="AZ23" i="10"/>
  <c r="AZ6" i="10"/>
  <c r="AT5" i="10"/>
  <c r="BX9" i="10"/>
  <c r="BX8" i="10"/>
  <c r="BX7" i="10"/>
  <c r="BX6" i="10"/>
  <c r="BX5" i="10"/>
  <c r="BX4" i="10"/>
  <c r="BR7" i="10"/>
  <c r="BR6" i="10"/>
  <c r="BR5" i="10"/>
  <c r="BR9" i="10"/>
  <c r="BR8" i="10"/>
  <c r="BR4" i="10"/>
  <c r="BL18" i="10"/>
  <c r="BL17" i="10"/>
  <c r="BL16" i="10"/>
  <c r="BL14" i="10"/>
  <c r="BL13" i="10"/>
  <c r="BF9" i="10"/>
  <c r="BF8" i="10"/>
  <c r="BF7" i="10"/>
  <c r="BF6" i="10"/>
  <c r="BF4" i="10"/>
  <c r="AZ4" i="10"/>
  <c r="AZ24" i="10"/>
  <c r="AZ21" i="10"/>
  <c r="AT9" i="10"/>
  <c r="AT7" i="10"/>
  <c r="AT6" i="10"/>
  <c r="AT4" i="10"/>
  <c r="Q38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" i="1"/>
  <c r="P38" i="1"/>
  <c r="C38" i="25"/>
  <c r="B38" i="25"/>
  <c r="O38" i="1"/>
  <c r="N38" i="1"/>
  <c r="F40" i="23"/>
  <c r="M38" i="1"/>
  <c r="L38" i="1"/>
  <c r="C38" i="22"/>
  <c r="D38" i="22"/>
  <c r="E38" i="22"/>
  <c r="F38" i="22"/>
  <c r="B38" i="22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25" i="27"/>
  <c r="AA24" i="27"/>
  <c r="AA23" i="27"/>
  <c r="AA22" i="27"/>
  <c r="AA21" i="27"/>
  <c r="AA20" i="27"/>
  <c r="AA19" i="27"/>
  <c r="AA18" i="27"/>
  <c r="AA17" i="27"/>
  <c r="AA16" i="27"/>
  <c r="AA15" i="27"/>
  <c r="AA14" i="27"/>
  <c r="AA13" i="27"/>
  <c r="AA12" i="27"/>
  <c r="AA11" i="27"/>
  <c r="AA10" i="27"/>
  <c r="AA9" i="27"/>
  <c r="AA8" i="27"/>
  <c r="AA7" i="27"/>
  <c r="AA6" i="27"/>
  <c r="AA5" i="27"/>
  <c r="AA4" i="27"/>
  <c r="AA3" i="27"/>
  <c r="AA38" i="27" s="1"/>
  <c r="K38" i="1"/>
  <c r="K38" i="21"/>
  <c r="Z38" i="20"/>
  <c r="Z38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25" i="26"/>
  <c r="AA24" i="26"/>
  <c r="AA23" i="26"/>
  <c r="AA22" i="26"/>
  <c r="AA21" i="26"/>
  <c r="AA20" i="26"/>
  <c r="AA19" i="26"/>
  <c r="AA18" i="26"/>
  <c r="AA17" i="26"/>
  <c r="AA16" i="26"/>
  <c r="AA15" i="26"/>
  <c r="AA14" i="26"/>
  <c r="AA13" i="26"/>
  <c r="AA12" i="26"/>
  <c r="AA11" i="26"/>
  <c r="AA10" i="26"/>
  <c r="AA9" i="26"/>
  <c r="AA8" i="26"/>
  <c r="AA7" i="26"/>
  <c r="AA6" i="26"/>
  <c r="AA5" i="26"/>
  <c r="AA4" i="26"/>
  <c r="AA3" i="26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25" i="25"/>
  <c r="AA24" i="25"/>
  <c r="AA23" i="25"/>
  <c r="AA22" i="25"/>
  <c r="AA21" i="25"/>
  <c r="AA20" i="25"/>
  <c r="AA19" i="25"/>
  <c r="AA18" i="25"/>
  <c r="AA17" i="25"/>
  <c r="AA16" i="25"/>
  <c r="AA15" i="25"/>
  <c r="AA14" i="25"/>
  <c r="AA13" i="25"/>
  <c r="AA12" i="25"/>
  <c r="AA11" i="25"/>
  <c r="AA10" i="25"/>
  <c r="AA9" i="25"/>
  <c r="AA8" i="25"/>
  <c r="AA7" i="25"/>
  <c r="AA6" i="25"/>
  <c r="AA5" i="25"/>
  <c r="AA4" i="25"/>
  <c r="AA38" i="25" s="1"/>
  <c r="AA3" i="25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25" i="24"/>
  <c r="AA24" i="24"/>
  <c r="AA23" i="24"/>
  <c r="AA22" i="24"/>
  <c r="AA21" i="24"/>
  <c r="AA20" i="24"/>
  <c r="AA19" i="24"/>
  <c r="AA18" i="24"/>
  <c r="AA17" i="24"/>
  <c r="AA16" i="24"/>
  <c r="AA15" i="24"/>
  <c r="AA14" i="24"/>
  <c r="AA13" i="24"/>
  <c r="AA12" i="24"/>
  <c r="AA11" i="24"/>
  <c r="AA10" i="24"/>
  <c r="AA9" i="24"/>
  <c r="AA8" i="24"/>
  <c r="AA7" i="24"/>
  <c r="AA6" i="24"/>
  <c r="AA5" i="24"/>
  <c r="AA4" i="24"/>
  <c r="AA3" i="24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25" i="23"/>
  <c r="AA24" i="23"/>
  <c r="AA23" i="23"/>
  <c r="AA22" i="23"/>
  <c r="AA21" i="23"/>
  <c r="AA20" i="23"/>
  <c r="AA19" i="23"/>
  <c r="AA18" i="23"/>
  <c r="AA17" i="23"/>
  <c r="AA16" i="23"/>
  <c r="AA15" i="23"/>
  <c r="AA14" i="23"/>
  <c r="AA13" i="23"/>
  <c r="AA12" i="23"/>
  <c r="AA11" i="23"/>
  <c r="AA10" i="23"/>
  <c r="AA9" i="23"/>
  <c r="AA8" i="23"/>
  <c r="AA7" i="23"/>
  <c r="AA6" i="23"/>
  <c r="AA5" i="23"/>
  <c r="AA4" i="23"/>
  <c r="AA3" i="23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25" i="22"/>
  <c r="AA24" i="22"/>
  <c r="AA23" i="22"/>
  <c r="AA22" i="22"/>
  <c r="AA21" i="22"/>
  <c r="AA20" i="22"/>
  <c r="AA19" i="22"/>
  <c r="AA18" i="22"/>
  <c r="AA17" i="22"/>
  <c r="AA16" i="22"/>
  <c r="AA15" i="22"/>
  <c r="AA14" i="22"/>
  <c r="AA13" i="22"/>
  <c r="AA12" i="22"/>
  <c r="AA11" i="22"/>
  <c r="AA10" i="22"/>
  <c r="AA9" i="22"/>
  <c r="AA8" i="22"/>
  <c r="AA7" i="22"/>
  <c r="AA6" i="22"/>
  <c r="AA5" i="22"/>
  <c r="AA4" i="22"/>
  <c r="AA3" i="22"/>
  <c r="Y38" i="21"/>
  <c r="Z38" i="21"/>
  <c r="Y38" i="20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J38" i="21"/>
  <c r="I38" i="21"/>
  <c r="H38" i="21"/>
  <c r="G38" i="21"/>
  <c r="F38" i="21"/>
  <c r="E38" i="21"/>
  <c r="D38" i="21"/>
  <c r="C38" i="21"/>
  <c r="B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25" i="21"/>
  <c r="AA24" i="21"/>
  <c r="AA23" i="21"/>
  <c r="AA22" i="21"/>
  <c r="AA21" i="21"/>
  <c r="AA20" i="21"/>
  <c r="AA19" i="21"/>
  <c r="AA18" i="21"/>
  <c r="AA17" i="21"/>
  <c r="AA16" i="21"/>
  <c r="AA15" i="21"/>
  <c r="AA14" i="21"/>
  <c r="AA13" i="21"/>
  <c r="AA12" i="21"/>
  <c r="AA11" i="21"/>
  <c r="AA10" i="21"/>
  <c r="AA9" i="21"/>
  <c r="AA8" i="21"/>
  <c r="AA7" i="21"/>
  <c r="AA6" i="21"/>
  <c r="AA5" i="21"/>
  <c r="AA4" i="21"/>
  <c r="AA3" i="21"/>
  <c r="AA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25" i="20"/>
  <c r="AA24" i="20"/>
  <c r="AA23" i="20"/>
  <c r="AA22" i="20"/>
  <c r="AA21" i="20"/>
  <c r="AA20" i="20"/>
  <c r="AA19" i="20"/>
  <c r="AA18" i="20"/>
  <c r="AA17" i="20"/>
  <c r="AA16" i="20"/>
  <c r="AA15" i="20"/>
  <c r="AA14" i="20"/>
  <c r="AA13" i="20"/>
  <c r="AA12" i="20"/>
  <c r="AA6" i="20"/>
  <c r="AA3" i="20"/>
  <c r="AA4" i="20"/>
  <c r="AA5" i="20"/>
  <c r="AA7" i="20"/>
  <c r="AA9" i="20"/>
  <c r="AA10" i="20"/>
  <c r="AA11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I8" i="31" l="1"/>
  <c r="J3" i="31" s="1"/>
  <c r="H3" i="31"/>
  <c r="H8" i="31" s="1"/>
  <c r="D10" i="31" s="1"/>
  <c r="G8" i="31"/>
  <c r="AB5" i="27"/>
  <c r="AB7" i="27"/>
  <c r="AB9" i="27"/>
  <c r="AB11" i="27"/>
  <c r="AB13" i="27"/>
  <c r="AB15" i="27"/>
  <c r="AB17" i="27"/>
  <c r="AB19" i="27"/>
  <c r="AB21" i="27"/>
  <c r="AB23" i="27"/>
  <c r="AB25" i="27"/>
  <c r="AB27" i="27"/>
  <c r="AB29" i="27"/>
  <c r="AB31" i="27"/>
  <c r="AB33" i="27"/>
  <c r="AB35" i="27"/>
  <c r="AB37" i="27"/>
  <c r="AB4" i="27"/>
  <c r="AB6" i="27"/>
  <c r="AB8" i="27"/>
  <c r="AB10" i="27"/>
  <c r="AB12" i="27"/>
  <c r="AB14" i="27"/>
  <c r="AB16" i="27"/>
  <c r="AB18" i="27"/>
  <c r="AB20" i="27"/>
  <c r="AB22" i="27"/>
  <c r="AB24" i="27"/>
  <c r="AB26" i="27"/>
  <c r="AB28" i="27"/>
  <c r="AB30" i="27"/>
  <c r="AB32" i="27"/>
  <c r="AB34" i="27"/>
  <c r="AB36" i="27"/>
  <c r="AB3" i="27"/>
  <c r="AB38" i="27" s="1"/>
  <c r="AA38" i="26"/>
  <c r="AB5" i="26" s="1"/>
  <c r="AB5" i="25"/>
  <c r="AA38" i="24"/>
  <c r="AB5" i="24" s="1"/>
  <c r="AA38" i="23"/>
  <c r="AB5" i="23" s="1"/>
  <c r="AA38" i="22"/>
  <c r="AB5" i="22" s="1"/>
  <c r="AA38" i="21"/>
  <c r="AB5" i="21" s="1"/>
  <c r="AA38" i="20"/>
  <c r="AB5" i="20" s="1"/>
  <c r="AH9" i="10"/>
  <c r="AB7" i="10"/>
  <c r="AB8" i="10"/>
  <c r="V8" i="10"/>
  <c r="D7" i="10"/>
  <c r="J7" i="10"/>
  <c r="J25" i="10"/>
  <c r="P9" i="10"/>
  <c r="P8" i="10"/>
  <c r="P7" i="10"/>
  <c r="P6" i="10"/>
  <c r="P5" i="10"/>
  <c r="P4" i="10"/>
  <c r="V4" i="10"/>
  <c r="D4" i="10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J27" i="10"/>
  <c r="J26" i="10"/>
  <c r="J24" i="10"/>
  <c r="J23" i="10"/>
  <c r="J22" i="10"/>
  <c r="J9" i="10"/>
  <c r="J8" i="10"/>
  <c r="J6" i="10"/>
  <c r="J5" i="10"/>
  <c r="J4" i="10"/>
  <c r="B38" i="1"/>
  <c r="C38" i="1"/>
  <c r="D38" i="1"/>
  <c r="E38" i="1"/>
  <c r="F38" i="1"/>
  <c r="AA4" i="17"/>
  <c r="AA5" i="17"/>
  <c r="AA6" i="17"/>
  <c r="AA7" i="17"/>
  <c r="AA8" i="17"/>
  <c r="AA9" i="17"/>
  <c r="AA10" i="17"/>
  <c r="AA11" i="17"/>
  <c r="AA12" i="17"/>
  <c r="AA13" i="17"/>
  <c r="AA14" i="17"/>
  <c r="AA15" i="17"/>
  <c r="AA16" i="17"/>
  <c r="AA17" i="17"/>
  <c r="AA18" i="17"/>
  <c r="AA19" i="17"/>
  <c r="AA20" i="17"/>
  <c r="AA21" i="17"/>
  <c r="AA22" i="17"/>
  <c r="AA23" i="17"/>
  <c r="AA24" i="17"/>
  <c r="AA25" i="17"/>
  <c r="AA26" i="17"/>
  <c r="AA27" i="17"/>
  <c r="AA28" i="17"/>
  <c r="AA29" i="17"/>
  <c r="AA30" i="17"/>
  <c r="AA31" i="17"/>
  <c r="AA32" i="17"/>
  <c r="AA33" i="17"/>
  <c r="AA34" i="17"/>
  <c r="AA35" i="17"/>
  <c r="AA36" i="17"/>
  <c r="AA37" i="17"/>
  <c r="AA3" i="17"/>
  <c r="I38" i="1"/>
  <c r="H38" i="1"/>
  <c r="G38" i="1"/>
  <c r="AA4" i="14"/>
  <c r="AA5" i="14"/>
  <c r="AA6" i="14"/>
  <c r="AA7" i="14"/>
  <c r="AA8" i="14"/>
  <c r="AA9" i="14"/>
  <c r="AA10" i="14"/>
  <c r="AA11" i="14"/>
  <c r="AA12" i="14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30" i="14"/>
  <c r="AA29" i="14"/>
  <c r="AA31" i="14"/>
  <c r="AA32" i="14"/>
  <c r="AA33" i="14"/>
  <c r="AA34" i="14"/>
  <c r="AA35" i="14"/>
  <c r="AA36" i="14"/>
  <c r="AA37" i="14"/>
  <c r="AA3" i="14"/>
  <c r="X38" i="9"/>
  <c r="Y38" i="9"/>
  <c r="Z38" i="9"/>
  <c r="AA5" i="9"/>
  <c r="AA6" i="9"/>
  <c r="AA7" i="9"/>
  <c r="AA8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" i="9"/>
  <c r="AA37" i="18"/>
  <c r="AA36" i="18"/>
  <c r="AA35" i="18"/>
  <c r="AA34" i="18"/>
  <c r="AA33" i="18"/>
  <c r="AA32" i="18"/>
  <c r="AA31" i="18"/>
  <c r="AA29" i="18"/>
  <c r="AA30" i="18"/>
  <c r="AA28" i="18"/>
  <c r="AA27" i="18"/>
  <c r="AA26" i="18"/>
  <c r="AA25" i="18"/>
  <c r="AA24" i="18"/>
  <c r="AA23" i="18"/>
  <c r="AA22" i="18"/>
  <c r="AA21" i="18"/>
  <c r="AA20" i="18"/>
  <c r="AA19" i="18"/>
  <c r="AA18" i="18"/>
  <c r="AA17" i="18"/>
  <c r="AA16" i="18"/>
  <c r="AA15" i="18"/>
  <c r="AA14" i="18"/>
  <c r="AA13" i="18"/>
  <c r="AA12" i="18"/>
  <c r="AA11" i="18"/>
  <c r="AA10" i="18"/>
  <c r="AA9" i="18"/>
  <c r="AA8" i="18"/>
  <c r="AA7" i="18"/>
  <c r="AA6" i="18"/>
  <c r="AA5" i="18"/>
  <c r="AA4" i="18"/>
  <c r="AA3" i="18"/>
  <c r="AA38" i="18" s="1"/>
  <c r="AB38" i="18" s="1"/>
  <c r="AA38" i="17"/>
  <c r="AA37" i="16"/>
  <c r="AA36" i="16"/>
  <c r="AA35" i="16"/>
  <c r="AA34" i="16"/>
  <c r="AA33" i="16"/>
  <c r="AA32" i="16"/>
  <c r="AA31" i="16"/>
  <c r="AA29" i="16"/>
  <c r="AA30" i="16"/>
  <c r="AA28" i="16"/>
  <c r="AA27" i="16"/>
  <c r="AA26" i="16"/>
  <c r="AA25" i="16"/>
  <c r="AA24" i="16"/>
  <c r="AA23" i="16"/>
  <c r="AA22" i="16"/>
  <c r="AA21" i="16"/>
  <c r="AA20" i="16"/>
  <c r="AA19" i="16"/>
  <c r="AA18" i="16"/>
  <c r="AA17" i="16"/>
  <c r="AA16" i="16"/>
  <c r="AA15" i="16"/>
  <c r="AA14" i="16"/>
  <c r="AA13" i="16"/>
  <c r="AA12" i="16"/>
  <c r="AA11" i="16"/>
  <c r="AA10" i="16"/>
  <c r="AA9" i="16"/>
  <c r="AA8" i="16"/>
  <c r="AA7" i="16"/>
  <c r="AA6" i="16"/>
  <c r="AA5" i="16"/>
  <c r="AA4" i="16"/>
  <c r="AA3" i="16"/>
  <c r="AA37" i="15"/>
  <c r="AA36" i="15"/>
  <c r="AA35" i="15"/>
  <c r="AA34" i="15"/>
  <c r="AA33" i="15"/>
  <c r="AA32" i="15"/>
  <c r="AA31" i="15"/>
  <c r="AA29" i="15"/>
  <c r="AA30" i="15"/>
  <c r="AA28" i="15"/>
  <c r="AA27" i="15"/>
  <c r="AA26" i="15"/>
  <c r="AA25" i="15"/>
  <c r="AA24" i="15"/>
  <c r="AA23" i="15"/>
  <c r="AA22" i="15"/>
  <c r="AA21" i="15"/>
  <c r="AA20" i="15"/>
  <c r="AA19" i="15"/>
  <c r="AA18" i="15"/>
  <c r="AA17" i="15"/>
  <c r="AA16" i="15"/>
  <c r="AA15" i="15"/>
  <c r="AA14" i="15"/>
  <c r="AA13" i="15"/>
  <c r="AA12" i="15"/>
  <c r="AA11" i="15"/>
  <c r="AA10" i="15"/>
  <c r="AA9" i="15"/>
  <c r="AA8" i="15"/>
  <c r="AA7" i="15"/>
  <c r="AA6" i="15"/>
  <c r="AA5" i="15"/>
  <c r="AA4" i="15"/>
  <c r="AA3" i="15"/>
  <c r="AA37" i="13"/>
  <c r="AA36" i="13"/>
  <c r="AA35" i="13"/>
  <c r="AA34" i="13"/>
  <c r="AA33" i="13"/>
  <c r="AA32" i="13"/>
  <c r="AA31" i="13"/>
  <c r="AA29" i="13"/>
  <c r="AA30" i="13"/>
  <c r="AA28" i="13"/>
  <c r="AA27" i="13"/>
  <c r="AA26" i="13"/>
  <c r="AA25" i="13"/>
  <c r="AA24" i="13"/>
  <c r="AA23" i="13"/>
  <c r="AA22" i="13"/>
  <c r="AA21" i="13"/>
  <c r="AA20" i="13"/>
  <c r="AA19" i="13"/>
  <c r="AA18" i="13"/>
  <c r="AA17" i="13"/>
  <c r="AA16" i="13"/>
  <c r="AA15" i="13"/>
  <c r="AA14" i="13"/>
  <c r="AA13" i="13"/>
  <c r="AA12" i="13"/>
  <c r="AA11" i="13"/>
  <c r="AA10" i="13"/>
  <c r="AA9" i="13"/>
  <c r="AA8" i="13"/>
  <c r="AA7" i="13"/>
  <c r="AA6" i="13"/>
  <c r="AA5" i="13"/>
  <c r="AA4" i="13"/>
  <c r="AA3" i="13"/>
  <c r="AA4" i="12"/>
  <c r="AA5" i="12"/>
  <c r="AA6" i="12"/>
  <c r="AA7" i="12"/>
  <c r="AA8" i="12"/>
  <c r="AA9" i="12"/>
  <c r="AA10" i="12"/>
  <c r="AA11" i="12"/>
  <c r="AA12" i="12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  <c r="AA27" i="12"/>
  <c r="AA28" i="12"/>
  <c r="AA30" i="12"/>
  <c r="AA29" i="12"/>
  <c r="AA31" i="12"/>
  <c r="AA32" i="12"/>
  <c r="AA33" i="12"/>
  <c r="AA34" i="12"/>
  <c r="AA35" i="12"/>
  <c r="AA36" i="12"/>
  <c r="AA37" i="12"/>
  <c r="AA3" i="12"/>
  <c r="AA4" i="9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AA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A38" i="14"/>
  <c r="AB30" i="14" s="1"/>
  <c r="X38" i="14"/>
  <c r="W38" i="14"/>
  <c r="V38" i="14"/>
  <c r="U38" i="14"/>
  <c r="T38" i="14"/>
  <c r="S38" i="14"/>
  <c r="R38" i="14"/>
  <c r="K38" i="13"/>
  <c r="J38" i="13"/>
  <c r="I38" i="13"/>
  <c r="H38" i="13"/>
  <c r="G38" i="13"/>
  <c r="F38" i="13"/>
  <c r="E38" i="13"/>
  <c r="D38" i="13"/>
  <c r="C38" i="13"/>
  <c r="B38" i="13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B38" i="12"/>
  <c r="AA38" i="12" s="1"/>
  <c r="J8" i="31" l="1"/>
  <c r="K3" i="31"/>
  <c r="K8" i="31" s="1"/>
  <c r="D11" i="31" s="1"/>
  <c r="B14" i="31" s="1"/>
  <c r="E17" i="31" s="1"/>
  <c r="E16" i="31"/>
  <c r="B17" i="31"/>
  <c r="AB34" i="26"/>
  <c r="AB3" i="26"/>
  <c r="AB30" i="26"/>
  <c r="AB20" i="26"/>
  <c r="AB36" i="26"/>
  <c r="AB32" i="26"/>
  <c r="AB26" i="26"/>
  <c r="AB12" i="26"/>
  <c r="AB28" i="26"/>
  <c r="AB24" i="26"/>
  <c r="AB16" i="26"/>
  <c r="AB8" i="26"/>
  <c r="AB22" i="26"/>
  <c r="AB18" i="26"/>
  <c r="AB14" i="26"/>
  <c r="AB10" i="26"/>
  <c r="AB37" i="26"/>
  <c r="AB6" i="26"/>
  <c r="AB31" i="26"/>
  <c r="AB4" i="26"/>
  <c r="AB35" i="26"/>
  <c r="AB19" i="26"/>
  <c r="AB33" i="26"/>
  <c r="AB27" i="26"/>
  <c r="AB11" i="26"/>
  <c r="AB29" i="26"/>
  <c r="AB23" i="26"/>
  <c r="AB15" i="26"/>
  <c r="AB7" i="26"/>
  <c r="AB25" i="26"/>
  <c r="AB21" i="26"/>
  <c r="AB17" i="26"/>
  <c r="AB13" i="26"/>
  <c r="AB9" i="26"/>
  <c r="AB36" i="25"/>
  <c r="AB28" i="25"/>
  <c r="AB3" i="25"/>
  <c r="AB32" i="25"/>
  <c r="AB20" i="25"/>
  <c r="AB34" i="25"/>
  <c r="AB30" i="25"/>
  <c r="AB24" i="25"/>
  <c r="AB14" i="25"/>
  <c r="AB26" i="25"/>
  <c r="AB22" i="25"/>
  <c r="AB18" i="25"/>
  <c r="AB10" i="25"/>
  <c r="AB37" i="25"/>
  <c r="AB16" i="25"/>
  <c r="AB12" i="25"/>
  <c r="AB8" i="25"/>
  <c r="AB29" i="25"/>
  <c r="AB6" i="25"/>
  <c r="AB33" i="25"/>
  <c r="AB19" i="25"/>
  <c r="AB4" i="25"/>
  <c r="AB35" i="25"/>
  <c r="AB31" i="25"/>
  <c r="AB27" i="25"/>
  <c r="AB11" i="25"/>
  <c r="AB23" i="25"/>
  <c r="AB15" i="25"/>
  <c r="AB7" i="25"/>
  <c r="AB25" i="25"/>
  <c r="AB21" i="25"/>
  <c r="AB17" i="25"/>
  <c r="AB13" i="25"/>
  <c r="AB9" i="25"/>
  <c r="AB30" i="24"/>
  <c r="AB3" i="24"/>
  <c r="AB22" i="24"/>
  <c r="AB34" i="24"/>
  <c r="AB26" i="24"/>
  <c r="AB16" i="24"/>
  <c r="AB36" i="24"/>
  <c r="AB32" i="24"/>
  <c r="AB28" i="24"/>
  <c r="AB24" i="24"/>
  <c r="AB20" i="24"/>
  <c r="AB8" i="24"/>
  <c r="AB18" i="24"/>
  <c r="AB12" i="24"/>
  <c r="AB35" i="24"/>
  <c r="AB14" i="24"/>
  <c r="AB10" i="24"/>
  <c r="AB4" i="24"/>
  <c r="AB29" i="24"/>
  <c r="AB6" i="24"/>
  <c r="AB37" i="24"/>
  <c r="AB33" i="24"/>
  <c r="AB19" i="24"/>
  <c r="AB31" i="24"/>
  <c r="AB25" i="24"/>
  <c r="AB11" i="24"/>
  <c r="AB27" i="24"/>
  <c r="AB23" i="24"/>
  <c r="AB15" i="24"/>
  <c r="AB7" i="24"/>
  <c r="AB21" i="24"/>
  <c r="AB17" i="24"/>
  <c r="AB13" i="24"/>
  <c r="AB9" i="24"/>
  <c r="AB32" i="23"/>
  <c r="AB16" i="23"/>
  <c r="AB36" i="23"/>
  <c r="AB24" i="23"/>
  <c r="AB8" i="23"/>
  <c r="AB3" i="23"/>
  <c r="AB34" i="23"/>
  <c r="AB28" i="23"/>
  <c r="AB20" i="23"/>
  <c r="AB12" i="23"/>
  <c r="AB37" i="23"/>
  <c r="AB30" i="23"/>
  <c r="AB26" i="23"/>
  <c r="AB22" i="23"/>
  <c r="AB18" i="23"/>
  <c r="AB14" i="23"/>
  <c r="AB10" i="23"/>
  <c r="AB6" i="23"/>
  <c r="AB31" i="23"/>
  <c r="AB4" i="23"/>
  <c r="AB35" i="23"/>
  <c r="AB25" i="23"/>
  <c r="AB33" i="23"/>
  <c r="AB29" i="23"/>
  <c r="AB17" i="23"/>
  <c r="AB27" i="23"/>
  <c r="AB21" i="23"/>
  <c r="AB11" i="23"/>
  <c r="AB23" i="23"/>
  <c r="AB19" i="23"/>
  <c r="AB15" i="23"/>
  <c r="AB7" i="23"/>
  <c r="AB13" i="23"/>
  <c r="AB9" i="23"/>
  <c r="AB32" i="22"/>
  <c r="AB24" i="22"/>
  <c r="AB36" i="22"/>
  <c r="AB28" i="22"/>
  <c r="AB12" i="22"/>
  <c r="AB3" i="22"/>
  <c r="AB34" i="22"/>
  <c r="AB30" i="22"/>
  <c r="AB26" i="22"/>
  <c r="AB20" i="22"/>
  <c r="AB37" i="22"/>
  <c r="AB22" i="22"/>
  <c r="AB16" i="22"/>
  <c r="AB8" i="22"/>
  <c r="AB29" i="22"/>
  <c r="AB18" i="22"/>
  <c r="AB14" i="22"/>
  <c r="AB10" i="22"/>
  <c r="AB6" i="22"/>
  <c r="AB33" i="22"/>
  <c r="AB25" i="22"/>
  <c r="AB4" i="22"/>
  <c r="AB35" i="22"/>
  <c r="AB31" i="22"/>
  <c r="AB27" i="22"/>
  <c r="AB17" i="22"/>
  <c r="AB21" i="22"/>
  <c r="AB11" i="22"/>
  <c r="AB23" i="22"/>
  <c r="AB19" i="22"/>
  <c r="AB15" i="22"/>
  <c r="AB7" i="22"/>
  <c r="AB13" i="22"/>
  <c r="AB9" i="22"/>
  <c r="AB36" i="21"/>
  <c r="AB32" i="21"/>
  <c r="AB24" i="21"/>
  <c r="AB3" i="21"/>
  <c r="AB34" i="21"/>
  <c r="AB28" i="21"/>
  <c r="AB16" i="21"/>
  <c r="AB30" i="21"/>
  <c r="AB26" i="21"/>
  <c r="AB20" i="21"/>
  <c r="AB12" i="21"/>
  <c r="AB4" i="21"/>
  <c r="AB22" i="21"/>
  <c r="AB18" i="21"/>
  <c r="AB14" i="21"/>
  <c r="AB8" i="21"/>
  <c r="AB31" i="21"/>
  <c r="AB10" i="21"/>
  <c r="AB6" i="21"/>
  <c r="AB37" i="21"/>
  <c r="AB19" i="21"/>
  <c r="AB35" i="21"/>
  <c r="AB27" i="21"/>
  <c r="AB11" i="21"/>
  <c r="AB33" i="21"/>
  <c r="AB29" i="21"/>
  <c r="AB23" i="21"/>
  <c r="AB15" i="21"/>
  <c r="AB7" i="21"/>
  <c r="AB25" i="21"/>
  <c r="AB21" i="21"/>
  <c r="AB17" i="21"/>
  <c r="AB13" i="21"/>
  <c r="AB9" i="21"/>
  <c r="AB34" i="20"/>
  <c r="AB3" i="20"/>
  <c r="AB28" i="20"/>
  <c r="AB36" i="20"/>
  <c r="AB32" i="20"/>
  <c r="AB16" i="20"/>
  <c r="AB30" i="20"/>
  <c r="AB24" i="20"/>
  <c r="AB8" i="20"/>
  <c r="AB26" i="20"/>
  <c r="AB20" i="20"/>
  <c r="AB12" i="20"/>
  <c r="AB35" i="20"/>
  <c r="AB22" i="20"/>
  <c r="AB18" i="20"/>
  <c r="AB14" i="20"/>
  <c r="AB10" i="20"/>
  <c r="AB4" i="20"/>
  <c r="AB25" i="20"/>
  <c r="AB6" i="20"/>
  <c r="AB37" i="20"/>
  <c r="AB31" i="20"/>
  <c r="AB17" i="20"/>
  <c r="AB33" i="20"/>
  <c r="AB29" i="20"/>
  <c r="AB21" i="20"/>
  <c r="AB11" i="20"/>
  <c r="AB27" i="20"/>
  <c r="AB23" i="20"/>
  <c r="AB19" i="20"/>
  <c r="AB15" i="20"/>
  <c r="AB7" i="20"/>
  <c r="AB13" i="20"/>
  <c r="AB9" i="20"/>
  <c r="AA38" i="13"/>
  <c r="AB38" i="13" s="1"/>
  <c r="AB4" i="18"/>
  <c r="AB6" i="18"/>
  <c r="AB8" i="18"/>
  <c r="AB10" i="18"/>
  <c r="AB12" i="18"/>
  <c r="AB14" i="18"/>
  <c r="AB16" i="18"/>
  <c r="AB18" i="18"/>
  <c r="AB20" i="18"/>
  <c r="AB22" i="18"/>
  <c r="AB24" i="18"/>
  <c r="AB26" i="18"/>
  <c r="AB28" i="18"/>
  <c r="AB29" i="18"/>
  <c r="AB32" i="18"/>
  <c r="AB34" i="18"/>
  <c r="AB36" i="18"/>
  <c r="AB3" i="18"/>
  <c r="AB5" i="18"/>
  <c r="AB7" i="18"/>
  <c r="AB9" i="18"/>
  <c r="AB11" i="18"/>
  <c r="AB13" i="18"/>
  <c r="AB15" i="18"/>
  <c r="AB17" i="18"/>
  <c r="AB19" i="18"/>
  <c r="AB21" i="18"/>
  <c r="AB23" i="18"/>
  <c r="AB25" i="18"/>
  <c r="AB27" i="18"/>
  <c r="AB30" i="18"/>
  <c r="AB31" i="18"/>
  <c r="AB33" i="18"/>
  <c r="AB35" i="18"/>
  <c r="AB37" i="18"/>
  <c r="AB3" i="17"/>
  <c r="AB5" i="17"/>
  <c r="AB7" i="17"/>
  <c r="AB9" i="17"/>
  <c r="AB11" i="17"/>
  <c r="AB13" i="17"/>
  <c r="AB15" i="17"/>
  <c r="AB17" i="17"/>
  <c r="AB19" i="17"/>
  <c r="AB21" i="17"/>
  <c r="AB23" i="17"/>
  <c r="AB25" i="17"/>
  <c r="AB27" i="17"/>
  <c r="AB30" i="17"/>
  <c r="AB31" i="17"/>
  <c r="AB33" i="17"/>
  <c r="AB35" i="17"/>
  <c r="AB37" i="17"/>
  <c r="AB4" i="17"/>
  <c r="AB6" i="17"/>
  <c r="AB8" i="17"/>
  <c r="AB10" i="17"/>
  <c r="AB12" i="17"/>
  <c r="AB14" i="17"/>
  <c r="AB16" i="17"/>
  <c r="AB18" i="17"/>
  <c r="AB20" i="17"/>
  <c r="AB22" i="17"/>
  <c r="AB24" i="17"/>
  <c r="AB26" i="17"/>
  <c r="AB28" i="17"/>
  <c r="AB29" i="17"/>
  <c r="AB32" i="17"/>
  <c r="AB34" i="17"/>
  <c r="AB36" i="17"/>
  <c r="AB3" i="16"/>
  <c r="AB5" i="16"/>
  <c r="AB7" i="16"/>
  <c r="AB9" i="16"/>
  <c r="AB11" i="16"/>
  <c r="AB13" i="16"/>
  <c r="AB15" i="16"/>
  <c r="AB17" i="16"/>
  <c r="AB19" i="16"/>
  <c r="AB21" i="16"/>
  <c r="AB23" i="16"/>
  <c r="AB25" i="16"/>
  <c r="AB27" i="16"/>
  <c r="AB30" i="16"/>
  <c r="AB31" i="16"/>
  <c r="AB33" i="16"/>
  <c r="AB35" i="16"/>
  <c r="AB37" i="16"/>
  <c r="AB4" i="16"/>
  <c r="AB6" i="16"/>
  <c r="AB8" i="16"/>
  <c r="AB10" i="16"/>
  <c r="AB12" i="16"/>
  <c r="AB14" i="16"/>
  <c r="AB16" i="16"/>
  <c r="AB18" i="16"/>
  <c r="AB20" i="16"/>
  <c r="AB22" i="16"/>
  <c r="AB24" i="16"/>
  <c r="AB26" i="16"/>
  <c r="AB28" i="16"/>
  <c r="AB29" i="16"/>
  <c r="AB32" i="16"/>
  <c r="AB34" i="16"/>
  <c r="AB36" i="16"/>
  <c r="AA38" i="15"/>
  <c r="AB4" i="15" s="1"/>
  <c r="AB6" i="15"/>
  <c r="AB8" i="15"/>
  <c r="AB10" i="15"/>
  <c r="AB12" i="15"/>
  <c r="AB14" i="15"/>
  <c r="AB16" i="15"/>
  <c r="AB18" i="15"/>
  <c r="AB20" i="15"/>
  <c r="AB22" i="15"/>
  <c r="AB24" i="15"/>
  <c r="AB26" i="15"/>
  <c r="AB28" i="15"/>
  <c r="AB29" i="15"/>
  <c r="AB32" i="15"/>
  <c r="AB34" i="15"/>
  <c r="AB36" i="15"/>
  <c r="AB3" i="15"/>
  <c r="AB5" i="15"/>
  <c r="AB7" i="15"/>
  <c r="AB9" i="15"/>
  <c r="AB11" i="15"/>
  <c r="AB13" i="15"/>
  <c r="AB15" i="15"/>
  <c r="AB17" i="15"/>
  <c r="AB19" i="15"/>
  <c r="AB21" i="15"/>
  <c r="AB23" i="15"/>
  <c r="AB25" i="15"/>
  <c r="AB3" i="13"/>
  <c r="AB5" i="13"/>
  <c r="AB7" i="13"/>
  <c r="AB9" i="13"/>
  <c r="AB11" i="13"/>
  <c r="AB13" i="13"/>
  <c r="AB15" i="13"/>
  <c r="AB17" i="13"/>
  <c r="AB19" i="13"/>
  <c r="AB21" i="13"/>
  <c r="AB23" i="13"/>
  <c r="AB25" i="13"/>
  <c r="AB27" i="13"/>
  <c r="AB30" i="13"/>
  <c r="AB31" i="13"/>
  <c r="AB33" i="13"/>
  <c r="AB35" i="13"/>
  <c r="AB37" i="13"/>
  <c r="AB4" i="13"/>
  <c r="AB6" i="13"/>
  <c r="AB8" i="13"/>
  <c r="AB10" i="13"/>
  <c r="AB12" i="13"/>
  <c r="AB14" i="13"/>
  <c r="AB16" i="13"/>
  <c r="AB18" i="13"/>
  <c r="AB20" i="13"/>
  <c r="AB22" i="13"/>
  <c r="AB24" i="13"/>
  <c r="AB26" i="13"/>
  <c r="AB28" i="13"/>
  <c r="AB29" i="13"/>
  <c r="AB32" i="13"/>
  <c r="AB34" i="13"/>
  <c r="AB36" i="13"/>
  <c r="AB20" i="12"/>
  <c r="AB18" i="12"/>
  <c r="AB16" i="12"/>
  <c r="AB14" i="12"/>
  <c r="AB12" i="12"/>
  <c r="AB10" i="12"/>
  <c r="AB8" i="12"/>
  <c r="AB6" i="12"/>
  <c r="AB4" i="12"/>
  <c r="AB3" i="12"/>
  <c r="AB36" i="12"/>
  <c r="AB34" i="12"/>
  <c r="AB32" i="12"/>
  <c r="AB29" i="12"/>
  <c r="AB28" i="12"/>
  <c r="AB26" i="12"/>
  <c r="AB24" i="12"/>
  <c r="AB22" i="12"/>
  <c r="AB37" i="12"/>
  <c r="AB35" i="12"/>
  <c r="AB33" i="12"/>
  <c r="AB31" i="12"/>
  <c r="AB30" i="12"/>
  <c r="AB27" i="12"/>
  <c r="AB25" i="12"/>
  <c r="AB23" i="12"/>
  <c r="AB21" i="12"/>
  <c r="AB19" i="12"/>
  <c r="AB17" i="12"/>
  <c r="AB15" i="12"/>
  <c r="AB13" i="12"/>
  <c r="AB11" i="12"/>
  <c r="AB9" i="12"/>
  <c r="AB7" i="12"/>
  <c r="AB5" i="12"/>
  <c r="AB3" i="14"/>
  <c r="AB5" i="14"/>
  <c r="AB7" i="14"/>
  <c r="AB9" i="14"/>
  <c r="AB11" i="14"/>
  <c r="AB13" i="14"/>
  <c r="AB15" i="14"/>
  <c r="AB17" i="14"/>
  <c r="AB19" i="14"/>
  <c r="AB21" i="14"/>
  <c r="AB23" i="14"/>
  <c r="AB25" i="14"/>
  <c r="AB27" i="14"/>
  <c r="AB31" i="14"/>
  <c r="AB33" i="14"/>
  <c r="AB35" i="14"/>
  <c r="AB37" i="14"/>
  <c r="AB4" i="14"/>
  <c r="AB6" i="14"/>
  <c r="AB8" i="14"/>
  <c r="AB10" i="14"/>
  <c r="AB12" i="14"/>
  <c r="AB14" i="14"/>
  <c r="AB16" i="14"/>
  <c r="AB18" i="14"/>
  <c r="AB20" i="14"/>
  <c r="AB22" i="14"/>
  <c r="AB24" i="14"/>
  <c r="AB26" i="14"/>
  <c r="AB28" i="14"/>
  <c r="AB29" i="14"/>
  <c r="AB32" i="14"/>
  <c r="AB34" i="14"/>
  <c r="AB36" i="14"/>
  <c r="AB27" i="15"/>
  <c r="AB30" i="15"/>
  <c r="AB31" i="15"/>
  <c r="AB33" i="15"/>
  <c r="AB35" i="15"/>
  <c r="AB37" i="15"/>
  <c r="AB38" i="12"/>
  <c r="F3" i="11"/>
  <c r="I3" i="11" s="1"/>
  <c r="B16" i="31" l="1"/>
  <c r="AB38" i="24"/>
  <c r="AB38" i="26"/>
  <c r="AB38" i="25"/>
  <c r="AB38" i="23"/>
  <c r="AB38" i="22"/>
  <c r="AB38" i="21"/>
  <c r="AB38" i="20"/>
  <c r="AB38" i="17"/>
  <c r="AB38" i="16"/>
  <c r="AB38" i="15"/>
  <c r="AB38" i="14"/>
  <c r="I8" i="11"/>
  <c r="J4" i="11" s="1"/>
  <c r="K4" i="11" s="1"/>
  <c r="G3" i="11"/>
  <c r="F8" i="11"/>
  <c r="J3" i="11" l="1"/>
  <c r="K3" i="11" s="1"/>
  <c r="K8" i="11" s="1"/>
  <c r="D11" i="11" s="1"/>
  <c r="B14" i="11" s="1"/>
  <c r="E17" i="11" s="1"/>
  <c r="G8" i="11"/>
  <c r="H3" i="11"/>
  <c r="H8" i="11" s="1"/>
  <c r="D10" i="11" s="1"/>
  <c r="J8" i="11" l="1"/>
  <c r="B16" i="11"/>
  <c r="B17" i="11"/>
  <c r="E16" i="11"/>
  <c r="BL239" i="10" l="1"/>
  <c r="BL238" i="10"/>
  <c r="BL237" i="10"/>
  <c r="BL236" i="10"/>
  <c r="BL235" i="10"/>
  <c r="BL234" i="10"/>
  <c r="BL230" i="10"/>
  <c r="BL229" i="10"/>
  <c r="BL228" i="10"/>
  <c r="BL227" i="10"/>
  <c r="BL226" i="10"/>
  <c r="BL225" i="10"/>
  <c r="BL212" i="10"/>
  <c r="BL211" i="10"/>
  <c r="BL210" i="10"/>
  <c r="BL209" i="10"/>
  <c r="BL208" i="10"/>
  <c r="BL207" i="10"/>
  <c r="BL203" i="10"/>
  <c r="BL202" i="10"/>
  <c r="BL201" i="10"/>
  <c r="BL200" i="10"/>
  <c r="BL199" i="10"/>
  <c r="BL198" i="10"/>
  <c r="BR182" i="10"/>
  <c r="BR181" i="10"/>
  <c r="BR180" i="10"/>
  <c r="BR179" i="10"/>
  <c r="BR178" i="10"/>
  <c r="BR177" i="10"/>
  <c r="BL176" i="10"/>
  <c r="BL175" i="10"/>
  <c r="BL174" i="10"/>
  <c r="BL173" i="10"/>
  <c r="BL172" i="10"/>
  <c r="CP171" i="10"/>
  <c r="BL171" i="10"/>
  <c r="CP170" i="10"/>
  <c r="CP169" i="10"/>
  <c r="CP168" i="10"/>
  <c r="CP167" i="10"/>
  <c r="BL167" i="10"/>
  <c r="CP166" i="10"/>
  <c r="BL166" i="10"/>
  <c r="BL165" i="10"/>
  <c r="BL164" i="10"/>
  <c r="BL163" i="10"/>
  <c r="BL162" i="10"/>
  <c r="BF157" i="10"/>
  <c r="BF156" i="10"/>
  <c r="BF155" i="10"/>
  <c r="BR154" i="10"/>
  <c r="BF154" i="10"/>
  <c r="BR153" i="10"/>
  <c r="BF153" i="10"/>
  <c r="BR152" i="10"/>
  <c r="BF152" i="10"/>
  <c r="BR151" i="10"/>
  <c r="BR150" i="10"/>
  <c r="BR149" i="10"/>
  <c r="BL149" i="10"/>
  <c r="BL148" i="10"/>
  <c r="BF148" i="10"/>
  <c r="BL147" i="10"/>
  <c r="BF147" i="10"/>
  <c r="CP146" i="10"/>
  <c r="BL146" i="10"/>
  <c r="BF146" i="10"/>
  <c r="CP145" i="10"/>
  <c r="BL145" i="10"/>
  <c r="BF145" i="10"/>
  <c r="CP144" i="10"/>
  <c r="BL144" i="10"/>
  <c r="BF144" i="10"/>
  <c r="CP143" i="10"/>
  <c r="BR143" i="10"/>
  <c r="BF143" i="10"/>
  <c r="CP142" i="10"/>
  <c r="BR142" i="10"/>
  <c r="CP141" i="10"/>
  <c r="BR141" i="10"/>
  <c r="BR140" i="10"/>
  <c r="BL140" i="10"/>
  <c r="BR139" i="10"/>
  <c r="BL139" i="10"/>
  <c r="BR138" i="10"/>
  <c r="BL138" i="10"/>
  <c r="BL137" i="10"/>
  <c r="CP136" i="10"/>
  <c r="CJ136" i="10"/>
  <c r="CD136" i="10"/>
  <c r="BX136" i="10"/>
  <c r="BL136" i="10"/>
  <c r="CP135" i="10"/>
  <c r="CJ135" i="10"/>
  <c r="CD135" i="10"/>
  <c r="BX135" i="10"/>
  <c r="BL135" i="10"/>
  <c r="CP134" i="10"/>
  <c r="CJ134" i="10"/>
  <c r="CD134" i="10"/>
  <c r="BX134" i="10"/>
  <c r="CP133" i="10"/>
  <c r="CJ133" i="10"/>
  <c r="CD133" i="10"/>
  <c r="BX133" i="10"/>
  <c r="CP132" i="10"/>
  <c r="CJ132" i="10"/>
  <c r="CD132" i="10"/>
  <c r="BX132" i="10"/>
  <c r="CP131" i="10"/>
  <c r="CJ131" i="10"/>
  <c r="CD131" i="10"/>
  <c r="BX131" i="10"/>
  <c r="BF121" i="10"/>
  <c r="BF120" i="10"/>
  <c r="BF119" i="10"/>
  <c r="BF118" i="10"/>
  <c r="BF117" i="10"/>
  <c r="BF116" i="10"/>
  <c r="BR115" i="10"/>
  <c r="BR114" i="10"/>
  <c r="BR113" i="10"/>
  <c r="BR112" i="10"/>
  <c r="BF112" i="10"/>
  <c r="CP111" i="10"/>
  <c r="BR111" i="10"/>
  <c r="BF111" i="10"/>
  <c r="CP110" i="10"/>
  <c r="BR110" i="10"/>
  <c r="BF110" i="10"/>
  <c r="CP109" i="10"/>
  <c r="BF109" i="10"/>
  <c r="CP108" i="10"/>
  <c r="BF108" i="10"/>
  <c r="CP107" i="10"/>
  <c r="BF107" i="10"/>
  <c r="CP106" i="10"/>
  <c r="CJ106" i="10"/>
  <c r="CD106" i="10"/>
  <c r="BX106" i="10"/>
  <c r="CJ105" i="10"/>
  <c r="CD105" i="10"/>
  <c r="BX105" i="10"/>
  <c r="CJ104" i="10"/>
  <c r="CD104" i="10"/>
  <c r="BX104" i="10"/>
  <c r="BR104" i="10"/>
  <c r="CJ103" i="10"/>
  <c r="CD103" i="10"/>
  <c r="BX103" i="10"/>
  <c r="BR103" i="10"/>
  <c r="CJ102" i="10"/>
  <c r="CD102" i="10"/>
  <c r="BX102" i="10"/>
  <c r="BR102" i="10"/>
  <c r="CP101" i="10"/>
  <c r="CJ101" i="10"/>
  <c r="CD101" i="10"/>
  <c r="BX101" i="10"/>
  <c r="BR101" i="10"/>
  <c r="CP100" i="10"/>
  <c r="BR100" i="10"/>
  <c r="CP99" i="10"/>
  <c r="BR99" i="10"/>
  <c r="CP98" i="10"/>
  <c r="CP97" i="10"/>
  <c r="CP96" i="10"/>
  <c r="BF85" i="10"/>
  <c r="BF84" i="10"/>
  <c r="BF83" i="10"/>
  <c r="BF82" i="10"/>
  <c r="BF81" i="10"/>
  <c r="BF80" i="10"/>
  <c r="CP76" i="10"/>
  <c r="CJ76" i="10"/>
  <c r="CD76" i="10"/>
  <c r="BX76" i="10"/>
  <c r="BR76" i="10"/>
  <c r="BF76" i="10"/>
  <c r="CP75" i="10"/>
  <c r="CJ75" i="10"/>
  <c r="CD75" i="10"/>
  <c r="BX75" i="10"/>
  <c r="BR75" i="10"/>
  <c r="BF75" i="10"/>
  <c r="CP74" i="10"/>
  <c r="CJ74" i="10"/>
  <c r="CD74" i="10"/>
  <c r="BX74" i="10"/>
  <c r="BR74" i="10"/>
  <c r="BF74" i="10"/>
  <c r="CP73" i="10"/>
  <c r="CJ73" i="10"/>
  <c r="CD73" i="10"/>
  <c r="BX73" i="10"/>
  <c r="BR73" i="10"/>
  <c r="BF73" i="10"/>
  <c r="CP72" i="10"/>
  <c r="CJ72" i="10"/>
  <c r="CD72" i="10"/>
  <c r="BX72" i="10"/>
  <c r="BR72" i="10"/>
  <c r="BF72" i="10"/>
  <c r="CP71" i="10"/>
  <c r="CJ71" i="10"/>
  <c r="CD71" i="10"/>
  <c r="BX71" i="10"/>
  <c r="BR71" i="10"/>
  <c r="BF71" i="10"/>
  <c r="CP34" i="10"/>
  <c r="CP33" i="10"/>
  <c r="CP32" i="10"/>
  <c r="CP31" i="10"/>
  <c r="CP30" i="10"/>
  <c r="CP29" i="10"/>
  <c r="AZ26" i="10"/>
  <c r="AZ25" i="10"/>
  <c r="AZ22" i="10"/>
  <c r="CP9" i="10"/>
  <c r="CJ9" i="10"/>
  <c r="CD9" i="10"/>
  <c r="BL9" i="10"/>
  <c r="AZ9" i="10"/>
  <c r="AB9" i="10"/>
  <c r="V9" i="10"/>
  <c r="D9" i="10"/>
  <c r="CP8" i="10"/>
  <c r="CJ8" i="10"/>
  <c r="CD8" i="10"/>
  <c r="BL8" i="10"/>
  <c r="AZ8" i="10"/>
  <c r="AT8" i="10"/>
  <c r="AH8" i="10"/>
  <c r="D8" i="10"/>
  <c r="CP7" i="10"/>
  <c r="CJ7" i="10"/>
  <c r="CD7" i="10"/>
  <c r="BL7" i="10"/>
  <c r="AH7" i="10"/>
  <c r="V7" i="10"/>
  <c r="CP6" i="10"/>
  <c r="CJ6" i="10"/>
  <c r="CD6" i="10"/>
  <c r="BL6" i="10"/>
  <c r="AH6" i="10"/>
  <c r="AB6" i="10"/>
  <c r="V6" i="10"/>
  <c r="D6" i="10"/>
  <c r="CP5" i="10"/>
  <c r="CJ5" i="10"/>
  <c r="CD5" i="10"/>
  <c r="AZ5" i="10"/>
  <c r="AH5" i="10"/>
  <c r="AB5" i="10"/>
  <c r="V5" i="10"/>
  <c r="D5" i="10"/>
  <c r="CP4" i="10"/>
  <c r="CJ4" i="10"/>
  <c r="CD4" i="10"/>
  <c r="BL4" i="10"/>
  <c r="AH4" i="10"/>
  <c r="AB4" i="10"/>
  <c r="B38" i="9"/>
  <c r="C38" i="9"/>
  <c r="D38" i="9"/>
  <c r="E38" i="9"/>
  <c r="F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AA38" i="9" l="1"/>
  <c r="AB31" i="9" s="1"/>
  <c r="AB36" i="9" l="1"/>
  <c r="AB37" i="9"/>
  <c r="AB24" i="9"/>
  <c r="AB26" i="9"/>
  <c r="AB38" i="9"/>
  <c r="AB12" i="9"/>
  <c r="AB15" i="9"/>
  <c r="AB17" i="9"/>
  <c r="AB33" i="9"/>
  <c r="AB22" i="9"/>
  <c r="AB10" i="9"/>
  <c r="AB20" i="9"/>
  <c r="AB3" i="9"/>
  <c r="AB19" i="9"/>
  <c r="AB35" i="9"/>
  <c r="AB5" i="9"/>
  <c r="AB21" i="9"/>
  <c r="AB34" i="9"/>
  <c r="AB18" i="9"/>
  <c r="AB8" i="9"/>
  <c r="AB32" i="9"/>
  <c r="AB16" i="9"/>
  <c r="AB7" i="9"/>
  <c r="AB23" i="9"/>
  <c r="AB9" i="9"/>
  <c r="AB25" i="9"/>
  <c r="AB30" i="9"/>
  <c r="AB14" i="9"/>
  <c r="AB4" i="9"/>
  <c r="AB28" i="9"/>
  <c r="AB6" i="9"/>
  <c r="AB11" i="9"/>
  <c r="AB27" i="9"/>
  <c r="AB13" i="9"/>
  <c r="AB29" i="9"/>
  <c r="S44" i="1" l="1"/>
  <c r="T5" i="1" l="1"/>
  <c r="T16" i="1"/>
  <c r="T4" i="1"/>
  <c r="T10" i="1"/>
  <c r="T12" i="1"/>
  <c r="T13" i="1"/>
  <c r="T17" i="1"/>
  <c r="T21" i="1"/>
  <c r="T28" i="1"/>
  <c r="T31" i="1"/>
  <c r="T33" i="1"/>
  <c r="T7" i="1"/>
  <c r="T11" i="1"/>
  <c r="T14" i="1"/>
  <c r="T18" i="1"/>
  <c r="T22" i="1"/>
  <c r="T25" i="1"/>
  <c r="T29" i="1"/>
  <c r="T32" i="1"/>
  <c r="T34" i="1"/>
  <c r="T9" i="1"/>
  <c r="T20" i="1"/>
  <c r="T24" i="1"/>
  <c r="T27" i="1"/>
  <c r="T30" i="1"/>
  <c r="T6" i="1"/>
  <c r="T3" i="1"/>
  <c r="T8" i="1"/>
  <c r="T15" i="1"/>
  <c r="T19" i="1"/>
  <c r="T23" i="1"/>
  <c r="T26" i="1"/>
  <c r="T44" i="1" l="1"/>
  <c r="A10" i="4"/>
  <c r="A7" i="4"/>
  <c r="A4" i="4"/>
</calcChain>
</file>

<file path=xl/sharedStrings.xml><?xml version="1.0" encoding="utf-8"?>
<sst xmlns="http://schemas.openxmlformats.org/spreadsheetml/2006/main" count="8839" uniqueCount="813">
  <si>
    <t>Site</t>
  </si>
  <si>
    <t>Actinonaias ligamentina</t>
  </si>
  <si>
    <t>Amblema plicata</t>
  </si>
  <si>
    <t>Ellipsaria lineolata</t>
  </si>
  <si>
    <t>Elliptio dilatata</t>
  </si>
  <si>
    <t>Fusconaia ebena</t>
  </si>
  <si>
    <t>Fusconaia flava</t>
  </si>
  <si>
    <t>Lampsilis abrupta</t>
  </si>
  <si>
    <t>Lampsilis cardium</t>
  </si>
  <si>
    <t>Lampsilis hydiana</t>
  </si>
  <si>
    <t>Lampsilis ornata</t>
  </si>
  <si>
    <t>Lampsilis teres</t>
  </si>
  <si>
    <t>Lasmigona complanata</t>
  </si>
  <si>
    <t>Leptodea fragilis</t>
  </si>
  <si>
    <t>Ligumia recta</t>
  </si>
  <si>
    <t>Megalonaias nervosa</t>
  </si>
  <si>
    <t>Obliquaria reflexa</t>
  </si>
  <si>
    <t>Obovaria jacksoniana</t>
  </si>
  <si>
    <t>Plectomerus dombeyanus</t>
  </si>
  <si>
    <t>Pleurobema ridellii</t>
  </si>
  <si>
    <t>Pleurobema rubrum</t>
  </si>
  <si>
    <t>Pleurobema sintoxia</t>
  </si>
  <si>
    <t>Potamilus purpuratus</t>
  </si>
  <si>
    <t>Ptychobranchus occidentalis</t>
  </si>
  <si>
    <t>Quadrula apiculata</t>
  </si>
  <si>
    <t>Quadrula fragosa</t>
  </si>
  <si>
    <t>Quadrula metanevra</t>
  </si>
  <si>
    <t>Quadrula nobilis</t>
  </si>
  <si>
    <t>Quadrula nodulata</t>
  </si>
  <si>
    <t>Quadrula pustulosa</t>
  </si>
  <si>
    <t>Quadrula verrucosa</t>
  </si>
  <si>
    <t>Strophitus undulatus</t>
  </si>
  <si>
    <t>Truncilla donaciformis</t>
  </si>
  <si>
    <t>Truncilla truncata</t>
  </si>
  <si>
    <t>Villosa lienosa</t>
  </si>
  <si>
    <t>Latitude</t>
  </si>
  <si>
    <t>Longitude</t>
  </si>
  <si>
    <t>Species (dead)</t>
  </si>
  <si>
    <t>End</t>
  </si>
  <si>
    <t>Head</t>
  </si>
  <si>
    <t>Map Label</t>
  </si>
  <si>
    <t>Length (mm)</t>
  </si>
  <si>
    <t>Length</t>
  </si>
  <si>
    <t>Mean</t>
  </si>
  <si>
    <t>Min</t>
  </si>
  <si>
    <t>Max</t>
  </si>
  <si>
    <t>50 - 59</t>
  </si>
  <si>
    <t>60 - 69</t>
  </si>
  <si>
    <t>70 - 79</t>
  </si>
  <si>
    <t>80 - 89</t>
  </si>
  <si>
    <t>90 - 99</t>
  </si>
  <si>
    <t>100 - 109</t>
  </si>
  <si>
    <t>110 - 119</t>
  </si>
  <si>
    <r>
      <t>Bed area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</si>
  <si>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Site Name</t>
  </si>
  <si>
    <t>Species Richness</t>
  </si>
  <si>
    <t>Total Live Individuals</t>
  </si>
  <si>
    <t>Relative Abundance</t>
  </si>
  <si>
    <t>Total Individuals</t>
  </si>
  <si>
    <t>Bed Area</t>
  </si>
  <si>
    <r>
      <t>Density (#/m</t>
    </r>
    <r>
      <rPr>
        <vertAlign val="superscript"/>
        <sz val="10"/>
        <color theme="1"/>
        <rFont val="Agency FB"/>
        <family val="2"/>
      </rPr>
      <t>2</t>
    </r>
    <r>
      <rPr>
        <sz val="10"/>
        <color theme="1"/>
        <rFont val="Calibri"/>
        <family val="2"/>
        <scheme val="minor"/>
      </rPr>
      <t>)</t>
    </r>
  </si>
  <si>
    <t>SRB 10M</t>
  </si>
  <si>
    <t>SRB 9m</t>
  </si>
  <si>
    <t>SRB 8M</t>
  </si>
  <si>
    <t>SRB 7.5M</t>
  </si>
  <si>
    <t>SRB 7M</t>
  </si>
  <si>
    <t>SRB 6.5M</t>
  </si>
  <si>
    <t>SRB 5M</t>
  </si>
  <si>
    <t>Toxolasma lividum</t>
  </si>
  <si>
    <t>WML</t>
  </si>
  <si>
    <t>Pink Mucket</t>
  </si>
  <si>
    <t>Total</t>
  </si>
  <si>
    <t>% TOTAL</t>
  </si>
  <si>
    <t>TOTAL</t>
  </si>
  <si>
    <t>62-11</t>
  </si>
  <si>
    <t>60-7</t>
  </si>
  <si>
    <t>48-11</t>
  </si>
  <si>
    <t>45-9</t>
  </si>
  <si>
    <t>34-4</t>
  </si>
  <si>
    <t>29-11</t>
  </si>
  <si>
    <t>3-4</t>
  </si>
  <si>
    <t>2-3</t>
  </si>
  <si>
    <t>13-6</t>
  </si>
  <si>
    <t>10-11</t>
  </si>
  <si>
    <t>79-8</t>
  </si>
  <si>
    <t>79-7</t>
  </si>
  <si>
    <t>72-11</t>
  </si>
  <si>
    <t>113-12</t>
  </si>
  <si>
    <t>95-4</t>
  </si>
  <si>
    <t>92-7</t>
  </si>
  <si>
    <t>119-13</t>
  </si>
  <si>
    <t>117-13</t>
  </si>
  <si>
    <t>142-13</t>
  </si>
  <si>
    <t>125-7</t>
  </si>
  <si>
    <t>123-1</t>
  </si>
  <si>
    <t>163-11</t>
  </si>
  <si>
    <t>161-2</t>
  </si>
  <si>
    <t>Species</t>
  </si>
  <si>
    <t>Quadrats</t>
  </si>
  <si>
    <t>n=X</t>
  </si>
  <si>
    <t>Location:</t>
  </si>
  <si>
    <t>Totals</t>
  </si>
  <si>
    <t>Quad #</t>
  </si>
  <si>
    <t>Stats</t>
  </si>
  <si>
    <t>Results</t>
  </si>
  <si>
    <t>Quad#</t>
  </si>
  <si>
    <t>Sum</t>
  </si>
  <si>
    <t>136-8</t>
  </si>
  <si>
    <t>3-2</t>
  </si>
  <si>
    <t>66-14</t>
  </si>
  <si>
    <t>13-1</t>
  </si>
  <si>
    <t>1-16</t>
  </si>
  <si>
    <t>7-12</t>
  </si>
  <si>
    <t>9-7</t>
  </si>
  <si>
    <t>6-5</t>
  </si>
  <si>
    <t>min</t>
  </si>
  <si>
    <t>4-2</t>
  </si>
  <si>
    <t>70-7</t>
  </si>
  <si>
    <t>12-15</t>
  </si>
  <si>
    <t>14-2</t>
  </si>
  <si>
    <t>8-4</t>
  </si>
  <si>
    <t>24-13</t>
  </si>
  <si>
    <t>max</t>
  </si>
  <si>
    <t>18-9</t>
  </si>
  <si>
    <t>68-12</t>
  </si>
  <si>
    <t>16-4</t>
  </si>
  <si>
    <t>40-1</t>
  </si>
  <si>
    <t>29-15</t>
  </si>
  <si>
    <t>38-12</t>
  </si>
  <si>
    <t>var</t>
  </si>
  <si>
    <t>131-11</t>
  </si>
  <si>
    <t>68-2</t>
  </si>
  <si>
    <t>26-4</t>
  </si>
  <si>
    <t>94-14</t>
  </si>
  <si>
    <t>24-3</t>
  </si>
  <si>
    <t>74-1</t>
  </si>
  <si>
    <t>43-6</t>
  </si>
  <si>
    <t>50-3</t>
  </si>
  <si>
    <t>mean</t>
  </si>
  <si>
    <t>32-1</t>
  </si>
  <si>
    <t>124-7</t>
  </si>
  <si>
    <t>28-15</t>
  </si>
  <si>
    <t>97-1</t>
  </si>
  <si>
    <t>61-8</t>
  </si>
  <si>
    <t>std</t>
  </si>
  <si>
    <t>136-7</t>
  </si>
  <si>
    <t>31-9</t>
  </si>
  <si>
    <t>131-2</t>
  </si>
  <si>
    <t>144-14</t>
  </si>
  <si>
    <t>74-15</t>
  </si>
  <si>
    <t>66-15</t>
  </si>
  <si>
    <t>56-2</t>
  </si>
  <si>
    <t>58-14</t>
  </si>
  <si>
    <t>149-14</t>
  </si>
  <si>
    <t>77-14</t>
  </si>
  <si>
    <t>67-11</t>
  </si>
  <si>
    <t>34-9</t>
  </si>
  <si>
    <t>63-8</t>
  </si>
  <si>
    <t>160-1</t>
  </si>
  <si>
    <t>79-2</t>
  </si>
  <si>
    <t>68-4</t>
  </si>
  <si>
    <t>205-11</t>
  </si>
  <si>
    <t>Stratum II</t>
  </si>
  <si>
    <t>69-9</t>
  </si>
  <si>
    <t>180-16</t>
  </si>
  <si>
    <t>80-14</t>
  </si>
  <si>
    <t>69-15</t>
  </si>
  <si>
    <t>SII</t>
  </si>
  <si>
    <t>225-11</t>
  </si>
  <si>
    <t>81-6</t>
  </si>
  <si>
    <t>90-5</t>
  </si>
  <si>
    <t>26-8</t>
  </si>
  <si>
    <t>16-14</t>
  </si>
  <si>
    <t>91-8</t>
  </si>
  <si>
    <t>83-1</t>
  </si>
  <si>
    <t>77-2</t>
  </si>
  <si>
    <t>56-15</t>
  </si>
  <si>
    <t>31-22</t>
  </si>
  <si>
    <t>82-15</t>
  </si>
  <si>
    <t>248-11</t>
  </si>
  <si>
    <t>86-7</t>
  </si>
  <si>
    <t>88-11</t>
  </si>
  <si>
    <t>62-13</t>
  </si>
  <si>
    <t>93-5</t>
  </si>
  <si>
    <t>260-12</t>
  </si>
  <si>
    <t>97-10</t>
  </si>
  <si>
    <t>102-12</t>
  </si>
  <si>
    <t>82-24</t>
  </si>
  <si>
    <t>103-9</t>
  </si>
  <si>
    <t>264-17</t>
  </si>
  <si>
    <t>105-1</t>
  </si>
  <si>
    <t>103-13</t>
  </si>
  <si>
    <t>91-11</t>
  </si>
  <si>
    <t>108-14</t>
  </si>
  <si>
    <t>271-5</t>
  </si>
  <si>
    <t>105-5</t>
  </si>
  <si>
    <t>105-6</t>
  </si>
  <si>
    <t>92-6</t>
  </si>
  <si>
    <t>126-16</t>
  </si>
  <si>
    <t>112-12</t>
  </si>
  <si>
    <t>276-14</t>
  </si>
  <si>
    <t>108-13</t>
  </si>
  <si>
    <t>115-15</t>
  </si>
  <si>
    <t>289-9</t>
  </si>
  <si>
    <t>93-11</t>
  </si>
  <si>
    <t>115-1</t>
  </si>
  <si>
    <t>118-14</t>
  </si>
  <si>
    <t>123-3</t>
  </si>
  <si>
    <t>125-8</t>
  </si>
  <si>
    <t>103-8</t>
  </si>
  <si>
    <t>142-22</t>
  </si>
  <si>
    <t>137-11</t>
  </si>
  <si>
    <t>298-4</t>
  </si>
  <si>
    <t>123-15</t>
  </si>
  <si>
    <t>143-2</t>
  </si>
  <si>
    <t>27-10</t>
  </si>
  <si>
    <t>20-7</t>
  </si>
  <si>
    <t>111-8</t>
  </si>
  <si>
    <t>129-17</t>
  </si>
  <si>
    <t>164-1</t>
  </si>
  <si>
    <t>328-14</t>
  </si>
  <si>
    <t>137-6</t>
  </si>
  <si>
    <t>158-4</t>
  </si>
  <si>
    <t>126-9</t>
  </si>
  <si>
    <t>211-3</t>
  </si>
  <si>
    <t>200-5</t>
  </si>
  <si>
    <t>332-18</t>
  </si>
  <si>
    <t>141-4</t>
  </si>
  <si>
    <t>160-13</t>
  </si>
  <si>
    <t>223-15</t>
  </si>
  <si>
    <t>201-3</t>
  </si>
  <si>
    <t>447-17</t>
  </si>
  <si>
    <t>160-14</t>
  </si>
  <si>
    <t>29-4</t>
  </si>
  <si>
    <t>129-13</t>
  </si>
  <si>
    <t>229-20</t>
  </si>
  <si>
    <t>183-9</t>
  </si>
  <si>
    <t>454-10</t>
  </si>
  <si>
    <t>145-4</t>
  </si>
  <si>
    <t>135-5</t>
  </si>
  <si>
    <t>243-16</t>
  </si>
  <si>
    <t>192-19</t>
  </si>
  <si>
    <t>390-5</t>
  </si>
  <si>
    <t>151-10</t>
  </si>
  <si>
    <t>35-4</t>
  </si>
  <si>
    <t>136-4</t>
  </si>
  <si>
    <t>287-5</t>
  </si>
  <si>
    <t>165-21</t>
  </si>
  <si>
    <t>420-16</t>
  </si>
  <si>
    <t>154-8</t>
  </si>
  <si>
    <t>141-11</t>
  </si>
  <si>
    <t>181-17</t>
  </si>
  <si>
    <t>432-12</t>
  </si>
  <si>
    <t>162-5</t>
  </si>
  <si>
    <t>142-14</t>
  </si>
  <si>
    <t>164-15</t>
  </si>
  <si>
    <t>15-8</t>
  </si>
  <si>
    <t>152-11</t>
  </si>
  <si>
    <t>Stratum III</t>
  </si>
  <si>
    <t>29-3</t>
  </si>
  <si>
    <t>143-6</t>
  </si>
  <si>
    <t>8-12</t>
  </si>
  <si>
    <t>57-2</t>
  </si>
  <si>
    <t>159-7</t>
  </si>
  <si>
    <t>30-11</t>
  </si>
  <si>
    <t>1-8</t>
  </si>
  <si>
    <t>59-3</t>
  </si>
  <si>
    <t>166-7</t>
  </si>
  <si>
    <t>31-8</t>
  </si>
  <si>
    <t>7-10</t>
  </si>
  <si>
    <t>153-7</t>
  </si>
  <si>
    <t>9-5</t>
  </si>
  <si>
    <t>23-4</t>
  </si>
  <si>
    <t>29-6</t>
  </si>
  <si>
    <t>Stratum IV</t>
  </si>
  <si>
    <t>180-12</t>
  </si>
  <si>
    <t>149-5</t>
  </si>
  <si>
    <t>161-26</t>
  </si>
  <si>
    <t>74-12</t>
  </si>
  <si>
    <t>97-6</t>
  </si>
  <si>
    <t>131-19</t>
  </si>
  <si>
    <t>148-18</t>
  </si>
  <si>
    <t>40-18</t>
  </si>
  <si>
    <t>48-23</t>
  </si>
  <si>
    <t>1-10</t>
  </si>
  <si>
    <t>205-8</t>
  </si>
  <si>
    <t>225-14</t>
  </si>
  <si>
    <t>248-5</t>
  </si>
  <si>
    <t>260-25</t>
  </si>
  <si>
    <t>291-22</t>
  </si>
  <si>
    <t>298-17</t>
  </si>
  <si>
    <t>264-13</t>
  </si>
  <si>
    <t>271-11</t>
  </si>
  <si>
    <t>276-16</t>
  </si>
  <si>
    <t>289-4</t>
  </si>
  <si>
    <t>Quadrula cylindrica cylindrica</t>
  </si>
  <si>
    <t>Input</t>
  </si>
  <si>
    <t>n</t>
  </si>
  <si>
    <t>N</t>
  </si>
  <si>
    <t>y</t>
  </si>
  <si>
    <t>S</t>
  </si>
  <si>
    <t>f</t>
  </si>
  <si>
    <t>g</t>
  </si>
  <si>
    <t>x</t>
  </si>
  <si>
    <t>LU</t>
  </si>
  <si>
    <t>L</t>
  </si>
  <si>
    <t>temp deg</t>
  </si>
  <si>
    <t>Stratum I</t>
  </si>
  <si>
    <t>Stratum 2</t>
  </si>
  <si>
    <t>Stratum 3</t>
  </si>
  <si>
    <t>Stratum 4</t>
  </si>
  <si>
    <t xml:space="preserve"> </t>
  </si>
  <si>
    <t>Total number of shells is:</t>
  </si>
  <si>
    <t>x=</t>
  </si>
  <si>
    <t>n= number of samples taken</t>
  </si>
  <si>
    <t>Eff. Df</t>
  </si>
  <si>
    <t>Eff deg=</t>
  </si>
  <si>
    <t>N=total area for a given stratum (m2)</t>
  </si>
  <si>
    <t>Input Student's t</t>
  </si>
  <si>
    <t>y=number of mussels for a given stratum</t>
  </si>
  <si>
    <t>S=sample variance for a given stratum</t>
  </si>
  <si>
    <t>Student's t=</t>
  </si>
  <si>
    <t>t=Student's t from table</t>
  </si>
  <si>
    <t>Confidence intervals</t>
  </si>
  <si>
    <t>(x+t) case=</t>
  </si>
  <si>
    <t>x value=:</t>
  </si>
  <si>
    <t>(x-t) case=</t>
  </si>
  <si>
    <t>+/- value=:</t>
  </si>
  <si>
    <t>Community/Population Estimates for Mussel Beds</t>
  </si>
  <si>
    <t>L. abrupta</t>
  </si>
  <si>
    <t>Q. fragosa</t>
  </si>
  <si>
    <t>2014 Data</t>
  </si>
  <si>
    <t>5-18</t>
  </si>
  <si>
    <t>11-19</t>
  </si>
  <si>
    <t>12-4</t>
  </si>
  <si>
    <t>14-7</t>
  </si>
  <si>
    <t>16-2</t>
  </si>
  <si>
    <t>24-18</t>
  </si>
  <si>
    <t>32-17</t>
  </si>
  <si>
    <t>35-19</t>
  </si>
  <si>
    <t>35-6</t>
  </si>
  <si>
    <t>55-1</t>
  </si>
  <si>
    <t>56-14</t>
  </si>
  <si>
    <t>61-14</t>
  </si>
  <si>
    <t>21-3</t>
  </si>
  <si>
    <t>30-5</t>
  </si>
  <si>
    <t>79-1</t>
  </si>
  <si>
    <t>145-2</t>
  </si>
  <si>
    <t>146-4</t>
  </si>
  <si>
    <t>148-5</t>
  </si>
  <si>
    <t>169-5</t>
  </si>
  <si>
    <t>200-2</t>
  </si>
  <si>
    <t>210-1</t>
  </si>
  <si>
    <t>15-7</t>
  </si>
  <si>
    <t>19-4</t>
  </si>
  <si>
    <t>64-4</t>
  </si>
  <si>
    <t>64-7</t>
  </si>
  <si>
    <t>68-1</t>
  </si>
  <si>
    <t>69-5</t>
  </si>
  <si>
    <t>86-6</t>
  </si>
  <si>
    <t>127-7</t>
  </si>
  <si>
    <t>147-5</t>
  </si>
  <si>
    <t>154-1</t>
  </si>
  <si>
    <t>164-8</t>
  </si>
  <si>
    <t>173-7</t>
  </si>
  <si>
    <t>175-8</t>
  </si>
  <si>
    <t>184-6</t>
  </si>
  <si>
    <t>186-6</t>
  </si>
  <si>
    <t>9-8</t>
  </si>
  <si>
    <t>11-7</t>
  </si>
  <si>
    <t>25-2</t>
  </si>
  <si>
    <t>38-3</t>
  </si>
  <si>
    <t>51-9</t>
  </si>
  <si>
    <t>60-9</t>
  </si>
  <si>
    <t>75-1</t>
  </si>
  <si>
    <t>92-10</t>
  </si>
  <si>
    <t>102-5</t>
  </si>
  <si>
    <t>102-9</t>
  </si>
  <si>
    <t>120-4</t>
  </si>
  <si>
    <t>102-8</t>
  </si>
  <si>
    <t>65-9</t>
  </si>
  <si>
    <t>72-1</t>
  </si>
  <si>
    <t>72-7</t>
  </si>
  <si>
    <t>82-9</t>
  </si>
  <si>
    <t>101-1</t>
  </si>
  <si>
    <t>112-5</t>
  </si>
  <si>
    <t>7-4</t>
  </si>
  <si>
    <t>21-4</t>
  </si>
  <si>
    <t>58-4</t>
  </si>
  <si>
    <t>60-6</t>
  </si>
  <si>
    <t>7-2</t>
  </si>
  <si>
    <t>26-3</t>
  </si>
  <si>
    <t>27-1</t>
  </si>
  <si>
    <t>72-2</t>
  </si>
  <si>
    <t>51-1</t>
  </si>
  <si>
    <t>51-3</t>
  </si>
  <si>
    <t>53-1</t>
  </si>
  <si>
    <t>92-5</t>
  </si>
  <si>
    <t>108-1</t>
  </si>
  <si>
    <t>151-5</t>
  </si>
  <si>
    <t>194-1</t>
  </si>
  <si>
    <t>254-3</t>
  </si>
  <si>
    <t>266-2</t>
  </si>
  <si>
    <t>305-3</t>
  </si>
  <si>
    <t>283-4</t>
  </si>
  <si>
    <t>291-3</t>
  </si>
  <si>
    <t>311-2</t>
  </si>
  <si>
    <t>354-1</t>
  </si>
  <si>
    <t>35-2</t>
  </si>
  <si>
    <t>42-5</t>
  </si>
  <si>
    <t>61-2</t>
  </si>
  <si>
    <t>82-2</t>
  </si>
  <si>
    <t>24-5</t>
  </si>
  <si>
    <t>55-2</t>
  </si>
  <si>
    <t>86-4</t>
  </si>
  <si>
    <t>142-9</t>
  </si>
  <si>
    <t>145-20</t>
  </si>
  <si>
    <t>168-5</t>
  </si>
  <si>
    <t>197-7</t>
  </si>
  <si>
    <t>198-18</t>
  </si>
  <si>
    <t>187-17</t>
  </si>
  <si>
    <t>206-16</t>
  </si>
  <si>
    <t>206-20</t>
  </si>
  <si>
    <t>213-13</t>
  </si>
  <si>
    <t>225-16</t>
  </si>
  <si>
    <t>256-13</t>
  </si>
  <si>
    <t>293-8</t>
  </si>
  <si>
    <t>308-2</t>
  </si>
  <si>
    <t>295-2</t>
  </si>
  <si>
    <t>296-13</t>
  </si>
  <si>
    <t>341-14</t>
  </si>
  <si>
    <t>384-14</t>
  </si>
  <si>
    <t>387-18</t>
  </si>
  <si>
    <t>396-14</t>
  </si>
  <si>
    <t>418-4</t>
  </si>
  <si>
    <t>6M Stratum 1</t>
  </si>
  <si>
    <t>6M Stratum 2</t>
  </si>
  <si>
    <t>7M</t>
  </si>
  <si>
    <t>6.5M</t>
  </si>
  <si>
    <t>8M</t>
  </si>
  <si>
    <t>7.5M</t>
  </si>
  <si>
    <t>9m</t>
  </si>
  <si>
    <t>10M</t>
  </si>
  <si>
    <t>SRB 6M Strat 1</t>
  </si>
  <si>
    <t>SRB 6M Strat 2</t>
  </si>
  <si>
    <t>SRB10M</t>
  </si>
  <si>
    <t>SRB9m</t>
  </si>
  <si>
    <t>SRB8M</t>
  </si>
  <si>
    <t>SRB6.5M</t>
  </si>
  <si>
    <t>SRB6M Stratum I</t>
  </si>
  <si>
    <t>SRB7M</t>
  </si>
  <si>
    <t>SRB7.5M</t>
  </si>
  <si>
    <t>SRB 6M Stratum II</t>
  </si>
  <si>
    <t>3-14</t>
  </si>
  <si>
    <t>4-6</t>
  </si>
  <si>
    <t>13-19</t>
  </si>
  <si>
    <t>36-8</t>
  </si>
  <si>
    <t>29-5</t>
  </si>
  <si>
    <t>46-5</t>
  </si>
  <si>
    <t>51-10</t>
  </si>
  <si>
    <t>61-5</t>
  </si>
  <si>
    <t>59-15</t>
  </si>
  <si>
    <t>66-5</t>
  </si>
  <si>
    <t>74-17</t>
  </si>
  <si>
    <t>74-19</t>
  </si>
  <si>
    <t>91-7</t>
  </si>
  <si>
    <t>83-20</t>
  </si>
  <si>
    <t>97-16</t>
  </si>
  <si>
    <t>100-2</t>
  </si>
  <si>
    <t>129-10</t>
  </si>
  <si>
    <t>137-18</t>
  </si>
  <si>
    <t>113-7</t>
  </si>
  <si>
    <t>113-18</t>
  </si>
  <si>
    <t>151-16</t>
  </si>
  <si>
    <t>143-14</t>
  </si>
  <si>
    <t>145-3</t>
  </si>
  <si>
    <t>1-5</t>
  </si>
  <si>
    <t>14-4</t>
  </si>
  <si>
    <t>25-4</t>
  </si>
  <si>
    <t>32-9</t>
  </si>
  <si>
    <t>37-1</t>
  </si>
  <si>
    <t>42-1</t>
  </si>
  <si>
    <t>72-4</t>
  </si>
  <si>
    <t>88-2</t>
  </si>
  <si>
    <t>91-1</t>
  </si>
  <si>
    <t>41-2</t>
  </si>
  <si>
    <t>45-3</t>
  </si>
  <si>
    <t>76-4</t>
  </si>
  <si>
    <t>93-4</t>
  </si>
  <si>
    <t>3-5</t>
  </si>
  <si>
    <t>11-6</t>
  </si>
  <si>
    <t>21-8</t>
  </si>
  <si>
    <t>27-4</t>
  </si>
  <si>
    <t>44-9</t>
  </si>
  <si>
    <t>52-6</t>
  </si>
  <si>
    <t>57-10</t>
  </si>
  <si>
    <t>60-5</t>
  </si>
  <si>
    <t>79-4</t>
  </si>
  <si>
    <t>88-8</t>
  </si>
  <si>
    <t>119-9</t>
  </si>
  <si>
    <t>146-1</t>
  </si>
  <si>
    <t>146-5</t>
  </si>
  <si>
    <t>154-9</t>
  </si>
  <si>
    <t>172-6</t>
  </si>
  <si>
    <t>176-9</t>
  </si>
  <si>
    <t>1</t>
  </si>
  <si>
    <t>2</t>
  </si>
  <si>
    <t>3</t>
  </si>
  <si>
    <t>4</t>
  </si>
  <si>
    <t>5</t>
  </si>
  <si>
    <t>52-1</t>
  </si>
  <si>
    <t>106-1</t>
  </si>
  <si>
    <t>124-1</t>
  </si>
  <si>
    <t>11-10</t>
  </si>
  <si>
    <t>11-1</t>
  </si>
  <si>
    <t>18-5</t>
  </si>
  <si>
    <t>19-8</t>
  </si>
  <si>
    <t>37-6</t>
  </si>
  <si>
    <t>45-4</t>
  </si>
  <si>
    <t>56-1</t>
  </si>
  <si>
    <t>63-9</t>
  </si>
  <si>
    <t>74-6</t>
  </si>
  <si>
    <t>SRB 0.5M Strat 1</t>
  </si>
  <si>
    <t>SRB 0.5M Strat 2</t>
  </si>
  <si>
    <t>SRB 3M Strat 2</t>
  </si>
  <si>
    <t>SRB 3M Strat 1</t>
  </si>
  <si>
    <t>SRB 2M</t>
  </si>
  <si>
    <t>0.5M Stratum 1</t>
  </si>
  <si>
    <t>0.5M Stratum 2</t>
  </si>
  <si>
    <t>0.0m</t>
  </si>
  <si>
    <t>SRB 0.0m</t>
  </si>
  <si>
    <t>2M</t>
  </si>
  <si>
    <t>3M Stratum 1</t>
  </si>
  <si>
    <t>3M Stratum 2</t>
  </si>
  <si>
    <t>4m</t>
  </si>
  <si>
    <t>SRB 4m</t>
  </si>
  <si>
    <t>5M</t>
  </si>
  <si>
    <t>SRB 0.5M Stratum I</t>
  </si>
  <si>
    <t>SRB 0.5M Stratum II</t>
  </si>
  <si>
    <t>SRB 3M Stratum I</t>
  </si>
  <si>
    <t xml:space="preserve">SRB 8M </t>
  </si>
  <si>
    <t>Bed Total</t>
  </si>
  <si>
    <t>±</t>
  </si>
  <si>
    <r>
      <t xml:space="preserve">4507 </t>
    </r>
    <r>
      <rPr>
        <sz val="11"/>
        <color theme="1"/>
        <rFont val="Calibri"/>
        <family val="2"/>
      </rPr>
      <t>± 2319</t>
    </r>
  </si>
  <si>
    <t>1733 ± 1877</t>
  </si>
  <si>
    <t>87 ± 233</t>
  </si>
  <si>
    <t>867 ± 1061</t>
  </si>
  <si>
    <t>1820 ± 1144</t>
  </si>
  <si>
    <t>SBM 0.5M Strat 1</t>
  </si>
  <si>
    <t>SBM 0.5M Strat 2</t>
  </si>
  <si>
    <t>47970 ± 7729</t>
  </si>
  <si>
    <t>23040 ± 5731</t>
  </si>
  <si>
    <t>180 ± 328</t>
  </si>
  <si>
    <t>540 ± 701</t>
  </si>
  <si>
    <t>1530 ± 814</t>
  </si>
  <si>
    <t xml:space="preserve">90 ± 164 </t>
  </si>
  <si>
    <t>1530 ± 602</t>
  </si>
  <si>
    <t>3780 ± 3696</t>
  </si>
  <si>
    <t>540 ± 502</t>
  </si>
  <si>
    <t>1170 ± 650</t>
  </si>
  <si>
    <t>90 ± 164</t>
  </si>
  <si>
    <t>1260 ± 819</t>
  </si>
  <si>
    <t>13590 ± 2972</t>
  </si>
  <si>
    <t>540 ± 438</t>
  </si>
  <si>
    <t>SBM 3M Strat 1</t>
  </si>
  <si>
    <t>SRB 2m</t>
  </si>
  <si>
    <t>SBM 3M Strat 2</t>
  </si>
  <si>
    <t xml:space="preserve">SRB 5M </t>
  </si>
  <si>
    <t>SRB6M Strat 2</t>
  </si>
  <si>
    <t>SRB6M Strat I</t>
  </si>
  <si>
    <t xml:space="preserve"> ±</t>
  </si>
  <si>
    <t>44062  ± 17721</t>
  </si>
  <si>
    <t>21120  ± 11508</t>
  </si>
  <si>
    <t>52600  ± 12343</t>
  </si>
  <si>
    <t>66300  ± 16001</t>
  </si>
  <si>
    <t>1004256 ± 271786</t>
  </si>
  <si>
    <t>170752 ± 29259</t>
  </si>
  <si>
    <t>48922 ± 12950</t>
  </si>
  <si>
    <t>16910 ± 8974</t>
  </si>
  <si>
    <t>5605 ± 4662</t>
  </si>
  <si>
    <t>190 ± 229</t>
  </si>
  <si>
    <t>285 ± 561</t>
  </si>
  <si>
    <t>95 ± 187</t>
  </si>
  <si>
    <t>1045 ± 871</t>
  </si>
  <si>
    <t>285 ± 296</t>
  </si>
  <si>
    <t>1710 ± 1885</t>
  </si>
  <si>
    <t>1900 ± 2233</t>
  </si>
  <si>
    <t>760 ± 867</t>
  </si>
  <si>
    <t>4370 ± 1368</t>
  </si>
  <si>
    <t>17472 ± 5705</t>
  </si>
  <si>
    <t>822 ± 660</t>
  </si>
  <si>
    <t>1953 ± 1335</t>
  </si>
  <si>
    <t>411 ± 423</t>
  </si>
  <si>
    <t>103 ± 182</t>
  </si>
  <si>
    <t>206 ± 249</t>
  </si>
  <si>
    <t>1747 ± 971</t>
  </si>
  <si>
    <t>5756 ± 2773</t>
  </si>
  <si>
    <t>822 ± 543</t>
  </si>
  <si>
    <t>308 ± 545</t>
  </si>
  <si>
    <t>1336 ± 946</t>
  </si>
  <si>
    <t>308 ± 296</t>
  </si>
  <si>
    <t>2364 ± 909</t>
  </si>
  <si>
    <t>14389 ± 3505</t>
  </si>
  <si>
    <t>308 ± 397</t>
  </si>
  <si>
    <t>37632 ± 8057</t>
  </si>
  <si>
    <t xml:space="preserve">2304 ± 1145 </t>
  </si>
  <si>
    <t>128 ± 224</t>
  </si>
  <si>
    <t>4864 ± 1715</t>
  </si>
  <si>
    <t>9600 ± 2929</t>
  </si>
  <si>
    <t>768 ± 1545</t>
  </si>
  <si>
    <t>256 ± 310</t>
  </si>
  <si>
    <t>128  ± 224</t>
  </si>
  <si>
    <t>4608  ± 1413</t>
  </si>
  <si>
    <t>3200  ± 1294</t>
  </si>
  <si>
    <t>46080  ± 14135</t>
  </si>
  <si>
    <t>4864  ± 3884</t>
  </si>
  <si>
    <t>2304  ± 1666</t>
  </si>
  <si>
    <t>1664  ± 863</t>
  </si>
  <si>
    <t>10496  ± 2921</t>
  </si>
  <si>
    <t>256  ± 310</t>
  </si>
  <si>
    <t>128  ± 244</t>
  </si>
  <si>
    <t>4352  ± 1581</t>
  </si>
  <si>
    <t>384  ± 372</t>
  </si>
  <si>
    <t>35712  ± 4010</t>
  </si>
  <si>
    <t>384  ± 672</t>
  </si>
  <si>
    <t>16229  ± 7221</t>
  </si>
  <si>
    <t>114  ± 204</t>
  </si>
  <si>
    <t>1714  ± 1141</t>
  </si>
  <si>
    <t>1486  ± 1514</t>
  </si>
  <si>
    <t>343  ± 326</t>
  </si>
  <si>
    <t>686  ± 578</t>
  </si>
  <si>
    <t>4343  ± 4682</t>
  </si>
  <si>
    <t>1257  ± 1702</t>
  </si>
  <si>
    <t>457  ± 632</t>
  </si>
  <si>
    <t>2971  ± 893</t>
  </si>
  <si>
    <t>10743  ± 2501</t>
  </si>
  <si>
    <t>5390  ± 2926</t>
  </si>
  <si>
    <t>220  ± 402</t>
  </si>
  <si>
    <t>330  ± 603</t>
  </si>
  <si>
    <t>330  ± 429</t>
  </si>
  <si>
    <t>5060  ± 6850</t>
  </si>
  <si>
    <t>990  ± 1597</t>
  </si>
  <si>
    <t>330 ± 429</t>
  </si>
  <si>
    <t>110 ± 201</t>
  </si>
  <si>
    <t>330 ± 603</t>
  </si>
  <si>
    <t>1870 ± 995</t>
  </si>
  <si>
    <t>5830 ± 1722</t>
  </si>
  <si>
    <r>
      <t xml:space="preserve">29445 </t>
    </r>
    <r>
      <rPr>
        <sz val="11"/>
        <color theme="1"/>
        <rFont val="Calibri"/>
        <family val="2"/>
      </rPr>
      <t>± 4574</t>
    </r>
  </si>
  <si>
    <t>9750 ± 2339</t>
  </si>
  <si>
    <t>195 ± 237</t>
  </si>
  <si>
    <t>780 ± 759</t>
  </si>
  <si>
    <t>98 ± 173</t>
  </si>
  <si>
    <t>1658 ± 691</t>
  </si>
  <si>
    <t>488 ± 332</t>
  </si>
  <si>
    <t>2730 ± 820</t>
  </si>
  <si>
    <t>12968 ± 2926</t>
  </si>
  <si>
    <t xml:space="preserve"> 36500 ± 7638</t>
  </si>
  <si>
    <t>13100 ± 5072</t>
  </si>
  <si>
    <t>100 ± 180</t>
  </si>
  <si>
    <t>1500 ± 910</t>
  </si>
  <si>
    <t>500 ± 421</t>
  </si>
  <si>
    <t>1200 ± 769</t>
  </si>
  <si>
    <t>500 ± 563</t>
  </si>
  <si>
    <t>200 ± 243</t>
  </si>
  <si>
    <t>600 ± 336</t>
  </si>
  <si>
    <t>12800 ± 2560</t>
  </si>
  <si>
    <t>5300  1840</t>
  </si>
  <si>
    <t>10900 ± 4044</t>
  </si>
  <si>
    <t>900 ± 541</t>
  </si>
  <si>
    <t>4000 ± 2532</t>
  </si>
  <si>
    <t>5600 ± 2615</t>
  </si>
  <si>
    <t>900 ± 659</t>
  </si>
  <si>
    <t>600 ± 421</t>
  </si>
  <si>
    <t>900 ± 603</t>
  </si>
  <si>
    <t>3500 ± 2071</t>
  </si>
  <si>
    <t>500 ± 562</t>
  </si>
  <si>
    <t>900 ± 759</t>
  </si>
  <si>
    <t>1400 ± 954</t>
  </si>
  <si>
    <t>2200 ± 1216</t>
  </si>
  <si>
    <t>19700 ± 4174</t>
  </si>
  <si>
    <t>300 ± 283</t>
  </si>
  <si>
    <t>18400 ± 5421</t>
  </si>
  <si>
    <t>700 ± 639</t>
  </si>
  <si>
    <t>900 ± 647</t>
  </si>
  <si>
    <t>3200 ± 1358</t>
  </si>
  <si>
    <t>100 ± 558</t>
  </si>
  <si>
    <t>200 ± 250</t>
  </si>
  <si>
    <t>2800 ± 1157</t>
  </si>
  <si>
    <t>700 ± 459</t>
  </si>
  <si>
    <t>11700 ± 5218</t>
  </si>
  <si>
    <t>400 ± 322</t>
  </si>
  <si>
    <t>100 ± 176</t>
  </si>
  <si>
    <t>2300 ± 979</t>
  </si>
  <si>
    <t>300 ± 288</t>
  </si>
  <si>
    <t>24300 ± 4780</t>
  </si>
  <si>
    <t>7524 ± 3657</t>
  </si>
  <si>
    <t>176616 ± 68560</t>
  </si>
  <si>
    <t>8712 ± 3662</t>
  </si>
  <si>
    <t>33264 ± 12408</t>
  </si>
  <si>
    <t>28908 ± 12887</t>
  </si>
  <si>
    <t>90684 ± 34642</t>
  </si>
  <si>
    <t>396 ± 695</t>
  </si>
  <si>
    <t>7128 ± 3096</t>
  </si>
  <si>
    <t>792 ± 1391</t>
  </si>
  <si>
    <t>19008 ± 13830</t>
  </si>
  <si>
    <t>4356 ± 2027</t>
  </si>
  <si>
    <t>237600 ± 58695</t>
  </si>
  <si>
    <t>43164 ± 14045</t>
  </si>
  <si>
    <t>75240 ± 41070</t>
  </si>
  <si>
    <t>36036 ± 12326</t>
  </si>
  <si>
    <t>25740 ± 14884</t>
  </si>
  <si>
    <t>396 ± 395</t>
  </si>
  <si>
    <t>2376 ± 1817</t>
  </si>
  <si>
    <t>1188 ± 1153</t>
  </si>
  <si>
    <t>5148 ± 3635</t>
  </si>
  <si>
    <t>185724 ± 42638</t>
  </si>
  <si>
    <t>6336  3310</t>
  </si>
  <si>
    <t>3168 ± 1935</t>
  </si>
  <si>
    <t>6m</t>
  </si>
  <si>
    <t>3M</t>
  </si>
  <si>
    <t>2m</t>
  </si>
  <si>
    <t>0.5M</t>
  </si>
  <si>
    <t>0m</t>
  </si>
  <si>
    <t>Bed Width (m)</t>
  </si>
  <si>
    <t>RHBFDS in trench at toe of bank</t>
  </si>
  <si>
    <t>General Location</t>
  </si>
  <si>
    <t>LHBFDS at starting near toe of bank</t>
  </si>
  <si>
    <t>RHBFDS starting at toe of bank</t>
  </si>
  <si>
    <t>RHBFDS to center channel</t>
  </si>
  <si>
    <t>RHBFDS at toe of bank</t>
  </si>
  <si>
    <t>Bank to Bank starting at each toe of bank</t>
  </si>
  <si>
    <t>SR 07251401</t>
  </si>
  <si>
    <t>14-39</t>
  </si>
  <si>
    <t>SR 07251402</t>
  </si>
  <si>
    <t>14-38</t>
  </si>
  <si>
    <t>SR 07251403</t>
  </si>
  <si>
    <t>14-37</t>
  </si>
  <si>
    <t>SR 07251404</t>
  </si>
  <si>
    <t>14-36</t>
  </si>
  <si>
    <t>SR 07251405</t>
  </si>
  <si>
    <t>14-35</t>
  </si>
  <si>
    <t>SR 07251406</t>
  </si>
  <si>
    <t>14-34</t>
  </si>
  <si>
    <t>SR 07251407</t>
  </si>
  <si>
    <t>14-33</t>
  </si>
  <si>
    <t>SR 07301401</t>
  </si>
  <si>
    <t>14-32</t>
  </si>
  <si>
    <t>SR 07311401</t>
  </si>
  <si>
    <t>14-31</t>
  </si>
  <si>
    <t>SR 09091401</t>
  </si>
  <si>
    <t>14-30</t>
  </si>
  <si>
    <t>SR 09091402</t>
  </si>
  <si>
    <t>14-29</t>
  </si>
  <si>
    <t>SR 09091403</t>
  </si>
  <si>
    <t>14-28</t>
  </si>
  <si>
    <t>SR 09091404</t>
  </si>
  <si>
    <t>14-27</t>
  </si>
  <si>
    <t>SR 09091405</t>
  </si>
  <si>
    <t>14-26</t>
  </si>
  <si>
    <t>SR 09091406</t>
  </si>
  <si>
    <t>14-25</t>
  </si>
  <si>
    <t>SR 09091407</t>
  </si>
  <si>
    <t>14-24</t>
  </si>
  <si>
    <t>SR 09101401</t>
  </si>
  <si>
    <t>14-23</t>
  </si>
  <si>
    <t>SR 09101402</t>
  </si>
  <si>
    <t>14-22</t>
  </si>
  <si>
    <t>SR 09101403</t>
  </si>
  <si>
    <t>14-21</t>
  </si>
  <si>
    <t>SR 09101404</t>
  </si>
  <si>
    <t>14-20</t>
  </si>
  <si>
    <t>SR 09161401</t>
  </si>
  <si>
    <t>14-15</t>
  </si>
  <si>
    <t>SR 09161402</t>
  </si>
  <si>
    <t>14-14</t>
  </si>
  <si>
    <t>SR 09161403</t>
  </si>
  <si>
    <t>14-12</t>
  </si>
  <si>
    <t>SR 09161404</t>
  </si>
  <si>
    <t>14-13</t>
  </si>
  <si>
    <t>SR 09161405</t>
  </si>
  <si>
    <t>14-11</t>
  </si>
  <si>
    <t>SR 09161406</t>
  </si>
  <si>
    <t>14-10</t>
  </si>
  <si>
    <t>SR09141401</t>
  </si>
  <si>
    <t>14-09</t>
  </si>
  <si>
    <t>SR 09171402</t>
  </si>
  <si>
    <t>14-08</t>
  </si>
  <si>
    <t>SR 09171403</t>
  </si>
  <si>
    <t>14-07</t>
  </si>
  <si>
    <t>SR 09171404</t>
  </si>
  <si>
    <t>14-06</t>
  </si>
  <si>
    <t>SR 09171405</t>
  </si>
  <si>
    <t>14-05</t>
  </si>
  <si>
    <t>SR 09171406</t>
  </si>
  <si>
    <t>14-04</t>
  </si>
  <si>
    <t>SR 09171407</t>
  </si>
  <si>
    <t>14-03</t>
  </si>
  <si>
    <t>SR 09171408</t>
  </si>
  <si>
    <t>14-02</t>
  </si>
  <si>
    <t>SR 09171409</t>
  </si>
  <si>
    <t>14-01</t>
  </si>
  <si>
    <t>SR 09161407</t>
  </si>
  <si>
    <t>14-19</t>
  </si>
  <si>
    <t>SR 09161408</t>
  </si>
  <si>
    <t>14-18</t>
  </si>
  <si>
    <t>SR 09161409</t>
  </si>
  <si>
    <t>14-17</t>
  </si>
  <si>
    <t>12</t>
  </si>
  <si>
    <t>365</t>
  </si>
  <si>
    <t>0</t>
  </si>
  <si>
    <t>42</t>
  </si>
  <si>
    <t>78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</si>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</sst>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"/>
    <numFmt numFmtId="165" formatCode="0.000000"/>
    <numFmt numFmtId="166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perscript"/>
      <sz val="10"/>
      <color theme="1"/>
      <name val="Agency FB"/>
      <family val="2"/>
    </font>
    <font>
      <sz val="10"/>
      <name val="Arial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2"/>
      <name val="Helv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sz val="11"/>
      <color theme="1"/>
      <name val="Times New Roman"/>
      <family val="1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7" fillId="0" borderId="0"/>
    <xf numFmtId="0" fontId="8" fillId="0" borderId="0"/>
    <xf numFmtId="0" fontId="9" fillId="0" borderId="0"/>
  </cellStyleXfs>
  <cellXfs count="12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16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" fontId="3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 wrapText="1"/>
    </xf>
    <xf numFmtId="1" fontId="3" fillId="0" borderId="0" xfId="0" applyNumberFormat="1" applyFont="1" applyFill="1" applyAlignment="1">
      <alignment horizontal="right"/>
    </xf>
    <xf numFmtId="10" fontId="3" fillId="0" borderId="0" xfId="1" applyNumberFormat="1" applyFont="1" applyAlignment="1">
      <alignment horizontal="right"/>
    </xf>
    <xf numFmtId="9" fontId="3" fillId="0" borderId="0" xfId="1" applyFont="1" applyAlignment="1">
      <alignment horizontal="right"/>
    </xf>
    <xf numFmtId="0" fontId="7" fillId="0" borderId="0" xfId="2"/>
    <xf numFmtId="2" fontId="7" fillId="0" borderId="0" xfId="2" applyNumberFormat="1"/>
    <xf numFmtId="2" fontId="7" fillId="0" borderId="0" xfId="2" applyNumberFormat="1" applyAlignment="1">
      <alignment horizontal="center"/>
    </xf>
    <xf numFmtId="0" fontId="7" fillId="0" borderId="0" xfId="2" applyAlignment="1">
      <alignment horizontal="center"/>
    </xf>
    <xf numFmtId="49" fontId="7" fillId="0" borderId="0" xfId="2" applyNumberFormat="1" applyAlignment="1">
      <alignment horizontal="center"/>
    </xf>
    <xf numFmtId="0" fontId="7" fillId="0" borderId="0" xfId="2" applyFill="1"/>
    <xf numFmtId="0" fontId="8" fillId="0" borderId="0" xfId="2" applyFont="1" applyFill="1"/>
    <xf numFmtId="0" fontId="10" fillId="0" borderId="0" xfId="2" applyFont="1" applyFill="1"/>
    <xf numFmtId="0" fontId="8" fillId="0" borderId="0" xfId="2" applyFont="1"/>
    <xf numFmtId="0" fontId="7" fillId="3" borderId="0" xfId="2" applyFill="1"/>
    <xf numFmtId="0" fontId="8" fillId="3" borderId="0" xfId="2" applyFont="1" applyFill="1"/>
    <xf numFmtId="0" fontId="10" fillId="0" borderId="0" xfId="2" applyFont="1"/>
    <xf numFmtId="0" fontId="8" fillId="0" borderId="0" xfId="3"/>
    <xf numFmtId="0" fontId="11" fillId="0" borderId="0" xfId="2" applyFont="1"/>
    <xf numFmtId="0" fontId="8" fillId="0" borderId="0" xfId="3" applyFill="1"/>
    <xf numFmtId="0" fontId="7" fillId="4" borderId="0" xfId="2" applyFill="1"/>
    <xf numFmtId="0" fontId="11" fillId="0" borderId="0" xfId="2" applyFont="1" applyFill="1"/>
    <xf numFmtId="0" fontId="7" fillId="5" borderId="0" xfId="2" applyFill="1"/>
    <xf numFmtId="0" fontId="7" fillId="0" borderId="0" xfId="2" applyFont="1"/>
    <xf numFmtId="49" fontId="7" fillId="0" borderId="0" xfId="2" applyNumberFormat="1" applyFont="1"/>
    <xf numFmtId="49" fontId="8" fillId="0" borderId="0" xfId="2" applyNumberFormat="1" applyFont="1" applyAlignment="1">
      <alignment horizontal="center"/>
    </xf>
    <xf numFmtId="0" fontId="8" fillId="0" borderId="0" xfId="2" applyFont="1" applyAlignment="1">
      <alignment horizontal="center"/>
    </xf>
    <xf numFmtId="49" fontId="8" fillId="0" borderId="0" xfId="3" applyNumberFormat="1"/>
    <xf numFmtId="49" fontId="8" fillId="0" borderId="0" xfId="2" applyNumberFormat="1" applyFont="1"/>
    <xf numFmtId="49" fontId="7" fillId="0" borderId="0" xfId="2" applyNumberFormat="1"/>
    <xf numFmtId="49" fontId="7" fillId="0" borderId="0" xfId="2" applyNumberFormat="1" applyFont="1" applyBorder="1" applyAlignment="1">
      <alignment horizontal="right"/>
    </xf>
    <xf numFmtId="0" fontId="8" fillId="3" borderId="0" xfId="2" applyFont="1" applyFill="1" applyAlignment="1"/>
    <xf numFmtId="49" fontId="11" fillId="0" borderId="0" xfId="2" applyNumberFormat="1" applyFont="1" applyFill="1" applyBorder="1" applyAlignment="1">
      <alignment horizontal="left"/>
    </xf>
    <xf numFmtId="49" fontId="7" fillId="0" borderId="0" xfId="2" applyNumberFormat="1" applyFill="1"/>
    <xf numFmtId="0" fontId="8" fillId="0" borderId="0" xfId="3" applyFont="1"/>
    <xf numFmtId="0" fontId="8" fillId="0" borderId="0" xfId="3" applyFont="1" applyFill="1"/>
    <xf numFmtId="0" fontId="8" fillId="3" borderId="0" xfId="3" applyFill="1"/>
    <xf numFmtId="49" fontId="7" fillId="3" borderId="0" xfId="2" applyNumberFormat="1" applyFill="1"/>
    <xf numFmtId="0" fontId="12" fillId="0" borderId="0" xfId="2" applyFont="1" applyFill="1"/>
    <xf numFmtId="0" fontId="12" fillId="0" borderId="0" xfId="2" applyFont="1"/>
    <xf numFmtId="49" fontId="8" fillId="0" borderId="0" xfId="2" applyNumberFormat="1" applyFont="1" applyFill="1"/>
    <xf numFmtId="0" fontId="8" fillId="0" borderId="0" xfId="2" applyFont="1" applyFill="1" applyAlignment="1">
      <alignment horizontal="center"/>
    </xf>
    <xf numFmtId="49" fontId="8" fillId="5" borderId="0" xfId="2" applyNumberFormat="1" applyFont="1" applyFill="1"/>
    <xf numFmtId="0" fontId="8" fillId="5" borderId="0" xfId="3" applyFill="1"/>
    <xf numFmtId="0" fontId="8" fillId="5" borderId="0" xfId="3" applyFont="1" applyFill="1"/>
    <xf numFmtId="0" fontId="9" fillId="0" borderId="0" xfId="4"/>
    <xf numFmtId="0" fontId="9" fillId="0" borderId="0" xfId="4" applyAlignment="1" applyProtection="1">
      <alignment horizontal="right"/>
    </xf>
    <xf numFmtId="0" fontId="9" fillId="0" borderId="0" xfId="4" applyAlignment="1" applyProtection="1">
      <alignment horizontal="left"/>
    </xf>
    <xf numFmtId="0" fontId="9" fillId="0" borderId="0" xfId="4" applyProtection="1"/>
    <xf numFmtId="2" fontId="9" fillId="0" borderId="0" xfId="4" applyNumberFormat="1" applyProtection="1"/>
    <xf numFmtId="0" fontId="13" fillId="0" borderId="0" xfId="4" applyFont="1" applyAlignment="1" applyProtection="1">
      <alignment horizontal="left"/>
    </xf>
    <xf numFmtId="0" fontId="13" fillId="0" borderId="0" xfId="4" applyFont="1"/>
    <xf numFmtId="1" fontId="9" fillId="0" borderId="0" xfId="4" applyNumberFormat="1" applyProtection="1"/>
    <xf numFmtId="0" fontId="9" fillId="0" borderId="0" xfId="4" quotePrefix="1" applyAlignment="1" applyProtection="1">
      <alignment horizontal="right"/>
    </xf>
    <xf numFmtId="0" fontId="9" fillId="0" borderId="1" xfId="4" applyBorder="1"/>
    <xf numFmtId="0" fontId="14" fillId="0" borderId="0" xfId="4" applyFont="1"/>
    <xf numFmtId="0" fontId="9" fillId="0" borderId="0" xfId="4" applyBorder="1"/>
    <xf numFmtId="0" fontId="15" fillId="0" borderId="0" xfId="4" applyFont="1"/>
    <xf numFmtId="1" fontId="9" fillId="0" borderId="0" xfId="4" applyNumberFormat="1"/>
    <xf numFmtId="0" fontId="16" fillId="0" borderId="0" xfId="4" applyFont="1"/>
    <xf numFmtId="0" fontId="16" fillId="0" borderId="2" xfId="4" applyFont="1" applyBorder="1"/>
    <xf numFmtId="0" fontId="9" fillId="0" borderId="2" xfId="4" applyBorder="1"/>
    <xf numFmtId="0" fontId="8" fillId="0" borderId="0" xfId="2" applyFont="1" applyFill="1" applyAlignment="1">
      <alignment horizontal="center"/>
    </xf>
    <xf numFmtId="0" fontId="3" fillId="0" borderId="0" xfId="0" applyNumberFormat="1" applyFont="1" applyAlignment="1">
      <alignment horizontal="right"/>
    </xf>
    <xf numFmtId="0" fontId="0" fillId="3" borderId="0" xfId="0" applyFill="1"/>
    <xf numFmtId="0" fontId="8" fillId="0" borderId="0" xfId="2" applyFont="1" applyFill="1" applyAlignment="1"/>
    <xf numFmtId="0" fontId="17" fillId="0" borderId="0" xfId="0" applyFont="1" applyAlignment="1">
      <alignment horizontal="center"/>
    </xf>
    <xf numFmtId="0" fontId="7" fillId="0" borderId="0" xfId="2" applyNumberFormat="1"/>
    <xf numFmtId="0" fontId="12" fillId="0" borderId="0" xfId="3" applyFont="1"/>
    <xf numFmtId="0" fontId="7" fillId="0" borderId="0" xfId="2" applyFill="1" applyAlignment="1">
      <alignment horizontal="center"/>
    </xf>
    <xf numFmtId="0" fontId="18" fillId="0" borderId="0" xfId="0" applyFont="1" applyAlignment="1">
      <alignment horizontal="right"/>
    </xf>
    <xf numFmtId="0" fontId="0" fillId="0" borderId="0" xfId="0" applyNumberFormat="1" applyAlignment="1">
      <alignment horizontal="center"/>
    </xf>
    <xf numFmtId="49" fontId="7" fillId="4" borderId="0" xfId="2" applyNumberFormat="1" applyFont="1" applyFill="1"/>
    <xf numFmtId="0" fontId="7" fillId="2" borderId="0" xfId="2" applyFill="1" applyAlignment="1"/>
    <xf numFmtId="0" fontId="10" fillId="2" borderId="0" xfId="2" applyFont="1" applyFill="1" applyAlignment="1">
      <alignment horizontal="center"/>
    </xf>
    <xf numFmtId="0" fontId="8" fillId="2" borderId="0" xfId="2" applyFont="1" applyFill="1"/>
    <xf numFmtId="0" fontId="8" fillId="4" borderId="0" xfId="2" applyFont="1" applyFill="1"/>
    <xf numFmtId="0" fontId="8" fillId="4" borderId="0" xfId="2" applyFont="1" applyFill="1" applyAlignment="1">
      <alignment horizontal="center"/>
    </xf>
    <xf numFmtId="49" fontId="8" fillId="4" borderId="0" xfId="2" applyNumberFormat="1" applyFont="1" applyFill="1" applyAlignment="1">
      <alignment horizontal="center"/>
    </xf>
    <xf numFmtId="49" fontId="8" fillId="4" borderId="0" xfId="3" applyNumberFormat="1" applyFill="1"/>
    <xf numFmtId="0" fontId="8" fillId="4" borderId="0" xfId="3" applyFill="1"/>
    <xf numFmtId="0" fontId="7" fillId="0" borderId="0" xfId="2" applyNumberFormat="1" applyAlignment="1">
      <alignment horizontal="center"/>
    </xf>
    <xf numFmtId="0" fontId="7" fillId="2" borderId="0" xfId="2" applyFill="1"/>
    <xf numFmtId="49" fontId="7" fillId="4" borderId="0" xfId="2" applyNumberFormat="1" applyFill="1"/>
    <xf numFmtId="0" fontId="11" fillId="4" borderId="0" xfId="2" applyFont="1" applyFill="1"/>
    <xf numFmtId="0" fontId="0" fillId="0" borderId="0" xfId="0" applyAlignment="1">
      <alignment horizontal="center"/>
    </xf>
    <xf numFmtId="49" fontId="7" fillId="4" borderId="0" xfId="2" applyNumberFormat="1" applyFill="1" applyAlignment="1">
      <alignment horizontal="center"/>
    </xf>
    <xf numFmtId="0" fontId="0" fillId="4" borderId="0" xfId="0" applyFill="1"/>
    <xf numFmtId="0" fontId="10" fillId="4" borderId="0" xfId="2" applyFont="1" applyFill="1"/>
    <xf numFmtId="49" fontId="5" fillId="0" borderId="0" xfId="0" applyNumberFormat="1" applyFont="1" applyFill="1" applyAlignment="1">
      <alignment horizontal="left"/>
    </xf>
    <xf numFmtId="49" fontId="7" fillId="0" borderId="0" xfId="2" applyNumberFormat="1" applyFill="1" applyAlignment="1">
      <alignment horizontal="center"/>
    </xf>
    <xf numFmtId="0" fontId="0" fillId="0" borderId="0" xfId="0" applyFill="1"/>
    <xf numFmtId="49" fontId="5" fillId="4" borderId="0" xfId="0" applyNumberFormat="1" applyFont="1" applyFill="1" applyAlignment="1">
      <alignment horizontal="left"/>
    </xf>
    <xf numFmtId="0" fontId="12" fillId="4" borderId="0" xfId="2" applyFont="1" applyFill="1"/>
    <xf numFmtId="49" fontId="8" fillId="4" borderId="0" xfId="2" applyNumberFormat="1" applyFont="1" applyFill="1"/>
    <xf numFmtId="0" fontId="7" fillId="4" borderId="0" xfId="2" applyFill="1" applyAlignment="1">
      <alignment horizontal="center"/>
    </xf>
    <xf numFmtId="0" fontId="7" fillId="4" borderId="0" xfId="2" applyNumberFormat="1" applyFill="1"/>
    <xf numFmtId="0" fontId="8" fillId="4" borderId="0" xfId="3" applyFont="1" applyFill="1"/>
    <xf numFmtId="0" fontId="7" fillId="4" borderId="0" xfId="2" applyFont="1" applyFill="1"/>
    <xf numFmtId="0" fontId="19" fillId="0" borderId="0" xfId="0" applyFont="1"/>
    <xf numFmtId="0" fontId="21" fillId="0" borderId="0" xfId="0" applyFont="1" applyBorder="1" applyAlignment="1">
      <alignment vertical="center"/>
    </xf>
    <xf numFmtId="0" fontId="21" fillId="0" borderId="0" xfId="0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8" fillId="0" borderId="0" xfId="2" applyFont="1" applyFill="1" applyAlignment="1">
      <alignment horizontal="center"/>
    </xf>
    <xf numFmtId="0" fontId="10" fillId="3" borderId="0" xfId="2" applyFont="1" applyFill="1" applyAlignment="1">
      <alignment horizontal="center"/>
    </xf>
    <xf numFmtId="0" fontId="8" fillId="3" borderId="0" xfId="2" applyFont="1" applyFill="1" applyAlignment="1">
      <alignment horizontal="center"/>
    </xf>
  </cellXfs>
  <cellStyles count="5">
    <cellStyle name="Normal" xfId="0" builtinId="0"/>
    <cellStyle name="Normal 2" xfId="2"/>
    <cellStyle name="Normal_Book2" xfId="3"/>
    <cellStyle name="Normal_litt081602pos01" xfId="4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Measurements!$F$6:$L$6</c:f>
              <c:strCache>
                <c:ptCount val="7"/>
                <c:pt idx="0">
                  <c:v>50 - 59</c:v>
                </c:pt>
                <c:pt idx="1">
                  <c:v>60 - 69</c:v>
                </c:pt>
                <c:pt idx="2">
                  <c:v>70 - 79</c:v>
                </c:pt>
                <c:pt idx="3">
                  <c:v>80 - 89</c:v>
                </c:pt>
                <c:pt idx="4">
                  <c:v>90 - 99</c:v>
                </c:pt>
                <c:pt idx="5">
                  <c:v>100 - 109</c:v>
                </c:pt>
                <c:pt idx="6">
                  <c:v>110 - 119</c:v>
                </c:pt>
              </c:strCache>
            </c:strRef>
          </c:cat>
          <c:val>
            <c:numRef>
              <c:f>Measurements!$F$7:$L$7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8</c:v>
                </c:pt>
                <c:pt idx="4">
                  <c:v>25</c:v>
                </c:pt>
                <c:pt idx="5">
                  <c:v>15</c:v>
                </c:pt>
                <c:pt idx="6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445632"/>
        <c:axId val="42512320"/>
      </c:barChart>
      <c:catAx>
        <c:axId val="93445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Length (mm)</a:t>
                </a:r>
              </a:p>
            </c:rich>
          </c:tx>
          <c:overlay val="0"/>
        </c:title>
        <c:majorTickMark val="out"/>
        <c:minorTickMark val="none"/>
        <c:tickLblPos val="nextTo"/>
        <c:crossAx val="42512320"/>
        <c:crosses val="autoZero"/>
        <c:auto val="1"/>
        <c:lblAlgn val="ctr"/>
        <c:lblOffset val="100"/>
        <c:noMultiLvlLbl val="0"/>
      </c:catAx>
      <c:valAx>
        <c:axId val="425123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Individuals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445632"/>
        <c:crosses val="autoZero"/>
        <c:crossBetween val="between"/>
      </c:valAx>
    </c:plotArea>
    <c:plotVisOnly val="1"/>
    <c:dispBlanksAs val="gap"/>
    <c:showDLblsOverMax val="0"/>
  </c:chart>
  <c:spPr>
    <a:ln w="19050"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19</xdr:row>
      <xdr:rowOff>142875</xdr:rowOff>
    </xdr:from>
    <xdr:to>
      <xdr:col>11</xdr:col>
      <xdr:colOff>28575</xdr:colOff>
      <xdr:row>34</xdr:row>
      <xdr:rowOff>28575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5"/>
  <sheetViews>
    <sheetView tabSelected="1" workbookViewId="0">
      <pane xSplit="1" ySplit="1" topLeftCell="S2" activePane="bottomRight" state="frozen"/>
      <selection pane="topRight" activeCell="B1" sqref="B1"/>
      <selection pane="bottomLeft" activeCell="A2" sqref="A2"/>
      <selection pane="bottomRight" activeCell="E34" sqref="E34"/>
    </sheetView>
  </sheetViews>
  <sheetFormatPr defaultRowHeight="12.75" x14ac:dyDescent="0.2"/>
  <cols>
    <col min="1" max="1" width="26.5703125" style="8" bestFit="1" customWidth="1"/>
    <col min="2" max="2" width="7.85546875" style="9" bestFit="1" customWidth="1"/>
    <col min="3" max="3" width="6.7109375" style="9" bestFit="1" customWidth="1"/>
    <col min="4" max="4" width="6.85546875" style="9" bestFit="1" customWidth="1"/>
    <col min="5" max="5" width="8.28515625" style="9" bestFit="1" customWidth="1"/>
    <col min="6" max="6" width="6.85546875" style="9" bestFit="1" customWidth="1"/>
    <col min="7" max="7" width="8.28515625" style="9" bestFit="1" customWidth="1"/>
    <col min="8" max="9" width="12.42578125" style="9" bestFit="1" customWidth="1"/>
    <col min="10" max="11" width="6.85546875" style="9" bestFit="1" customWidth="1"/>
    <col min="12" max="13" width="12.42578125" style="9" bestFit="1" customWidth="1"/>
    <col min="14" max="14" width="6.85546875" style="9" bestFit="1" customWidth="1"/>
    <col min="15" max="16" width="14" style="9" bestFit="1" customWidth="1"/>
    <col min="17" max="17" width="8.7109375" style="9" bestFit="1" customWidth="1"/>
    <col min="18" max="18" width="7.85546875" style="9" customWidth="1"/>
    <col min="19" max="19" width="19.85546875" style="9" bestFit="1" customWidth="1"/>
    <col min="20" max="20" width="16.5703125" style="9" bestFit="1" customWidth="1"/>
    <col min="21" max="24" width="9.140625" style="9"/>
    <col min="25" max="26" width="14" style="9" bestFit="1" customWidth="1"/>
    <col min="27" max="27" width="9.140625" style="9"/>
    <col min="28" max="28" width="15.7109375" style="9" customWidth="1"/>
    <col min="29" max="16384" width="9.140625" style="9"/>
  </cols>
  <sheetData>
    <row r="1" spans="1:26" x14ac:dyDescent="0.2">
      <c r="A1" s="8" t="s">
        <v>37</v>
      </c>
      <c r="B1" s="9" t="s">
        <v>61</v>
      </c>
      <c r="C1" s="9" t="s">
        <v>62</v>
      </c>
      <c r="D1" s="9" t="s">
        <v>63</v>
      </c>
      <c r="E1" s="9" t="s">
        <v>64</v>
      </c>
      <c r="F1" s="9" t="s">
        <v>65</v>
      </c>
      <c r="G1" s="9" t="s">
        <v>66</v>
      </c>
      <c r="H1" s="9" t="s">
        <v>443</v>
      </c>
      <c r="I1" s="10" t="s">
        <v>444</v>
      </c>
      <c r="J1" s="10" t="s">
        <v>67</v>
      </c>
      <c r="K1" s="84" t="s">
        <v>535</v>
      </c>
      <c r="L1" s="84" t="s">
        <v>525</v>
      </c>
      <c r="M1" s="84" t="s">
        <v>524</v>
      </c>
      <c r="N1" s="84" t="s">
        <v>565</v>
      </c>
      <c r="O1" s="84" t="s">
        <v>522</v>
      </c>
      <c r="P1" s="84" t="s">
        <v>523</v>
      </c>
      <c r="Q1" s="9" t="s">
        <v>530</v>
      </c>
      <c r="S1" s="9" t="s">
        <v>56</v>
      </c>
      <c r="T1" s="9" t="s">
        <v>57</v>
      </c>
      <c r="Y1" s="84"/>
      <c r="Z1" s="84"/>
    </row>
    <row r="2" spans="1:26" x14ac:dyDescent="0.2">
      <c r="A2" s="8" t="s">
        <v>40</v>
      </c>
    </row>
    <row r="3" spans="1:26" s="13" customFormat="1" x14ac:dyDescent="0.2">
      <c r="A3" s="12" t="s">
        <v>1</v>
      </c>
      <c r="B3" s="13">
        <v>19</v>
      </c>
      <c r="C3" s="13">
        <v>1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S3" s="11">
        <f>SUM(B3:Q3)</f>
        <v>20</v>
      </c>
      <c r="T3" s="17">
        <f>S3/S44</f>
        <v>2.4446889133357781E-3</v>
      </c>
    </row>
    <row r="4" spans="1:26" s="13" customFormat="1" x14ac:dyDescent="0.2">
      <c r="A4" s="12" t="s">
        <v>2</v>
      </c>
      <c r="B4" s="13">
        <v>446</v>
      </c>
      <c r="C4" s="13">
        <v>69</v>
      </c>
      <c r="D4" s="13">
        <v>184</v>
      </c>
      <c r="E4" s="13">
        <v>109</v>
      </c>
      <c r="F4" s="13">
        <v>131</v>
      </c>
      <c r="G4" s="13">
        <v>100</v>
      </c>
      <c r="H4" s="13">
        <v>142</v>
      </c>
      <c r="I4" s="13">
        <v>49</v>
      </c>
      <c r="J4" s="13">
        <v>294</v>
      </c>
      <c r="K4" s="13">
        <v>36</v>
      </c>
      <c r="L4" s="13">
        <v>59</v>
      </c>
      <c r="M4" s="13">
        <v>170</v>
      </c>
      <c r="N4" s="13">
        <v>27</v>
      </c>
      <c r="O4" s="13">
        <v>20</v>
      </c>
      <c r="P4" s="13">
        <v>256</v>
      </c>
      <c r="Q4" s="13">
        <v>68</v>
      </c>
      <c r="S4" s="11">
        <f t="shared" ref="S4:S36" si="0">SUM(B4:Q4)</f>
        <v>2160</v>
      </c>
      <c r="T4" s="17">
        <f>S4/S44</f>
        <v>0.264026402640264</v>
      </c>
    </row>
    <row r="5" spans="1:26" s="13" customFormat="1" x14ac:dyDescent="0.2">
      <c r="A5" s="12" t="s">
        <v>3</v>
      </c>
      <c r="B5" s="13">
        <v>22</v>
      </c>
      <c r="C5" s="13">
        <v>4</v>
      </c>
      <c r="D5" s="13">
        <v>7</v>
      </c>
      <c r="E5" s="13">
        <v>9</v>
      </c>
      <c r="F5" s="13">
        <v>0</v>
      </c>
      <c r="G5" s="13">
        <v>2</v>
      </c>
      <c r="H5" s="13">
        <v>1</v>
      </c>
      <c r="I5" s="13">
        <v>2</v>
      </c>
      <c r="J5" s="13">
        <v>18</v>
      </c>
      <c r="K5" s="13">
        <v>0</v>
      </c>
      <c r="L5" s="13">
        <v>0</v>
      </c>
      <c r="M5" s="13">
        <v>1</v>
      </c>
      <c r="N5" s="13">
        <v>0</v>
      </c>
      <c r="O5" s="13">
        <v>0</v>
      </c>
      <c r="P5" s="13">
        <v>2</v>
      </c>
      <c r="Q5" s="13">
        <v>0</v>
      </c>
      <c r="S5" s="11">
        <f t="shared" si="0"/>
        <v>68</v>
      </c>
      <c r="T5" s="17">
        <f>S5/S44</f>
        <v>8.3119423053416453E-3</v>
      </c>
    </row>
    <row r="6" spans="1:26" s="13" customFormat="1" x14ac:dyDescent="0.2">
      <c r="A6" s="12" t="s">
        <v>4</v>
      </c>
      <c r="B6" s="13">
        <v>84</v>
      </c>
      <c r="C6" s="13">
        <v>0</v>
      </c>
      <c r="D6" s="13">
        <v>0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S6" s="11">
        <f t="shared" si="0"/>
        <v>86</v>
      </c>
      <c r="T6" s="17">
        <f>S6/S44</f>
        <v>1.0512162327343845E-2</v>
      </c>
    </row>
    <row r="7" spans="1:26" s="13" customFormat="1" x14ac:dyDescent="0.2">
      <c r="A7" s="12" t="s">
        <v>5</v>
      </c>
      <c r="B7" s="13">
        <v>73</v>
      </c>
      <c r="C7" s="13">
        <v>0</v>
      </c>
      <c r="D7" s="13">
        <v>9</v>
      </c>
      <c r="E7" s="13">
        <v>40</v>
      </c>
      <c r="F7" s="13">
        <v>15</v>
      </c>
      <c r="G7" s="13">
        <v>8</v>
      </c>
      <c r="H7" s="13">
        <v>15</v>
      </c>
      <c r="I7" s="13">
        <v>2</v>
      </c>
      <c r="J7" s="13">
        <v>38</v>
      </c>
      <c r="K7" s="13">
        <v>1</v>
      </c>
      <c r="L7" s="13">
        <v>2</v>
      </c>
      <c r="M7" s="13">
        <v>8</v>
      </c>
      <c r="N7" s="13">
        <v>1</v>
      </c>
      <c r="O7" s="13">
        <v>0</v>
      </c>
      <c r="P7" s="13">
        <v>6</v>
      </c>
      <c r="Q7" s="13">
        <v>2</v>
      </c>
      <c r="S7" s="11">
        <f t="shared" si="0"/>
        <v>220</v>
      </c>
      <c r="T7" s="17">
        <f>S7/S44</f>
        <v>2.6891578046693558E-2</v>
      </c>
    </row>
    <row r="8" spans="1:26" s="13" customFormat="1" x14ac:dyDescent="0.2">
      <c r="A8" s="12" t="s">
        <v>6</v>
      </c>
      <c r="B8" s="13">
        <v>229</v>
      </c>
      <c r="C8" s="13">
        <v>15</v>
      </c>
      <c r="D8" s="13">
        <v>32</v>
      </c>
      <c r="E8" s="13">
        <v>56</v>
      </c>
      <c r="F8" s="13">
        <v>5</v>
      </c>
      <c r="G8" s="13">
        <v>1</v>
      </c>
      <c r="H8" s="13">
        <v>13</v>
      </c>
      <c r="I8" s="13">
        <v>3</v>
      </c>
      <c r="J8" s="13">
        <v>75</v>
      </c>
      <c r="K8" s="13">
        <v>1</v>
      </c>
      <c r="L8" s="13">
        <v>3</v>
      </c>
      <c r="M8" s="13">
        <v>19</v>
      </c>
      <c r="N8" s="13">
        <v>0</v>
      </c>
      <c r="O8" s="13">
        <v>0</v>
      </c>
      <c r="P8" s="13">
        <v>17</v>
      </c>
      <c r="Q8" s="13">
        <v>4</v>
      </c>
      <c r="S8" s="11">
        <f t="shared" si="0"/>
        <v>473</v>
      </c>
      <c r="T8" s="17">
        <f>S8/S44</f>
        <v>5.7816892800391151E-2</v>
      </c>
    </row>
    <row r="9" spans="1:26" s="13" customFormat="1" x14ac:dyDescent="0.2">
      <c r="A9" s="12" t="s">
        <v>7</v>
      </c>
      <c r="B9" s="13">
        <v>1</v>
      </c>
      <c r="C9" s="13">
        <v>0</v>
      </c>
      <c r="D9" s="13">
        <v>1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S9" s="11">
        <f t="shared" si="0"/>
        <v>2</v>
      </c>
      <c r="T9" s="17">
        <f>S9/S44</f>
        <v>2.4446889133357782E-4</v>
      </c>
    </row>
    <row r="10" spans="1:26" s="13" customFormat="1" x14ac:dyDescent="0.2">
      <c r="A10" s="12" t="s">
        <v>8</v>
      </c>
      <c r="B10" s="13">
        <v>18</v>
      </c>
      <c r="C10" s="13">
        <v>1</v>
      </c>
      <c r="D10" s="13">
        <v>2</v>
      </c>
      <c r="E10" s="13">
        <v>6</v>
      </c>
      <c r="F10" s="13">
        <v>0</v>
      </c>
      <c r="G10" s="13">
        <v>0</v>
      </c>
      <c r="H10" s="13">
        <v>3</v>
      </c>
      <c r="I10" s="13">
        <v>0</v>
      </c>
      <c r="J10" s="13">
        <v>6</v>
      </c>
      <c r="K10" s="13">
        <v>0</v>
      </c>
      <c r="L10" s="13">
        <v>1</v>
      </c>
      <c r="M10" s="13">
        <v>4</v>
      </c>
      <c r="N10" s="13">
        <v>0</v>
      </c>
      <c r="O10" s="13">
        <v>0</v>
      </c>
      <c r="P10" s="13">
        <v>1</v>
      </c>
      <c r="Q10" s="13">
        <v>0</v>
      </c>
      <c r="S10" s="11">
        <f t="shared" si="0"/>
        <v>42</v>
      </c>
      <c r="T10" s="17">
        <f>S10/S44</f>
        <v>5.1338467180051337E-3</v>
      </c>
    </row>
    <row r="11" spans="1:26" s="13" customFormat="1" x14ac:dyDescent="0.2">
      <c r="A11" s="12" t="s">
        <v>9</v>
      </c>
      <c r="B11" s="13">
        <v>2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1</v>
      </c>
      <c r="K11" s="13">
        <v>0</v>
      </c>
      <c r="L11" s="13">
        <v>1</v>
      </c>
      <c r="M11" s="13">
        <v>1</v>
      </c>
      <c r="N11" s="13">
        <v>0</v>
      </c>
      <c r="O11" s="13">
        <v>0</v>
      </c>
      <c r="P11" s="13">
        <v>0</v>
      </c>
      <c r="Q11" s="13">
        <v>1</v>
      </c>
      <c r="S11" s="11">
        <f t="shared" si="0"/>
        <v>6</v>
      </c>
      <c r="T11" s="17">
        <f>S11/S44</f>
        <v>7.334066740007334E-4</v>
      </c>
    </row>
    <row r="12" spans="1:26" s="13" customFormat="1" x14ac:dyDescent="0.2">
      <c r="A12" s="12" t="s">
        <v>11</v>
      </c>
      <c r="B12" s="13">
        <v>1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1</v>
      </c>
      <c r="K12" s="13">
        <v>0</v>
      </c>
      <c r="L12" s="13">
        <v>0</v>
      </c>
      <c r="M12" s="13">
        <v>2</v>
      </c>
      <c r="N12" s="13">
        <v>0</v>
      </c>
      <c r="O12" s="13">
        <v>0</v>
      </c>
      <c r="P12" s="13">
        <v>0</v>
      </c>
      <c r="Q12" s="13">
        <v>0</v>
      </c>
      <c r="S12" s="11">
        <f t="shared" si="0"/>
        <v>4</v>
      </c>
      <c r="T12" s="17">
        <f>S12/S44</f>
        <v>4.8893778266715564E-4</v>
      </c>
    </row>
    <row r="13" spans="1:26" s="13" customFormat="1" x14ac:dyDescent="0.2">
      <c r="A13" s="12" t="s">
        <v>13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2</v>
      </c>
      <c r="K13" s="13">
        <v>0</v>
      </c>
      <c r="L13" s="13">
        <v>0</v>
      </c>
      <c r="M13" s="13">
        <v>1</v>
      </c>
      <c r="N13" s="13">
        <v>0</v>
      </c>
      <c r="O13" s="13">
        <v>0</v>
      </c>
      <c r="P13" s="13">
        <v>0</v>
      </c>
      <c r="Q13" s="13">
        <v>0</v>
      </c>
      <c r="S13" s="11">
        <f t="shared" si="0"/>
        <v>3</v>
      </c>
      <c r="T13" s="17">
        <f>S13/S44</f>
        <v>3.667033370003667E-4</v>
      </c>
    </row>
    <row r="14" spans="1:26" s="13" customFormat="1" x14ac:dyDescent="0.2">
      <c r="A14" s="12" t="s">
        <v>14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1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S14" s="11">
        <f t="shared" si="0"/>
        <v>1</v>
      </c>
      <c r="T14" s="17">
        <f>S14/S44</f>
        <v>1.2223444566678891E-4</v>
      </c>
    </row>
    <row r="15" spans="1:26" s="13" customFormat="1" x14ac:dyDescent="0.2">
      <c r="A15" s="12" t="s">
        <v>15</v>
      </c>
      <c r="B15" s="13">
        <v>48</v>
      </c>
      <c r="C15" s="13">
        <v>2</v>
      </c>
      <c r="D15" s="13">
        <v>28</v>
      </c>
      <c r="E15" s="13">
        <v>9</v>
      </c>
      <c r="F15" s="13" t="s">
        <v>807</v>
      </c>
      <c r="G15" s="13">
        <v>17</v>
      </c>
      <c r="H15" s="13">
        <v>6</v>
      </c>
      <c r="I15" s="13">
        <v>3</v>
      </c>
      <c r="J15" s="13">
        <v>36</v>
      </c>
      <c r="K15" s="13">
        <v>12</v>
      </c>
      <c r="L15" s="13">
        <v>11</v>
      </c>
      <c r="M15" s="13">
        <v>17</v>
      </c>
      <c r="N15" s="13">
        <v>8</v>
      </c>
      <c r="O15" s="13">
        <v>0</v>
      </c>
      <c r="P15" s="13">
        <v>17</v>
      </c>
      <c r="Q15" s="13">
        <v>15</v>
      </c>
      <c r="S15" s="11">
        <f t="shared" si="0"/>
        <v>229</v>
      </c>
      <c r="T15" s="17">
        <f>S15/S44</f>
        <v>2.7991688057694659E-2</v>
      </c>
    </row>
    <row r="16" spans="1:26" s="13" customFormat="1" x14ac:dyDescent="0.2">
      <c r="A16" s="12" t="s">
        <v>16</v>
      </c>
      <c r="B16" s="13">
        <v>11</v>
      </c>
      <c r="C16" s="13">
        <v>5</v>
      </c>
      <c r="D16" s="13">
        <v>7</v>
      </c>
      <c r="E16" s="13">
        <v>9</v>
      </c>
      <c r="F16" s="13">
        <v>5</v>
      </c>
      <c r="G16" s="13">
        <v>0</v>
      </c>
      <c r="H16" s="13">
        <v>1</v>
      </c>
      <c r="I16" s="13">
        <v>0</v>
      </c>
      <c r="J16" s="13">
        <v>25</v>
      </c>
      <c r="K16" s="13">
        <v>1</v>
      </c>
      <c r="L16" s="13">
        <v>3</v>
      </c>
      <c r="M16" s="13">
        <v>2</v>
      </c>
      <c r="N16" s="13">
        <v>0</v>
      </c>
      <c r="O16" s="13">
        <v>0</v>
      </c>
      <c r="P16" s="13">
        <v>0</v>
      </c>
      <c r="Q16" s="13">
        <v>2</v>
      </c>
      <c r="S16" s="11">
        <f t="shared" si="0"/>
        <v>71</v>
      </c>
      <c r="T16" s="17">
        <f>S16/S44</f>
        <v>8.6786456423420116E-3</v>
      </c>
    </row>
    <row r="17" spans="1:20" s="13" customFormat="1" x14ac:dyDescent="0.2">
      <c r="A17" s="12" t="s">
        <v>17</v>
      </c>
      <c r="B17" s="13">
        <v>600</v>
      </c>
      <c r="C17" s="13">
        <v>167</v>
      </c>
      <c r="D17" s="13">
        <v>117</v>
      </c>
      <c r="E17" s="13">
        <v>35</v>
      </c>
      <c r="F17" s="13">
        <v>2</v>
      </c>
      <c r="G17" s="13">
        <v>2</v>
      </c>
      <c r="H17" s="13">
        <v>38</v>
      </c>
      <c r="I17" s="13">
        <v>46</v>
      </c>
      <c r="J17" s="13">
        <v>360</v>
      </c>
      <c r="K17" s="13">
        <v>0</v>
      </c>
      <c r="L17" s="13">
        <v>18</v>
      </c>
      <c r="M17" s="13">
        <v>56</v>
      </c>
      <c r="N17" s="13">
        <v>2</v>
      </c>
      <c r="O17" s="13">
        <v>0</v>
      </c>
      <c r="P17" s="13">
        <v>42</v>
      </c>
      <c r="Q17" s="13">
        <v>0</v>
      </c>
      <c r="S17" s="11">
        <f t="shared" si="0"/>
        <v>1485</v>
      </c>
      <c r="T17" s="17">
        <f>S17/S44</f>
        <v>0.18151815181518152</v>
      </c>
    </row>
    <row r="18" spans="1:20" s="13" customFormat="1" x14ac:dyDescent="0.2">
      <c r="A18" s="12" t="s">
        <v>18</v>
      </c>
      <c r="B18" s="13">
        <v>109</v>
      </c>
      <c r="C18" s="13">
        <v>3</v>
      </c>
      <c r="D18" s="13">
        <v>4</v>
      </c>
      <c r="E18" s="13">
        <v>5</v>
      </c>
      <c r="F18" s="13">
        <v>1</v>
      </c>
      <c r="G18" s="13">
        <v>5</v>
      </c>
      <c r="H18" s="13">
        <v>11</v>
      </c>
      <c r="I18" s="13">
        <v>9</v>
      </c>
      <c r="J18" s="13">
        <v>38</v>
      </c>
      <c r="K18" s="13">
        <v>1</v>
      </c>
      <c r="L18" s="13">
        <v>20</v>
      </c>
      <c r="M18" s="13">
        <v>8</v>
      </c>
      <c r="N18" s="13">
        <v>1</v>
      </c>
      <c r="O18" s="13">
        <v>0</v>
      </c>
      <c r="P18" s="13">
        <v>6</v>
      </c>
      <c r="Q18" s="13">
        <v>5</v>
      </c>
      <c r="S18" s="11">
        <f t="shared" si="0"/>
        <v>226</v>
      </c>
      <c r="T18" s="17">
        <f>S18/S44</f>
        <v>2.7624984720694291E-2</v>
      </c>
    </row>
    <row r="19" spans="1:20" s="13" customFormat="1" x14ac:dyDescent="0.2">
      <c r="A19" s="12" t="s">
        <v>19</v>
      </c>
      <c r="B19" s="13">
        <v>190</v>
      </c>
      <c r="C19" s="13">
        <v>9</v>
      </c>
      <c r="D19" s="13">
        <v>0</v>
      </c>
      <c r="E19" s="13">
        <v>9</v>
      </c>
      <c r="F19" s="13">
        <v>0</v>
      </c>
      <c r="G19" s="13">
        <v>0</v>
      </c>
      <c r="H19" s="13">
        <v>0</v>
      </c>
      <c r="I19" s="13">
        <v>3</v>
      </c>
      <c r="J19" s="13">
        <v>18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S19" s="11">
        <f t="shared" si="0"/>
        <v>229</v>
      </c>
      <c r="T19" s="17">
        <f>S19/S44</f>
        <v>2.7991688057694659E-2</v>
      </c>
    </row>
    <row r="20" spans="1:20" s="13" customFormat="1" x14ac:dyDescent="0.2">
      <c r="A20" s="12" t="s">
        <v>20</v>
      </c>
      <c r="B20" s="13">
        <v>91</v>
      </c>
      <c r="C20" s="13">
        <v>1</v>
      </c>
      <c r="D20" s="13">
        <v>0</v>
      </c>
      <c r="E20" s="13">
        <v>2</v>
      </c>
      <c r="F20" s="13">
        <v>0</v>
      </c>
      <c r="G20" s="13">
        <v>0</v>
      </c>
      <c r="H20" s="13">
        <v>0</v>
      </c>
      <c r="I20" s="13">
        <v>0</v>
      </c>
      <c r="J20" s="13">
        <v>13</v>
      </c>
      <c r="K20" s="13">
        <v>0</v>
      </c>
      <c r="L20" s="13">
        <v>0</v>
      </c>
      <c r="M20" s="13">
        <v>3</v>
      </c>
      <c r="N20" s="13">
        <v>0</v>
      </c>
      <c r="O20" s="13">
        <v>0</v>
      </c>
      <c r="P20" s="13">
        <v>0</v>
      </c>
      <c r="Q20" s="13">
        <v>0</v>
      </c>
      <c r="S20" s="11">
        <f t="shared" si="0"/>
        <v>110</v>
      </c>
      <c r="T20" s="17">
        <f>S20/S44</f>
        <v>1.3445789023346779E-2</v>
      </c>
    </row>
    <row r="21" spans="1:20" s="13" customFormat="1" x14ac:dyDescent="0.2">
      <c r="A21" s="12" t="s">
        <v>21</v>
      </c>
      <c r="B21" s="13">
        <v>65</v>
      </c>
      <c r="C21" s="13">
        <v>6</v>
      </c>
      <c r="D21" s="13" t="s">
        <v>505</v>
      </c>
      <c r="E21" s="13">
        <v>14</v>
      </c>
      <c r="F21" s="13">
        <v>0</v>
      </c>
      <c r="G21" s="13">
        <v>0</v>
      </c>
      <c r="H21" s="13">
        <v>4</v>
      </c>
      <c r="I21" s="13">
        <v>1</v>
      </c>
      <c r="J21" s="13">
        <v>82</v>
      </c>
      <c r="K21" s="13">
        <v>0</v>
      </c>
      <c r="L21" s="13">
        <v>2</v>
      </c>
      <c r="M21" s="13">
        <v>13</v>
      </c>
      <c r="N21" s="13">
        <v>0</v>
      </c>
      <c r="O21" s="13">
        <v>0</v>
      </c>
      <c r="P21" s="13">
        <v>13</v>
      </c>
      <c r="Q21" s="13">
        <v>1</v>
      </c>
      <c r="S21" s="11">
        <f t="shared" si="0"/>
        <v>201</v>
      </c>
      <c r="T21" s="17">
        <f>S21/S44</f>
        <v>2.456912357902457E-2</v>
      </c>
    </row>
    <row r="22" spans="1:20" s="13" customFormat="1" x14ac:dyDescent="0.2">
      <c r="A22" s="12" t="s">
        <v>22</v>
      </c>
      <c r="B22" s="13">
        <v>1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3</v>
      </c>
      <c r="I22" s="13">
        <v>3</v>
      </c>
      <c r="J22" s="13">
        <v>2</v>
      </c>
      <c r="K22" s="13">
        <v>0</v>
      </c>
      <c r="L22" s="13">
        <v>0</v>
      </c>
      <c r="M22" s="13">
        <v>1</v>
      </c>
      <c r="N22" s="13">
        <v>0</v>
      </c>
      <c r="O22" s="13">
        <v>1</v>
      </c>
      <c r="P22" s="13">
        <v>0</v>
      </c>
      <c r="Q22" s="13">
        <v>0</v>
      </c>
      <c r="S22" s="11">
        <f t="shared" si="0"/>
        <v>11</v>
      </c>
      <c r="T22" s="17">
        <f>S22/S44</f>
        <v>1.3445789023346778E-3</v>
      </c>
    </row>
    <row r="23" spans="1:20" s="13" customFormat="1" x14ac:dyDescent="0.2">
      <c r="A23" s="12" t="s">
        <v>23</v>
      </c>
      <c r="B23" s="13">
        <v>1</v>
      </c>
      <c r="C23" s="13">
        <v>0</v>
      </c>
      <c r="D23" s="13" t="s">
        <v>809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S23" s="11">
        <f t="shared" si="0"/>
        <v>1</v>
      </c>
      <c r="T23" s="17">
        <f>S23/S44</f>
        <v>1.2223444566678891E-4</v>
      </c>
    </row>
    <row r="24" spans="1:20" s="13" customFormat="1" x14ac:dyDescent="0.2">
      <c r="A24" s="12" t="s">
        <v>24</v>
      </c>
      <c r="B24" s="13">
        <v>6</v>
      </c>
      <c r="C24" s="13">
        <v>2</v>
      </c>
      <c r="D24" s="13">
        <v>0</v>
      </c>
      <c r="E24" s="13">
        <v>1</v>
      </c>
      <c r="F24" s="13">
        <v>6</v>
      </c>
      <c r="G24" s="13">
        <v>2</v>
      </c>
      <c r="H24" s="13">
        <v>0</v>
      </c>
      <c r="I24" s="13">
        <v>0</v>
      </c>
      <c r="J24" s="13">
        <v>1</v>
      </c>
      <c r="K24" s="13">
        <v>1</v>
      </c>
      <c r="L24" s="13">
        <v>2</v>
      </c>
      <c r="M24" s="13">
        <v>3</v>
      </c>
      <c r="N24" s="13">
        <v>0</v>
      </c>
      <c r="O24" s="13">
        <v>0</v>
      </c>
      <c r="P24" s="13">
        <v>1</v>
      </c>
      <c r="Q24" s="13">
        <v>1</v>
      </c>
      <c r="S24" s="11">
        <f t="shared" si="0"/>
        <v>26</v>
      </c>
      <c r="T24" s="17">
        <f>S24/S44</f>
        <v>3.1780955873365116E-3</v>
      </c>
    </row>
    <row r="25" spans="1:20" s="13" customFormat="1" x14ac:dyDescent="0.2">
      <c r="A25" s="12" t="s">
        <v>25</v>
      </c>
      <c r="B25" s="13">
        <v>3</v>
      </c>
      <c r="C25" s="13">
        <v>1</v>
      </c>
      <c r="D25" s="13">
        <v>1</v>
      </c>
      <c r="E25" s="13">
        <v>0</v>
      </c>
      <c r="F25" s="13">
        <v>0</v>
      </c>
      <c r="G25" s="13">
        <v>0</v>
      </c>
      <c r="H25" s="13">
        <v>0</v>
      </c>
      <c r="I25" s="77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S25" s="11">
        <f t="shared" si="0"/>
        <v>5</v>
      </c>
      <c r="T25" s="17">
        <f>S25/S44</f>
        <v>6.1117222833394452E-4</v>
      </c>
    </row>
    <row r="26" spans="1:20" s="13" customFormat="1" x14ac:dyDescent="0.2">
      <c r="A26" s="12" t="s">
        <v>26</v>
      </c>
      <c r="B26" s="13">
        <v>6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77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S26" s="11">
        <f t="shared" si="0"/>
        <v>6</v>
      </c>
      <c r="T26" s="17">
        <f>S26/S44</f>
        <v>7.334066740007334E-4</v>
      </c>
    </row>
    <row r="27" spans="1:20" s="13" customFormat="1" x14ac:dyDescent="0.2">
      <c r="A27" s="12" t="s">
        <v>27</v>
      </c>
      <c r="B27" s="13">
        <v>13</v>
      </c>
      <c r="C27" s="13">
        <v>13</v>
      </c>
      <c r="D27" s="13">
        <v>23</v>
      </c>
      <c r="E27" s="13">
        <v>22</v>
      </c>
      <c r="F27" s="13">
        <v>53</v>
      </c>
      <c r="G27" s="77">
        <v>28</v>
      </c>
      <c r="H27" s="13">
        <v>26</v>
      </c>
      <c r="I27" s="77">
        <v>17</v>
      </c>
      <c r="J27" s="13">
        <v>34</v>
      </c>
      <c r="K27" s="13">
        <v>15</v>
      </c>
      <c r="L27" s="13">
        <v>8</v>
      </c>
      <c r="M27" s="13">
        <v>23</v>
      </c>
      <c r="N27" s="13">
        <v>19</v>
      </c>
      <c r="O27" s="13">
        <v>10</v>
      </c>
      <c r="P27" s="13">
        <v>14</v>
      </c>
      <c r="Q27" s="13">
        <v>24</v>
      </c>
      <c r="S27" s="11">
        <f t="shared" si="0"/>
        <v>342</v>
      </c>
      <c r="T27" s="17">
        <f>S27/S44</f>
        <v>4.1804180418041806E-2</v>
      </c>
    </row>
    <row r="28" spans="1:20" s="13" customFormat="1" x14ac:dyDescent="0.2">
      <c r="A28" s="12" t="s">
        <v>28</v>
      </c>
      <c r="B28" s="13">
        <v>0</v>
      </c>
      <c r="C28" s="13">
        <v>0</v>
      </c>
      <c r="D28" s="13">
        <v>3</v>
      </c>
      <c r="E28" s="13">
        <v>0</v>
      </c>
      <c r="F28" s="13">
        <v>5</v>
      </c>
      <c r="G28" s="77">
        <v>2</v>
      </c>
      <c r="H28" s="13">
        <v>1</v>
      </c>
      <c r="I28" s="77">
        <v>0</v>
      </c>
      <c r="J28" s="13">
        <v>3</v>
      </c>
      <c r="K28" s="13" t="s">
        <v>505</v>
      </c>
      <c r="L28" s="13">
        <v>0</v>
      </c>
      <c r="M28" s="13">
        <v>1</v>
      </c>
      <c r="N28" s="13" t="s">
        <v>809</v>
      </c>
      <c r="O28" s="13">
        <v>0</v>
      </c>
      <c r="P28" s="13">
        <v>0</v>
      </c>
      <c r="Q28" s="13" t="s">
        <v>809</v>
      </c>
      <c r="S28" s="11">
        <f t="shared" si="0"/>
        <v>15</v>
      </c>
      <c r="T28" s="17">
        <f>S28/S44</f>
        <v>1.8335166850018336E-3</v>
      </c>
    </row>
    <row r="29" spans="1:20" s="13" customFormat="1" x14ac:dyDescent="0.2">
      <c r="A29" s="12" t="s">
        <v>29</v>
      </c>
      <c r="B29" s="13">
        <v>469</v>
      </c>
      <c r="C29" s="13">
        <v>131</v>
      </c>
      <c r="D29" s="13">
        <v>243</v>
      </c>
      <c r="E29" s="13">
        <v>197</v>
      </c>
      <c r="F29" s="13">
        <v>128</v>
      </c>
      <c r="G29" s="13">
        <v>133</v>
      </c>
      <c r="H29" s="13">
        <v>94</v>
      </c>
      <c r="I29" s="77">
        <v>53</v>
      </c>
      <c r="J29" s="13">
        <v>279</v>
      </c>
      <c r="K29" s="13" t="s">
        <v>812</v>
      </c>
      <c r="L29" s="13">
        <v>46</v>
      </c>
      <c r="M29" s="13">
        <v>140</v>
      </c>
      <c r="N29" s="13" t="s">
        <v>811</v>
      </c>
      <c r="O29" s="13">
        <v>21</v>
      </c>
      <c r="P29" s="13">
        <v>151</v>
      </c>
      <c r="Q29" s="13" t="s">
        <v>810</v>
      </c>
      <c r="S29" s="11">
        <f t="shared" si="0"/>
        <v>2085</v>
      </c>
      <c r="T29" s="17">
        <f>S29/S44</f>
        <v>0.25485881921525488</v>
      </c>
    </row>
    <row r="30" spans="1:20" s="13" customFormat="1" x14ac:dyDescent="0.2">
      <c r="A30" s="12" t="s">
        <v>30</v>
      </c>
      <c r="B30" s="13">
        <v>16</v>
      </c>
      <c r="C30" s="13">
        <v>0</v>
      </c>
      <c r="D30" s="13">
        <v>1</v>
      </c>
      <c r="E30" s="13">
        <v>3</v>
      </c>
      <c r="F30" s="13">
        <v>1</v>
      </c>
      <c r="G30" s="13">
        <v>2</v>
      </c>
      <c r="H30" s="13">
        <v>0</v>
      </c>
      <c r="I30" s="77">
        <v>0</v>
      </c>
      <c r="J30" s="13">
        <v>3</v>
      </c>
      <c r="K30" s="13">
        <v>0</v>
      </c>
      <c r="L30" s="13">
        <v>2</v>
      </c>
      <c r="M30" s="13">
        <v>3</v>
      </c>
      <c r="N30" s="13" t="s">
        <v>809</v>
      </c>
      <c r="O30" s="13">
        <v>0</v>
      </c>
      <c r="P30" s="13">
        <v>6</v>
      </c>
      <c r="Q30" s="13">
        <v>0</v>
      </c>
      <c r="S30" s="11">
        <f t="shared" si="0"/>
        <v>37</v>
      </c>
      <c r="T30" s="17">
        <f>S30/S44</f>
        <v>4.522674489671189E-3</v>
      </c>
    </row>
    <row r="31" spans="1:20" s="13" customFormat="1" x14ac:dyDescent="0.2">
      <c r="A31" s="12" t="s">
        <v>31</v>
      </c>
      <c r="B31" s="13">
        <v>3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1</v>
      </c>
      <c r="Q31" s="13">
        <v>0</v>
      </c>
      <c r="S31" s="11">
        <f t="shared" si="0"/>
        <v>4</v>
      </c>
      <c r="T31" s="17">
        <f>S31/S44</f>
        <v>4.8893778266715564E-4</v>
      </c>
    </row>
    <row r="32" spans="1:20" s="13" customFormat="1" x14ac:dyDescent="0.2">
      <c r="A32" s="12" t="s">
        <v>68</v>
      </c>
      <c r="B32" s="13">
        <v>1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S32" s="11">
        <f t="shared" si="0"/>
        <v>1</v>
      </c>
      <c r="T32" s="17">
        <f>S32/S44</f>
        <v>1.2223444566678891E-4</v>
      </c>
    </row>
    <row r="33" spans="1:26" s="13" customFormat="1" x14ac:dyDescent="0.2">
      <c r="A33" s="12" t="s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S33" s="11">
        <f t="shared" si="0"/>
        <v>0</v>
      </c>
      <c r="T33" s="17">
        <f>S33/S44</f>
        <v>0</v>
      </c>
    </row>
    <row r="34" spans="1:26" s="13" customFormat="1" x14ac:dyDescent="0.2">
      <c r="A34" s="12" t="s">
        <v>33</v>
      </c>
      <c r="B34" s="13">
        <v>8</v>
      </c>
      <c r="C34" s="13">
        <v>0</v>
      </c>
      <c r="D34" s="14">
        <v>0</v>
      </c>
      <c r="E34" s="13">
        <v>0</v>
      </c>
      <c r="F34" s="13">
        <v>0</v>
      </c>
      <c r="G34" s="13">
        <v>0</v>
      </c>
      <c r="H34" s="13">
        <v>0</v>
      </c>
      <c r="I34" s="13">
        <v>1</v>
      </c>
      <c r="J34" s="13">
        <v>3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S34" s="11">
        <f t="shared" si="0"/>
        <v>12</v>
      </c>
      <c r="T34" s="17">
        <f>S34/S44</f>
        <v>1.4668133480014668E-3</v>
      </c>
    </row>
    <row r="35" spans="1:26" s="13" customFormat="1" x14ac:dyDescent="0.2">
      <c r="A35" s="12"/>
    </row>
    <row r="36" spans="1:26" x14ac:dyDescent="0.2">
      <c r="A36" s="8" t="s">
        <v>58</v>
      </c>
      <c r="B36" s="13">
        <v>2536</v>
      </c>
      <c r="C36" s="13">
        <v>430</v>
      </c>
      <c r="D36" s="13">
        <v>663</v>
      </c>
      <c r="E36" s="13">
        <v>526</v>
      </c>
      <c r="F36" s="13" t="s">
        <v>808</v>
      </c>
      <c r="G36" s="9">
        <v>302</v>
      </c>
      <c r="H36" s="13">
        <v>358</v>
      </c>
      <c r="I36" s="13">
        <v>192</v>
      </c>
      <c r="J36" s="13">
        <v>1334</v>
      </c>
      <c r="K36" s="13">
        <v>139</v>
      </c>
      <c r="L36" s="13">
        <v>178</v>
      </c>
      <c r="M36" s="13">
        <v>476</v>
      </c>
      <c r="N36" s="13">
        <v>136</v>
      </c>
      <c r="O36" s="13">
        <v>52</v>
      </c>
      <c r="P36" s="13">
        <v>533</v>
      </c>
      <c r="Q36" s="13">
        <v>165</v>
      </c>
      <c r="S36" s="9">
        <f t="shared" si="0"/>
        <v>8020</v>
      </c>
      <c r="Y36" s="13"/>
      <c r="Z36" s="13"/>
    </row>
    <row r="37" spans="1:26" x14ac:dyDescent="0.2">
      <c r="A37" s="8" t="s">
        <v>59</v>
      </c>
      <c r="B37" s="9">
        <v>9900</v>
      </c>
      <c r="C37" s="9">
        <v>600</v>
      </c>
      <c r="D37" s="9">
        <v>1900</v>
      </c>
      <c r="E37" s="9">
        <v>1200</v>
      </c>
      <c r="F37" s="9">
        <v>1300</v>
      </c>
      <c r="G37" s="9">
        <v>1560</v>
      </c>
      <c r="H37" s="9">
        <v>1600</v>
      </c>
      <c r="I37" s="9">
        <v>1100</v>
      </c>
      <c r="J37" s="9">
        <v>3200</v>
      </c>
      <c r="K37" s="9">
        <v>1000</v>
      </c>
      <c r="L37" s="9">
        <v>475</v>
      </c>
      <c r="M37" s="9">
        <v>1850</v>
      </c>
      <c r="N37" s="9">
        <v>270</v>
      </c>
      <c r="O37" s="9">
        <v>260</v>
      </c>
      <c r="P37" s="9">
        <v>900</v>
      </c>
      <c r="Q37" s="9">
        <v>200</v>
      </c>
    </row>
    <row r="38" spans="1:26" ht="16.5" x14ac:dyDescent="0.25">
      <c r="A38" s="8" t="s">
        <v>60</v>
      </c>
      <c r="B38" s="14">
        <f t="shared" ref="B38:F38" si="1">B36/B37</f>
        <v>0.25616161616161615</v>
      </c>
      <c r="C38" s="14">
        <f t="shared" si="1"/>
        <v>0.71666666666666667</v>
      </c>
      <c r="D38" s="14">
        <f t="shared" si="1"/>
        <v>0.34894736842105262</v>
      </c>
      <c r="E38" s="14">
        <f t="shared" si="1"/>
        <v>0.43833333333333335</v>
      </c>
      <c r="F38" s="14">
        <f t="shared" si="1"/>
        <v>0.28076923076923077</v>
      </c>
      <c r="G38" s="14">
        <f t="shared" ref="G38:Q38" si="2">G36/G37</f>
        <v>0.1935897435897436</v>
      </c>
      <c r="H38" s="14">
        <f t="shared" si="2"/>
        <v>0.22375</v>
      </c>
      <c r="I38" s="14">
        <f t="shared" si="2"/>
        <v>0.17454545454545456</v>
      </c>
      <c r="J38" s="14">
        <f t="shared" si="2"/>
        <v>0.416875</v>
      </c>
      <c r="K38" s="14">
        <f t="shared" si="2"/>
        <v>0.13900000000000001</v>
      </c>
      <c r="L38" s="14">
        <f t="shared" si="2"/>
        <v>0.37473684210526315</v>
      </c>
      <c r="M38" s="14">
        <f t="shared" si="2"/>
        <v>0.25729729729729728</v>
      </c>
      <c r="N38" s="14">
        <f t="shared" si="2"/>
        <v>0.50370370370370365</v>
      </c>
      <c r="O38" s="14">
        <f t="shared" si="2"/>
        <v>0.2</v>
      </c>
      <c r="P38" s="14">
        <f t="shared" si="2"/>
        <v>0.59222222222222221</v>
      </c>
      <c r="Q38" s="14">
        <f t="shared" si="2"/>
        <v>0.82499999999999996</v>
      </c>
      <c r="Y38" s="14"/>
      <c r="Z38" s="14"/>
    </row>
    <row r="39" spans="1:26" x14ac:dyDescent="0.2">
      <c r="A39" s="8" t="s">
        <v>55</v>
      </c>
      <c r="R39" s="13"/>
    </row>
    <row r="41" spans="1:26" x14ac:dyDescent="0.2">
      <c r="A41" s="15"/>
    </row>
    <row r="44" spans="1:26" x14ac:dyDescent="0.2">
      <c r="S44" s="11">
        <f>SUM(S3:S34)</f>
        <v>8181</v>
      </c>
      <c r="T44" s="18">
        <f>SUM(T3:T34)</f>
        <v>1</v>
      </c>
    </row>
    <row r="45" spans="1:26" x14ac:dyDescent="0.2">
      <c r="S45" s="13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>
      <selection activeCell="I3" sqref="I3:I18"/>
    </sheetView>
  </sheetViews>
  <sheetFormatPr defaultRowHeight="15" x14ac:dyDescent="0.25"/>
  <cols>
    <col min="1" max="1" width="22.42578125" customWidth="1"/>
    <col min="2" max="2" width="12" customWidth="1"/>
    <col min="3" max="4" width="10.85546875" style="1" customWidth="1"/>
    <col min="5" max="5" width="9.140625" style="1" customWidth="1"/>
    <col min="6" max="7" width="10.85546875" style="1" customWidth="1"/>
    <col min="8" max="8" width="14.42578125" style="3" bestFit="1" customWidth="1"/>
    <col min="9" max="9" width="14" bestFit="1" customWidth="1"/>
    <col min="10" max="10" width="29.28515625" bestFit="1" customWidth="1"/>
  </cols>
  <sheetData>
    <row r="1" spans="1:10" ht="17.25" x14ac:dyDescent="0.25">
      <c r="A1" t="s">
        <v>54</v>
      </c>
      <c r="B1" t="s">
        <v>40</v>
      </c>
      <c r="C1" s="116" t="s">
        <v>39</v>
      </c>
      <c r="D1" s="116"/>
      <c r="F1" s="117" t="s">
        <v>38</v>
      </c>
      <c r="G1" s="117"/>
      <c r="H1" s="3" t="s">
        <v>53</v>
      </c>
      <c r="I1" t="s">
        <v>723</v>
      </c>
      <c r="J1" t="s">
        <v>725</v>
      </c>
    </row>
    <row r="2" spans="1:10" x14ac:dyDescent="0.25">
      <c r="C2" s="4" t="s">
        <v>35</v>
      </c>
      <c r="D2" s="4" t="s">
        <v>36</v>
      </c>
      <c r="F2" s="4" t="s">
        <v>35</v>
      </c>
      <c r="G2" s="4" t="s">
        <v>36</v>
      </c>
    </row>
    <row r="3" spans="1:10" x14ac:dyDescent="0.25">
      <c r="A3" t="s">
        <v>529</v>
      </c>
      <c r="B3" t="s">
        <v>722</v>
      </c>
      <c r="C3" s="4">
        <v>33.189070000000001</v>
      </c>
      <c r="D3" s="4">
        <v>-92.130989999999997</v>
      </c>
      <c r="F3" s="1">
        <v>33.188920000000003</v>
      </c>
      <c r="G3" s="1">
        <v>-92.130650000000003</v>
      </c>
      <c r="H3" s="85">
        <v>200</v>
      </c>
      <c r="I3" s="7">
        <v>5</v>
      </c>
      <c r="J3" t="s">
        <v>724</v>
      </c>
    </row>
    <row r="4" spans="1:10" x14ac:dyDescent="0.25">
      <c r="A4" t="s">
        <v>527</v>
      </c>
      <c r="B4" t="s">
        <v>721</v>
      </c>
      <c r="C4" s="4">
        <v>33.19764</v>
      </c>
      <c r="D4" s="4">
        <v>-92.133030000000005</v>
      </c>
      <c r="F4" s="1">
        <v>33.19755</v>
      </c>
      <c r="G4" s="1">
        <v>-92.134339999999995</v>
      </c>
      <c r="H4" s="85">
        <v>260</v>
      </c>
      <c r="I4" s="7">
        <v>2</v>
      </c>
      <c r="J4" t="s">
        <v>726</v>
      </c>
    </row>
    <row r="5" spans="1:10" x14ac:dyDescent="0.25">
      <c r="A5" t="s">
        <v>528</v>
      </c>
      <c r="B5" t="s">
        <v>721</v>
      </c>
      <c r="C5" s="4">
        <v>33.19755</v>
      </c>
      <c r="D5" s="4">
        <v>-92.134339999999995</v>
      </c>
      <c r="F5" s="1">
        <v>33.19744</v>
      </c>
      <c r="G5" s="1">
        <v>-92.135210000000001</v>
      </c>
      <c r="H5" s="85">
        <v>900</v>
      </c>
      <c r="I5" s="7">
        <v>10</v>
      </c>
      <c r="J5" t="s">
        <v>726</v>
      </c>
    </row>
    <row r="6" spans="1:10" x14ac:dyDescent="0.25">
      <c r="A6" t="s">
        <v>531</v>
      </c>
      <c r="B6" t="s">
        <v>720</v>
      </c>
      <c r="C6" s="4">
        <v>33.204900000000002</v>
      </c>
      <c r="D6" s="4">
        <v>-92.128259999999997</v>
      </c>
      <c r="F6" s="1">
        <v>33.204120000000003</v>
      </c>
      <c r="G6" s="1">
        <v>-92.128559999999993</v>
      </c>
      <c r="H6" s="85">
        <v>270</v>
      </c>
      <c r="I6" s="7">
        <v>3</v>
      </c>
      <c r="J6" t="s">
        <v>727</v>
      </c>
    </row>
    <row r="7" spans="1:10" x14ac:dyDescent="0.25">
      <c r="A7" t="s">
        <v>532</v>
      </c>
      <c r="B7" t="s">
        <v>719</v>
      </c>
      <c r="C7" s="1">
        <v>33.203069999999997</v>
      </c>
      <c r="D7" s="1">
        <v>-92.131190000000004</v>
      </c>
      <c r="F7" s="1">
        <v>33.20214</v>
      </c>
      <c r="G7" s="1">
        <v>-92.131360000000001</v>
      </c>
      <c r="H7" s="85">
        <v>475</v>
      </c>
      <c r="I7" s="7">
        <v>5</v>
      </c>
      <c r="J7" t="s">
        <v>727</v>
      </c>
    </row>
    <row r="8" spans="1:10" x14ac:dyDescent="0.25">
      <c r="A8" t="s">
        <v>533</v>
      </c>
      <c r="B8" t="s">
        <v>719</v>
      </c>
      <c r="C8" s="1">
        <v>33.20214</v>
      </c>
      <c r="D8" s="1">
        <v>-92.131360000000001</v>
      </c>
      <c r="F8" s="1">
        <v>33.201239999999999</v>
      </c>
      <c r="G8" s="1">
        <v>-92.132230000000007</v>
      </c>
      <c r="H8" s="85">
        <v>1850</v>
      </c>
      <c r="I8" s="7">
        <v>10</v>
      </c>
      <c r="J8" t="s">
        <v>727</v>
      </c>
    </row>
    <row r="9" spans="1:10" x14ac:dyDescent="0.25">
      <c r="A9" t="s">
        <v>534</v>
      </c>
      <c r="B9" t="s">
        <v>534</v>
      </c>
      <c r="C9" s="1">
        <v>33.205860000000001</v>
      </c>
      <c r="D9" s="1">
        <v>-92.122150000000005</v>
      </c>
      <c r="F9" s="1">
        <v>33.20628</v>
      </c>
      <c r="G9" s="1">
        <v>-92.122799999999998</v>
      </c>
      <c r="H9" s="85">
        <v>1000</v>
      </c>
      <c r="I9" s="7">
        <v>10</v>
      </c>
      <c r="J9" t="s">
        <v>726</v>
      </c>
    </row>
    <row r="10" spans="1:10" x14ac:dyDescent="0.25">
      <c r="A10" t="s">
        <v>536</v>
      </c>
      <c r="B10" t="s">
        <v>536</v>
      </c>
      <c r="C10" s="1">
        <v>33.21622</v>
      </c>
      <c r="D10" s="1">
        <v>-92.117170000000002</v>
      </c>
      <c r="F10" s="1">
        <v>33.215150000000001</v>
      </c>
      <c r="G10" s="1">
        <v>-92.116500000000002</v>
      </c>
      <c r="H10" s="85">
        <v>3200</v>
      </c>
      <c r="I10" s="7">
        <v>20</v>
      </c>
      <c r="J10" t="s">
        <v>728</v>
      </c>
    </row>
    <row r="11" spans="1:10" x14ac:dyDescent="0.25">
      <c r="A11" t="s">
        <v>435</v>
      </c>
      <c r="B11" t="s">
        <v>718</v>
      </c>
      <c r="C11" s="4">
        <v>33.220970000000001</v>
      </c>
      <c r="D11" s="4">
        <v>-92.114850000000004</v>
      </c>
      <c r="F11" s="1">
        <v>33.220289999999999</v>
      </c>
      <c r="G11" s="1">
        <v>-92.114590000000007</v>
      </c>
      <c r="H11" s="85">
        <v>1600</v>
      </c>
      <c r="I11" s="7">
        <v>20</v>
      </c>
      <c r="J11" t="s">
        <v>728</v>
      </c>
    </row>
    <row r="12" spans="1:10" x14ac:dyDescent="0.25">
      <c r="A12" t="s">
        <v>436</v>
      </c>
      <c r="B12" t="s">
        <v>718</v>
      </c>
      <c r="C12" s="1">
        <v>33.220289999999999</v>
      </c>
      <c r="D12" s="1">
        <v>-92.114590000000007</v>
      </c>
      <c r="F12" s="1">
        <v>33.21866</v>
      </c>
      <c r="G12" s="1">
        <v>-92.114769999999993</v>
      </c>
      <c r="H12" s="85">
        <v>1100</v>
      </c>
      <c r="I12" s="7">
        <v>5</v>
      </c>
      <c r="J12" t="s">
        <v>729</v>
      </c>
    </row>
    <row r="13" spans="1:10" x14ac:dyDescent="0.25">
      <c r="A13" t="s">
        <v>438</v>
      </c>
      <c r="B13" t="s">
        <v>438</v>
      </c>
      <c r="C13" s="4">
        <v>33.223419999999997</v>
      </c>
      <c r="D13" s="4">
        <v>-92.115769999999998</v>
      </c>
      <c r="F13" s="1">
        <v>33.22204</v>
      </c>
      <c r="G13" s="1">
        <v>-92.116259999999997</v>
      </c>
      <c r="H13" s="85">
        <v>1560</v>
      </c>
      <c r="I13" s="7">
        <v>8</v>
      </c>
      <c r="J13" t="s">
        <v>726</v>
      </c>
    </row>
    <row r="14" spans="1:10" x14ac:dyDescent="0.25">
      <c r="A14" t="s">
        <v>437</v>
      </c>
      <c r="B14" t="s">
        <v>437</v>
      </c>
      <c r="C14" s="4">
        <v>33.221609999999998</v>
      </c>
      <c r="D14" s="4">
        <v>-92.11</v>
      </c>
      <c r="F14" s="1">
        <v>33.221510000000002</v>
      </c>
      <c r="G14" s="1">
        <v>-92.110759999999999</v>
      </c>
      <c r="H14" s="85">
        <v>1300</v>
      </c>
      <c r="I14" s="7">
        <v>10</v>
      </c>
      <c r="J14" t="s">
        <v>727</v>
      </c>
    </row>
    <row r="15" spans="1:10" x14ac:dyDescent="0.25">
      <c r="A15" t="s">
        <v>440</v>
      </c>
      <c r="B15" t="s">
        <v>440</v>
      </c>
      <c r="C15" s="4">
        <v>33.223509999999997</v>
      </c>
      <c r="D15" s="4">
        <v>-92.109170000000006</v>
      </c>
      <c r="F15" s="1">
        <v>33.222940000000001</v>
      </c>
      <c r="G15" s="1">
        <v>-92.109819999999999</v>
      </c>
      <c r="H15" s="85">
        <v>1200</v>
      </c>
      <c r="I15" s="7">
        <v>10</v>
      </c>
      <c r="J15" t="s">
        <v>727</v>
      </c>
    </row>
    <row r="16" spans="1:10" x14ac:dyDescent="0.25">
      <c r="A16" t="s">
        <v>439</v>
      </c>
      <c r="B16" t="s">
        <v>439</v>
      </c>
      <c r="C16" s="4">
        <v>33.231430000000003</v>
      </c>
      <c r="D16" s="4">
        <v>-92.088290000000001</v>
      </c>
      <c r="F16" s="1">
        <v>33.231430000000003</v>
      </c>
      <c r="G16" s="1">
        <v>-92.088290000000001</v>
      </c>
      <c r="H16" s="85">
        <v>1900</v>
      </c>
      <c r="I16" s="7">
        <v>5</v>
      </c>
      <c r="J16" t="s">
        <v>727</v>
      </c>
    </row>
    <row r="17" spans="1:10" x14ac:dyDescent="0.25">
      <c r="A17" t="s">
        <v>441</v>
      </c>
      <c r="B17" t="s">
        <v>441</v>
      </c>
      <c r="C17" s="4">
        <v>33.23283</v>
      </c>
      <c r="D17" s="4">
        <v>-92.08587</v>
      </c>
      <c r="F17" s="1">
        <v>33.233710000000002</v>
      </c>
      <c r="G17" s="1">
        <v>-92.085560000000001</v>
      </c>
      <c r="H17" s="85">
        <v>600</v>
      </c>
      <c r="I17" s="7">
        <v>5</v>
      </c>
      <c r="J17" t="s">
        <v>727</v>
      </c>
    </row>
    <row r="18" spans="1:10" x14ac:dyDescent="0.25">
      <c r="A18" t="s">
        <v>442</v>
      </c>
      <c r="B18" t="s">
        <v>442</v>
      </c>
      <c r="C18" s="4">
        <v>33.235059999999997</v>
      </c>
      <c r="D18" s="4">
        <v>-92.090310000000002</v>
      </c>
      <c r="F18" s="1">
        <v>33.238880000000002</v>
      </c>
      <c r="G18" s="1">
        <v>-92.086179999999999</v>
      </c>
      <c r="H18" s="85">
        <v>9900</v>
      </c>
      <c r="I18" s="7">
        <v>22</v>
      </c>
      <c r="J18" t="s">
        <v>730</v>
      </c>
    </row>
    <row r="20" spans="1:10" x14ac:dyDescent="0.25">
      <c r="C20" s="4"/>
      <c r="D20" s="4"/>
    </row>
    <row r="21" spans="1:10" x14ac:dyDescent="0.25">
      <c r="C21" s="4"/>
      <c r="D21" s="4"/>
    </row>
    <row r="22" spans="1:10" x14ac:dyDescent="0.25">
      <c r="C22" s="4"/>
      <c r="D22" s="4"/>
    </row>
    <row r="23" spans="1:10" x14ac:dyDescent="0.25">
      <c r="C23" s="4"/>
      <c r="D23" s="4"/>
    </row>
    <row r="24" spans="1:10" x14ac:dyDescent="0.25">
      <c r="C24" s="4"/>
      <c r="D24" s="4"/>
    </row>
    <row r="25" spans="1:10" x14ac:dyDescent="0.25">
      <c r="C25" s="4"/>
      <c r="D25" s="4"/>
    </row>
    <row r="26" spans="1:10" x14ac:dyDescent="0.25">
      <c r="C26" s="4"/>
      <c r="D26" s="4"/>
    </row>
    <row r="27" spans="1:10" x14ac:dyDescent="0.25">
      <c r="C27" s="4"/>
      <c r="D27" s="4"/>
      <c r="H27" s="7"/>
    </row>
    <row r="28" spans="1:10" x14ac:dyDescent="0.25">
      <c r="C28" s="4"/>
      <c r="D28" s="4"/>
    </row>
    <row r="29" spans="1:10" x14ac:dyDescent="0.25">
      <c r="C29" s="4"/>
      <c r="D29" s="4"/>
      <c r="H29" s="99"/>
    </row>
    <row r="30" spans="1:10" x14ac:dyDescent="0.25">
      <c r="C30" s="4"/>
      <c r="D30" s="4"/>
      <c r="H30" s="99"/>
    </row>
    <row r="31" spans="1:10" x14ac:dyDescent="0.25">
      <c r="C31" s="4"/>
      <c r="D31" s="4"/>
      <c r="H31" s="7"/>
    </row>
    <row r="32" spans="1:10" x14ac:dyDescent="0.25">
      <c r="C32" s="4"/>
      <c r="D32" s="4"/>
    </row>
    <row r="33" spans="3:4" x14ac:dyDescent="0.25">
      <c r="C33" s="4"/>
      <c r="D33" s="4"/>
    </row>
    <row r="34" spans="3:4" x14ac:dyDescent="0.25">
      <c r="C34" s="4"/>
      <c r="D34" s="4"/>
    </row>
    <row r="35" spans="3:4" x14ac:dyDescent="0.25">
      <c r="C35" s="4"/>
      <c r="D35" s="4"/>
    </row>
    <row r="36" spans="3:4" x14ac:dyDescent="0.25">
      <c r="C36" s="4"/>
      <c r="D36" s="4"/>
    </row>
    <row r="37" spans="3:4" x14ac:dyDescent="0.25">
      <c r="C37" s="4"/>
      <c r="D37" s="4"/>
    </row>
  </sheetData>
  <mergeCells count="2">
    <mergeCell ref="C1:D1"/>
    <mergeCell ref="F1:G1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selection activeCell="B12" sqref="B12"/>
    </sheetView>
  </sheetViews>
  <sheetFormatPr defaultRowHeight="15" x14ac:dyDescent="0.25"/>
  <cols>
    <col min="1" max="2" width="15" customWidth="1"/>
    <col min="3" max="3" width="9.5703125" style="2" bestFit="1" customWidth="1"/>
    <col min="4" max="6" width="9.140625" style="1"/>
    <col min="7" max="7" width="10.5703125" bestFit="1" customWidth="1"/>
  </cols>
  <sheetData>
    <row r="1" spans="1:7" x14ac:dyDescent="0.25">
      <c r="A1" t="s">
        <v>0</v>
      </c>
      <c r="B1" t="s">
        <v>40</v>
      </c>
      <c r="C1" s="118" t="s">
        <v>35</v>
      </c>
      <c r="D1" s="118"/>
      <c r="E1" s="116" t="s">
        <v>36</v>
      </c>
      <c r="F1" s="116"/>
      <c r="G1" s="1"/>
    </row>
    <row r="2" spans="1:7" x14ac:dyDescent="0.25">
      <c r="A2" s="114" t="s">
        <v>731</v>
      </c>
      <c r="B2" s="115" t="s">
        <v>732</v>
      </c>
      <c r="C2" s="118">
        <v>33.226930000000003</v>
      </c>
      <c r="D2" s="118"/>
      <c r="E2" s="116">
        <v>-92.087980000000002</v>
      </c>
      <c r="F2" s="116"/>
    </row>
    <row r="3" spans="1:7" x14ac:dyDescent="0.25">
      <c r="A3" s="114" t="s">
        <v>733</v>
      </c>
      <c r="B3" s="115" t="s">
        <v>734</v>
      </c>
      <c r="C3" s="118">
        <v>33.22392</v>
      </c>
      <c r="D3" s="118"/>
      <c r="E3" s="116">
        <v>-92.092020000000005</v>
      </c>
      <c r="F3" s="116"/>
    </row>
    <row r="4" spans="1:7" x14ac:dyDescent="0.25">
      <c r="A4" s="114" t="s">
        <v>735</v>
      </c>
      <c r="B4" s="115" t="s">
        <v>736</v>
      </c>
      <c r="C4" s="118">
        <v>33.221550000000001</v>
      </c>
      <c r="D4" s="118"/>
      <c r="E4" s="116">
        <v>-92.093379999999996</v>
      </c>
      <c r="F4" s="116"/>
    </row>
    <row r="5" spans="1:7" x14ac:dyDescent="0.25">
      <c r="A5" s="114" t="s">
        <v>737</v>
      </c>
      <c r="B5" s="115" t="s">
        <v>738</v>
      </c>
      <c r="C5" s="118">
        <v>33.220820000000003</v>
      </c>
      <c r="D5" s="118"/>
      <c r="E5" s="116">
        <v>-92.094629999999995</v>
      </c>
      <c r="F5" s="116"/>
    </row>
    <row r="6" spans="1:7" x14ac:dyDescent="0.25">
      <c r="A6" s="114" t="s">
        <v>739</v>
      </c>
      <c r="B6" s="115" t="s">
        <v>740</v>
      </c>
      <c r="C6" s="118">
        <v>33.219729999999998</v>
      </c>
      <c r="D6" s="118"/>
      <c r="E6" s="116">
        <v>-92.099980000000002</v>
      </c>
      <c r="F6" s="116"/>
    </row>
    <row r="7" spans="1:7" x14ac:dyDescent="0.25">
      <c r="A7" s="114" t="s">
        <v>741</v>
      </c>
      <c r="B7" s="115" t="s">
        <v>742</v>
      </c>
      <c r="C7" s="118">
        <v>33.218629999999997</v>
      </c>
      <c r="D7" s="118"/>
      <c r="E7" s="116">
        <v>-92.103870000000001</v>
      </c>
      <c r="F7" s="116"/>
    </row>
    <row r="8" spans="1:7" x14ac:dyDescent="0.25">
      <c r="A8" s="114" t="s">
        <v>743</v>
      </c>
      <c r="B8" s="115" t="s">
        <v>744</v>
      </c>
      <c r="C8" s="118">
        <v>33.219349999999999</v>
      </c>
      <c r="D8" s="118"/>
      <c r="E8" s="116">
        <v>-92.104519999999994</v>
      </c>
      <c r="F8" s="116"/>
    </row>
    <row r="9" spans="1:7" x14ac:dyDescent="0.25">
      <c r="A9" s="114" t="s">
        <v>745</v>
      </c>
      <c r="B9" s="115" t="s">
        <v>746</v>
      </c>
      <c r="C9" s="118">
        <v>33.223190000000002</v>
      </c>
      <c r="D9" s="118"/>
      <c r="E9" s="116">
        <v>-92.109650000000002</v>
      </c>
      <c r="F9" s="116"/>
    </row>
    <row r="10" spans="1:7" x14ac:dyDescent="0.25">
      <c r="A10" s="114" t="s">
        <v>747</v>
      </c>
      <c r="B10" s="115" t="s">
        <v>748</v>
      </c>
      <c r="C10" s="118">
        <v>33.22269</v>
      </c>
      <c r="D10" s="118"/>
      <c r="E10" s="116">
        <v>-92.116370000000003</v>
      </c>
      <c r="F10" s="116"/>
    </row>
    <row r="11" spans="1:7" x14ac:dyDescent="0.25">
      <c r="A11" s="114" t="s">
        <v>749</v>
      </c>
      <c r="B11" s="115" t="s">
        <v>750</v>
      </c>
      <c r="C11" s="118">
        <v>33.21293</v>
      </c>
      <c r="D11" s="118"/>
      <c r="E11" s="116">
        <v>-92.113110000000006</v>
      </c>
      <c r="F11" s="116"/>
    </row>
    <row r="12" spans="1:7" x14ac:dyDescent="0.25">
      <c r="A12" s="114" t="s">
        <v>751</v>
      </c>
      <c r="B12" s="115" t="s">
        <v>752</v>
      </c>
      <c r="C12" s="118">
        <v>33.208240000000004</v>
      </c>
      <c r="D12" s="118"/>
      <c r="E12" s="116">
        <v>-92.113990000000001</v>
      </c>
      <c r="F12" s="116"/>
    </row>
    <row r="13" spans="1:7" x14ac:dyDescent="0.25">
      <c r="A13" s="114" t="s">
        <v>753</v>
      </c>
      <c r="B13" s="115" t="s">
        <v>754</v>
      </c>
      <c r="C13" s="118">
        <v>33.2072</v>
      </c>
      <c r="D13" s="118"/>
      <c r="E13" s="116">
        <v>-92.114710000000002</v>
      </c>
      <c r="F13" s="116"/>
    </row>
    <row r="14" spans="1:7" x14ac:dyDescent="0.25">
      <c r="A14" s="114" t="s">
        <v>755</v>
      </c>
      <c r="B14" s="115" t="s">
        <v>756</v>
      </c>
      <c r="C14" s="118">
        <v>33.206099999999999</v>
      </c>
      <c r="D14" s="118"/>
      <c r="E14" s="116">
        <v>-92.115849999999995</v>
      </c>
      <c r="F14" s="116"/>
    </row>
    <row r="15" spans="1:7" x14ac:dyDescent="0.25">
      <c r="A15" s="114" t="s">
        <v>757</v>
      </c>
      <c r="B15" s="115" t="s">
        <v>758</v>
      </c>
      <c r="C15" s="118">
        <v>33.206150000000001</v>
      </c>
      <c r="D15" s="118"/>
      <c r="E15" s="116">
        <v>-92.115750000000006</v>
      </c>
      <c r="F15" s="116"/>
    </row>
    <row r="16" spans="1:7" x14ac:dyDescent="0.25">
      <c r="A16" s="114" t="s">
        <v>759</v>
      </c>
      <c r="B16" s="115" t="s">
        <v>760</v>
      </c>
      <c r="C16" s="118">
        <v>33.20532</v>
      </c>
      <c r="D16" s="118"/>
      <c r="E16" s="116">
        <v>-92.1173</v>
      </c>
      <c r="F16" s="116"/>
    </row>
    <row r="17" spans="1:6" x14ac:dyDescent="0.25">
      <c r="A17" s="114" t="s">
        <v>761</v>
      </c>
      <c r="B17" s="115" t="s">
        <v>762</v>
      </c>
      <c r="C17" s="118">
        <v>33.206330000000001</v>
      </c>
      <c r="D17" s="118"/>
      <c r="E17" s="116">
        <v>-92.120279999999994</v>
      </c>
      <c r="F17" s="116"/>
    </row>
    <row r="18" spans="1:6" x14ac:dyDescent="0.25">
      <c r="A18" s="114" t="s">
        <v>763</v>
      </c>
      <c r="B18" s="115" t="s">
        <v>764</v>
      </c>
      <c r="C18" s="118">
        <v>33.209530000000001</v>
      </c>
      <c r="D18" s="118"/>
      <c r="E18" s="116">
        <v>-92.127179999999996</v>
      </c>
      <c r="F18" s="116"/>
    </row>
    <row r="19" spans="1:6" x14ac:dyDescent="0.25">
      <c r="A19" s="114" t="s">
        <v>765</v>
      </c>
      <c r="B19" s="115" t="s">
        <v>766</v>
      </c>
      <c r="C19" s="118">
        <v>33.209350000000001</v>
      </c>
      <c r="D19" s="118"/>
      <c r="E19" s="116">
        <v>-92.127979999999994</v>
      </c>
      <c r="F19" s="116"/>
    </row>
    <row r="20" spans="1:6" x14ac:dyDescent="0.25">
      <c r="A20" s="114" t="s">
        <v>767</v>
      </c>
      <c r="B20" s="115" t="s">
        <v>768</v>
      </c>
      <c r="C20" s="118">
        <v>33.20823</v>
      </c>
      <c r="D20" s="118"/>
      <c r="E20" s="116">
        <v>-92.12885</v>
      </c>
      <c r="F20" s="116"/>
    </row>
    <row r="21" spans="1:6" x14ac:dyDescent="0.25">
      <c r="A21" s="114" t="s">
        <v>769</v>
      </c>
      <c r="B21" s="115" t="s">
        <v>770</v>
      </c>
      <c r="C21" s="118">
        <v>33.204700000000003</v>
      </c>
      <c r="D21" s="118"/>
      <c r="E21" s="116">
        <v>-92.128299999999996</v>
      </c>
      <c r="F21" s="116"/>
    </row>
    <row r="22" spans="1:6" x14ac:dyDescent="0.25">
      <c r="A22" s="114" t="s">
        <v>771</v>
      </c>
      <c r="B22" s="115" t="s">
        <v>772</v>
      </c>
      <c r="C22" s="118">
        <v>33.195219999999999</v>
      </c>
      <c r="D22" s="118"/>
      <c r="E22" s="116">
        <v>-92.136510000000001</v>
      </c>
      <c r="F22" s="116"/>
    </row>
    <row r="23" spans="1:6" x14ac:dyDescent="0.25">
      <c r="A23" s="114" t="s">
        <v>773</v>
      </c>
      <c r="B23" s="115" t="s">
        <v>774</v>
      </c>
      <c r="C23" s="118">
        <v>33.190899999999999</v>
      </c>
      <c r="D23" s="118"/>
      <c r="E23" s="116">
        <v>-92.1357</v>
      </c>
      <c r="F23" s="116"/>
    </row>
    <row r="24" spans="1:6" x14ac:dyDescent="0.25">
      <c r="A24" s="114" t="s">
        <v>775</v>
      </c>
      <c r="B24" s="115" t="s">
        <v>776</v>
      </c>
      <c r="C24" s="118">
        <v>33.187869999999997</v>
      </c>
      <c r="D24" s="118"/>
      <c r="E24" s="116">
        <v>-92.138689999999997</v>
      </c>
      <c r="F24" s="116"/>
    </row>
    <row r="25" spans="1:6" x14ac:dyDescent="0.25">
      <c r="A25" s="114" t="s">
        <v>777</v>
      </c>
      <c r="B25" s="115" t="s">
        <v>778</v>
      </c>
      <c r="C25" s="118">
        <v>33.188740000000003</v>
      </c>
      <c r="D25" s="118"/>
      <c r="E25" s="116">
        <v>-92.138369999999995</v>
      </c>
      <c r="F25" s="116"/>
    </row>
    <row r="26" spans="1:6" x14ac:dyDescent="0.25">
      <c r="A26" s="114" t="s">
        <v>779</v>
      </c>
      <c r="B26" s="115" t="s">
        <v>780</v>
      </c>
      <c r="C26" s="118">
        <v>33.186300000000003</v>
      </c>
      <c r="D26" s="118"/>
      <c r="E26" s="116">
        <v>-92.134190000000004</v>
      </c>
      <c r="F26" s="116"/>
    </row>
    <row r="27" spans="1:6" x14ac:dyDescent="0.25">
      <c r="A27" s="114" t="s">
        <v>781</v>
      </c>
      <c r="B27" s="115" t="s">
        <v>782</v>
      </c>
      <c r="C27" s="118">
        <v>33.187539999999998</v>
      </c>
      <c r="D27" s="118"/>
      <c r="E27" s="116">
        <v>-92.132180000000005</v>
      </c>
      <c r="F27" s="116"/>
    </row>
    <row r="28" spans="1:6" x14ac:dyDescent="0.25">
      <c r="A28" s="114" t="s">
        <v>783</v>
      </c>
      <c r="B28" s="115" t="s">
        <v>784</v>
      </c>
      <c r="C28" s="118">
        <v>33.186410000000002</v>
      </c>
      <c r="D28" s="118"/>
      <c r="E28" s="116">
        <v>-92.133629999999997</v>
      </c>
      <c r="F28" s="116"/>
    </row>
    <row r="29" spans="1:6" x14ac:dyDescent="0.25">
      <c r="A29" s="114" t="s">
        <v>785</v>
      </c>
      <c r="B29" s="115" t="s">
        <v>786</v>
      </c>
      <c r="C29" s="118">
        <v>33.188720000000004</v>
      </c>
      <c r="D29" s="118"/>
      <c r="E29" s="116">
        <v>-92.132710000000003</v>
      </c>
      <c r="F29" s="116"/>
    </row>
    <row r="30" spans="1:6" x14ac:dyDescent="0.25">
      <c r="A30" s="114" t="s">
        <v>787</v>
      </c>
      <c r="B30" s="115" t="s">
        <v>788</v>
      </c>
      <c r="C30" s="118">
        <v>33.189039999999999</v>
      </c>
      <c r="D30" s="118"/>
      <c r="E30" s="116">
        <v>-92.130780000000001</v>
      </c>
      <c r="F30" s="116"/>
    </row>
    <row r="31" spans="1:6" x14ac:dyDescent="0.25">
      <c r="A31" s="114" t="s">
        <v>789</v>
      </c>
      <c r="B31" s="115" t="s">
        <v>790</v>
      </c>
      <c r="C31" s="118">
        <v>33.183190000000003</v>
      </c>
      <c r="D31" s="118"/>
      <c r="E31" s="116">
        <v>-92.128079999999997</v>
      </c>
      <c r="F31" s="116"/>
    </row>
    <row r="32" spans="1:6" x14ac:dyDescent="0.25">
      <c r="A32" s="114" t="s">
        <v>791</v>
      </c>
      <c r="B32" s="115" t="s">
        <v>792</v>
      </c>
      <c r="C32" s="118">
        <v>33.182259999999999</v>
      </c>
      <c r="D32" s="118"/>
      <c r="E32" s="116">
        <v>-92.128489999999999</v>
      </c>
      <c r="F32" s="116"/>
    </row>
    <row r="33" spans="1:6" x14ac:dyDescent="0.25">
      <c r="A33" s="114" t="s">
        <v>793</v>
      </c>
      <c r="B33" s="115" t="s">
        <v>794</v>
      </c>
      <c r="C33" s="118">
        <v>33.184199999999997</v>
      </c>
      <c r="D33" s="118"/>
      <c r="E33" s="116">
        <v>-92.134789999999995</v>
      </c>
      <c r="F33" s="116"/>
    </row>
    <row r="34" spans="1:6" x14ac:dyDescent="0.25">
      <c r="A34" s="114" t="s">
        <v>795</v>
      </c>
      <c r="B34" s="115" t="s">
        <v>796</v>
      </c>
      <c r="C34" s="118">
        <v>33.182830000000003</v>
      </c>
      <c r="D34" s="118"/>
      <c r="E34" s="116">
        <v>-92.134739999999994</v>
      </c>
      <c r="F34" s="116"/>
    </row>
    <row r="35" spans="1:6" x14ac:dyDescent="0.25">
      <c r="A35" s="114" t="s">
        <v>797</v>
      </c>
      <c r="B35" s="115" t="s">
        <v>798</v>
      </c>
      <c r="C35" s="118">
        <v>33.179940000000002</v>
      </c>
      <c r="D35" s="118"/>
      <c r="E35" s="116">
        <v>-92.129009999999994</v>
      </c>
      <c r="F35" s="116"/>
    </row>
    <row r="36" spans="1:6" x14ac:dyDescent="0.25">
      <c r="A36" s="114" t="s">
        <v>799</v>
      </c>
      <c r="B36" s="115" t="s">
        <v>800</v>
      </c>
      <c r="C36" s="118">
        <v>33.200940000000003</v>
      </c>
      <c r="D36" s="118"/>
      <c r="E36" s="116">
        <v>-92.133539999999996</v>
      </c>
      <c r="F36" s="116"/>
    </row>
    <row r="37" spans="1:6" x14ac:dyDescent="0.25">
      <c r="A37" s="114" t="s">
        <v>801</v>
      </c>
      <c r="B37" s="115" t="s">
        <v>802</v>
      </c>
      <c r="C37" s="118">
        <v>33.199959999999997</v>
      </c>
      <c r="D37" s="118"/>
      <c r="E37" s="116">
        <v>-92.133349999999993</v>
      </c>
      <c r="F37" s="116"/>
    </row>
    <row r="38" spans="1:6" x14ac:dyDescent="0.25">
      <c r="A38" s="114" t="s">
        <v>803</v>
      </c>
      <c r="B38" s="115" t="s">
        <v>804</v>
      </c>
      <c r="C38" s="118">
        <v>33.197940000000003</v>
      </c>
      <c r="D38" s="118"/>
      <c r="E38" s="116">
        <v>-92.132670000000005</v>
      </c>
      <c r="F38" s="116"/>
    </row>
    <row r="39" spans="1:6" x14ac:dyDescent="0.25">
      <c r="A39" s="114" t="s">
        <v>805</v>
      </c>
      <c r="B39" s="115" t="s">
        <v>806</v>
      </c>
      <c r="C39" s="118">
        <v>33.19764</v>
      </c>
      <c r="D39" s="118"/>
      <c r="E39" s="116">
        <v>-92.133030000000005</v>
      </c>
      <c r="F39" s="116"/>
    </row>
  </sheetData>
  <mergeCells count="78">
    <mergeCell ref="C37:D37"/>
    <mergeCell ref="E37:F37"/>
    <mergeCell ref="C38:D38"/>
    <mergeCell ref="E38:F38"/>
    <mergeCell ref="E39:F39"/>
    <mergeCell ref="C39:D39"/>
    <mergeCell ref="C34:D34"/>
    <mergeCell ref="E34:F34"/>
    <mergeCell ref="C35:D35"/>
    <mergeCell ref="E35:F35"/>
    <mergeCell ref="C36:D36"/>
    <mergeCell ref="E36:F36"/>
    <mergeCell ref="C31:D31"/>
    <mergeCell ref="E31:F31"/>
    <mergeCell ref="C32:D32"/>
    <mergeCell ref="E32:F32"/>
    <mergeCell ref="C33:D33"/>
    <mergeCell ref="E33:F33"/>
    <mergeCell ref="C28:D28"/>
    <mergeCell ref="E28:F28"/>
    <mergeCell ref="C29:D29"/>
    <mergeCell ref="E29:F29"/>
    <mergeCell ref="C30:D30"/>
    <mergeCell ref="E30:F30"/>
    <mergeCell ref="C25:D25"/>
    <mergeCell ref="E25:F25"/>
    <mergeCell ref="C26:D26"/>
    <mergeCell ref="E26:F26"/>
    <mergeCell ref="C27:D27"/>
    <mergeCell ref="E27:F27"/>
    <mergeCell ref="C22:D22"/>
    <mergeCell ref="E22:F22"/>
    <mergeCell ref="C23:D23"/>
    <mergeCell ref="E23:F23"/>
    <mergeCell ref="C24:D24"/>
    <mergeCell ref="E24:F24"/>
    <mergeCell ref="C19:D19"/>
    <mergeCell ref="E19:F19"/>
    <mergeCell ref="C20:D20"/>
    <mergeCell ref="E20:F20"/>
    <mergeCell ref="C21:D21"/>
    <mergeCell ref="E21:F21"/>
    <mergeCell ref="C16:D16"/>
    <mergeCell ref="E16:F16"/>
    <mergeCell ref="C17:D17"/>
    <mergeCell ref="E17:F17"/>
    <mergeCell ref="C18:D18"/>
    <mergeCell ref="E18:F18"/>
    <mergeCell ref="C13:D13"/>
    <mergeCell ref="E13:F13"/>
    <mergeCell ref="C14:D14"/>
    <mergeCell ref="E14:F14"/>
    <mergeCell ref="C15:D15"/>
    <mergeCell ref="E15:F15"/>
    <mergeCell ref="C10:D10"/>
    <mergeCell ref="E10:F10"/>
    <mergeCell ref="C11:D11"/>
    <mergeCell ref="E11:F11"/>
    <mergeCell ref="C12:D12"/>
    <mergeCell ref="E12:F12"/>
    <mergeCell ref="C7:D7"/>
    <mergeCell ref="E7:F7"/>
    <mergeCell ref="C8:D8"/>
    <mergeCell ref="E8:F8"/>
    <mergeCell ref="C9:D9"/>
    <mergeCell ref="E9:F9"/>
    <mergeCell ref="C4:D4"/>
    <mergeCell ref="E4:F4"/>
    <mergeCell ref="C5:D5"/>
    <mergeCell ref="E5:F5"/>
    <mergeCell ref="C6:D6"/>
    <mergeCell ref="E6:F6"/>
    <mergeCell ref="C1:D1"/>
    <mergeCell ref="E1:F1"/>
    <mergeCell ref="C2:D2"/>
    <mergeCell ref="E2:F2"/>
    <mergeCell ref="C3:D3"/>
    <mergeCell ref="E3:F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F48" sqref="F48"/>
    </sheetView>
  </sheetViews>
  <sheetFormatPr defaultRowHeight="15" x14ac:dyDescent="0.25"/>
  <cols>
    <col min="1" max="1" width="23.42578125" bestFit="1" customWidth="1"/>
    <col min="2" max="3" width="16" bestFit="1" customWidth="1"/>
    <col min="4" max="4" width="14.140625" bestFit="1" customWidth="1"/>
    <col min="5" max="5" width="14.42578125" bestFit="1" customWidth="1"/>
    <col min="6" max="6" width="14" bestFit="1" customWidth="1"/>
    <col min="7" max="7" width="12.7109375" bestFit="1" customWidth="1"/>
    <col min="8" max="8" width="13.28515625" bestFit="1" customWidth="1"/>
    <col min="9" max="9" width="11.85546875" bestFit="1" customWidth="1"/>
    <col min="10" max="10" width="12.28515625" bestFit="1" customWidth="1"/>
    <col min="11" max="12" width="13.42578125" bestFit="1" customWidth="1"/>
    <col min="13" max="13" width="16" bestFit="1" customWidth="1"/>
  </cols>
  <sheetData>
    <row r="1" spans="1:13" x14ac:dyDescent="0.25">
      <c r="A1" s="113" t="s">
        <v>0</v>
      </c>
      <c r="B1" t="s">
        <v>542</v>
      </c>
      <c r="C1" t="s">
        <v>542</v>
      </c>
      <c r="D1" t="s">
        <v>542</v>
      </c>
      <c r="E1" t="s">
        <v>542</v>
      </c>
      <c r="G1" t="s">
        <v>570</v>
      </c>
      <c r="H1" t="s">
        <v>570</v>
      </c>
      <c r="I1" t="s">
        <v>570</v>
      </c>
      <c r="J1" t="s">
        <v>570</v>
      </c>
      <c r="K1" t="s">
        <v>570</v>
      </c>
    </row>
    <row r="2" spans="1:13" s="113" customFormat="1" x14ac:dyDescent="0.25">
      <c r="A2" s="113" t="s">
        <v>97</v>
      </c>
      <c r="B2" s="113" t="s">
        <v>548</v>
      </c>
      <c r="C2" s="113" t="s">
        <v>549</v>
      </c>
      <c r="D2" s="113" t="s">
        <v>564</v>
      </c>
      <c r="E2" s="113" t="s">
        <v>566</v>
      </c>
      <c r="F2" s="113" t="s">
        <v>567</v>
      </c>
      <c r="G2" s="26" t="s">
        <v>569</v>
      </c>
      <c r="H2" s="26" t="s">
        <v>568</v>
      </c>
      <c r="I2" s="26" t="s">
        <v>448</v>
      </c>
      <c r="J2" s="30" t="s">
        <v>450</v>
      </c>
      <c r="K2" s="30" t="s">
        <v>451</v>
      </c>
      <c r="L2" s="30" t="s">
        <v>447</v>
      </c>
      <c r="M2" s="30" t="s">
        <v>445</v>
      </c>
    </row>
    <row r="3" spans="1:13" x14ac:dyDescent="0.25">
      <c r="A3" t="s">
        <v>541</v>
      </c>
      <c r="B3" t="s">
        <v>543</v>
      </c>
      <c r="C3" t="s">
        <v>550</v>
      </c>
      <c r="D3" t="s">
        <v>578</v>
      </c>
      <c r="E3" t="s">
        <v>577</v>
      </c>
      <c r="F3" t="s">
        <v>576</v>
      </c>
      <c r="G3" t="s">
        <v>571</v>
      </c>
      <c r="H3" t="s">
        <v>572</v>
      </c>
      <c r="I3" t="s">
        <v>647</v>
      </c>
      <c r="J3" t="s">
        <v>656</v>
      </c>
      <c r="K3" t="s">
        <v>573</v>
      </c>
      <c r="L3" t="s">
        <v>574</v>
      </c>
      <c r="M3" t="s">
        <v>575</v>
      </c>
    </row>
    <row r="4" spans="1:13" x14ac:dyDescent="0.25">
      <c r="A4" s="12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695</v>
      </c>
    </row>
    <row r="5" spans="1:13" x14ac:dyDescent="0.25">
      <c r="A5" s="12" t="s">
        <v>2</v>
      </c>
      <c r="B5" t="s">
        <v>544</v>
      </c>
      <c r="C5" t="s">
        <v>551</v>
      </c>
      <c r="D5" t="s">
        <v>579</v>
      </c>
      <c r="E5" t="s">
        <v>589</v>
      </c>
      <c r="F5" t="s">
        <v>604</v>
      </c>
      <c r="G5" t="s">
        <v>625</v>
      </c>
      <c r="H5" t="s">
        <v>636</v>
      </c>
      <c r="I5" t="s">
        <v>648</v>
      </c>
      <c r="J5" t="s">
        <v>657</v>
      </c>
      <c r="K5" t="s">
        <v>667</v>
      </c>
      <c r="L5" t="s">
        <v>681</v>
      </c>
      <c r="M5" t="s">
        <v>696</v>
      </c>
    </row>
    <row r="6" spans="1:13" x14ac:dyDescent="0.25">
      <c r="A6" s="12" t="s">
        <v>3</v>
      </c>
      <c r="B6">
        <v>0</v>
      </c>
      <c r="C6" t="s">
        <v>552</v>
      </c>
      <c r="D6">
        <v>0</v>
      </c>
      <c r="E6">
        <v>0</v>
      </c>
      <c r="F6" t="s">
        <v>605</v>
      </c>
      <c r="G6" t="s">
        <v>626</v>
      </c>
      <c r="H6" t="s">
        <v>637</v>
      </c>
      <c r="I6" t="s">
        <v>649</v>
      </c>
      <c r="J6">
        <v>0</v>
      </c>
      <c r="K6" t="s">
        <v>668</v>
      </c>
      <c r="L6" t="s">
        <v>682</v>
      </c>
      <c r="M6" t="s">
        <v>697</v>
      </c>
    </row>
    <row r="7" spans="1:13" x14ac:dyDescent="0.25">
      <c r="A7" s="12" t="s">
        <v>4</v>
      </c>
      <c r="B7">
        <v>0</v>
      </c>
      <c r="C7">
        <v>0</v>
      </c>
      <c r="D7">
        <v>0</v>
      </c>
      <c r="E7">
        <v>0</v>
      </c>
      <c r="F7" t="s">
        <v>606</v>
      </c>
      <c r="G7">
        <v>0</v>
      </c>
      <c r="H7">
        <v>0</v>
      </c>
      <c r="I7">
        <v>0</v>
      </c>
      <c r="J7" t="s">
        <v>658</v>
      </c>
      <c r="K7">
        <v>0</v>
      </c>
      <c r="L7">
        <v>0</v>
      </c>
      <c r="M7" t="s">
        <v>698</v>
      </c>
    </row>
    <row r="8" spans="1:13" x14ac:dyDescent="0.25">
      <c r="A8" s="12" t="s">
        <v>5</v>
      </c>
      <c r="B8">
        <v>0</v>
      </c>
      <c r="C8" t="s">
        <v>553</v>
      </c>
      <c r="D8" t="s">
        <v>580</v>
      </c>
      <c r="E8" t="s">
        <v>590</v>
      </c>
      <c r="F8" t="s">
        <v>607</v>
      </c>
      <c r="G8" t="s">
        <v>627</v>
      </c>
      <c r="H8" t="s">
        <v>637</v>
      </c>
      <c r="I8" t="s">
        <v>650</v>
      </c>
      <c r="J8" t="s">
        <v>659</v>
      </c>
      <c r="K8" t="s">
        <v>669</v>
      </c>
      <c r="L8" t="s">
        <v>683</v>
      </c>
      <c r="M8" t="s">
        <v>699</v>
      </c>
    </row>
    <row r="9" spans="1:13" x14ac:dyDescent="0.25">
      <c r="A9" s="12" t="s">
        <v>6</v>
      </c>
      <c r="B9">
        <v>0</v>
      </c>
      <c r="C9" t="s">
        <v>554</v>
      </c>
      <c r="D9" t="s">
        <v>581</v>
      </c>
      <c r="E9" t="s">
        <v>591</v>
      </c>
      <c r="F9" t="s">
        <v>608</v>
      </c>
      <c r="G9" t="s">
        <v>628</v>
      </c>
      <c r="H9" t="s">
        <v>638</v>
      </c>
      <c r="I9" t="s">
        <v>651</v>
      </c>
      <c r="J9" t="s">
        <v>660</v>
      </c>
      <c r="K9" t="s">
        <v>670</v>
      </c>
      <c r="L9" t="s">
        <v>684</v>
      </c>
      <c r="M9" t="s">
        <v>700</v>
      </c>
    </row>
    <row r="10" spans="1:13" x14ac:dyDescent="0.25">
      <c r="A10" s="12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685</v>
      </c>
      <c r="M10" t="s">
        <v>701</v>
      </c>
    </row>
    <row r="11" spans="1:13" x14ac:dyDescent="0.25">
      <c r="A11" s="12" t="s">
        <v>8</v>
      </c>
      <c r="B11">
        <v>0</v>
      </c>
      <c r="C11" t="s">
        <v>555</v>
      </c>
      <c r="D11" t="s">
        <v>582</v>
      </c>
      <c r="E11" t="s">
        <v>592</v>
      </c>
      <c r="F11" t="s">
        <v>609</v>
      </c>
      <c r="G11" t="s">
        <v>629</v>
      </c>
      <c r="H11">
        <v>0</v>
      </c>
      <c r="I11">
        <v>0</v>
      </c>
      <c r="J11">
        <v>0</v>
      </c>
      <c r="K11" t="s">
        <v>672</v>
      </c>
      <c r="L11" t="s">
        <v>686</v>
      </c>
      <c r="M11" t="s">
        <v>702</v>
      </c>
    </row>
    <row r="12" spans="1:13" x14ac:dyDescent="0.25">
      <c r="A12" s="12" t="s">
        <v>9</v>
      </c>
      <c r="B12">
        <v>0</v>
      </c>
      <c r="C12">
        <v>0</v>
      </c>
      <c r="D12" t="s">
        <v>582</v>
      </c>
      <c r="E12" t="s">
        <v>593</v>
      </c>
      <c r="F12" t="s">
        <v>606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703</v>
      </c>
    </row>
    <row r="13" spans="1:13" x14ac:dyDescent="0.25">
      <c r="A13" s="12" t="s">
        <v>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s="12" t="s">
        <v>11</v>
      </c>
      <c r="B14">
        <v>0</v>
      </c>
      <c r="C14">
        <v>0</v>
      </c>
      <c r="D14">
        <v>0</v>
      </c>
      <c r="E14" t="s">
        <v>594</v>
      </c>
      <c r="F14" t="s">
        <v>606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701</v>
      </c>
    </row>
    <row r="15" spans="1:13" x14ac:dyDescent="0.25">
      <c r="A15" s="12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 s="12" t="s">
        <v>13</v>
      </c>
      <c r="B16">
        <v>0</v>
      </c>
      <c r="C16">
        <v>0</v>
      </c>
      <c r="D16">
        <v>0</v>
      </c>
      <c r="E16" t="s">
        <v>593</v>
      </c>
      <c r="F16" t="s">
        <v>610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s="12" t="s">
        <v>14</v>
      </c>
      <c r="B17">
        <v>0</v>
      </c>
      <c r="C17">
        <v>0</v>
      </c>
      <c r="D17">
        <v>0</v>
      </c>
      <c r="E17">
        <v>0</v>
      </c>
      <c r="F17" t="s">
        <v>611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s="12" t="s">
        <v>15</v>
      </c>
      <c r="B18">
        <v>0</v>
      </c>
      <c r="C18" t="s">
        <v>556</v>
      </c>
      <c r="D18" t="s">
        <v>583</v>
      </c>
      <c r="E18" t="s">
        <v>595</v>
      </c>
      <c r="F18" t="s">
        <v>612</v>
      </c>
      <c r="G18" t="s">
        <v>630</v>
      </c>
      <c r="H18" t="s">
        <v>639</v>
      </c>
      <c r="I18" t="s">
        <v>652</v>
      </c>
      <c r="J18" t="s">
        <v>661</v>
      </c>
      <c r="K18" t="s">
        <v>671</v>
      </c>
      <c r="L18" t="s">
        <v>687</v>
      </c>
      <c r="M18" t="s">
        <v>704</v>
      </c>
    </row>
    <row r="19" spans="1:13" x14ac:dyDescent="0.25">
      <c r="A19" s="12" t="s">
        <v>16</v>
      </c>
      <c r="B19">
        <v>0</v>
      </c>
      <c r="C19">
        <v>0</v>
      </c>
      <c r="D19" t="s">
        <v>584</v>
      </c>
      <c r="E19" t="s">
        <v>594</v>
      </c>
      <c r="F19" t="s">
        <v>613</v>
      </c>
      <c r="G19" t="s">
        <v>626</v>
      </c>
      <c r="H19">
        <v>0</v>
      </c>
      <c r="I19">
        <v>0</v>
      </c>
      <c r="J19" t="s">
        <v>662</v>
      </c>
      <c r="K19" t="s">
        <v>673</v>
      </c>
      <c r="L19" t="s">
        <v>688</v>
      </c>
      <c r="M19" t="s">
        <v>705</v>
      </c>
    </row>
    <row r="20" spans="1:13" x14ac:dyDescent="0.25">
      <c r="A20" s="12" t="s">
        <v>17</v>
      </c>
      <c r="B20">
        <v>0</v>
      </c>
      <c r="C20" t="s">
        <v>557</v>
      </c>
      <c r="D20" t="s">
        <v>585</v>
      </c>
      <c r="E20" t="s">
        <v>596</v>
      </c>
      <c r="F20" t="s">
        <v>614</v>
      </c>
      <c r="G20" t="s">
        <v>631</v>
      </c>
      <c r="H20" t="s">
        <v>640</v>
      </c>
      <c r="I20" t="s">
        <v>649</v>
      </c>
      <c r="J20" t="s">
        <v>663</v>
      </c>
      <c r="K20" t="s">
        <v>674</v>
      </c>
      <c r="L20" t="s">
        <v>689</v>
      </c>
      <c r="M20" t="s">
        <v>706</v>
      </c>
    </row>
    <row r="21" spans="1:13" x14ac:dyDescent="0.25">
      <c r="A21" s="12" t="s">
        <v>18</v>
      </c>
      <c r="B21">
        <v>0</v>
      </c>
      <c r="C21" t="s">
        <v>558</v>
      </c>
      <c r="D21" t="s">
        <v>586</v>
      </c>
      <c r="E21" t="s">
        <v>597</v>
      </c>
      <c r="F21" t="s">
        <v>615</v>
      </c>
      <c r="G21" t="s">
        <v>632</v>
      </c>
      <c r="H21" t="s">
        <v>641</v>
      </c>
      <c r="I21" t="s">
        <v>653</v>
      </c>
      <c r="J21" t="s">
        <v>658</v>
      </c>
      <c r="K21" t="s">
        <v>675</v>
      </c>
      <c r="L21" t="s">
        <v>690</v>
      </c>
      <c r="M21" t="s">
        <v>707</v>
      </c>
    </row>
    <row r="22" spans="1:13" x14ac:dyDescent="0.25">
      <c r="A22" s="12" t="s">
        <v>19</v>
      </c>
      <c r="B22">
        <v>0</v>
      </c>
      <c r="C22">
        <v>0</v>
      </c>
      <c r="D22">
        <v>0</v>
      </c>
      <c r="E22">
        <v>0</v>
      </c>
      <c r="F22" t="s">
        <v>616</v>
      </c>
      <c r="G22">
        <v>0</v>
      </c>
      <c r="H22" t="s">
        <v>642</v>
      </c>
      <c r="I22">
        <v>0</v>
      </c>
      <c r="J22">
        <v>0</v>
      </c>
      <c r="K22" t="s">
        <v>676</v>
      </c>
      <c r="L22">
        <v>0</v>
      </c>
      <c r="M22" t="s">
        <v>708</v>
      </c>
    </row>
    <row r="23" spans="1:13" x14ac:dyDescent="0.25">
      <c r="A23" s="12" t="s">
        <v>20</v>
      </c>
      <c r="B23">
        <v>0</v>
      </c>
      <c r="C23">
        <v>0</v>
      </c>
      <c r="D23">
        <v>0</v>
      </c>
      <c r="E23" t="s">
        <v>598</v>
      </c>
      <c r="F23" t="s">
        <v>617</v>
      </c>
      <c r="G23">
        <v>0</v>
      </c>
      <c r="H23">
        <v>0</v>
      </c>
      <c r="I23">
        <v>0</v>
      </c>
      <c r="J23">
        <v>0</v>
      </c>
      <c r="K23" t="s">
        <v>663</v>
      </c>
      <c r="L23">
        <v>0</v>
      </c>
      <c r="M23" t="s">
        <v>709</v>
      </c>
    </row>
    <row r="24" spans="1:13" x14ac:dyDescent="0.25">
      <c r="A24" s="12" t="s">
        <v>21</v>
      </c>
      <c r="B24">
        <v>0</v>
      </c>
      <c r="C24" t="s">
        <v>559</v>
      </c>
      <c r="D24" t="s">
        <v>580</v>
      </c>
      <c r="E24" t="s">
        <v>599</v>
      </c>
      <c r="F24" t="s">
        <v>618</v>
      </c>
      <c r="G24" t="s">
        <v>633</v>
      </c>
      <c r="H24" t="s">
        <v>643</v>
      </c>
      <c r="I24">
        <v>0</v>
      </c>
      <c r="J24">
        <v>0</v>
      </c>
      <c r="K24" t="s">
        <v>677</v>
      </c>
      <c r="L24" t="s">
        <v>691</v>
      </c>
      <c r="M24" t="s">
        <v>710</v>
      </c>
    </row>
    <row r="25" spans="1:13" x14ac:dyDescent="0.25">
      <c r="A25" s="12" t="s">
        <v>22</v>
      </c>
      <c r="B25" t="s">
        <v>545</v>
      </c>
      <c r="C25">
        <v>0</v>
      </c>
      <c r="D25">
        <v>0</v>
      </c>
      <c r="E25" t="s">
        <v>593</v>
      </c>
      <c r="F25" t="s">
        <v>619</v>
      </c>
      <c r="G25" t="s">
        <v>629</v>
      </c>
      <c r="H25" t="s">
        <v>644</v>
      </c>
      <c r="I25">
        <v>0</v>
      </c>
      <c r="J25">
        <v>0</v>
      </c>
      <c r="K25">
        <v>0</v>
      </c>
      <c r="L25">
        <v>0</v>
      </c>
      <c r="M25" t="s">
        <v>701</v>
      </c>
    </row>
    <row r="26" spans="1:13" x14ac:dyDescent="0.25">
      <c r="A26" s="12" t="s">
        <v>23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711</v>
      </c>
    </row>
    <row r="27" spans="1:13" x14ac:dyDescent="0.25">
      <c r="A27" s="12" t="s">
        <v>24</v>
      </c>
      <c r="B27">
        <v>0</v>
      </c>
      <c r="C27" t="s">
        <v>560</v>
      </c>
      <c r="D27" t="s">
        <v>580</v>
      </c>
      <c r="E27" t="s">
        <v>600</v>
      </c>
      <c r="F27" t="s">
        <v>620</v>
      </c>
      <c r="G27">
        <v>0</v>
      </c>
      <c r="H27">
        <v>0</v>
      </c>
      <c r="I27" t="s">
        <v>649</v>
      </c>
      <c r="J27" t="s">
        <v>664</v>
      </c>
      <c r="K27" t="s">
        <v>658</v>
      </c>
      <c r="L27">
        <v>0</v>
      </c>
      <c r="M27" t="s">
        <v>712</v>
      </c>
    </row>
    <row r="28" spans="1:13" x14ac:dyDescent="0.25">
      <c r="A28" s="12" t="s">
        <v>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691</v>
      </c>
      <c r="M28" t="s">
        <v>713</v>
      </c>
    </row>
    <row r="29" spans="1:13" x14ac:dyDescent="0.25">
      <c r="A29" s="12" t="s">
        <v>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712</v>
      </c>
    </row>
    <row r="30" spans="1:13" x14ac:dyDescent="0.25">
      <c r="A30" s="12" t="s">
        <v>27</v>
      </c>
      <c r="B30" t="s">
        <v>546</v>
      </c>
      <c r="C30" t="s">
        <v>561</v>
      </c>
      <c r="D30" t="s">
        <v>587</v>
      </c>
      <c r="E30" t="s">
        <v>601</v>
      </c>
      <c r="F30" t="s">
        <v>621</v>
      </c>
      <c r="G30" t="s">
        <v>634</v>
      </c>
      <c r="H30" t="s">
        <v>645</v>
      </c>
      <c r="I30" t="s">
        <v>654</v>
      </c>
      <c r="J30" t="s">
        <v>666</v>
      </c>
      <c r="K30" t="s">
        <v>678</v>
      </c>
      <c r="L30" t="s">
        <v>692</v>
      </c>
      <c r="M30" t="s">
        <v>714</v>
      </c>
    </row>
    <row r="31" spans="1:13" x14ac:dyDescent="0.25">
      <c r="A31" s="12" t="s">
        <v>28</v>
      </c>
      <c r="B31">
        <v>0</v>
      </c>
      <c r="C31">
        <v>0</v>
      </c>
      <c r="D31">
        <v>0</v>
      </c>
      <c r="E31" t="s">
        <v>593</v>
      </c>
      <c r="F31" t="s">
        <v>622</v>
      </c>
      <c r="G31" t="s">
        <v>626</v>
      </c>
      <c r="H31">
        <v>0</v>
      </c>
      <c r="I31" t="s">
        <v>649</v>
      </c>
      <c r="J31" t="s">
        <v>662</v>
      </c>
      <c r="K31">
        <v>0</v>
      </c>
      <c r="L31" t="s">
        <v>693</v>
      </c>
      <c r="M31">
        <v>0</v>
      </c>
    </row>
    <row r="32" spans="1:13" x14ac:dyDescent="0.25">
      <c r="A32" s="12" t="s">
        <v>29</v>
      </c>
      <c r="B32" t="s">
        <v>547</v>
      </c>
      <c r="C32" t="s">
        <v>562</v>
      </c>
      <c r="D32" t="s">
        <v>588</v>
      </c>
      <c r="E32" t="s">
        <v>602</v>
      </c>
      <c r="F32" t="s">
        <v>623</v>
      </c>
      <c r="G32" t="s">
        <v>635</v>
      </c>
      <c r="H32" t="s">
        <v>646</v>
      </c>
      <c r="I32" t="s">
        <v>655</v>
      </c>
      <c r="J32" t="s">
        <v>665</v>
      </c>
      <c r="K32" t="s">
        <v>679</v>
      </c>
      <c r="L32" t="s">
        <v>694</v>
      </c>
      <c r="M32" t="s">
        <v>715</v>
      </c>
    </row>
    <row r="33" spans="1:13" x14ac:dyDescent="0.25">
      <c r="A33" s="12" t="s">
        <v>30</v>
      </c>
      <c r="B33">
        <v>0</v>
      </c>
      <c r="C33" t="s">
        <v>563</v>
      </c>
      <c r="D33" t="s">
        <v>580</v>
      </c>
      <c r="E33" t="s">
        <v>603</v>
      </c>
      <c r="F33" t="s">
        <v>622</v>
      </c>
      <c r="G33">
        <v>0</v>
      </c>
      <c r="H33">
        <v>0</v>
      </c>
      <c r="I33" t="s">
        <v>649</v>
      </c>
      <c r="J33" t="s">
        <v>658</v>
      </c>
      <c r="K33" t="s">
        <v>680</v>
      </c>
      <c r="L33" t="s">
        <v>691</v>
      </c>
      <c r="M33" t="s">
        <v>716</v>
      </c>
    </row>
    <row r="34" spans="1:13" x14ac:dyDescent="0.25">
      <c r="A34" s="12" t="s">
        <v>31</v>
      </c>
      <c r="B34">
        <v>0</v>
      </c>
      <c r="C34" t="s">
        <v>560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713</v>
      </c>
    </row>
    <row r="35" spans="1:13" x14ac:dyDescent="0.25">
      <c r="A35" s="12" t="s">
        <v>68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701</v>
      </c>
    </row>
    <row r="36" spans="1:13" x14ac:dyDescent="0.25">
      <c r="A36" s="12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s="12" t="s">
        <v>33</v>
      </c>
      <c r="B37">
        <v>0</v>
      </c>
      <c r="C37">
        <v>0</v>
      </c>
      <c r="D37">
        <v>0</v>
      </c>
      <c r="E37">
        <v>0</v>
      </c>
      <c r="F37" t="s">
        <v>624</v>
      </c>
      <c r="G37">
        <v>0</v>
      </c>
      <c r="H37" t="s">
        <v>643</v>
      </c>
      <c r="I37">
        <v>0</v>
      </c>
      <c r="J37">
        <v>0</v>
      </c>
      <c r="K37">
        <v>0</v>
      </c>
      <c r="L37">
        <v>0</v>
      </c>
      <c r="M37" t="s">
        <v>717</v>
      </c>
    </row>
    <row r="38" spans="1:13" x14ac:dyDescent="0.25">
      <c r="A38" s="12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40" spans="1:13" x14ac:dyDescent="0.25">
      <c r="A40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937"/>
  <sheetViews>
    <sheetView topLeftCell="BI1" workbookViewId="0">
      <selection activeCell="AZ42" sqref="AZ42"/>
    </sheetView>
  </sheetViews>
  <sheetFormatPr defaultRowHeight="12.75" x14ac:dyDescent="0.2"/>
  <cols>
    <col min="1" max="5" width="9.140625" style="19"/>
    <col min="6" max="6" width="9.140625" style="28"/>
    <col min="7" max="8" width="9.140625" style="24"/>
    <col min="9" max="11" width="9.140625" style="19"/>
    <col min="12" max="12" width="9.140625" style="28"/>
    <col min="13" max="17" width="9.140625" style="19"/>
    <col min="18" max="18" width="9.140625" style="28"/>
    <col min="19" max="23" width="9.140625" style="19"/>
    <col min="24" max="24" width="9.140625" style="28"/>
    <col min="25" max="29" width="9.140625" style="19"/>
    <col min="30" max="30" width="9.140625" style="28"/>
    <col min="31" max="34" width="9.140625" style="19"/>
    <col min="35" max="36" width="9.140625" style="24"/>
    <col min="37" max="41" width="9.140625" style="19"/>
    <col min="42" max="42" width="9.140625" style="34"/>
    <col min="43" max="47" width="9.140625" style="19"/>
    <col min="48" max="48" width="9.140625" style="34"/>
    <col min="49" max="49" width="16.28515625" style="19" customWidth="1"/>
    <col min="50" max="53" width="9.140625" style="19"/>
    <col min="54" max="54" width="9.140625" style="34"/>
    <col min="55" max="59" width="9.140625" style="19"/>
    <col min="60" max="60" width="9.140625" style="24"/>
    <col min="61" max="61" width="10.28515625" style="19" customWidth="1"/>
    <col min="62" max="66" width="9.140625" style="19"/>
    <col min="67" max="67" width="10.7109375" style="19" customWidth="1"/>
    <col min="68" max="72" width="9.140625" style="19"/>
    <col min="73" max="73" width="11.7109375" style="19" customWidth="1"/>
    <col min="74" max="16384" width="9.140625" style="19"/>
  </cols>
  <sheetData>
    <row r="1" spans="1:96" x14ac:dyDescent="0.2">
      <c r="A1" s="25" t="s">
        <v>100</v>
      </c>
      <c r="B1" s="26" t="s">
        <v>448</v>
      </c>
      <c r="C1" s="27">
        <v>2014</v>
      </c>
      <c r="D1" s="27"/>
      <c r="E1" s="27"/>
      <c r="G1" s="25" t="s">
        <v>100</v>
      </c>
      <c r="H1" s="26" t="s">
        <v>449</v>
      </c>
      <c r="I1" s="27"/>
      <c r="J1" s="27"/>
      <c r="K1" s="27"/>
      <c r="L1" s="29"/>
      <c r="M1" s="27" t="s">
        <v>100</v>
      </c>
      <c r="N1" s="30" t="s">
        <v>450</v>
      </c>
      <c r="O1" s="27"/>
      <c r="P1" s="27"/>
      <c r="Q1" s="27"/>
      <c r="R1" s="29"/>
      <c r="S1" s="27" t="s">
        <v>100</v>
      </c>
      <c r="T1" s="30" t="s">
        <v>451</v>
      </c>
      <c r="U1" s="27"/>
      <c r="V1" s="27"/>
      <c r="W1" s="27"/>
      <c r="Y1" s="27" t="s">
        <v>100</v>
      </c>
      <c r="Z1" s="30" t="s">
        <v>447</v>
      </c>
      <c r="AA1" s="27"/>
      <c r="AB1" s="27"/>
      <c r="AC1" s="27"/>
      <c r="AE1" s="31" t="s">
        <v>100</v>
      </c>
      <c r="AF1" s="32" t="s">
        <v>446</v>
      </c>
      <c r="AG1" s="31"/>
      <c r="AH1" s="31"/>
      <c r="AI1" s="33"/>
      <c r="AJ1" s="34"/>
      <c r="AK1" s="19" t="s">
        <v>100</v>
      </c>
      <c r="AL1" s="32" t="s">
        <v>445</v>
      </c>
      <c r="AQ1" s="19" t="s">
        <v>100</v>
      </c>
      <c r="AR1" s="35" t="s">
        <v>530</v>
      </c>
      <c r="AU1" s="24"/>
      <c r="AW1" s="19" t="s">
        <v>100</v>
      </c>
      <c r="AX1" s="35" t="s">
        <v>537</v>
      </c>
      <c r="BC1" s="19" t="s">
        <v>100</v>
      </c>
      <c r="BD1" s="35" t="s">
        <v>526</v>
      </c>
      <c r="BH1" s="34"/>
      <c r="BI1" s="19" t="s">
        <v>100</v>
      </c>
      <c r="BJ1" s="35" t="s">
        <v>539</v>
      </c>
      <c r="BN1" s="34"/>
      <c r="BO1" s="19" t="s">
        <v>100</v>
      </c>
      <c r="BP1" s="35" t="s">
        <v>535</v>
      </c>
      <c r="BT1" s="34"/>
      <c r="BU1" s="19" t="s">
        <v>100</v>
      </c>
      <c r="BV1" s="35" t="s">
        <v>67</v>
      </c>
      <c r="BZ1" s="34"/>
      <c r="CA1" s="19" t="s">
        <v>100</v>
      </c>
      <c r="CB1" s="35"/>
      <c r="CF1" s="36"/>
      <c r="CG1" s="19" t="s">
        <v>100</v>
      </c>
      <c r="CH1" s="35"/>
      <c r="CL1" s="36"/>
      <c r="CM1" s="19" t="s">
        <v>100</v>
      </c>
      <c r="CN1" s="35"/>
      <c r="CR1" s="36"/>
    </row>
    <row r="2" spans="1:96" x14ac:dyDescent="0.2">
      <c r="A2" s="25" t="s">
        <v>101</v>
      </c>
      <c r="B2" s="25"/>
      <c r="C2" s="27"/>
      <c r="D2" s="27"/>
      <c r="E2" s="27"/>
      <c r="G2" s="25" t="s">
        <v>101</v>
      </c>
      <c r="H2" s="25"/>
      <c r="I2" s="27"/>
      <c r="J2" s="27"/>
      <c r="K2" s="27"/>
      <c r="L2" s="29"/>
      <c r="M2" s="27" t="s">
        <v>101</v>
      </c>
      <c r="N2" s="27"/>
      <c r="O2" s="27"/>
      <c r="P2" s="27"/>
      <c r="Q2" s="27"/>
      <c r="R2" s="29"/>
      <c r="S2" s="27" t="s">
        <v>101</v>
      </c>
      <c r="T2" s="27"/>
      <c r="U2" s="27"/>
      <c r="V2" s="27"/>
      <c r="W2" s="27"/>
      <c r="Y2" s="27" t="s">
        <v>101</v>
      </c>
      <c r="Z2" s="27"/>
      <c r="AA2" s="27"/>
      <c r="AB2" s="27"/>
      <c r="AC2" s="27"/>
      <c r="AE2" s="31" t="s">
        <v>101</v>
      </c>
      <c r="AF2" s="31"/>
      <c r="AG2" s="31"/>
      <c r="AH2" s="31"/>
      <c r="AI2" s="33"/>
      <c r="AJ2" s="34"/>
      <c r="AU2" s="24"/>
      <c r="BH2" s="34"/>
      <c r="BN2" s="34"/>
      <c r="BT2" s="34"/>
      <c r="BZ2" s="34"/>
      <c r="CF2" s="36"/>
      <c r="CL2" s="36"/>
      <c r="CR2" s="36"/>
    </row>
    <row r="3" spans="1:96" x14ac:dyDescent="0.2">
      <c r="A3" s="25" t="s">
        <v>102</v>
      </c>
      <c r="B3" s="25" t="s">
        <v>71</v>
      </c>
      <c r="C3" s="27" t="s">
        <v>103</v>
      </c>
      <c r="D3" s="27" t="s">
        <v>104</v>
      </c>
      <c r="E3" s="27"/>
      <c r="G3" s="25" t="s">
        <v>102</v>
      </c>
      <c r="H3" s="25" t="s">
        <v>71</v>
      </c>
      <c r="I3" s="27" t="s">
        <v>103</v>
      </c>
      <c r="J3" s="27" t="s">
        <v>104</v>
      </c>
      <c r="K3" s="27"/>
      <c r="L3" s="29"/>
      <c r="M3" s="27" t="s">
        <v>102</v>
      </c>
      <c r="N3" s="27" t="s">
        <v>71</v>
      </c>
      <c r="O3" s="27" t="s">
        <v>103</v>
      </c>
      <c r="P3" s="27" t="s">
        <v>104</v>
      </c>
      <c r="Q3" s="27"/>
      <c r="R3" s="29"/>
      <c r="S3" s="27" t="s">
        <v>102</v>
      </c>
      <c r="T3" s="27" t="s">
        <v>71</v>
      </c>
      <c r="U3" s="27" t="s">
        <v>103</v>
      </c>
      <c r="V3" s="27" t="s">
        <v>104</v>
      </c>
      <c r="W3" s="27"/>
      <c r="Y3" s="27" t="s">
        <v>105</v>
      </c>
      <c r="Z3" s="27" t="s">
        <v>71</v>
      </c>
      <c r="AA3" s="27" t="s">
        <v>103</v>
      </c>
      <c r="AB3" s="27" t="s">
        <v>104</v>
      </c>
      <c r="AC3" s="27"/>
      <c r="AE3" s="31" t="s">
        <v>102</v>
      </c>
      <c r="AF3" s="31" t="s">
        <v>71</v>
      </c>
      <c r="AG3" s="31" t="s">
        <v>103</v>
      </c>
      <c r="AH3" s="31" t="s">
        <v>104</v>
      </c>
      <c r="AI3" s="33"/>
      <c r="AJ3" s="34"/>
      <c r="AK3" s="31" t="s">
        <v>102</v>
      </c>
      <c r="AL3" s="31" t="s">
        <v>71</v>
      </c>
      <c r="AM3" s="31" t="s">
        <v>103</v>
      </c>
      <c r="AN3" s="31" t="s">
        <v>104</v>
      </c>
      <c r="AO3" s="31"/>
      <c r="AQ3" s="31" t="s">
        <v>102</v>
      </c>
      <c r="AR3" s="31" t="s">
        <v>71</v>
      </c>
      <c r="AS3" s="31" t="s">
        <v>103</v>
      </c>
      <c r="AT3" s="31" t="s">
        <v>104</v>
      </c>
      <c r="AU3" s="33"/>
      <c r="AW3" s="31" t="s">
        <v>102</v>
      </c>
      <c r="AX3" s="31" t="s">
        <v>71</v>
      </c>
      <c r="AY3" s="31" t="s">
        <v>103</v>
      </c>
      <c r="AZ3" s="31" t="s">
        <v>104</v>
      </c>
      <c r="BC3" s="31" t="s">
        <v>102</v>
      </c>
      <c r="BD3" s="31" t="s">
        <v>71</v>
      </c>
      <c r="BE3" s="31" t="s">
        <v>103</v>
      </c>
      <c r="BF3" s="31" t="s">
        <v>104</v>
      </c>
      <c r="BH3" s="34"/>
      <c r="BI3" s="31" t="s">
        <v>102</v>
      </c>
      <c r="BJ3" s="31" t="s">
        <v>71</v>
      </c>
      <c r="BK3" s="31" t="s">
        <v>103</v>
      </c>
      <c r="BL3" s="31" t="s">
        <v>104</v>
      </c>
      <c r="BN3" s="34"/>
      <c r="BO3" s="31" t="s">
        <v>102</v>
      </c>
      <c r="BP3" s="31" t="s">
        <v>71</v>
      </c>
      <c r="BQ3" s="31" t="s">
        <v>103</v>
      </c>
      <c r="BR3" s="31" t="s">
        <v>104</v>
      </c>
      <c r="BT3" s="34"/>
      <c r="BU3" s="31" t="s">
        <v>102</v>
      </c>
      <c r="BV3" s="31" t="s">
        <v>71</v>
      </c>
      <c r="BW3" s="31" t="s">
        <v>103</v>
      </c>
      <c r="BX3" s="31" t="s">
        <v>104</v>
      </c>
      <c r="BZ3" s="34"/>
      <c r="CA3" s="31" t="s">
        <v>102</v>
      </c>
      <c r="CB3" s="31" t="s">
        <v>71</v>
      </c>
      <c r="CC3" s="31" t="s">
        <v>103</v>
      </c>
      <c r="CD3" s="31" t="s">
        <v>104</v>
      </c>
      <c r="CF3" s="36"/>
      <c r="CG3" s="31" t="s">
        <v>102</v>
      </c>
      <c r="CH3" s="31" t="s">
        <v>71</v>
      </c>
      <c r="CI3" s="31" t="s">
        <v>103</v>
      </c>
      <c r="CJ3" s="31" t="s">
        <v>104</v>
      </c>
      <c r="CL3" s="36"/>
      <c r="CM3" s="31" t="s">
        <v>102</v>
      </c>
      <c r="CN3" s="31" t="s">
        <v>71</v>
      </c>
      <c r="CO3" s="31" t="s">
        <v>103</v>
      </c>
      <c r="CP3" s="31" t="s">
        <v>104</v>
      </c>
      <c r="CR3" s="36"/>
    </row>
    <row r="4" spans="1:96" x14ac:dyDescent="0.2">
      <c r="A4" s="23" t="s">
        <v>353</v>
      </c>
      <c r="B4" s="40">
        <v>33</v>
      </c>
      <c r="C4" s="27" t="s">
        <v>106</v>
      </c>
      <c r="D4" s="19">
        <f>SUM(B4:B28)</f>
        <v>302</v>
      </c>
      <c r="G4" s="23" t="s">
        <v>332</v>
      </c>
      <c r="H4" s="55">
        <v>12</v>
      </c>
      <c r="I4" s="27" t="s">
        <v>106</v>
      </c>
      <c r="J4" s="27">
        <f>SUM(H4:H17)</f>
        <v>335</v>
      </c>
      <c r="K4" s="27"/>
      <c r="L4" s="29"/>
      <c r="M4" s="23" t="s">
        <v>368</v>
      </c>
      <c r="N4" s="40">
        <v>46</v>
      </c>
      <c r="O4" s="27" t="s">
        <v>106</v>
      </c>
      <c r="P4" s="27">
        <f>SUM(N4:N16)</f>
        <v>365</v>
      </c>
      <c r="Q4" s="27"/>
      <c r="R4" s="29"/>
      <c r="S4" s="23" t="s">
        <v>380</v>
      </c>
      <c r="T4" s="40">
        <v>33</v>
      </c>
      <c r="U4" s="31" t="s">
        <v>106</v>
      </c>
      <c r="V4" s="27">
        <f>SUM(T4:T29)</f>
        <v>526</v>
      </c>
      <c r="W4" s="27"/>
      <c r="Y4" s="23" t="s">
        <v>390</v>
      </c>
      <c r="Z4" s="40">
        <v>21</v>
      </c>
      <c r="AA4" s="27" t="s">
        <v>106</v>
      </c>
      <c r="AB4" s="27">
        <f>SUM(Z4:Z28)</f>
        <v>663</v>
      </c>
      <c r="AC4" s="27"/>
      <c r="AE4" s="23" t="s">
        <v>233</v>
      </c>
      <c r="AF4" s="19">
        <v>35</v>
      </c>
      <c r="AG4" s="31" t="s">
        <v>106</v>
      </c>
      <c r="AH4" s="31">
        <f>SUM(AF4:AF13)</f>
        <v>430</v>
      </c>
      <c r="AI4" s="33"/>
      <c r="AJ4" s="34"/>
      <c r="AK4" s="23" t="s">
        <v>412</v>
      </c>
      <c r="AL4" s="81">
        <v>90</v>
      </c>
      <c r="AM4" s="31" t="s">
        <v>106</v>
      </c>
      <c r="AN4" s="31">
        <f>SUM(AL4:AL28)</f>
        <v>2536</v>
      </c>
      <c r="AO4" s="31"/>
      <c r="AQ4" s="43" t="s">
        <v>505</v>
      </c>
      <c r="AR4" s="19">
        <v>11</v>
      </c>
      <c r="AS4" s="31" t="s">
        <v>106</v>
      </c>
      <c r="AT4" s="31">
        <f>SUM(AR4:AR13)</f>
        <v>165</v>
      </c>
      <c r="AU4" s="33"/>
      <c r="AW4" s="23" t="s">
        <v>510</v>
      </c>
      <c r="AX4" s="19">
        <v>18</v>
      </c>
      <c r="AY4" s="31" t="s">
        <v>106</v>
      </c>
      <c r="AZ4" s="31">
        <f>SUM(AX4:AX17)</f>
        <v>52</v>
      </c>
      <c r="BC4" s="95">
        <v>1</v>
      </c>
      <c r="BD4" s="19">
        <v>35</v>
      </c>
      <c r="BE4" s="31" t="s">
        <v>106</v>
      </c>
      <c r="BF4" s="31">
        <f>SUM(BD4:BD8)</f>
        <v>136</v>
      </c>
      <c r="BH4" s="34"/>
      <c r="BI4" s="23" t="s">
        <v>394</v>
      </c>
      <c r="BJ4" s="19">
        <v>29</v>
      </c>
      <c r="BK4" s="31" t="s">
        <v>106</v>
      </c>
      <c r="BL4" s="31">
        <f>SUM(BJ4:BJ9)</f>
        <v>178</v>
      </c>
      <c r="BN4" s="34"/>
      <c r="BO4" s="23" t="s">
        <v>476</v>
      </c>
      <c r="BP4" s="19">
        <v>6</v>
      </c>
      <c r="BQ4" s="31" t="s">
        <v>106</v>
      </c>
      <c r="BR4" s="31">
        <f>SUM(BP4:BP13)</f>
        <v>139</v>
      </c>
      <c r="BT4" s="34"/>
      <c r="BU4" s="23" t="s">
        <v>453</v>
      </c>
      <c r="BV4" s="19">
        <v>33</v>
      </c>
      <c r="BW4" s="31" t="s">
        <v>106</v>
      </c>
      <c r="BX4" s="31">
        <f>SUM(BV4:BV28)</f>
        <v>1334</v>
      </c>
      <c r="BZ4" s="34"/>
      <c r="CA4" s="38"/>
      <c r="CC4" s="31" t="s">
        <v>106</v>
      </c>
      <c r="CD4" s="31">
        <f>SUM(CB4:CB30)</f>
        <v>0</v>
      </c>
      <c r="CF4" s="36"/>
      <c r="CG4" s="44"/>
      <c r="CI4" s="31" t="s">
        <v>106</v>
      </c>
      <c r="CJ4" s="31">
        <f>SUM(CH4:CH30)</f>
        <v>0</v>
      </c>
      <c r="CL4" s="36"/>
      <c r="CM4" s="44"/>
      <c r="CO4" s="31" t="s">
        <v>106</v>
      </c>
      <c r="CP4" s="31">
        <f>SUM(CN4:CN30)</f>
        <v>0</v>
      </c>
      <c r="CR4" s="36"/>
    </row>
    <row r="5" spans="1:96" x14ac:dyDescent="0.2">
      <c r="A5" s="23" t="s">
        <v>354</v>
      </c>
      <c r="B5" s="40">
        <v>14</v>
      </c>
      <c r="C5" s="27" t="s">
        <v>115</v>
      </c>
      <c r="D5" s="19">
        <f>MIN(B4:B28)</f>
        <v>9</v>
      </c>
      <c r="G5" s="23" t="s">
        <v>333</v>
      </c>
      <c r="H5" s="55">
        <v>13</v>
      </c>
      <c r="I5" s="27" t="s">
        <v>115</v>
      </c>
      <c r="J5" s="27">
        <f>MIN(H4:H17)</f>
        <v>11</v>
      </c>
      <c r="K5" s="27"/>
      <c r="L5" s="29"/>
      <c r="M5" s="23" t="s">
        <v>369</v>
      </c>
      <c r="N5" s="40">
        <v>35</v>
      </c>
      <c r="O5" s="27" t="s">
        <v>115</v>
      </c>
      <c r="P5" s="27">
        <f>MIN(N4:N16)</f>
        <v>11</v>
      </c>
      <c r="Q5" s="27"/>
      <c r="R5" s="29"/>
      <c r="S5" s="23" t="s">
        <v>381</v>
      </c>
      <c r="T5" s="40">
        <v>84</v>
      </c>
      <c r="U5" s="31" t="s">
        <v>115</v>
      </c>
      <c r="V5" s="27">
        <f>MIN(T4:T29)</f>
        <v>16</v>
      </c>
      <c r="W5" s="27"/>
      <c r="Y5" s="23" t="s">
        <v>391</v>
      </c>
      <c r="Z5" s="40">
        <v>10</v>
      </c>
      <c r="AA5" s="27" t="s">
        <v>115</v>
      </c>
      <c r="AB5" s="27">
        <f>MIN(Z4:Z28)</f>
        <v>10</v>
      </c>
      <c r="AC5" s="27"/>
      <c r="AE5" s="23" t="s">
        <v>408</v>
      </c>
      <c r="AF5" s="19">
        <v>11</v>
      </c>
      <c r="AG5" s="31" t="s">
        <v>115</v>
      </c>
      <c r="AH5" s="31">
        <f>MIN(AF4:AF13)</f>
        <v>11</v>
      </c>
      <c r="AI5" s="33"/>
      <c r="AJ5" s="34"/>
      <c r="AK5" s="22" t="s">
        <v>244</v>
      </c>
      <c r="AL5" s="81">
        <v>55</v>
      </c>
      <c r="AM5" s="31" t="s">
        <v>115</v>
      </c>
      <c r="AN5" s="31">
        <f>MIN(AL4:AL30)</f>
        <v>8</v>
      </c>
      <c r="AO5" s="31"/>
      <c r="AQ5" s="43" t="s">
        <v>506</v>
      </c>
      <c r="AR5" s="19">
        <v>25</v>
      </c>
      <c r="AS5" s="31" t="s">
        <v>115</v>
      </c>
      <c r="AT5" s="31">
        <f>MIN(AR4:AR13)</f>
        <v>11</v>
      </c>
      <c r="AU5" s="33"/>
      <c r="AW5" s="23" t="s">
        <v>511</v>
      </c>
      <c r="AX5" s="19">
        <v>10</v>
      </c>
      <c r="AY5" s="31" t="s">
        <v>115</v>
      </c>
      <c r="AZ5" s="31">
        <f>MIN(AX4:AX17)</f>
        <v>10</v>
      </c>
      <c r="BC5" s="95">
        <v>2</v>
      </c>
      <c r="BD5" s="19">
        <v>27</v>
      </c>
      <c r="BE5" s="31" t="s">
        <v>115</v>
      </c>
      <c r="BF5" s="31">
        <f>MIN(BD4:BD8)</f>
        <v>17</v>
      </c>
      <c r="BH5" s="34"/>
      <c r="BI5" s="23" t="s">
        <v>485</v>
      </c>
      <c r="BJ5" s="19">
        <v>18</v>
      </c>
      <c r="BK5" s="31" t="s">
        <v>115</v>
      </c>
      <c r="BL5" s="31">
        <f>MIN(BJ4:BJ9)</f>
        <v>18</v>
      </c>
      <c r="BN5" s="34"/>
      <c r="BO5" s="23" t="s">
        <v>477</v>
      </c>
      <c r="BP5" s="19">
        <v>14</v>
      </c>
      <c r="BQ5" s="31" t="s">
        <v>115</v>
      </c>
      <c r="BR5" s="31">
        <f>MIN(BP4:BP13)</f>
        <v>6</v>
      </c>
      <c r="BT5" s="34"/>
      <c r="BU5" s="23" t="s">
        <v>454</v>
      </c>
      <c r="BV5" s="19">
        <v>12</v>
      </c>
      <c r="BW5" s="31" t="s">
        <v>115</v>
      </c>
      <c r="BX5" s="31">
        <f>MIN(BV4:BV28)</f>
        <v>12</v>
      </c>
      <c r="BZ5" s="34"/>
      <c r="CA5" s="38"/>
      <c r="CC5" s="31" t="s">
        <v>115</v>
      </c>
      <c r="CD5" s="31">
        <f>MIN(CB4:CB30)</f>
        <v>0</v>
      </c>
      <c r="CF5" s="36"/>
      <c r="CG5" s="44"/>
      <c r="CI5" s="31" t="s">
        <v>115</v>
      </c>
      <c r="CJ5" s="31">
        <f>MIN(CH4:CH30)</f>
        <v>0</v>
      </c>
      <c r="CL5" s="36"/>
      <c r="CM5" s="44"/>
      <c r="CO5" s="31" t="s">
        <v>115</v>
      </c>
      <c r="CP5" s="31">
        <f>MIN(CN4:CN30)</f>
        <v>0</v>
      </c>
      <c r="CR5" s="36"/>
    </row>
    <row r="6" spans="1:96" x14ac:dyDescent="0.2">
      <c r="A6" s="23" t="s">
        <v>216</v>
      </c>
      <c r="B6" s="40">
        <v>14</v>
      </c>
      <c r="C6" s="27" t="s">
        <v>122</v>
      </c>
      <c r="D6" s="19">
        <f>MAX(B4:B28)</f>
        <v>33</v>
      </c>
      <c r="G6" s="23" t="s">
        <v>334</v>
      </c>
      <c r="H6" s="55">
        <v>20</v>
      </c>
      <c r="I6" s="27" t="s">
        <v>122</v>
      </c>
      <c r="J6" s="27">
        <f>MAX(H4:H17)</f>
        <v>84</v>
      </c>
      <c r="K6" s="27"/>
      <c r="L6" s="29"/>
      <c r="M6" s="23" t="s">
        <v>370</v>
      </c>
      <c r="N6" s="40">
        <v>24</v>
      </c>
      <c r="O6" s="27" t="s">
        <v>122</v>
      </c>
      <c r="P6" s="27">
        <f>MAX(N4:N16)</f>
        <v>47</v>
      </c>
      <c r="Q6" s="27"/>
      <c r="R6" s="29"/>
      <c r="S6" s="23" t="s">
        <v>382</v>
      </c>
      <c r="T6" s="40">
        <v>66</v>
      </c>
      <c r="U6" s="31" t="s">
        <v>122</v>
      </c>
      <c r="V6" s="27">
        <f>MAX(T4:T29)</f>
        <v>84</v>
      </c>
      <c r="W6" s="27"/>
      <c r="Y6" s="23" t="s">
        <v>392</v>
      </c>
      <c r="Z6" s="40">
        <v>18</v>
      </c>
      <c r="AA6" s="27" t="s">
        <v>122</v>
      </c>
      <c r="AB6" s="27">
        <f>MAX(Z4:Z28)</f>
        <v>70</v>
      </c>
      <c r="AC6" s="27"/>
      <c r="AE6" s="23" t="s">
        <v>409</v>
      </c>
      <c r="AF6" s="19">
        <v>109</v>
      </c>
      <c r="AG6" s="31" t="s">
        <v>122</v>
      </c>
      <c r="AH6" s="31">
        <f>MAX(AF4:AF13)</f>
        <v>115</v>
      </c>
      <c r="AI6" s="33"/>
      <c r="AJ6" s="34"/>
      <c r="AK6" s="22" t="s">
        <v>119</v>
      </c>
      <c r="AL6" s="81">
        <v>19</v>
      </c>
      <c r="AM6" s="31" t="s">
        <v>122</v>
      </c>
      <c r="AN6" s="31">
        <f>MAX(AL4:AL28)</f>
        <v>386</v>
      </c>
      <c r="AO6" s="31"/>
      <c r="AQ6" s="43" t="s">
        <v>507</v>
      </c>
      <c r="AR6" s="19">
        <v>25</v>
      </c>
      <c r="AS6" s="31" t="s">
        <v>122</v>
      </c>
      <c r="AT6" s="31">
        <f>MAX(AR4:AR13)</f>
        <v>65</v>
      </c>
      <c r="AU6" s="33"/>
      <c r="AW6" s="23" t="s">
        <v>512</v>
      </c>
      <c r="AX6" s="19">
        <v>24</v>
      </c>
      <c r="AY6" s="31" t="s">
        <v>122</v>
      </c>
      <c r="AZ6" s="31">
        <f>MAX(AX4:AX17)</f>
        <v>24</v>
      </c>
      <c r="BC6" s="95">
        <v>3</v>
      </c>
      <c r="BD6" s="19">
        <v>17</v>
      </c>
      <c r="BE6" s="31" t="s">
        <v>122</v>
      </c>
      <c r="BF6" s="31">
        <f>MAX(BD4:BD8)</f>
        <v>35</v>
      </c>
      <c r="BH6" s="34"/>
      <c r="BI6" s="23" t="s">
        <v>486</v>
      </c>
      <c r="BJ6" s="19">
        <v>28</v>
      </c>
      <c r="BK6" s="31" t="s">
        <v>122</v>
      </c>
      <c r="BL6" s="31">
        <f>MAX(BJ4:BJ9)</f>
        <v>73</v>
      </c>
      <c r="BN6" s="34"/>
      <c r="BO6" s="23" t="s">
        <v>478</v>
      </c>
      <c r="BP6" s="19">
        <v>11</v>
      </c>
      <c r="BQ6" s="31" t="s">
        <v>122</v>
      </c>
      <c r="BR6" s="31">
        <f>MAX(BP4:BP13)</f>
        <v>19</v>
      </c>
      <c r="BT6" s="34"/>
      <c r="BU6" s="23" t="s">
        <v>455</v>
      </c>
      <c r="BV6" s="19">
        <v>116</v>
      </c>
      <c r="BW6" s="31" t="s">
        <v>122</v>
      </c>
      <c r="BX6" s="31">
        <f>MAX(BV4:BV28)</f>
        <v>116</v>
      </c>
      <c r="BZ6" s="34"/>
      <c r="CA6" s="38"/>
      <c r="CC6" s="31" t="s">
        <v>122</v>
      </c>
      <c r="CD6" s="31">
        <f>MAX(CB4:CB30)</f>
        <v>0</v>
      </c>
      <c r="CF6" s="36"/>
      <c r="CG6" s="44"/>
      <c r="CI6" s="31" t="s">
        <v>122</v>
      </c>
      <c r="CJ6" s="31">
        <f>MAX(CH4:CH30)</f>
        <v>0</v>
      </c>
      <c r="CL6" s="36"/>
      <c r="CM6" s="44"/>
      <c r="CO6" s="31" t="s">
        <v>122</v>
      </c>
      <c r="CP6" s="31">
        <f>MAX(CN4:CN30)</f>
        <v>0</v>
      </c>
      <c r="CR6" s="36"/>
    </row>
    <row r="7" spans="1:96" x14ac:dyDescent="0.2">
      <c r="A7" s="23" t="s">
        <v>355</v>
      </c>
      <c r="B7" s="40">
        <v>26</v>
      </c>
      <c r="C7" s="27" t="s">
        <v>129</v>
      </c>
      <c r="D7" s="19">
        <f>VAR(B4:B28)</f>
        <v>43.583333333333336</v>
      </c>
      <c r="G7" s="23" t="s">
        <v>335</v>
      </c>
      <c r="H7" s="55">
        <v>18</v>
      </c>
      <c r="I7" s="27" t="s">
        <v>129</v>
      </c>
      <c r="J7" s="27">
        <f>VAR(H4:H17)</f>
        <v>493.85897435897431</v>
      </c>
      <c r="K7" s="27"/>
      <c r="L7" s="29"/>
      <c r="M7" s="23" t="s">
        <v>215</v>
      </c>
      <c r="N7" s="40">
        <v>22</v>
      </c>
      <c r="O7" s="27" t="s">
        <v>129</v>
      </c>
      <c r="P7" s="27">
        <f>VAR(N4:N16)</f>
        <v>139.24358974358969</v>
      </c>
      <c r="Q7" s="27"/>
      <c r="R7" s="29"/>
      <c r="S7" s="23" t="s">
        <v>383</v>
      </c>
      <c r="T7" s="40">
        <v>47</v>
      </c>
      <c r="U7" s="31" t="s">
        <v>129</v>
      </c>
      <c r="V7" s="27">
        <f>VAR(T4:T29)</f>
        <v>390.33333333333343</v>
      </c>
      <c r="W7" s="27"/>
      <c r="Y7" s="23" t="s">
        <v>393</v>
      </c>
      <c r="Z7" s="40">
        <v>15</v>
      </c>
      <c r="AA7" s="27" t="s">
        <v>129</v>
      </c>
      <c r="AB7" s="27">
        <f>VAR(Z4:Z28)</f>
        <v>432.76608187134502</v>
      </c>
      <c r="AC7" s="27"/>
      <c r="AE7" s="23" t="s">
        <v>137</v>
      </c>
      <c r="AF7" s="19">
        <v>115</v>
      </c>
      <c r="AG7" s="31" t="s">
        <v>129</v>
      </c>
      <c r="AH7" s="31">
        <f>VAR(AF4:AF13)</f>
        <v>2096.6666666666665</v>
      </c>
      <c r="AI7" s="33"/>
      <c r="AJ7" s="34"/>
      <c r="AK7" s="22" t="s">
        <v>413</v>
      </c>
      <c r="AL7" s="81">
        <v>8</v>
      </c>
      <c r="AM7" s="31" t="s">
        <v>129</v>
      </c>
      <c r="AN7" s="31">
        <f>VAR(AL4:AL28)</f>
        <v>6112.6733333333332</v>
      </c>
      <c r="AO7" s="31"/>
      <c r="AQ7" s="43" t="s">
        <v>508</v>
      </c>
      <c r="AR7" s="19">
        <v>65</v>
      </c>
      <c r="AS7" s="31" t="s">
        <v>129</v>
      </c>
      <c r="AT7" s="31">
        <f>VAR(AR4:AR13)</f>
        <v>418</v>
      </c>
      <c r="AU7" s="33"/>
      <c r="AY7" s="31" t="s">
        <v>129</v>
      </c>
      <c r="AZ7" s="31">
        <f>VAR(AX4:AX6)</f>
        <v>49.333333333333314</v>
      </c>
      <c r="BC7" s="95">
        <v>4</v>
      </c>
      <c r="BD7" s="19">
        <v>26</v>
      </c>
      <c r="BE7" s="31" t="s">
        <v>129</v>
      </c>
      <c r="BF7" s="31">
        <f>VAR(BD4:BD8)</f>
        <v>45.200000000000045</v>
      </c>
      <c r="BH7" s="34"/>
      <c r="BI7" s="23" t="s">
        <v>487</v>
      </c>
      <c r="BJ7" s="19">
        <v>73</v>
      </c>
      <c r="BK7" s="31" t="s">
        <v>129</v>
      </c>
      <c r="BL7" s="31">
        <f>VAR(BJ4:BJ9)</f>
        <v>460.29999999999995</v>
      </c>
      <c r="BN7" s="34"/>
      <c r="BO7" s="23" t="s">
        <v>479</v>
      </c>
      <c r="BP7" s="19">
        <v>18</v>
      </c>
      <c r="BQ7" s="31" t="s">
        <v>129</v>
      </c>
      <c r="BR7" s="31">
        <f>VAR(BP4:BP13)</f>
        <v>17.655555555555566</v>
      </c>
      <c r="BT7" s="34"/>
      <c r="BU7" s="23" t="s">
        <v>456</v>
      </c>
      <c r="BV7" s="19">
        <v>80</v>
      </c>
      <c r="BW7" s="31" t="s">
        <v>129</v>
      </c>
      <c r="BX7" s="31">
        <f>VAR(BV4:BV28)</f>
        <v>681.65666666666641</v>
      </c>
      <c r="BZ7" s="34"/>
      <c r="CA7" s="38"/>
      <c r="CC7" s="31" t="s">
        <v>129</v>
      </c>
      <c r="CD7" s="31" t="e">
        <f>VAR(CB4:CB30)</f>
        <v>#DIV/0!</v>
      </c>
      <c r="CF7" s="36"/>
      <c r="CG7" s="44"/>
      <c r="CI7" s="31" t="s">
        <v>129</v>
      </c>
      <c r="CJ7" s="31" t="e">
        <f>VAR(CH4:CH30)</f>
        <v>#DIV/0!</v>
      </c>
      <c r="CL7" s="36"/>
      <c r="CM7" s="44"/>
      <c r="CO7" s="31" t="s">
        <v>129</v>
      </c>
      <c r="CP7" s="31" t="e">
        <f>VAR(CN4:CN30)</f>
        <v>#DIV/0!</v>
      </c>
      <c r="CR7" s="36"/>
    </row>
    <row r="8" spans="1:96" x14ac:dyDescent="0.2">
      <c r="A8" s="23" t="s">
        <v>356</v>
      </c>
      <c r="B8" s="40">
        <v>23</v>
      </c>
      <c r="C8" s="27" t="s">
        <v>138</v>
      </c>
      <c r="D8" s="19">
        <f>AVERAGE(B4:B28)</f>
        <v>18.875</v>
      </c>
      <c r="G8" s="23" t="s">
        <v>336</v>
      </c>
      <c r="H8" s="55">
        <v>11</v>
      </c>
      <c r="I8" s="27" t="s">
        <v>138</v>
      </c>
      <c r="J8" s="27">
        <f>AVERAGE(H4:H17)</f>
        <v>25.76923076923077</v>
      </c>
      <c r="K8" s="27"/>
      <c r="L8" s="29"/>
      <c r="M8" s="23" t="s">
        <v>371</v>
      </c>
      <c r="N8" s="40">
        <v>33</v>
      </c>
      <c r="O8" s="27" t="s">
        <v>138</v>
      </c>
      <c r="P8" s="27">
        <f>AVERAGE(N4:N16)</f>
        <v>28.076923076923077</v>
      </c>
      <c r="Q8" s="27"/>
      <c r="R8" s="29"/>
      <c r="S8" s="23" t="s">
        <v>384</v>
      </c>
      <c r="T8" s="40">
        <v>44</v>
      </c>
      <c r="U8" s="31" t="s">
        <v>138</v>
      </c>
      <c r="V8" s="27">
        <f>AVERAGE(T4:T29)</f>
        <v>43.833333333333336</v>
      </c>
      <c r="W8" s="27"/>
      <c r="Y8" s="23" t="s">
        <v>394</v>
      </c>
      <c r="Z8" s="40">
        <v>15</v>
      </c>
      <c r="AA8" s="27" t="s">
        <v>138</v>
      </c>
      <c r="AB8" s="27">
        <f>AVERAGE(Z4:Z28)</f>
        <v>34.89473684210526</v>
      </c>
      <c r="AC8" s="27"/>
      <c r="AE8" s="23" t="s">
        <v>410</v>
      </c>
      <c r="AF8" s="19">
        <v>112</v>
      </c>
      <c r="AG8" s="31" t="s">
        <v>138</v>
      </c>
      <c r="AH8" s="31">
        <f>AVERAGE(AF4:AF13)</f>
        <v>71.666666666666671</v>
      </c>
      <c r="AI8" s="33"/>
      <c r="AJ8" s="34"/>
      <c r="AK8" s="22" t="s">
        <v>414</v>
      </c>
      <c r="AL8" s="81">
        <v>38</v>
      </c>
      <c r="AM8" s="31" t="s">
        <v>138</v>
      </c>
      <c r="AN8" s="31">
        <f>AVERAGE(AL4:AL28)</f>
        <v>101.44</v>
      </c>
      <c r="AO8" s="31"/>
      <c r="AQ8" s="43" t="s">
        <v>509</v>
      </c>
      <c r="AR8" s="19">
        <v>39</v>
      </c>
      <c r="AS8" s="31" t="s">
        <v>138</v>
      </c>
      <c r="AT8" s="31">
        <f>AVERAGE(AR4:AR13)</f>
        <v>33</v>
      </c>
      <c r="AU8" s="33"/>
      <c r="AY8" s="31" t="s">
        <v>138</v>
      </c>
      <c r="AZ8" s="31">
        <f>AVERAGE(AX4:AX17)</f>
        <v>17.333333333333332</v>
      </c>
      <c r="BC8" s="95">
        <v>5</v>
      </c>
      <c r="BD8" s="19">
        <v>31</v>
      </c>
      <c r="BE8" s="31" t="s">
        <v>138</v>
      </c>
      <c r="BF8" s="31">
        <f>AVERAGE(BD4:BD8)</f>
        <v>27.2</v>
      </c>
      <c r="BH8" s="34"/>
      <c r="BI8" s="23" t="s">
        <v>488</v>
      </c>
      <c r="BJ8" s="19">
        <v>30</v>
      </c>
      <c r="BK8" s="31" t="s">
        <v>138</v>
      </c>
      <c r="BL8" s="31">
        <f>AVERAGE(BJ4:BJ9)</f>
        <v>35.6</v>
      </c>
      <c r="BN8" s="34"/>
      <c r="BO8" s="23" t="s">
        <v>480</v>
      </c>
      <c r="BP8" s="19">
        <v>14</v>
      </c>
      <c r="BQ8" s="31" t="s">
        <v>138</v>
      </c>
      <c r="BR8" s="31">
        <f>AVERAGE(BP4:BP13)</f>
        <v>13.9</v>
      </c>
      <c r="BT8" s="34"/>
      <c r="BU8" s="23" t="s">
        <v>259</v>
      </c>
      <c r="BV8" s="19">
        <v>48</v>
      </c>
      <c r="BW8" s="31" t="s">
        <v>138</v>
      </c>
      <c r="BX8" s="31">
        <f>AVERAGE(BV4:BV28)</f>
        <v>53.36</v>
      </c>
      <c r="BZ8" s="34"/>
      <c r="CA8" s="38"/>
      <c r="CC8" s="31" t="s">
        <v>138</v>
      </c>
      <c r="CD8" s="31" t="e">
        <f>AVERAGE(CB4:CB30)</f>
        <v>#DIV/0!</v>
      </c>
      <c r="CF8" s="36"/>
      <c r="CG8" s="44"/>
      <c r="CI8" s="31" t="s">
        <v>138</v>
      </c>
      <c r="CJ8" s="31" t="e">
        <f>AVERAGE(CH4:CH30)</f>
        <v>#DIV/0!</v>
      </c>
      <c r="CL8" s="36"/>
      <c r="CM8" s="44"/>
      <c r="CO8" s="31" t="s">
        <v>138</v>
      </c>
      <c r="CP8" s="31" t="e">
        <f>AVERAGE(CN4:CN30)</f>
        <v>#DIV/0!</v>
      </c>
      <c r="CR8" s="36"/>
    </row>
    <row r="9" spans="1:96" x14ac:dyDescent="0.2">
      <c r="A9" s="23" t="s">
        <v>357</v>
      </c>
      <c r="B9" s="40">
        <v>10</v>
      </c>
      <c r="C9" s="27" t="s">
        <v>144</v>
      </c>
      <c r="D9" s="19">
        <f>STDEV(B4:B28)</f>
        <v>6.6017674401127868</v>
      </c>
      <c r="G9" s="23" t="s">
        <v>172</v>
      </c>
      <c r="H9" s="55">
        <v>11</v>
      </c>
      <c r="I9" s="27" t="s">
        <v>144</v>
      </c>
      <c r="J9" s="27">
        <f>STDEV(H4:H17)</f>
        <v>22.222938022659701</v>
      </c>
      <c r="K9" s="27"/>
      <c r="L9" s="29"/>
      <c r="M9" s="23" t="s">
        <v>372</v>
      </c>
      <c r="N9" s="40">
        <v>28</v>
      </c>
      <c r="O9" s="27" t="s">
        <v>144</v>
      </c>
      <c r="P9" s="27">
        <f>STDEV(N4:N16)</f>
        <v>11.800152106798866</v>
      </c>
      <c r="Q9" s="27"/>
      <c r="R9" s="29"/>
      <c r="S9" s="23" t="s">
        <v>385</v>
      </c>
      <c r="T9" s="40">
        <v>17</v>
      </c>
      <c r="U9" s="31" t="s">
        <v>144</v>
      </c>
      <c r="V9" s="27">
        <f>STDEV(T4:T29)</f>
        <v>19.756855350316595</v>
      </c>
      <c r="W9" s="27"/>
      <c r="Y9" s="23" t="s">
        <v>395</v>
      </c>
      <c r="Z9" s="40">
        <v>15</v>
      </c>
      <c r="AA9" s="27" t="s">
        <v>144</v>
      </c>
      <c r="AB9" s="27">
        <f>STDEV(Z4:Z28)</f>
        <v>20.803030593433856</v>
      </c>
      <c r="AC9" s="27"/>
      <c r="AE9" s="23" t="s">
        <v>411</v>
      </c>
      <c r="AF9" s="19">
        <v>48</v>
      </c>
      <c r="AG9" s="31" t="s">
        <v>144</v>
      </c>
      <c r="AH9" s="31">
        <f>STDEV(AF4:AF13)</f>
        <v>45.789372857319925</v>
      </c>
      <c r="AI9" s="33"/>
      <c r="AJ9" s="34"/>
      <c r="AK9" s="22" t="s">
        <v>415</v>
      </c>
      <c r="AL9" s="81">
        <v>57</v>
      </c>
      <c r="AM9" s="31" t="s">
        <v>144</v>
      </c>
      <c r="AN9" s="31">
        <f>STDEV(AL4:AL28)</f>
        <v>78.183587365465229</v>
      </c>
      <c r="AO9" s="31"/>
      <c r="AQ9" s="43"/>
      <c r="AS9" s="31" t="s">
        <v>144</v>
      </c>
      <c r="AT9" s="31">
        <f>STDEV(AR4:AR13)</f>
        <v>20.445048300260872</v>
      </c>
      <c r="AU9" s="33"/>
      <c r="AY9" s="31" t="s">
        <v>144</v>
      </c>
      <c r="AZ9" s="31">
        <f>STDEV(AX4:AX17)</f>
        <v>7.0237691685684913</v>
      </c>
      <c r="BE9" s="31" t="s">
        <v>144</v>
      </c>
      <c r="BF9" s="31">
        <f>STDEV(BD4:BD8)</f>
        <v>6.7230945255886478</v>
      </c>
      <c r="BH9" s="34"/>
      <c r="BI9" s="43"/>
      <c r="BK9" s="31" t="s">
        <v>144</v>
      </c>
      <c r="BL9" s="31">
        <f>STDEV(BJ4:BJ9)</f>
        <v>21.454603235669495</v>
      </c>
      <c r="BN9" s="34"/>
      <c r="BO9" s="23" t="s">
        <v>481</v>
      </c>
      <c r="BP9" s="19">
        <v>16</v>
      </c>
      <c r="BQ9" s="31" t="s">
        <v>144</v>
      </c>
      <c r="BR9" s="31">
        <f>STDEV(BP4:BP13)</f>
        <v>4.2018514437751797</v>
      </c>
      <c r="BT9" s="34"/>
      <c r="BU9" s="23" t="s">
        <v>457</v>
      </c>
      <c r="BV9" s="19">
        <v>40</v>
      </c>
      <c r="BW9" s="31" t="s">
        <v>144</v>
      </c>
      <c r="BX9" s="31">
        <f>STDEV(BV4:BV28)</f>
        <v>26.108555430484209</v>
      </c>
      <c r="BZ9" s="34"/>
      <c r="CA9" s="38"/>
      <c r="CC9" s="31" t="s">
        <v>144</v>
      </c>
      <c r="CD9" s="31" t="e">
        <f>STDEV(CB4:CB30)</f>
        <v>#DIV/0!</v>
      </c>
      <c r="CF9" s="36"/>
      <c r="CG9" s="44"/>
      <c r="CI9" s="31" t="s">
        <v>144</v>
      </c>
      <c r="CJ9" s="31" t="e">
        <f>STDEV(CH4:CH30)</f>
        <v>#DIV/0!</v>
      </c>
      <c r="CL9" s="36"/>
      <c r="CM9" s="44"/>
      <c r="CO9" s="31" t="s">
        <v>144</v>
      </c>
      <c r="CP9" s="31" t="e">
        <f>STDEV(CN4:CN30)</f>
        <v>#DIV/0!</v>
      </c>
      <c r="CR9" s="36"/>
    </row>
    <row r="10" spans="1:96" x14ac:dyDescent="0.2">
      <c r="A10" s="23" t="s">
        <v>358</v>
      </c>
      <c r="B10" s="40">
        <v>9</v>
      </c>
      <c r="G10" s="23" t="s">
        <v>337</v>
      </c>
      <c r="H10" s="55">
        <v>11</v>
      </c>
      <c r="I10" s="27"/>
      <c r="J10" s="27"/>
      <c r="K10" s="27"/>
      <c r="L10" s="29"/>
      <c r="M10" s="23" t="s">
        <v>373</v>
      </c>
      <c r="N10" s="40">
        <v>47</v>
      </c>
      <c r="O10" s="27"/>
      <c r="P10" s="27"/>
      <c r="Q10" s="27"/>
      <c r="R10" s="29"/>
      <c r="S10" s="23" t="s">
        <v>386</v>
      </c>
      <c r="T10" s="40">
        <v>16</v>
      </c>
      <c r="U10" s="27"/>
      <c r="V10" s="27"/>
      <c r="W10" s="27"/>
      <c r="Y10" s="23" t="s">
        <v>396</v>
      </c>
      <c r="Z10" s="40">
        <v>12</v>
      </c>
      <c r="AA10" s="27"/>
      <c r="AB10" s="27"/>
      <c r="AC10" s="27"/>
      <c r="AE10" s="41"/>
      <c r="AG10" s="31"/>
      <c r="AH10" s="31"/>
      <c r="AI10" s="33"/>
      <c r="AJ10" s="34"/>
      <c r="AK10" s="22" t="s">
        <v>416</v>
      </c>
      <c r="AL10" s="81">
        <v>37</v>
      </c>
      <c r="AM10" s="31"/>
      <c r="AN10" s="31"/>
      <c r="AO10" s="31"/>
      <c r="AQ10" s="43"/>
      <c r="AS10" s="31"/>
      <c r="AT10" s="31"/>
      <c r="AU10" s="33"/>
      <c r="AY10" s="31"/>
      <c r="AZ10" s="31"/>
      <c r="BE10" s="31"/>
      <c r="BF10" s="31"/>
      <c r="BH10" s="34"/>
      <c r="BI10" s="43"/>
      <c r="BK10" s="31"/>
      <c r="BL10" s="31"/>
      <c r="BN10" s="34"/>
      <c r="BO10" s="23" t="s">
        <v>262</v>
      </c>
      <c r="BP10" s="19">
        <v>9</v>
      </c>
      <c r="BQ10" s="31"/>
      <c r="BR10" s="31"/>
      <c r="BT10" s="34"/>
      <c r="BU10" s="23" t="s">
        <v>458</v>
      </c>
      <c r="BV10" s="19">
        <v>86</v>
      </c>
      <c r="BW10" s="31"/>
      <c r="BX10" s="31"/>
      <c r="BZ10" s="34"/>
      <c r="CA10" s="38"/>
      <c r="CC10" s="31"/>
      <c r="CD10" s="31"/>
      <c r="CF10" s="36"/>
      <c r="CG10" s="44"/>
      <c r="CL10" s="36"/>
      <c r="CM10" s="44"/>
      <c r="CR10" s="36"/>
    </row>
    <row r="11" spans="1:96" x14ac:dyDescent="0.2">
      <c r="A11" s="23" t="s">
        <v>359</v>
      </c>
      <c r="B11" s="40">
        <v>21</v>
      </c>
      <c r="G11" s="23" t="s">
        <v>338</v>
      </c>
      <c r="H11" s="55">
        <v>12</v>
      </c>
      <c r="I11" s="27"/>
      <c r="J11" s="27"/>
      <c r="K11" s="27"/>
      <c r="L11" s="29"/>
      <c r="M11" s="23" t="s">
        <v>374</v>
      </c>
      <c r="N11" s="40">
        <v>39</v>
      </c>
      <c r="O11" s="27"/>
      <c r="P11" s="27"/>
      <c r="Q11" s="27"/>
      <c r="R11" s="29"/>
      <c r="S11" s="23" t="s">
        <v>387</v>
      </c>
      <c r="T11" s="40">
        <v>35</v>
      </c>
      <c r="U11" s="27"/>
      <c r="V11" s="27"/>
      <c r="W11" s="27"/>
      <c r="Y11" s="23" t="s">
        <v>397</v>
      </c>
      <c r="Z11" s="40">
        <v>13</v>
      </c>
      <c r="AA11" s="27"/>
      <c r="AB11" s="27"/>
      <c r="AC11" s="27"/>
      <c r="AE11" s="41"/>
      <c r="AG11" s="31"/>
      <c r="AH11" s="31"/>
      <c r="AI11" s="33"/>
      <c r="AJ11" s="34"/>
      <c r="AK11" s="22" t="s">
        <v>417</v>
      </c>
      <c r="AL11" s="81">
        <v>61</v>
      </c>
      <c r="AM11" s="31"/>
      <c r="AN11" s="31"/>
      <c r="AO11" s="31"/>
      <c r="AQ11" s="43"/>
      <c r="AS11" s="31"/>
      <c r="AT11" s="31"/>
      <c r="AU11" s="33"/>
      <c r="AY11" s="31"/>
      <c r="AZ11" s="31"/>
      <c r="BC11" s="34"/>
      <c r="BD11" s="34"/>
      <c r="BE11" s="94"/>
      <c r="BF11" s="94"/>
      <c r="BG11" s="34"/>
      <c r="BH11" s="34"/>
      <c r="BI11" s="43"/>
      <c r="BK11" s="31"/>
      <c r="BL11" s="31"/>
      <c r="BN11" s="34"/>
      <c r="BO11" s="23" t="s">
        <v>482</v>
      </c>
      <c r="BP11" s="19">
        <v>18</v>
      </c>
      <c r="BQ11" s="31"/>
      <c r="BR11" s="31"/>
      <c r="BT11" s="34"/>
      <c r="BU11" s="23" t="s">
        <v>459</v>
      </c>
      <c r="BV11" s="19">
        <v>45</v>
      </c>
      <c r="BW11" s="31"/>
      <c r="BX11" s="31"/>
      <c r="BZ11" s="34"/>
      <c r="CA11" s="38"/>
      <c r="CC11" s="31"/>
      <c r="CD11" s="31"/>
      <c r="CF11" s="36"/>
      <c r="CG11" s="44"/>
      <c r="CL11" s="36"/>
      <c r="CM11" s="44"/>
      <c r="CR11" s="36"/>
    </row>
    <row r="12" spans="1:96" x14ac:dyDescent="0.2">
      <c r="A12" s="23" t="s">
        <v>360</v>
      </c>
      <c r="B12" s="40">
        <v>21</v>
      </c>
      <c r="G12" s="23" t="s">
        <v>339</v>
      </c>
      <c r="H12" s="55">
        <v>27</v>
      </c>
      <c r="I12" s="27"/>
      <c r="J12" s="27"/>
      <c r="K12" s="27"/>
      <c r="L12" s="29"/>
      <c r="M12" s="23" t="s">
        <v>375</v>
      </c>
      <c r="N12" s="40">
        <v>20</v>
      </c>
      <c r="O12" s="27"/>
      <c r="P12" s="27"/>
      <c r="Q12" s="27"/>
      <c r="R12" s="29"/>
      <c r="S12" s="23" t="s">
        <v>139</v>
      </c>
      <c r="T12" s="40">
        <v>57</v>
      </c>
      <c r="U12" s="27"/>
      <c r="V12" s="27"/>
      <c r="W12" s="27"/>
      <c r="Y12" s="23" t="s">
        <v>398</v>
      </c>
      <c r="Z12" s="40">
        <v>35</v>
      </c>
      <c r="AA12" s="27"/>
      <c r="AB12" s="27"/>
      <c r="AC12" s="27"/>
      <c r="AD12" s="34"/>
      <c r="AE12" s="93"/>
      <c r="AF12" s="34"/>
      <c r="AG12" s="94"/>
      <c r="AH12" s="94"/>
      <c r="AI12" s="94"/>
      <c r="AJ12" s="34"/>
      <c r="AK12" s="22" t="s">
        <v>418</v>
      </c>
      <c r="AL12" s="81">
        <v>118</v>
      </c>
      <c r="AM12" s="31"/>
      <c r="AN12" s="31"/>
      <c r="AO12" s="31"/>
      <c r="AQ12" s="97"/>
      <c r="AR12" s="34"/>
      <c r="AS12" s="94"/>
      <c r="AT12" s="94"/>
      <c r="AU12" s="94"/>
      <c r="AY12" s="31"/>
      <c r="AZ12" s="31"/>
      <c r="BC12" s="32"/>
      <c r="BE12" s="31"/>
      <c r="BF12" s="31"/>
      <c r="BH12" s="34"/>
      <c r="BI12" s="32" t="s">
        <v>162</v>
      </c>
      <c r="BJ12" s="19" t="s">
        <v>71</v>
      </c>
      <c r="BK12" s="31" t="s">
        <v>103</v>
      </c>
      <c r="BL12" s="31" t="s">
        <v>104</v>
      </c>
      <c r="BN12" s="34"/>
      <c r="BO12" s="23" t="s">
        <v>483</v>
      </c>
      <c r="BP12" s="19">
        <v>14</v>
      </c>
      <c r="BQ12" s="31"/>
      <c r="BR12" s="31"/>
      <c r="BT12" s="34"/>
      <c r="BU12" s="23" t="s">
        <v>460</v>
      </c>
      <c r="BV12" s="19">
        <v>64</v>
      </c>
      <c r="BW12" s="31"/>
      <c r="BX12" s="31"/>
      <c r="BZ12" s="34"/>
      <c r="CA12" s="38"/>
      <c r="CC12" s="31"/>
      <c r="CD12" s="31"/>
      <c r="CF12" s="36"/>
      <c r="CG12" s="44"/>
      <c r="CL12" s="36"/>
      <c r="CM12" s="44"/>
      <c r="CR12" s="36"/>
    </row>
    <row r="13" spans="1:96" x14ac:dyDescent="0.2">
      <c r="A13" s="23" t="s">
        <v>361</v>
      </c>
      <c r="B13" s="40">
        <v>21</v>
      </c>
      <c r="G13" s="23" t="s">
        <v>340</v>
      </c>
      <c r="H13" s="55">
        <v>84</v>
      </c>
      <c r="L13" s="29"/>
      <c r="M13" s="23" t="s">
        <v>376</v>
      </c>
      <c r="N13" s="40">
        <v>12</v>
      </c>
      <c r="O13" s="27"/>
      <c r="P13" s="27"/>
      <c r="Q13" s="27"/>
      <c r="R13" s="29"/>
      <c r="S13" s="23" t="s">
        <v>156</v>
      </c>
      <c r="T13" s="40">
        <v>28</v>
      </c>
      <c r="U13" s="27"/>
      <c r="V13" s="27"/>
      <c r="W13" s="27"/>
      <c r="Y13" s="23" t="s">
        <v>399</v>
      </c>
      <c r="Z13" s="40">
        <v>68</v>
      </c>
      <c r="AA13" s="27"/>
      <c r="AB13" s="27"/>
      <c r="AC13" s="27"/>
      <c r="AE13" s="41"/>
      <c r="AG13" s="31"/>
      <c r="AH13" s="31"/>
      <c r="AI13" s="33"/>
      <c r="AJ13" s="34"/>
      <c r="AK13" s="22" t="s">
        <v>419</v>
      </c>
      <c r="AL13" s="81">
        <v>172</v>
      </c>
      <c r="AM13" s="31"/>
      <c r="AN13" s="31"/>
      <c r="AO13" s="31"/>
      <c r="AQ13" s="43"/>
      <c r="AS13" s="31"/>
      <c r="AT13" s="31"/>
      <c r="AU13" s="33"/>
      <c r="AY13" s="31"/>
      <c r="AZ13" s="31"/>
      <c r="BC13" s="43"/>
      <c r="BE13" s="31"/>
      <c r="BF13" s="31"/>
      <c r="BH13" s="34"/>
      <c r="BI13" s="23" t="s">
        <v>489</v>
      </c>
      <c r="BJ13" s="19">
        <v>58</v>
      </c>
      <c r="BK13" s="31" t="s">
        <v>106</v>
      </c>
      <c r="BL13" s="31">
        <f>SUM(BJ13:BJ30)</f>
        <v>476</v>
      </c>
      <c r="BN13" s="34"/>
      <c r="BO13" s="23" t="s">
        <v>484</v>
      </c>
      <c r="BP13" s="19">
        <v>19</v>
      </c>
      <c r="BQ13" s="31"/>
      <c r="BR13" s="31"/>
      <c r="BT13" s="34"/>
      <c r="BU13" s="23" t="s">
        <v>461</v>
      </c>
      <c r="BV13" s="19">
        <v>88</v>
      </c>
      <c r="BW13" s="31"/>
      <c r="BX13" s="31"/>
      <c r="BZ13" s="34"/>
      <c r="CA13" s="38"/>
      <c r="CC13" s="31"/>
      <c r="CD13" s="31"/>
      <c r="CF13" s="36"/>
      <c r="CG13" s="44"/>
      <c r="CL13" s="36"/>
      <c r="CM13" s="44"/>
      <c r="CR13" s="36"/>
    </row>
    <row r="14" spans="1:96" x14ac:dyDescent="0.2">
      <c r="A14" s="23" t="s">
        <v>362</v>
      </c>
      <c r="B14" s="40">
        <v>11</v>
      </c>
      <c r="G14" s="23" t="s">
        <v>77</v>
      </c>
      <c r="H14" s="55">
        <v>45</v>
      </c>
      <c r="L14" s="29"/>
      <c r="M14" s="23" t="s">
        <v>377</v>
      </c>
      <c r="N14" s="40">
        <v>31</v>
      </c>
      <c r="O14" s="27"/>
      <c r="P14" s="27"/>
      <c r="Q14" s="27"/>
      <c r="R14" s="29"/>
      <c r="S14" s="23" t="s">
        <v>388</v>
      </c>
      <c r="T14" s="40">
        <v>50</v>
      </c>
      <c r="U14" s="27"/>
      <c r="V14" s="27"/>
      <c r="W14" s="27"/>
      <c r="Y14" s="23" t="s">
        <v>214</v>
      </c>
      <c r="Z14" s="40">
        <v>36</v>
      </c>
      <c r="AA14" s="27"/>
      <c r="AB14" s="27"/>
      <c r="AC14" s="27"/>
      <c r="AE14" s="32" t="s">
        <v>446</v>
      </c>
      <c r="AF14" s="33"/>
      <c r="AG14" s="24"/>
      <c r="AH14" s="24"/>
      <c r="AI14" s="33"/>
      <c r="AJ14" s="34"/>
      <c r="AK14" s="22" t="s">
        <v>420</v>
      </c>
      <c r="AL14" s="81">
        <v>386</v>
      </c>
      <c r="AM14" s="31"/>
      <c r="AN14" s="31"/>
      <c r="AO14" s="31"/>
      <c r="AQ14" s="43"/>
      <c r="AS14" s="31"/>
      <c r="AT14" s="31"/>
      <c r="AU14" s="33"/>
      <c r="AY14" s="31"/>
      <c r="AZ14" s="31"/>
      <c r="BC14" s="43"/>
      <c r="BE14" s="31"/>
      <c r="BF14" s="31"/>
      <c r="BH14" s="34"/>
      <c r="BI14" s="23" t="s">
        <v>490</v>
      </c>
      <c r="BJ14" s="19">
        <v>51</v>
      </c>
      <c r="BK14" s="31" t="s">
        <v>115</v>
      </c>
      <c r="BL14" s="31">
        <f>MIN(BJ13:BJ30)</f>
        <v>5</v>
      </c>
      <c r="BN14" s="34"/>
      <c r="BO14" s="38"/>
      <c r="BQ14" s="31"/>
      <c r="BR14" s="31"/>
      <c r="BT14" s="34"/>
      <c r="BU14" s="23" t="s">
        <v>462</v>
      </c>
      <c r="BV14" s="19">
        <v>108</v>
      </c>
      <c r="BW14" s="31"/>
      <c r="BX14" s="31"/>
      <c r="BZ14" s="34"/>
      <c r="CA14" s="38"/>
      <c r="CC14" s="31"/>
      <c r="CD14" s="31"/>
      <c r="CF14" s="36"/>
      <c r="CG14" s="44"/>
      <c r="CL14" s="36"/>
      <c r="CM14" s="44"/>
      <c r="CR14" s="36"/>
    </row>
    <row r="15" spans="1:96" x14ac:dyDescent="0.2">
      <c r="A15" s="23" t="s">
        <v>363</v>
      </c>
      <c r="B15" s="40">
        <v>24</v>
      </c>
      <c r="G15" s="23" t="s">
        <v>341</v>
      </c>
      <c r="H15" s="55">
        <v>54</v>
      </c>
      <c r="L15" s="29"/>
      <c r="M15" s="23" t="s">
        <v>378</v>
      </c>
      <c r="N15" s="40">
        <v>11</v>
      </c>
      <c r="O15" s="27"/>
      <c r="P15" s="27"/>
      <c r="Q15" s="27"/>
      <c r="R15" s="29"/>
      <c r="S15" s="23" t="s">
        <v>389</v>
      </c>
      <c r="T15" s="40">
        <v>49</v>
      </c>
      <c r="U15" s="27"/>
      <c r="V15" s="27"/>
      <c r="W15" s="27"/>
      <c r="Y15" s="23" t="s">
        <v>400</v>
      </c>
      <c r="Z15" s="40">
        <v>66</v>
      </c>
      <c r="AA15" s="27"/>
      <c r="AB15" s="27"/>
      <c r="AC15" s="27"/>
      <c r="AE15" s="41"/>
      <c r="AG15" s="31"/>
      <c r="AH15" s="31"/>
      <c r="AI15" s="33"/>
      <c r="AJ15" s="34"/>
      <c r="AK15" s="22" t="s">
        <v>421</v>
      </c>
      <c r="AL15" s="81">
        <v>194</v>
      </c>
      <c r="AM15" s="31"/>
      <c r="AN15" s="31"/>
      <c r="AO15" s="31"/>
      <c r="AS15" s="31"/>
      <c r="AT15" s="31"/>
      <c r="AU15" s="33"/>
      <c r="AY15" s="31"/>
      <c r="AZ15" s="31"/>
      <c r="BC15" s="43"/>
      <c r="BE15" s="31"/>
      <c r="BF15" s="31"/>
      <c r="BH15" s="34"/>
      <c r="BI15" s="23" t="s">
        <v>491</v>
      </c>
      <c r="BJ15" s="19">
        <v>49</v>
      </c>
      <c r="BK15" s="31" t="s">
        <v>122</v>
      </c>
      <c r="BL15" s="31">
        <f>MAX(BJ13:BJ30)</f>
        <v>58</v>
      </c>
      <c r="BN15" s="34"/>
      <c r="BO15" s="38"/>
      <c r="BQ15" s="31"/>
      <c r="BR15" s="31"/>
      <c r="BT15" s="34"/>
      <c r="BU15" s="23" t="s">
        <v>463</v>
      </c>
      <c r="BV15" s="19">
        <v>55</v>
      </c>
      <c r="BW15" s="31"/>
      <c r="BX15" s="31"/>
      <c r="BZ15" s="34"/>
      <c r="CA15" s="38"/>
      <c r="CC15" s="31"/>
      <c r="CD15" s="31"/>
      <c r="CF15" s="36"/>
      <c r="CG15" s="44"/>
      <c r="CL15" s="36"/>
      <c r="CM15" s="44"/>
      <c r="CR15" s="36"/>
    </row>
    <row r="16" spans="1:96" ht="13.5" x14ac:dyDescent="0.25">
      <c r="A16" s="23" t="s">
        <v>364</v>
      </c>
      <c r="B16" s="40">
        <v>25</v>
      </c>
      <c r="G16" s="23" t="s">
        <v>342</v>
      </c>
      <c r="H16" s="55">
        <v>17</v>
      </c>
      <c r="L16" s="29"/>
      <c r="M16" s="23" t="s">
        <v>379</v>
      </c>
      <c r="N16" s="40">
        <v>17</v>
      </c>
      <c r="O16" s="27"/>
      <c r="P16" s="27"/>
      <c r="Q16" s="27"/>
      <c r="R16" s="29"/>
      <c r="S16" s="39"/>
      <c r="T16" s="40"/>
      <c r="U16" s="27"/>
      <c r="V16" s="27"/>
      <c r="W16" s="27"/>
      <c r="Y16" s="23" t="s">
        <v>401</v>
      </c>
      <c r="Z16" s="40">
        <v>70</v>
      </c>
      <c r="AA16" s="27"/>
      <c r="AB16" s="27"/>
      <c r="AC16" s="27"/>
      <c r="AE16" s="82" t="s">
        <v>25</v>
      </c>
      <c r="AF16" s="31"/>
      <c r="AG16" s="31"/>
      <c r="AH16" s="31"/>
      <c r="AJ16" s="34"/>
      <c r="AK16" s="22" t="s">
        <v>422</v>
      </c>
      <c r="AL16" s="81">
        <v>143</v>
      </c>
      <c r="AM16" s="31"/>
      <c r="AN16" s="31"/>
      <c r="AO16" s="31"/>
      <c r="AY16" s="31"/>
      <c r="AZ16" s="31"/>
      <c r="BC16" s="43"/>
      <c r="BE16" s="31"/>
      <c r="BF16" s="31"/>
      <c r="BH16" s="34"/>
      <c r="BI16" s="23" t="s">
        <v>492</v>
      </c>
      <c r="BJ16" s="19">
        <v>32</v>
      </c>
      <c r="BK16" s="31" t="s">
        <v>129</v>
      </c>
      <c r="BL16" s="31">
        <f>VAR(BJ13:BJ30)</f>
        <v>282.02614379084974</v>
      </c>
      <c r="BN16" s="34"/>
      <c r="BO16" s="98"/>
      <c r="BP16" s="34"/>
      <c r="BQ16" s="94"/>
      <c r="BR16" s="94"/>
      <c r="BS16" s="34"/>
      <c r="BT16" s="34"/>
      <c r="BU16" s="23" t="s">
        <v>464</v>
      </c>
      <c r="BV16" s="19">
        <v>39</v>
      </c>
      <c r="BW16" s="31"/>
      <c r="BX16" s="31"/>
      <c r="BZ16" s="34"/>
      <c r="CA16" s="38"/>
      <c r="CC16" s="31"/>
      <c r="CD16" s="31"/>
      <c r="CF16" s="36"/>
      <c r="CG16" s="44"/>
      <c r="CL16" s="36"/>
      <c r="CM16" s="44"/>
      <c r="CR16" s="36"/>
    </row>
    <row r="17" spans="1:96" ht="15" x14ac:dyDescent="0.25">
      <c r="A17" s="23" t="s">
        <v>365</v>
      </c>
      <c r="B17" s="80">
        <v>19</v>
      </c>
      <c r="C17"/>
      <c r="D17"/>
      <c r="E17"/>
      <c r="F17" s="78"/>
      <c r="G17"/>
      <c r="H17"/>
      <c r="I17"/>
      <c r="J17"/>
      <c r="K17"/>
      <c r="L17" s="29"/>
      <c r="M17" s="39"/>
      <c r="N17" s="40"/>
      <c r="O17" s="27"/>
      <c r="P17" s="27"/>
      <c r="Q17" s="27"/>
      <c r="R17" s="29"/>
      <c r="S17" s="39"/>
      <c r="T17" s="40"/>
      <c r="U17" s="27"/>
      <c r="V17" s="27"/>
      <c r="W17" s="27"/>
      <c r="Y17" s="23" t="s">
        <v>402</v>
      </c>
      <c r="Z17" s="40">
        <v>51</v>
      </c>
      <c r="AA17" s="27"/>
      <c r="AB17" s="27"/>
      <c r="AC17" s="27"/>
      <c r="AE17" s="31" t="s">
        <v>102</v>
      </c>
      <c r="AF17" s="31" t="s">
        <v>71</v>
      </c>
      <c r="AG17" s="31" t="s">
        <v>103</v>
      </c>
      <c r="AH17" s="31" t="s">
        <v>104</v>
      </c>
      <c r="AJ17" s="34"/>
      <c r="AK17" s="23" t="s">
        <v>423</v>
      </c>
      <c r="AL17" s="81">
        <v>140</v>
      </c>
      <c r="AM17" s="31"/>
      <c r="AN17" s="31"/>
      <c r="AO17" s="31"/>
      <c r="AY17" s="31"/>
      <c r="AZ17" s="31"/>
      <c r="BC17" s="43"/>
      <c r="BE17" s="31"/>
      <c r="BF17" s="31"/>
      <c r="BH17" s="34"/>
      <c r="BI17" s="23" t="s">
        <v>493</v>
      </c>
      <c r="BJ17" s="19">
        <v>58</v>
      </c>
      <c r="BK17" s="31" t="s">
        <v>138</v>
      </c>
      <c r="BL17" s="31">
        <f>AVERAGE(BJ13:BJ30)</f>
        <v>26.444444444444443</v>
      </c>
      <c r="BN17" s="34"/>
      <c r="BO17" s="23"/>
      <c r="BQ17" s="31"/>
      <c r="BR17" s="31"/>
      <c r="BT17" s="34"/>
      <c r="BU17" s="23" t="s">
        <v>465</v>
      </c>
      <c r="BV17" s="19">
        <v>53</v>
      </c>
      <c r="BW17" s="31"/>
      <c r="BX17" s="31"/>
      <c r="BZ17" s="34"/>
      <c r="CA17" s="38"/>
      <c r="CC17" s="31"/>
      <c r="CD17" s="31"/>
      <c r="CF17" s="36"/>
      <c r="CG17" s="44"/>
      <c r="CL17" s="36"/>
      <c r="CM17" s="44"/>
      <c r="CR17" s="36"/>
    </row>
    <row r="18" spans="1:96" x14ac:dyDescent="0.2">
      <c r="A18" s="23" t="s">
        <v>366</v>
      </c>
      <c r="B18" s="40">
        <v>15</v>
      </c>
      <c r="L18" s="29"/>
      <c r="M18" s="39"/>
      <c r="N18" s="40"/>
      <c r="O18" s="27"/>
      <c r="P18" s="27"/>
      <c r="Q18" s="27"/>
      <c r="R18" s="29"/>
      <c r="S18" s="39"/>
      <c r="T18" s="40"/>
      <c r="U18" s="27"/>
      <c r="V18" s="27"/>
      <c r="W18" s="27"/>
      <c r="Y18" s="23" t="s">
        <v>403</v>
      </c>
      <c r="Z18" s="40">
        <v>56</v>
      </c>
      <c r="AA18" s="27"/>
      <c r="AB18" s="27"/>
      <c r="AC18" s="27"/>
      <c r="AE18" s="41" t="s">
        <v>233</v>
      </c>
      <c r="AF18" s="31">
        <v>0</v>
      </c>
      <c r="AG18" s="31" t="s">
        <v>106</v>
      </c>
      <c r="AH18" s="31">
        <f>SUM(AF18:AF40)</f>
        <v>1</v>
      </c>
      <c r="AI18" s="33"/>
      <c r="AJ18" s="34"/>
      <c r="AK18" s="22" t="s">
        <v>424</v>
      </c>
      <c r="AL18" s="81">
        <v>102</v>
      </c>
      <c r="AM18" s="31"/>
      <c r="AN18" s="31"/>
      <c r="AO18" s="31"/>
      <c r="AS18" s="31"/>
      <c r="AT18" s="31"/>
      <c r="AU18" s="33"/>
      <c r="AX18" s="35" t="s">
        <v>538</v>
      </c>
      <c r="AY18" s="31"/>
      <c r="AZ18" s="31"/>
      <c r="BC18" s="43"/>
      <c r="BE18" s="31"/>
      <c r="BF18" s="31"/>
      <c r="BH18" s="34"/>
      <c r="BI18" s="23" t="s">
        <v>494</v>
      </c>
      <c r="BJ18" s="19">
        <v>17</v>
      </c>
      <c r="BK18" s="31" t="s">
        <v>144</v>
      </c>
      <c r="BL18" s="31">
        <f>STDEV(BJ13:BJ30)</f>
        <v>16.793634025750642</v>
      </c>
      <c r="BN18" s="34"/>
      <c r="BO18" s="23"/>
      <c r="BQ18" s="31"/>
      <c r="BR18" s="31"/>
      <c r="BT18" s="34"/>
      <c r="BU18" s="23" t="s">
        <v>466</v>
      </c>
      <c r="BV18" s="19">
        <v>27</v>
      </c>
      <c r="BW18" s="31"/>
      <c r="BX18" s="31"/>
      <c r="BZ18" s="34"/>
      <c r="CA18" s="38"/>
      <c r="CC18" s="31"/>
      <c r="CD18" s="31"/>
      <c r="CF18" s="36"/>
      <c r="CG18" s="44"/>
      <c r="CL18" s="36"/>
      <c r="CM18" s="44"/>
      <c r="CR18" s="36"/>
    </row>
    <row r="19" spans="1:96" x14ac:dyDescent="0.2">
      <c r="A19" s="23" t="s">
        <v>367</v>
      </c>
      <c r="B19" s="40">
        <v>16</v>
      </c>
      <c r="L19" s="29"/>
      <c r="M19" s="39"/>
      <c r="N19" s="40"/>
      <c r="O19" s="27"/>
      <c r="P19" s="27"/>
      <c r="Q19" s="27"/>
      <c r="R19" s="29"/>
      <c r="S19" s="39"/>
      <c r="T19" s="40"/>
      <c r="U19" s="27"/>
      <c r="V19" s="27"/>
      <c r="W19" s="27"/>
      <c r="Y19" s="23" t="s">
        <v>404</v>
      </c>
      <c r="Z19" s="40">
        <v>47</v>
      </c>
      <c r="AA19" s="27"/>
      <c r="AB19" s="27"/>
      <c r="AC19" s="27"/>
      <c r="AE19" s="41" t="s">
        <v>408</v>
      </c>
      <c r="AF19" s="31">
        <v>0</v>
      </c>
      <c r="AG19" s="31" t="s">
        <v>115</v>
      </c>
      <c r="AH19" s="31">
        <f>MIN(AF18:AF40)</f>
        <v>0</v>
      </c>
      <c r="AI19" s="33"/>
      <c r="AJ19" s="34"/>
      <c r="AK19" s="23" t="s">
        <v>425</v>
      </c>
      <c r="AL19" s="81">
        <v>192</v>
      </c>
      <c r="AM19" s="31"/>
      <c r="AN19" s="31"/>
      <c r="AO19" s="31"/>
      <c r="AU19" s="33"/>
      <c r="AY19" s="31"/>
      <c r="AZ19" s="31"/>
      <c r="BC19" s="43"/>
      <c r="BH19" s="34"/>
      <c r="BI19" s="23" t="s">
        <v>495</v>
      </c>
      <c r="BJ19" s="19">
        <v>14</v>
      </c>
      <c r="BK19" s="31"/>
      <c r="BL19" s="31"/>
      <c r="BN19" s="34"/>
      <c r="BO19" s="23"/>
      <c r="BQ19" s="31"/>
      <c r="BR19" s="31"/>
      <c r="BT19" s="34"/>
      <c r="BU19" s="23" t="s">
        <v>467</v>
      </c>
      <c r="BV19" s="19">
        <v>59</v>
      </c>
      <c r="BW19" s="31"/>
      <c r="BX19" s="31"/>
      <c r="BZ19" s="34"/>
      <c r="CA19" s="38"/>
      <c r="CC19" s="31"/>
      <c r="CD19" s="31"/>
      <c r="CF19" s="36"/>
      <c r="CG19" s="44"/>
      <c r="CL19" s="36"/>
      <c r="CM19" s="44"/>
      <c r="CR19" s="36"/>
    </row>
    <row r="20" spans="1:96" x14ac:dyDescent="0.2">
      <c r="A20" s="38"/>
      <c r="G20" s="87"/>
      <c r="H20" s="88" t="s">
        <v>452</v>
      </c>
      <c r="I20" s="88"/>
      <c r="J20" s="89"/>
      <c r="K20" s="89"/>
      <c r="L20" s="29"/>
      <c r="M20" s="39"/>
      <c r="N20" s="40"/>
      <c r="O20" s="27"/>
      <c r="P20" s="27"/>
      <c r="Q20" s="27"/>
      <c r="R20" s="29"/>
      <c r="S20" s="39"/>
      <c r="T20" s="40"/>
      <c r="U20" s="27"/>
      <c r="V20" s="27"/>
      <c r="W20" s="27"/>
      <c r="Y20" s="23" t="s">
        <v>405</v>
      </c>
      <c r="Z20" s="40">
        <v>25</v>
      </c>
      <c r="AA20" s="27"/>
      <c r="AB20" s="27"/>
      <c r="AC20" s="27"/>
      <c r="AE20" s="41" t="s">
        <v>409</v>
      </c>
      <c r="AF20" s="31">
        <v>0</v>
      </c>
      <c r="AG20" s="31" t="s">
        <v>122</v>
      </c>
      <c r="AH20" s="31">
        <f>MAX(AF18:AF40)</f>
        <v>1</v>
      </c>
      <c r="AI20" s="33"/>
      <c r="AJ20" s="34"/>
      <c r="AK20" s="23" t="s">
        <v>426</v>
      </c>
      <c r="AL20" s="81">
        <v>104</v>
      </c>
      <c r="AM20" s="31"/>
      <c r="AN20" s="31"/>
      <c r="AO20" s="31"/>
      <c r="AU20" s="33"/>
      <c r="AW20" s="27" t="s">
        <v>102</v>
      </c>
      <c r="AX20" s="19" t="s">
        <v>71</v>
      </c>
      <c r="AY20" s="31" t="s">
        <v>103</v>
      </c>
      <c r="AZ20" s="31" t="s">
        <v>104</v>
      </c>
      <c r="BC20" s="43"/>
      <c r="BH20" s="34"/>
      <c r="BI20" s="23" t="s">
        <v>496</v>
      </c>
      <c r="BJ20" s="19">
        <v>21</v>
      </c>
      <c r="BN20" s="34"/>
      <c r="BO20" s="23"/>
      <c r="BQ20" s="31"/>
      <c r="BR20" s="31"/>
      <c r="BT20" s="34"/>
      <c r="BU20" s="23" t="s">
        <v>468</v>
      </c>
      <c r="BV20" s="19">
        <v>60</v>
      </c>
      <c r="BW20" s="31"/>
      <c r="BX20" s="31"/>
      <c r="BZ20" s="34"/>
      <c r="CA20" s="38"/>
      <c r="CC20" s="31"/>
      <c r="CD20" s="31"/>
      <c r="CF20" s="36"/>
      <c r="CG20" s="44"/>
      <c r="CL20" s="36"/>
      <c r="CM20" s="44"/>
      <c r="CR20" s="36"/>
    </row>
    <row r="21" spans="1:96" x14ac:dyDescent="0.2">
      <c r="A21" s="38"/>
      <c r="G21" s="23" t="s">
        <v>344</v>
      </c>
      <c r="H21" s="76">
        <v>62</v>
      </c>
      <c r="I21" s="27" t="s">
        <v>103</v>
      </c>
      <c r="J21" s="27" t="s">
        <v>104</v>
      </c>
      <c r="K21" s="27"/>
      <c r="L21" s="90"/>
      <c r="M21" s="92"/>
      <c r="N21" s="91"/>
      <c r="O21" s="90"/>
      <c r="P21" s="90"/>
      <c r="Q21" s="90"/>
      <c r="R21" s="90"/>
      <c r="S21" s="92"/>
      <c r="T21" s="91"/>
      <c r="U21" s="90"/>
      <c r="V21" s="90"/>
      <c r="W21" s="90"/>
      <c r="Y21" s="23" t="s">
        <v>406</v>
      </c>
      <c r="Z21" s="40">
        <v>40</v>
      </c>
      <c r="AA21" s="27"/>
      <c r="AB21" s="27"/>
      <c r="AC21" s="27"/>
      <c r="AE21" s="41" t="s">
        <v>137</v>
      </c>
      <c r="AF21" s="31">
        <v>1</v>
      </c>
      <c r="AG21" s="31" t="s">
        <v>129</v>
      </c>
      <c r="AH21" s="31">
        <f>VAR(AF18:AF40)</f>
        <v>0.16666666666666669</v>
      </c>
      <c r="AI21" s="33"/>
      <c r="AJ21" s="34"/>
      <c r="AK21" s="23" t="s">
        <v>427</v>
      </c>
      <c r="AL21" s="81">
        <v>24</v>
      </c>
      <c r="AM21" s="31"/>
      <c r="AN21" s="31"/>
      <c r="AO21" s="31"/>
      <c r="AU21" s="33"/>
      <c r="AW21" s="23" t="s">
        <v>513</v>
      </c>
      <c r="AX21" s="22">
        <v>72</v>
      </c>
      <c r="AY21" s="31" t="s">
        <v>106</v>
      </c>
      <c r="AZ21" s="31">
        <f>SUM(AX21:AX30)</f>
        <v>533</v>
      </c>
      <c r="BC21" s="43"/>
      <c r="BH21" s="34"/>
      <c r="BI21" s="23" t="s">
        <v>389</v>
      </c>
      <c r="BJ21" s="19">
        <v>35</v>
      </c>
      <c r="BN21" s="34"/>
      <c r="BO21" s="23"/>
      <c r="BQ21" s="31"/>
      <c r="BR21" s="31"/>
      <c r="BT21" s="34"/>
      <c r="BU21" s="23" t="s">
        <v>469</v>
      </c>
      <c r="BV21" s="19">
        <v>40</v>
      </c>
      <c r="BW21" s="31"/>
      <c r="BX21" s="31"/>
      <c r="BZ21" s="34"/>
      <c r="CA21" s="38"/>
      <c r="CC21" s="31"/>
      <c r="CD21" s="31"/>
      <c r="CF21" s="36"/>
      <c r="CG21" s="44"/>
      <c r="CL21" s="36"/>
      <c r="CM21" s="44"/>
      <c r="CR21" s="36"/>
    </row>
    <row r="22" spans="1:96" x14ac:dyDescent="0.2">
      <c r="A22" s="86"/>
      <c r="B22" s="34"/>
      <c r="C22" s="34"/>
      <c r="D22" s="34"/>
      <c r="E22" s="34"/>
      <c r="G22" s="23" t="s">
        <v>345</v>
      </c>
      <c r="H22" s="76">
        <v>39</v>
      </c>
      <c r="I22" s="27" t="s">
        <v>106</v>
      </c>
      <c r="J22" s="27">
        <f>SUM(H21:H30)</f>
        <v>192</v>
      </c>
      <c r="K22" s="27"/>
      <c r="L22" s="29"/>
      <c r="M22" s="39"/>
      <c r="N22" s="40"/>
      <c r="O22" s="27"/>
      <c r="P22" s="27"/>
      <c r="Q22" s="27"/>
      <c r="R22" s="29"/>
      <c r="S22" s="39"/>
      <c r="T22" s="40"/>
      <c r="U22" s="27"/>
      <c r="V22" s="27"/>
      <c r="W22" s="27"/>
      <c r="Y22" s="23" t="s">
        <v>407</v>
      </c>
      <c r="Z22" s="40">
        <v>50</v>
      </c>
      <c r="AA22" s="27"/>
      <c r="AB22" s="27"/>
      <c r="AC22" s="27"/>
      <c r="AE22" s="41" t="s">
        <v>410</v>
      </c>
      <c r="AF22" s="31">
        <v>0</v>
      </c>
      <c r="AG22" s="31" t="s">
        <v>138</v>
      </c>
      <c r="AH22" s="31">
        <f>AVERAGE(AF18:AF40)</f>
        <v>0.16666666666666666</v>
      </c>
      <c r="AI22" s="33"/>
      <c r="AJ22" s="34"/>
      <c r="AK22" s="23" t="s">
        <v>428</v>
      </c>
      <c r="AL22" s="81">
        <v>38</v>
      </c>
      <c r="AM22" s="31"/>
      <c r="AN22" s="31"/>
      <c r="AO22" s="31"/>
      <c r="AU22" s="33"/>
      <c r="AW22" s="23" t="s">
        <v>514</v>
      </c>
      <c r="AX22" s="22">
        <v>46</v>
      </c>
      <c r="AY22" s="31" t="s">
        <v>115</v>
      </c>
      <c r="AZ22" s="31">
        <f>MIN(AX21:AX30)</f>
        <v>25</v>
      </c>
      <c r="BC22" s="43"/>
      <c r="BH22" s="34"/>
      <c r="BI22" s="23" t="s">
        <v>497</v>
      </c>
      <c r="BJ22" s="19">
        <v>5</v>
      </c>
      <c r="BN22" s="34"/>
      <c r="BO22" s="23"/>
      <c r="BQ22" s="31"/>
      <c r="BR22" s="31"/>
      <c r="BT22" s="34"/>
      <c r="BU22" s="23" t="s">
        <v>470</v>
      </c>
      <c r="BV22" s="19">
        <v>25</v>
      </c>
      <c r="BW22" s="31"/>
      <c r="BX22" s="31"/>
      <c r="BZ22" s="34"/>
      <c r="CA22" s="38"/>
      <c r="CC22" s="31"/>
      <c r="CD22" s="31"/>
      <c r="CF22" s="36"/>
      <c r="CG22" s="44"/>
      <c r="CL22" s="36"/>
      <c r="CM22" s="44"/>
      <c r="CR22" s="36"/>
    </row>
    <row r="23" spans="1:96" x14ac:dyDescent="0.2">
      <c r="A23" s="38"/>
      <c r="G23" s="23" t="s">
        <v>262</v>
      </c>
      <c r="H23" s="76">
        <v>22</v>
      </c>
      <c r="I23" s="27" t="s">
        <v>115</v>
      </c>
      <c r="J23" s="27">
        <f>MIN(H21:H30)</f>
        <v>4</v>
      </c>
      <c r="K23" s="27"/>
      <c r="L23" s="29"/>
      <c r="M23" s="39"/>
      <c r="N23" s="40"/>
      <c r="O23" s="27"/>
      <c r="P23" s="27"/>
      <c r="Q23" s="27"/>
      <c r="R23" s="29"/>
      <c r="S23" s="39"/>
      <c r="T23" s="40"/>
      <c r="U23" s="27"/>
      <c r="V23" s="27"/>
      <c r="W23" s="27"/>
      <c r="Y23" s="27"/>
      <c r="Z23" s="40"/>
      <c r="AA23" s="27"/>
      <c r="AB23" s="27"/>
      <c r="AC23" s="27"/>
      <c r="AE23" s="41" t="s">
        <v>411</v>
      </c>
      <c r="AF23" s="31">
        <v>0</v>
      </c>
      <c r="AG23" s="31" t="s">
        <v>144</v>
      </c>
      <c r="AH23" s="31">
        <f>STDEV(AF18:AF40)</f>
        <v>0.40824829046386302</v>
      </c>
      <c r="AI23" s="33"/>
      <c r="AJ23" s="34"/>
      <c r="AK23" s="23" t="s">
        <v>429</v>
      </c>
      <c r="AL23" s="81">
        <v>88</v>
      </c>
      <c r="AM23" s="31"/>
      <c r="AN23" s="31"/>
      <c r="AO23" s="31"/>
      <c r="AU23" s="33"/>
      <c r="AW23" s="23" t="s">
        <v>515</v>
      </c>
      <c r="AX23" s="22">
        <v>52</v>
      </c>
      <c r="AY23" s="31" t="s">
        <v>122</v>
      </c>
      <c r="AZ23" s="31">
        <f>MAX(AX21:AX30)</f>
        <v>72</v>
      </c>
      <c r="BC23" s="43"/>
      <c r="BH23" s="34"/>
      <c r="BI23" s="23" t="s">
        <v>498</v>
      </c>
      <c r="BJ23" s="19">
        <v>19</v>
      </c>
      <c r="BN23" s="34"/>
      <c r="BO23" s="23"/>
      <c r="BQ23" s="31"/>
      <c r="BR23" s="31"/>
      <c r="BT23" s="34"/>
      <c r="BU23" s="23" t="s">
        <v>471</v>
      </c>
      <c r="BV23" s="19">
        <v>35</v>
      </c>
      <c r="BW23" s="31"/>
      <c r="BX23" s="31"/>
      <c r="BZ23" s="34"/>
      <c r="CA23" s="38"/>
      <c r="CC23" s="31"/>
      <c r="CD23" s="31"/>
      <c r="CF23" s="36"/>
      <c r="CG23" s="44"/>
      <c r="CL23" s="36"/>
      <c r="CM23" s="44"/>
      <c r="CR23" s="36"/>
    </row>
    <row r="24" spans="1:96" x14ac:dyDescent="0.2">
      <c r="A24" s="38"/>
      <c r="G24" s="23" t="s">
        <v>346</v>
      </c>
      <c r="H24" s="76">
        <v>13</v>
      </c>
      <c r="I24" s="27" t="s">
        <v>122</v>
      </c>
      <c r="J24" s="27">
        <f>MAX(H21:H30)</f>
        <v>62</v>
      </c>
      <c r="K24" s="27"/>
      <c r="L24" s="29"/>
      <c r="M24" s="39"/>
      <c r="N24" s="40"/>
      <c r="O24" s="27"/>
      <c r="P24" s="27"/>
      <c r="Q24" s="27"/>
      <c r="R24" s="29"/>
      <c r="S24" s="79"/>
      <c r="T24" s="119"/>
      <c r="U24" s="119"/>
      <c r="V24" s="25"/>
      <c r="W24" s="25"/>
      <c r="Y24" s="27"/>
      <c r="Z24" s="40"/>
      <c r="AA24" s="27"/>
      <c r="AB24" s="27"/>
      <c r="AC24" s="27"/>
      <c r="AI24" s="33"/>
      <c r="AJ24" s="34"/>
      <c r="AK24" s="23" t="s">
        <v>430</v>
      </c>
      <c r="AL24" s="81">
        <v>110</v>
      </c>
      <c r="AM24" s="31"/>
      <c r="AN24" s="31"/>
      <c r="AO24" s="31"/>
      <c r="AU24" s="33"/>
      <c r="AW24" s="23" t="s">
        <v>516</v>
      </c>
      <c r="AX24" s="22">
        <v>52</v>
      </c>
      <c r="AY24" s="31" t="s">
        <v>129</v>
      </c>
      <c r="AZ24" s="31">
        <f>VAR(AX21:AX30)</f>
        <v>221.56666666666649</v>
      </c>
      <c r="BC24" s="43"/>
      <c r="BH24" s="34"/>
      <c r="BI24" s="23" t="s">
        <v>499</v>
      </c>
      <c r="BJ24" s="19">
        <v>12</v>
      </c>
      <c r="BN24" s="34"/>
      <c r="BO24" s="23"/>
      <c r="BT24" s="34"/>
      <c r="BU24" s="23" t="s">
        <v>472</v>
      </c>
      <c r="BV24" s="19">
        <v>37</v>
      </c>
      <c r="BW24" s="31"/>
      <c r="BX24" s="31"/>
      <c r="BZ24" s="34"/>
      <c r="CA24" s="38"/>
      <c r="CC24" s="31"/>
      <c r="CD24" s="31"/>
      <c r="CF24" s="36"/>
      <c r="CG24" s="44"/>
      <c r="CL24" s="36"/>
      <c r="CM24" s="44"/>
      <c r="CR24" s="36"/>
    </row>
    <row r="25" spans="1:96" x14ac:dyDescent="0.2">
      <c r="A25" s="38"/>
      <c r="G25" s="23" t="s">
        <v>347</v>
      </c>
      <c r="H25" s="76">
        <v>11</v>
      </c>
      <c r="I25" s="27" t="s">
        <v>129</v>
      </c>
      <c r="J25" s="27">
        <f>_xlfn.VAR.S(H21:H30)</f>
        <v>328.17777777777775</v>
      </c>
      <c r="K25" s="27"/>
      <c r="L25" s="29"/>
      <c r="M25" s="39"/>
      <c r="N25" s="40"/>
      <c r="O25" s="27"/>
      <c r="P25" s="27"/>
      <c r="Q25" s="27"/>
      <c r="R25" s="29"/>
      <c r="S25" s="39"/>
      <c r="T25" s="40"/>
      <c r="U25" s="27"/>
      <c r="V25" s="27"/>
      <c r="W25" s="27"/>
      <c r="X25" s="34"/>
      <c r="Y25" s="90"/>
      <c r="Z25" s="91"/>
      <c r="AA25" s="90"/>
      <c r="AB25" s="90"/>
      <c r="AC25" s="90"/>
      <c r="AD25" s="34"/>
      <c r="AI25" s="33"/>
      <c r="AJ25" s="34"/>
      <c r="AK25" s="23" t="s">
        <v>431</v>
      </c>
      <c r="AL25" s="81">
        <v>93</v>
      </c>
      <c r="AM25" s="31"/>
      <c r="AN25" s="31"/>
      <c r="AO25" s="31"/>
      <c r="AU25" s="33"/>
      <c r="AW25" s="23" t="s">
        <v>517</v>
      </c>
      <c r="AX25" s="22">
        <v>40</v>
      </c>
      <c r="AY25" s="31" t="s">
        <v>138</v>
      </c>
      <c r="AZ25" s="31">
        <f>AVERAGE(AX21:AX30)</f>
        <v>53.3</v>
      </c>
      <c r="BC25" s="43"/>
      <c r="BH25" s="34"/>
      <c r="BI25" s="23" t="s">
        <v>500</v>
      </c>
      <c r="BJ25" s="19">
        <v>9</v>
      </c>
      <c r="BN25" s="34"/>
      <c r="BO25" s="23"/>
      <c r="BT25" s="34"/>
      <c r="BU25" s="23" t="s">
        <v>362</v>
      </c>
      <c r="BV25" s="19">
        <v>44</v>
      </c>
      <c r="BW25" s="31"/>
      <c r="BX25" s="31"/>
      <c r="BZ25" s="34"/>
      <c r="CA25" s="38"/>
      <c r="CC25" s="31"/>
      <c r="CD25" s="31"/>
      <c r="CF25" s="36"/>
      <c r="CG25" s="44"/>
      <c r="CL25" s="36"/>
      <c r="CR25" s="36"/>
    </row>
    <row r="26" spans="1:96" x14ac:dyDescent="0.2">
      <c r="A26" s="38"/>
      <c r="G26" s="23" t="s">
        <v>348</v>
      </c>
      <c r="H26" s="76">
        <v>4</v>
      </c>
      <c r="I26" s="27" t="s">
        <v>138</v>
      </c>
      <c r="J26" s="27">
        <f>AVERAGE(H21:H30)</f>
        <v>19.2</v>
      </c>
      <c r="K26" s="27"/>
      <c r="L26" s="29"/>
      <c r="M26" s="39"/>
      <c r="N26" s="40"/>
      <c r="O26" s="27"/>
      <c r="P26" s="27"/>
      <c r="Q26" s="27"/>
      <c r="R26" s="29"/>
      <c r="S26" s="39"/>
      <c r="T26" s="40"/>
      <c r="U26" s="27"/>
      <c r="V26" s="27"/>
      <c r="W26" s="27"/>
      <c r="Y26" s="30" t="s">
        <v>447</v>
      </c>
      <c r="Z26" s="27"/>
      <c r="AA26" s="27"/>
      <c r="AB26" s="27"/>
      <c r="AC26" s="27"/>
      <c r="AI26" s="33"/>
      <c r="AJ26" s="34"/>
      <c r="AK26" s="23" t="s">
        <v>432</v>
      </c>
      <c r="AL26" s="19">
        <v>93</v>
      </c>
      <c r="AO26" s="24"/>
      <c r="AU26" s="33"/>
      <c r="AW26" s="23" t="s">
        <v>518</v>
      </c>
      <c r="AX26" s="22">
        <v>60</v>
      </c>
      <c r="AY26" s="31" t="s">
        <v>144</v>
      </c>
      <c r="AZ26" s="31">
        <f>STDEV(AX21:AX30)</f>
        <v>14.885115608105517</v>
      </c>
      <c r="BC26" s="43"/>
      <c r="BH26" s="34"/>
      <c r="BI26" s="23" t="s">
        <v>501</v>
      </c>
      <c r="BJ26" s="19">
        <v>16</v>
      </c>
      <c r="BN26" s="34"/>
      <c r="BO26" s="23"/>
      <c r="BT26" s="34"/>
      <c r="BU26" s="23" t="s">
        <v>473</v>
      </c>
      <c r="BV26" s="19">
        <v>28</v>
      </c>
      <c r="BW26" s="31"/>
      <c r="BX26" s="31"/>
      <c r="BZ26" s="34"/>
      <c r="CA26" s="38"/>
      <c r="CC26" s="31"/>
      <c r="CD26" s="31"/>
      <c r="CF26" s="36"/>
      <c r="CG26" s="44"/>
      <c r="CL26" s="36"/>
      <c r="CR26" s="36"/>
    </row>
    <row r="27" spans="1:96" x14ac:dyDescent="0.2">
      <c r="A27" s="38"/>
      <c r="G27" s="23" t="s">
        <v>349</v>
      </c>
      <c r="H27" s="55">
        <v>4</v>
      </c>
      <c r="I27" s="27" t="s">
        <v>144</v>
      </c>
      <c r="J27" s="27">
        <f>STDEV(H21:H30)</f>
        <v>18.115677679230711</v>
      </c>
      <c r="K27" s="27"/>
      <c r="L27" s="29"/>
      <c r="M27" s="39"/>
      <c r="N27" s="40"/>
      <c r="O27" s="27"/>
      <c r="P27" s="27"/>
      <c r="Q27" s="27"/>
      <c r="R27" s="29"/>
      <c r="S27" s="39"/>
      <c r="T27" s="40"/>
      <c r="U27" s="27"/>
      <c r="V27" s="27"/>
      <c r="W27" s="27"/>
      <c r="Y27" s="27"/>
      <c r="Z27" s="27"/>
      <c r="AA27" s="27"/>
      <c r="AB27" s="27"/>
      <c r="AC27" s="27"/>
      <c r="AI27" s="33"/>
      <c r="AJ27" s="34"/>
      <c r="AK27" s="23" t="s">
        <v>433</v>
      </c>
      <c r="AL27" s="34">
        <v>82</v>
      </c>
      <c r="AM27" s="34"/>
      <c r="AN27" s="34"/>
      <c r="AO27" s="34"/>
      <c r="AU27" s="33"/>
      <c r="AW27" s="23" t="s">
        <v>519</v>
      </c>
      <c r="AX27" s="22">
        <v>69</v>
      </c>
      <c r="AY27" s="31"/>
      <c r="AZ27" s="31"/>
      <c r="BC27" s="43"/>
      <c r="BH27" s="34"/>
      <c r="BI27" s="23" t="s">
        <v>502</v>
      </c>
      <c r="BJ27" s="19">
        <v>18</v>
      </c>
      <c r="BN27" s="34"/>
      <c r="BO27" s="38"/>
      <c r="BT27" s="34"/>
      <c r="BU27" s="23" t="s">
        <v>474</v>
      </c>
      <c r="BV27" s="19">
        <v>38</v>
      </c>
      <c r="BW27" s="31"/>
      <c r="BX27" s="31"/>
      <c r="BZ27" s="34"/>
      <c r="CA27" s="43"/>
      <c r="CC27" s="31"/>
      <c r="CD27" s="31"/>
      <c r="CF27" s="36"/>
      <c r="CG27" s="44"/>
      <c r="CL27" s="36"/>
      <c r="CM27" s="46" t="s">
        <v>167</v>
      </c>
      <c r="CR27" s="36"/>
    </row>
    <row r="28" spans="1:96" ht="13.5" x14ac:dyDescent="0.25">
      <c r="A28" s="38"/>
      <c r="G28" s="23" t="s">
        <v>350</v>
      </c>
      <c r="H28" s="55">
        <v>12</v>
      </c>
      <c r="I28" s="27"/>
      <c r="J28" s="27"/>
      <c r="K28" s="27"/>
      <c r="L28" s="29"/>
      <c r="M28" s="39"/>
      <c r="N28" s="40"/>
      <c r="O28" s="27"/>
      <c r="P28" s="27"/>
      <c r="Q28" s="27"/>
      <c r="R28" s="29"/>
      <c r="S28" s="39"/>
      <c r="T28" s="40"/>
      <c r="U28" s="27"/>
      <c r="V28" s="27"/>
      <c r="W28" s="27"/>
      <c r="Y28" s="53" t="s">
        <v>7</v>
      </c>
      <c r="Z28" s="27"/>
      <c r="AA28" s="27"/>
      <c r="AB28" s="27"/>
      <c r="AC28" s="27"/>
      <c r="AI28" s="33"/>
      <c r="AJ28" s="34"/>
      <c r="AK28" s="23" t="s">
        <v>434</v>
      </c>
      <c r="AL28" s="19">
        <v>92</v>
      </c>
      <c r="AU28" s="33"/>
      <c r="AW28" s="23" t="s">
        <v>520</v>
      </c>
      <c r="AX28" s="22">
        <v>25</v>
      </c>
      <c r="AY28" s="31"/>
      <c r="AZ28" s="31"/>
      <c r="BC28" s="43"/>
      <c r="BH28" s="34"/>
      <c r="BI28" s="23" t="s">
        <v>350</v>
      </c>
      <c r="BJ28" s="19">
        <v>19</v>
      </c>
      <c r="BN28" s="34"/>
      <c r="BO28" s="38"/>
      <c r="BT28" s="34"/>
      <c r="BU28" s="23" t="s">
        <v>475</v>
      </c>
      <c r="BV28" s="19">
        <v>74</v>
      </c>
      <c r="BW28" s="31"/>
      <c r="BX28" s="31"/>
      <c r="BZ28" s="34"/>
      <c r="CA28" s="43"/>
      <c r="CC28" s="31"/>
      <c r="CD28" s="31"/>
      <c r="CF28" s="36"/>
      <c r="CG28" s="44"/>
      <c r="CL28" s="36"/>
      <c r="CM28" s="31" t="s">
        <v>102</v>
      </c>
      <c r="CN28" s="31" t="s">
        <v>71</v>
      </c>
      <c r="CO28" s="31" t="s">
        <v>103</v>
      </c>
      <c r="CP28" s="31" t="s">
        <v>104</v>
      </c>
      <c r="CR28" s="36"/>
    </row>
    <row r="29" spans="1:96" x14ac:dyDescent="0.2">
      <c r="G29" s="23" t="s">
        <v>351</v>
      </c>
      <c r="H29" s="55">
        <v>10</v>
      </c>
      <c r="I29" s="27"/>
      <c r="J29" s="27"/>
      <c r="K29" s="27"/>
      <c r="L29" s="29"/>
      <c r="M29" s="27"/>
      <c r="N29" s="40"/>
      <c r="O29" s="27"/>
      <c r="P29" s="27"/>
      <c r="Q29" s="27"/>
      <c r="R29" s="29"/>
      <c r="S29" s="39"/>
      <c r="T29" s="40"/>
      <c r="U29" s="27"/>
      <c r="V29" s="27"/>
      <c r="W29" s="27"/>
      <c r="Y29" s="27" t="s">
        <v>102</v>
      </c>
      <c r="Z29" s="27" t="s">
        <v>71</v>
      </c>
      <c r="AA29" s="27" t="s">
        <v>103</v>
      </c>
      <c r="AB29" s="27" t="s">
        <v>104</v>
      </c>
      <c r="AC29" s="27"/>
      <c r="AI29" s="33"/>
      <c r="AJ29" s="34"/>
      <c r="AK29" s="34"/>
      <c r="AL29" s="34"/>
      <c r="AM29" s="34"/>
      <c r="AN29" s="34"/>
      <c r="AO29" s="34"/>
      <c r="AU29" s="33"/>
      <c r="AW29" s="23" t="s">
        <v>521</v>
      </c>
      <c r="AX29" s="22">
        <v>70</v>
      </c>
      <c r="BC29" s="43"/>
      <c r="BH29" s="34"/>
      <c r="BI29" s="23" t="s">
        <v>503</v>
      </c>
      <c r="BJ29" s="19">
        <v>22</v>
      </c>
      <c r="BN29" s="34"/>
      <c r="BT29" s="34"/>
      <c r="BU29" s="43"/>
      <c r="BZ29" s="34"/>
      <c r="CA29" s="43"/>
      <c r="CF29" s="36"/>
      <c r="CG29" s="44"/>
      <c r="CL29" s="36"/>
      <c r="CM29" s="44"/>
      <c r="CO29" s="31" t="s">
        <v>106</v>
      </c>
      <c r="CP29" s="31">
        <f>SUM(CN29:CN55)</f>
        <v>0</v>
      </c>
      <c r="CR29" s="36"/>
    </row>
    <row r="30" spans="1:96" ht="15" x14ac:dyDescent="0.25">
      <c r="G30" s="23" t="s">
        <v>352</v>
      </c>
      <c r="H30" s="55">
        <v>15</v>
      </c>
      <c r="I30" s="27"/>
      <c r="J30" s="27"/>
      <c r="K30" s="27"/>
      <c r="L30" s="29"/>
      <c r="M30" s="27"/>
      <c r="N30" s="27"/>
      <c r="O30" s="27"/>
      <c r="P30" s="27"/>
      <c r="Q30" s="27"/>
      <c r="R30" s="29"/>
      <c r="S30" s="27"/>
      <c r="T30" s="40"/>
      <c r="U30" s="27"/>
      <c r="V30" s="27"/>
      <c r="W30" s="27"/>
      <c r="Y30" s="23" t="s">
        <v>390</v>
      </c>
      <c r="Z30">
        <v>0</v>
      </c>
      <c r="AA30" s="27" t="s">
        <v>106</v>
      </c>
      <c r="AB30" s="27">
        <f>SUM(Z30:Z50)</f>
        <v>1</v>
      </c>
      <c r="AC30" s="27"/>
      <c r="AI30" s="33"/>
      <c r="AJ30" s="34"/>
      <c r="AK30" s="82" t="s">
        <v>7</v>
      </c>
      <c r="AL30" s="31"/>
      <c r="AM30" s="32" t="s">
        <v>445</v>
      </c>
      <c r="AN30" s="31"/>
      <c r="AO30" s="24"/>
      <c r="AU30" s="33"/>
      <c r="AW30" s="23" t="s">
        <v>175</v>
      </c>
      <c r="AX30" s="22">
        <v>47</v>
      </c>
      <c r="BC30" s="43"/>
      <c r="BH30" s="34"/>
      <c r="BI30" s="23" t="s">
        <v>504</v>
      </c>
      <c r="BJ30" s="19">
        <v>21</v>
      </c>
      <c r="BK30" s="31"/>
      <c r="BL30" s="31"/>
      <c r="BN30" s="34"/>
      <c r="BT30" s="34"/>
      <c r="BZ30" s="34"/>
      <c r="CA30" s="43"/>
      <c r="CF30" s="36"/>
      <c r="CL30" s="36"/>
      <c r="CM30" s="44"/>
      <c r="CO30" s="31" t="s">
        <v>115</v>
      </c>
      <c r="CP30" s="31">
        <f>MIN(CN29:CN55)</f>
        <v>0</v>
      </c>
      <c r="CR30" s="36"/>
    </row>
    <row r="31" spans="1:96" ht="15" x14ac:dyDescent="0.25">
      <c r="G31" s="25"/>
      <c r="H31" s="25"/>
      <c r="I31" s="27"/>
      <c r="J31" s="27"/>
      <c r="K31" s="27"/>
      <c r="L31" s="29"/>
      <c r="M31" s="27"/>
      <c r="N31" s="27"/>
      <c r="O31" s="27"/>
      <c r="P31" s="27"/>
      <c r="Q31" s="27"/>
      <c r="R31" s="29"/>
      <c r="S31" s="27"/>
      <c r="T31" s="27"/>
      <c r="U31" s="27"/>
      <c r="V31" s="27"/>
      <c r="W31" s="27"/>
      <c r="Y31" s="23" t="s">
        <v>391</v>
      </c>
      <c r="Z31">
        <v>0</v>
      </c>
      <c r="AA31" s="27" t="s">
        <v>115</v>
      </c>
      <c r="AB31" s="27">
        <f>MIN(Z30:Z50)</f>
        <v>0</v>
      </c>
      <c r="AC31" s="27"/>
      <c r="AI31" s="33"/>
      <c r="AJ31" s="34"/>
      <c r="AK31" s="31" t="s">
        <v>102</v>
      </c>
      <c r="AL31" s="31" t="s">
        <v>71</v>
      </c>
      <c r="AM31" s="31" t="s">
        <v>103</v>
      </c>
      <c r="AN31" s="31" t="s">
        <v>104</v>
      </c>
      <c r="AU31" s="33"/>
      <c r="AW31" s="43"/>
      <c r="BC31" s="43"/>
      <c r="BH31" s="34"/>
      <c r="BI31" s="43"/>
      <c r="BK31" s="31"/>
      <c r="BL31" s="31"/>
      <c r="BN31" s="34"/>
      <c r="BT31" s="34"/>
      <c r="BU31" s="34"/>
      <c r="BV31" s="34"/>
      <c r="BW31" s="34"/>
      <c r="BX31" s="34"/>
      <c r="BY31" s="34"/>
      <c r="BZ31" s="34"/>
      <c r="CA31" s="43"/>
      <c r="CF31" s="36"/>
      <c r="CL31" s="36"/>
      <c r="CM31" s="44"/>
      <c r="CO31" s="31" t="s">
        <v>122</v>
      </c>
      <c r="CP31" s="31">
        <f>MAX(CN29:CN55)</f>
        <v>0</v>
      </c>
      <c r="CR31" s="36"/>
    </row>
    <row r="32" spans="1:96" ht="15" x14ac:dyDescent="0.25">
      <c r="G32" s="96"/>
      <c r="H32" s="96"/>
      <c r="I32" s="96"/>
      <c r="J32" s="96"/>
      <c r="K32" s="96"/>
      <c r="L32" s="29"/>
      <c r="M32" s="27"/>
      <c r="N32" s="27"/>
      <c r="O32" s="27"/>
      <c r="P32" s="27"/>
      <c r="Q32" s="27"/>
      <c r="R32" s="29"/>
      <c r="S32" s="27"/>
      <c r="T32" s="27"/>
      <c r="U32" s="27"/>
      <c r="V32" s="27"/>
      <c r="W32" s="27"/>
      <c r="Y32" s="23" t="s">
        <v>392</v>
      </c>
      <c r="Z32">
        <v>0</v>
      </c>
      <c r="AA32" s="27" t="s">
        <v>122</v>
      </c>
      <c r="AB32" s="27">
        <f>MAX(Z30:Z50)</f>
        <v>1</v>
      </c>
      <c r="AC32" s="27"/>
      <c r="AI32" s="33"/>
      <c r="AJ32" s="34"/>
      <c r="AK32" s="23" t="s">
        <v>412</v>
      </c>
      <c r="AL32" s="31">
        <v>0</v>
      </c>
      <c r="AM32" s="31" t="s">
        <v>106</v>
      </c>
      <c r="AN32" s="31">
        <f>SUM(AL32:AL56)</f>
        <v>1</v>
      </c>
      <c r="AU32" s="33"/>
      <c r="BC32" s="43"/>
      <c r="BH32" s="34"/>
      <c r="BI32" s="97"/>
      <c r="BJ32" s="34"/>
      <c r="BK32" s="94"/>
      <c r="BL32" s="94"/>
      <c r="BM32" s="34"/>
      <c r="BN32" s="34"/>
      <c r="BT32" s="34"/>
      <c r="BU32" s="47"/>
      <c r="BV32" s="24"/>
      <c r="BW32" s="24"/>
      <c r="BX32" s="24"/>
      <c r="BY32" s="24"/>
      <c r="BZ32" s="34"/>
      <c r="CF32" s="36"/>
      <c r="CL32" s="36"/>
      <c r="CM32" s="44"/>
      <c r="CO32" s="31" t="s">
        <v>129</v>
      </c>
      <c r="CP32" s="31" t="e">
        <f>VAR(CN29:CN55)</f>
        <v>#DIV/0!</v>
      </c>
      <c r="CR32" s="36"/>
    </row>
    <row r="33" spans="6:96" ht="15" x14ac:dyDescent="0.25">
      <c r="F33" s="34"/>
      <c r="G33" s="34"/>
      <c r="H33" s="34"/>
      <c r="I33" s="34"/>
      <c r="J33" s="34"/>
      <c r="K33" s="34"/>
      <c r="L33" s="90"/>
      <c r="M33" s="27"/>
      <c r="N33" s="27"/>
      <c r="O33" s="27"/>
      <c r="P33" s="27"/>
      <c r="Q33" s="27"/>
      <c r="R33" s="29"/>
      <c r="S33" s="27"/>
      <c r="T33" s="27"/>
      <c r="U33" s="27"/>
      <c r="V33" s="27"/>
      <c r="W33" s="27"/>
      <c r="Y33" s="23" t="s">
        <v>393</v>
      </c>
      <c r="Z33">
        <v>0</v>
      </c>
      <c r="AA33" s="27" t="s">
        <v>129</v>
      </c>
      <c r="AB33" s="27">
        <f>VAR(Z30:Z50)</f>
        <v>5.2631578947368425E-2</v>
      </c>
      <c r="AC33" s="27"/>
      <c r="AI33" s="33"/>
      <c r="AJ33" s="34"/>
      <c r="AK33" s="22" t="s">
        <v>244</v>
      </c>
      <c r="AL33" s="31">
        <v>1</v>
      </c>
      <c r="AM33" s="31" t="s">
        <v>115</v>
      </c>
      <c r="AN33" s="31">
        <f>MIN(AL32:AL56)</f>
        <v>0</v>
      </c>
      <c r="AU33" s="33"/>
      <c r="AW33" s="34"/>
      <c r="AX33" s="34"/>
      <c r="AY33" s="34"/>
      <c r="AZ33" s="34"/>
      <c r="BA33" s="34"/>
      <c r="BC33" s="43"/>
      <c r="BH33" s="34"/>
      <c r="BI33" s="43"/>
      <c r="BJ33" s="19">
        <v>29</v>
      </c>
      <c r="BK33" s="31" t="s">
        <v>103</v>
      </c>
      <c r="BL33" s="31" t="s">
        <v>104</v>
      </c>
      <c r="BN33" s="34"/>
      <c r="BT33" s="34"/>
      <c r="BZ33" s="34"/>
      <c r="CF33" s="36"/>
      <c r="CL33" s="36"/>
      <c r="CO33" s="31" t="s">
        <v>138</v>
      </c>
      <c r="CP33" s="31" t="e">
        <f>AVERAGE(CN29:CN55)</f>
        <v>#DIV/0!</v>
      </c>
      <c r="CR33" s="36"/>
    </row>
    <row r="34" spans="6:96" ht="15" x14ac:dyDescent="0.25">
      <c r="L34" s="29"/>
      <c r="M34" s="27"/>
      <c r="N34" s="27"/>
      <c r="O34" s="27"/>
      <c r="P34" s="27"/>
      <c r="Q34" s="27"/>
      <c r="R34" s="29"/>
      <c r="S34" s="27"/>
      <c r="T34" s="27"/>
      <c r="U34" s="27"/>
      <c r="V34" s="27"/>
      <c r="W34" s="27"/>
      <c r="Y34" s="23" t="s">
        <v>394</v>
      </c>
      <c r="Z34">
        <v>0</v>
      </c>
      <c r="AA34" s="27" t="s">
        <v>138</v>
      </c>
      <c r="AB34" s="27">
        <f>AVERAGE(Z30:Z50)</f>
        <v>5.2631578947368418E-2</v>
      </c>
      <c r="AC34" s="27"/>
      <c r="AI34" s="33"/>
      <c r="AJ34" s="34"/>
      <c r="AK34" s="22" t="s">
        <v>119</v>
      </c>
      <c r="AL34" s="31">
        <v>0</v>
      </c>
      <c r="AM34" s="31" t="s">
        <v>122</v>
      </c>
      <c r="AN34" s="31">
        <f>MAX(AL32:AL56)</f>
        <v>1</v>
      </c>
      <c r="AU34" s="33"/>
      <c r="BC34" s="43"/>
      <c r="BH34" s="34"/>
      <c r="BI34" s="43"/>
      <c r="BJ34" s="19">
        <v>18</v>
      </c>
      <c r="BK34" s="31" t="s">
        <v>106</v>
      </c>
      <c r="BL34" s="31">
        <f>SUM(BJ33:BJ55)</f>
        <v>654</v>
      </c>
      <c r="BN34" s="34"/>
      <c r="BT34" s="34"/>
      <c r="BZ34" s="34"/>
      <c r="CF34" s="36"/>
      <c r="CL34" s="36"/>
      <c r="CO34" s="31" t="s">
        <v>144</v>
      </c>
      <c r="CP34" s="31" t="e">
        <f>STDEV(CN29:CN55)</f>
        <v>#DIV/0!</v>
      </c>
      <c r="CR34" s="36"/>
    </row>
    <row r="35" spans="6:96" ht="15" x14ac:dyDescent="0.25">
      <c r="L35" s="29"/>
      <c r="M35" s="27"/>
      <c r="N35" s="27"/>
      <c r="O35" s="27"/>
      <c r="P35" s="27"/>
      <c r="Q35" s="27"/>
      <c r="R35" s="29"/>
      <c r="S35" s="27"/>
      <c r="T35" s="27"/>
      <c r="U35" s="27"/>
      <c r="V35" s="27"/>
      <c r="W35" s="27"/>
      <c r="Y35" s="23" t="s">
        <v>395</v>
      </c>
      <c r="Z35">
        <v>0</v>
      </c>
      <c r="AA35" s="27" t="s">
        <v>144</v>
      </c>
      <c r="AB35" s="27">
        <f>STDEV(Z30:Z50)</f>
        <v>0.22941573387056177</v>
      </c>
      <c r="AC35" s="27"/>
      <c r="AI35" s="33"/>
      <c r="AJ35" s="34"/>
      <c r="AK35" s="22" t="s">
        <v>413</v>
      </c>
      <c r="AL35" s="31">
        <v>0</v>
      </c>
      <c r="AM35" s="31" t="s">
        <v>129</v>
      </c>
      <c r="AN35" s="31">
        <f>VAR(AL32:AL56)</f>
        <v>0.04</v>
      </c>
      <c r="AU35" s="33"/>
      <c r="AX35" s="19">
        <v>18</v>
      </c>
      <c r="AY35" s="19" t="s">
        <v>103</v>
      </c>
      <c r="AZ35" s="19" t="s">
        <v>104</v>
      </c>
      <c r="BH35" s="34"/>
      <c r="BI35" s="43"/>
      <c r="BJ35" s="19">
        <v>28</v>
      </c>
      <c r="BK35" s="31" t="s">
        <v>115</v>
      </c>
      <c r="BL35" s="31">
        <f>MIN(BJ33:BJ55)</f>
        <v>5</v>
      </c>
      <c r="BN35" s="34"/>
      <c r="BT35" s="34"/>
      <c r="BZ35" s="34"/>
      <c r="CF35" s="36"/>
      <c r="CL35" s="36"/>
      <c r="CR35" s="36"/>
    </row>
    <row r="36" spans="6:96" ht="15" x14ac:dyDescent="0.25">
      <c r="L36" s="29"/>
      <c r="M36" s="27"/>
      <c r="N36" s="27"/>
      <c r="O36" s="27"/>
      <c r="P36" s="27"/>
      <c r="Q36" s="27"/>
      <c r="R36" s="29"/>
      <c r="S36" s="27"/>
      <c r="T36" s="27"/>
      <c r="U36" s="27"/>
      <c r="V36" s="27"/>
      <c r="W36" s="27"/>
      <c r="Y36" s="23" t="s">
        <v>396</v>
      </c>
      <c r="Z36">
        <v>0</v>
      </c>
      <c r="AA36" s="27"/>
      <c r="AB36" s="27"/>
      <c r="AC36" s="27"/>
      <c r="AE36" s="41"/>
      <c r="AF36" s="31"/>
      <c r="AG36" s="31"/>
      <c r="AH36" s="31"/>
      <c r="AI36" s="33"/>
      <c r="AJ36" s="34"/>
      <c r="AK36" s="22" t="s">
        <v>414</v>
      </c>
      <c r="AL36" s="31">
        <v>0</v>
      </c>
      <c r="AM36" s="31" t="s">
        <v>138</v>
      </c>
      <c r="AN36" s="31">
        <f>AVERAGE(AL32:AL56)</f>
        <v>0.04</v>
      </c>
      <c r="AU36" s="33"/>
      <c r="AX36" s="19">
        <v>10</v>
      </c>
      <c r="AY36" s="19" t="s">
        <v>106</v>
      </c>
      <c r="AZ36" s="19">
        <f>SUM(AX36:AX45)</f>
        <v>450</v>
      </c>
      <c r="BH36" s="34"/>
      <c r="BI36" s="43"/>
      <c r="BJ36" s="19">
        <v>73</v>
      </c>
      <c r="BK36" s="31" t="s">
        <v>122</v>
      </c>
      <c r="BL36" s="31">
        <f>MAX(BJ33:BJ55)</f>
        <v>73</v>
      </c>
      <c r="BN36" s="34"/>
      <c r="BT36" s="34"/>
      <c r="BZ36" s="34"/>
      <c r="CF36" s="36"/>
      <c r="CL36" s="36"/>
      <c r="CR36" s="36"/>
    </row>
    <row r="37" spans="6:96" ht="15" x14ac:dyDescent="0.25">
      <c r="G37" s="25"/>
      <c r="H37" s="25"/>
      <c r="I37" s="27"/>
      <c r="J37" s="27"/>
      <c r="K37" s="27"/>
      <c r="L37" s="29"/>
      <c r="M37" s="27"/>
      <c r="N37" s="27"/>
      <c r="O37" s="27"/>
      <c r="P37" s="27"/>
      <c r="Q37" s="27"/>
      <c r="R37" s="29"/>
      <c r="S37" s="27"/>
      <c r="T37" s="27"/>
      <c r="U37" s="27"/>
      <c r="V37" s="27"/>
      <c r="W37" s="27"/>
      <c r="Y37" s="23" t="s">
        <v>397</v>
      </c>
      <c r="Z37">
        <v>0</v>
      </c>
      <c r="AA37" s="27"/>
      <c r="AB37" s="27"/>
      <c r="AC37" s="27"/>
      <c r="AE37" s="41"/>
      <c r="AF37" s="31"/>
      <c r="AG37" s="31"/>
      <c r="AH37" s="31"/>
      <c r="AJ37" s="34"/>
      <c r="AK37" s="22" t="s">
        <v>415</v>
      </c>
      <c r="AL37" s="31">
        <v>0</v>
      </c>
      <c r="AM37" s="31" t="s">
        <v>144</v>
      </c>
      <c r="AN37" s="31">
        <f>STDEV(AL32:AL56)</f>
        <v>0.2</v>
      </c>
      <c r="AU37" s="33"/>
      <c r="AX37" s="19">
        <v>24</v>
      </c>
      <c r="AY37" s="19" t="s">
        <v>115</v>
      </c>
      <c r="AZ37" s="19">
        <f>MIN(AX36:AX45)</f>
        <v>10</v>
      </c>
      <c r="BH37" s="34"/>
      <c r="BI37" s="43"/>
      <c r="BJ37" s="19">
        <v>30</v>
      </c>
      <c r="BK37" s="31" t="s">
        <v>129</v>
      </c>
      <c r="BL37" s="31">
        <f>VAR(BJ33:BJ55)</f>
        <v>316.52964426877475</v>
      </c>
      <c r="BN37" s="34"/>
      <c r="BT37" s="34"/>
      <c r="BZ37" s="34"/>
      <c r="CF37" s="36"/>
      <c r="CL37" s="36"/>
      <c r="CR37" s="36"/>
    </row>
    <row r="38" spans="6:96" ht="15" x14ac:dyDescent="0.25">
      <c r="G38" s="25"/>
      <c r="H38" s="25"/>
      <c r="I38" s="27"/>
      <c r="J38" s="27"/>
      <c r="K38" s="27"/>
      <c r="L38" s="29"/>
      <c r="M38" s="27"/>
      <c r="N38" s="27"/>
      <c r="O38" s="27"/>
      <c r="P38" s="27"/>
      <c r="Q38" s="27"/>
      <c r="R38" s="29"/>
      <c r="S38" s="27"/>
      <c r="T38" s="27"/>
      <c r="U38" s="27"/>
      <c r="V38" s="27"/>
      <c r="W38" s="27"/>
      <c r="Y38" s="23" t="s">
        <v>398</v>
      </c>
      <c r="Z38">
        <v>1</v>
      </c>
      <c r="AA38" s="27"/>
      <c r="AB38" s="27"/>
      <c r="AC38" s="27"/>
      <c r="AE38" s="41"/>
      <c r="AF38" s="31"/>
      <c r="AG38" s="31"/>
      <c r="AH38" s="31"/>
      <c r="AJ38" s="34"/>
      <c r="AK38" s="22" t="s">
        <v>416</v>
      </c>
      <c r="AL38" s="31">
        <v>0</v>
      </c>
      <c r="AM38" s="31"/>
      <c r="AN38" s="31"/>
      <c r="AU38" s="33"/>
      <c r="AX38" s="22">
        <v>72</v>
      </c>
      <c r="AY38" s="19" t="s">
        <v>122</v>
      </c>
      <c r="AZ38" s="19">
        <f>MAX(AX36:AX45)</f>
        <v>72</v>
      </c>
      <c r="BH38" s="34"/>
      <c r="BJ38" s="19">
        <v>58</v>
      </c>
      <c r="BK38" s="19" t="s">
        <v>138</v>
      </c>
      <c r="BL38" s="19">
        <f>AVERAGE(BJ33:BJ55)</f>
        <v>28.434782608695652</v>
      </c>
      <c r="BN38" s="34"/>
      <c r="BT38" s="34"/>
      <c r="BZ38" s="34"/>
      <c r="CF38" s="36"/>
      <c r="CL38" s="36"/>
      <c r="CR38" s="36"/>
    </row>
    <row r="39" spans="6:96" ht="15" x14ac:dyDescent="0.25">
      <c r="G39" s="25"/>
      <c r="H39" s="25"/>
      <c r="I39" s="27"/>
      <c r="J39" s="27"/>
      <c r="K39" s="27"/>
      <c r="L39" s="29"/>
      <c r="M39" s="27"/>
      <c r="N39" s="27"/>
      <c r="O39" s="27"/>
      <c r="P39" s="27"/>
      <c r="Q39" s="27"/>
      <c r="R39" s="29"/>
      <c r="S39" s="27"/>
      <c r="T39" s="27"/>
      <c r="U39" s="27"/>
      <c r="V39" s="27"/>
      <c r="W39" s="27"/>
      <c r="Y39" s="23" t="s">
        <v>399</v>
      </c>
      <c r="Z39">
        <v>0</v>
      </c>
      <c r="AA39" s="27"/>
      <c r="AB39" s="27"/>
      <c r="AC39" s="27"/>
      <c r="AE39" s="41"/>
      <c r="AF39" s="31"/>
      <c r="AG39" s="31"/>
      <c r="AH39" s="31"/>
      <c r="AJ39" s="34"/>
      <c r="AK39" s="22" t="s">
        <v>417</v>
      </c>
      <c r="AL39" s="31">
        <v>0</v>
      </c>
      <c r="AM39" s="31"/>
      <c r="AN39" s="31"/>
      <c r="AU39" s="33"/>
      <c r="AX39" s="22">
        <v>46</v>
      </c>
      <c r="AY39" s="19" t="s">
        <v>129</v>
      </c>
      <c r="AZ39" s="19">
        <f>VAR(AX35:AX47)</f>
        <v>423.16666666666669</v>
      </c>
      <c r="BH39" s="34"/>
      <c r="BI39" s="32"/>
      <c r="BJ39" s="19">
        <v>51</v>
      </c>
      <c r="BK39" s="31" t="s">
        <v>144</v>
      </c>
      <c r="BL39" s="31">
        <f>STDEV(BJ34:BJ55)</f>
        <v>18.209518941657411</v>
      </c>
      <c r="BN39" s="34"/>
      <c r="BT39" s="34"/>
      <c r="BZ39" s="34"/>
      <c r="CF39" s="36"/>
      <c r="CL39" s="36"/>
      <c r="CR39" s="36"/>
    </row>
    <row r="40" spans="6:96" ht="15" x14ac:dyDescent="0.25">
      <c r="G40" s="25"/>
      <c r="H40" s="25"/>
      <c r="I40" s="27"/>
      <c r="J40" s="27"/>
      <c r="K40" s="27"/>
      <c r="L40" s="29"/>
      <c r="M40" s="27"/>
      <c r="N40" s="27"/>
      <c r="O40" s="27"/>
      <c r="P40" s="27"/>
      <c r="Q40" s="27"/>
      <c r="R40" s="29"/>
      <c r="S40" s="27"/>
      <c r="T40" s="27"/>
      <c r="U40" s="27"/>
      <c r="V40" s="27"/>
      <c r="W40" s="27"/>
      <c r="Y40" s="23" t="s">
        <v>214</v>
      </c>
      <c r="Z40">
        <v>0</v>
      </c>
      <c r="AA40" s="27"/>
      <c r="AB40" s="27"/>
      <c r="AC40" s="27"/>
      <c r="AE40" s="41"/>
      <c r="AF40" s="31"/>
      <c r="AG40" s="31"/>
      <c r="AH40" s="31"/>
      <c r="AJ40" s="34"/>
      <c r="AK40" s="22" t="s">
        <v>418</v>
      </c>
      <c r="AL40" s="31">
        <v>0</v>
      </c>
      <c r="AM40" s="31"/>
      <c r="AN40" s="31"/>
      <c r="AU40" s="33"/>
      <c r="AX40" s="22">
        <v>52</v>
      </c>
      <c r="AY40" s="19" t="s">
        <v>138</v>
      </c>
      <c r="AZ40" s="19">
        <f>AVERAGE(AX35:AX47)</f>
        <v>45</v>
      </c>
      <c r="BH40" s="34"/>
      <c r="BI40" s="43"/>
      <c r="BJ40" s="19">
        <v>49</v>
      </c>
      <c r="BK40" s="31"/>
      <c r="BL40" s="31"/>
      <c r="BN40" s="34"/>
      <c r="BT40" s="34"/>
      <c r="BZ40" s="34"/>
      <c r="CF40" s="36"/>
      <c r="CL40" s="36"/>
      <c r="CR40" s="36"/>
    </row>
    <row r="41" spans="6:96" ht="15" x14ac:dyDescent="0.25">
      <c r="G41" s="25"/>
      <c r="H41" s="25"/>
      <c r="I41" s="27"/>
      <c r="J41" s="27"/>
      <c r="K41" s="27"/>
      <c r="L41" s="29"/>
      <c r="M41" s="27"/>
      <c r="N41" s="27"/>
      <c r="O41" s="27"/>
      <c r="P41" s="27"/>
      <c r="Q41" s="27"/>
      <c r="R41" s="29"/>
      <c r="S41" s="27"/>
      <c r="T41" s="27"/>
      <c r="U41" s="27"/>
      <c r="V41" s="27"/>
      <c r="W41" s="27"/>
      <c r="Y41" s="23" t="s">
        <v>400</v>
      </c>
      <c r="Z41">
        <v>0</v>
      </c>
      <c r="AA41" s="27"/>
      <c r="AB41" s="27"/>
      <c r="AC41" s="27"/>
      <c r="AE41" s="41"/>
      <c r="AF41" s="31"/>
      <c r="AG41" s="31"/>
      <c r="AH41" s="31"/>
      <c r="AJ41" s="34"/>
      <c r="AK41" s="22" t="s">
        <v>419</v>
      </c>
      <c r="AL41" s="31">
        <v>0</v>
      </c>
      <c r="AM41" s="31"/>
      <c r="AN41" s="31"/>
      <c r="AU41" s="24"/>
      <c r="AX41" s="22">
        <v>52</v>
      </c>
      <c r="AY41" s="19" t="s">
        <v>144</v>
      </c>
      <c r="AZ41" s="19">
        <f>STDEV(AX35:AX47)</f>
        <v>20.571015207487129</v>
      </c>
      <c r="BH41" s="34"/>
      <c r="BI41" s="43"/>
      <c r="BJ41" s="19">
        <v>32</v>
      </c>
      <c r="BK41" s="31"/>
      <c r="BL41" s="31"/>
      <c r="BN41" s="34"/>
      <c r="BT41" s="34"/>
      <c r="BZ41" s="34"/>
      <c r="CF41" s="36"/>
      <c r="CL41" s="36"/>
      <c r="CR41" s="36"/>
    </row>
    <row r="42" spans="6:96" ht="15" x14ac:dyDescent="0.25">
      <c r="G42" s="25"/>
      <c r="H42" s="25"/>
      <c r="I42" s="27"/>
      <c r="J42" s="27"/>
      <c r="K42" s="27"/>
      <c r="L42" s="29"/>
      <c r="M42" s="27"/>
      <c r="N42" s="27"/>
      <c r="O42" s="27"/>
      <c r="P42" s="27"/>
      <c r="Q42" s="27"/>
      <c r="R42" s="29"/>
      <c r="S42" s="27"/>
      <c r="T42" s="27"/>
      <c r="U42" s="27"/>
      <c r="V42" s="27"/>
      <c r="W42" s="27"/>
      <c r="Y42" s="23" t="s">
        <v>401</v>
      </c>
      <c r="Z42">
        <v>0</v>
      </c>
      <c r="AA42" s="27"/>
      <c r="AB42" s="27"/>
      <c r="AC42" s="27"/>
      <c r="AE42" s="31"/>
      <c r="AF42" s="31"/>
      <c r="AG42" s="31"/>
      <c r="AH42" s="31"/>
      <c r="AJ42" s="34"/>
      <c r="AK42" s="22" t="s">
        <v>420</v>
      </c>
      <c r="AL42" s="31">
        <v>0</v>
      </c>
      <c r="AM42" s="31"/>
      <c r="AN42" s="31"/>
      <c r="AU42" s="24"/>
      <c r="AX42" s="22">
        <v>40</v>
      </c>
      <c r="BH42" s="34"/>
      <c r="BI42" s="43"/>
      <c r="BJ42" s="19">
        <v>58</v>
      </c>
      <c r="BK42" s="31"/>
      <c r="BL42" s="31"/>
      <c r="BN42" s="34"/>
      <c r="BT42" s="34"/>
      <c r="BZ42" s="34"/>
      <c r="CF42" s="36"/>
      <c r="CL42" s="36"/>
      <c r="CR42" s="36"/>
    </row>
    <row r="43" spans="6:96" ht="15" x14ac:dyDescent="0.25">
      <c r="G43" s="25"/>
      <c r="H43" s="25"/>
      <c r="I43" s="27"/>
      <c r="J43" s="27"/>
      <c r="K43" s="27"/>
      <c r="L43" s="29"/>
      <c r="M43" s="27"/>
      <c r="N43" s="27"/>
      <c r="O43" s="27"/>
      <c r="P43" s="27"/>
      <c r="Q43" s="27"/>
      <c r="R43" s="29"/>
      <c r="S43" s="27"/>
      <c r="T43" s="27"/>
      <c r="U43" s="27"/>
      <c r="V43" s="27"/>
      <c r="W43" s="27"/>
      <c r="Y43" s="23" t="s">
        <v>402</v>
      </c>
      <c r="Z43">
        <v>0</v>
      </c>
      <c r="AA43" s="27"/>
      <c r="AB43" s="27"/>
      <c r="AC43" s="27"/>
      <c r="AF43" s="33"/>
      <c r="AI43" s="33"/>
      <c r="AJ43" s="34"/>
      <c r="AK43" s="22" t="s">
        <v>421</v>
      </c>
      <c r="AL43" s="31">
        <v>0</v>
      </c>
      <c r="AM43" s="31"/>
      <c r="AN43" s="31"/>
      <c r="AU43" s="24"/>
      <c r="AX43" s="22">
        <v>60</v>
      </c>
      <c r="BH43" s="34"/>
      <c r="BI43" s="43"/>
      <c r="BJ43" s="19">
        <v>17</v>
      </c>
      <c r="BK43" s="31"/>
      <c r="BL43" s="31"/>
      <c r="BN43" s="34"/>
      <c r="BT43" s="34"/>
      <c r="BZ43" s="34"/>
      <c r="CF43" s="36"/>
      <c r="CL43" s="36"/>
      <c r="CR43" s="36"/>
    </row>
    <row r="44" spans="6:96" ht="15" x14ac:dyDescent="0.25">
      <c r="G44" s="25"/>
      <c r="H44" s="25"/>
      <c r="I44" s="27"/>
      <c r="J44" s="27"/>
      <c r="K44" s="27"/>
      <c r="L44" s="29"/>
      <c r="M44" s="27"/>
      <c r="N44" s="27"/>
      <c r="O44" s="27"/>
      <c r="P44" s="27"/>
      <c r="Q44" s="27"/>
      <c r="R44" s="29"/>
      <c r="S44" s="27"/>
      <c r="T44" s="27"/>
      <c r="U44" s="27"/>
      <c r="V44" s="27"/>
      <c r="W44" s="27"/>
      <c r="Y44" s="23" t="s">
        <v>403</v>
      </c>
      <c r="Z44">
        <v>0</v>
      </c>
      <c r="AA44" s="27"/>
      <c r="AB44" s="27"/>
      <c r="AC44" s="27"/>
      <c r="AE44" s="33"/>
      <c r="AF44" s="33"/>
      <c r="AI44" s="33"/>
      <c r="AJ44" s="34"/>
      <c r="AK44" s="22" t="s">
        <v>422</v>
      </c>
      <c r="AL44" s="33">
        <v>0</v>
      </c>
      <c r="AU44" s="24"/>
      <c r="AX44" s="22">
        <v>69</v>
      </c>
      <c r="BH44" s="34"/>
      <c r="BI44" s="43"/>
      <c r="BJ44" s="19">
        <v>14</v>
      </c>
      <c r="BK44" s="31"/>
      <c r="BL44" s="31"/>
      <c r="BN44" s="34"/>
      <c r="BT44" s="34"/>
      <c r="BZ44" s="34"/>
      <c r="CF44" s="36"/>
      <c r="CL44" s="36"/>
      <c r="CR44" s="36"/>
    </row>
    <row r="45" spans="6:96" ht="15" x14ac:dyDescent="0.25">
      <c r="G45" s="25"/>
      <c r="H45" s="25"/>
      <c r="I45" s="27"/>
      <c r="J45" s="27"/>
      <c r="K45" s="27"/>
      <c r="L45" s="29"/>
      <c r="M45" s="27"/>
      <c r="N45" s="27"/>
      <c r="O45" s="27"/>
      <c r="P45" s="27"/>
      <c r="Q45" s="27"/>
      <c r="R45" s="29"/>
      <c r="S45" s="27"/>
      <c r="T45" s="27"/>
      <c r="U45" s="27"/>
      <c r="V45" s="27"/>
      <c r="W45" s="27"/>
      <c r="Y45" s="23" t="s">
        <v>404</v>
      </c>
      <c r="Z45">
        <v>0</v>
      </c>
      <c r="AA45" s="27"/>
      <c r="AB45" s="27"/>
      <c r="AC45" s="27"/>
      <c r="AE45" s="31"/>
      <c r="AF45" s="31"/>
      <c r="AG45" s="31"/>
      <c r="AH45" s="31"/>
      <c r="AI45" s="33"/>
      <c r="AJ45" s="34"/>
      <c r="AK45" s="23" t="s">
        <v>423</v>
      </c>
      <c r="AL45" s="33">
        <v>0</v>
      </c>
      <c r="AU45" s="24"/>
      <c r="AX45" s="22">
        <v>25</v>
      </c>
      <c r="BH45" s="34"/>
      <c r="BI45" s="43"/>
      <c r="BJ45" s="19">
        <v>21</v>
      </c>
      <c r="BK45" s="31"/>
      <c r="BL45" s="31"/>
      <c r="BN45" s="34"/>
      <c r="BT45" s="34"/>
      <c r="BZ45" s="34"/>
      <c r="CF45" s="36"/>
      <c r="CL45" s="36"/>
      <c r="CR45" s="36"/>
    </row>
    <row r="46" spans="6:96" ht="15" x14ac:dyDescent="0.25">
      <c r="G46" s="25"/>
      <c r="H46" s="25"/>
      <c r="I46" s="27"/>
      <c r="J46" s="27"/>
      <c r="K46" s="27"/>
      <c r="L46" s="29"/>
      <c r="M46" s="27"/>
      <c r="N46" s="27"/>
      <c r="O46" s="27"/>
      <c r="P46" s="27"/>
      <c r="Q46" s="27"/>
      <c r="R46" s="29"/>
      <c r="S46" s="27"/>
      <c r="T46" s="27"/>
      <c r="U46" s="27"/>
      <c r="V46" s="27"/>
      <c r="W46" s="27"/>
      <c r="Y46" s="23" t="s">
        <v>405</v>
      </c>
      <c r="Z46">
        <v>0</v>
      </c>
      <c r="AA46" s="27"/>
      <c r="AB46" s="27"/>
      <c r="AC46" s="27"/>
      <c r="AE46" s="31"/>
      <c r="AF46" s="31"/>
      <c r="AG46" s="31"/>
      <c r="AH46" s="31"/>
      <c r="AI46" s="33"/>
      <c r="AJ46" s="34"/>
      <c r="AK46" s="22" t="s">
        <v>424</v>
      </c>
      <c r="AL46" s="33">
        <v>0</v>
      </c>
      <c r="AU46" s="24"/>
      <c r="AX46" s="22">
        <v>70</v>
      </c>
      <c r="BH46" s="34"/>
      <c r="BI46" s="43"/>
      <c r="BJ46" s="19">
        <v>35</v>
      </c>
      <c r="BN46" s="34"/>
      <c r="BT46" s="34"/>
      <c r="BZ46" s="34"/>
      <c r="CF46" s="36"/>
      <c r="CL46" s="36"/>
      <c r="CR46" s="36"/>
    </row>
    <row r="47" spans="6:96" ht="15" x14ac:dyDescent="0.25">
      <c r="S47" s="27"/>
      <c r="T47" s="27"/>
      <c r="U47" s="27"/>
      <c r="V47" s="27"/>
      <c r="W47" s="27"/>
      <c r="Y47" s="23" t="s">
        <v>406</v>
      </c>
      <c r="Z47">
        <v>0</v>
      </c>
      <c r="AA47" s="27"/>
      <c r="AB47" s="27"/>
      <c r="AC47" s="27"/>
      <c r="AE47" s="41"/>
      <c r="AF47" s="31"/>
      <c r="AG47" s="31"/>
      <c r="AH47" s="31"/>
      <c r="AI47" s="33"/>
      <c r="AJ47" s="34"/>
      <c r="AK47" s="23" t="s">
        <v>425</v>
      </c>
      <c r="AL47" s="33">
        <v>0</v>
      </c>
      <c r="AU47" s="24"/>
      <c r="AX47" s="22">
        <v>47</v>
      </c>
      <c r="BH47" s="34"/>
      <c r="BI47" s="43"/>
      <c r="BJ47" s="19">
        <v>5</v>
      </c>
      <c r="BN47" s="34"/>
      <c r="BT47" s="34"/>
      <c r="BZ47" s="34"/>
      <c r="CF47" s="36"/>
      <c r="CL47" s="36"/>
      <c r="CR47" s="36"/>
    </row>
    <row r="48" spans="6:96" ht="15" x14ac:dyDescent="0.25">
      <c r="S48" s="27"/>
      <c r="T48" s="27"/>
      <c r="U48" s="27"/>
      <c r="V48" s="27"/>
      <c r="W48" s="27"/>
      <c r="Y48" s="23" t="s">
        <v>407</v>
      </c>
      <c r="Z48">
        <v>0</v>
      </c>
      <c r="AA48" s="27"/>
      <c r="AB48" s="27"/>
      <c r="AC48" s="27"/>
      <c r="AE48" s="41"/>
      <c r="AF48" s="31"/>
      <c r="AG48" s="31"/>
      <c r="AH48" s="31"/>
      <c r="AI48" s="33"/>
      <c r="AJ48" s="34"/>
      <c r="AK48" s="23" t="s">
        <v>426</v>
      </c>
      <c r="AL48" s="33">
        <v>0</v>
      </c>
      <c r="AU48" s="24"/>
      <c r="BH48" s="34"/>
      <c r="BI48" s="43"/>
      <c r="BJ48" s="19">
        <v>19</v>
      </c>
      <c r="BN48" s="34"/>
      <c r="BT48" s="34"/>
      <c r="BZ48" s="34"/>
      <c r="CF48" s="36"/>
      <c r="CL48" s="36"/>
      <c r="CR48" s="36"/>
    </row>
    <row r="49" spans="19:96" x14ac:dyDescent="0.2">
      <c r="S49" s="27"/>
      <c r="T49" s="27"/>
      <c r="U49" s="27"/>
      <c r="V49" s="27"/>
      <c r="W49" s="27"/>
      <c r="Y49" s="27"/>
      <c r="Z49" s="27"/>
      <c r="AA49" s="27"/>
      <c r="AB49" s="27"/>
      <c r="AC49" s="27"/>
      <c r="AE49" s="41"/>
      <c r="AF49" s="31"/>
      <c r="AG49" s="31"/>
      <c r="AH49" s="31"/>
      <c r="AI49" s="33"/>
      <c r="AJ49" s="34"/>
      <c r="AK49" s="23" t="s">
        <v>427</v>
      </c>
      <c r="AL49" s="33">
        <v>0</v>
      </c>
      <c r="AU49" s="24"/>
      <c r="AX49" s="35"/>
      <c r="BH49" s="34"/>
      <c r="BI49" s="43"/>
      <c r="BJ49" s="19">
        <v>12</v>
      </c>
      <c r="BN49" s="34"/>
      <c r="BT49" s="34"/>
      <c r="BZ49" s="34"/>
      <c r="CF49" s="36"/>
      <c r="CL49" s="36"/>
      <c r="CR49" s="36"/>
    </row>
    <row r="50" spans="19:96" x14ac:dyDescent="0.2">
      <c r="Y50" s="27"/>
      <c r="Z50" s="27"/>
      <c r="AA50" s="27"/>
      <c r="AB50" s="27"/>
      <c r="AC50" s="27"/>
      <c r="AE50" s="41"/>
      <c r="AF50" s="31"/>
      <c r="AG50" s="31"/>
      <c r="AH50" s="31"/>
      <c r="AI50" s="33"/>
      <c r="AJ50" s="34"/>
      <c r="AK50" s="23" t="s">
        <v>428</v>
      </c>
      <c r="AL50" s="33">
        <v>0</v>
      </c>
      <c r="AU50" s="24"/>
      <c r="BH50" s="34"/>
      <c r="BI50" s="43"/>
      <c r="BJ50" s="19">
        <v>9</v>
      </c>
      <c r="BN50" s="34"/>
      <c r="BT50" s="34"/>
      <c r="BZ50" s="34"/>
      <c r="CF50" s="36"/>
      <c r="CL50" s="36"/>
      <c r="CR50" s="36"/>
    </row>
    <row r="51" spans="19:96" ht="13.5" x14ac:dyDescent="0.25">
      <c r="Y51" s="53" t="s">
        <v>25</v>
      </c>
      <c r="Z51" s="27"/>
      <c r="AA51" s="27" t="s">
        <v>103</v>
      </c>
      <c r="AB51" s="27" t="s">
        <v>104</v>
      </c>
      <c r="AC51" s="27"/>
      <c r="AE51" s="41"/>
      <c r="AF51" s="31"/>
      <c r="AG51" s="31"/>
      <c r="AH51" s="31"/>
      <c r="AI51" s="33"/>
      <c r="AJ51" s="34"/>
      <c r="AK51" s="23" t="s">
        <v>429</v>
      </c>
      <c r="AL51" s="33">
        <v>0</v>
      </c>
      <c r="AU51" s="24"/>
      <c r="BH51" s="34"/>
      <c r="BI51" s="43"/>
      <c r="BJ51" s="19">
        <v>16</v>
      </c>
      <c r="BN51" s="34"/>
      <c r="BT51" s="34"/>
      <c r="BZ51" s="34"/>
      <c r="CF51" s="36"/>
      <c r="CL51" s="36"/>
      <c r="CR51" s="36"/>
    </row>
    <row r="52" spans="19:96" x14ac:dyDescent="0.2">
      <c r="Y52" s="27" t="s">
        <v>102</v>
      </c>
      <c r="Z52" s="27" t="s">
        <v>71</v>
      </c>
      <c r="AA52" s="27" t="s">
        <v>106</v>
      </c>
      <c r="AB52" s="27">
        <f>SUM(Z53:Z71)</f>
        <v>1</v>
      </c>
      <c r="AC52" s="27"/>
      <c r="AE52" s="41"/>
      <c r="AF52" s="31"/>
      <c r="AG52" s="31"/>
      <c r="AH52" s="31"/>
      <c r="AI52" s="33"/>
      <c r="AJ52" s="34"/>
      <c r="AK52" s="23" t="s">
        <v>430</v>
      </c>
      <c r="AL52" s="33">
        <v>0</v>
      </c>
      <c r="AU52" s="24"/>
      <c r="BH52" s="34"/>
      <c r="BI52" s="43"/>
      <c r="BJ52" s="19">
        <v>18</v>
      </c>
      <c r="BN52" s="34"/>
      <c r="BT52" s="34"/>
      <c r="BZ52" s="34"/>
      <c r="CF52" s="36"/>
      <c r="CL52" s="36"/>
      <c r="CR52" s="36"/>
    </row>
    <row r="53" spans="19:96" ht="15" x14ac:dyDescent="0.25">
      <c r="Y53" s="23" t="s">
        <v>390</v>
      </c>
      <c r="Z53">
        <v>0</v>
      </c>
      <c r="AA53" s="27" t="s">
        <v>115</v>
      </c>
      <c r="AB53" s="27">
        <f>MIN(Z53:Z82)</f>
        <v>0</v>
      </c>
      <c r="AC53" s="27"/>
      <c r="AE53" s="41"/>
      <c r="AF53" s="31"/>
      <c r="AG53" s="31"/>
      <c r="AH53" s="31"/>
      <c r="AI53" s="33"/>
      <c r="AJ53" s="34"/>
      <c r="AK53" s="23" t="s">
        <v>431</v>
      </c>
      <c r="AL53" s="33">
        <v>0</v>
      </c>
      <c r="AU53" s="24"/>
      <c r="BH53" s="34"/>
      <c r="BI53" s="43"/>
      <c r="BJ53" s="19">
        <v>19</v>
      </c>
      <c r="BN53" s="34"/>
      <c r="BT53" s="34"/>
      <c r="BZ53" s="34"/>
      <c r="CF53" s="36"/>
      <c r="CL53" s="36"/>
      <c r="CR53" s="36"/>
    </row>
    <row r="54" spans="19:96" ht="15" x14ac:dyDescent="0.25">
      <c r="Y54" s="23" t="s">
        <v>391</v>
      </c>
      <c r="Z54">
        <v>0</v>
      </c>
      <c r="AA54" s="27" t="s">
        <v>122</v>
      </c>
      <c r="AB54" s="27">
        <f>MAX(Z53:Z82)</f>
        <v>1</v>
      </c>
      <c r="AC54" s="27"/>
      <c r="AE54" s="41"/>
      <c r="AF54" s="31"/>
      <c r="AG54" s="31"/>
      <c r="AH54" s="31"/>
      <c r="AI54" s="33"/>
      <c r="AJ54" s="34"/>
      <c r="AK54" s="23" t="s">
        <v>432</v>
      </c>
      <c r="AL54" s="33">
        <v>0</v>
      </c>
      <c r="AU54" s="24"/>
      <c r="BH54" s="34"/>
      <c r="BI54" s="43"/>
      <c r="BJ54" s="19">
        <v>22</v>
      </c>
      <c r="BN54" s="34"/>
      <c r="BT54" s="34"/>
      <c r="BZ54" s="34"/>
      <c r="CF54" s="36"/>
      <c r="CL54" s="36"/>
      <c r="CR54" s="36"/>
    </row>
    <row r="55" spans="19:96" ht="15" x14ac:dyDescent="0.25">
      <c r="Y55" s="23" t="s">
        <v>392</v>
      </c>
      <c r="Z55">
        <v>0</v>
      </c>
      <c r="AA55" s="27" t="s">
        <v>129</v>
      </c>
      <c r="AB55" s="27">
        <f>VAR(Z53:Z82)</f>
        <v>5.2631578947368425E-2</v>
      </c>
      <c r="AC55" s="27"/>
      <c r="AE55" s="41"/>
      <c r="AF55" s="31"/>
      <c r="AG55" s="31"/>
      <c r="AH55" s="31"/>
      <c r="AJ55" s="34"/>
      <c r="AK55" s="23" t="s">
        <v>433</v>
      </c>
      <c r="AL55" s="33">
        <v>0</v>
      </c>
      <c r="BH55" s="34"/>
      <c r="BI55" s="43"/>
      <c r="BJ55" s="19">
        <v>21</v>
      </c>
      <c r="BN55" s="34"/>
      <c r="BT55" s="34"/>
      <c r="BZ55" s="34"/>
      <c r="CF55" s="36"/>
      <c r="CL55" s="36"/>
      <c r="CR55" s="36"/>
    </row>
    <row r="56" spans="19:96" ht="15" x14ac:dyDescent="0.25">
      <c r="Y56" s="23" t="s">
        <v>393</v>
      </c>
      <c r="Z56">
        <v>0</v>
      </c>
      <c r="AA56" s="27" t="s">
        <v>138</v>
      </c>
      <c r="AB56" s="27">
        <f>AVERAGE(Z53:Z82)</f>
        <v>5.2631578947368418E-2</v>
      </c>
      <c r="AC56" s="27"/>
      <c r="AE56" s="41"/>
      <c r="AF56" s="31"/>
      <c r="AG56" s="31"/>
      <c r="AH56" s="31"/>
      <c r="AJ56" s="34"/>
      <c r="AK56" s="23" t="s">
        <v>434</v>
      </c>
      <c r="AL56" s="33">
        <v>0</v>
      </c>
      <c r="BH56" s="34"/>
      <c r="BI56" s="43"/>
      <c r="BN56" s="34"/>
      <c r="BT56" s="34"/>
      <c r="BZ56" s="34"/>
      <c r="CF56" s="36"/>
      <c r="CL56" s="36"/>
      <c r="CR56" s="36"/>
    </row>
    <row r="57" spans="19:96" ht="15" x14ac:dyDescent="0.25">
      <c r="Y57" s="23" t="s">
        <v>394</v>
      </c>
      <c r="Z57">
        <v>0</v>
      </c>
      <c r="AA57" s="27" t="s">
        <v>144</v>
      </c>
      <c r="AB57" s="27">
        <f>STDEV(Z53:Z82)</f>
        <v>0.22941573387056177</v>
      </c>
      <c r="AC57" s="27"/>
      <c r="AE57" s="41"/>
      <c r="AF57" s="31"/>
      <c r="AG57" s="31"/>
      <c r="AH57" s="31"/>
      <c r="AJ57" s="34"/>
      <c r="AK57" s="82" t="s">
        <v>25</v>
      </c>
      <c r="AL57" s="31"/>
      <c r="AM57" s="31"/>
      <c r="AN57" s="31"/>
      <c r="BH57" s="34"/>
      <c r="BI57" s="43"/>
      <c r="BN57" s="34"/>
      <c r="BT57" s="34"/>
      <c r="BZ57" s="34"/>
      <c r="CF57" s="36"/>
      <c r="CL57" s="36"/>
      <c r="CR57" s="36"/>
    </row>
    <row r="58" spans="19:96" ht="15" x14ac:dyDescent="0.25">
      <c r="Y58" s="23" t="s">
        <v>395</v>
      </c>
      <c r="Z58">
        <v>0</v>
      </c>
      <c r="AA58" s="27"/>
      <c r="AB58" s="27"/>
      <c r="AC58" s="27"/>
      <c r="AJ58" s="34"/>
      <c r="AK58" s="31" t="s">
        <v>102</v>
      </c>
      <c r="AL58" s="31" t="s">
        <v>71</v>
      </c>
      <c r="AM58" s="31" t="s">
        <v>103</v>
      </c>
      <c r="AN58" s="31" t="s">
        <v>104</v>
      </c>
      <c r="BH58" s="34"/>
      <c r="BI58" s="43"/>
      <c r="BN58" s="34"/>
      <c r="BT58" s="34"/>
      <c r="BZ58" s="34"/>
      <c r="CF58" s="36"/>
      <c r="CL58" s="36"/>
      <c r="CR58" s="36"/>
    </row>
    <row r="59" spans="19:96" ht="15" x14ac:dyDescent="0.25">
      <c r="Y59" s="23" t="s">
        <v>396</v>
      </c>
      <c r="Z59">
        <v>0</v>
      </c>
      <c r="AA59" s="27"/>
      <c r="AB59" s="27"/>
      <c r="AC59" s="27"/>
      <c r="AJ59" s="34"/>
      <c r="AK59" s="23" t="s">
        <v>412</v>
      </c>
      <c r="AL59" s="22">
        <v>0</v>
      </c>
      <c r="AM59" s="31" t="s">
        <v>106</v>
      </c>
      <c r="AN59" s="31">
        <f>SUM(AL59:AL83)</f>
        <v>3</v>
      </c>
      <c r="AQ59" s="48"/>
      <c r="AR59" s="31"/>
      <c r="AS59" s="31"/>
      <c r="AT59" s="31"/>
      <c r="BH59" s="34"/>
      <c r="BI59" s="43"/>
      <c r="BN59" s="34"/>
      <c r="BT59" s="34"/>
      <c r="BZ59" s="34"/>
      <c r="CF59" s="36"/>
      <c r="CL59" s="36"/>
      <c r="CR59" s="36"/>
    </row>
    <row r="60" spans="19:96" ht="15" x14ac:dyDescent="0.25">
      <c r="Y60" s="23" t="s">
        <v>397</v>
      </c>
      <c r="Z60">
        <v>0</v>
      </c>
      <c r="AA60" s="27"/>
      <c r="AB60" s="27"/>
      <c r="AC60" s="27"/>
      <c r="AJ60" s="34"/>
      <c r="AK60" s="22" t="s">
        <v>244</v>
      </c>
      <c r="AL60" s="22">
        <v>0</v>
      </c>
      <c r="AM60" s="31" t="s">
        <v>115</v>
      </c>
      <c r="AN60" s="31">
        <f>MIN(AL59:AL83)</f>
        <v>0</v>
      </c>
      <c r="AQ60" s="49"/>
      <c r="AR60" s="33"/>
      <c r="AS60" s="33"/>
      <c r="AT60" s="33"/>
      <c r="AU60" s="24"/>
      <c r="BH60" s="34"/>
      <c r="BI60" s="43"/>
      <c r="BN60" s="34"/>
      <c r="BT60" s="34"/>
      <c r="BZ60" s="34"/>
      <c r="CF60" s="36"/>
      <c r="CL60" s="36"/>
      <c r="CR60" s="36"/>
    </row>
    <row r="61" spans="19:96" ht="15" x14ac:dyDescent="0.25">
      <c r="Y61" s="23" t="s">
        <v>398</v>
      </c>
      <c r="Z61">
        <v>0</v>
      </c>
      <c r="AA61" s="27"/>
      <c r="AB61" s="27"/>
      <c r="AC61" s="27"/>
      <c r="AJ61" s="34"/>
      <c r="AK61" s="22" t="s">
        <v>119</v>
      </c>
      <c r="AL61" s="22">
        <v>0</v>
      </c>
      <c r="AM61" s="31" t="s">
        <v>122</v>
      </c>
      <c r="AN61" s="31">
        <f>MAX(AL59:AL83)</f>
        <v>1</v>
      </c>
      <c r="AQ61" s="33"/>
      <c r="AR61" s="24"/>
      <c r="AS61" s="24"/>
      <c r="AT61" s="24"/>
      <c r="AU61" s="24"/>
      <c r="BH61" s="34"/>
      <c r="BI61" s="43"/>
      <c r="BN61" s="34"/>
      <c r="BT61" s="34"/>
      <c r="BZ61" s="34"/>
      <c r="CF61" s="36"/>
      <c r="CL61" s="36"/>
      <c r="CR61" s="36"/>
    </row>
    <row r="62" spans="19:96" ht="15" x14ac:dyDescent="0.25">
      <c r="Y62" s="23" t="s">
        <v>399</v>
      </c>
      <c r="Z62">
        <v>0</v>
      </c>
      <c r="AA62" s="27"/>
      <c r="AB62" s="27"/>
      <c r="AC62" s="27"/>
      <c r="AJ62" s="34"/>
      <c r="AK62" s="22" t="s">
        <v>413</v>
      </c>
      <c r="AL62" s="22">
        <v>0</v>
      </c>
      <c r="AM62" s="31" t="s">
        <v>129</v>
      </c>
      <c r="AN62" s="31">
        <f>VAR(AL59:AL83)</f>
        <v>0.11</v>
      </c>
      <c r="AQ62" s="31"/>
      <c r="AR62" s="31"/>
      <c r="AS62" s="31"/>
      <c r="AT62" s="31"/>
      <c r="BH62" s="34"/>
      <c r="BI62" s="43"/>
      <c r="BN62" s="34"/>
      <c r="BT62" s="34"/>
      <c r="BZ62" s="34"/>
      <c r="CF62" s="36"/>
      <c r="CL62" s="36"/>
      <c r="CR62" s="36"/>
    </row>
    <row r="63" spans="19:96" ht="15" x14ac:dyDescent="0.25">
      <c r="Y63" s="23" t="s">
        <v>214</v>
      </c>
      <c r="Z63">
        <v>0</v>
      </c>
      <c r="AA63" s="27"/>
      <c r="AB63" s="27"/>
      <c r="AC63" s="27"/>
      <c r="AI63" s="33"/>
      <c r="AJ63" s="34"/>
      <c r="AK63" s="22" t="s">
        <v>414</v>
      </c>
      <c r="AL63" s="22">
        <v>0</v>
      </c>
      <c r="AM63" s="31" t="s">
        <v>138</v>
      </c>
      <c r="AN63" s="31">
        <f>AVERAGE(AL59:AL83)</f>
        <v>0.12</v>
      </c>
      <c r="AQ63" s="43"/>
      <c r="AR63" s="31"/>
      <c r="AS63" s="31"/>
      <c r="AT63" s="31"/>
      <c r="BH63" s="34"/>
      <c r="BI63" s="43"/>
      <c r="BN63" s="34"/>
      <c r="BT63" s="34"/>
      <c r="BZ63" s="34"/>
      <c r="CF63" s="36"/>
      <c r="CL63" s="36"/>
      <c r="CR63" s="36"/>
    </row>
    <row r="64" spans="19:96" s="28" customFormat="1" ht="15" x14ac:dyDescent="0.25">
      <c r="Y64" s="23" t="s">
        <v>400</v>
      </c>
      <c r="Z64">
        <v>0</v>
      </c>
      <c r="AA64" s="27"/>
      <c r="AB64" s="27"/>
      <c r="AC64" s="27"/>
      <c r="AD64" s="34"/>
      <c r="AE64" s="34"/>
      <c r="AF64" s="34"/>
      <c r="AG64" s="34"/>
      <c r="AH64" s="34"/>
      <c r="AI64" s="94"/>
      <c r="AJ64" s="34"/>
      <c r="AK64" s="22" t="s">
        <v>415</v>
      </c>
      <c r="AL64" s="22">
        <v>0</v>
      </c>
      <c r="AM64" s="31" t="s">
        <v>144</v>
      </c>
      <c r="AN64" s="31">
        <f>STDEV(AL59:AL83)</f>
        <v>0.33166247903553997</v>
      </c>
      <c r="AO64" s="19"/>
      <c r="AS64" s="50"/>
      <c r="AT64" s="50"/>
      <c r="AU64" s="50"/>
      <c r="AW64" s="51"/>
    </row>
    <row r="65" spans="1:96" s="28" customFormat="1" ht="15" x14ac:dyDescent="0.25">
      <c r="Y65" s="23" t="s">
        <v>401</v>
      </c>
      <c r="Z65">
        <v>0</v>
      </c>
      <c r="AA65" s="27"/>
      <c r="AB65" s="27"/>
      <c r="AC65" s="27"/>
      <c r="AD65" s="34"/>
      <c r="AE65" s="34"/>
      <c r="AF65" s="34"/>
      <c r="AG65" s="34"/>
      <c r="AH65" s="34"/>
      <c r="AI65" s="94"/>
      <c r="AJ65" s="34"/>
      <c r="AK65" s="22" t="s">
        <v>416</v>
      </c>
      <c r="AL65" s="22">
        <v>0</v>
      </c>
      <c r="AM65" s="31"/>
      <c r="AN65" s="31"/>
      <c r="AO65" s="19"/>
      <c r="AS65" s="50"/>
      <c r="AT65" s="50"/>
      <c r="AU65" s="50"/>
    </row>
    <row r="66" spans="1:96" ht="15" x14ac:dyDescent="0.25">
      <c r="A66" s="26"/>
      <c r="B66" s="27"/>
      <c r="C66" s="27"/>
      <c r="D66" s="27"/>
      <c r="E66" s="27"/>
      <c r="G66" s="26"/>
      <c r="H66" s="25"/>
      <c r="I66" s="27"/>
      <c r="J66" s="27"/>
      <c r="K66" s="27"/>
      <c r="L66" s="29"/>
      <c r="M66" s="30"/>
      <c r="N66" s="27"/>
      <c r="O66" s="27"/>
      <c r="P66" s="27"/>
      <c r="Q66" s="27"/>
      <c r="R66" s="29"/>
      <c r="S66" s="30"/>
      <c r="T66" s="27"/>
      <c r="U66" s="27"/>
      <c r="V66" s="27"/>
      <c r="W66" s="27"/>
      <c r="X66" s="29"/>
      <c r="Y66" s="23" t="s">
        <v>402</v>
      </c>
      <c r="Z66">
        <v>0</v>
      </c>
      <c r="AA66" s="27"/>
      <c r="AB66" s="27"/>
      <c r="AC66" s="27"/>
      <c r="AI66" s="33"/>
      <c r="AJ66" s="34"/>
      <c r="AK66" s="22" t="s">
        <v>417</v>
      </c>
      <c r="AL66" s="22">
        <v>0</v>
      </c>
      <c r="AM66" s="31"/>
      <c r="AN66" s="31"/>
      <c r="AQ66" s="26"/>
      <c r="AR66" s="27"/>
      <c r="AS66" s="27"/>
      <c r="AT66" s="27"/>
      <c r="AU66" s="27"/>
      <c r="BH66" s="34"/>
      <c r="BN66" s="34"/>
      <c r="BT66" s="34"/>
      <c r="BZ66" s="34"/>
      <c r="CF66" s="36"/>
      <c r="CL66" s="36"/>
      <c r="CR66" s="36"/>
    </row>
    <row r="67" spans="1:96" ht="15" x14ac:dyDescent="0.25">
      <c r="A67" s="27"/>
      <c r="B67" s="27"/>
      <c r="C67" s="27"/>
      <c r="D67" s="27"/>
      <c r="E67" s="27"/>
      <c r="G67" s="25"/>
      <c r="H67" s="25"/>
      <c r="I67" s="27"/>
      <c r="J67" s="27"/>
      <c r="K67" s="27"/>
      <c r="L67" s="29"/>
      <c r="M67" s="27"/>
      <c r="N67" s="27"/>
      <c r="O67" s="27"/>
      <c r="P67" s="27"/>
      <c r="Q67" s="27"/>
      <c r="R67" s="29"/>
      <c r="S67" s="27"/>
      <c r="T67" s="27"/>
      <c r="U67" s="27"/>
      <c r="V67" s="27"/>
      <c r="W67" s="27"/>
      <c r="X67" s="29"/>
      <c r="Y67" s="23" t="s">
        <v>403</v>
      </c>
      <c r="Z67">
        <v>0</v>
      </c>
      <c r="AA67" s="27"/>
      <c r="AB67" s="27"/>
      <c r="AC67" s="27"/>
      <c r="AI67" s="33"/>
      <c r="AJ67" s="34"/>
      <c r="AK67" s="22" t="s">
        <v>418</v>
      </c>
      <c r="AL67" s="22">
        <v>0</v>
      </c>
      <c r="AM67" s="31"/>
      <c r="AN67" s="31"/>
      <c r="AQ67" s="27"/>
      <c r="AR67" s="27"/>
      <c r="AS67" s="27"/>
      <c r="AT67" s="27"/>
      <c r="AU67" s="27"/>
      <c r="BH67" s="34"/>
      <c r="BN67" s="34"/>
      <c r="BT67" s="34"/>
      <c r="BZ67" s="34"/>
      <c r="CF67" s="36"/>
      <c r="CL67" s="36"/>
      <c r="CR67" s="36"/>
    </row>
    <row r="68" spans="1:96" ht="15" x14ac:dyDescent="0.25">
      <c r="A68" s="52"/>
      <c r="B68" s="25"/>
      <c r="C68" s="27"/>
      <c r="D68" s="27"/>
      <c r="E68" s="27"/>
      <c r="G68" s="52"/>
      <c r="H68" s="25"/>
      <c r="I68" s="27"/>
      <c r="J68" s="27"/>
      <c r="K68" s="27"/>
      <c r="L68" s="29"/>
      <c r="M68" s="53"/>
      <c r="N68" s="27"/>
      <c r="O68" s="27"/>
      <c r="P68" s="27"/>
      <c r="Q68" s="27"/>
      <c r="R68" s="29"/>
      <c r="S68" s="53"/>
      <c r="T68" s="27"/>
      <c r="U68" s="27"/>
      <c r="V68" s="27"/>
      <c r="W68" s="27"/>
      <c r="X68" s="29"/>
      <c r="Y68" s="23" t="s">
        <v>404</v>
      </c>
      <c r="Z68">
        <v>0</v>
      </c>
      <c r="AA68" s="27"/>
      <c r="AB68" s="27"/>
      <c r="AC68" s="27"/>
      <c r="AI68" s="33"/>
      <c r="AJ68" s="34"/>
      <c r="AK68" s="22" t="s">
        <v>419</v>
      </c>
      <c r="AL68" s="22">
        <v>0</v>
      </c>
      <c r="AM68" s="31"/>
      <c r="AN68" s="31"/>
      <c r="AQ68" s="52"/>
      <c r="AR68" s="25"/>
      <c r="AS68" s="27"/>
      <c r="AT68" s="27"/>
      <c r="AU68" s="27"/>
      <c r="BH68" s="34"/>
      <c r="BN68" s="34"/>
      <c r="BT68" s="34"/>
      <c r="BZ68" s="34"/>
      <c r="CF68" s="36"/>
      <c r="CL68" s="36"/>
      <c r="CR68" s="36"/>
    </row>
    <row r="69" spans="1:96" ht="15" x14ac:dyDescent="0.25">
      <c r="A69" s="27"/>
      <c r="B69" s="27"/>
      <c r="C69" s="27"/>
      <c r="D69" s="27"/>
      <c r="E69" s="27"/>
      <c r="G69" s="25"/>
      <c r="H69" s="25"/>
      <c r="I69" s="27"/>
      <c r="J69" s="27"/>
      <c r="K69" s="27"/>
      <c r="L69" s="29"/>
      <c r="M69" s="27"/>
      <c r="N69" s="27"/>
      <c r="O69" s="27"/>
      <c r="P69" s="27"/>
      <c r="Q69" s="27"/>
      <c r="R69" s="29"/>
      <c r="S69" s="27"/>
      <c r="T69" s="27"/>
      <c r="U69" s="27"/>
      <c r="V69" s="27"/>
      <c r="W69" s="27"/>
      <c r="X69" s="29"/>
      <c r="Y69" s="23" t="s">
        <v>405</v>
      </c>
      <c r="Z69">
        <v>1</v>
      </c>
      <c r="AA69" s="27"/>
      <c r="AB69" s="27"/>
      <c r="AC69" s="27"/>
      <c r="AI69" s="33"/>
      <c r="AJ69" s="34"/>
      <c r="AK69" s="22" t="s">
        <v>420</v>
      </c>
      <c r="AL69" s="22">
        <v>1</v>
      </c>
      <c r="AM69" s="31"/>
      <c r="AN69" s="31"/>
      <c r="AQ69" s="27"/>
      <c r="AR69" s="27"/>
      <c r="AS69" s="27"/>
      <c r="AT69" s="27"/>
      <c r="AU69" s="27"/>
      <c r="AW69" s="33"/>
      <c r="BC69" s="31" t="s">
        <v>7</v>
      </c>
      <c r="BH69" s="34"/>
      <c r="BI69" s="33"/>
      <c r="BN69" s="34"/>
      <c r="BO69" s="33" t="s">
        <v>7</v>
      </c>
      <c r="BT69" s="34"/>
      <c r="BU69" s="49" t="s">
        <v>7</v>
      </c>
      <c r="BV69" s="31"/>
      <c r="BW69" s="31"/>
      <c r="BX69" s="31"/>
      <c r="BZ69" s="34"/>
      <c r="CA69" s="49" t="s">
        <v>7</v>
      </c>
      <c r="CB69" s="31"/>
      <c r="CC69" s="31"/>
      <c r="CD69" s="31"/>
      <c r="CF69" s="36"/>
      <c r="CG69" s="49" t="s">
        <v>7</v>
      </c>
      <c r="CH69" s="31"/>
      <c r="CI69" s="31"/>
      <c r="CJ69" s="31"/>
      <c r="CL69" s="36"/>
      <c r="CM69" s="49" t="s">
        <v>7</v>
      </c>
      <c r="CR69" s="36"/>
    </row>
    <row r="70" spans="1:96" ht="15" x14ac:dyDescent="0.25">
      <c r="A70" s="42"/>
      <c r="B70" s="27"/>
      <c r="C70" s="27"/>
      <c r="D70" s="27"/>
      <c r="E70" s="27"/>
      <c r="G70" s="54"/>
      <c r="H70" s="25"/>
      <c r="I70" s="27"/>
      <c r="J70" s="27"/>
      <c r="K70" s="27"/>
      <c r="L70" s="29"/>
      <c r="M70" s="27"/>
      <c r="N70" s="27"/>
      <c r="O70" s="27"/>
      <c r="P70" s="27"/>
      <c r="Q70" s="27"/>
      <c r="R70" s="29"/>
      <c r="S70" s="40"/>
      <c r="T70" s="27"/>
      <c r="U70" s="27"/>
      <c r="V70" s="27"/>
      <c r="W70" s="27"/>
      <c r="X70" s="29"/>
      <c r="Y70" s="23" t="s">
        <v>406</v>
      </c>
      <c r="Z70">
        <v>0</v>
      </c>
      <c r="AA70" s="27"/>
      <c r="AB70" s="27"/>
      <c r="AC70" s="27"/>
      <c r="AI70" s="33"/>
      <c r="AJ70" s="34"/>
      <c r="AK70" s="22" t="s">
        <v>421</v>
      </c>
      <c r="AL70" s="22">
        <v>0</v>
      </c>
      <c r="AM70" s="31"/>
      <c r="AN70" s="31"/>
      <c r="AQ70" s="42"/>
      <c r="AR70" s="27"/>
      <c r="AS70" s="27"/>
      <c r="AT70" s="27"/>
      <c r="AU70" s="27"/>
      <c r="AW70" s="31"/>
      <c r="AX70" s="31"/>
      <c r="AY70" s="31"/>
      <c r="AZ70" s="31"/>
      <c r="BC70" s="31" t="s">
        <v>102</v>
      </c>
      <c r="BD70" s="31" t="s">
        <v>71</v>
      </c>
      <c r="BE70" s="31" t="s">
        <v>103</v>
      </c>
      <c r="BF70" s="31" t="s">
        <v>104</v>
      </c>
      <c r="BH70" s="34"/>
      <c r="BI70" s="31"/>
      <c r="BJ70" s="31"/>
      <c r="BK70" s="31"/>
      <c r="BL70" s="31"/>
      <c r="BN70" s="34"/>
      <c r="BO70" s="31" t="s">
        <v>102</v>
      </c>
      <c r="BP70" s="31" t="s">
        <v>71</v>
      </c>
      <c r="BQ70" s="31" t="s">
        <v>103</v>
      </c>
      <c r="BR70" s="31" t="s">
        <v>104</v>
      </c>
      <c r="BT70" s="34"/>
      <c r="BU70" s="31" t="s">
        <v>102</v>
      </c>
      <c r="BV70" s="31" t="s">
        <v>71</v>
      </c>
      <c r="BW70" s="31" t="s">
        <v>103</v>
      </c>
      <c r="BX70" s="31" t="s">
        <v>104</v>
      </c>
      <c r="BZ70" s="34"/>
      <c r="CA70" s="31" t="s">
        <v>102</v>
      </c>
      <c r="CB70" s="31" t="s">
        <v>71</v>
      </c>
      <c r="CC70" s="31" t="s">
        <v>103</v>
      </c>
      <c r="CD70" s="31" t="s">
        <v>104</v>
      </c>
      <c r="CF70" s="36"/>
      <c r="CG70" s="31" t="s">
        <v>102</v>
      </c>
      <c r="CH70" s="31" t="s">
        <v>71</v>
      </c>
      <c r="CI70" s="31" t="s">
        <v>103</v>
      </c>
      <c r="CJ70" s="31" t="s">
        <v>104</v>
      </c>
      <c r="CL70" s="36"/>
      <c r="CM70" s="31" t="s">
        <v>102</v>
      </c>
      <c r="CN70" s="31" t="s">
        <v>71</v>
      </c>
      <c r="CO70" s="31" t="s">
        <v>103</v>
      </c>
      <c r="CP70" s="31" t="s">
        <v>104</v>
      </c>
      <c r="CR70" s="36"/>
    </row>
    <row r="71" spans="1:96" ht="15" x14ac:dyDescent="0.25">
      <c r="A71" s="42"/>
      <c r="B71" s="27"/>
      <c r="C71" s="27"/>
      <c r="D71" s="27"/>
      <c r="E71" s="27"/>
      <c r="G71" s="25"/>
      <c r="H71" s="25"/>
      <c r="I71" s="27"/>
      <c r="J71" s="27"/>
      <c r="K71" s="27"/>
      <c r="L71" s="29"/>
      <c r="M71" s="27"/>
      <c r="N71" s="27"/>
      <c r="O71" s="27"/>
      <c r="P71" s="27"/>
      <c r="Q71" s="27"/>
      <c r="R71" s="29"/>
      <c r="S71" s="40"/>
      <c r="T71" s="27"/>
      <c r="U71" s="27"/>
      <c r="V71" s="27"/>
      <c r="W71" s="27"/>
      <c r="X71" s="29"/>
      <c r="Y71" s="23" t="s">
        <v>407</v>
      </c>
      <c r="Z71">
        <v>0</v>
      </c>
      <c r="AA71" s="27"/>
      <c r="AB71" s="27"/>
      <c r="AC71" s="27"/>
      <c r="AI71" s="33"/>
      <c r="AJ71" s="34"/>
      <c r="AK71" s="22" t="s">
        <v>422</v>
      </c>
      <c r="AL71" s="22">
        <v>0</v>
      </c>
      <c r="AQ71" s="42"/>
      <c r="AR71" s="27"/>
      <c r="AS71" s="27"/>
      <c r="AT71" s="27"/>
      <c r="AU71" s="27"/>
      <c r="AX71" s="31"/>
      <c r="AY71" s="31"/>
      <c r="AZ71" s="31"/>
      <c r="BC71" s="43" t="s">
        <v>108</v>
      </c>
      <c r="BD71" s="19">
        <v>0</v>
      </c>
      <c r="BE71" s="31" t="s">
        <v>106</v>
      </c>
      <c r="BF71" s="31">
        <f>SUM(BD71:BD73)</f>
        <v>0</v>
      </c>
      <c r="BH71" s="34"/>
      <c r="BI71" s="43"/>
      <c r="BK71" s="31"/>
      <c r="BL71" s="31"/>
      <c r="BN71" s="34"/>
      <c r="BO71" s="38" t="s">
        <v>110</v>
      </c>
      <c r="BP71" s="31">
        <v>0</v>
      </c>
      <c r="BQ71" s="31" t="s">
        <v>106</v>
      </c>
      <c r="BR71" s="31">
        <f>SUM(BP71:BP95)</f>
        <v>4</v>
      </c>
      <c r="BT71" s="34"/>
      <c r="BU71" s="38" t="s">
        <v>111</v>
      </c>
      <c r="BV71" s="31">
        <v>0</v>
      </c>
      <c r="BW71" s="31" t="s">
        <v>106</v>
      </c>
      <c r="BX71" s="31">
        <f>SUM(BV71:BV95)</f>
        <v>5</v>
      </c>
      <c r="BZ71" s="34"/>
      <c r="CA71" s="38" t="s">
        <v>96</v>
      </c>
      <c r="CB71" s="31">
        <v>0</v>
      </c>
      <c r="CC71" s="31" t="s">
        <v>106</v>
      </c>
      <c r="CD71" s="31">
        <f>SUM(CB71:CB95)</f>
        <v>0</v>
      </c>
      <c r="CF71" s="36"/>
      <c r="CG71" s="44" t="s">
        <v>112</v>
      </c>
      <c r="CH71" s="19">
        <v>0</v>
      </c>
      <c r="CI71" s="31" t="s">
        <v>106</v>
      </c>
      <c r="CJ71" s="31">
        <f>SUM(CH71:CH95)</f>
        <v>7</v>
      </c>
      <c r="CL71" s="36"/>
      <c r="CM71" s="44" t="s">
        <v>113</v>
      </c>
      <c r="CN71" s="19">
        <v>1</v>
      </c>
      <c r="CO71" s="31" t="s">
        <v>106</v>
      </c>
      <c r="CP71" s="31">
        <f>SUM(CN71:CN97)</f>
        <v>2</v>
      </c>
      <c r="CR71" s="36"/>
    </row>
    <row r="72" spans="1:96" x14ac:dyDescent="0.2">
      <c r="A72" s="42"/>
      <c r="B72" s="27"/>
      <c r="C72" s="27"/>
      <c r="D72" s="27"/>
      <c r="E72" s="27"/>
      <c r="G72" s="25"/>
      <c r="H72" s="25"/>
      <c r="I72" s="27"/>
      <c r="J72" s="27"/>
      <c r="K72" s="27"/>
      <c r="L72" s="29"/>
      <c r="M72" s="27"/>
      <c r="N72" s="27"/>
      <c r="O72" s="27"/>
      <c r="P72" s="27"/>
      <c r="Q72" s="27"/>
      <c r="R72" s="29"/>
      <c r="S72" s="40"/>
      <c r="T72" s="27"/>
      <c r="U72" s="27"/>
      <c r="V72" s="27"/>
      <c r="W72" s="27"/>
      <c r="X72" s="29"/>
      <c r="AC72" s="27"/>
      <c r="AI72" s="33"/>
      <c r="AJ72" s="34"/>
      <c r="AK72" s="23" t="s">
        <v>423</v>
      </c>
      <c r="AL72" s="22">
        <v>1</v>
      </c>
      <c r="AQ72" s="42"/>
      <c r="AR72" s="27"/>
      <c r="AS72" s="27"/>
      <c r="AT72" s="27"/>
      <c r="AU72" s="27"/>
      <c r="AX72" s="31"/>
      <c r="AY72" s="31"/>
      <c r="AZ72" s="31"/>
      <c r="BC72" s="43" t="s">
        <v>116</v>
      </c>
      <c r="BD72" s="19">
        <v>0</v>
      </c>
      <c r="BE72" s="31" t="s">
        <v>115</v>
      </c>
      <c r="BF72" s="31">
        <f>MIN(BD71:BD73)</f>
        <v>0</v>
      </c>
      <c r="BH72" s="34"/>
      <c r="BI72" s="43"/>
      <c r="BK72" s="31"/>
      <c r="BL72" s="31"/>
      <c r="BN72" s="34"/>
      <c r="BO72" s="38" t="s">
        <v>118</v>
      </c>
      <c r="BP72" s="31">
        <v>2</v>
      </c>
      <c r="BQ72" s="31" t="s">
        <v>115</v>
      </c>
      <c r="BR72" s="31">
        <f>MIN(BP71:BP95)</f>
        <v>0</v>
      </c>
      <c r="BT72" s="34"/>
      <c r="BU72" s="38" t="s">
        <v>119</v>
      </c>
      <c r="BV72" s="31">
        <v>0</v>
      </c>
      <c r="BW72" s="31" t="s">
        <v>115</v>
      </c>
      <c r="BX72" s="31">
        <f>MIN(BV71:BV95)</f>
        <v>0</v>
      </c>
      <c r="BZ72" s="34"/>
      <c r="CA72" s="38" t="s">
        <v>95</v>
      </c>
      <c r="CB72" s="31">
        <v>0</v>
      </c>
      <c r="CC72" s="31" t="s">
        <v>115</v>
      </c>
      <c r="CD72" s="31">
        <f>MIN(CB71:CB95)</f>
        <v>0</v>
      </c>
      <c r="CF72" s="36"/>
      <c r="CG72" s="44" t="s">
        <v>120</v>
      </c>
      <c r="CH72" s="19">
        <v>0</v>
      </c>
      <c r="CI72" s="31" t="s">
        <v>115</v>
      </c>
      <c r="CJ72" s="31">
        <f>MIN(CH71:CH95)</f>
        <v>0</v>
      </c>
      <c r="CL72" s="36"/>
      <c r="CM72" s="44" t="s">
        <v>121</v>
      </c>
      <c r="CN72" s="19">
        <v>0</v>
      </c>
      <c r="CO72" s="31" t="s">
        <v>115</v>
      </c>
      <c r="CP72" s="31">
        <f>MIN(CN71:CN97)</f>
        <v>0</v>
      </c>
      <c r="CR72" s="36"/>
    </row>
    <row r="73" spans="1:96" x14ac:dyDescent="0.2">
      <c r="A73" s="42"/>
      <c r="B73" s="27"/>
      <c r="C73" s="27"/>
      <c r="D73" s="27"/>
      <c r="E73" s="27"/>
      <c r="G73" s="25"/>
      <c r="H73" s="25"/>
      <c r="I73" s="27"/>
      <c r="J73" s="27"/>
      <c r="K73" s="27"/>
      <c r="L73" s="29"/>
      <c r="M73" s="27"/>
      <c r="N73" s="27"/>
      <c r="O73" s="27"/>
      <c r="P73" s="27"/>
      <c r="Q73" s="27"/>
      <c r="R73" s="29"/>
      <c r="S73" s="40"/>
      <c r="T73" s="27"/>
      <c r="U73" s="27"/>
      <c r="V73" s="27"/>
      <c r="W73" s="27"/>
      <c r="X73" s="90"/>
      <c r="Y73" s="34"/>
      <c r="Z73" s="34"/>
      <c r="AA73" s="34"/>
      <c r="AB73" s="34"/>
      <c r="AC73" s="90"/>
      <c r="AD73" s="34"/>
      <c r="AI73" s="33"/>
      <c r="AJ73" s="34"/>
      <c r="AK73" s="22" t="s">
        <v>424</v>
      </c>
      <c r="AL73" s="22">
        <v>0</v>
      </c>
      <c r="AQ73" s="42"/>
      <c r="AR73" s="27"/>
      <c r="AS73" s="27"/>
      <c r="AT73" s="27"/>
      <c r="AU73" s="27"/>
      <c r="AX73" s="31"/>
      <c r="AY73" s="31"/>
      <c r="AZ73" s="31"/>
      <c r="BC73" s="43" t="s">
        <v>123</v>
      </c>
      <c r="BD73" s="19">
        <v>0</v>
      </c>
      <c r="BE73" s="31" t="s">
        <v>122</v>
      </c>
      <c r="BF73" s="31">
        <f>MAX(BD71:BD73)</f>
        <v>0</v>
      </c>
      <c r="BH73" s="34"/>
      <c r="BI73" s="43"/>
      <c r="BK73" s="31"/>
      <c r="BL73" s="31"/>
      <c r="BN73" s="34"/>
      <c r="BO73" s="38" t="s">
        <v>125</v>
      </c>
      <c r="BP73" s="31">
        <v>0</v>
      </c>
      <c r="BQ73" s="31" t="s">
        <v>122</v>
      </c>
      <c r="BR73" s="31">
        <f>MAX(BP71:BP95)</f>
        <v>2</v>
      </c>
      <c r="BT73" s="34"/>
      <c r="BU73" s="38" t="s">
        <v>126</v>
      </c>
      <c r="BV73" s="31">
        <v>0</v>
      </c>
      <c r="BW73" s="31" t="s">
        <v>122</v>
      </c>
      <c r="BX73" s="31">
        <f>MAX(BV71:BV95)</f>
        <v>1</v>
      </c>
      <c r="BZ73" s="34"/>
      <c r="CA73" s="38" t="s">
        <v>94</v>
      </c>
      <c r="CB73" s="31">
        <v>0</v>
      </c>
      <c r="CC73" s="31" t="s">
        <v>122</v>
      </c>
      <c r="CD73" s="31">
        <f>MAX(CB71:CB95)</f>
        <v>0</v>
      </c>
      <c r="CF73" s="36"/>
      <c r="CG73" s="44" t="s">
        <v>127</v>
      </c>
      <c r="CH73" s="19">
        <v>0</v>
      </c>
      <c r="CI73" s="31" t="s">
        <v>122</v>
      </c>
      <c r="CJ73" s="31">
        <f>MAX(CH71:CH95)</f>
        <v>2</v>
      </c>
      <c r="CL73" s="36"/>
      <c r="CM73" s="44" t="s">
        <v>128</v>
      </c>
      <c r="CN73" s="19">
        <v>0</v>
      </c>
      <c r="CO73" s="31" t="s">
        <v>122</v>
      </c>
      <c r="CP73" s="31">
        <f>MAX(CN71:CN97)</f>
        <v>1</v>
      </c>
      <c r="CR73" s="36"/>
    </row>
    <row r="74" spans="1:96" x14ac:dyDescent="0.2">
      <c r="A74" s="42"/>
      <c r="B74" s="27"/>
      <c r="C74" s="27"/>
      <c r="D74" s="27"/>
      <c r="E74" s="27"/>
      <c r="G74" s="25"/>
      <c r="H74" s="25"/>
      <c r="I74" s="27"/>
      <c r="J74" s="27"/>
      <c r="K74" s="27"/>
      <c r="L74" s="29"/>
      <c r="M74" s="27"/>
      <c r="N74" s="27"/>
      <c r="O74" s="27"/>
      <c r="P74" s="27"/>
      <c r="Q74" s="27"/>
      <c r="R74" s="29"/>
      <c r="S74" s="40"/>
      <c r="T74" s="27"/>
      <c r="U74" s="27"/>
      <c r="V74" s="27"/>
      <c r="W74" s="27"/>
      <c r="X74" s="90"/>
      <c r="Y74" s="34"/>
      <c r="Z74" s="34"/>
      <c r="AA74" s="34"/>
      <c r="AB74" s="34"/>
      <c r="AC74" s="90"/>
      <c r="AD74" s="34"/>
      <c r="AF74" s="33"/>
      <c r="AI74" s="33"/>
      <c r="AJ74" s="34"/>
      <c r="AK74" s="23" t="s">
        <v>425</v>
      </c>
      <c r="AL74" s="22">
        <v>0</v>
      </c>
      <c r="AQ74" s="42"/>
      <c r="AR74" s="27"/>
      <c r="AS74" s="27"/>
      <c r="AT74" s="27"/>
      <c r="AU74" s="27"/>
      <c r="AX74" s="31"/>
      <c r="AY74" s="31"/>
      <c r="AZ74" s="31"/>
      <c r="BE74" s="31" t="s">
        <v>129</v>
      </c>
      <c r="BF74" s="31">
        <f>VAR(BD71:BD73)</f>
        <v>0</v>
      </c>
      <c r="BH74" s="34"/>
      <c r="BI74" s="43"/>
      <c r="BK74" s="31"/>
      <c r="BL74" s="31"/>
      <c r="BN74" s="34"/>
      <c r="BO74" s="38" t="s">
        <v>134</v>
      </c>
      <c r="BP74" s="31">
        <v>0</v>
      </c>
      <c r="BQ74" s="31" t="s">
        <v>129</v>
      </c>
      <c r="BR74" s="31">
        <f>VAR(BP71:BP95)</f>
        <v>0.22333333333333336</v>
      </c>
      <c r="BT74" s="34"/>
      <c r="BU74" s="38" t="s">
        <v>135</v>
      </c>
      <c r="BV74" s="31">
        <v>0</v>
      </c>
      <c r="BW74" s="31" t="s">
        <v>129</v>
      </c>
      <c r="BX74" s="31">
        <f>VAR(BV71:BV95)</f>
        <v>0.16666666666666666</v>
      </c>
      <c r="BZ74" s="34"/>
      <c r="CA74" s="38" t="s">
        <v>107</v>
      </c>
      <c r="CB74" s="31">
        <v>0</v>
      </c>
      <c r="CC74" s="31" t="s">
        <v>129</v>
      </c>
      <c r="CD74" s="31">
        <f>VAR(CB71:CB95)</f>
        <v>0</v>
      </c>
      <c r="CF74" s="36"/>
      <c r="CG74" s="44" t="s">
        <v>136</v>
      </c>
      <c r="CH74" s="19">
        <v>0</v>
      </c>
      <c r="CI74" s="31" t="s">
        <v>129</v>
      </c>
      <c r="CJ74" s="31">
        <f>VAR(CH71:CH95)</f>
        <v>0.29333333333333333</v>
      </c>
      <c r="CL74" s="36"/>
      <c r="CM74" s="44" t="s">
        <v>137</v>
      </c>
      <c r="CN74" s="19">
        <v>0</v>
      </c>
      <c r="CO74" s="31" t="s">
        <v>129</v>
      </c>
      <c r="CP74" s="31">
        <f>VAR(CN71:CN97)</f>
        <v>8.3003952569169967E-2</v>
      </c>
      <c r="CR74" s="36"/>
    </row>
    <row r="75" spans="1:96" x14ac:dyDescent="0.2">
      <c r="A75" s="42"/>
      <c r="B75" s="27"/>
      <c r="C75" s="27"/>
      <c r="D75" s="27"/>
      <c r="E75" s="27"/>
      <c r="G75" s="25"/>
      <c r="H75" s="25"/>
      <c r="I75" s="27"/>
      <c r="J75" s="27"/>
      <c r="K75" s="27"/>
      <c r="L75" s="29"/>
      <c r="M75" s="27"/>
      <c r="N75" s="27"/>
      <c r="O75" s="27"/>
      <c r="P75" s="27"/>
      <c r="Q75" s="27"/>
      <c r="R75" s="29"/>
      <c r="S75" s="40"/>
      <c r="T75" s="27"/>
      <c r="U75" s="27"/>
      <c r="V75" s="27"/>
      <c r="W75" s="27"/>
      <c r="X75" s="29"/>
      <c r="AC75" s="27"/>
      <c r="AF75" s="33"/>
      <c r="AJ75" s="34"/>
      <c r="AK75" s="23" t="s">
        <v>426</v>
      </c>
      <c r="AL75" s="22">
        <v>0</v>
      </c>
      <c r="AQ75" s="42"/>
      <c r="AR75" s="27"/>
      <c r="AS75" s="27"/>
      <c r="AT75" s="27"/>
      <c r="AU75" s="27"/>
      <c r="AX75" s="31"/>
      <c r="AY75" s="31"/>
      <c r="AZ75" s="31"/>
      <c r="BE75" s="31" t="s">
        <v>138</v>
      </c>
      <c r="BF75" s="31">
        <f>AVERAGE(BD71:BD73)</f>
        <v>0</v>
      </c>
      <c r="BH75" s="34"/>
      <c r="BI75" s="43"/>
      <c r="BK75" s="31"/>
      <c r="BL75" s="31"/>
      <c r="BN75" s="34"/>
      <c r="BO75" s="38" t="s">
        <v>141</v>
      </c>
      <c r="BP75" s="31">
        <v>0</v>
      </c>
      <c r="BQ75" s="31" t="s">
        <v>138</v>
      </c>
      <c r="BR75" s="31">
        <f>AVERAGE(BP71:BP95)</f>
        <v>0.16</v>
      </c>
      <c r="BT75" s="34"/>
      <c r="BU75" s="38" t="s">
        <v>142</v>
      </c>
      <c r="BV75" s="31">
        <v>0</v>
      </c>
      <c r="BW75" s="31" t="s">
        <v>138</v>
      </c>
      <c r="BX75" s="31">
        <f>AVERAGE(BV71:BV95)</f>
        <v>0.2</v>
      </c>
      <c r="BZ75" s="34"/>
      <c r="CA75" s="38" t="s">
        <v>93</v>
      </c>
      <c r="CB75" s="31">
        <v>0</v>
      </c>
      <c r="CC75" s="31" t="s">
        <v>138</v>
      </c>
      <c r="CD75" s="31">
        <f>AVERAGE(CB71:CB95)</f>
        <v>0</v>
      </c>
      <c r="CF75" s="36"/>
      <c r="CG75" s="44" t="s">
        <v>131</v>
      </c>
      <c r="CH75" s="19">
        <v>0</v>
      </c>
      <c r="CI75" s="31" t="s">
        <v>138</v>
      </c>
      <c r="CJ75" s="31">
        <f>AVERAGE(CH71:CH95)</f>
        <v>0.28000000000000003</v>
      </c>
      <c r="CL75" s="36"/>
      <c r="CM75" s="44" t="s">
        <v>143</v>
      </c>
      <c r="CN75" s="19">
        <v>0</v>
      </c>
      <c r="CO75" s="31" t="s">
        <v>138</v>
      </c>
      <c r="CP75" s="31">
        <f>AVERAGE(CN71:CN97)</f>
        <v>8.6956521739130432E-2</v>
      </c>
      <c r="CR75" s="36"/>
    </row>
    <row r="76" spans="1:96" x14ac:dyDescent="0.2">
      <c r="A76" s="42"/>
      <c r="B76" s="27"/>
      <c r="C76" s="27"/>
      <c r="D76" s="27"/>
      <c r="E76" s="27"/>
      <c r="G76" s="25"/>
      <c r="H76" s="25"/>
      <c r="I76" s="27"/>
      <c r="J76" s="27"/>
      <c r="K76" s="27"/>
      <c r="L76" s="29"/>
      <c r="M76" s="27"/>
      <c r="N76" s="27"/>
      <c r="O76" s="27"/>
      <c r="P76" s="27"/>
      <c r="Q76" s="27"/>
      <c r="R76" s="29"/>
      <c r="S76" s="40"/>
      <c r="T76" s="27"/>
      <c r="U76" s="27"/>
      <c r="V76" s="27"/>
      <c r="W76" s="27"/>
      <c r="X76" s="29"/>
      <c r="AC76" s="27"/>
      <c r="AF76" s="33"/>
      <c r="AJ76" s="34"/>
      <c r="AK76" s="23" t="s">
        <v>427</v>
      </c>
      <c r="AL76" s="22">
        <v>0</v>
      </c>
      <c r="AQ76" s="42"/>
      <c r="AR76" s="27"/>
      <c r="AS76" s="27"/>
      <c r="AT76" s="27"/>
      <c r="AU76" s="27"/>
      <c r="AX76" s="31"/>
      <c r="AY76" s="31"/>
      <c r="AZ76" s="31"/>
      <c r="BE76" s="31" t="s">
        <v>144</v>
      </c>
      <c r="BF76" s="31">
        <f>STDEV(BD71:BD73)</f>
        <v>0</v>
      </c>
      <c r="BH76" s="34"/>
      <c r="BI76" s="43"/>
      <c r="BK76" s="31"/>
      <c r="BL76" s="31"/>
      <c r="BN76" s="34"/>
      <c r="BO76" s="38" t="s">
        <v>146</v>
      </c>
      <c r="BP76" s="31">
        <v>0</v>
      </c>
      <c r="BQ76" s="31" t="s">
        <v>144</v>
      </c>
      <c r="BR76" s="31">
        <f>STDEV(BP71:BP95)</f>
        <v>0.47258156262526085</v>
      </c>
      <c r="BT76" s="34"/>
      <c r="BU76" s="38" t="s">
        <v>147</v>
      </c>
      <c r="BV76" s="31">
        <v>0</v>
      </c>
      <c r="BW76" s="31" t="s">
        <v>144</v>
      </c>
      <c r="BX76" s="31">
        <f>STDEV(BV71:BV95)</f>
        <v>0.40824829046386302</v>
      </c>
      <c r="BZ76" s="34"/>
      <c r="CA76" s="38" t="s">
        <v>148</v>
      </c>
      <c r="CB76" s="31">
        <v>0</v>
      </c>
      <c r="CC76" s="31" t="s">
        <v>144</v>
      </c>
      <c r="CD76" s="31">
        <f>STDEV(CB71:CB95)</f>
        <v>0</v>
      </c>
      <c r="CF76" s="36"/>
      <c r="CG76" s="44" t="s">
        <v>149</v>
      </c>
      <c r="CH76" s="19">
        <v>0</v>
      </c>
      <c r="CI76" s="31" t="s">
        <v>144</v>
      </c>
      <c r="CJ76" s="31">
        <f>STDEV(CH71:CH95)</f>
        <v>0.54160256030906406</v>
      </c>
      <c r="CL76" s="36"/>
      <c r="CM76" s="44" t="s">
        <v>150</v>
      </c>
      <c r="CN76" s="19">
        <v>0</v>
      </c>
      <c r="CO76" s="31" t="s">
        <v>144</v>
      </c>
      <c r="CP76" s="31">
        <f>STDEV(CN71:CN97)</f>
        <v>0.28810406552003037</v>
      </c>
      <c r="CR76" s="36"/>
    </row>
    <row r="77" spans="1:96" ht="13.5" x14ac:dyDescent="0.25">
      <c r="A77" s="53"/>
      <c r="B77" s="27"/>
      <c r="C77" s="27"/>
      <c r="D77" s="27"/>
      <c r="E77" s="27"/>
      <c r="G77" s="25"/>
      <c r="H77" s="25"/>
      <c r="I77" s="27"/>
      <c r="J77" s="27"/>
      <c r="K77" s="27"/>
      <c r="L77" s="29"/>
      <c r="M77" s="27"/>
      <c r="N77" s="27"/>
      <c r="O77" s="27"/>
      <c r="P77" s="27"/>
      <c r="Q77" s="27"/>
      <c r="R77" s="29"/>
      <c r="S77" s="53"/>
      <c r="T77" s="27"/>
      <c r="U77" s="27"/>
      <c r="V77" s="27"/>
      <c r="W77" s="27"/>
      <c r="X77" s="29"/>
      <c r="AC77" s="27"/>
      <c r="AF77" s="33"/>
      <c r="AJ77" s="34"/>
      <c r="AK77" s="23" t="s">
        <v>428</v>
      </c>
      <c r="AL77" s="22">
        <v>0</v>
      </c>
      <c r="AQ77" s="53"/>
      <c r="AR77" s="27"/>
      <c r="AS77" s="27"/>
      <c r="AT77" s="27"/>
      <c r="AU77" s="27"/>
      <c r="AX77" s="31"/>
      <c r="AY77" s="31"/>
      <c r="AZ77" s="31"/>
      <c r="BE77" s="31"/>
      <c r="BF77" s="31"/>
      <c r="BH77" s="34"/>
      <c r="BI77" s="43"/>
      <c r="BK77" s="31"/>
      <c r="BL77" s="31"/>
      <c r="BN77" s="34"/>
      <c r="BO77" s="38" t="s">
        <v>152</v>
      </c>
      <c r="BP77" s="31">
        <v>0</v>
      </c>
      <c r="BQ77" s="31"/>
      <c r="BR77" s="31"/>
      <c r="BT77" s="34"/>
      <c r="BU77" s="38" t="s">
        <v>153</v>
      </c>
      <c r="BV77" s="31">
        <v>1</v>
      </c>
      <c r="BW77" s="31"/>
      <c r="BX77" s="31"/>
      <c r="BZ77" s="34"/>
      <c r="CA77" s="38" t="s">
        <v>92</v>
      </c>
      <c r="CB77" s="31">
        <v>0</v>
      </c>
      <c r="CC77" s="31"/>
      <c r="CD77" s="31"/>
      <c r="CF77" s="36"/>
      <c r="CG77" s="44" t="s">
        <v>154</v>
      </c>
      <c r="CH77" s="19">
        <v>0</v>
      </c>
      <c r="CL77" s="36"/>
      <c r="CM77" s="44" t="s">
        <v>155</v>
      </c>
      <c r="CN77" s="19">
        <v>0</v>
      </c>
      <c r="CR77" s="36"/>
    </row>
    <row r="78" spans="1:96" ht="13.5" x14ac:dyDescent="0.25">
      <c r="A78" s="27"/>
      <c r="B78" s="27"/>
      <c r="C78" s="27"/>
      <c r="D78" s="27"/>
      <c r="E78" s="27"/>
      <c r="G78" s="52"/>
      <c r="H78" s="25"/>
      <c r="I78" s="27"/>
      <c r="J78" s="27"/>
      <c r="K78" s="27"/>
      <c r="L78" s="29"/>
      <c r="M78" s="53"/>
      <c r="N78" s="27"/>
      <c r="O78" s="27"/>
      <c r="P78" s="27"/>
      <c r="Q78" s="27"/>
      <c r="R78" s="29"/>
      <c r="S78" s="40"/>
      <c r="T78" s="27"/>
      <c r="U78" s="27"/>
      <c r="V78" s="27"/>
      <c r="W78" s="27"/>
      <c r="X78" s="29"/>
      <c r="Y78" s="27"/>
      <c r="Z78" s="27"/>
      <c r="AA78" s="27"/>
      <c r="AB78" s="27"/>
      <c r="AC78" s="27"/>
      <c r="AJ78" s="34"/>
      <c r="AK78" s="23" t="s">
        <v>429</v>
      </c>
      <c r="AL78" s="22">
        <v>0</v>
      </c>
      <c r="AQ78" s="27"/>
      <c r="AR78" s="27"/>
      <c r="AS78" s="27"/>
      <c r="AT78" s="27"/>
      <c r="AU78" s="27"/>
      <c r="AX78" s="31"/>
      <c r="AY78" s="31"/>
      <c r="AZ78" s="31"/>
      <c r="BE78" s="31"/>
      <c r="BF78" s="31"/>
      <c r="BH78" s="34"/>
      <c r="BI78" s="43"/>
      <c r="BK78" s="31"/>
      <c r="BL78" s="31"/>
      <c r="BN78" s="34"/>
      <c r="BO78" s="38" t="s">
        <v>157</v>
      </c>
      <c r="BP78" s="31">
        <v>0</v>
      </c>
      <c r="BQ78" s="31"/>
      <c r="BR78" s="31"/>
      <c r="BT78" s="34"/>
      <c r="BU78" s="38" t="s">
        <v>158</v>
      </c>
      <c r="BV78" s="31">
        <v>0</v>
      </c>
      <c r="BW78" s="31"/>
      <c r="BX78" s="31"/>
      <c r="BZ78" s="34"/>
      <c r="CA78" s="38" t="s">
        <v>91</v>
      </c>
      <c r="CB78" s="31">
        <v>0</v>
      </c>
      <c r="CC78" s="31"/>
      <c r="CD78" s="31"/>
      <c r="CF78" s="36"/>
      <c r="CG78" s="44" t="s">
        <v>159</v>
      </c>
      <c r="CH78" s="19">
        <v>1</v>
      </c>
      <c r="CL78" s="36"/>
      <c r="CM78" s="44" t="s">
        <v>160</v>
      </c>
      <c r="CN78" s="19">
        <v>0</v>
      </c>
      <c r="CR78" s="36"/>
    </row>
    <row r="79" spans="1:96" x14ac:dyDescent="0.2">
      <c r="A79" s="42"/>
      <c r="B79" s="27"/>
      <c r="C79" s="27"/>
      <c r="D79" s="27"/>
      <c r="E79" s="27"/>
      <c r="G79" s="25"/>
      <c r="H79" s="25"/>
      <c r="I79" s="27"/>
      <c r="J79" s="27"/>
      <c r="K79" s="25"/>
      <c r="L79" s="29"/>
      <c r="M79" s="27"/>
      <c r="N79" s="27"/>
      <c r="O79" s="27"/>
      <c r="P79" s="27"/>
      <c r="Q79" s="27"/>
      <c r="R79" s="29"/>
      <c r="S79" s="40"/>
      <c r="T79" s="27"/>
      <c r="U79" s="27"/>
      <c r="V79" s="27"/>
      <c r="W79" s="27"/>
      <c r="X79" s="29"/>
      <c r="Y79" s="27"/>
      <c r="Z79" s="27"/>
      <c r="AA79" s="27"/>
      <c r="AB79" s="27"/>
      <c r="AC79" s="27"/>
      <c r="AJ79" s="34"/>
      <c r="AK79" s="23" t="s">
        <v>430</v>
      </c>
      <c r="AL79" s="22">
        <v>1</v>
      </c>
      <c r="AQ79" s="42"/>
      <c r="AR79" s="27"/>
      <c r="AS79" s="27"/>
      <c r="AT79" s="27"/>
      <c r="AU79" s="27"/>
      <c r="AX79" s="31"/>
      <c r="AY79" s="31"/>
      <c r="AZ79" s="31"/>
      <c r="BA79" s="24"/>
      <c r="BC79" s="32" t="s">
        <v>162</v>
      </c>
      <c r="BD79" s="19" t="s">
        <v>71</v>
      </c>
      <c r="BE79" s="31" t="s">
        <v>103</v>
      </c>
      <c r="BF79" s="31" t="s">
        <v>104</v>
      </c>
      <c r="BH79" s="34"/>
      <c r="BI79" s="32"/>
      <c r="BJ79" s="31"/>
      <c r="BK79" s="31"/>
      <c r="BL79" s="31"/>
      <c r="BN79" s="34"/>
      <c r="BO79" s="38" t="s">
        <v>163</v>
      </c>
      <c r="BP79" s="31">
        <v>1</v>
      </c>
      <c r="BQ79" s="31"/>
      <c r="BR79" s="31"/>
      <c r="BT79" s="34"/>
      <c r="BU79" s="38" t="s">
        <v>164</v>
      </c>
      <c r="BV79" s="31">
        <v>1</v>
      </c>
      <c r="BW79" s="31"/>
      <c r="BX79" s="31"/>
      <c r="BZ79" s="34"/>
      <c r="CA79" s="38" t="s">
        <v>90</v>
      </c>
      <c r="CB79" s="31">
        <v>0</v>
      </c>
      <c r="CC79" s="31"/>
      <c r="CD79" s="31"/>
      <c r="CF79" s="36"/>
      <c r="CG79" s="44" t="s">
        <v>165</v>
      </c>
      <c r="CH79" s="19">
        <v>1</v>
      </c>
      <c r="CL79" s="36"/>
      <c r="CM79" s="44" t="s">
        <v>166</v>
      </c>
      <c r="CN79" s="19">
        <v>0</v>
      </c>
      <c r="CR79" s="36"/>
    </row>
    <row r="80" spans="1:96" x14ac:dyDescent="0.2">
      <c r="A80" s="42"/>
      <c r="B80" s="27"/>
      <c r="C80" s="27"/>
      <c r="D80" s="27"/>
      <c r="E80" s="27"/>
      <c r="G80" s="25"/>
      <c r="H80" s="25"/>
      <c r="I80" s="27"/>
      <c r="J80" s="27"/>
      <c r="K80" s="27"/>
      <c r="L80" s="29"/>
      <c r="M80" s="27"/>
      <c r="N80" s="27"/>
      <c r="O80" s="27"/>
      <c r="P80" s="27"/>
      <c r="Q80" s="27"/>
      <c r="R80" s="29"/>
      <c r="S80" s="40"/>
      <c r="T80" s="27"/>
      <c r="U80" s="27"/>
      <c r="V80" s="27"/>
      <c r="W80" s="27"/>
      <c r="X80" s="29"/>
      <c r="Y80" s="27"/>
      <c r="Z80" s="27"/>
      <c r="AA80" s="27"/>
      <c r="AB80" s="27"/>
      <c r="AC80" s="27"/>
      <c r="AE80" s="31"/>
      <c r="AF80" s="31"/>
      <c r="AG80" s="31"/>
      <c r="AH80" s="31"/>
      <c r="AJ80" s="34"/>
      <c r="AK80" s="23" t="s">
        <v>431</v>
      </c>
      <c r="AL80" s="22">
        <v>0</v>
      </c>
      <c r="AQ80" s="42"/>
      <c r="AR80" s="27"/>
      <c r="AS80" s="27"/>
      <c r="AT80" s="27"/>
      <c r="AU80" s="27"/>
      <c r="AX80" s="31"/>
      <c r="AY80" s="31"/>
      <c r="AZ80" s="31"/>
      <c r="BA80" s="24"/>
      <c r="BC80" s="43" t="s">
        <v>132</v>
      </c>
      <c r="BD80" s="19">
        <v>0</v>
      </c>
      <c r="BE80" s="31" t="s">
        <v>106</v>
      </c>
      <c r="BF80" s="31">
        <f>SUM(BD80:BD101)</f>
        <v>3</v>
      </c>
      <c r="BH80" s="34"/>
      <c r="BI80" s="43"/>
      <c r="BK80" s="31"/>
      <c r="BL80" s="31"/>
      <c r="BN80" s="34"/>
      <c r="BO80" s="38" t="s">
        <v>85</v>
      </c>
      <c r="BP80" s="31">
        <v>1</v>
      </c>
      <c r="BQ80" s="31"/>
      <c r="BR80" s="31"/>
      <c r="BT80" s="34"/>
      <c r="BU80" s="38" t="s">
        <v>161</v>
      </c>
      <c r="BV80" s="31">
        <v>0</v>
      </c>
      <c r="BW80" s="31"/>
      <c r="BX80" s="31"/>
      <c r="BZ80" s="34"/>
      <c r="CA80" s="38" t="s">
        <v>89</v>
      </c>
      <c r="CB80" s="31">
        <v>0</v>
      </c>
      <c r="CC80" s="31"/>
      <c r="CD80" s="31"/>
      <c r="CF80" s="36"/>
      <c r="CG80" s="44" t="s">
        <v>169</v>
      </c>
      <c r="CH80" s="19">
        <v>0</v>
      </c>
      <c r="CL80" s="36"/>
      <c r="CM80" s="44" t="s">
        <v>170</v>
      </c>
      <c r="CN80" s="19">
        <v>0</v>
      </c>
      <c r="CR80" s="36"/>
    </row>
    <row r="81" spans="1:96" x14ac:dyDescent="0.2">
      <c r="A81" s="42"/>
      <c r="B81" s="27"/>
      <c r="C81" s="27"/>
      <c r="D81" s="27"/>
      <c r="E81" s="27"/>
      <c r="G81" s="25"/>
      <c r="H81" s="25"/>
      <c r="I81" s="27"/>
      <c r="J81" s="27"/>
      <c r="K81" s="27"/>
      <c r="L81" s="29"/>
      <c r="M81" s="27"/>
      <c r="N81" s="27"/>
      <c r="O81" s="27"/>
      <c r="P81" s="27"/>
      <c r="Q81" s="27"/>
      <c r="R81" s="29"/>
      <c r="S81" s="40"/>
      <c r="T81" s="27"/>
      <c r="U81" s="27"/>
      <c r="V81" s="27"/>
      <c r="W81" s="27"/>
      <c r="X81" s="29"/>
      <c r="Y81" s="27"/>
      <c r="Z81" s="27"/>
      <c r="AA81" s="27"/>
      <c r="AB81" s="27"/>
      <c r="AC81" s="27"/>
      <c r="AE81" s="31"/>
      <c r="AF81" s="31"/>
      <c r="AG81" s="31"/>
      <c r="AH81" s="31"/>
      <c r="AJ81" s="34"/>
      <c r="AK81" s="23" t="s">
        <v>432</v>
      </c>
      <c r="AL81" s="22">
        <v>0</v>
      </c>
      <c r="AQ81" s="42"/>
      <c r="AR81" s="27"/>
      <c r="AS81" s="27"/>
      <c r="AT81" s="27"/>
      <c r="AU81" s="27"/>
      <c r="AX81" s="31"/>
      <c r="AY81" s="31"/>
      <c r="AZ81" s="31"/>
      <c r="BC81" s="43" t="s">
        <v>171</v>
      </c>
      <c r="BD81" s="19">
        <v>0</v>
      </c>
      <c r="BE81" s="31" t="s">
        <v>115</v>
      </c>
      <c r="BF81" s="31">
        <f>MIN(BD80:BD101)</f>
        <v>0</v>
      </c>
      <c r="BH81" s="34"/>
      <c r="BI81" s="43"/>
      <c r="BK81" s="31"/>
      <c r="BL81" s="31"/>
      <c r="BN81" s="34"/>
      <c r="BO81" s="38" t="s">
        <v>173</v>
      </c>
      <c r="BP81" s="31">
        <v>0</v>
      </c>
      <c r="BQ81" s="31"/>
      <c r="BR81" s="31"/>
      <c r="BT81" s="34"/>
      <c r="BU81" s="38" t="s">
        <v>168</v>
      </c>
      <c r="BV81" s="31">
        <v>1</v>
      </c>
      <c r="BW81" s="31"/>
      <c r="BX81" s="31"/>
      <c r="BZ81" s="34"/>
      <c r="CA81" s="38" t="s">
        <v>88</v>
      </c>
      <c r="CB81" s="31">
        <v>0</v>
      </c>
      <c r="CC81" s="31"/>
      <c r="CD81" s="31"/>
      <c r="CF81" s="36"/>
      <c r="CG81" s="44" t="s">
        <v>174</v>
      </c>
      <c r="CH81" s="19">
        <v>2</v>
      </c>
      <c r="CL81" s="36"/>
      <c r="CM81" s="44" t="s">
        <v>175</v>
      </c>
      <c r="CN81" s="19">
        <v>0</v>
      </c>
      <c r="CR81" s="36"/>
    </row>
    <row r="82" spans="1:96" x14ac:dyDescent="0.2">
      <c r="A82" s="42"/>
      <c r="B82" s="27"/>
      <c r="C82" s="27"/>
      <c r="D82" s="27"/>
      <c r="E82" s="27"/>
      <c r="G82" s="25"/>
      <c r="H82" s="25"/>
      <c r="I82" s="27"/>
      <c r="J82" s="27"/>
      <c r="K82" s="27"/>
      <c r="L82" s="29"/>
      <c r="M82" s="27"/>
      <c r="N82" s="27"/>
      <c r="O82" s="27"/>
      <c r="P82" s="27"/>
      <c r="Q82" s="27"/>
      <c r="R82" s="29"/>
      <c r="S82" s="40"/>
      <c r="T82" s="27"/>
      <c r="U82" s="27"/>
      <c r="V82" s="27"/>
      <c r="W82" s="27"/>
      <c r="X82" s="29"/>
      <c r="Y82" s="27"/>
      <c r="Z82" s="27"/>
      <c r="AA82" s="27"/>
      <c r="AB82" s="27"/>
      <c r="AC82" s="27"/>
      <c r="AE82" s="31"/>
      <c r="AF82" s="31"/>
      <c r="AG82" s="31"/>
      <c r="AH82" s="31"/>
      <c r="AJ82" s="34"/>
      <c r="AK82" s="23" t="s">
        <v>433</v>
      </c>
      <c r="AL82" s="22">
        <v>0</v>
      </c>
      <c r="AQ82" s="42"/>
      <c r="AR82" s="27"/>
      <c r="AS82" s="27"/>
      <c r="AT82" s="27"/>
      <c r="AU82" s="27"/>
      <c r="AX82" s="31"/>
      <c r="AY82" s="31"/>
      <c r="AZ82" s="31"/>
      <c r="BC82" s="43" t="s">
        <v>176</v>
      </c>
      <c r="BD82" s="19">
        <v>0</v>
      </c>
      <c r="BE82" s="31" t="s">
        <v>122</v>
      </c>
      <c r="BF82" s="31">
        <f>MAX(BD80:BD101)</f>
        <v>1</v>
      </c>
      <c r="BG82" s="24"/>
      <c r="BH82" s="34"/>
      <c r="BI82" s="43"/>
      <c r="BK82" s="31"/>
      <c r="BL82" s="31"/>
      <c r="BN82" s="34"/>
      <c r="BO82" s="38" t="s">
        <v>178</v>
      </c>
      <c r="BP82" s="31">
        <v>0</v>
      </c>
      <c r="BQ82" s="31"/>
      <c r="BR82" s="31"/>
      <c r="BT82" s="34"/>
      <c r="BU82" s="38" t="s">
        <v>179</v>
      </c>
      <c r="BV82" s="31">
        <v>0</v>
      </c>
      <c r="BW82" s="31"/>
      <c r="BX82" s="31"/>
      <c r="BZ82" s="34"/>
      <c r="CA82" s="38" t="s">
        <v>87</v>
      </c>
      <c r="CB82" s="31">
        <v>0</v>
      </c>
      <c r="CC82" s="31"/>
      <c r="CD82" s="31"/>
      <c r="CF82" s="36"/>
      <c r="CG82" s="44" t="s">
        <v>180</v>
      </c>
      <c r="CH82" s="19">
        <v>1</v>
      </c>
      <c r="CL82" s="36"/>
      <c r="CM82" s="44" t="s">
        <v>181</v>
      </c>
      <c r="CN82" s="19">
        <v>1</v>
      </c>
      <c r="CR82" s="36"/>
    </row>
    <row r="83" spans="1:96" x14ac:dyDescent="0.2">
      <c r="A83" s="42"/>
      <c r="B83" s="27"/>
      <c r="C83" s="27"/>
      <c r="D83" s="27"/>
      <c r="E83" s="27"/>
      <c r="G83" s="25"/>
      <c r="H83" s="25"/>
      <c r="I83" s="27"/>
      <c r="J83" s="27"/>
      <c r="K83" s="27"/>
      <c r="L83" s="29"/>
      <c r="M83" s="27"/>
      <c r="N83" s="27"/>
      <c r="O83" s="27"/>
      <c r="P83" s="27"/>
      <c r="Q83" s="27"/>
      <c r="R83" s="29"/>
      <c r="S83" s="40"/>
      <c r="T83" s="27"/>
      <c r="U83" s="27"/>
      <c r="V83" s="27"/>
      <c r="W83" s="27"/>
      <c r="X83" s="29"/>
      <c r="Y83" s="27"/>
      <c r="Z83" s="27"/>
      <c r="AA83" s="27"/>
      <c r="AB83" s="27"/>
      <c r="AC83" s="27"/>
      <c r="AE83" s="31"/>
      <c r="AF83" s="31"/>
      <c r="AG83" s="31"/>
      <c r="AH83" s="31"/>
      <c r="AJ83" s="34"/>
      <c r="AK83" s="23" t="s">
        <v>434</v>
      </c>
      <c r="AL83" s="22">
        <v>0</v>
      </c>
      <c r="AQ83" s="42"/>
      <c r="AR83" s="27"/>
      <c r="AS83" s="27"/>
      <c r="AT83" s="27"/>
      <c r="AU83" s="27"/>
      <c r="AX83" s="33"/>
      <c r="BC83" s="43" t="s">
        <v>182</v>
      </c>
      <c r="BD83" s="19">
        <v>0</v>
      </c>
      <c r="BE83" s="31" t="s">
        <v>129</v>
      </c>
      <c r="BF83" s="31">
        <f>VAR(BD80:BD101)</f>
        <v>0.12337662337662338</v>
      </c>
      <c r="BG83" s="24"/>
      <c r="BH83" s="34"/>
      <c r="BI83" s="43"/>
      <c r="BK83" s="31"/>
      <c r="BL83" s="31"/>
      <c r="BN83" s="34"/>
      <c r="BO83" s="38" t="s">
        <v>183</v>
      </c>
      <c r="BP83" s="33">
        <v>0</v>
      </c>
      <c r="BT83" s="34"/>
      <c r="BU83" s="38" t="s">
        <v>184</v>
      </c>
      <c r="BV83" s="33">
        <v>0</v>
      </c>
      <c r="BZ83" s="34"/>
      <c r="CA83" s="38" t="s">
        <v>86</v>
      </c>
      <c r="CB83" s="33">
        <v>0</v>
      </c>
      <c r="CF83" s="36"/>
      <c r="CG83" s="44" t="s">
        <v>185</v>
      </c>
      <c r="CH83" s="19">
        <v>1</v>
      </c>
      <c r="CL83" s="36"/>
      <c r="CM83" s="44" t="s">
        <v>186</v>
      </c>
      <c r="CN83" s="19">
        <v>0</v>
      </c>
      <c r="CR83" s="36"/>
    </row>
    <row r="84" spans="1:96" ht="13.5" x14ac:dyDescent="0.25">
      <c r="A84" s="42"/>
      <c r="B84" s="27"/>
      <c r="C84" s="27"/>
      <c r="D84" s="27"/>
      <c r="E84" s="27"/>
      <c r="G84" s="25"/>
      <c r="H84" s="25"/>
      <c r="I84" s="27"/>
      <c r="J84" s="27"/>
      <c r="K84" s="27"/>
      <c r="L84" s="29"/>
      <c r="M84" s="27"/>
      <c r="N84" s="27"/>
      <c r="O84" s="27"/>
      <c r="P84" s="27"/>
      <c r="Q84" s="27"/>
      <c r="R84" s="29"/>
      <c r="S84" s="39"/>
      <c r="T84" s="27"/>
      <c r="U84" s="27"/>
      <c r="V84" s="27"/>
      <c r="W84" s="27"/>
      <c r="X84" s="29"/>
      <c r="Y84" s="53"/>
      <c r="Z84" s="27"/>
      <c r="AA84" s="27"/>
      <c r="AB84" s="27"/>
      <c r="AC84" s="27"/>
      <c r="AE84" s="31"/>
      <c r="AF84" s="31"/>
      <c r="AG84" s="31"/>
      <c r="AH84" s="31"/>
      <c r="AJ84" s="34"/>
      <c r="AQ84" s="42"/>
      <c r="AR84" s="27"/>
      <c r="AS84" s="27"/>
      <c r="AT84" s="27"/>
      <c r="AU84" s="27"/>
      <c r="AX84" s="33"/>
      <c r="BC84" s="43" t="s">
        <v>135</v>
      </c>
      <c r="BD84" s="19">
        <v>0</v>
      </c>
      <c r="BE84" s="31" t="s">
        <v>138</v>
      </c>
      <c r="BF84" s="31">
        <f>AVERAGE(BD80:BD101)</f>
        <v>0.13636363636363635</v>
      </c>
      <c r="BH84" s="34"/>
      <c r="BI84" s="43"/>
      <c r="BK84" s="31"/>
      <c r="BL84" s="31"/>
      <c r="BN84" s="34"/>
      <c r="BO84" s="38" t="s">
        <v>188</v>
      </c>
      <c r="BP84" s="33">
        <v>0</v>
      </c>
      <c r="BT84" s="34"/>
      <c r="BU84" s="38" t="s">
        <v>189</v>
      </c>
      <c r="BV84" s="33">
        <v>0</v>
      </c>
      <c r="BZ84" s="34"/>
      <c r="CA84" s="38" t="s">
        <v>85</v>
      </c>
      <c r="CB84" s="33">
        <v>0</v>
      </c>
      <c r="CF84" s="36"/>
      <c r="CG84" s="44" t="s">
        <v>190</v>
      </c>
      <c r="CH84" s="19">
        <v>1</v>
      </c>
      <c r="CL84" s="36"/>
      <c r="CM84" s="44" t="s">
        <v>191</v>
      </c>
      <c r="CN84" s="19">
        <v>0</v>
      </c>
      <c r="CR84" s="36"/>
    </row>
    <row r="85" spans="1:96" ht="13.5" x14ac:dyDescent="0.25">
      <c r="A85" s="52"/>
      <c r="B85" s="25"/>
      <c r="C85" s="27"/>
      <c r="D85" s="27"/>
      <c r="E85" s="27"/>
      <c r="G85" s="25"/>
      <c r="H85" s="25"/>
      <c r="I85" s="27"/>
      <c r="J85" s="27"/>
      <c r="K85" s="27"/>
      <c r="L85" s="29"/>
      <c r="M85" s="27"/>
      <c r="N85" s="27"/>
      <c r="O85" s="27"/>
      <c r="P85" s="27"/>
      <c r="Q85" s="27"/>
      <c r="R85" s="29"/>
      <c r="S85" s="53"/>
      <c r="T85" s="27"/>
      <c r="U85" s="27"/>
      <c r="V85" s="27"/>
      <c r="W85" s="27"/>
      <c r="X85" s="29"/>
      <c r="Y85" s="27"/>
      <c r="Z85" s="27"/>
      <c r="AA85" s="27"/>
      <c r="AB85" s="27"/>
      <c r="AC85" s="27"/>
      <c r="AE85" s="31"/>
      <c r="AF85" s="31"/>
      <c r="AG85" s="31"/>
      <c r="AH85" s="31"/>
      <c r="AJ85" s="34"/>
      <c r="AK85" s="94"/>
      <c r="AL85" s="94"/>
      <c r="AM85" s="34"/>
      <c r="AN85" s="34"/>
      <c r="AO85" s="34"/>
      <c r="AQ85" s="52"/>
      <c r="AR85" s="25"/>
      <c r="AS85" s="27"/>
      <c r="AT85" s="27"/>
      <c r="AU85" s="27"/>
      <c r="AW85" s="49"/>
      <c r="AX85" s="33"/>
      <c r="BC85" s="43" t="s">
        <v>192</v>
      </c>
      <c r="BD85" s="19">
        <v>0</v>
      </c>
      <c r="BE85" s="31" t="s">
        <v>144</v>
      </c>
      <c r="BF85" s="31">
        <f>STDEV(BD80:BD101)</f>
        <v>0.35125008665710444</v>
      </c>
      <c r="BH85" s="34"/>
      <c r="BI85" s="43"/>
      <c r="BK85" s="31"/>
      <c r="BL85" s="31"/>
      <c r="BN85" s="34"/>
      <c r="BO85" s="38" t="s">
        <v>193</v>
      </c>
      <c r="BP85" s="33">
        <v>0</v>
      </c>
      <c r="BT85" s="34"/>
      <c r="BU85" s="38" t="s">
        <v>194</v>
      </c>
      <c r="BV85" s="33">
        <v>0</v>
      </c>
      <c r="BZ85" s="34"/>
      <c r="CA85" s="38" t="s">
        <v>84</v>
      </c>
      <c r="CB85" s="33">
        <v>0</v>
      </c>
      <c r="CF85" s="36"/>
      <c r="CG85" s="44" t="s">
        <v>195</v>
      </c>
      <c r="CH85" s="19">
        <v>0</v>
      </c>
      <c r="CL85" s="36"/>
      <c r="CM85" s="44" t="s">
        <v>196</v>
      </c>
      <c r="CN85" s="19">
        <v>0</v>
      </c>
      <c r="CR85" s="36"/>
    </row>
    <row r="86" spans="1:96" x14ac:dyDescent="0.2">
      <c r="A86" s="27"/>
      <c r="B86" s="27"/>
      <c r="C86" s="27"/>
      <c r="D86" s="27"/>
      <c r="E86" s="27"/>
      <c r="K86" s="27"/>
      <c r="L86" s="29"/>
      <c r="M86" s="29"/>
      <c r="N86" s="29"/>
      <c r="O86" s="29"/>
      <c r="P86" s="29"/>
      <c r="Q86" s="29"/>
      <c r="R86" s="29"/>
      <c r="S86" s="40"/>
      <c r="T86" s="27"/>
      <c r="U86" s="27"/>
      <c r="V86" s="27"/>
      <c r="W86" s="27"/>
      <c r="X86" s="29"/>
      <c r="Y86" s="27"/>
      <c r="Z86" s="27"/>
      <c r="AA86" s="27"/>
      <c r="AB86" s="27"/>
      <c r="AC86" s="27"/>
      <c r="AE86" s="31"/>
      <c r="AF86" s="31"/>
      <c r="AG86" s="31"/>
      <c r="AH86" s="31"/>
      <c r="AJ86" s="34"/>
      <c r="AK86" s="94"/>
      <c r="AL86" s="94"/>
      <c r="AM86" s="34"/>
      <c r="AN86" s="34"/>
      <c r="AO86" s="34"/>
      <c r="AQ86" s="27"/>
      <c r="AR86" s="27"/>
      <c r="AS86" s="27"/>
      <c r="AT86" s="27"/>
      <c r="AU86" s="27"/>
      <c r="AW86" s="49"/>
      <c r="AX86" s="33"/>
      <c r="BC86" s="43" t="s">
        <v>197</v>
      </c>
      <c r="BD86" s="19">
        <v>0</v>
      </c>
      <c r="BH86" s="34"/>
      <c r="BI86" s="43"/>
      <c r="BK86" s="31"/>
      <c r="BL86" s="31"/>
      <c r="BN86" s="34"/>
      <c r="BO86" s="38" t="s">
        <v>199</v>
      </c>
      <c r="BP86" s="33">
        <v>0</v>
      </c>
      <c r="BT86" s="34"/>
      <c r="BU86" s="38" t="s">
        <v>200</v>
      </c>
      <c r="BV86" s="33">
        <v>0</v>
      </c>
      <c r="BZ86" s="34"/>
      <c r="CA86" s="38" t="s">
        <v>83</v>
      </c>
      <c r="CB86" s="33">
        <v>0</v>
      </c>
      <c r="CF86" s="36"/>
      <c r="CG86" s="44" t="s">
        <v>201</v>
      </c>
      <c r="CH86" s="19">
        <v>0</v>
      </c>
      <c r="CL86" s="36"/>
      <c r="CM86" s="44" t="s">
        <v>202</v>
      </c>
      <c r="CN86" s="19">
        <v>0</v>
      </c>
      <c r="CR86" s="36"/>
    </row>
    <row r="87" spans="1:96" x14ac:dyDescent="0.2">
      <c r="A87" s="42"/>
      <c r="B87" s="27"/>
      <c r="C87" s="27"/>
      <c r="D87" s="27"/>
      <c r="E87" s="27"/>
      <c r="K87" s="27"/>
      <c r="L87" s="29"/>
      <c r="M87" s="27"/>
      <c r="N87" s="27"/>
      <c r="O87" s="27"/>
      <c r="P87" s="27"/>
      <c r="Q87" s="27"/>
      <c r="R87" s="29"/>
      <c r="S87" s="40"/>
      <c r="T87" s="27"/>
      <c r="U87" s="27"/>
      <c r="V87" s="27"/>
      <c r="W87" s="27"/>
      <c r="X87" s="29"/>
      <c r="Y87" s="27"/>
      <c r="Z87" s="27"/>
      <c r="AA87" s="27"/>
      <c r="AB87" s="27"/>
      <c r="AC87" s="27"/>
      <c r="AE87" s="31"/>
      <c r="AF87" s="31"/>
      <c r="AG87" s="31"/>
      <c r="AH87" s="31"/>
      <c r="AJ87" s="34"/>
      <c r="AQ87" s="42"/>
      <c r="AR87" s="27"/>
      <c r="AS87" s="27"/>
      <c r="AT87" s="27"/>
      <c r="AU87" s="27"/>
      <c r="AW87" s="32"/>
      <c r="AX87" s="33"/>
      <c r="AY87" s="31"/>
      <c r="AZ87" s="31"/>
      <c r="BC87" s="43" t="s">
        <v>204</v>
      </c>
      <c r="BD87" s="19">
        <v>1</v>
      </c>
      <c r="BH87" s="34"/>
      <c r="BI87" s="43"/>
      <c r="BN87" s="34"/>
      <c r="BO87" s="38" t="s">
        <v>206</v>
      </c>
      <c r="BP87" s="33">
        <v>0</v>
      </c>
      <c r="BT87" s="34"/>
      <c r="BU87" s="37" t="s">
        <v>203</v>
      </c>
      <c r="BV87" s="33">
        <v>0</v>
      </c>
      <c r="BZ87" s="34"/>
      <c r="CA87" s="38" t="s">
        <v>82</v>
      </c>
      <c r="CB87" s="33">
        <v>0</v>
      </c>
      <c r="CF87" s="36"/>
      <c r="CG87" s="44" t="s">
        <v>207</v>
      </c>
      <c r="CH87" s="19">
        <v>0</v>
      </c>
      <c r="CL87" s="36"/>
      <c r="CM87" s="44" t="s">
        <v>208</v>
      </c>
      <c r="CN87" s="19">
        <v>0</v>
      </c>
      <c r="CR87" s="36"/>
    </row>
    <row r="88" spans="1:96" ht="15" x14ac:dyDescent="0.25">
      <c r="A88" s="42"/>
      <c r="B88" s="27"/>
      <c r="C88" s="27"/>
      <c r="D88" s="27"/>
      <c r="E88" s="27"/>
      <c r="K88" s="27"/>
      <c r="L88" s="29"/>
      <c r="M88" s="27"/>
      <c r="N88" s="27"/>
      <c r="O88" s="27"/>
      <c r="P88" s="27"/>
      <c r="Q88" s="27"/>
      <c r="R88" s="29"/>
      <c r="S88" s="40"/>
      <c r="T88" s="27"/>
      <c r="U88" s="27"/>
      <c r="V88" s="27"/>
      <c r="W88" s="27"/>
      <c r="X88" s="29"/>
      <c r="Y88" s="23"/>
      <c r="Z88"/>
      <c r="AA88" s="27"/>
      <c r="AB88" s="27"/>
      <c r="AC88" s="27"/>
      <c r="AE88" s="41"/>
      <c r="AF88" s="31"/>
      <c r="AG88" s="31"/>
      <c r="AH88" s="31"/>
      <c r="AI88" s="33"/>
      <c r="AJ88" s="34"/>
      <c r="AK88" s="23"/>
      <c r="AL88" s="33"/>
      <c r="AQ88" s="42"/>
      <c r="AR88" s="27"/>
      <c r="AS88" s="27"/>
      <c r="AT88" s="27"/>
      <c r="AU88" s="27"/>
      <c r="AW88" s="43"/>
      <c r="AX88" s="33"/>
      <c r="AY88" s="31"/>
      <c r="AZ88" s="31"/>
      <c r="BC88" s="43" t="s">
        <v>209</v>
      </c>
      <c r="BD88" s="19">
        <v>1</v>
      </c>
      <c r="BH88" s="34"/>
      <c r="BI88" s="43"/>
      <c r="BN88" s="34"/>
      <c r="BO88" s="38" t="s">
        <v>211</v>
      </c>
      <c r="BP88" s="33">
        <v>0</v>
      </c>
      <c r="BT88" s="34"/>
      <c r="BU88" s="38" t="s">
        <v>212</v>
      </c>
      <c r="BV88" s="33">
        <v>0</v>
      </c>
      <c r="BZ88" s="34"/>
      <c r="CA88" s="38" t="s">
        <v>81</v>
      </c>
      <c r="CB88" s="33">
        <v>0</v>
      </c>
      <c r="CF88" s="36"/>
      <c r="CG88" s="44" t="s">
        <v>213</v>
      </c>
      <c r="CH88" s="19">
        <v>0</v>
      </c>
      <c r="CL88" s="36"/>
      <c r="CM88" s="44" t="s">
        <v>214</v>
      </c>
      <c r="CN88" s="19">
        <v>0</v>
      </c>
      <c r="CR88" s="36"/>
    </row>
    <row r="89" spans="1:96" x14ac:dyDescent="0.2">
      <c r="A89" s="42"/>
      <c r="B89" s="27"/>
      <c r="C89" s="27"/>
      <c r="D89" s="27"/>
      <c r="E89" s="27"/>
      <c r="K89" s="27"/>
      <c r="L89" s="29"/>
      <c r="M89" s="27"/>
      <c r="N89" s="27"/>
      <c r="O89" s="27"/>
      <c r="P89" s="27"/>
      <c r="Q89" s="27"/>
      <c r="R89" s="29"/>
      <c r="S89" s="40"/>
      <c r="T89" s="27"/>
      <c r="U89" s="27"/>
      <c r="V89" s="27"/>
      <c r="W89" s="27"/>
      <c r="X89" s="29"/>
      <c r="Y89" s="27"/>
      <c r="Z89" s="27"/>
      <c r="AA89" s="27"/>
      <c r="AB89" s="27"/>
      <c r="AC89" s="27"/>
      <c r="AE89" s="41"/>
      <c r="AF89" s="31"/>
      <c r="AG89" s="31"/>
      <c r="AH89" s="31"/>
      <c r="AI89" s="33"/>
      <c r="AJ89" s="34"/>
      <c r="AK89" s="23"/>
      <c r="AL89" s="33"/>
      <c r="AQ89" s="42"/>
      <c r="AR89" s="27"/>
      <c r="AS89" s="27"/>
      <c r="AT89" s="27"/>
      <c r="AU89" s="27"/>
      <c r="AW89" s="43"/>
      <c r="AX89" s="33"/>
      <c r="AY89" s="31"/>
      <c r="AZ89" s="31"/>
      <c r="BC89" s="43" t="s">
        <v>217</v>
      </c>
      <c r="BD89" s="19">
        <v>0</v>
      </c>
      <c r="BH89" s="34"/>
      <c r="BI89" s="43"/>
      <c r="BN89" s="34"/>
      <c r="BO89" s="38" t="s">
        <v>219</v>
      </c>
      <c r="BP89" s="33">
        <v>0</v>
      </c>
      <c r="BT89" s="34"/>
      <c r="BU89" s="38" t="s">
        <v>220</v>
      </c>
      <c r="BV89" s="33">
        <v>0</v>
      </c>
      <c r="BZ89" s="34"/>
      <c r="CA89" s="38" t="s">
        <v>80</v>
      </c>
      <c r="CB89" s="33">
        <v>0</v>
      </c>
      <c r="CF89" s="36"/>
      <c r="CG89" s="44" t="s">
        <v>221</v>
      </c>
      <c r="CH89" s="19">
        <v>0</v>
      </c>
      <c r="CL89" s="36"/>
      <c r="CM89" s="44" t="s">
        <v>222</v>
      </c>
      <c r="CN89" s="19">
        <v>0</v>
      </c>
      <c r="CR89" s="36"/>
    </row>
    <row r="90" spans="1:96" x14ac:dyDescent="0.2">
      <c r="A90" s="42"/>
      <c r="B90" s="27"/>
      <c r="C90" s="27"/>
      <c r="D90" s="27"/>
      <c r="E90" s="27"/>
      <c r="K90" s="27"/>
      <c r="L90" s="29"/>
      <c r="M90" s="27"/>
      <c r="N90" s="27"/>
      <c r="O90" s="27"/>
      <c r="P90" s="27"/>
      <c r="Q90" s="27"/>
      <c r="R90" s="29"/>
      <c r="S90" s="40"/>
      <c r="T90" s="27"/>
      <c r="U90" s="27"/>
      <c r="V90" s="27"/>
      <c r="W90" s="25"/>
      <c r="X90" s="29"/>
      <c r="Y90" s="27"/>
      <c r="Z90" s="27"/>
      <c r="AA90" s="27"/>
      <c r="AB90" s="27"/>
      <c r="AC90" s="27"/>
      <c r="AE90" s="41"/>
      <c r="AF90" s="31"/>
      <c r="AG90" s="31"/>
      <c r="AH90" s="31"/>
      <c r="AI90" s="33"/>
      <c r="AJ90" s="34"/>
      <c r="AK90" s="23"/>
      <c r="AL90" s="33"/>
      <c r="AQ90" s="42"/>
      <c r="AR90" s="27"/>
      <c r="AS90" s="27"/>
      <c r="AT90" s="27"/>
      <c r="AU90" s="27"/>
      <c r="AW90" s="43"/>
      <c r="AX90" s="33"/>
      <c r="AY90" s="31"/>
      <c r="AZ90" s="31"/>
      <c r="BC90" s="43" t="s">
        <v>223</v>
      </c>
      <c r="BD90" s="19">
        <v>0</v>
      </c>
      <c r="BH90" s="34"/>
      <c r="BI90" s="43"/>
      <c r="BN90" s="34"/>
      <c r="BO90" s="38" t="s">
        <v>225</v>
      </c>
      <c r="BP90" s="33">
        <v>0</v>
      </c>
      <c r="BT90" s="34"/>
      <c r="BU90" s="38" t="s">
        <v>226</v>
      </c>
      <c r="BV90" s="33">
        <v>0</v>
      </c>
      <c r="BZ90" s="34"/>
      <c r="CA90" s="38" t="s">
        <v>79</v>
      </c>
      <c r="CB90" s="33">
        <v>0</v>
      </c>
      <c r="CF90" s="36"/>
      <c r="CG90" s="44" t="s">
        <v>227</v>
      </c>
      <c r="CH90" s="19">
        <v>0</v>
      </c>
      <c r="CL90" s="36"/>
      <c r="CM90" s="44" t="s">
        <v>228</v>
      </c>
      <c r="CN90" s="19">
        <v>0</v>
      </c>
      <c r="CR90" s="36"/>
    </row>
    <row r="91" spans="1:96" ht="13.5" x14ac:dyDescent="0.25">
      <c r="A91" s="42"/>
      <c r="B91" s="27"/>
      <c r="C91" s="27"/>
      <c r="D91" s="27"/>
      <c r="E91" s="27"/>
      <c r="K91" s="27"/>
      <c r="L91" s="29"/>
      <c r="M91" s="27"/>
      <c r="N91" s="27"/>
      <c r="O91" s="27"/>
      <c r="P91" s="27"/>
      <c r="Q91" s="27"/>
      <c r="R91" s="29"/>
      <c r="S91" s="40"/>
      <c r="T91" s="27"/>
      <c r="U91" s="27"/>
      <c r="V91" s="27"/>
      <c r="W91" s="27"/>
      <c r="X91" s="29"/>
      <c r="Y91" s="53"/>
      <c r="Z91" s="27"/>
      <c r="AA91" s="27"/>
      <c r="AB91" s="27"/>
      <c r="AC91" s="27"/>
      <c r="AE91" s="41"/>
      <c r="AF91" s="31"/>
      <c r="AG91" s="31"/>
      <c r="AH91" s="31"/>
      <c r="AI91" s="33"/>
      <c r="AJ91" s="34"/>
      <c r="AK91" s="23"/>
      <c r="AL91" s="33"/>
      <c r="AQ91" s="42"/>
      <c r="AR91" s="27"/>
      <c r="AS91" s="27"/>
      <c r="AT91" s="27"/>
      <c r="AU91" s="27"/>
      <c r="AW91" s="43"/>
      <c r="AX91" s="33"/>
      <c r="AY91" s="31"/>
      <c r="AZ91" s="31"/>
      <c r="BC91" s="43" t="s">
        <v>130</v>
      </c>
      <c r="BD91" s="19">
        <v>0</v>
      </c>
      <c r="BH91" s="34"/>
      <c r="BI91" s="43"/>
      <c r="BN91" s="34"/>
      <c r="BO91" s="38" t="s">
        <v>230</v>
      </c>
      <c r="BP91" s="33">
        <v>0</v>
      </c>
      <c r="BT91" s="34"/>
      <c r="BU91" s="38" t="s">
        <v>231</v>
      </c>
      <c r="BV91" s="33">
        <v>0</v>
      </c>
      <c r="BZ91" s="34"/>
      <c r="CA91" s="38" t="s">
        <v>78</v>
      </c>
      <c r="CB91" s="33">
        <v>0</v>
      </c>
      <c r="CF91" s="36"/>
      <c r="CG91" s="44" t="s">
        <v>214</v>
      </c>
      <c r="CH91" s="19">
        <v>0</v>
      </c>
      <c r="CL91" s="36"/>
      <c r="CM91" s="44" t="s">
        <v>232</v>
      </c>
      <c r="CN91" s="19">
        <v>0</v>
      </c>
      <c r="CR91" s="36"/>
    </row>
    <row r="92" spans="1:96" x14ac:dyDescent="0.2">
      <c r="A92" s="42"/>
      <c r="B92" s="27"/>
      <c r="C92" s="27"/>
      <c r="D92" s="27"/>
      <c r="E92" s="27"/>
      <c r="K92" s="27"/>
      <c r="L92" s="29"/>
      <c r="M92" s="27"/>
      <c r="N92" s="27"/>
      <c r="O92" s="27"/>
      <c r="P92" s="27"/>
      <c r="Q92" s="27"/>
      <c r="R92" s="29"/>
      <c r="S92" s="39"/>
      <c r="T92" s="27"/>
      <c r="U92" s="27"/>
      <c r="V92" s="27"/>
      <c r="W92" s="27"/>
      <c r="X92" s="29"/>
      <c r="Y92" s="27"/>
      <c r="Z92" s="27"/>
      <c r="AA92" s="27"/>
      <c r="AB92" s="27"/>
      <c r="AC92" s="27"/>
      <c r="AE92" s="41"/>
      <c r="AF92" s="31"/>
      <c r="AG92" s="31"/>
      <c r="AH92" s="31"/>
      <c r="AI92" s="33"/>
      <c r="AJ92" s="34"/>
      <c r="AK92" s="23"/>
      <c r="AL92" s="33"/>
      <c r="AQ92" s="42"/>
      <c r="AR92" s="27"/>
      <c r="AS92" s="27"/>
      <c r="AT92" s="27"/>
      <c r="AU92" s="27"/>
      <c r="AW92" s="43"/>
      <c r="AX92" s="33"/>
      <c r="AY92" s="31"/>
      <c r="AZ92" s="31"/>
      <c r="BC92" s="43" t="s">
        <v>234</v>
      </c>
      <c r="BD92" s="19">
        <v>0</v>
      </c>
      <c r="BH92" s="34"/>
      <c r="BI92" s="43"/>
      <c r="BN92" s="34"/>
      <c r="BO92" s="38" t="s">
        <v>236</v>
      </c>
      <c r="BP92" s="33">
        <v>0</v>
      </c>
      <c r="BT92" s="34"/>
      <c r="BU92" s="38" t="s">
        <v>237</v>
      </c>
      <c r="BV92" s="33">
        <v>0</v>
      </c>
      <c r="BZ92" s="34"/>
      <c r="CA92" s="38" t="s">
        <v>77</v>
      </c>
      <c r="CB92" s="33">
        <v>0</v>
      </c>
      <c r="CF92" s="36"/>
      <c r="CG92" s="44" t="s">
        <v>238</v>
      </c>
      <c r="CH92" s="19">
        <v>0</v>
      </c>
      <c r="CL92" s="36"/>
      <c r="CR92" s="36"/>
    </row>
    <row r="93" spans="1:96" ht="15" x14ac:dyDescent="0.25">
      <c r="A93" s="42"/>
      <c r="B93" s="27"/>
      <c r="C93" s="27"/>
      <c r="D93" s="27"/>
      <c r="E93" s="27"/>
      <c r="K93" s="27"/>
      <c r="L93" s="29"/>
      <c r="M93" s="27"/>
      <c r="N93" s="27"/>
      <c r="O93" s="27"/>
      <c r="P93" s="27"/>
      <c r="Q93" s="27"/>
      <c r="R93" s="29"/>
      <c r="S93" s="39"/>
      <c r="T93" s="27"/>
      <c r="U93" s="27"/>
      <c r="V93" s="27"/>
      <c r="W93" s="27"/>
      <c r="X93" s="29"/>
      <c r="Y93" s="23"/>
      <c r="Z93"/>
      <c r="AA93" s="27"/>
      <c r="AB93" s="27"/>
      <c r="AC93" s="27"/>
      <c r="AE93" s="41"/>
      <c r="AF93" s="31"/>
      <c r="AG93" s="31"/>
      <c r="AH93" s="31"/>
      <c r="AI93" s="33"/>
      <c r="AJ93" s="34"/>
      <c r="AK93" s="23"/>
      <c r="AL93" s="33"/>
      <c r="AQ93" s="43"/>
      <c r="AR93" s="31"/>
      <c r="AS93" s="31"/>
      <c r="AT93" s="31"/>
      <c r="AW93" s="43"/>
      <c r="AX93" s="33"/>
      <c r="AY93" s="31"/>
      <c r="AZ93" s="31"/>
      <c r="BC93" s="43" t="s">
        <v>239</v>
      </c>
      <c r="BD93" s="19">
        <v>0</v>
      </c>
      <c r="BH93" s="34"/>
      <c r="BI93" s="43"/>
      <c r="BN93" s="34"/>
      <c r="BO93" s="38" t="s">
        <v>241</v>
      </c>
      <c r="BP93" s="33">
        <v>0</v>
      </c>
      <c r="BT93" s="34"/>
      <c r="BU93" s="38" t="s">
        <v>242</v>
      </c>
      <c r="BV93" s="33">
        <v>1</v>
      </c>
      <c r="BZ93" s="34"/>
      <c r="CA93" s="38" t="s">
        <v>76</v>
      </c>
      <c r="CB93" s="33">
        <v>0</v>
      </c>
      <c r="CF93" s="36"/>
      <c r="CG93" s="44" t="s">
        <v>243</v>
      </c>
      <c r="CH93" s="19">
        <v>0</v>
      </c>
      <c r="CL93" s="36"/>
      <c r="CR93" s="36"/>
    </row>
    <row r="94" spans="1:96" ht="15" x14ac:dyDescent="0.25">
      <c r="A94" s="42"/>
      <c r="B94" s="27"/>
      <c r="C94" s="27"/>
      <c r="D94" s="27"/>
      <c r="E94" s="27"/>
      <c r="G94" s="25"/>
      <c r="H94" s="25"/>
      <c r="I94" s="27"/>
      <c r="J94" s="27"/>
      <c r="K94" s="27"/>
      <c r="L94" s="29"/>
      <c r="M94" s="27"/>
      <c r="N94" s="27"/>
      <c r="O94" s="27"/>
      <c r="P94" s="27"/>
      <c r="Q94" s="27"/>
      <c r="R94" s="29"/>
      <c r="S94" s="39"/>
      <c r="T94" s="27"/>
      <c r="U94" s="27"/>
      <c r="V94" s="27"/>
      <c r="W94" s="27"/>
      <c r="X94" s="29"/>
      <c r="Y94" s="23"/>
      <c r="Z94"/>
      <c r="AA94" s="27"/>
      <c r="AB94" s="27"/>
      <c r="AC94" s="27"/>
      <c r="AE94" s="41"/>
      <c r="AF94" s="31"/>
      <c r="AG94" s="31"/>
      <c r="AH94" s="31"/>
      <c r="AI94" s="33"/>
      <c r="AJ94" s="34"/>
      <c r="AK94" s="23"/>
      <c r="AL94" s="33"/>
      <c r="AQ94" s="43"/>
      <c r="AR94" s="31"/>
      <c r="AS94" s="31"/>
      <c r="AT94" s="31"/>
      <c r="AW94" s="43"/>
      <c r="AX94" s="33"/>
      <c r="BC94" s="43" t="s">
        <v>245</v>
      </c>
      <c r="BD94" s="19">
        <v>0</v>
      </c>
      <c r="BH94" s="34"/>
      <c r="BI94" s="43"/>
      <c r="BN94" s="34"/>
      <c r="BO94" s="38" t="s">
        <v>247</v>
      </c>
      <c r="BP94" s="33">
        <v>0</v>
      </c>
      <c r="BT94" s="34"/>
      <c r="BU94" s="38" t="s">
        <v>248</v>
      </c>
      <c r="BV94" s="33">
        <v>1</v>
      </c>
      <c r="BZ94" s="34"/>
      <c r="CA94" s="43" t="s">
        <v>75</v>
      </c>
      <c r="CB94" s="33">
        <v>0</v>
      </c>
      <c r="CF94" s="36"/>
      <c r="CG94" s="44" t="s">
        <v>249</v>
      </c>
      <c r="CH94" s="19">
        <v>0</v>
      </c>
      <c r="CL94" s="36"/>
      <c r="CM94" s="46" t="s">
        <v>167</v>
      </c>
      <c r="CR94" s="36"/>
    </row>
    <row r="95" spans="1:96" ht="15" x14ac:dyDescent="0.25">
      <c r="A95" s="27"/>
      <c r="B95" s="27"/>
      <c r="C95" s="27"/>
      <c r="D95" s="27"/>
      <c r="E95" s="27"/>
      <c r="G95" s="25"/>
      <c r="H95" s="25"/>
      <c r="I95" s="27"/>
      <c r="J95" s="27"/>
      <c r="K95" s="27"/>
      <c r="L95" s="29"/>
      <c r="M95" s="27"/>
      <c r="N95" s="27"/>
      <c r="O95" s="27"/>
      <c r="P95" s="27"/>
      <c r="Q95" s="27"/>
      <c r="R95" s="29"/>
      <c r="S95" s="39"/>
      <c r="T95" s="27"/>
      <c r="U95" s="27"/>
      <c r="V95" s="27"/>
      <c r="W95" s="27"/>
      <c r="X95" s="29"/>
      <c r="Y95" s="23"/>
      <c r="Z95"/>
      <c r="AA95" s="27"/>
      <c r="AB95" s="27"/>
      <c r="AC95" s="27"/>
      <c r="AE95" s="41"/>
      <c r="AF95" s="31"/>
      <c r="AG95" s="31"/>
      <c r="AH95" s="31"/>
      <c r="AJ95" s="34"/>
      <c r="AQ95" s="48"/>
      <c r="AR95" s="31"/>
      <c r="AS95" s="31"/>
      <c r="AT95" s="31"/>
      <c r="AW95" s="43"/>
      <c r="AX95" s="33"/>
      <c r="BC95" s="43" t="s">
        <v>250</v>
      </c>
      <c r="BD95" s="19">
        <v>0</v>
      </c>
      <c r="BH95" s="34"/>
      <c r="BI95" s="43"/>
      <c r="BN95" s="34"/>
      <c r="BO95" s="38" t="s">
        <v>251</v>
      </c>
      <c r="BP95" s="33">
        <v>0</v>
      </c>
      <c r="BT95" s="34"/>
      <c r="BU95" s="38" t="s">
        <v>252</v>
      </c>
      <c r="BV95" s="33">
        <v>0</v>
      </c>
      <c r="BZ95" s="34"/>
      <c r="CA95" s="43" t="s">
        <v>74</v>
      </c>
      <c r="CB95" s="33">
        <v>0</v>
      </c>
      <c r="CF95" s="36"/>
      <c r="CG95" s="44" t="s">
        <v>253</v>
      </c>
      <c r="CH95" s="19">
        <v>0</v>
      </c>
      <c r="CL95" s="36"/>
      <c r="CM95" s="31" t="s">
        <v>102</v>
      </c>
      <c r="CN95" s="31" t="s">
        <v>71</v>
      </c>
      <c r="CO95" s="31" t="s">
        <v>103</v>
      </c>
      <c r="CP95" s="31" t="s">
        <v>104</v>
      </c>
      <c r="CR95" s="36"/>
    </row>
    <row r="96" spans="1:96" ht="15" x14ac:dyDescent="0.25">
      <c r="E96" s="27"/>
      <c r="G96" s="29"/>
      <c r="H96" s="120"/>
      <c r="I96" s="120"/>
      <c r="J96" s="29"/>
      <c r="K96" s="29"/>
      <c r="L96" s="29"/>
      <c r="M96" s="27"/>
      <c r="N96" s="27"/>
      <c r="O96" s="27"/>
      <c r="P96" s="27"/>
      <c r="Q96" s="27"/>
      <c r="R96" s="29"/>
      <c r="S96" s="27"/>
      <c r="T96" s="27"/>
      <c r="U96" s="27"/>
      <c r="V96" s="27"/>
      <c r="W96" s="27"/>
      <c r="X96" s="29"/>
      <c r="Y96" s="23"/>
      <c r="Z96"/>
      <c r="AA96" s="27"/>
      <c r="AB96" s="27"/>
      <c r="AC96" s="27"/>
      <c r="AE96" s="41"/>
      <c r="AF96" s="31"/>
      <c r="AG96" s="31"/>
      <c r="AH96" s="31"/>
      <c r="AJ96" s="34"/>
      <c r="AQ96" s="48"/>
      <c r="AR96" s="31"/>
      <c r="AS96" s="31"/>
      <c r="AT96" s="31"/>
      <c r="AW96" s="43"/>
      <c r="AX96" s="33"/>
      <c r="BC96" s="43" t="s">
        <v>254</v>
      </c>
      <c r="BD96" s="19">
        <v>1</v>
      </c>
      <c r="BH96" s="34"/>
      <c r="BN96" s="34"/>
      <c r="BT96" s="34"/>
      <c r="BZ96" s="34"/>
      <c r="CA96" s="43"/>
      <c r="CF96" s="36"/>
      <c r="CG96" s="44" t="s">
        <v>255</v>
      </c>
      <c r="CH96" s="19">
        <v>0</v>
      </c>
      <c r="CL96" s="36"/>
      <c r="CM96" s="44" t="s">
        <v>256</v>
      </c>
      <c r="CN96" s="19">
        <v>0</v>
      </c>
      <c r="CO96" s="31" t="s">
        <v>106</v>
      </c>
      <c r="CP96" s="31">
        <f>SUM(CN96:CN122)</f>
        <v>10</v>
      </c>
      <c r="CR96" s="36"/>
    </row>
    <row r="97" spans="1:96" ht="15" x14ac:dyDescent="0.25">
      <c r="E97" s="27"/>
      <c r="G97" s="25"/>
      <c r="H97" s="25"/>
      <c r="I97" s="27"/>
      <c r="J97" s="27"/>
      <c r="K97" s="27"/>
      <c r="L97" s="29"/>
      <c r="Q97" s="27"/>
      <c r="R97" s="29"/>
      <c r="W97" s="27"/>
      <c r="X97" s="29"/>
      <c r="Y97" s="23"/>
      <c r="Z97"/>
      <c r="AA97" s="27"/>
      <c r="AB97" s="27"/>
      <c r="AC97" s="27"/>
      <c r="AE97" s="41"/>
      <c r="AF97" s="31"/>
      <c r="AG97" s="31"/>
      <c r="AH97" s="31"/>
      <c r="AJ97" s="34"/>
      <c r="AK97" s="82"/>
      <c r="AL97" s="31"/>
      <c r="AM97" s="31"/>
      <c r="AN97" s="31"/>
      <c r="AQ97" s="31"/>
      <c r="AW97" s="43"/>
      <c r="AX97" s="33"/>
      <c r="BC97" s="43" t="s">
        <v>257</v>
      </c>
      <c r="BD97" s="19">
        <v>0</v>
      </c>
      <c r="BH97" s="34"/>
      <c r="BI97" s="32"/>
      <c r="BJ97" s="27"/>
      <c r="BK97" s="48"/>
      <c r="BL97" s="48"/>
      <c r="BN97" s="34"/>
      <c r="BT97" s="34"/>
      <c r="BZ97" s="34"/>
      <c r="CA97" s="43"/>
      <c r="CF97" s="36"/>
      <c r="CL97" s="36"/>
      <c r="CM97" s="44" t="s">
        <v>259</v>
      </c>
      <c r="CN97" s="19">
        <v>0</v>
      </c>
      <c r="CO97" s="31" t="s">
        <v>115</v>
      </c>
      <c r="CP97" s="31">
        <f>MIN(CN96:CN122)</f>
        <v>0</v>
      </c>
      <c r="CR97" s="36"/>
    </row>
    <row r="98" spans="1:96" ht="15" x14ac:dyDescent="0.25">
      <c r="E98" s="27"/>
      <c r="G98" s="25"/>
      <c r="H98" s="25"/>
      <c r="I98" s="27"/>
      <c r="J98" s="27"/>
      <c r="K98" s="27"/>
      <c r="L98" s="29"/>
      <c r="Q98" s="27"/>
      <c r="R98" s="29"/>
      <c r="W98" s="27"/>
      <c r="X98" s="29"/>
      <c r="Y98" s="23"/>
      <c r="Z98"/>
      <c r="AA98" s="27"/>
      <c r="AB98" s="27"/>
      <c r="AC98" s="27"/>
      <c r="AJ98" s="34"/>
      <c r="AK98" s="31"/>
      <c r="AL98" s="31"/>
      <c r="AM98" s="31"/>
      <c r="AN98" s="31"/>
      <c r="AQ98" s="31"/>
      <c r="AR98" s="31"/>
      <c r="AS98" s="31"/>
      <c r="AT98" s="31"/>
      <c r="AW98" s="48"/>
      <c r="AX98" s="33"/>
      <c r="BC98" s="43" t="s">
        <v>260</v>
      </c>
      <c r="BD98" s="19">
        <v>0</v>
      </c>
      <c r="BH98" s="34"/>
      <c r="BI98" s="43"/>
      <c r="BJ98" s="27"/>
      <c r="BK98" s="48"/>
      <c r="BL98" s="48"/>
      <c r="BN98" s="34"/>
      <c r="BO98" s="32" t="s">
        <v>162</v>
      </c>
      <c r="BP98" s="33" t="s">
        <v>71</v>
      </c>
      <c r="BQ98" s="31" t="s">
        <v>103</v>
      </c>
      <c r="BR98" s="31" t="s">
        <v>104</v>
      </c>
      <c r="BT98" s="34"/>
      <c r="BZ98" s="34"/>
      <c r="CF98" s="36"/>
      <c r="CL98" s="36"/>
      <c r="CM98" s="44" t="s">
        <v>262</v>
      </c>
      <c r="CN98" s="19">
        <v>0</v>
      </c>
      <c r="CO98" s="31" t="s">
        <v>122</v>
      </c>
      <c r="CP98" s="31">
        <f>MAX(CN96:CN122)</f>
        <v>3</v>
      </c>
      <c r="CR98" s="36"/>
    </row>
    <row r="99" spans="1:96" ht="15" x14ac:dyDescent="0.25">
      <c r="E99" s="27"/>
      <c r="G99" s="25"/>
      <c r="H99" s="25"/>
      <c r="I99" s="27"/>
      <c r="J99" s="27"/>
      <c r="K99" s="27"/>
      <c r="L99" s="29"/>
      <c r="Q99" s="27"/>
      <c r="R99" s="29"/>
      <c r="W99" s="27"/>
      <c r="X99" s="29"/>
      <c r="Y99" s="23"/>
      <c r="Z99"/>
      <c r="AA99" s="27"/>
      <c r="AB99" s="27"/>
      <c r="AC99" s="27"/>
      <c r="AJ99" s="34"/>
      <c r="AK99" s="23"/>
      <c r="AL99" s="22"/>
      <c r="AM99" s="31"/>
      <c r="AN99" s="31"/>
      <c r="AQ99" s="43"/>
      <c r="AR99" s="31"/>
      <c r="AS99" s="31"/>
      <c r="AT99" s="31"/>
      <c r="AW99" s="48"/>
      <c r="AX99" s="33"/>
      <c r="BC99" s="43" t="s">
        <v>263</v>
      </c>
      <c r="BD99" s="19">
        <v>0</v>
      </c>
      <c r="BH99" s="34"/>
      <c r="BI99" s="43"/>
      <c r="BJ99" s="27"/>
      <c r="BK99" s="48"/>
      <c r="BL99" s="48"/>
      <c r="BN99" s="34"/>
      <c r="BO99" s="38" t="s">
        <v>265</v>
      </c>
      <c r="BP99" s="33">
        <v>0</v>
      </c>
      <c r="BQ99" s="31" t="s">
        <v>106</v>
      </c>
      <c r="BR99" s="31">
        <f>SUM(BP99:BP103)</f>
        <v>0</v>
      </c>
      <c r="BT99" s="34"/>
      <c r="BU99" s="33" t="s">
        <v>295</v>
      </c>
      <c r="BV99" s="31"/>
      <c r="BW99" s="31"/>
      <c r="BX99" s="31"/>
      <c r="BZ99" s="34"/>
      <c r="CA99" s="33" t="s">
        <v>295</v>
      </c>
      <c r="CB99" s="31"/>
      <c r="CC99" s="31"/>
      <c r="CD99" s="31"/>
      <c r="CF99" s="36"/>
      <c r="CG99" s="33" t="s">
        <v>295</v>
      </c>
      <c r="CH99" s="31"/>
      <c r="CI99" s="31"/>
      <c r="CJ99" s="31"/>
      <c r="CL99" s="36"/>
      <c r="CM99" s="44" t="s">
        <v>266</v>
      </c>
      <c r="CN99" s="19">
        <v>0</v>
      </c>
      <c r="CO99" s="31" t="s">
        <v>129</v>
      </c>
      <c r="CP99" s="31">
        <f>VAR(CN96:CN122)</f>
        <v>0.76190476190476186</v>
      </c>
      <c r="CR99" s="36"/>
    </row>
    <row r="100" spans="1:96" ht="15" x14ac:dyDescent="0.25">
      <c r="E100" s="27"/>
      <c r="G100" s="25"/>
      <c r="H100" s="25"/>
      <c r="I100" s="27"/>
      <c r="J100" s="27"/>
      <c r="K100" s="27"/>
      <c r="L100" s="29"/>
      <c r="Q100" s="27"/>
      <c r="R100" s="29"/>
      <c r="W100" s="27"/>
      <c r="X100" s="29"/>
      <c r="Y100" s="23"/>
      <c r="Z100"/>
      <c r="AA100" s="27"/>
      <c r="AB100" s="27"/>
      <c r="AC100" s="27"/>
      <c r="AJ100" s="34"/>
      <c r="AK100" s="22"/>
      <c r="AL100" s="22"/>
      <c r="AM100" s="31"/>
      <c r="AN100" s="31"/>
      <c r="AQ100" s="43"/>
      <c r="AR100" s="31"/>
      <c r="AS100" s="31"/>
      <c r="AT100" s="31"/>
      <c r="BC100" s="43" t="s">
        <v>267</v>
      </c>
      <c r="BD100" s="19">
        <v>0</v>
      </c>
      <c r="BH100" s="34"/>
      <c r="BI100" s="43"/>
      <c r="BJ100" s="27"/>
      <c r="BK100" s="48"/>
      <c r="BL100" s="48"/>
      <c r="BN100" s="34"/>
      <c r="BO100" s="38" t="s">
        <v>269</v>
      </c>
      <c r="BP100" s="33">
        <v>0</v>
      </c>
      <c r="BQ100" s="31" t="s">
        <v>115</v>
      </c>
      <c r="BR100" s="31">
        <f>MIN(BP99:BP103)</f>
        <v>0</v>
      </c>
      <c r="BT100" s="34"/>
      <c r="BU100" s="31" t="s">
        <v>102</v>
      </c>
      <c r="BV100" s="31" t="s">
        <v>71</v>
      </c>
      <c r="BW100" s="31" t="s">
        <v>103</v>
      </c>
      <c r="BX100" s="31" t="s">
        <v>104</v>
      </c>
      <c r="BZ100" s="34"/>
      <c r="CA100" s="31" t="s">
        <v>102</v>
      </c>
      <c r="CB100" s="31" t="s">
        <v>71</v>
      </c>
      <c r="CC100" s="31" t="s">
        <v>103</v>
      </c>
      <c r="CD100" s="31" t="s">
        <v>104</v>
      </c>
      <c r="CF100" s="36"/>
      <c r="CG100" s="31" t="s">
        <v>102</v>
      </c>
      <c r="CH100" s="31" t="s">
        <v>71</v>
      </c>
      <c r="CI100" s="31" t="s">
        <v>103</v>
      </c>
      <c r="CJ100" s="31" t="s">
        <v>104</v>
      </c>
      <c r="CL100" s="36"/>
      <c r="CO100" s="31" t="s">
        <v>138</v>
      </c>
      <c r="CP100" s="31">
        <f>AVERAGE(CN96:CN122)</f>
        <v>0.47619047619047616</v>
      </c>
      <c r="CR100" s="36"/>
    </row>
    <row r="101" spans="1:96" ht="15" x14ac:dyDescent="0.25">
      <c r="E101" s="27"/>
      <c r="G101" s="25"/>
      <c r="H101" s="25"/>
      <c r="I101" s="27"/>
      <c r="J101" s="27"/>
      <c r="K101" s="27"/>
      <c r="L101" s="29"/>
      <c r="Q101" s="27"/>
      <c r="R101" s="29"/>
      <c r="W101" s="27"/>
      <c r="X101" s="29"/>
      <c r="Y101" s="23"/>
      <c r="Z101"/>
      <c r="AA101" s="27"/>
      <c r="AB101" s="27"/>
      <c r="AC101" s="27"/>
      <c r="AJ101" s="34"/>
      <c r="AK101" s="22"/>
      <c r="AL101" s="22"/>
      <c r="AM101" s="31"/>
      <c r="AN101" s="31"/>
      <c r="AQ101" s="43"/>
      <c r="AR101" s="31"/>
      <c r="AS101" s="31"/>
      <c r="AT101" s="31"/>
      <c r="BC101" s="43" t="s">
        <v>270</v>
      </c>
      <c r="BD101" s="19">
        <v>0</v>
      </c>
      <c r="BH101" s="34"/>
      <c r="BI101" s="43"/>
      <c r="BJ101" s="27"/>
      <c r="BK101" s="48"/>
      <c r="BL101" s="48"/>
      <c r="BN101" s="34"/>
      <c r="BO101" s="38" t="s">
        <v>271</v>
      </c>
      <c r="BP101" s="33">
        <v>0</v>
      </c>
      <c r="BQ101" s="31" t="s">
        <v>122</v>
      </c>
      <c r="BR101" s="31">
        <f>MAX(BP99:BP103)</f>
        <v>0</v>
      </c>
      <c r="BT101" s="34"/>
      <c r="BU101" s="38" t="s">
        <v>111</v>
      </c>
      <c r="BV101" s="31">
        <v>0</v>
      </c>
      <c r="BW101" s="31" t="s">
        <v>106</v>
      </c>
      <c r="BX101" s="31">
        <f>SUM(BV101:BV125)</f>
        <v>3</v>
      </c>
      <c r="BZ101" s="34"/>
      <c r="CA101" s="38" t="s">
        <v>96</v>
      </c>
      <c r="CB101" s="31">
        <v>0</v>
      </c>
      <c r="CC101" s="31" t="s">
        <v>106</v>
      </c>
      <c r="CD101" s="31">
        <f>SUM(CB101:CB125)</f>
        <v>8</v>
      </c>
      <c r="CF101" s="36"/>
      <c r="CG101" s="44" t="s">
        <v>112</v>
      </c>
      <c r="CH101" s="19">
        <v>1</v>
      </c>
      <c r="CI101" s="31" t="s">
        <v>106</v>
      </c>
      <c r="CJ101" s="31">
        <f>SUM(CH101:CH125)</f>
        <v>11</v>
      </c>
      <c r="CL101" s="36"/>
      <c r="CO101" s="31" t="s">
        <v>144</v>
      </c>
      <c r="CP101" s="31">
        <f>STDEV(CN96:CN122)</f>
        <v>0.87287156094396945</v>
      </c>
      <c r="CR101" s="36"/>
    </row>
    <row r="102" spans="1:96" ht="15" x14ac:dyDescent="0.25">
      <c r="E102" s="27"/>
      <c r="G102" s="25"/>
      <c r="H102" s="25"/>
      <c r="I102" s="27"/>
      <c r="J102" s="27"/>
      <c r="K102" s="27"/>
      <c r="L102" s="29"/>
      <c r="Q102" s="27"/>
      <c r="R102" s="29"/>
      <c r="W102" s="27"/>
      <c r="X102" s="29"/>
      <c r="Y102" s="23"/>
      <c r="Z102"/>
      <c r="AA102" s="27"/>
      <c r="AB102" s="27"/>
      <c r="AC102" s="27"/>
      <c r="AJ102" s="34"/>
      <c r="AK102" s="22"/>
      <c r="AL102" s="22"/>
      <c r="AM102" s="31"/>
      <c r="AN102" s="31"/>
      <c r="AQ102" s="43"/>
      <c r="AR102" s="31"/>
      <c r="AS102" s="31"/>
      <c r="AT102" s="31"/>
      <c r="AW102" s="31"/>
      <c r="BH102" s="34"/>
      <c r="BI102" s="43"/>
      <c r="BJ102" s="27"/>
      <c r="BK102" s="48"/>
      <c r="BL102" s="48"/>
      <c r="BN102" s="34"/>
      <c r="BO102" s="38" t="s">
        <v>272</v>
      </c>
      <c r="BP102" s="33">
        <v>0</v>
      </c>
      <c r="BQ102" s="31" t="s">
        <v>129</v>
      </c>
      <c r="BR102" s="31">
        <f>VAR(BP99:BP103)</f>
        <v>0</v>
      </c>
      <c r="BT102" s="34"/>
      <c r="BU102" s="38" t="s">
        <v>119</v>
      </c>
      <c r="BV102" s="31">
        <v>0</v>
      </c>
      <c r="BW102" s="31" t="s">
        <v>115</v>
      </c>
      <c r="BX102" s="31">
        <f>MIN(BV101:BV125)</f>
        <v>0</v>
      </c>
      <c r="BZ102" s="34"/>
      <c r="CA102" s="38" t="s">
        <v>95</v>
      </c>
      <c r="CB102" s="31">
        <v>0</v>
      </c>
      <c r="CC102" s="31" t="s">
        <v>115</v>
      </c>
      <c r="CD102" s="31">
        <f>MIN(CB101:CB125)</f>
        <v>0</v>
      </c>
      <c r="CF102" s="36"/>
      <c r="CG102" s="44" t="s">
        <v>120</v>
      </c>
      <c r="CH102" s="19">
        <v>1</v>
      </c>
      <c r="CI102" s="31" t="s">
        <v>115</v>
      </c>
      <c r="CJ102" s="31">
        <f>MIN(CH101:CH125)</f>
        <v>0</v>
      </c>
      <c r="CL102" s="36"/>
      <c r="CR102" s="36"/>
    </row>
    <row r="103" spans="1:96" ht="15" x14ac:dyDescent="0.25">
      <c r="A103" s="42"/>
      <c r="B103" s="27"/>
      <c r="C103" s="27"/>
      <c r="D103" s="27"/>
      <c r="E103" s="27"/>
      <c r="G103" s="52"/>
      <c r="H103" s="25"/>
      <c r="I103" s="27"/>
      <c r="J103" s="27"/>
      <c r="K103" s="27"/>
      <c r="L103" s="29"/>
      <c r="Q103" s="27"/>
      <c r="R103" s="29"/>
      <c r="W103" s="27"/>
      <c r="X103" s="29"/>
      <c r="Y103" s="23"/>
      <c r="Z103"/>
      <c r="AA103" s="27"/>
      <c r="AB103" s="27"/>
      <c r="AC103" s="27"/>
      <c r="AI103" s="33"/>
      <c r="AJ103" s="34"/>
      <c r="AK103" s="22"/>
      <c r="AL103" s="22"/>
      <c r="AM103" s="31"/>
      <c r="AN103" s="31"/>
      <c r="AQ103" s="43"/>
      <c r="AR103" s="31"/>
      <c r="AS103" s="31"/>
      <c r="AT103" s="31"/>
      <c r="AW103" s="31"/>
      <c r="AX103" s="31"/>
      <c r="AY103" s="31"/>
      <c r="AZ103" s="31"/>
      <c r="BH103" s="34"/>
      <c r="BI103" s="43"/>
      <c r="BJ103" s="27"/>
      <c r="BK103" s="48"/>
      <c r="BL103" s="48"/>
      <c r="BN103" s="34"/>
      <c r="BO103" s="38" t="s">
        <v>273</v>
      </c>
      <c r="BP103" s="33">
        <v>0</v>
      </c>
      <c r="BQ103" s="31" t="s">
        <v>138</v>
      </c>
      <c r="BR103" s="31">
        <f>AVERAGE(BP99:BP103)</f>
        <v>0</v>
      </c>
      <c r="BT103" s="34"/>
      <c r="BU103" s="38" t="s">
        <v>126</v>
      </c>
      <c r="BV103" s="31">
        <v>0</v>
      </c>
      <c r="BW103" s="31" t="s">
        <v>122</v>
      </c>
      <c r="BX103" s="31">
        <f>MAX(BV101:BV125)</f>
        <v>1</v>
      </c>
      <c r="BZ103" s="34"/>
      <c r="CA103" s="38" t="s">
        <v>94</v>
      </c>
      <c r="CB103" s="31">
        <v>0</v>
      </c>
      <c r="CC103" s="31" t="s">
        <v>122</v>
      </c>
      <c r="CD103" s="31">
        <f>MAX(CB101:CB125)</f>
        <v>3</v>
      </c>
      <c r="CF103" s="36"/>
      <c r="CG103" s="44" t="s">
        <v>127</v>
      </c>
      <c r="CH103" s="19">
        <v>0</v>
      </c>
      <c r="CI103" s="31" t="s">
        <v>122</v>
      </c>
      <c r="CJ103" s="31">
        <f>MAX(CH101:CH125)</f>
        <v>3</v>
      </c>
      <c r="CL103" s="36"/>
      <c r="CR103" s="36"/>
    </row>
    <row r="104" spans="1:96" ht="15" x14ac:dyDescent="0.25">
      <c r="A104" s="42"/>
      <c r="B104" s="27"/>
      <c r="C104" s="27"/>
      <c r="D104" s="27"/>
      <c r="E104" s="27"/>
      <c r="G104" s="25"/>
      <c r="H104" s="25"/>
      <c r="I104" s="27"/>
      <c r="J104" s="27"/>
      <c r="K104" s="27"/>
      <c r="L104" s="29"/>
      <c r="M104" s="27"/>
      <c r="N104" s="27"/>
      <c r="O104" s="27"/>
      <c r="P104" s="27"/>
      <c r="Q104" s="27"/>
      <c r="R104" s="29"/>
      <c r="S104" s="40"/>
      <c r="T104" s="27"/>
      <c r="U104" s="27"/>
      <c r="V104" s="27"/>
      <c r="W104" s="27"/>
      <c r="X104" s="29"/>
      <c r="Y104" s="23"/>
      <c r="Z104"/>
      <c r="AA104" s="27"/>
      <c r="AB104" s="27"/>
      <c r="AC104" s="27"/>
      <c r="AI104" s="33"/>
      <c r="AJ104" s="34"/>
      <c r="AK104" s="22"/>
      <c r="AL104" s="22"/>
      <c r="AM104" s="31"/>
      <c r="AN104" s="31"/>
      <c r="AQ104" s="43"/>
      <c r="AR104" s="31"/>
      <c r="AS104" s="31"/>
      <c r="AT104" s="31"/>
      <c r="AX104" s="31"/>
      <c r="AY104" s="31"/>
      <c r="AZ104" s="31"/>
      <c r="BH104" s="34"/>
      <c r="BI104" s="43"/>
      <c r="BJ104" s="27"/>
      <c r="BK104" s="27"/>
      <c r="BL104" s="27"/>
      <c r="BN104" s="34"/>
      <c r="BO104" s="38"/>
      <c r="BP104" s="33"/>
      <c r="BQ104" s="31" t="s">
        <v>144</v>
      </c>
      <c r="BR104" s="31">
        <f>STDEV(BP99:BP103)</f>
        <v>0</v>
      </c>
      <c r="BT104" s="34"/>
      <c r="BU104" s="38" t="s">
        <v>135</v>
      </c>
      <c r="BV104" s="31">
        <v>0</v>
      </c>
      <c r="BW104" s="31" t="s">
        <v>129</v>
      </c>
      <c r="BX104" s="31">
        <f>VAR(BV101:BV125)</f>
        <v>0.11</v>
      </c>
      <c r="BZ104" s="34"/>
      <c r="CA104" s="38" t="s">
        <v>107</v>
      </c>
      <c r="CB104" s="31">
        <v>0</v>
      </c>
      <c r="CC104" s="31" t="s">
        <v>129</v>
      </c>
      <c r="CD104" s="31">
        <f>VAR(CB101:CB125)</f>
        <v>0.64333333333333331</v>
      </c>
      <c r="CF104" s="36"/>
      <c r="CG104" s="44" t="s">
        <v>136</v>
      </c>
      <c r="CH104" s="19">
        <v>0</v>
      </c>
      <c r="CI104" s="31" t="s">
        <v>129</v>
      </c>
      <c r="CJ104" s="31">
        <f>VAR(CH101:CH125)</f>
        <v>0.75666666666666671</v>
      </c>
      <c r="CL104" s="36"/>
      <c r="CM104" s="33" t="s">
        <v>295</v>
      </c>
      <c r="CR104" s="36"/>
    </row>
    <row r="105" spans="1:96" ht="15" x14ac:dyDescent="0.25">
      <c r="A105" s="42"/>
      <c r="B105" s="27"/>
      <c r="C105" s="27"/>
      <c r="D105" s="27"/>
      <c r="E105" s="27"/>
      <c r="G105" s="25"/>
      <c r="H105" s="25"/>
      <c r="I105" s="27"/>
      <c r="J105" s="27"/>
      <c r="K105" s="27"/>
      <c r="L105" s="29"/>
      <c r="M105" s="27"/>
      <c r="N105" s="27"/>
      <c r="O105" s="27"/>
      <c r="P105" s="27"/>
      <c r="Q105" s="27"/>
      <c r="R105" s="29"/>
      <c r="S105" s="40"/>
      <c r="T105" s="27"/>
      <c r="U105" s="27"/>
      <c r="V105" s="27"/>
      <c r="W105" s="27"/>
      <c r="X105" s="29"/>
      <c r="Y105" s="23"/>
      <c r="Z105"/>
      <c r="AA105" s="27"/>
      <c r="AB105" s="27"/>
      <c r="AC105" s="27"/>
      <c r="AI105" s="33"/>
      <c r="AJ105" s="34"/>
      <c r="AK105" s="22"/>
      <c r="AL105" s="22"/>
      <c r="AM105" s="31"/>
      <c r="AN105" s="31"/>
      <c r="AQ105" s="43"/>
      <c r="AR105" s="31"/>
      <c r="AS105" s="31"/>
      <c r="AT105" s="31"/>
      <c r="AX105" s="31"/>
      <c r="AY105" s="31"/>
      <c r="AZ105" s="31"/>
      <c r="BC105" s="31" t="s">
        <v>295</v>
      </c>
      <c r="BH105" s="34"/>
      <c r="BJ105" s="27"/>
      <c r="BK105" s="48"/>
      <c r="BL105" s="48"/>
      <c r="BN105" s="34"/>
      <c r="BO105" s="38"/>
      <c r="BP105" s="33"/>
      <c r="BT105" s="34"/>
      <c r="BU105" s="38" t="s">
        <v>142</v>
      </c>
      <c r="BV105" s="31">
        <v>1</v>
      </c>
      <c r="BW105" s="31" t="s">
        <v>138</v>
      </c>
      <c r="BX105" s="31">
        <f>AVERAGE(BV101:BV125)</f>
        <v>0.12</v>
      </c>
      <c r="BZ105" s="34"/>
      <c r="CA105" s="38" t="s">
        <v>93</v>
      </c>
      <c r="CB105" s="31">
        <v>0</v>
      </c>
      <c r="CC105" s="31" t="s">
        <v>138</v>
      </c>
      <c r="CD105" s="31">
        <f>AVERAGE(CB101:CB125)</f>
        <v>0.32</v>
      </c>
      <c r="CF105" s="36"/>
      <c r="CG105" s="44" t="s">
        <v>131</v>
      </c>
      <c r="CH105" s="19">
        <v>3</v>
      </c>
      <c r="CI105" s="31" t="s">
        <v>138</v>
      </c>
      <c r="CJ105" s="31">
        <f>AVERAGE(CH101:CH125)</f>
        <v>0.44</v>
      </c>
      <c r="CL105" s="36"/>
      <c r="CM105" s="31" t="s">
        <v>102</v>
      </c>
      <c r="CN105" s="31" t="s">
        <v>71</v>
      </c>
      <c r="CO105" s="31" t="s">
        <v>103</v>
      </c>
      <c r="CP105" s="31" t="s">
        <v>104</v>
      </c>
      <c r="CR105" s="36"/>
    </row>
    <row r="106" spans="1:96" ht="15" x14ac:dyDescent="0.25">
      <c r="A106" s="42"/>
      <c r="B106" s="27"/>
      <c r="C106" s="27"/>
      <c r="D106" s="27"/>
      <c r="E106" s="27"/>
      <c r="G106" s="25"/>
      <c r="H106" s="25"/>
      <c r="I106" s="27"/>
      <c r="J106" s="27"/>
      <c r="K106" s="27"/>
      <c r="L106" s="29"/>
      <c r="M106" s="27"/>
      <c r="N106" s="27"/>
      <c r="O106" s="27"/>
      <c r="P106" s="27"/>
      <c r="Q106" s="27"/>
      <c r="R106" s="29"/>
      <c r="S106" s="39"/>
      <c r="T106" s="27"/>
      <c r="U106" s="27"/>
      <c r="V106" s="27"/>
      <c r="W106" s="27"/>
      <c r="X106" s="29"/>
      <c r="Y106" s="23"/>
      <c r="Z106"/>
      <c r="AA106" s="27"/>
      <c r="AB106" s="27"/>
      <c r="AC106" s="27"/>
      <c r="AI106" s="33"/>
      <c r="AJ106" s="34"/>
      <c r="AK106" s="22"/>
      <c r="AL106" s="22"/>
      <c r="AM106" s="31"/>
      <c r="AN106" s="31"/>
      <c r="AQ106" s="43"/>
      <c r="AR106" s="31"/>
      <c r="AS106" s="31"/>
      <c r="AT106" s="31"/>
      <c r="AX106" s="31"/>
      <c r="AY106" s="31"/>
      <c r="AZ106" s="31"/>
      <c r="BC106" s="31" t="s">
        <v>102</v>
      </c>
      <c r="BD106" s="31" t="s">
        <v>71</v>
      </c>
      <c r="BE106" s="31" t="s">
        <v>103</v>
      </c>
      <c r="BF106" s="31" t="s">
        <v>104</v>
      </c>
      <c r="BH106" s="34"/>
      <c r="BJ106" s="27"/>
      <c r="BK106" s="27"/>
      <c r="BL106" s="27"/>
      <c r="BN106" s="34"/>
      <c r="BO106" s="38"/>
      <c r="BP106" s="33"/>
      <c r="BT106" s="34"/>
      <c r="BU106" s="38" t="s">
        <v>147</v>
      </c>
      <c r="BV106" s="31">
        <v>0</v>
      </c>
      <c r="BW106" s="31" t="s">
        <v>144</v>
      </c>
      <c r="BX106" s="31">
        <f>STDEV(BV101:BV125)</f>
        <v>0.33166247903553997</v>
      </c>
      <c r="BZ106" s="34"/>
      <c r="CA106" s="38" t="s">
        <v>148</v>
      </c>
      <c r="CB106" s="31">
        <v>0</v>
      </c>
      <c r="CC106" s="31" t="s">
        <v>144</v>
      </c>
      <c r="CD106" s="31">
        <f>STDEV(CB101:CB125)</f>
        <v>0.80208062770106425</v>
      </c>
      <c r="CF106" s="36"/>
      <c r="CG106" s="44" t="s">
        <v>149</v>
      </c>
      <c r="CH106" s="19">
        <v>0</v>
      </c>
      <c r="CI106" s="31" t="s">
        <v>144</v>
      </c>
      <c r="CJ106" s="31">
        <f>STDEV(CH101:CH125)</f>
        <v>0.86986589004665926</v>
      </c>
      <c r="CL106" s="36"/>
      <c r="CM106" s="44" t="s">
        <v>113</v>
      </c>
      <c r="CN106" s="19">
        <v>2</v>
      </c>
      <c r="CO106" s="31" t="s">
        <v>106</v>
      </c>
      <c r="CP106" s="31">
        <f>SUM(CN106:CN132)</f>
        <v>10</v>
      </c>
      <c r="CR106" s="36"/>
    </row>
    <row r="107" spans="1:96" ht="15" x14ac:dyDescent="0.25">
      <c r="A107" s="42"/>
      <c r="B107" s="27"/>
      <c r="C107" s="27"/>
      <c r="D107" s="27"/>
      <c r="E107" s="27"/>
      <c r="G107" s="25"/>
      <c r="H107" s="25"/>
      <c r="I107" s="27"/>
      <c r="J107" s="27"/>
      <c r="K107" s="27"/>
      <c r="L107" s="29"/>
      <c r="M107" s="27"/>
      <c r="N107" s="27"/>
      <c r="O107" s="27"/>
      <c r="P107" s="27"/>
      <c r="Q107" s="27"/>
      <c r="R107" s="29"/>
      <c r="S107" s="39"/>
      <c r="T107" s="27"/>
      <c r="U107" s="27"/>
      <c r="V107" s="27"/>
      <c r="W107" s="27"/>
      <c r="X107" s="29"/>
      <c r="Y107" s="23"/>
      <c r="Z107"/>
      <c r="AA107" s="27"/>
      <c r="AB107" s="27"/>
      <c r="AC107" s="27"/>
      <c r="AI107" s="33"/>
      <c r="AJ107" s="34"/>
      <c r="AK107" s="22"/>
      <c r="AL107" s="22"/>
      <c r="AM107" s="31"/>
      <c r="AN107" s="31"/>
      <c r="AQ107" s="43"/>
      <c r="AR107" s="31"/>
      <c r="AS107" s="31"/>
      <c r="AT107" s="31"/>
      <c r="AX107" s="31"/>
      <c r="AY107" s="31"/>
      <c r="AZ107" s="31"/>
      <c r="BC107" s="43" t="s">
        <v>108</v>
      </c>
      <c r="BD107" s="19">
        <v>0</v>
      </c>
      <c r="BE107" s="31" t="s">
        <v>106</v>
      </c>
      <c r="BF107" s="31">
        <f>SUM(BD107:BD109)</f>
        <v>0</v>
      </c>
      <c r="BH107" s="34"/>
      <c r="BI107" s="32"/>
      <c r="BJ107" s="27"/>
      <c r="BK107" s="48"/>
      <c r="BL107" s="48"/>
      <c r="BN107" s="34"/>
      <c r="BO107" s="38"/>
      <c r="BP107" s="33"/>
      <c r="BT107" s="34"/>
      <c r="BU107" s="38" t="s">
        <v>153</v>
      </c>
      <c r="BV107" s="31">
        <v>0</v>
      </c>
      <c r="BW107" s="31"/>
      <c r="BX107" s="31"/>
      <c r="BZ107" s="34"/>
      <c r="CA107" s="38" t="s">
        <v>92</v>
      </c>
      <c r="CB107" s="31">
        <v>0</v>
      </c>
      <c r="CC107" s="31"/>
      <c r="CD107" s="31"/>
      <c r="CF107" s="36"/>
      <c r="CG107" s="44" t="s">
        <v>154</v>
      </c>
      <c r="CH107" s="19">
        <v>0</v>
      </c>
      <c r="CL107" s="36"/>
      <c r="CM107" s="44" t="s">
        <v>121</v>
      </c>
      <c r="CN107" s="19">
        <v>0</v>
      </c>
      <c r="CO107" s="31" t="s">
        <v>115</v>
      </c>
      <c r="CP107" s="31">
        <f>MIN(CN106:CN132)</f>
        <v>0</v>
      </c>
      <c r="CR107" s="36"/>
    </row>
    <row r="108" spans="1:96" ht="15" x14ac:dyDescent="0.25">
      <c r="A108" s="42"/>
      <c r="B108" s="27"/>
      <c r="C108" s="27"/>
      <c r="D108" s="27"/>
      <c r="E108" s="27"/>
      <c r="G108" s="25"/>
      <c r="H108" s="25"/>
      <c r="I108" s="27"/>
      <c r="J108" s="27"/>
      <c r="K108" s="27"/>
      <c r="L108" s="29"/>
      <c r="M108" s="27"/>
      <c r="N108" s="27"/>
      <c r="O108" s="27"/>
      <c r="P108" s="27"/>
      <c r="Q108" s="27"/>
      <c r="R108" s="29"/>
      <c r="S108" s="39"/>
      <c r="T108" s="27"/>
      <c r="U108" s="27"/>
      <c r="V108" s="27"/>
      <c r="W108" s="27"/>
      <c r="X108" s="29"/>
      <c r="Y108" s="23"/>
      <c r="Z108"/>
      <c r="AA108" s="27"/>
      <c r="AB108" s="27"/>
      <c r="AC108" s="27"/>
      <c r="AI108" s="33"/>
      <c r="AJ108" s="34"/>
      <c r="AK108" s="22"/>
      <c r="AL108" s="22"/>
      <c r="AM108" s="31"/>
      <c r="AN108" s="31"/>
      <c r="AQ108" s="43"/>
      <c r="AR108" s="31"/>
      <c r="AS108" s="31"/>
      <c r="AT108" s="31"/>
      <c r="AX108" s="31"/>
      <c r="AY108" s="31"/>
      <c r="AZ108" s="31"/>
      <c r="BC108" s="43" t="s">
        <v>116</v>
      </c>
      <c r="BD108" s="19">
        <v>0</v>
      </c>
      <c r="BE108" s="31" t="s">
        <v>115</v>
      </c>
      <c r="BF108" s="31">
        <f>MIN(BD107:BD109)</f>
        <v>0</v>
      </c>
      <c r="BH108" s="34"/>
      <c r="BI108" s="43"/>
      <c r="BJ108" s="27"/>
      <c r="BK108" s="48"/>
      <c r="BL108" s="48"/>
      <c r="BN108" s="34"/>
      <c r="BO108" s="33" t="s">
        <v>295</v>
      </c>
      <c r="BT108" s="34"/>
      <c r="BU108" s="38" t="s">
        <v>158</v>
      </c>
      <c r="BV108" s="31">
        <v>0</v>
      </c>
      <c r="BW108" s="31"/>
      <c r="BX108" s="31"/>
      <c r="BZ108" s="34"/>
      <c r="CA108" s="38" t="s">
        <v>91</v>
      </c>
      <c r="CB108" s="31">
        <v>0</v>
      </c>
      <c r="CC108" s="31"/>
      <c r="CD108" s="31"/>
      <c r="CF108" s="36"/>
      <c r="CG108" s="44" t="s">
        <v>159</v>
      </c>
      <c r="CH108" s="19">
        <v>1</v>
      </c>
      <c r="CL108" s="36"/>
      <c r="CM108" s="44" t="s">
        <v>128</v>
      </c>
      <c r="CN108" s="19">
        <v>3</v>
      </c>
      <c r="CO108" s="31" t="s">
        <v>122</v>
      </c>
      <c r="CP108" s="31">
        <f>MAX(CN106:CN132)</f>
        <v>3</v>
      </c>
      <c r="CR108" s="36"/>
    </row>
    <row r="109" spans="1:96" ht="15" x14ac:dyDescent="0.25">
      <c r="A109" s="42"/>
      <c r="B109" s="27"/>
      <c r="C109" s="27"/>
      <c r="D109" s="27"/>
      <c r="E109" s="27"/>
      <c r="G109" s="25"/>
      <c r="H109" s="25"/>
      <c r="I109" s="27"/>
      <c r="J109" s="27"/>
      <c r="K109" s="27"/>
      <c r="L109" s="29"/>
      <c r="M109" s="27"/>
      <c r="N109" s="27"/>
      <c r="O109" s="27"/>
      <c r="P109" s="27"/>
      <c r="Q109" s="27"/>
      <c r="R109" s="29"/>
      <c r="S109" s="39"/>
      <c r="T109" s="27"/>
      <c r="U109" s="27"/>
      <c r="V109" s="27"/>
      <c r="W109" s="27"/>
      <c r="X109" s="29"/>
      <c r="Y109" s="23"/>
      <c r="Z109"/>
      <c r="AA109" s="27"/>
      <c r="AB109" s="27"/>
      <c r="AC109" s="27"/>
      <c r="AI109" s="33"/>
      <c r="AJ109" s="34"/>
      <c r="AK109" s="22"/>
      <c r="AL109" s="22"/>
      <c r="AM109" s="31"/>
      <c r="AN109" s="31"/>
      <c r="AQ109" s="43"/>
      <c r="AR109" s="31"/>
      <c r="AS109" s="31"/>
      <c r="AT109" s="31"/>
      <c r="AX109" s="31"/>
      <c r="AY109" s="31"/>
      <c r="AZ109" s="31"/>
      <c r="BC109" s="43" t="s">
        <v>123</v>
      </c>
      <c r="BD109" s="19">
        <v>0</v>
      </c>
      <c r="BE109" s="31" t="s">
        <v>122</v>
      </c>
      <c r="BF109" s="31">
        <f>MAX(BD107:BD109)</f>
        <v>0</v>
      </c>
      <c r="BH109" s="34"/>
      <c r="BI109" s="43"/>
      <c r="BJ109" s="27"/>
      <c r="BK109" s="48"/>
      <c r="BL109" s="48"/>
      <c r="BN109" s="34"/>
      <c r="BO109" s="31" t="s">
        <v>102</v>
      </c>
      <c r="BP109" s="31" t="s">
        <v>71</v>
      </c>
      <c r="BQ109" s="31" t="s">
        <v>103</v>
      </c>
      <c r="BR109" s="31" t="s">
        <v>104</v>
      </c>
      <c r="BT109" s="34"/>
      <c r="BU109" s="38" t="s">
        <v>164</v>
      </c>
      <c r="BV109" s="31">
        <v>0</v>
      </c>
      <c r="BW109" s="31"/>
      <c r="BX109" s="31"/>
      <c r="BZ109" s="34"/>
      <c r="CA109" s="38" t="s">
        <v>90</v>
      </c>
      <c r="CB109" s="31">
        <v>0</v>
      </c>
      <c r="CC109" s="31"/>
      <c r="CD109" s="31"/>
      <c r="CF109" s="36"/>
      <c r="CG109" s="44" t="s">
        <v>165</v>
      </c>
      <c r="CH109" s="19">
        <v>1</v>
      </c>
      <c r="CL109" s="36"/>
      <c r="CM109" s="44" t="s">
        <v>137</v>
      </c>
      <c r="CN109" s="19">
        <v>0</v>
      </c>
      <c r="CO109" s="31" t="s">
        <v>129</v>
      </c>
      <c r="CP109" s="31">
        <f>VAR(CN106:CN132)</f>
        <v>0.71146245059288538</v>
      </c>
      <c r="CR109" s="36"/>
    </row>
    <row r="110" spans="1:96" ht="15" x14ac:dyDescent="0.25">
      <c r="A110" s="42"/>
      <c r="B110" s="27"/>
      <c r="C110" s="27"/>
      <c r="D110" s="27"/>
      <c r="E110" s="27"/>
      <c r="G110" s="25"/>
      <c r="H110" s="25"/>
      <c r="I110" s="27"/>
      <c r="J110" s="27"/>
      <c r="K110" s="27"/>
      <c r="L110" s="29"/>
      <c r="M110" s="27"/>
      <c r="N110" s="27"/>
      <c r="O110" s="27"/>
      <c r="P110" s="27"/>
      <c r="Q110" s="27"/>
      <c r="R110" s="29"/>
      <c r="S110" s="39"/>
      <c r="T110" s="27"/>
      <c r="U110" s="27"/>
      <c r="V110" s="27"/>
      <c r="W110" s="27"/>
      <c r="X110" s="29"/>
      <c r="Y110" s="23"/>
      <c r="Z110"/>
      <c r="AA110" s="27"/>
      <c r="AB110" s="27"/>
      <c r="AC110" s="27"/>
      <c r="AI110" s="33"/>
      <c r="AJ110" s="34"/>
      <c r="AK110" s="22"/>
      <c r="AL110" s="22"/>
      <c r="AM110" s="31"/>
      <c r="AN110" s="31"/>
      <c r="AQ110" s="43"/>
      <c r="AR110" s="31"/>
      <c r="AS110" s="31"/>
      <c r="AT110" s="31"/>
      <c r="AX110" s="31"/>
      <c r="AY110" s="31"/>
      <c r="AZ110" s="31"/>
      <c r="BC110" s="43"/>
      <c r="BE110" s="31" t="s">
        <v>129</v>
      </c>
      <c r="BF110" s="31">
        <f>VAR(BD107:BD109)</f>
        <v>0</v>
      </c>
      <c r="BH110" s="34"/>
      <c r="BI110" s="43"/>
      <c r="BJ110" s="27"/>
      <c r="BK110" s="48"/>
      <c r="BL110" s="48"/>
      <c r="BN110" s="34"/>
      <c r="BO110" s="38" t="s">
        <v>110</v>
      </c>
      <c r="BP110" s="31">
        <v>0</v>
      </c>
      <c r="BQ110" s="31" t="s">
        <v>106</v>
      </c>
      <c r="BR110" s="31">
        <f>SUM(BP110:BP134)</f>
        <v>14</v>
      </c>
      <c r="BT110" s="34"/>
      <c r="BU110" s="38" t="s">
        <v>161</v>
      </c>
      <c r="BV110" s="31">
        <v>0</v>
      </c>
      <c r="BW110" s="31"/>
      <c r="BX110" s="31"/>
      <c r="BZ110" s="34"/>
      <c r="CA110" s="38" t="s">
        <v>89</v>
      </c>
      <c r="CB110" s="31">
        <v>0</v>
      </c>
      <c r="CC110" s="31"/>
      <c r="CD110" s="31"/>
      <c r="CF110" s="36"/>
      <c r="CG110" s="44" t="s">
        <v>169</v>
      </c>
      <c r="CH110" s="19">
        <v>0</v>
      </c>
      <c r="CL110" s="36"/>
      <c r="CM110" s="44" t="s">
        <v>143</v>
      </c>
      <c r="CN110" s="19">
        <v>2</v>
      </c>
      <c r="CO110" s="31" t="s">
        <v>138</v>
      </c>
      <c r="CP110" s="31">
        <f>AVERAGE(CN106:CN132)</f>
        <v>0.43478260869565216</v>
      </c>
      <c r="CR110" s="36"/>
    </row>
    <row r="111" spans="1:96" ht="15" x14ac:dyDescent="0.25">
      <c r="A111" s="42"/>
      <c r="B111" s="27"/>
      <c r="C111" s="27"/>
      <c r="D111" s="27"/>
      <c r="E111" s="27"/>
      <c r="G111" s="25"/>
      <c r="H111" s="25"/>
      <c r="I111" s="27"/>
      <c r="J111" s="27"/>
      <c r="K111" s="27"/>
      <c r="L111" s="29"/>
      <c r="M111" s="27"/>
      <c r="N111" s="27"/>
      <c r="O111" s="27"/>
      <c r="P111" s="27"/>
      <c r="Q111" s="27"/>
      <c r="R111" s="29"/>
      <c r="S111" s="39"/>
      <c r="T111" s="27"/>
      <c r="U111" s="27"/>
      <c r="V111" s="27"/>
      <c r="W111" s="27"/>
      <c r="X111" s="29"/>
      <c r="Y111" s="23"/>
      <c r="Z111"/>
      <c r="AA111" s="27"/>
      <c r="AB111" s="27"/>
      <c r="AC111" s="27"/>
      <c r="AI111" s="33"/>
      <c r="AJ111" s="34"/>
      <c r="AK111" s="22"/>
      <c r="AL111" s="22"/>
      <c r="AQ111" s="43"/>
      <c r="AR111" s="31"/>
      <c r="AS111" s="31"/>
      <c r="AT111" s="31"/>
      <c r="AX111" s="31"/>
      <c r="AY111" s="31"/>
      <c r="AZ111" s="31"/>
      <c r="BC111" s="43"/>
      <c r="BE111" s="31" t="s">
        <v>138</v>
      </c>
      <c r="BF111" s="31">
        <f>AVERAGE(BD107:BD109)</f>
        <v>0</v>
      </c>
      <c r="BH111" s="34"/>
      <c r="BI111" s="43"/>
      <c r="BJ111" s="27"/>
      <c r="BK111" s="48"/>
      <c r="BL111" s="48"/>
      <c r="BN111" s="34"/>
      <c r="BO111" s="38" t="s">
        <v>118</v>
      </c>
      <c r="BP111" s="31">
        <v>0</v>
      </c>
      <c r="BQ111" s="31" t="s">
        <v>115</v>
      </c>
      <c r="BR111" s="31">
        <f>MIN(BP110:BP134)</f>
        <v>0</v>
      </c>
      <c r="BT111" s="34"/>
      <c r="BU111" s="38" t="s">
        <v>168</v>
      </c>
      <c r="BV111" s="31">
        <v>1</v>
      </c>
      <c r="BW111" s="31"/>
      <c r="BX111" s="31"/>
      <c r="BZ111" s="34"/>
      <c r="CA111" s="38" t="s">
        <v>88</v>
      </c>
      <c r="CB111" s="31">
        <v>3</v>
      </c>
      <c r="CC111" s="31"/>
      <c r="CD111" s="31"/>
      <c r="CF111" s="36"/>
      <c r="CG111" s="44" t="s">
        <v>174</v>
      </c>
      <c r="CH111" s="19">
        <v>0</v>
      </c>
      <c r="CL111" s="36"/>
      <c r="CM111" s="44" t="s">
        <v>150</v>
      </c>
      <c r="CN111" s="19">
        <v>1</v>
      </c>
      <c r="CO111" s="31" t="s">
        <v>144</v>
      </c>
      <c r="CP111" s="31">
        <f>STDEV(CN106:CN132)</f>
        <v>0.84348233567329989</v>
      </c>
      <c r="CR111" s="36"/>
    </row>
    <row r="112" spans="1:96" x14ac:dyDescent="0.2">
      <c r="A112" s="42"/>
      <c r="B112" s="27"/>
      <c r="C112" s="27"/>
      <c r="D112" s="27"/>
      <c r="E112" s="27"/>
      <c r="G112" s="25"/>
      <c r="H112" s="25"/>
      <c r="I112" s="27"/>
      <c r="J112" s="27"/>
      <c r="K112" s="27"/>
      <c r="L112" s="29"/>
      <c r="M112" s="27"/>
      <c r="N112" s="27"/>
      <c r="O112" s="27"/>
      <c r="P112" s="27"/>
      <c r="Q112" s="27"/>
      <c r="R112" s="29"/>
      <c r="S112" s="39"/>
      <c r="T112" s="27"/>
      <c r="U112" s="27"/>
      <c r="V112" s="27"/>
      <c r="W112" s="27"/>
      <c r="X112" s="29"/>
      <c r="AC112" s="27"/>
      <c r="AI112" s="33"/>
      <c r="AJ112" s="34"/>
      <c r="AK112" s="23"/>
      <c r="AL112" s="22"/>
      <c r="AQ112" s="43"/>
      <c r="AR112" s="31"/>
      <c r="AS112" s="31"/>
      <c r="AT112" s="31"/>
      <c r="AX112" s="31"/>
      <c r="AY112" s="31"/>
      <c r="AZ112" s="31"/>
      <c r="BC112" s="43"/>
      <c r="BE112" s="31" t="s">
        <v>144</v>
      </c>
      <c r="BF112" s="31">
        <f>STDEV(BD107:BD109)</f>
        <v>0</v>
      </c>
      <c r="BH112" s="34"/>
      <c r="BI112" s="43"/>
      <c r="BJ112" s="27"/>
      <c r="BK112" s="48"/>
      <c r="BL112" s="48"/>
      <c r="BN112" s="34"/>
      <c r="BO112" s="38" t="s">
        <v>125</v>
      </c>
      <c r="BP112" s="31">
        <v>0</v>
      </c>
      <c r="BQ112" s="31" t="s">
        <v>122</v>
      </c>
      <c r="BR112" s="31">
        <f>MAX(BP110:BP134)</f>
        <v>3</v>
      </c>
      <c r="BT112" s="34"/>
      <c r="BU112" s="38" t="s">
        <v>179</v>
      </c>
      <c r="BV112" s="31">
        <v>0</v>
      </c>
      <c r="BW112" s="31"/>
      <c r="BX112" s="31"/>
      <c r="BZ112" s="34"/>
      <c r="CA112" s="38" t="s">
        <v>87</v>
      </c>
      <c r="CB112" s="31">
        <v>0</v>
      </c>
      <c r="CC112" s="31"/>
      <c r="CD112" s="31"/>
      <c r="CF112" s="36"/>
      <c r="CG112" s="44" t="s">
        <v>180</v>
      </c>
      <c r="CH112" s="19">
        <v>0</v>
      </c>
      <c r="CL112" s="36"/>
      <c r="CM112" s="44" t="s">
        <v>155</v>
      </c>
      <c r="CN112" s="19">
        <v>1</v>
      </c>
      <c r="CR112" s="36"/>
    </row>
    <row r="113" spans="1:96" x14ac:dyDescent="0.2">
      <c r="A113" s="42"/>
      <c r="B113" s="27"/>
      <c r="C113" s="27"/>
      <c r="D113" s="27"/>
      <c r="E113" s="27"/>
      <c r="G113" s="29"/>
      <c r="H113" s="121"/>
      <c r="I113" s="121"/>
      <c r="J113" s="29"/>
      <c r="K113" s="29"/>
      <c r="L113" s="29"/>
      <c r="M113" s="27"/>
      <c r="N113" s="27"/>
      <c r="O113" s="27"/>
      <c r="P113" s="27"/>
      <c r="Q113" s="27"/>
      <c r="R113" s="29"/>
      <c r="S113" s="39"/>
      <c r="T113" s="27"/>
      <c r="U113" s="27"/>
      <c r="V113" s="27"/>
      <c r="W113" s="27"/>
      <c r="X113" s="29"/>
      <c r="AC113" s="27"/>
      <c r="AI113" s="33"/>
      <c r="AJ113" s="34"/>
      <c r="AK113" s="22"/>
      <c r="AL113" s="22"/>
      <c r="AQ113" s="43"/>
      <c r="AR113" s="31"/>
      <c r="AS113" s="31"/>
      <c r="AT113" s="31"/>
      <c r="AX113" s="31"/>
      <c r="AY113" s="31"/>
      <c r="AZ113" s="31"/>
      <c r="BE113" s="31"/>
      <c r="BF113" s="31"/>
      <c r="BH113" s="34"/>
      <c r="BI113" s="43"/>
      <c r="BJ113" s="27"/>
      <c r="BK113" s="48"/>
      <c r="BL113" s="48"/>
      <c r="BN113" s="34"/>
      <c r="BO113" s="38" t="s">
        <v>134</v>
      </c>
      <c r="BP113" s="31">
        <v>0</v>
      </c>
      <c r="BQ113" s="31" t="s">
        <v>129</v>
      </c>
      <c r="BR113" s="31">
        <f>VAR(BP110:BP134)</f>
        <v>0.67333333333333334</v>
      </c>
      <c r="BT113" s="34"/>
      <c r="BU113" s="38" t="s">
        <v>184</v>
      </c>
      <c r="BV113" s="33">
        <v>0</v>
      </c>
      <c r="BZ113" s="34"/>
      <c r="CA113" s="38" t="s">
        <v>86</v>
      </c>
      <c r="CB113" s="33">
        <v>0</v>
      </c>
      <c r="CF113" s="36"/>
      <c r="CG113" s="44" t="s">
        <v>185</v>
      </c>
      <c r="CH113" s="19">
        <v>0</v>
      </c>
      <c r="CL113" s="36"/>
      <c r="CM113" s="44" t="s">
        <v>160</v>
      </c>
      <c r="CN113" s="19">
        <v>0</v>
      </c>
      <c r="CR113" s="36"/>
    </row>
    <row r="114" spans="1:96" x14ac:dyDescent="0.2">
      <c r="A114" s="42"/>
      <c r="B114" s="27"/>
      <c r="C114" s="27"/>
      <c r="D114" s="27"/>
      <c r="E114" s="27"/>
      <c r="G114" s="25"/>
      <c r="H114" s="25"/>
      <c r="I114" s="27"/>
      <c r="J114" s="27"/>
      <c r="K114" s="27"/>
      <c r="L114" s="29"/>
      <c r="M114" s="27"/>
      <c r="N114" s="27"/>
      <c r="O114" s="27"/>
      <c r="P114" s="27"/>
      <c r="Q114" s="27"/>
      <c r="R114" s="29"/>
      <c r="S114" s="39"/>
      <c r="T114" s="27"/>
      <c r="U114" s="27"/>
      <c r="V114" s="27"/>
      <c r="W114" s="27"/>
      <c r="X114" s="29"/>
      <c r="AC114" s="27"/>
      <c r="AF114" s="33"/>
      <c r="AI114" s="33"/>
      <c r="AJ114" s="34"/>
      <c r="AK114" s="23"/>
      <c r="AL114" s="22"/>
      <c r="AQ114" s="43"/>
      <c r="AR114" s="31"/>
      <c r="AS114" s="31"/>
      <c r="AT114" s="31"/>
      <c r="AX114" s="31"/>
      <c r="AY114" s="31"/>
      <c r="AZ114" s="31"/>
      <c r="BE114" s="31"/>
      <c r="BF114" s="31"/>
      <c r="BH114" s="34"/>
      <c r="BI114" s="43"/>
      <c r="BJ114" s="27"/>
      <c r="BN114" s="34"/>
      <c r="BO114" s="38" t="s">
        <v>141</v>
      </c>
      <c r="BP114" s="31">
        <v>0</v>
      </c>
      <c r="BQ114" s="31" t="s">
        <v>138</v>
      </c>
      <c r="BR114" s="31">
        <f>AVERAGE(BP110:BP134)</f>
        <v>0.56000000000000005</v>
      </c>
      <c r="BT114" s="34"/>
      <c r="BU114" s="38" t="s">
        <v>189</v>
      </c>
      <c r="BV114" s="33">
        <v>0</v>
      </c>
      <c r="BZ114" s="34"/>
      <c r="CA114" s="38" t="s">
        <v>85</v>
      </c>
      <c r="CB114" s="33">
        <v>0</v>
      </c>
      <c r="CF114" s="36"/>
      <c r="CG114" s="44" t="s">
        <v>190</v>
      </c>
      <c r="CH114" s="19">
        <v>0</v>
      </c>
      <c r="CL114" s="36"/>
      <c r="CM114" s="44" t="s">
        <v>166</v>
      </c>
      <c r="CN114" s="19">
        <v>0</v>
      </c>
      <c r="CR114" s="36"/>
    </row>
    <row r="115" spans="1:96" x14ac:dyDescent="0.2">
      <c r="A115" s="42"/>
      <c r="B115" s="27"/>
      <c r="C115" s="27"/>
      <c r="D115" s="27"/>
      <c r="E115" s="27"/>
      <c r="G115" s="25"/>
      <c r="H115" s="25"/>
      <c r="I115" s="27"/>
      <c r="J115" s="27"/>
      <c r="K115" s="27"/>
      <c r="L115" s="29"/>
      <c r="M115" s="27"/>
      <c r="N115" s="27"/>
      <c r="O115" s="27"/>
      <c r="P115" s="27"/>
      <c r="Q115" s="27"/>
      <c r="R115" s="29"/>
      <c r="S115" s="39"/>
      <c r="T115" s="27"/>
      <c r="U115" s="27"/>
      <c r="V115" s="27"/>
      <c r="W115" s="27"/>
      <c r="X115" s="29"/>
      <c r="AC115" s="27"/>
      <c r="AF115" s="33"/>
      <c r="AJ115" s="34"/>
      <c r="AK115" s="23"/>
      <c r="AL115" s="22"/>
      <c r="AQ115" s="43"/>
      <c r="AR115" s="31"/>
      <c r="AS115" s="31"/>
      <c r="AT115" s="31"/>
      <c r="AX115" s="31"/>
      <c r="AY115" s="31"/>
      <c r="AZ115" s="31"/>
      <c r="BC115" s="32" t="s">
        <v>162</v>
      </c>
      <c r="BD115" s="19" t="s">
        <v>71</v>
      </c>
      <c r="BE115" s="31" t="s">
        <v>103</v>
      </c>
      <c r="BF115" s="31" t="s">
        <v>104</v>
      </c>
      <c r="BH115" s="34"/>
      <c r="BI115" s="43"/>
      <c r="BJ115" s="27"/>
      <c r="BN115" s="34"/>
      <c r="BO115" s="38" t="s">
        <v>146</v>
      </c>
      <c r="BP115" s="31">
        <v>0</v>
      </c>
      <c r="BQ115" s="31" t="s">
        <v>144</v>
      </c>
      <c r="BR115" s="31">
        <f>STDEV(BP110:BP134)</f>
        <v>0.82056890833941143</v>
      </c>
      <c r="BT115" s="34"/>
      <c r="BU115" s="38" t="s">
        <v>194</v>
      </c>
      <c r="BV115" s="33">
        <v>0</v>
      </c>
      <c r="BZ115" s="34"/>
      <c r="CA115" s="38" t="s">
        <v>84</v>
      </c>
      <c r="CB115" s="33">
        <v>0</v>
      </c>
      <c r="CF115" s="36"/>
      <c r="CG115" s="44" t="s">
        <v>195</v>
      </c>
      <c r="CH115" s="19">
        <v>3</v>
      </c>
      <c r="CL115" s="36"/>
      <c r="CM115" s="44" t="s">
        <v>170</v>
      </c>
      <c r="CN115" s="19">
        <v>0</v>
      </c>
      <c r="CR115" s="36"/>
    </row>
    <row r="116" spans="1:96" x14ac:dyDescent="0.2">
      <c r="A116" s="42"/>
      <c r="B116" s="27"/>
      <c r="C116" s="27"/>
      <c r="D116" s="27"/>
      <c r="E116" s="27"/>
      <c r="G116" s="25"/>
      <c r="H116" s="25"/>
      <c r="I116" s="27"/>
      <c r="J116" s="27"/>
      <c r="K116" s="27"/>
      <c r="L116" s="29"/>
      <c r="M116" s="27"/>
      <c r="N116" s="27"/>
      <c r="O116" s="27"/>
      <c r="P116" s="27"/>
      <c r="Q116" s="27"/>
      <c r="R116" s="29"/>
      <c r="S116" s="39"/>
      <c r="T116" s="27"/>
      <c r="U116" s="27"/>
      <c r="V116" s="27"/>
      <c r="W116" s="27"/>
      <c r="X116" s="29"/>
      <c r="AC116" s="27"/>
      <c r="AF116" s="33"/>
      <c r="AJ116" s="34"/>
      <c r="AK116" s="23"/>
      <c r="AL116" s="22"/>
      <c r="AX116" s="33"/>
      <c r="BC116" s="43" t="s">
        <v>132</v>
      </c>
      <c r="BD116" s="19">
        <v>0</v>
      </c>
      <c r="BE116" s="31" t="s">
        <v>106</v>
      </c>
      <c r="BF116" s="31">
        <f>SUM(BD116:BD137)</f>
        <v>4</v>
      </c>
      <c r="BH116" s="34"/>
      <c r="BI116" s="43"/>
      <c r="BJ116" s="27"/>
      <c r="BN116" s="34"/>
      <c r="BO116" s="38" t="s">
        <v>152</v>
      </c>
      <c r="BP116" s="31">
        <v>1</v>
      </c>
      <c r="BQ116" s="31"/>
      <c r="BR116" s="31"/>
      <c r="BT116" s="34"/>
      <c r="BU116" s="38" t="s">
        <v>200</v>
      </c>
      <c r="BV116" s="33">
        <v>0</v>
      </c>
      <c r="BZ116" s="34"/>
      <c r="CA116" s="38" t="s">
        <v>83</v>
      </c>
      <c r="CB116" s="33">
        <v>2</v>
      </c>
      <c r="CF116" s="36"/>
      <c r="CG116" s="44" t="s">
        <v>201</v>
      </c>
      <c r="CH116" s="19">
        <v>0</v>
      </c>
      <c r="CL116" s="36"/>
      <c r="CM116" s="44" t="s">
        <v>175</v>
      </c>
      <c r="CN116" s="19">
        <v>0</v>
      </c>
      <c r="CR116" s="36"/>
    </row>
    <row r="117" spans="1:96" x14ac:dyDescent="0.2">
      <c r="A117" s="42"/>
      <c r="B117" s="27"/>
      <c r="C117" s="27"/>
      <c r="D117" s="27"/>
      <c r="E117" s="27"/>
      <c r="G117" s="25"/>
      <c r="H117" s="25"/>
      <c r="I117" s="27"/>
      <c r="J117" s="27"/>
      <c r="K117" s="27"/>
      <c r="L117" s="29"/>
      <c r="M117" s="27"/>
      <c r="N117" s="27"/>
      <c r="O117" s="27"/>
      <c r="P117" s="27"/>
      <c r="Q117" s="27"/>
      <c r="R117" s="29"/>
      <c r="S117" s="39"/>
      <c r="T117" s="27"/>
      <c r="U117" s="27"/>
      <c r="V117" s="27"/>
      <c r="W117" s="27"/>
      <c r="X117" s="29"/>
      <c r="AC117" s="27"/>
      <c r="AF117" s="33"/>
      <c r="AJ117" s="34"/>
      <c r="AK117" s="23"/>
      <c r="AL117" s="22"/>
      <c r="AX117" s="33"/>
      <c r="BC117" s="43" t="s">
        <v>171</v>
      </c>
      <c r="BD117" s="19">
        <v>0</v>
      </c>
      <c r="BE117" s="31" t="s">
        <v>115</v>
      </c>
      <c r="BF117" s="31">
        <f>MIN(BD116:BD137)</f>
        <v>0</v>
      </c>
      <c r="BH117" s="34"/>
      <c r="BI117" s="43"/>
      <c r="BJ117" s="27"/>
      <c r="BN117" s="34"/>
      <c r="BO117" s="38" t="s">
        <v>157</v>
      </c>
      <c r="BP117" s="31">
        <v>1</v>
      </c>
      <c r="BQ117" s="31"/>
      <c r="BR117" s="31"/>
      <c r="BT117" s="34"/>
      <c r="BU117" s="37" t="s">
        <v>203</v>
      </c>
      <c r="BV117" s="33">
        <v>1</v>
      </c>
      <c r="BZ117" s="34"/>
      <c r="CA117" s="38" t="s">
        <v>82</v>
      </c>
      <c r="CB117" s="33">
        <v>0</v>
      </c>
      <c r="CF117" s="36"/>
      <c r="CG117" s="44" t="s">
        <v>207</v>
      </c>
      <c r="CH117" s="19">
        <v>0</v>
      </c>
      <c r="CL117" s="36"/>
      <c r="CM117" s="44" t="s">
        <v>181</v>
      </c>
      <c r="CN117" s="19">
        <v>0</v>
      </c>
      <c r="CR117" s="36"/>
    </row>
    <row r="118" spans="1:96" x14ac:dyDescent="0.2">
      <c r="A118" s="42"/>
      <c r="B118" s="27"/>
      <c r="C118" s="27"/>
      <c r="D118" s="27"/>
      <c r="E118" s="27"/>
      <c r="G118" s="25"/>
      <c r="H118" s="25"/>
      <c r="I118" s="27"/>
      <c r="J118" s="27"/>
      <c r="K118" s="27"/>
      <c r="L118" s="29"/>
      <c r="M118" s="27"/>
      <c r="N118" s="27"/>
      <c r="O118" s="27"/>
      <c r="P118" s="27"/>
      <c r="Q118" s="27"/>
      <c r="R118" s="29"/>
      <c r="S118" s="45"/>
      <c r="T118" s="121" t="s">
        <v>162</v>
      </c>
      <c r="U118" s="121"/>
      <c r="V118" s="29"/>
      <c r="W118" s="29"/>
      <c r="X118" s="29"/>
      <c r="Y118" s="27"/>
      <c r="Z118" s="27"/>
      <c r="AA118" s="27"/>
      <c r="AB118" s="27"/>
      <c r="AC118" s="27"/>
      <c r="AJ118" s="34"/>
      <c r="AK118" s="23"/>
      <c r="AL118" s="22"/>
      <c r="AQ118" s="31"/>
      <c r="AW118" s="49"/>
      <c r="AX118" s="33"/>
      <c r="BC118" s="43" t="s">
        <v>176</v>
      </c>
      <c r="BD118" s="19">
        <v>0</v>
      </c>
      <c r="BE118" s="31" t="s">
        <v>122</v>
      </c>
      <c r="BF118" s="31">
        <f>MAX(BD116:BD137)</f>
        <v>2</v>
      </c>
      <c r="BH118" s="34"/>
      <c r="BI118" s="43"/>
      <c r="BJ118" s="27"/>
      <c r="BN118" s="34"/>
      <c r="BO118" s="38" t="s">
        <v>163</v>
      </c>
      <c r="BP118" s="31">
        <v>1</v>
      </c>
      <c r="BQ118" s="31"/>
      <c r="BR118" s="31"/>
      <c r="BT118" s="34"/>
      <c r="BU118" s="38" t="s">
        <v>212</v>
      </c>
      <c r="BV118" s="33">
        <v>0</v>
      </c>
      <c r="BZ118" s="34"/>
      <c r="CA118" s="38" t="s">
        <v>81</v>
      </c>
      <c r="CB118" s="33">
        <v>0</v>
      </c>
      <c r="CF118" s="36"/>
      <c r="CG118" s="44" t="s">
        <v>213</v>
      </c>
      <c r="CH118" s="19">
        <v>0</v>
      </c>
      <c r="CL118" s="36"/>
      <c r="CM118" s="44" t="s">
        <v>186</v>
      </c>
      <c r="CN118" s="19">
        <v>1</v>
      </c>
      <c r="CR118" s="36"/>
    </row>
    <row r="119" spans="1:96" x14ac:dyDescent="0.2">
      <c r="A119" s="42"/>
      <c r="B119" s="27"/>
      <c r="C119" s="27"/>
      <c r="D119" s="27"/>
      <c r="E119" s="27"/>
      <c r="G119" s="25"/>
      <c r="H119" s="25"/>
      <c r="I119" s="27"/>
      <c r="J119" s="27"/>
      <c r="K119" s="27"/>
      <c r="L119" s="29"/>
      <c r="M119" s="27"/>
      <c r="N119" s="27"/>
      <c r="O119" s="27"/>
      <c r="P119" s="27"/>
      <c r="Q119" s="27"/>
      <c r="R119" s="29"/>
      <c r="S119" s="39"/>
      <c r="T119" s="27"/>
      <c r="U119" s="27"/>
      <c r="V119" s="27"/>
      <c r="W119" s="27"/>
      <c r="X119" s="29"/>
      <c r="Y119" s="27"/>
      <c r="Z119" s="27"/>
      <c r="AA119" s="27"/>
      <c r="AB119" s="27"/>
      <c r="AC119" s="27"/>
      <c r="AJ119" s="34"/>
      <c r="AK119" s="23"/>
      <c r="AL119" s="22"/>
      <c r="AQ119" s="31"/>
      <c r="AR119" s="31"/>
      <c r="AS119" s="31"/>
      <c r="AT119" s="31"/>
      <c r="AW119" s="49"/>
      <c r="AX119" s="33"/>
      <c r="BC119" s="43" t="s">
        <v>182</v>
      </c>
      <c r="BD119" s="19">
        <v>0</v>
      </c>
      <c r="BE119" s="31" t="s">
        <v>129</v>
      </c>
      <c r="BF119" s="31">
        <f>VAR(BD116:BD137)</f>
        <v>0.25108225108225107</v>
      </c>
      <c r="BH119" s="34"/>
      <c r="BI119" s="43"/>
      <c r="BJ119" s="27"/>
      <c r="BN119" s="34"/>
      <c r="BO119" s="38" t="s">
        <v>85</v>
      </c>
      <c r="BP119" s="31">
        <v>0</v>
      </c>
      <c r="BQ119" s="31"/>
      <c r="BR119" s="31"/>
      <c r="BT119" s="34"/>
      <c r="BU119" s="38" t="s">
        <v>220</v>
      </c>
      <c r="BV119" s="33">
        <v>0</v>
      </c>
      <c r="BZ119" s="34"/>
      <c r="CA119" s="38" t="s">
        <v>80</v>
      </c>
      <c r="CB119" s="33">
        <v>1</v>
      </c>
      <c r="CF119" s="36"/>
      <c r="CG119" s="44" t="s">
        <v>221</v>
      </c>
      <c r="CH119" s="19">
        <v>1</v>
      </c>
      <c r="CL119" s="36"/>
      <c r="CM119" s="44" t="s">
        <v>191</v>
      </c>
      <c r="CN119" s="19">
        <v>0</v>
      </c>
      <c r="CR119" s="36"/>
    </row>
    <row r="120" spans="1:96" x14ac:dyDescent="0.2">
      <c r="A120" s="42"/>
      <c r="B120" s="27"/>
      <c r="C120" s="27"/>
      <c r="D120" s="27"/>
      <c r="E120" s="27"/>
      <c r="G120" s="25"/>
      <c r="H120" s="25"/>
      <c r="I120" s="27"/>
      <c r="J120" s="27"/>
      <c r="K120" s="27"/>
      <c r="L120" s="29"/>
      <c r="M120" s="27"/>
      <c r="N120" s="27"/>
      <c r="O120" s="27"/>
      <c r="P120" s="27"/>
      <c r="Q120" s="27"/>
      <c r="R120" s="29"/>
      <c r="S120" s="39"/>
      <c r="T120" s="27"/>
      <c r="U120" s="27"/>
      <c r="V120" s="27"/>
      <c r="W120" s="27"/>
      <c r="X120" s="29"/>
      <c r="Y120" s="27"/>
      <c r="Z120" s="27"/>
      <c r="AA120" s="27"/>
      <c r="AB120" s="27"/>
      <c r="AC120" s="27"/>
      <c r="AE120" s="31"/>
      <c r="AF120" s="31"/>
      <c r="AG120" s="31"/>
      <c r="AH120" s="31"/>
      <c r="AJ120" s="34"/>
      <c r="AK120" s="23"/>
      <c r="AL120" s="22"/>
      <c r="AQ120" s="43"/>
      <c r="AR120" s="31"/>
      <c r="AS120" s="31"/>
      <c r="AT120" s="31"/>
      <c r="AW120" s="32"/>
      <c r="AX120" s="33"/>
      <c r="AY120" s="31"/>
      <c r="AZ120" s="31"/>
      <c r="BC120" s="43" t="s">
        <v>135</v>
      </c>
      <c r="BD120" s="19">
        <v>0</v>
      </c>
      <c r="BE120" s="31" t="s">
        <v>138</v>
      </c>
      <c r="BF120" s="31">
        <f>AVERAGE(BD116:BD137)</f>
        <v>0.18181818181818182</v>
      </c>
      <c r="BH120" s="34"/>
      <c r="BI120" s="43"/>
      <c r="BJ120" s="27"/>
      <c r="BN120" s="34"/>
      <c r="BO120" s="38" t="s">
        <v>173</v>
      </c>
      <c r="BP120" s="31">
        <v>0</v>
      </c>
      <c r="BQ120" s="31"/>
      <c r="BR120" s="31"/>
      <c r="BT120" s="34"/>
      <c r="BU120" s="38" t="s">
        <v>226</v>
      </c>
      <c r="BV120" s="33">
        <v>0</v>
      </c>
      <c r="BZ120" s="34"/>
      <c r="CA120" s="38" t="s">
        <v>79</v>
      </c>
      <c r="CB120" s="33">
        <v>0</v>
      </c>
      <c r="CF120" s="36"/>
      <c r="CG120" s="44" t="s">
        <v>227</v>
      </c>
      <c r="CH120" s="19">
        <v>0</v>
      </c>
      <c r="CL120" s="36"/>
      <c r="CM120" s="44" t="s">
        <v>196</v>
      </c>
      <c r="CN120" s="19">
        <v>0</v>
      </c>
      <c r="CR120" s="36"/>
    </row>
    <row r="121" spans="1:96" x14ac:dyDescent="0.2">
      <c r="A121" s="42"/>
      <c r="B121" s="27"/>
      <c r="C121" s="27"/>
      <c r="D121" s="27"/>
      <c r="E121" s="27"/>
      <c r="G121" s="25"/>
      <c r="H121" s="25"/>
      <c r="I121" s="27"/>
      <c r="J121" s="27"/>
      <c r="K121" s="27"/>
      <c r="L121" s="29"/>
      <c r="M121" s="27"/>
      <c r="N121" s="27"/>
      <c r="O121" s="27"/>
      <c r="P121" s="27"/>
      <c r="Q121" s="27"/>
      <c r="R121" s="29"/>
      <c r="S121" s="39"/>
      <c r="T121" s="27"/>
      <c r="U121" s="27"/>
      <c r="V121" s="27"/>
      <c r="W121" s="27"/>
      <c r="X121" s="29"/>
      <c r="Y121" s="27"/>
      <c r="Z121" s="27"/>
      <c r="AA121" s="27"/>
      <c r="AB121" s="27"/>
      <c r="AC121" s="27"/>
      <c r="AE121" s="31"/>
      <c r="AF121" s="31"/>
      <c r="AG121" s="31"/>
      <c r="AH121" s="31"/>
      <c r="AJ121" s="34"/>
      <c r="AK121" s="23"/>
      <c r="AL121" s="22"/>
      <c r="AQ121" s="43"/>
      <c r="AR121" s="31"/>
      <c r="AS121" s="31"/>
      <c r="AT121" s="31"/>
      <c r="AW121" s="43"/>
      <c r="AX121" s="33"/>
      <c r="AY121" s="31"/>
      <c r="AZ121" s="31"/>
      <c r="BC121" s="43" t="s">
        <v>192</v>
      </c>
      <c r="BD121" s="19">
        <v>0</v>
      </c>
      <c r="BE121" s="31" t="s">
        <v>144</v>
      </c>
      <c r="BF121" s="31">
        <f>STDEV(BD116:BD137)</f>
        <v>0.50108108234321824</v>
      </c>
      <c r="BH121" s="34"/>
      <c r="BI121" s="43"/>
      <c r="BJ121" s="27"/>
      <c r="BN121" s="34"/>
      <c r="BO121" s="38" t="s">
        <v>178</v>
      </c>
      <c r="BP121" s="31">
        <v>0</v>
      </c>
      <c r="BQ121" s="31"/>
      <c r="BR121" s="31"/>
      <c r="BT121" s="34"/>
      <c r="BU121" s="38" t="s">
        <v>231</v>
      </c>
      <c r="BV121" s="33">
        <v>0</v>
      </c>
      <c r="BZ121" s="34"/>
      <c r="CA121" s="38" t="s">
        <v>78</v>
      </c>
      <c r="CB121" s="33">
        <v>2</v>
      </c>
      <c r="CF121" s="36"/>
      <c r="CG121" s="44" t="s">
        <v>214</v>
      </c>
      <c r="CH121" s="19">
        <v>0</v>
      </c>
      <c r="CL121" s="36"/>
      <c r="CM121" s="44" t="s">
        <v>202</v>
      </c>
      <c r="CN121" s="19">
        <v>0</v>
      </c>
      <c r="CR121" s="36"/>
    </row>
    <row r="122" spans="1:96" x14ac:dyDescent="0.2">
      <c r="A122" s="42"/>
      <c r="B122" s="27"/>
      <c r="C122" s="27"/>
      <c r="D122" s="27"/>
      <c r="E122" s="27"/>
      <c r="G122" s="25"/>
      <c r="H122" s="25"/>
      <c r="I122" s="27"/>
      <c r="J122" s="27"/>
      <c r="K122" s="27"/>
      <c r="L122" s="29"/>
      <c r="M122" s="27"/>
      <c r="N122" s="27"/>
      <c r="O122" s="27"/>
      <c r="P122" s="27"/>
      <c r="Q122" s="27"/>
      <c r="R122" s="29"/>
      <c r="S122" s="39"/>
      <c r="T122" s="27"/>
      <c r="U122" s="27"/>
      <c r="V122" s="27"/>
      <c r="W122" s="27"/>
      <c r="X122" s="29"/>
      <c r="Y122" s="27"/>
      <c r="Z122" s="27"/>
      <c r="AA122" s="27"/>
      <c r="AB122" s="27"/>
      <c r="AC122" s="27"/>
      <c r="AE122" s="31"/>
      <c r="AF122" s="31"/>
      <c r="AG122" s="31"/>
      <c r="AH122" s="31"/>
      <c r="AJ122" s="34"/>
      <c r="AK122" s="23"/>
      <c r="AL122" s="22"/>
      <c r="AQ122" s="43"/>
      <c r="AR122" s="31"/>
      <c r="AS122" s="31"/>
      <c r="AT122" s="31"/>
      <c r="AW122" s="43"/>
      <c r="AX122" s="33"/>
      <c r="AY122" s="31"/>
      <c r="AZ122" s="31"/>
      <c r="BC122" s="43" t="s">
        <v>197</v>
      </c>
      <c r="BD122" s="19">
        <v>0</v>
      </c>
      <c r="BH122" s="34"/>
      <c r="BI122" s="43"/>
      <c r="BJ122" s="27"/>
      <c r="BN122" s="34"/>
      <c r="BO122" s="38" t="s">
        <v>183</v>
      </c>
      <c r="BP122" s="33">
        <v>1</v>
      </c>
      <c r="BT122" s="34"/>
      <c r="BU122" s="38" t="s">
        <v>237</v>
      </c>
      <c r="BV122" s="33">
        <v>0</v>
      </c>
      <c r="BZ122" s="34"/>
      <c r="CA122" s="38" t="s">
        <v>77</v>
      </c>
      <c r="CB122" s="33">
        <v>0</v>
      </c>
      <c r="CF122" s="36"/>
      <c r="CG122" s="44" t="s">
        <v>238</v>
      </c>
      <c r="CH122" s="19">
        <v>0</v>
      </c>
      <c r="CL122" s="36"/>
      <c r="CM122" s="44" t="s">
        <v>208</v>
      </c>
      <c r="CN122" s="19">
        <v>0</v>
      </c>
      <c r="CR122" s="36"/>
    </row>
    <row r="123" spans="1:96" x14ac:dyDescent="0.2">
      <c r="A123" s="27"/>
      <c r="B123" s="27"/>
      <c r="C123" s="27"/>
      <c r="D123" s="27"/>
      <c r="E123" s="27"/>
      <c r="G123" s="25"/>
      <c r="H123" s="25"/>
      <c r="I123" s="27"/>
      <c r="J123" s="27"/>
      <c r="K123" s="27"/>
      <c r="L123" s="29"/>
      <c r="M123" s="27"/>
      <c r="N123" s="27"/>
      <c r="O123" s="27"/>
      <c r="P123" s="27"/>
      <c r="Q123" s="27"/>
      <c r="R123" s="29"/>
      <c r="S123" s="39"/>
      <c r="T123" s="27"/>
      <c r="U123" s="27"/>
      <c r="V123" s="27"/>
      <c r="W123" s="27"/>
      <c r="X123" s="29"/>
      <c r="Y123" s="27"/>
      <c r="Z123" s="27"/>
      <c r="AA123" s="27"/>
      <c r="AB123" s="27"/>
      <c r="AC123" s="27"/>
      <c r="AE123" s="31"/>
      <c r="AF123" s="31"/>
      <c r="AG123" s="31"/>
      <c r="AH123" s="31"/>
      <c r="AJ123" s="34"/>
      <c r="AK123" s="23"/>
      <c r="AL123" s="22"/>
      <c r="AQ123" s="43"/>
      <c r="AR123" s="31"/>
      <c r="AS123" s="31"/>
      <c r="AT123" s="31"/>
      <c r="AW123" s="43"/>
      <c r="AX123" s="33"/>
      <c r="AY123" s="31"/>
      <c r="AZ123" s="31"/>
      <c r="BC123" s="43" t="s">
        <v>204</v>
      </c>
      <c r="BD123" s="19">
        <v>0</v>
      </c>
      <c r="BH123" s="34"/>
      <c r="BI123" s="43"/>
      <c r="BJ123" s="27"/>
      <c r="BN123" s="34"/>
      <c r="BO123" s="38" t="s">
        <v>188</v>
      </c>
      <c r="BP123" s="33">
        <v>1</v>
      </c>
      <c r="BT123" s="34"/>
      <c r="BU123" s="38" t="s">
        <v>242</v>
      </c>
      <c r="BV123" s="33">
        <v>0</v>
      </c>
      <c r="BZ123" s="34"/>
      <c r="CA123" s="38" t="s">
        <v>76</v>
      </c>
      <c r="CB123" s="33">
        <v>0</v>
      </c>
      <c r="CF123" s="36"/>
      <c r="CG123" s="44" t="s">
        <v>243</v>
      </c>
      <c r="CH123" s="19">
        <v>0</v>
      </c>
      <c r="CL123" s="36"/>
      <c r="CM123" s="44" t="s">
        <v>214</v>
      </c>
      <c r="CN123" s="19">
        <v>0</v>
      </c>
      <c r="CR123" s="36"/>
    </row>
    <row r="124" spans="1:96" ht="13.5" x14ac:dyDescent="0.25">
      <c r="E124" s="27"/>
      <c r="G124" s="25"/>
      <c r="H124" s="25"/>
      <c r="I124" s="27"/>
      <c r="J124" s="27"/>
      <c r="K124" s="27"/>
      <c r="L124" s="29"/>
      <c r="M124" s="27"/>
      <c r="N124" s="27"/>
      <c r="O124" s="27"/>
      <c r="P124" s="27"/>
      <c r="Q124" s="27"/>
      <c r="R124" s="29"/>
      <c r="S124" s="27"/>
      <c r="T124" s="27"/>
      <c r="U124" s="27"/>
      <c r="V124" s="27"/>
      <c r="W124" s="27"/>
      <c r="X124" s="29"/>
      <c r="Y124" s="53"/>
      <c r="Z124" s="27"/>
      <c r="AA124" s="27"/>
      <c r="AB124" s="27"/>
      <c r="AC124" s="27"/>
      <c r="AE124" s="31"/>
      <c r="AF124" s="31"/>
      <c r="AG124" s="31"/>
      <c r="AH124" s="31"/>
      <c r="AJ124" s="34"/>
      <c r="AQ124" s="43"/>
      <c r="AR124" s="31"/>
      <c r="AS124" s="31"/>
      <c r="AT124" s="31"/>
      <c r="AW124" s="43"/>
      <c r="AX124" s="33"/>
      <c r="AY124" s="31"/>
      <c r="AZ124" s="31"/>
      <c r="BC124" s="43" t="s">
        <v>209</v>
      </c>
      <c r="BD124" s="19">
        <v>0</v>
      </c>
      <c r="BH124" s="34"/>
      <c r="BI124" s="43"/>
      <c r="BJ124" s="27"/>
      <c r="BN124" s="34"/>
      <c r="BO124" s="38" t="s">
        <v>193</v>
      </c>
      <c r="BP124" s="33">
        <v>0</v>
      </c>
      <c r="BT124" s="34"/>
      <c r="BU124" s="38" t="s">
        <v>248</v>
      </c>
      <c r="BV124" s="33">
        <v>0</v>
      </c>
      <c r="BZ124" s="34"/>
      <c r="CA124" s="43" t="s">
        <v>75</v>
      </c>
      <c r="CB124" s="33">
        <v>0</v>
      </c>
      <c r="CF124" s="36"/>
      <c r="CG124" s="44" t="s">
        <v>249</v>
      </c>
      <c r="CH124" s="19">
        <v>0</v>
      </c>
      <c r="CL124" s="36"/>
      <c r="CM124" s="44" t="s">
        <v>222</v>
      </c>
      <c r="CN124" s="19">
        <v>0</v>
      </c>
      <c r="CR124" s="36"/>
    </row>
    <row r="125" spans="1:96" x14ac:dyDescent="0.2">
      <c r="E125" s="27"/>
      <c r="G125" s="25"/>
      <c r="H125" s="25"/>
      <c r="I125" s="27"/>
      <c r="J125" s="27"/>
      <c r="K125" s="27"/>
      <c r="L125" s="29"/>
      <c r="M125" s="27"/>
      <c r="N125" s="27"/>
      <c r="O125" s="27"/>
      <c r="P125" s="27"/>
      <c r="Q125" s="27"/>
      <c r="R125" s="29"/>
      <c r="W125" s="27"/>
      <c r="X125" s="29"/>
      <c r="Y125" s="27"/>
      <c r="Z125" s="27"/>
      <c r="AA125" s="27"/>
      <c r="AB125" s="27"/>
      <c r="AC125" s="27"/>
      <c r="AE125" s="31"/>
      <c r="AF125" s="31"/>
      <c r="AG125" s="31"/>
      <c r="AH125" s="31"/>
      <c r="AJ125" s="34"/>
      <c r="AK125" s="31"/>
      <c r="AL125" s="33"/>
      <c r="AQ125" s="43"/>
      <c r="AR125" s="31"/>
      <c r="AS125" s="31"/>
      <c r="AT125" s="31"/>
      <c r="AW125" s="43"/>
      <c r="AX125" s="33"/>
      <c r="AY125" s="31"/>
      <c r="AZ125" s="31"/>
      <c r="BC125" s="43" t="s">
        <v>217</v>
      </c>
      <c r="BD125" s="19">
        <v>0</v>
      </c>
      <c r="BH125" s="34"/>
      <c r="BI125" s="43"/>
      <c r="BJ125" s="27"/>
      <c r="BN125" s="34"/>
      <c r="BO125" s="38" t="s">
        <v>199</v>
      </c>
      <c r="BP125" s="33">
        <v>2</v>
      </c>
      <c r="BT125" s="34"/>
      <c r="BU125" s="38" t="s">
        <v>252</v>
      </c>
      <c r="BV125" s="33">
        <v>0</v>
      </c>
      <c r="BY125" s="24"/>
      <c r="BZ125" s="34"/>
      <c r="CA125" s="43" t="s">
        <v>74</v>
      </c>
      <c r="CB125" s="33">
        <v>0</v>
      </c>
      <c r="CE125" s="24"/>
      <c r="CF125" s="36"/>
      <c r="CG125" s="44" t="s">
        <v>253</v>
      </c>
      <c r="CH125" s="19">
        <v>0</v>
      </c>
      <c r="CL125" s="36"/>
      <c r="CM125" s="44" t="s">
        <v>228</v>
      </c>
      <c r="CN125" s="19">
        <v>0</v>
      </c>
      <c r="CR125" s="36"/>
    </row>
    <row r="126" spans="1:96" x14ac:dyDescent="0.2">
      <c r="E126" s="27"/>
      <c r="G126" s="25"/>
      <c r="H126" s="25"/>
      <c r="I126" s="27"/>
      <c r="J126" s="27"/>
      <c r="K126" s="27"/>
      <c r="L126" s="29"/>
      <c r="M126" s="27"/>
      <c r="N126" s="27"/>
      <c r="O126" s="27"/>
      <c r="P126" s="27"/>
      <c r="Q126" s="27"/>
      <c r="R126" s="29"/>
      <c r="W126" s="27"/>
      <c r="X126" s="29"/>
      <c r="Y126" s="27"/>
      <c r="Z126" s="27"/>
      <c r="AA126" s="27"/>
      <c r="AB126" s="27"/>
      <c r="AC126" s="27"/>
      <c r="AE126" s="31"/>
      <c r="AF126" s="31"/>
      <c r="AG126" s="31"/>
      <c r="AH126" s="31"/>
      <c r="AJ126" s="34"/>
      <c r="AK126" s="31"/>
      <c r="AL126" s="33"/>
      <c r="AQ126" s="43"/>
      <c r="AR126" s="31"/>
      <c r="AS126" s="31"/>
      <c r="AT126" s="31"/>
      <c r="AW126" s="43"/>
      <c r="AX126" s="33"/>
      <c r="AY126" s="31"/>
      <c r="AZ126" s="31"/>
      <c r="BC126" s="43" t="s">
        <v>223</v>
      </c>
      <c r="BD126" s="19">
        <v>0</v>
      </c>
      <c r="BH126" s="34"/>
      <c r="BI126" s="43"/>
      <c r="BJ126" s="27"/>
      <c r="BN126" s="34"/>
      <c r="BO126" s="38" t="s">
        <v>206</v>
      </c>
      <c r="BP126" s="33">
        <v>0</v>
      </c>
      <c r="BT126" s="34"/>
      <c r="BY126" s="24"/>
      <c r="BZ126" s="34"/>
      <c r="CA126" s="43"/>
      <c r="CE126" s="24"/>
      <c r="CF126" s="36"/>
      <c r="CG126" s="44" t="s">
        <v>255</v>
      </c>
      <c r="CH126" s="19">
        <v>0</v>
      </c>
      <c r="CL126" s="36"/>
      <c r="CM126" s="44" t="s">
        <v>232</v>
      </c>
      <c r="CN126" s="19">
        <v>0</v>
      </c>
      <c r="CR126" s="36"/>
    </row>
    <row r="127" spans="1:96" x14ac:dyDescent="0.2">
      <c r="E127" s="27"/>
      <c r="G127" s="25"/>
      <c r="H127" s="25"/>
      <c r="I127" s="27"/>
      <c r="J127" s="27"/>
      <c r="K127" s="27"/>
      <c r="L127" s="29"/>
      <c r="M127" s="27"/>
      <c r="N127" s="27"/>
      <c r="O127" s="27"/>
      <c r="P127" s="27"/>
      <c r="Q127" s="27"/>
      <c r="R127" s="29"/>
      <c r="W127" s="27"/>
      <c r="X127" s="29"/>
      <c r="Y127" s="27"/>
      <c r="Z127" s="27"/>
      <c r="AA127" s="27"/>
      <c r="AB127" s="27"/>
      <c r="AC127" s="27"/>
      <c r="AE127" s="31"/>
      <c r="AF127" s="31"/>
      <c r="AG127" s="31"/>
      <c r="AH127" s="31"/>
      <c r="AJ127" s="34"/>
      <c r="AQ127" s="43"/>
      <c r="AR127" s="31"/>
      <c r="AS127" s="31"/>
      <c r="AT127" s="31"/>
      <c r="AW127" s="43"/>
      <c r="AX127" s="33"/>
      <c r="BC127" s="43" t="s">
        <v>130</v>
      </c>
      <c r="BD127" s="19">
        <v>0</v>
      </c>
      <c r="BH127" s="34"/>
      <c r="BI127" s="43"/>
      <c r="BJ127" s="27"/>
      <c r="BN127" s="34"/>
      <c r="BO127" s="38" t="s">
        <v>211</v>
      </c>
      <c r="BP127" s="33">
        <v>3</v>
      </c>
      <c r="BT127" s="34"/>
      <c r="BZ127" s="34"/>
      <c r="CA127" s="43"/>
      <c r="CF127" s="36"/>
      <c r="CL127" s="36"/>
      <c r="CR127" s="36"/>
    </row>
    <row r="128" spans="1:96" x14ac:dyDescent="0.2">
      <c r="E128" s="27"/>
      <c r="G128" s="25"/>
      <c r="H128" s="25"/>
      <c r="I128" s="27"/>
      <c r="J128" s="27"/>
      <c r="K128" s="27"/>
      <c r="L128" s="29"/>
      <c r="M128" s="27"/>
      <c r="N128" s="27"/>
      <c r="O128" s="27"/>
      <c r="P128" s="27"/>
      <c r="Q128" s="27"/>
      <c r="R128" s="29"/>
      <c r="W128" s="27"/>
      <c r="X128" s="29"/>
      <c r="Y128" s="27"/>
      <c r="Z128" s="27"/>
      <c r="AA128" s="27"/>
      <c r="AB128" s="27"/>
      <c r="AC128" s="27"/>
      <c r="AE128" s="31"/>
      <c r="AF128" s="31"/>
      <c r="AG128" s="31"/>
      <c r="AH128" s="31"/>
      <c r="AJ128" s="34"/>
      <c r="AQ128" s="43"/>
      <c r="AR128" s="31"/>
      <c r="AS128" s="31"/>
      <c r="AT128" s="31"/>
      <c r="AW128" s="43"/>
      <c r="AX128" s="33"/>
      <c r="BC128" s="43" t="s">
        <v>234</v>
      </c>
      <c r="BD128" s="19">
        <v>0</v>
      </c>
      <c r="BH128" s="34"/>
      <c r="BI128" s="43"/>
      <c r="BJ128" s="27"/>
      <c r="BN128" s="34"/>
      <c r="BO128" s="38" t="s">
        <v>219</v>
      </c>
      <c r="BP128" s="33">
        <v>2</v>
      </c>
      <c r="BT128" s="34"/>
      <c r="BZ128" s="34"/>
      <c r="CF128" s="36"/>
      <c r="CL128" s="36"/>
      <c r="CR128" s="36"/>
    </row>
    <row r="129" spans="1:96" x14ac:dyDescent="0.2">
      <c r="E129" s="27"/>
      <c r="G129" s="25"/>
      <c r="H129" s="25"/>
      <c r="I129" s="27"/>
      <c r="J129" s="27"/>
      <c r="K129" s="27"/>
      <c r="L129" s="29"/>
      <c r="M129" s="27"/>
      <c r="N129" s="27"/>
      <c r="O129" s="27"/>
      <c r="P129" s="27"/>
      <c r="Q129" s="27"/>
      <c r="R129" s="29"/>
      <c r="W129" s="27"/>
      <c r="X129" s="29"/>
      <c r="Y129" s="27"/>
      <c r="Z129" s="27"/>
      <c r="AA129" s="27"/>
      <c r="AB129" s="27"/>
      <c r="AC129" s="27"/>
      <c r="AE129" s="31"/>
      <c r="AF129" s="31"/>
      <c r="AG129" s="31"/>
      <c r="AH129" s="31"/>
      <c r="AJ129" s="34"/>
      <c r="AQ129" s="43"/>
      <c r="AR129" s="31"/>
      <c r="AS129" s="31"/>
      <c r="AT129" s="31"/>
      <c r="AW129" s="43"/>
      <c r="AX129" s="33"/>
      <c r="BC129" s="43" t="s">
        <v>239</v>
      </c>
      <c r="BD129" s="19">
        <v>2</v>
      </c>
      <c r="BH129" s="34"/>
      <c r="BI129" s="43"/>
      <c r="BJ129" s="27"/>
      <c r="BN129" s="34"/>
      <c r="BO129" s="38" t="s">
        <v>225</v>
      </c>
      <c r="BP129" s="33">
        <v>1</v>
      </c>
      <c r="BT129" s="34"/>
      <c r="BU129" s="31" t="s">
        <v>25</v>
      </c>
      <c r="BV129" s="31"/>
      <c r="BW129" s="31"/>
      <c r="BX129" s="31"/>
      <c r="BZ129" s="34"/>
      <c r="CA129" s="31" t="s">
        <v>25</v>
      </c>
      <c r="CB129" s="31"/>
      <c r="CC129" s="31"/>
      <c r="CD129" s="31"/>
      <c r="CF129" s="36"/>
      <c r="CG129" s="31" t="s">
        <v>25</v>
      </c>
      <c r="CH129" s="31"/>
      <c r="CI129" s="31"/>
      <c r="CJ129" s="31"/>
      <c r="CL129" s="36"/>
      <c r="CM129" s="46" t="s">
        <v>167</v>
      </c>
      <c r="CR129" s="36"/>
    </row>
    <row r="130" spans="1:96" x14ac:dyDescent="0.2">
      <c r="E130" s="27"/>
      <c r="G130" s="25"/>
      <c r="H130" s="25"/>
      <c r="I130" s="27"/>
      <c r="J130" s="27"/>
      <c r="K130" s="27"/>
      <c r="L130" s="29"/>
      <c r="M130" s="27"/>
      <c r="N130" s="27"/>
      <c r="O130" s="27"/>
      <c r="P130" s="27"/>
      <c r="Q130" s="27"/>
      <c r="R130" s="29"/>
      <c r="W130" s="27"/>
      <c r="X130" s="29"/>
      <c r="Y130" s="27"/>
      <c r="Z130" s="27"/>
      <c r="AA130" s="27"/>
      <c r="AB130" s="27"/>
      <c r="AC130" s="27"/>
      <c r="AE130" s="31"/>
      <c r="AF130" s="31"/>
      <c r="AG130" s="31"/>
      <c r="AH130" s="31"/>
      <c r="AJ130" s="34"/>
      <c r="AW130" s="43"/>
      <c r="AX130" s="33"/>
      <c r="BC130" s="43" t="s">
        <v>245</v>
      </c>
      <c r="BD130" s="19">
        <v>0</v>
      </c>
      <c r="BH130" s="34"/>
      <c r="BI130" s="43"/>
      <c r="BJ130" s="27"/>
      <c r="BN130" s="34"/>
      <c r="BO130" s="38" t="s">
        <v>230</v>
      </c>
      <c r="BP130" s="33">
        <v>0</v>
      </c>
      <c r="BT130" s="34"/>
      <c r="BU130" s="31" t="s">
        <v>102</v>
      </c>
      <c r="BV130" s="31" t="s">
        <v>71</v>
      </c>
      <c r="BW130" s="31" t="s">
        <v>103</v>
      </c>
      <c r="BX130" s="31" t="s">
        <v>104</v>
      </c>
      <c r="BZ130" s="34"/>
      <c r="CA130" s="31" t="s">
        <v>102</v>
      </c>
      <c r="CB130" s="31" t="s">
        <v>71</v>
      </c>
      <c r="CC130" s="31" t="s">
        <v>103</v>
      </c>
      <c r="CD130" s="31" t="s">
        <v>104</v>
      </c>
      <c r="CF130" s="36"/>
      <c r="CG130" s="31" t="s">
        <v>102</v>
      </c>
      <c r="CH130" s="31" t="s">
        <v>71</v>
      </c>
      <c r="CI130" s="31" t="s">
        <v>103</v>
      </c>
      <c r="CJ130" s="31" t="s">
        <v>104</v>
      </c>
      <c r="CL130" s="36"/>
      <c r="CM130" s="31" t="s">
        <v>102</v>
      </c>
      <c r="CN130" s="31" t="s">
        <v>71</v>
      </c>
      <c r="CO130" s="31" t="s">
        <v>103</v>
      </c>
      <c r="CP130" s="31" t="s">
        <v>104</v>
      </c>
      <c r="CR130" s="36"/>
    </row>
    <row r="131" spans="1:96" x14ac:dyDescent="0.2">
      <c r="A131" s="42"/>
      <c r="B131" s="27"/>
      <c r="C131" s="27"/>
      <c r="D131" s="27"/>
      <c r="E131" s="27"/>
      <c r="G131" s="25"/>
      <c r="H131" s="25"/>
      <c r="I131" s="27"/>
      <c r="J131" s="27"/>
      <c r="K131" s="27"/>
      <c r="L131" s="29"/>
      <c r="M131" s="27"/>
      <c r="N131" s="27"/>
      <c r="O131" s="27"/>
      <c r="P131" s="27"/>
      <c r="Q131" s="27"/>
      <c r="R131" s="29"/>
      <c r="W131" s="27"/>
      <c r="X131" s="29"/>
      <c r="Y131" s="27"/>
      <c r="Z131" s="27"/>
      <c r="AA131" s="27"/>
      <c r="AB131" s="27"/>
      <c r="AC131" s="27"/>
      <c r="AE131" s="31"/>
      <c r="AF131" s="31"/>
      <c r="AG131" s="31"/>
      <c r="AH131" s="31"/>
      <c r="AJ131" s="34"/>
      <c r="BC131" s="43" t="s">
        <v>250</v>
      </c>
      <c r="BD131" s="19">
        <v>0</v>
      </c>
      <c r="BH131" s="34"/>
      <c r="BN131" s="34"/>
      <c r="BO131" s="38" t="s">
        <v>236</v>
      </c>
      <c r="BP131" s="33">
        <v>0</v>
      </c>
      <c r="BT131" s="34"/>
      <c r="BU131" s="38" t="s">
        <v>111</v>
      </c>
      <c r="BV131" s="31">
        <v>1</v>
      </c>
      <c r="BW131" s="31" t="s">
        <v>106</v>
      </c>
      <c r="BX131" s="31">
        <f>SUM(BV131:BV155)</f>
        <v>9</v>
      </c>
      <c r="BZ131" s="34"/>
      <c r="CA131" s="38" t="s">
        <v>96</v>
      </c>
      <c r="CB131" s="31">
        <v>1</v>
      </c>
      <c r="CC131" s="31" t="s">
        <v>106</v>
      </c>
      <c r="CD131" s="31">
        <f>SUM(CB131:CB155)</f>
        <v>2</v>
      </c>
      <c r="CF131" s="36"/>
      <c r="CG131" s="44" t="s">
        <v>112</v>
      </c>
      <c r="CH131" s="19">
        <v>0</v>
      </c>
      <c r="CI131" s="31" t="s">
        <v>106</v>
      </c>
      <c r="CJ131" s="31">
        <f>SUM(CH131:CH155)</f>
        <v>2</v>
      </c>
      <c r="CL131" s="36"/>
      <c r="CM131" s="44" t="s">
        <v>256</v>
      </c>
      <c r="CN131" s="19">
        <v>0</v>
      </c>
      <c r="CO131" s="31" t="s">
        <v>106</v>
      </c>
      <c r="CP131" s="31">
        <f>SUM(CN131:CN157)</f>
        <v>1</v>
      </c>
      <c r="CR131" s="36"/>
    </row>
    <row r="132" spans="1:96" x14ac:dyDescent="0.2">
      <c r="A132" s="42"/>
      <c r="B132" s="27"/>
      <c r="C132" s="27"/>
      <c r="D132" s="27"/>
      <c r="E132" s="27"/>
      <c r="G132" s="25"/>
      <c r="H132" s="25"/>
      <c r="I132" s="27"/>
      <c r="J132" s="27"/>
      <c r="K132" s="27"/>
      <c r="L132" s="29"/>
      <c r="M132" s="27"/>
      <c r="N132" s="27"/>
      <c r="O132" s="27"/>
      <c r="P132" s="27"/>
      <c r="Q132" s="27"/>
      <c r="R132" s="29"/>
      <c r="S132" s="40"/>
      <c r="T132" s="27"/>
      <c r="U132" s="27"/>
      <c r="V132" s="27"/>
      <c r="W132" s="27"/>
      <c r="X132" s="29"/>
      <c r="Y132" s="27"/>
      <c r="Z132" s="27"/>
      <c r="AA132" s="27"/>
      <c r="AB132" s="27"/>
      <c r="AC132" s="27"/>
      <c r="AF132" s="33"/>
      <c r="AJ132" s="34"/>
      <c r="AQ132" s="31"/>
      <c r="BC132" s="43" t="s">
        <v>254</v>
      </c>
      <c r="BD132" s="19">
        <v>1</v>
      </c>
      <c r="BH132" s="34"/>
      <c r="BN132" s="34"/>
      <c r="BO132" s="38" t="s">
        <v>241</v>
      </c>
      <c r="BP132" s="33">
        <v>0</v>
      </c>
      <c r="BT132" s="34"/>
      <c r="BU132" s="38" t="s">
        <v>119</v>
      </c>
      <c r="BV132" s="31">
        <v>0</v>
      </c>
      <c r="BW132" s="31" t="s">
        <v>115</v>
      </c>
      <c r="BX132" s="31">
        <f>MIN(BV131:BV155)</f>
        <v>0</v>
      </c>
      <c r="BZ132" s="34"/>
      <c r="CA132" s="38" t="s">
        <v>95</v>
      </c>
      <c r="CB132" s="31">
        <v>0</v>
      </c>
      <c r="CC132" s="31" t="s">
        <v>115</v>
      </c>
      <c r="CD132" s="31">
        <f>MIN(CB131:CB155)</f>
        <v>0</v>
      </c>
      <c r="CF132" s="36"/>
      <c r="CG132" s="44" t="s">
        <v>120</v>
      </c>
      <c r="CH132" s="19">
        <v>0</v>
      </c>
      <c r="CI132" s="31" t="s">
        <v>115</v>
      </c>
      <c r="CJ132" s="31">
        <f>MIN(CH131:CH155)</f>
        <v>0</v>
      </c>
      <c r="CL132" s="36"/>
      <c r="CM132" s="44" t="s">
        <v>259</v>
      </c>
      <c r="CN132" s="19">
        <v>0</v>
      </c>
      <c r="CO132" s="31" t="s">
        <v>115</v>
      </c>
      <c r="CP132" s="31">
        <f>MIN(CN131:CN157)</f>
        <v>0</v>
      </c>
      <c r="CR132" s="36"/>
    </row>
    <row r="133" spans="1:96" x14ac:dyDescent="0.2">
      <c r="A133" s="42"/>
      <c r="B133" s="27"/>
      <c r="C133" s="27"/>
      <c r="D133" s="27"/>
      <c r="E133" s="27"/>
      <c r="G133" s="25"/>
      <c r="H133" s="25"/>
      <c r="I133" s="27"/>
      <c r="J133" s="27"/>
      <c r="K133" s="27"/>
      <c r="L133" s="29"/>
      <c r="M133" s="27"/>
      <c r="N133" s="27"/>
      <c r="O133" s="27"/>
      <c r="P133" s="27"/>
      <c r="Q133" s="27"/>
      <c r="R133" s="29"/>
      <c r="S133" s="40"/>
      <c r="T133" s="27"/>
      <c r="U133" s="27"/>
      <c r="V133" s="27"/>
      <c r="W133" s="27"/>
      <c r="X133" s="29"/>
      <c r="Y133" s="27"/>
      <c r="Z133" s="27"/>
      <c r="AA133" s="27"/>
      <c r="AB133" s="27"/>
      <c r="AC133" s="27"/>
      <c r="AF133" s="33"/>
      <c r="AJ133" s="34"/>
      <c r="AQ133" s="31"/>
      <c r="AR133" s="31"/>
      <c r="AS133" s="31"/>
      <c r="AT133" s="31"/>
      <c r="BC133" s="43" t="s">
        <v>257</v>
      </c>
      <c r="BD133" s="19">
        <v>0</v>
      </c>
      <c r="BH133" s="34"/>
      <c r="BI133" s="48" t="s">
        <v>295</v>
      </c>
      <c r="BN133" s="34"/>
      <c r="BO133" s="38" t="s">
        <v>247</v>
      </c>
      <c r="BP133" s="33">
        <v>0</v>
      </c>
      <c r="BT133" s="34"/>
      <c r="BU133" s="38" t="s">
        <v>126</v>
      </c>
      <c r="BV133" s="31">
        <v>0</v>
      </c>
      <c r="BW133" s="31" t="s">
        <v>122</v>
      </c>
      <c r="BX133" s="31">
        <f>MAX(BV131:BV155)</f>
        <v>2</v>
      </c>
      <c r="BZ133" s="34"/>
      <c r="CA133" s="38" t="s">
        <v>94</v>
      </c>
      <c r="CB133" s="31">
        <v>0</v>
      </c>
      <c r="CC133" s="31" t="s">
        <v>122</v>
      </c>
      <c r="CD133" s="31">
        <f>MAX(CB131:CB155)</f>
        <v>1</v>
      </c>
      <c r="CF133" s="36"/>
      <c r="CG133" s="44" t="s">
        <v>127</v>
      </c>
      <c r="CH133" s="19">
        <v>0</v>
      </c>
      <c r="CI133" s="31" t="s">
        <v>122</v>
      </c>
      <c r="CJ133" s="31">
        <f>MAX(CH131:CH155)</f>
        <v>2</v>
      </c>
      <c r="CL133" s="36"/>
      <c r="CM133" s="44" t="s">
        <v>262</v>
      </c>
      <c r="CN133" s="19">
        <v>0</v>
      </c>
      <c r="CO133" s="31" t="s">
        <v>122</v>
      </c>
      <c r="CP133" s="31">
        <f>MAX(CN131:CN157)</f>
        <v>1</v>
      </c>
      <c r="CR133" s="36"/>
    </row>
    <row r="134" spans="1:96" x14ac:dyDescent="0.2">
      <c r="A134" s="42"/>
      <c r="B134" s="27"/>
      <c r="C134" s="27"/>
      <c r="D134" s="27"/>
      <c r="E134" s="27"/>
      <c r="G134" s="25"/>
      <c r="H134" s="25"/>
      <c r="I134" s="27"/>
      <c r="J134" s="27"/>
      <c r="K134" s="27"/>
      <c r="L134" s="29"/>
      <c r="M134" s="27"/>
      <c r="N134" s="27"/>
      <c r="O134" s="27"/>
      <c r="P134" s="27"/>
      <c r="Q134" s="27"/>
      <c r="R134" s="29"/>
      <c r="S134" s="39"/>
      <c r="T134" s="27"/>
      <c r="U134" s="27"/>
      <c r="V134" s="27"/>
      <c r="W134" s="27"/>
      <c r="X134" s="29"/>
      <c r="Y134" s="27"/>
      <c r="Z134" s="27"/>
      <c r="AA134" s="27"/>
      <c r="AB134" s="27"/>
      <c r="AC134" s="27"/>
      <c r="AF134" s="33"/>
      <c r="AJ134" s="34"/>
      <c r="AQ134" s="43"/>
      <c r="AR134" s="31"/>
      <c r="AS134" s="31"/>
      <c r="AT134" s="31"/>
      <c r="BC134" s="43" t="s">
        <v>260</v>
      </c>
      <c r="BD134" s="19">
        <v>0</v>
      </c>
      <c r="BH134" s="34"/>
      <c r="BI134" s="31" t="s">
        <v>102</v>
      </c>
      <c r="BJ134" s="31" t="s">
        <v>71</v>
      </c>
      <c r="BK134" s="31" t="s">
        <v>103</v>
      </c>
      <c r="BL134" s="31" t="s">
        <v>104</v>
      </c>
      <c r="BN134" s="34"/>
      <c r="BO134" s="38" t="s">
        <v>251</v>
      </c>
      <c r="BP134" s="33">
        <v>1</v>
      </c>
      <c r="BT134" s="34"/>
      <c r="BU134" s="38" t="s">
        <v>135</v>
      </c>
      <c r="BV134" s="31">
        <v>1</v>
      </c>
      <c r="BW134" s="31" t="s">
        <v>129</v>
      </c>
      <c r="BX134" s="31">
        <f>VAR(BV131:BV155)</f>
        <v>0.32333333333333331</v>
      </c>
      <c r="BZ134" s="34"/>
      <c r="CA134" s="38" t="s">
        <v>107</v>
      </c>
      <c r="CB134" s="31">
        <v>0</v>
      </c>
      <c r="CC134" s="31" t="s">
        <v>129</v>
      </c>
      <c r="CD134" s="31">
        <f>VAR(CB131:CB155)</f>
        <v>7.6666666666666675E-2</v>
      </c>
      <c r="CF134" s="36"/>
      <c r="CG134" s="44" t="s">
        <v>136</v>
      </c>
      <c r="CH134" s="19">
        <v>0</v>
      </c>
      <c r="CI134" s="31" t="s">
        <v>129</v>
      </c>
      <c r="CJ134" s="31">
        <f>VAR(CH131:CH155)</f>
        <v>0.16</v>
      </c>
      <c r="CL134" s="36"/>
      <c r="CM134" s="44" t="s">
        <v>266</v>
      </c>
      <c r="CN134" s="19">
        <v>0</v>
      </c>
      <c r="CO134" s="31" t="s">
        <v>129</v>
      </c>
      <c r="CP134" s="31">
        <f>VAR(CN131:CN157)</f>
        <v>4.7619047619047616E-2</v>
      </c>
      <c r="CR134" s="36"/>
    </row>
    <row r="135" spans="1:96" x14ac:dyDescent="0.2">
      <c r="A135" s="42"/>
      <c r="B135" s="27"/>
      <c r="C135" s="27"/>
      <c r="D135" s="27"/>
      <c r="E135" s="27"/>
      <c r="G135" s="25"/>
      <c r="H135" s="25"/>
      <c r="I135" s="27"/>
      <c r="J135" s="27"/>
      <c r="K135" s="27"/>
      <c r="L135" s="29"/>
      <c r="M135" s="27"/>
      <c r="N135" s="27"/>
      <c r="O135" s="27"/>
      <c r="P135" s="27"/>
      <c r="Q135" s="27"/>
      <c r="R135" s="29"/>
      <c r="S135" s="39"/>
      <c r="T135" s="27"/>
      <c r="U135" s="27"/>
      <c r="V135" s="27"/>
      <c r="W135" s="27"/>
      <c r="X135" s="29"/>
      <c r="Y135" s="27"/>
      <c r="Z135" s="27"/>
      <c r="AA135" s="27"/>
      <c r="AB135" s="27"/>
      <c r="AC135" s="27"/>
      <c r="AF135" s="33"/>
      <c r="AJ135" s="34"/>
      <c r="AQ135" s="43"/>
      <c r="AR135" s="31"/>
      <c r="AS135" s="31"/>
      <c r="AT135" s="31"/>
      <c r="AW135" s="31"/>
      <c r="BC135" s="43" t="s">
        <v>263</v>
      </c>
      <c r="BD135" s="33">
        <v>1</v>
      </c>
      <c r="BH135" s="34"/>
      <c r="BI135" s="43" t="s">
        <v>109</v>
      </c>
      <c r="BJ135" s="19">
        <v>0</v>
      </c>
      <c r="BK135" s="31" t="s">
        <v>106</v>
      </c>
      <c r="BL135" s="31">
        <f>SUM(BJ135:BJ140)</f>
        <v>0</v>
      </c>
      <c r="BN135" s="34"/>
      <c r="BT135" s="34"/>
      <c r="BU135" s="38" t="s">
        <v>142</v>
      </c>
      <c r="BV135" s="31">
        <v>0</v>
      </c>
      <c r="BW135" s="31" t="s">
        <v>138</v>
      </c>
      <c r="BX135" s="31">
        <f>AVERAGE(BV131:BV155)</f>
        <v>0.36</v>
      </c>
      <c r="BZ135" s="34"/>
      <c r="CA135" s="38" t="s">
        <v>93</v>
      </c>
      <c r="CB135" s="31">
        <v>1</v>
      </c>
      <c r="CC135" s="31" t="s">
        <v>138</v>
      </c>
      <c r="CD135" s="31">
        <f>AVERAGE(CB131:CB155)</f>
        <v>0.08</v>
      </c>
      <c r="CF135" s="36"/>
      <c r="CG135" s="44" t="s">
        <v>131</v>
      </c>
      <c r="CH135" s="19">
        <v>0</v>
      </c>
      <c r="CI135" s="31" t="s">
        <v>138</v>
      </c>
      <c r="CJ135" s="31">
        <f>AVERAGE(CH131:CH155)</f>
        <v>0.08</v>
      </c>
      <c r="CL135" s="36"/>
      <c r="CO135" s="31" t="s">
        <v>138</v>
      </c>
      <c r="CP135" s="31">
        <f>AVERAGE(CN131:CN157)</f>
        <v>4.7619047619047616E-2</v>
      </c>
      <c r="CR135" s="36"/>
    </row>
    <row r="136" spans="1:96" x14ac:dyDescent="0.2">
      <c r="A136" s="42"/>
      <c r="B136" s="27"/>
      <c r="C136" s="27"/>
      <c r="D136" s="27"/>
      <c r="E136" s="27"/>
      <c r="G136" s="25"/>
      <c r="H136" s="25"/>
      <c r="I136" s="27"/>
      <c r="J136" s="27"/>
      <c r="K136" s="27"/>
      <c r="L136" s="29"/>
      <c r="M136" s="27"/>
      <c r="N136" s="27"/>
      <c r="O136" s="27"/>
      <c r="P136" s="27"/>
      <c r="Q136" s="27"/>
      <c r="R136" s="29"/>
      <c r="S136" s="39"/>
      <c r="T136" s="27"/>
      <c r="U136" s="27"/>
      <c r="V136" s="27"/>
      <c r="W136" s="27"/>
      <c r="X136" s="29"/>
      <c r="Y136" s="27"/>
      <c r="Z136" s="27"/>
      <c r="AA136" s="27"/>
      <c r="AB136" s="27"/>
      <c r="AC136" s="27"/>
      <c r="AJ136" s="34"/>
      <c r="AW136" s="31"/>
      <c r="AX136" s="31"/>
      <c r="AY136" s="31"/>
      <c r="AZ136" s="31"/>
      <c r="BC136" s="43" t="s">
        <v>267</v>
      </c>
      <c r="BD136" s="33">
        <v>0</v>
      </c>
      <c r="BH136" s="34"/>
      <c r="BI136" s="43" t="s">
        <v>117</v>
      </c>
      <c r="BJ136" s="19">
        <v>0</v>
      </c>
      <c r="BK136" s="31" t="s">
        <v>115</v>
      </c>
      <c r="BL136" s="31">
        <f>MIN(BJ135:BJ140)</f>
        <v>0</v>
      </c>
      <c r="BN136" s="34"/>
      <c r="BT136" s="34"/>
      <c r="BU136" s="38" t="s">
        <v>147</v>
      </c>
      <c r="BV136" s="31">
        <v>0</v>
      </c>
      <c r="BW136" s="31" t="s">
        <v>144</v>
      </c>
      <c r="BX136" s="31">
        <f>STDEV(BV131:BV155)</f>
        <v>0.56862407030773265</v>
      </c>
      <c r="BZ136" s="34"/>
      <c r="CA136" s="38" t="s">
        <v>148</v>
      </c>
      <c r="CB136" s="31">
        <v>0</v>
      </c>
      <c r="CC136" s="31" t="s">
        <v>144</v>
      </c>
      <c r="CD136" s="31">
        <f>STDEV(CB131:CB155)</f>
        <v>0.27688746209726917</v>
      </c>
      <c r="CF136" s="36"/>
      <c r="CG136" s="44" t="s">
        <v>149</v>
      </c>
      <c r="CH136" s="19">
        <v>0</v>
      </c>
      <c r="CI136" s="31" t="s">
        <v>144</v>
      </c>
      <c r="CJ136" s="31">
        <f>STDEV(CH131:CH155)</f>
        <v>0.4</v>
      </c>
      <c r="CL136" s="36"/>
      <c r="CO136" s="31" t="s">
        <v>144</v>
      </c>
      <c r="CP136" s="31">
        <f>STDEV(CN131:CN157)</f>
        <v>0.21821789023599236</v>
      </c>
      <c r="CR136" s="36"/>
    </row>
    <row r="137" spans="1:96" x14ac:dyDescent="0.2">
      <c r="A137" s="42"/>
      <c r="B137" s="27"/>
      <c r="C137" s="27"/>
      <c r="D137" s="27"/>
      <c r="E137" s="27"/>
      <c r="G137" s="25"/>
      <c r="H137" s="25"/>
      <c r="I137" s="27"/>
      <c r="J137" s="27"/>
      <c r="K137" s="27"/>
      <c r="L137" s="29"/>
      <c r="M137" s="27"/>
      <c r="N137" s="27"/>
      <c r="O137" s="27"/>
      <c r="P137" s="27"/>
      <c r="Q137" s="27"/>
      <c r="R137" s="29"/>
      <c r="S137" s="39"/>
      <c r="T137" s="27"/>
      <c r="U137" s="27"/>
      <c r="V137" s="27"/>
      <c r="W137" s="27"/>
      <c r="X137" s="29"/>
      <c r="Y137" s="27"/>
      <c r="Z137" s="27"/>
      <c r="AA137" s="27"/>
      <c r="AB137" s="27"/>
      <c r="AC137" s="27"/>
      <c r="AJ137" s="34"/>
      <c r="AX137" s="31"/>
      <c r="AY137" s="31"/>
      <c r="AZ137" s="31"/>
      <c r="BC137" s="43" t="s">
        <v>270</v>
      </c>
      <c r="BD137" s="33">
        <v>0</v>
      </c>
      <c r="BH137" s="34"/>
      <c r="BI137" s="43" t="s">
        <v>124</v>
      </c>
      <c r="BJ137" s="19">
        <v>0</v>
      </c>
      <c r="BK137" s="31" t="s">
        <v>122</v>
      </c>
      <c r="BL137" s="31">
        <f>MAX(BJ135:BJ140)</f>
        <v>0</v>
      </c>
      <c r="BN137" s="34"/>
      <c r="BO137" s="32" t="s">
        <v>162</v>
      </c>
      <c r="BP137" s="33" t="s">
        <v>71</v>
      </c>
      <c r="BQ137" s="31" t="s">
        <v>103</v>
      </c>
      <c r="BR137" s="31" t="s">
        <v>104</v>
      </c>
      <c r="BT137" s="34"/>
      <c r="BU137" s="38" t="s">
        <v>153</v>
      </c>
      <c r="BV137" s="31">
        <v>0</v>
      </c>
      <c r="BW137" s="31"/>
      <c r="BX137" s="31"/>
      <c r="BZ137" s="34"/>
      <c r="CA137" s="38" t="s">
        <v>92</v>
      </c>
      <c r="CB137" s="31">
        <v>0</v>
      </c>
      <c r="CC137" s="31"/>
      <c r="CD137" s="31"/>
      <c r="CF137" s="36"/>
      <c r="CG137" s="44" t="s">
        <v>154</v>
      </c>
      <c r="CH137" s="19">
        <v>0</v>
      </c>
      <c r="CL137" s="36"/>
      <c r="CR137" s="36"/>
    </row>
    <row r="138" spans="1:96" x14ac:dyDescent="0.2">
      <c r="A138" s="42"/>
      <c r="B138" s="27"/>
      <c r="C138" s="27"/>
      <c r="D138" s="27"/>
      <c r="E138" s="27"/>
      <c r="G138" s="25"/>
      <c r="H138" s="25"/>
      <c r="I138" s="27"/>
      <c r="J138" s="27"/>
      <c r="K138" s="27"/>
      <c r="L138" s="29"/>
      <c r="M138" s="27"/>
      <c r="N138" s="27"/>
      <c r="O138" s="27"/>
      <c r="P138" s="27"/>
      <c r="Q138" s="27"/>
      <c r="R138" s="29"/>
      <c r="S138" s="39"/>
      <c r="T138" s="27"/>
      <c r="U138" s="27"/>
      <c r="V138" s="27"/>
      <c r="W138" s="27"/>
      <c r="X138" s="29"/>
      <c r="Y138" s="27"/>
      <c r="Z138" s="27"/>
      <c r="AA138" s="27"/>
      <c r="AB138" s="27"/>
      <c r="AC138" s="27"/>
      <c r="AE138" s="24"/>
      <c r="AF138" s="24"/>
      <c r="AG138" s="24"/>
      <c r="AH138" s="24"/>
      <c r="AJ138" s="34"/>
      <c r="AQ138" s="47"/>
      <c r="AR138" s="33"/>
      <c r="AS138" s="33"/>
      <c r="AT138" s="33"/>
      <c r="AU138" s="24"/>
      <c r="AX138" s="31"/>
      <c r="AY138" s="31"/>
      <c r="AZ138" s="31"/>
      <c r="BA138" s="24"/>
      <c r="BH138" s="34"/>
      <c r="BI138" s="43" t="s">
        <v>133</v>
      </c>
      <c r="BJ138" s="19">
        <v>0</v>
      </c>
      <c r="BK138" s="31" t="s">
        <v>129</v>
      </c>
      <c r="BL138" s="31">
        <f>VAR(BJ135:BJ140)</f>
        <v>0</v>
      </c>
      <c r="BN138" s="34"/>
      <c r="BO138" s="38" t="s">
        <v>265</v>
      </c>
      <c r="BP138" s="33">
        <v>0</v>
      </c>
      <c r="BQ138" s="31" t="s">
        <v>106</v>
      </c>
      <c r="BR138" s="31">
        <f>SUM(BP138:BP142)</f>
        <v>1</v>
      </c>
      <c r="BT138" s="34"/>
      <c r="BU138" s="38" t="s">
        <v>158</v>
      </c>
      <c r="BV138" s="31">
        <v>0</v>
      </c>
      <c r="BW138" s="31"/>
      <c r="BX138" s="31"/>
      <c r="BZ138" s="34"/>
      <c r="CA138" s="38" t="s">
        <v>91</v>
      </c>
      <c r="CB138" s="31">
        <v>0</v>
      </c>
      <c r="CC138" s="31"/>
      <c r="CD138" s="31"/>
      <c r="CF138" s="36"/>
      <c r="CG138" s="44" t="s">
        <v>159</v>
      </c>
      <c r="CH138" s="19">
        <v>0</v>
      </c>
      <c r="CL138" s="36"/>
      <c r="CR138" s="36"/>
    </row>
    <row r="139" spans="1:96" x14ac:dyDescent="0.2">
      <c r="A139" s="42"/>
      <c r="B139" s="27"/>
      <c r="C139" s="27"/>
      <c r="D139" s="27"/>
      <c r="E139" s="27"/>
      <c r="G139" s="25"/>
      <c r="H139" s="25"/>
      <c r="I139" s="27"/>
      <c r="J139" s="27"/>
      <c r="K139" s="27"/>
      <c r="L139" s="29"/>
      <c r="M139" s="27"/>
      <c r="N139" s="27"/>
      <c r="O139" s="27"/>
      <c r="P139" s="27"/>
      <c r="Q139" s="27"/>
      <c r="R139" s="29"/>
      <c r="S139" s="39"/>
      <c r="T139" s="27"/>
      <c r="U139" s="27"/>
      <c r="V139" s="27"/>
      <c r="W139" s="27"/>
      <c r="X139" s="29"/>
      <c r="Y139" s="27"/>
      <c r="Z139" s="27"/>
      <c r="AA139" s="27"/>
      <c r="AB139" s="27"/>
      <c r="AC139" s="27"/>
      <c r="AE139" s="24"/>
      <c r="AF139" s="24"/>
      <c r="AG139" s="24"/>
      <c r="AH139" s="24"/>
      <c r="AJ139" s="34"/>
      <c r="AO139" s="24"/>
      <c r="AQ139" s="47"/>
      <c r="AR139" s="33"/>
      <c r="AS139" s="33"/>
      <c r="AT139" s="33"/>
      <c r="AU139" s="24"/>
      <c r="AX139" s="31"/>
      <c r="AY139" s="31"/>
      <c r="AZ139" s="31"/>
      <c r="BA139" s="24"/>
      <c r="BG139" s="24"/>
      <c r="BH139" s="34"/>
      <c r="BI139" s="43" t="s">
        <v>140</v>
      </c>
      <c r="BJ139" s="19">
        <v>0</v>
      </c>
      <c r="BK139" s="31" t="s">
        <v>138</v>
      </c>
      <c r="BL139" s="31">
        <f>AVERAGE(BJ135:BJ140)</f>
        <v>0</v>
      </c>
      <c r="BN139" s="34"/>
      <c r="BO139" s="38" t="s">
        <v>269</v>
      </c>
      <c r="BP139" s="33">
        <v>0</v>
      </c>
      <c r="BQ139" s="31" t="s">
        <v>115</v>
      </c>
      <c r="BR139" s="31">
        <f>MIN(BP138:BP142)</f>
        <v>0</v>
      </c>
      <c r="BT139" s="34"/>
      <c r="BU139" s="38" t="s">
        <v>164</v>
      </c>
      <c r="BV139" s="31">
        <v>2</v>
      </c>
      <c r="BW139" s="31"/>
      <c r="BX139" s="31"/>
      <c r="BZ139" s="34"/>
      <c r="CA139" s="38" t="s">
        <v>90</v>
      </c>
      <c r="CB139" s="31">
        <v>0</v>
      </c>
      <c r="CC139" s="31"/>
      <c r="CD139" s="31"/>
      <c r="CF139" s="36"/>
      <c r="CG139" s="44" t="s">
        <v>165</v>
      </c>
      <c r="CH139" s="19">
        <v>0</v>
      </c>
      <c r="CL139" s="36"/>
      <c r="CM139" s="31" t="s">
        <v>25</v>
      </c>
      <c r="CR139" s="36"/>
    </row>
    <row r="140" spans="1:96" x14ac:dyDescent="0.2">
      <c r="A140" s="42"/>
      <c r="B140" s="27"/>
      <c r="C140" s="27"/>
      <c r="D140" s="27"/>
      <c r="E140" s="27"/>
      <c r="G140" s="25"/>
      <c r="H140" s="25"/>
      <c r="I140" s="27"/>
      <c r="J140" s="27"/>
      <c r="K140" s="27"/>
      <c r="L140" s="29"/>
      <c r="M140" s="27"/>
      <c r="N140" s="27"/>
      <c r="O140" s="27"/>
      <c r="P140" s="27"/>
      <c r="Q140" s="27"/>
      <c r="R140" s="29"/>
      <c r="S140" s="39"/>
      <c r="T140" s="27"/>
      <c r="U140" s="27"/>
      <c r="V140" s="27"/>
      <c r="W140" s="27"/>
      <c r="X140" s="29"/>
      <c r="Y140" s="27"/>
      <c r="Z140" s="27"/>
      <c r="AA140" s="27"/>
      <c r="AB140" s="27"/>
      <c r="AC140" s="27"/>
      <c r="AE140" s="33"/>
      <c r="AF140" s="33"/>
      <c r="AG140" s="33"/>
      <c r="AH140" s="33"/>
      <c r="AJ140" s="34"/>
      <c r="AO140" s="24"/>
      <c r="AQ140" s="47"/>
      <c r="AR140" s="33"/>
      <c r="AS140" s="33"/>
      <c r="AT140" s="33"/>
      <c r="AU140" s="24"/>
      <c r="AX140" s="31"/>
      <c r="AY140" s="31"/>
      <c r="AZ140" s="31"/>
      <c r="BA140" s="24"/>
      <c r="BG140" s="24"/>
      <c r="BH140" s="34"/>
      <c r="BI140" s="43" t="s">
        <v>145</v>
      </c>
      <c r="BJ140" s="19">
        <v>0</v>
      </c>
      <c r="BK140" s="31" t="s">
        <v>144</v>
      </c>
      <c r="BL140" s="31">
        <f>STDEV(BJ135:BJ140)</f>
        <v>0</v>
      </c>
      <c r="BN140" s="34"/>
      <c r="BO140" s="38" t="s">
        <v>271</v>
      </c>
      <c r="BP140" s="33">
        <v>0</v>
      </c>
      <c r="BQ140" s="31" t="s">
        <v>122</v>
      </c>
      <c r="BR140" s="31">
        <f>MAX(BP138:BP142)</f>
        <v>1</v>
      </c>
      <c r="BT140" s="34"/>
      <c r="BU140" s="38" t="s">
        <v>161</v>
      </c>
      <c r="BV140" s="31">
        <v>1</v>
      </c>
      <c r="BW140" s="31"/>
      <c r="BX140" s="31"/>
      <c r="BZ140" s="34"/>
      <c r="CA140" s="38" t="s">
        <v>89</v>
      </c>
      <c r="CB140" s="31">
        <v>0</v>
      </c>
      <c r="CC140" s="31"/>
      <c r="CD140" s="31"/>
      <c r="CF140" s="36"/>
      <c r="CG140" s="44" t="s">
        <v>169</v>
      </c>
      <c r="CH140" s="19">
        <v>2</v>
      </c>
      <c r="CL140" s="36"/>
      <c r="CM140" s="31" t="s">
        <v>102</v>
      </c>
      <c r="CN140" s="31" t="s">
        <v>71</v>
      </c>
      <c r="CO140" s="31" t="s">
        <v>103</v>
      </c>
      <c r="CP140" s="31" t="s">
        <v>104</v>
      </c>
      <c r="CR140" s="36"/>
    </row>
    <row r="141" spans="1:96" x14ac:dyDescent="0.2">
      <c r="A141" s="42"/>
      <c r="B141" s="27"/>
      <c r="C141" s="27"/>
      <c r="D141" s="27"/>
      <c r="E141" s="27"/>
      <c r="G141" s="25"/>
      <c r="H141" s="25"/>
      <c r="I141" s="27"/>
      <c r="J141" s="27"/>
      <c r="K141" s="27"/>
      <c r="L141" s="29"/>
      <c r="M141" s="27"/>
      <c r="N141" s="27"/>
      <c r="O141" s="27"/>
      <c r="P141" s="27"/>
      <c r="Q141" s="27"/>
      <c r="R141" s="29"/>
      <c r="S141" s="39"/>
      <c r="T141" s="27"/>
      <c r="U141" s="27"/>
      <c r="V141" s="27"/>
      <c r="W141" s="27"/>
      <c r="X141" s="29"/>
      <c r="Y141" s="27"/>
      <c r="Z141" s="27"/>
      <c r="AA141" s="27"/>
      <c r="AB141" s="27"/>
      <c r="AC141" s="27"/>
      <c r="AE141" s="33"/>
      <c r="AF141" s="33"/>
      <c r="AG141" s="33"/>
      <c r="AH141" s="33"/>
      <c r="AJ141" s="34"/>
      <c r="AO141" s="24"/>
      <c r="AQ141" s="47"/>
      <c r="AR141" s="33"/>
      <c r="AS141" s="33"/>
      <c r="AT141" s="33"/>
      <c r="AU141" s="24"/>
      <c r="AX141" s="31"/>
      <c r="AY141" s="31"/>
      <c r="AZ141" s="31"/>
      <c r="BA141" s="24"/>
      <c r="BC141" s="31" t="s">
        <v>25</v>
      </c>
      <c r="BG141" s="24"/>
      <c r="BH141" s="34"/>
      <c r="BI141" s="43"/>
      <c r="BK141" s="31"/>
      <c r="BL141" s="31"/>
      <c r="BN141" s="34"/>
      <c r="BO141" s="38" t="s">
        <v>272</v>
      </c>
      <c r="BP141" s="33">
        <v>1</v>
      </c>
      <c r="BQ141" s="31" t="s">
        <v>129</v>
      </c>
      <c r="BR141" s="31">
        <f>VAR(BP138:BP142)</f>
        <v>0.2</v>
      </c>
      <c r="BT141" s="34"/>
      <c r="BU141" s="38" t="s">
        <v>168</v>
      </c>
      <c r="BV141" s="31">
        <v>1</v>
      </c>
      <c r="BW141" s="31"/>
      <c r="BX141" s="31"/>
      <c r="BZ141" s="34"/>
      <c r="CA141" s="38" t="s">
        <v>88</v>
      </c>
      <c r="CB141" s="31">
        <v>0</v>
      </c>
      <c r="CC141" s="31"/>
      <c r="CD141" s="31"/>
      <c r="CF141" s="36"/>
      <c r="CG141" s="44" t="s">
        <v>174</v>
      </c>
      <c r="CH141" s="19">
        <v>0</v>
      </c>
      <c r="CL141" s="36"/>
      <c r="CM141" s="44" t="s">
        <v>113</v>
      </c>
      <c r="CN141" s="19">
        <v>0</v>
      </c>
      <c r="CO141" s="31" t="s">
        <v>106</v>
      </c>
      <c r="CP141" s="31">
        <f>SUM(CN141:CN167)</f>
        <v>2</v>
      </c>
      <c r="CR141" s="36"/>
    </row>
    <row r="142" spans="1:96" x14ac:dyDescent="0.2">
      <c r="A142" s="42"/>
      <c r="B142" s="27"/>
      <c r="C142" s="27"/>
      <c r="D142" s="27"/>
      <c r="E142" s="27"/>
      <c r="G142" s="25"/>
      <c r="H142" s="25"/>
      <c r="I142" s="27"/>
      <c r="J142" s="27"/>
      <c r="K142" s="27"/>
      <c r="L142" s="29"/>
      <c r="M142" s="27"/>
      <c r="N142" s="27"/>
      <c r="O142" s="27"/>
      <c r="P142" s="27"/>
      <c r="Q142" s="27"/>
      <c r="R142" s="29"/>
      <c r="S142" s="39"/>
      <c r="T142" s="27"/>
      <c r="U142" s="27"/>
      <c r="V142" s="27"/>
      <c r="W142" s="27"/>
      <c r="X142" s="29"/>
      <c r="Y142" s="27"/>
      <c r="Z142" s="27"/>
      <c r="AA142" s="27"/>
      <c r="AB142" s="27"/>
      <c r="AC142" s="27"/>
      <c r="AE142" s="33"/>
      <c r="AF142" s="33"/>
      <c r="AG142" s="33"/>
      <c r="AH142" s="33"/>
      <c r="AJ142" s="34"/>
      <c r="AO142" s="24"/>
      <c r="AQ142" s="47"/>
      <c r="AR142" s="33"/>
      <c r="AS142" s="33"/>
      <c r="AT142" s="33"/>
      <c r="AU142" s="24"/>
      <c r="AX142" s="31"/>
      <c r="AY142" s="31"/>
      <c r="AZ142" s="31"/>
      <c r="BA142" s="24"/>
      <c r="BC142" s="31" t="s">
        <v>102</v>
      </c>
      <c r="BD142" s="31" t="s">
        <v>71</v>
      </c>
      <c r="BE142" s="31" t="s">
        <v>103</v>
      </c>
      <c r="BF142" s="31" t="s">
        <v>104</v>
      </c>
      <c r="BG142" s="24"/>
      <c r="BH142" s="34"/>
      <c r="BI142" s="43"/>
      <c r="BK142" s="31"/>
      <c r="BL142" s="31"/>
      <c r="BN142" s="34"/>
      <c r="BO142" s="38" t="s">
        <v>273</v>
      </c>
      <c r="BP142" s="33">
        <v>0</v>
      </c>
      <c r="BQ142" s="31" t="s">
        <v>138</v>
      </c>
      <c r="BR142" s="31">
        <f>AVERAGE(BP138:BP142)</f>
        <v>0.2</v>
      </c>
      <c r="BT142" s="34"/>
      <c r="BU142" s="38" t="s">
        <v>179</v>
      </c>
      <c r="BV142" s="31">
        <v>0</v>
      </c>
      <c r="BW142" s="31"/>
      <c r="BX142" s="31"/>
      <c r="BZ142" s="34"/>
      <c r="CA142" s="38" t="s">
        <v>87</v>
      </c>
      <c r="CB142" s="31">
        <v>0</v>
      </c>
      <c r="CC142" s="31"/>
      <c r="CD142" s="31"/>
      <c r="CF142" s="36"/>
      <c r="CG142" s="44" t="s">
        <v>180</v>
      </c>
      <c r="CH142" s="19">
        <v>0</v>
      </c>
      <c r="CL142" s="36"/>
      <c r="CM142" s="44" t="s">
        <v>121</v>
      </c>
      <c r="CN142" s="19">
        <v>0</v>
      </c>
      <c r="CO142" s="31" t="s">
        <v>115</v>
      </c>
      <c r="CP142" s="31">
        <f>MIN(CN141:CN167)</f>
        <v>0</v>
      </c>
      <c r="CR142" s="36"/>
    </row>
    <row r="143" spans="1:96" x14ac:dyDescent="0.2">
      <c r="A143" s="42"/>
      <c r="B143" s="27"/>
      <c r="C143" s="27"/>
      <c r="D143" s="27"/>
      <c r="E143" s="27"/>
      <c r="G143" s="25"/>
      <c r="H143" s="25"/>
      <c r="I143" s="27"/>
      <c r="J143" s="27"/>
      <c r="K143" s="27"/>
      <c r="L143" s="29"/>
      <c r="M143" s="27"/>
      <c r="N143" s="27"/>
      <c r="O143" s="27"/>
      <c r="P143" s="27"/>
      <c r="Q143" s="27"/>
      <c r="R143" s="29"/>
      <c r="S143" s="39"/>
      <c r="T143" s="27"/>
      <c r="U143" s="27"/>
      <c r="V143" s="27"/>
      <c r="W143" s="27"/>
      <c r="X143" s="29"/>
      <c r="Y143" s="27"/>
      <c r="Z143" s="27"/>
      <c r="AA143" s="27"/>
      <c r="AB143" s="27"/>
      <c r="AC143" s="27"/>
      <c r="AE143" s="33"/>
      <c r="AF143" s="33"/>
      <c r="AG143" s="33"/>
      <c r="AH143" s="33"/>
      <c r="AJ143" s="34"/>
      <c r="AO143" s="24"/>
      <c r="AQ143" s="47"/>
      <c r="AR143" s="33"/>
      <c r="AS143" s="33"/>
      <c r="AT143" s="33"/>
      <c r="AU143" s="24"/>
      <c r="AX143" s="31"/>
      <c r="AY143" s="31"/>
      <c r="AZ143" s="31"/>
      <c r="BA143" s="24"/>
      <c r="BC143" s="43" t="s">
        <v>108</v>
      </c>
      <c r="BD143" s="19">
        <v>0</v>
      </c>
      <c r="BE143" s="31" t="s">
        <v>106</v>
      </c>
      <c r="BF143" s="31">
        <f>SUM(BD143:BD150)</f>
        <v>0</v>
      </c>
      <c r="BG143" s="24"/>
      <c r="BH143" s="34"/>
      <c r="BI143" s="32" t="s">
        <v>162</v>
      </c>
      <c r="BJ143" s="31" t="s">
        <v>71</v>
      </c>
      <c r="BK143" s="31" t="s">
        <v>103</v>
      </c>
      <c r="BL143" s="31" t="s">
        <v>104</v>
      </c>
      <c r="BN143" s="34"/>
      <c r="BO143" s="38"/>
      <c r="BP143" s="33"/>
      <c r="BQ143" s="31" t="s">
        <v>144</v>
      </c>
      <c r="BR143" s="31">
        <f>STDEV(BP138:BP142)</f>
        <v>0.44721359549995793</v>
      </c>
      <c r="BT143" s="34"/>
      <c r="BU143" s="38" t="s">
        <v>184</v>
      </c>
      <c r="BV143" s="33">
        <v>1</v>
      </c>
      <c r="BZ143" s="34"/>
      <c r="CA143" s="38" t="s">
        <v>86</v>
      </c>
      <c r="CB143" s="33">
        <v>0</v>
      </c>
      <c r="CF143" s="36"/>
      <c r="CG143" s="44" t="s">
        <v>185</v>
      </c>
      <c r="CH143" s="19">
        <v>0</v>
      </c>
      <c r="CL143" s="36"/>
      <c r="CM143" s="44" t="s">
        <v>128</v>
      </c>
      <c r="CN143" s="19">
        <v>0</v>
      </c>
      <c r="CO143" s="31" t="s">
        <v>122</v>
      </c>
      <c r="CP143" s="31">
        <f>MAX(CN141:CN167)</f>
        <v>1</v>
      </c>
      <c r="CR143" s="36"/>
    </row>
    <row r="144" spans="1:96" x14ac:dyDescent="0.2">
      <c r="A144" s="42"/>
      <c r="B144" s="27"/>
      <c r="C144" s="27"/>
      <c r="D144" s="27"/>
      <c r="E144" s="27"/>
      <c r="G144" s="25"/>
      <c r="H144" s="25"/>
      <c r="I144" s="27"/>
      <c r="J144" s="27"/>
      <c r="K144" s="27"/>
      <c r="L144" s="29"/>
      <c r="M144" s="27"/>
      <c r="N144" s="27"/>
      <c r="O144" s="27"/>
      <c r="P144" s="27"/>
      <c r="Q144" s="27"/>
      <c r="R144" s="29"/>
      <c r="S144" s="39"/>
      <c r="T144" s="27"/>
      <c r="U144" s="27"/>
      <c r="V144" s="27"/>
      <c r="W144" s="27"/>
      <c r="X144" s="29"/>
      <c r="Y144" s="27"/>
      <c r="Z144" s="27"/>
      <c r="AA144" s="27"/>
      <c r="AB144" s="27"/>
      <c r="AC144" s="27"/>
      <c r="AE144" s="33"/>
      <c r="AF144" s="33"/>
      <c r="AG144" s="33"/>
      <c r="AH144" s="33"/>
      <c r="AJ144" s="34"/>
      <c r="AO144" s="24"/>
      <c r="AQ144" s="24"/>
      <c r="AR144" s="24"/>
      <c r="AS144" s="24"/>
      <c r="AT144" s="24"/>
      <c r="AU144" s="24"/>
      <c r="AX144" s="31"/>
      <c r="AY144" s="31"/>
      <c r="AZ144" s="31"/>
      <c r="BA144" s="24"/>
      <c r="BC144" s="43" t="s">
        <v>116</v>
      </c>
      <c r="BD144" s="19">
        <v>0</v>
      </c>
      <c r="BE144" s="31" t="s">
        <v>115</v>
      </c>
      <c r="BF144" s="31">
        <f>MIN(BD143:BD150)</f>
        <v>0</v>
      </c>
      <c r="BG144" s="24"/>
      <c r="BH144" s="34"/>
      <c r="BI144" s="43" t="s">
        <v>114</v>
      </c>
      <c r="BJ144" s="19">
        <v>0</v>
      </c>
      <c r="BK144" s="31" t="s">
        <v>106</v>
      </c>
      <c r="BL144" s="31">
        <f>SUM(BJ144:BJ158)</f>
        <v>3</v>
      </c>
      <c r="BN144" s="34"/>
      <c r="BT144" s="34"/>
      <c r="BU144" s="38" t="s">
        <v>189</v>
      </c>
      <c r="BV144" s="33">
        <v>1</v>
      </c>
      <c r="BZ144" s="34"/>
      <c r="CA144" s="38" t="s">
        <v>85</v>
      </c>
      <c r="CB144" s="33">
        <v>0</v>
      </c>
      <c r="CF144" s="36"/>
      <c r="CG144" s="44" t="s">
        <v>190</v>
      </c>
      <c r="CH144" s="19">
        <v>0</v>
      </c>
      <c r="CL144" s="36"/>
      <c r="CM144" s="44" t="s">
        <v>137</v>
      </c>
      <c r="CN144" s="19">
        <v>0</v>
      </c>
      <c r="CO144" s="31" t="s">
        <v>129</v>
      </c>
      <c r="CP144" s="31">
        <f>VAR(CN141:CN167)</f>
        <v>8.3003952569169967E-2</v>
      </c>
      <c r="CR144" s="36"/>
    </row>
    <row r="145" spans="1:96" x14ac:dyDescent="0.2">
      <c r="A145" s="42"/>
      <c r="B145" s="27"/>
      <c r="C145" s="27"/>
      <c r="D145" s="27"/>
      <c r="E145" s="27"/>
      <c r="G145" s="25"/>
      <c r="H145" s="25"/>
      <c r="I145" s="27"/>
      <c r="J145" s="27"/>
      <c r="K145" s="27"/>
      <c r="L145" s="29"/>
      <c r="M145" s="27"/>
      <c r="N145" s="27"/>
      <c r="O145" s="27"/>
      <c r="P145" s="27"/>
      <c r="Q145" s="27"/>
      <c r="R145" s="29"/>
      <c r="S145" s="39"/>
      <c r="T145" s="27"/>
      <c r="U145" s="27"/>
      <c r="V145" s="27"/>
      <c r="W145" s="27"/>
      <c r="X145" s="29"/>
      <c r="Y145" s="27"/>
      <c r="Z145" s="27"/>
      <c r="AA145" s="27"/>
      <c r="AB145" s="27"/>
      <c r="AC145" s="27"/>
      <c r="AE145" s="33"/>
      <c r="AF145" s="33"/>
      <c r="AG145" s="33"/>
      <c r="AH145" s="33"/>
      <c r="AJ145" s="34"/>
      <c r="AO145" s="24"/>
      <c r="AQ145" s="24"/>
      <c r="AR145" s="24"/>
      <c r="AS145" s="24"/>
      <c r="AT145" s="24"/>
      <c r="AU145" s="24"/>
      <c r="AX145" s="31"/>
      <c r="AY145" s="31"/>
      <c r="AZ145" s="31"/>
      <c r="BA145" s="24"/>
      <c r="BC145" s="43" t="s">
        <v>123</v>
      </c>
      <c r="BD145" s="19">
        <v>0</v>
      </c>
      <c r="BE145" s="31" t="s">
        <v>122</v>
      </c>
      <c r="BF145" s="31">
        <f>MAX(BD143:BD150)</f>
        <v>0</v>
      </c>
      <c r="BG145" s="24"/>
      <c r="BH145" s="34"/>
      <c r="BI145" s="43" t="s">
        <v>172</v>
      </c>
      <c r="BJ145" s="19">
        <v>0</v>
      </c>
      <c r="BK145" s="31" t="s">
        <v>115</v>
      </c>
      <c r="BL145" s="31">
        <f>MIN(BJ144:BJ158)</f>
        <v>0</v>
      </c>
      <c r="BN145" s="34"/>
      <c r="BT145" s="34"/>
      <c r="BU145" s="38" t="s">
        <v>194</v>
      </c>
      <c r="BV145" s="33">
        <v>0</v>
      </c>
      <c r="BZ145" s="34"/>
      <c r="CA145" s="38" t="s">
        <v>84</v>
      </c>
      <c r="CB145" s="33">
        <v>0</v>
      </c>
      <c r="CF145" s="36"/>
      <c r="CG145" s="44" t="s">
        <v>195</v>
      </c>
      <c r="CH145" s="19">
        <v>0</v>
      </c>
      <c r="CL145" s="36"/>
      <c r="CM145" s="44" t="s">
        <v>143</v>
      </c>
      <c r="CN145" s="19">
        <v>1</v>
      </c>
      <c r="CO145" s="31" t="s">
        <v>138</v>
      </c>
      <c r="CP145" s="31">
        <f>AVERAGE(CN141:CN167)</f>
        <v>8.6956521739130432E-2</v>
      </c>
      <c r="CR145" s="36"/>
    </row>
    <row r="146" spans="1:96" x14ac:dyDescent="0.2">
      <c r="A146" s="42"/>
      <c r="B146" s="27"/>
      <c r="C146" s="27"/>
      <c r="D146" s="27"/>
      <c r="E146" s="27"/>
      <c r="G146" s="25"/>
      <c r="H146" s="25"/>
      <c r="I146" s="27"/>
      <c r="J146" s="27"/>
      <c r="K146" s="27"/>
      <c r="L146" s="29"/>
      <c r="M146" s="27"/>
      <c r="N146" s="27"/>
      <c r="O146" s="27"/>
      <c r="P146" s="27"/>
      <c r="Q146" s="27"/>
      <c r="R146" s="29"/>
      <c r="S146" s="45"/>
      <c r="T146" s="121" t="s">
        <v>162</v>
      </c>
      <c r="U146" s="121"/>
      <c r="V146" s="29"/>
      <c r="W146" s="29"/>
      <c r="X146" s="29"/>
      <c r="Y146" s="27"/>
      <c r="Z146" s="27"/>
      <c r="AA146" s="27"/>
      <c r="AB146" s="27"/>
      <c r="AC146" s="27"/>
      <c r="AE146" s="33"/>
      <c r="AF146" s="33"/>
      <c r="AG146" s="33"/>
      <c r="AH146" s="33"/>
      <c r="AJ146" s="34"/>
      <c r="AO146" s="24"/>
      <c r="AQ146" s="33"/>
      <c r="AR146" s="24"/>
      <c r="AS146" s="24"/>
      <c r="AT146" s="24"/>
      <c r="AU146" s="24"/>
      <c r="AX146" s="31"/>
      <c r="AY146" s="31"/>
      <c r="AZ146" s="31"/>
      <c r="BA146" s="24"/>
      <c r="BE146" s="31" t="s">
        <v>129</v>
      </c>
      <c r="BF146" s="31">
        <f>VAR(BD143:BD150)</f>
        <v>0</v>
      </c>
      <c r="BG146" s="24"/>
      <c r="BH146" s="34"/>
      <c r="BI146" s="43" t="s">
        <v>177</v>
      </c>
      <c r="BJ146" s="19">
        <v>1</v>
      </c>
      <c r="BK146" s="31" t="s">
        <v>122</v>
      </c>
      <c r="BL146" s="31">
        <f>MAX(BJ144:BJ158)</f>
        <v>1</v>
      </c>
      <c r="BN146" s="34"/>
      <c r="BT146" s="34"/>
      <c r="BU146" s="38" t="s">
        <v>200</v>
      </c>
      <c r="BV146" s="33">
        <v>1</v>
      </c>
      <c r="BZ146" s="34"/>
      <c r="CA146" s="38" t="s">
        <v>83</v>
      </c>
      <c r="CB146" s="33">
        <v>0</v>
      </c>
      <c r="CF146" s="36"/>
      <c r="CG146" s="44" t="s">
        <v>201</v>
      </c>
      <c r="CH146" s="19">
        <v>0</v>
      </c>
      <c r="CL146" s="36"/>
      <c r="CM146" s="44" t="s">
        <v>150</v>
      </c>
      <c r="CN146" s="19">
        <v>0</v>
      </c>
      <c r="CO146" s="31" t="s">
        <v>144</v>
      </c>
      <c r="CP146" s="31">
        <f>STDEV(CN141:CN167)</f>
        <v>0.28810406552003037</v>
      </c>
      <c r="CR146" s="36"/>
    </row>
    <row r="147" spans="1:96" x14ac:dyDescent="0.2">
      <c r="A147" s="42"/>
      <c r="B147" s="27"/>
      <c r="C147" s="27"/>
      <c r="D147" s="27"/>
      <c r="E147" s="27"/>
      <c r="G147" s="25"/>
      <c r="H147" s="25"/>
      <c r="I147" s="27"/>
      <c r="J147" s="27"/>
      <c r="K147" s="27"/>
      <c r="L147" s="29"/>
      <c r="M147" s="27"/>
      <c r="N147" s="27"/>
      <c r="O147" s="27"/>
      <c r="P147" s="27"/>
      <c r="Q147" s="27"/>
      <c r="R147" s="29"/>
      <c r="S147" s="39"/>
      <c r="T147" s="27"/>
      <c r="U147" s="27"/>
      <c r="V147" s="27"/>
      <c r="W147" s="27"/>
      <c r="X147" s="29"/>
      <c r="Y147" s="27"/>
      <c r="Z147" s="27"/>
      <c r="AA147" s="27"/>
      <c r="AB147" s="27"/>
      <c r="AC147" s="27"/>
      <c r="AE147" s="33"/>
      <c r="AF147" s="33"/>
      <c r="AG147" s="33"/>
      <c r="AH147" s="33"/>
      <c r="AJ147" s="34"/>
      <c r="AO147" s="24"/>
      <c r="AQ147" s="33"/>
      <c r="AR147" s="33"/>
      <c r="AS147" s="33"/>
      <c r="AT147" s="33"/>
      <c r="AU147" s="24"/>
      <c r="AX147" s="31"/>
      <c r="AY147" s="31"/>
      <c r="AZ147" s="31"/>
      <c r="BA147" s="24"/>
      <c r="BE147" s="31" t="s">
        <v>138</v>
      </c>
      <c r="BF147" s="31">
        <f>AVERAGE(BD143:BD150)</f>
        <v>0</v>
      </c>
      <c r="BG147" s="24"/>
      <c r="BH147" s="34"/>
      <c r="BI147" s="43" t="s">
        <v>137</v>
      </c>
      <c r="BJ147" s="19">
        <v>0</v>
      </c>
      <c r="BK147" s="31" t="s">
        <v>129</v>
      </c>
      <c r="BL147" s="31">
        <f>VAR(BJ144:BJ158)</f>
        <v>0.17142857142857143</v>
      </c>
      <c r="BN147" s="34"/>
      <c r="BO147" s="31" t="s">
        <v>25</v>
      </c>
      <c r="BT147" s="34"/>
      <c r="BU147" s="37" t="s">
        <v>203</v>
      </c>
      <c r="BV147" s="33">
        <v>0</v>
      </c>
      <c r="BZ147" s="34"/>
      <c r="CA147" s="38" t="s">
        <v>82</v>
      </c>
      <c r="CB147" s="33">
        <v>0</v>
      </c>
      <c r="CF147" s="36"/>
      <c r="CG147" s="44" t="s">
        <v>207</v>
      </c>
      <c r="CH147" s="19">
        <v>0</v>
      </c>
      <c r="CL147" s="36"/>
      <c r="CM147" s="44" t="s">
        <v>155</v>
      </c>
      <c r="CN147" s="19">
        <v>0</v>
      </c>
      <c r="CR147" s="36"/>
    </row>
    <row r="148" spans="1:96" x14ac:dyDescent="0.2">
      <c r="A148" s="42"/>
      <c r="B148" s="27"/>
      <c r="C148" s="27"/>
      <c r="D148" s="27"/>
      <c r="E148" s="27"/>
      <c r="G148" s="25"/>
      <c r="H148" s="25"/>
      <c r="I148" s="27"/>
      <c r="J148" s="27"/>
      <c r="K148" s="27"/>
      <c r="L148" s="29"/>
      <c r="M148" s="27"/>
      <c r="N148" s="27"/>
      <c r="O148" s="27"/>
      <c r="P148" s="27"/>
      <c r="Q148" s="27"/>
      <c r="R148" s="29"/>
      <c r="S148" s="39"/>
      <c r="T148" s="27"/>
      <c r="U148" s="27"/>
      <c r="V148" s="27"/>
      <c r="W148" s="27"/>
      <c r="X148" s="29"/>
      <c r="Y148" s="27"/>
      <c r="Z148" s="27"/>
      <c r="AA148" s="27"/>
      <c r="AB148" s="27"/>
      <c r="AC148" s="27"/>
      <c r="AE148" s="33"/>
      <c r="AF148" s="33"/>
      <c r="AG148" s="33"/>
      <c r="AH148" s="33"/>
      <c r="AJ148" s="34"/>
      <c r="AO148" s="24"/>
      <c r="AQ148" s="47"/>
      <c r="AR148" s="33"/>
      <c r="AS148" s="33"/>
      <c r="AT148" s="33"/>
      <c r="AU148" s="24"/>
      <c r="AX148" s="31"/>
      <c r="AY148" s="31"/>
      <c r="AZ148" s="31"/>
      <c r="BA148" s="24"/>
      <c r="BE148" s="31" t="s">
        <v>144</v>
      </c>
      <c r="BF148" s="31">
        <f>STDEV(BD143:BD150)</f>
        <v>0</v>
      </c>
      <c r="BG148" s="24"/>
      <c r="BH148" s="34"/>
      <c r="BI148" s="43" t="s">
        <v>187</v>
      </c>
      <c r="BJ148" s="19">
        <v>0</v>
      </c>
      <c r="BK148" s="31" t="s">
        <v>138</v>
      </c>
      <c r="BL148" s="31">
        <f>AVERAGE(BJ144:BJ158)</f>
        <v>0.2</v>
      </c>
      <c r="BN148" s="34"/>
      <c r="BO148" s="31" t="s">
        <v>102</v>
      </c>
      <c r="BP148" s="31" t="s">
        <v>71</v>
      </c>
      <c r="BQ148" s="31" t="s">
        <v>103</v>
      </c>
      <c r="BR148" s="31" t="s">
        <v>104</v>
      </c>
      <c r="BT148" s="34"/>
      <c r="BU148" s="38" t="s">
        <v>212</v>
      </c>
      <c r="BV148" s="33">
        <v>0</v>
      </c>
      <c r="BZ148" s="34"/>
      <c r="CA148" s="38" t="s">
        <v>81</v>
      </c>
      <c r="CB148" s="33">
        <v>0</v>
      </c>
      <c r="CF148" s="36"/>
      <c r="CG148" s="44" t="s">
        <v>213</v>
      </c>
      <c r="CH148" s="19">
        <v>0</v>
      </c>
      <c r="CL148" s="36"/>
      <c r="CM148" s="44" t="s">
        <v>160</v>
      </c>
      <c r="CN148" s="19">
        <v>0</v>
      </c>
      <c r="CR148" s="36"/>
    </row>
    <row r="149" spans="1:96" x14ac:dyDescent="0.2">
      <c r="A149" s="42"/>
      <c r="B149" s="27"/>
      <c r="C149" s="27"/>
      <c r="D149" s="27"/>
      <c r="E149" s="27"/>
      <c r="G149" s="25"/>
      <c r="H149" s="25"/>
      <c r="I149" s="27"/>
      <c r="J149" s="27"/>
      <c r="K149" s="27"/>
      <c r="L149" s="29"/>
      <c r="M149" s="27"/>
      <c r="N149" s="27"/>
      <c r="O149" s="27"/>
      <c r="P149" s="27"/>
      <c r="Q149" s="27"/>
      <c r="R149" s="29"/>
      <c r="S149" s="39"/>
      <c r="T149" s="27"/>
      <c r="U149" s="27"/>
      <c r="V149" s="27"/>
      <c r="W149" s="27"/>
      <c r="X149" s="29"/>
      <c r="Y149" s="27"/>
      <c r="Z149" s="27"/>
      <c r="AA149" s="27"/>
      <c r="AB149" s="27"/>
      <c r="AC149" s="27"/>
      <c r="AE149" s="33"/>
      <c r="AF149" s="33"/>
      <c r="AG149" s="33"/>
      <c r="AH149" s="33"/>
      <c r="AJ149" s="34"/>
      <c r="AO149" s="24"/>
      <c r="AQ149" s="47"/>
      <c r="AR149" s="33"/>
      <c r="AS149" s="33"/>
      <c r="AT149" s="33"/>
      <c r="AU149" s="24"/>
      <c r="AX149" s="33"/>
      <c r="BA149" s="24"/>
      <c r="BE149" s="31"/>
      <c r="BF149" s="31"/>
      <c r="BG149" s="24"/>
      <c r="BH149" s="34"/>
      <c r="BI149" s="43" t="s">
        <v>151</v>
      </c>
      <c r="BJ149" s="19">
        <v>0</v>
      </c>
      <c r="BK149" s="31" t="s">
        <v>144</v>
      </c>
      <c r="BL149" s="31">
        <f>STDEV(BJ144:BJ158)</f>
        <v>0.41403933560541251</v>
      </c>
      <c r="BN149" s="34"/>
      <c r="BO149" s="38" t="s">
        <v>110</v>
      </c>
      <c r="BP149" s="31">
        <v>0</v>
      </c>
      <c r="BQ149" s="31" t="s">
        <v>106</v>
      </c>
      <c r="BR149" s="31">
        <f>SUM(BP149:BP173)</f>
        <v>12</v>
      </c>
      <c r="BT149" s="34"/>
      <c r="BU149" s="38" t="s">
        <v>220</v>
      </c>
      <c r="BV149" s="33">
        <v>0</v>
      </c>
      <c r="BZ149" s="34"/>
      <c r="CA149" s="38" t="s">
        <v>80</v>
      </c>
      <c r="CB149" s="33">
        <v>0</v>
      </c>
      <c r="CF149" s="36"/>
      <c r="CG149" s="44" t="s">
        <v>221</v>
      </c>
      <c r="CH149" s="19">
        <v>0</v>
      </c>
      <c r="CL149" s="36"/>
      <c r="CM149" s="44" t="s">
        <v>166</v>
      </c>
      <c r="CN149" s="19">
        <v>0</v>
      </c>
      <c r="CR149" s="36"/>
    </row>
    <row r="150" spans="1:96" x14ac:dyDescent="0.2">
      <c r="A150" s="42"/>
      <c r="B150" s="27"/>
      <c r="C150" s="27"/>
      <c r="D150" s="27"/>
      <c r="E150" s="27"/>
      <c r="G150" s="25"/>
      <c r="H150" s="25"/>
      <c r="I150" s="27"/>
      <c r="J150" s="27"/>
      <c r="K150" s="27"/>
      <c r="L150" s="29"/>
      <c r="M150" s="27"/>
      <c r="N150" s="27"/>
      <c r="O150" s="27"/>
      <c r="P150" s="27"/>
      <c r="Q150" s="27"/>
      <c r="R150" s="29"/>
      <c r="S150" s="39"/>
      <c r="T150" s="27"/>
      <c r="U150" s="27"/>
      <c r="V150" s="27"/>
      <c r="W150" s="27"/>
      <c r="X150" s="29"/>
      <c r="Y150" s="27"/>
      <c r="Z150" s="27"/>
      <c r="AA150" s="27"/>
      <c r="AB150" s="27"/>
      <c r="AC150" s="27"/>
      <c r="AE150" s="33"/>
      <c r="AF150" s="33"/>
      <c r="AG150" s="33"/>
      <c r="AH150" s="33"/>
      <c r="AJ150" s="34"/>
      <c r="AO150" s="24"/>
      <c r="AQ150" s="47"/>
      <c r="AR150" s="33"/>
      <c r="AS150" s="33"/>
      <c r="AT150" s="33"/>
      <c r="AU150" s="24"/>
      <c r="AX150" s="33"/>
      <c r="BA150" s="24"/>
      <c r="BE150" s="31"/>
      <c r="BF150" s="31"/>
      <c r="BG150" s="24"/>
      <c r="BH150" s="34"/>
      <c r="BI150" s="43" t="s">
        <v>198</v>
      </c>
      <c r="BJ150" s="19">
        <v>1</v>
      </c>
      <c r="BK150" s="31"/>
      <c r="BL150" s="31"/>
      <c r="BN150" s="34"/>
      <c r="BO150" s="38" t="s">
        <v>118</v>
      </c>
      <c r="BP150" s="31">
        <v>0</v>
      </c>
      <c r="BQ150" s="31" t="s">
        <v>115</v>
      </c>
      <c r="BR150" s="31">
        <f>MIN(BP149:BP173)</f>
        <v>0</v>
      </c>
      <c r="BT150" s="34"/>
      <c r="BU150" s="38" t="s">
        <v>226</v>
      </c>
      <c r="BV150" s="33">
        <v>0</v>
      </c>
      <c r="BZ150" s="34"/>
      <c r="CA150" s="38" t="s">
        <v>79</v>
      </c>
      <c r="CB150" s="33">
        <v>0</v>
      </c>
      <c r="CF150" s="36"/>
      <c r="CG150" s="44" t="s">
        <v>227</v>
      </c>
      <c r="CH150" s="19">
        <v>0</v>
      </c>
      <c r="CL150" s="36"/>
      <c r="CM150" s="44" t="s">
        <v>170</v>
      </c>
      <c r="CN150" s="19">
        <v>0</v>
      </c>
      <c r="CR150" s="36"/>
    </row>
    <row r="151" spans="1:96" x14ac:dyDescent="0.2">
      <c r="A151" s="27"/>
      <c r="B151" s="27"/>
      <c r="C151" s="27"/>
      <c r="D151" s="27"/>
      <c r="E151" s="27"/>
      <c r="G151" s="25"/>
      <c r="H151" s="25"/>
      <c r="I151" s="27"/>
      <c r="J151" s="27"/>
      <c r="K151" s="27"/>
      <c r="L151" s="29"/>
      <c r="M151" s="27"/>
      <c r="N151" s="27"/>
      <c r="O151" s="27"/>
      <c r="P151" s="27"/>
      <c r="Q151" s="27"/>
      <c r="R151" s="29"/>
      <c r="S151" s="39"/>
      <c r="T151" s="27"/>
      <c r="U151" s="27"/>
      <c r="V151" s="27"/>
      <c r="W151" s="27"/>
      <c r="X151" s="29"/>
      <c r="Y151" s="27"/>
      <c r="Z151" s="27"/>
      <c r="AA151" s="27"/>
      <c r="AB151" s="27"/>
      <c r="AC151" s="27"/>
      <c r="AE151" s="33"/>
      <c r="AF151" s="33"/>
      <c r="AG151" s="33"/>
      <c r="AH151" s="33"/>
      <c r="AJ151" s="34"/>
      <c r="AO151" s="24"/>
      <c r="AQ151" s="47"/>
      <c r="AR151" s="33"/>
      <c r="AS151" s="33"/>
      <c r="AT151" s="33"/>
      <c r="AU151" s="24"/>
      <c r="AW151" s="49"/>
      <c r="AX151" s="33"/>
      <c r="BA151" s="24"/>
      <c r="BC151" s="32" t="s">
        <v>162</v>
      </c>
      <c r="BD151" s="19" t="s">
        <v>71</v>
      </c>
      <c r="BE151" s="31" t="s">
        <v>103</v>
      </c>
      <c r="BF151" s="31" t="s">
        <v>104</v>
      </c>
      <c r="BG151" s="24"/>
      <c r="BH151" s="34"/>
      <c r="BI151" s="43" t="s">
        <v>205</v>
      </c>
      <c r="BJ151" s="19">
        <v>0</v>
      </c>
      <c r="BN151" s="34"/>
      <c r="BO151" s="38" t="s">
        <v>125</v>
      </c>
      <c r="BP151" s="31">
        <v>1</v>
      </c>
      <c r="BQ151" s="31" t="s">
        <v>122</v>
      </c>
      <c r="BR151" s="31">
        <f>MAX(BP149:BP173)</f>
        <v>2</v>
      </c>
      <c r="BT151" s="34"/>
      <c r="BU151" s="38" t="s">
        <v>231</v>
      </c>
      <c r="BV151" s="33">
        <v>0</v>
      </c>
      <c r="BZ151" s="34"/>
      <c r="CA151" s="38" t="s">
        <v>78</v>
      </c>
      <c r="CB151" s="33">
        <v>0</v>
      </c>
      <c r="CF151" s="36"/>
      <c r="CG151" s="44" t="s">
        <v>214</v>
      </c>
      <c r="CH151" s="19">
        <v>0</v>
      </c>
      <c r="CL151" s="36"/>
      <c r="CM151" s="44" t="s">
        <v>175</v>
      </c>
      <c r="CN151" s="19">
        <v>0</v>
      </c>
      <c r="CR151" s="36"/>
    </row>
    <row r="152" spans="1:96" x14ac:dyDescent="0.2">
      <c r="A152" s="27"/>
      <c r="B152" s="27"/>
      <c r="C152" s="27"/>
      <c r="D152" s="27"/>
      <c r="E152" s="27"/>
      <c r="G152" s="25"/>
      <c r="H152" s="25"/>
      <c r="I152" s="27"/>
      <c r="J152" s="27"/>
      <c r="K152" s="27"/>
      <c r="L152" s="29"/>
      <c r="M152" s="27"/>
      <c r="N152" s="27"/>
      <c r="O152" s="27"/>
      <c r="P152" s="27"/>
      <c r="Q152" s="27"/>
      <c r="R152" s="29"/>
      <c r="S152" s="27"/>
      <c r="T152" s="27"/>
      <c r="U152" s="27"/>
      <c r="V152" s="27"/>
      <c r="W152" s="27"/>
      <c r="X152" s="29"/>
      <c r="Y152" s="27"/>
      <c r="Z152" s="27"/>
      <c r="AA152" s="27"/>
      <c r="AB152" s="27"/>
      <c r="AC152" s="27"/>
      <c r="AE152" s="24"/>
      <c r="AF152" s="33"/>
      <c r="AG152" s="24"/>
      <c r="AH152" s="24"/>
      <c r="AJ152" s="34"/>
      <c r="AO152" s="24"/>
      <c r="AQ152" s="47"/>
      <c r="AR152" s="33"/>
      <c r="AS152" s="33"/>
      <c r="AT152" s="33"/>
      <c r="AU152" s="24"/>
      <c r="AW152" s="49"/>
      <c r="AX152" s="33"/>
      <c r="BA152" s="24"/>
      <c r="BC152" s="43" t="s">
        <v>132</v>
      </c>
      <c r="BD152" s="19">
        <v>0</v>
      </c>
      <c r="BE152" s="31" t="s">
        <v>106</v>
      </c>
      <c r="BF152" s="31">
        <f>SUM(BD152:BD173)</f>
        <v>7</v>
      </c>
      <c r="BG152" s="24"/>
      <c r="BH152" s="34"/>
      <c r="BI152" s="43" t="s">
        <v>210</v>
      </c>
      <c r="BJ152" s="19">
        <v>0</v>
      </c>
      <c r="BN152" s="34"/>
      <c r="BO152" s="38" t="s">
        <v>134</v>
      </c>
      <c r="BP152" s="31">
        <v>0</v>
      </c>
      <c r="BQ152" s="31" t="s">
        <v>129</v>
      </c>
      <c r="BR152" s="31">
        <f>VAR(BP149:BP173)</f>
        <v>0.51</v>
      </c>
      <c r="BT152" s="34"/>
      <c r="BU152" s="38" t="s">
        <v>237</v>
      </c>
      <c r="BV152" s="33">
        <v>0</v>
      </c>
      <c r="BZ152" s="34"/>
      <c r="CA152" s="38" t="s">
        <v>77</v>
      </c>
      <c r="CB152" s="33">
        <v>0</v>
      </c>
      <c r="CF152" s="36"/>
      <c r="CG152" s="44" t="s">
        <v>238</v>
      </c>
      <c r="CH152" s="19">
        <v>0</v>
      </c>
      <c r="CL152" s="36"/>
      <c r="CM152" s="44" t="s">
        <v>181</v>
      </c>
      <c r="CN152" s="19">
        <v>0</v>
      </c>
      <c r="CR152" s="36"/>
    </row>
    <row r="153" spans="1:96" x14ac:dyDescent="0.2">
      <c r="G153" s="25"/>
      <c r="H153" s="25"/>
      <c r="I153" s="27"/>
      <c r="J153" s="27"/>
      <c r="K153" s="27"/>
      <c r="L153" s="29"/>
      <c r="M153" s="27"/>
      <c r="N153" s="27"/>
      <c r="O153" s="27"/>
      <c r="P153" s="27"/>
      <c r="Q153" s="27"/>
      <c r="R153" s="29"/>
      <c r="S153" s="27"/>
      <c r="T153" s="119"/>
      <c r="U153" s="119"/>
      <c r="V153" s="25"/>
      <c r="W153" s="25"/>
      <c r="X153" s="29"/>
      <c r="Y153" s="27"/>
      <c r="Z153" s="27"/>
      <c r="AA153" s="27"/>
      <c r="AB153" s="27"/>
      <c r="AC153" s="27"/>
      <c r="AE153" s="24"/>
      <c r="AF153" s="33"/>
      <c r="AG153" s="24"/>
      <c r="AH153" s="24"/>
      <c r="AJ153" s="34"/>
      <c r="AO153" s="24"/>
      <c r="AQ153" s="47"/>
      <c r="AR153" s="33"/>
      <c r="AS153" s="33"/>
      <c r="AT153" s="33"/>
      <c r="AU153" s="24"/>
      <c r="AW153" s="32"/>
      <c r="AX153" s="33"/>
      <c r="AY153" s="31"/>
      <c r="AZ153" s="31"/>
      <c r="BA153" s="24"/>
      <c r="BC153" s="43" t="s">
        <v>171</v>
      </c>
      <c r="BD153" s="19">
        <v>0</v>
      </c>
      <c r="BE153" s="31" t="s">
        <v>115</v>
      </c>
      <c r="BF153" s="31">
        <f>MIN(BD152:BD173)</f>
        <v>0</v>
      </c>
      <c r="BG153" s="24"/>
      <c r="BH153" s="34"/>
      <c r="BI153" s="43" t="s">
        <v>218</v>
      </c>
      <c r="BJ153" s="19">
        <v>1</v>
      </c>
      <c r="BN153" s="34"/>
      <c r="BO153" s="38" t="s">
        <v>141</v>
      </c>
      <c r="BP153" s="31">
        <v>1</v>
      </c>
      <c r="BQ153" s="31" t="s">
        <v>138</v>
      </c>
      <c r="BR153" s="31">
        <f>AVERAGE(BP149:BP173)</f>
        <v>0.48</v>
      </c>
      <c r="BT153" s="34"/>
      <c r="BU153" s="38" t="s">
        <v>242</v>
      </c>
      <c r="BV153" s="33">
        <v>0</v>
      </c>
      <c r="BZ153" s="34"/>
      <c r="CA153" s="38" t="s">
        <v>76</v>
      </c>
      <c r="CB153" s="33">
        <v>0</v>
      </c>
      <c r="CF153" s="36"/>
      <c r="CG153" s="44" t="s">
        <v>243</v>
      </c>
      <c r="CH153" s="19">
        <v>0</v>
      </c>
      <c r="CL153" s="36"/>
      <c r="CM153" s="44" t="s">
        <v>186</v>
      </c>
      <c r="CN153" s="19">
        <v>0</v>
      </c>
      <c r="CR153" s="36"/>
    </row>
    <row r="154" spans="1:96" x14ac:dyDescent="0.2">
      <c r="G154" s="25"/>
      <c r="H154" s="25"/>
      <c r="I154" s="27"/>
      <c r="J154" s="27"/>
      <c r="K154" s="27"/>
      <c r="L154" s="29"/>
      <c r="M154" s="27"/>
      <c r="N154" s="27"/>
      <c r="O154" s="27"/>
      <c r="P154" s="27"/>
      <c r="Q154" s="27"/>
      <c r="R154" s="29"/>
      <c r="T154" s="27"/>
      <c r="U154" s="27"/>
      <c r="V154" s="27"/>
      <c r="W154" s="27"/>
      <c r="X154" s="29"/>
      <c r="Y154" s="27"/>
      <c r="Z154" s="27"/>
      <c r="AA154" s="27"/>
      <c r="AB154" s="27"/>
      <c r="AC154" s="27"/>
      <c r="AE154" s="24"/>
      <c r="AF154" s="33"/>
      <c r="AG154" s="24"/>
      <c r="AH154" s="24"/>
      <c r="AJ154" s="34"/>
      <c r="AO154" s="24"/>
      <c r="AQ154" s="47"/>
      <c r="AR154" s="33"/>
      <c r="AS154" s="33"/>
      <c r="AT154" s="33"/>
      <c r="AU154" s="24"/>
      <c r="AW154" s="43"/>
      <c r="AX154" s="33"/>
      <c r="AY154" s="31"/>
      <c r="AZ154" s="31"/>
      <c r="BA154" s="24"/>
      <c r="BC154" s="43" t="s">
        <v>176</v>
      </c>
      <c r="BD154" s="19">
        <v>0</v>
      </c>
      <c r="BE154" s="31" t="s">
        <v>122</v>
      </c>
      <c r="BF154" s="31">
        <f>MAX(BD152:BD173)</f>
        <v>3</v>
      </c>
      <c r="BG154" s="24"/>
      <c r="BH154" s="34"/>
      <c r="BI154" s="43" t="s">
        <v>224</v>
      </c>
      <c r="BJ154" s="19">
        <v>0</v>
      </c>
      <c r="BN154" s="34"/>
      <c r="BO154" s="38" t="s">
        <v>146</v>
      </c>
      <c r="BP154" s="31">
        <v>2</v>
      </c>
      <c r="BQ154" s="31" t="s">
        <v>144</v>
      </c>
      <c r="BR154" s="31">
        <f>STDEV(BP149:BP173)</f>
        <v>0.71414284285428498</v>
      </c>
      <c r="BT154" s="34"/>
      <c r="BU154" s="38" t="s">
        <v>248</v>
      </c>
      <c r="BV154" s="33">
        <v>0</v>
      </c>
      <c r="BZ154" s="34"/>
      <c r="CA154" s="43" t="s">
        <v>75</v>
      </c>
      <c r="CB154" s="33">
        <v>0</v>
      </c>
      <c r="CF154" s="36"/>
      <c r="CG154" s="44" t="s">
        <v>249</v>
      </c>
      <c r="CH154" s="19">
        <v>0</v>
      </c>
      <c r="CL154" s="36"/>
      <c r="CM154" s="44" t="s">
        <v>191</v>
      </c>
      <c r="CN154" s="19">
        <v>0</v>
      </c>
      <c r="CR154" s="36"/>
    </row>
    <row r="155" spans="1:96" x14ac:dyDescent="0.2">
      <c r="G155" s="25"/>
      <c r="H155" s="25"/>
      <c r="I155" s="27"/>
      <c r="J155" s="27"/>
      <c r="K155" s="27"/>
      <c r="L155" s="29"/>
      <c r="M155" s="27"/>
      <c r="N155" s="27"/>
      <c r="O155" s="27"/>
      <c r="P155" s="27"/>
      <c r="Q155" s="27"/>
      <c r="R155" s="29"/>
      <c r="T155" s="27"/>
      <c r="U155" s="27"/>
      <c r="V155" s="27"/>
      <c r="W155" s="27"/>
      <c r="X155" s="29"/>
      <c r="Y155" s="27"/>
      <c r="Z155" s="27"/>
      <c r="AA155" s="27"/>
      <c r="AB155" s="27"/>
      <c r="AC155" s="27"/>
      <c r="AE155" s="24"/>
      <c r="AF155" s="33"/>
      <c r="AG155" s="24"/>
      <c r="AH155" s="24"/>
      <c r="AJ155" s="34"/>
      <c r="AK155" s="25"/>
      <c r="AL155" s="33"/>
      <c r="AM155" s="33"/>
      <c r="AN155" s="33"/>
      <c r="AO155" s="24"/>
      <c r="AQ155" s="47"/>
      <c r="AR155" s="33"/>
      <c r="AS155" s="33"/>
      <c r="AT155" s="33"/>
      <c r="AU155" s="24"/>
      <c r="AW155" s="43"/>
      <c r="AX155" s="33"/>
      <c r="AY155" s="31"/>
      <c r="AZ155" s="31"/>
      <c r="BA155" s="24"/>
      <c r="BC155" s="43" t="s">
        <v>182</v>
      </c>
      <c r="BD155" s="19">
        <v>0</v>
      </c>
      <c r="BE155" s="31" t="s">
        <v>129</v>
      </c>
      <c r="BF155" s="31">
        <f>VAR(BD152:BD173)</f>
        <v>0.51298701298701299</v>
      </c>
      <c r="BG155" s="24"/>
      <c r="BH155" s="34"/>
      <c r="BI155" s="43" t="s">
        <v>229</v>
      </c>
      <c r="BJ155" s="19">
        <v>0</v>
      </c>
      <c r="BN155" s="34"/>
      <c r="BO155" s="38" t="s">
        <v>152</v>
      </c>
      <c r="BP155" s="31">
        <v>0</v>
      </c>
      <c r="BQ155" s="31"/>
      <c r="BR155" s="31"/>
      <c r="BT155" s="34"/>
      <c r="BU155" s="38" t="s">
        <v>252</v>
      </c>
      <c r="BV155" s="33">
        <v>0</v>
      </c>
      <c r="BZ155" s="34"/>
      <c r="CA155" s="43" t="s">
        <v>74</v>
      </c>
      <c r="CB155" s="33">
        <v>0</v>
      </c>
      <c r="CF155" s="36"/>
      <c r="CG155" s="44" t="s">
        <v>253</v>
      </c>
      <c r="CH155" s="19">
        <v>0</v>
      </c>
      <c r="CL155" s="36"/>
      <c r="CM155" s="44" t="s">
        <v>196</v>
      </c>
      <c r="CN155" s="19">
        <v>0</v>
      </c>
      <c r="CR155" s="36"/>
    </row>
    <row r="156" spans="1:96" x14ac:dyDescent="0.2">
      <c r="G156" s="25"/>
      <c r="H156" s="25"/>
      <c r="I156" s="27"/>
      <c r="J156" s="27"/>
      <c r="K156" s="27"/>
      <c r="L156" s="29"/>
      <c r="M156" s="27"/>
      <c r="N156" s="27"/>
      <c r="O156" s="27"/>
      <c r="P156" s="27"/>
      <c r="Q156" s="27"/>
      <c r="R156" s="29"/>
      <c r="T156" s="27"/>
      <c r="U156" s="27"/>
      <c r="V156" s="27"/>
      <c r="W156" s="27"/>
      <c r="X156" s="29"/>
      <c r="Y156" s="27"/>
      <c r="Z156" s="27"/>
      <c r="AA156" s="27"/>
      <c r="AB156" s="27"/>
      <c r="AC156" s="27"/>
      <c r="AE156" s="24"/>
      <c r="AF156" s="33"/>
      <c r="AG156" s="24"/>
      <c r="AH156" s="24"/>
      <c r="AJ156" s="34"/>
      <c r="AK156" s="54"/>
      <c r="AL156" s="33"/>
      <c r="AM156" s="33"/>
      <c r="AN156" s="33"/>
      <c r="AO156" s="24"/>
      <c r="AQ156" s="47"/>
      <c r="AR156" s="33"/>
      <c r="AS156" s="33"/>
      <c r="AT156" s="33"/>
      <c r="AU156" s="24"/>
      <c r="AW156" s="43"/>
      <c r="AX156" s="33"/>
      <c r="AY156" s="31"/>
      <c r="AZ156" s="31"/>
      <c r="BA156" s="24"/>
      <c r="BC156" s="43" t="s">
        <v>135</v>
      </c>
      <c r="BD156" s="19">
        <v>0</v>
      </c>
      <c r="BE156" s="31" t="s">
        <v>138</v>
      </c>
      <c r="BF156" s="31">
        <f>AVERAGE(BD152:BD173)</f>
        <v>0.31818181818181818</v>
      </c>
      <c r="BG156" s="24"/>
      <c r="BH156" s="34"/>
      <c r="BI156" s="43" t="s">
        <v>235</v>
      </c>
      <c r="BJ156" s="19">
        <v>0</v>
      </c>
      <c r="BN156" s="34"/>
      <c r="BO156" s="38" t="s">
        <v>157</v>
      </c>
      <c r="BP156" s="31">
        <v>0</v>
      </c>
      <c r="BQ156" s="31"/>
      <c r="BR156" s="31"/>
      <c r="BT156" s="34"/>
      <c r="BZ156" s="34"/>
      <c r="CF156" s="36"/>
      <c r="CG156" s="44" t="s">
        <v>255</v>
      </c>
      <c r="CH156" s="19">
        <v>0</v>
      </c>
      <c r="CL156" s="36"/>
      <c r="CM156" s="44" t="s">
        <v>202</v>
      </c>
      <c r="CN156" s="19">
        <v>0</v>
      </c>
      <c r="CR156" s="36"/>
    </row>
    <row r="157" spans="1:96" x14ac:dyDescent="0.2">
      <c r="G157" s="25"/>
      <c r="H157" s="25"/>
      <c r="I157" s="27"/>
      <c r="J157" s="27"/>
      <c r="K157" s="27"/>
      <c r="L157" s="29"/>
      <c r="M157" s="27"/>
      <c r="N157" s="27"/>
      <c r="O157" s="27"/>
      <c r="P157" s="27"/>
      <c r="Q157" s="27"/>
      <c r="R157" s="29"/>
      <c r="T157" s="27"/>
      <c r="U157" s="27"/>
      <c r="V157" s="27"/>
      <c r="W157" s="27"/>
      <c r="X157" s="29"/>
      <c r="Y157" s="27"/>
      <c r="Z157" s="27"/>
      <c r="AA157" s="27"/>
      <c r="AB157" s="27"/>
      <c r="AC157" s="27"/>
      <c r="AE157" s="24"/>
      <c r="AF157" s="33"/>
      <c r="AG157" s="24"/>
      <c r="AH157" s="24"/>
      <c r="AJ157" s="34"/>
      <c r="AK157" s="54"/>
      <c r="AL157" s="33"/>
      <c r="AM157" s="33"/>
      <c r="AN157" s="33"/>
      <c r="AO157" s="24"/>
      <c r="AQ157" s="47"/>
      <c r="AR157" s="33"/>
      <c r="AS157" s="33"/>
      <c r="AT157" s="33"/>
      <c r="AU157" s="24"/>
      <c r="AW157" s="43"/>
      <c r="AX157" s="33"/>
      <c r="AY157" s="31"/>
      <c r="AZ157" s="31"/>
      <c r="BA157" s="24"/>
      <c r="BC157" s="43" t="s">
        <v>192</v>
      </c>
      <c r="BD157" s="19">
        <v>0</v>
      </c>
      <c r="BE157" s="31" t="s">
        <v>144</v>
      </c>
      <c r="BF157" s="31">
        <f>STDEV(BD152:BD173)</f>
        <v>0.71623111701950859</v>
      </c>
      <c r="BG157" s="24"/>
      <c r="BH157" s="34"/>
      <c r="BI157" s="43" t="s">
        <v>240</v>
      </c>
      <c r="BJ157" s="19">
        <v>0</v>
      </c>
      <c r="BN157" s="34"/>
      <c r="BO157" s="38" t="s">
        <v>163</v>
      </c>
      <c r="BP157" s="31">
        <v>1</v>
      </c>
      <c r="BQ157" s="31"/>
      <c r="BR157" s="31"/>
      <c r="BT157" s="34"/>
      <c r="BZ157" s="34"/>
      <c r="CF157" s="36"/>
      <c r="CL157" s="36"/>
      <c r="CM157" s="44" t="s">
        <v>208</v>
      </c>
      <c r="CN157" s="19">
        <v>0</v>
      </c>
      <c r="CR157" s="36"/>
    </row>
    <row r="158" spans="1:96" x14ac:dyDescent="0.2">
      <c r="G158" s="25"/>
      <c r="H158" s="25"/>
      <c r="I158" s="27"/>
      <c r="J158" s="27"/>
      <c r="K158" s="27"/>
      <c r="L158" s="29"/>
      <c r="M158" s="27"/>
      <c r="N158" s="27"/>
      <c r="O158" s="27"/>
      <c r="P158" s="27"/>
      <c r="Q158" s="27"/>
      <c r="R158" s="29"/>
      <c r="T158" s="27"/>
      <c r="U158" s="27"/>
      <c r="V158" s="27"/>
      <c r="W158" s="27"/>
      <c r="X158" s="29"/>
      <c r="Y158" s="27"/>
      <c r="Z158" s="27"/>
      <c r="AA158" s="27"/>
      <c r="AB158" s="27"/>
      <c r="AC158" s="27"/>
      <c r="AE158" s="24"/>
      <c r="AF158" s="24"/>
      <c r="AG158" s="24"/>
      <c r="AH158" s="24"/>
      <c r="AJ158" s="34"/>
      <c r="AK158" s="54"/>
      <c r="AL158" s="33"/>
      <c r="AM158" s="33"/>
      <c r="AN158" s="33"/>
      <c r="AO158" s="24"/>
      <c r="AQ158" s="24"/>
      <c r="AR158" s="24"/>
      <c r="AS158" s="24"/>
      <c r="AT158" s="24"/>
      <c r="AU158" s="24"/>
      <c r="AW158" s="43"/>
      <c r="AX158" s="33"/>
      <c r="AY158" s="31"/>
      <c r="AZ158" s="31"/>
      <c r="BA158" s="24"/>
      <c r="BC158" s="43" t="s">
        <v>197</v>
      </c>
      <c r="BD158" s="19">
        <v>0</v>
      </c>
      <c r="BG158" s="24"/>
      <c r="BH158" s="34"/>
      <c r="BI158" s="43" t="s">
        <v>246</v>
      </c>
      <c r="BJ158" s="19">
        <v>0</v>
      </c>
      <c r="BN158" s="34"/>
      <c r="BO158" s="38" t="s">
        <v>85</v>
      </c>
      <c r="BP158" s="31">
        <v>0</v>
      </c>
      <c r="BQ158" s="31"/>
      <c r="BR158" s="31"/>
      <c r="BT158" s="34"/>
      <c r="BZ158" s="34"/>
      <c r="CF158" s="36"/>
      <c r="CL158" s="36"/>
      <c r="CM158" s="44" t="s">
        <v>214</v>
      </c>
      <c r="CN158" s="19">
        <v>0</v>
      </c>
      <c r="CR158" s="36"/>
    </row>
    <row r="159" spans="1:96" x14ac:dyDescent="0.2">
      <c r="G159" s="25"/>
      <c r="H159" s="25"/>
      <c r="I159" s="27"/>
      <c r="J159" s="27"/>
      <c r="K159" s="27"/>
      <c r="L159" s="29"/>
      <c r="M159" s="27"/>
      <c r="N159" s="27"/>
      <c r="O159" s="27"/>
      <c r="P159" s="27"/>
      <c r="Q159" s="27"/>
      <c r="R159" s="29"/>
      <c r="T159" s="27"/>
      <c r="U159" s="27"/>
      <c r="V159" s="27"/>
      <c r="W159" s="27"/>
      <c r="X159" s="29"/>
      <c r="Y159" s="27"/>
      <c r="Z159" s="27"/>
      <c r="AA159" s="27"/>
      <c r="AB159" s="27"/>
      <c r="AC159" s="27"/>
      <c r="AE159" s="24"/>
      <c r="AF159" s="24"/>
      <c r="AG159" s="24"/>
      <c r="AH159" s="24"/>
      <c r="AJ159" s="34"/>
      <c r="AK159" s="54"/>
      <c r="AL159" s="33"/>
      <c r="AM159" s="33"/>
      <c r="AN159" s="33"/>
      <c r="AO159" s="24"/>
      <c r="AQ159" s="24"/>
      <c r="AR159" s="24"/>
      <c r="AS159" s="24"/>
      <c r="AT159" s="24"/>
      <c r="AU159" s="24"/>
      <c r="AW159" s="43"/>
      <c r="AX159" s="33"/>
      <c r="AY159" s="31"/>
      <c r="AZ159" s="31"/>
      <c r="BA159" s="24"/>
      <c r="BC159" s="43" t="s">
        <v>204</v>
      </c>
      <c r="BD159" s="19">
        <v>0</v>
      </c>
      <c r="BG159" s="24"/>
      <c r="BH159" s="34"/>
      <c r="BI159" s="43"/>
      <c r="BN159" s="34"/>
      <c r="BO159" s="38" t="s">
        <v>173</v>
      </c>
      <c r="BP159" s="31">
        <v>0</v>
      </c>
      <c r="BQ159" s="31"/>
      <c r="BR159" s="31"/>
      <c r="BS159" s="24"/>
      <c r="BT159" s="34"/>
      <c r="BZ159" s="34"/>
      <c r="CF159" s="36"/>
      <c r="CL159" s="36"/>
      <c r="CM159" s="44" t="s">
        <v>222</v>
      </c>
      <c r="CN159" s="19">
        <v>0</v>
      </c>
      <c r="CR159" s="36"/>
    </row>
    <row r="160" spans="1:96" x14ac:dyDescent="0.2">
      <c r="G160" s="25"/>
      <c r="H160" s="25"/>
      <c r="I160" s="27"/>
      <c r="J160" s="27"/>
      <c r="K160" s="27"/>
      <c r="L160" s="29"/>
      <c r="M160" s="27"/>
      <c r="N160" s="27"/>
      <c r="O160" s="27"/>
      <c r="P160" s="27"/>
      <c r="Q160" s="27"/>
      <c r="R160" s="29"/>
      <c r="T160" s="27"/>
      <c r="U160" s="27"/>
      <c r="V160" s="27"/>
      <c r="W160" s="27"/>
      <c r="X160" s="29"/>
      <c r="Y160" s="27"/>
      <c r="Z160" s="27"/>
      <c r="AA160" s="27"/>
      <c r="AB160" s="27"/>
      <c r="AC160" s="27"/>
      <c r="AE160" s="33"/>
      <c r="AF160" s="33"/>
      <c r="AG160" s="33"/>
      <c r="AH160" s="33"/>
      <c r="AJ160" s="34"/>
      <c r="AK160" s="54"/>
      <c r="AL160" s="33"/>
      <c r="AM160" s="33"/>
      <c r="AN160" s="33"/>
      <c r="AO160" s="24"/>
      <c r="AQ160" s="33"/>
      <c r="AR160" s="24"/>
      <c r="AS160" s="24"/>
      <c r="AT160" s="24"/>
      <c r="AU160" s="24"/>
      <c r="AW160" s="43"/>
      <c r="AX160" s="33"/>
      <c r="BA160" s="24"/>
      <c r="BC160" s="43" t="s">
        <v>209</v>
      </c>
      <c r="BD160" s="19">
        <v>0</v>
      </c>
      <c r="BG160" s="24"/>
      <c r="BH160" s="34"/>
      <c r="BN160" s="34"/>
      <c r="BO160" s="38" t="s">
        <v>178</v>
      </c>
      <c r="BP160" s="31">
        <v>0</v>
      </c>
      <c r="BQ160" s="31"/>
      <c r="BR160" s="31"/>
      <c r="BS160" s="24"/>
      <c r="BT160" s="34"/>
      <c r="BZ160" s="34"/>
      <c r="CF160" s="36"/>
      <c r="CL160" s="36"/>
      <c r="CM160" s="44" t="s">
        <v>228</v>
      </c>
      <c r="CN160" s="19">
        <v>0</v>
      </c>
      <c r="CR160" s="36"/>
    </row>
    <row r="161" spans="7:96" x14ac:dyDescent="0.2">
      <c r="G161" s="25"/>
      <c r="H161" s="25"/>
      <c r="I161" s="27"/>
      <c r="J161" s="27"/>
      <c r="K161" s="27"/>
      <c r="L161" s="29"/>
      <c r="M161" s="27"/>
      <c r="N161" s="27"/>
      <c r="O161" s="27"/>
      <c r="P161" s="27"/>
      <c r="Q161" s="27"/>
      <c r="R161" s="29"/>
      <c r="X161" s="29"/>
      <c r="Y161" s="27"/>
      <c r="Z161" s="27"/>
      <c r="AA161" s="27"/>
      <c r="AB161" s="27"/>
      <c r="AC161" s="27"/>
      <c r="AE161" s="33"/>
      <c r="AF161" s="33"/>
      <c r="AG161" s="33"/>
      <c r="AH161" s="33"/>
      <c r="AJ161" s="34"/>
      <c r="AK161" s="54"/>
      <c r="AL161" s="33"/>
      <c r="AM161" s="33"/>
      <c r="AN161" s="33"/>
      <c r="AO161" s="24"/>
      <c r="AQ161" s="33"/>
      <c r="AR161" s="33"/>
      <c r="AS161" s="33"/>
      <c r="AT161" s="33"/>
      <c r="AU161" s="24"/>
      <c r="AW161" s="43"/>
      <c r="AX161" s="33"/>
      <c r="BA161" s="24"/>
      <c r="BC161" s="43" t="s">
        <v>217</v>
      </c>
      <c r="BD161" s="19">
        <v>1</v>
      </c>
      <c r="BG161" s="24"/>
      <c r="BH161" s="34"/>
      <c r="BI161" s="32" t="s">
        <v>258</v>
      </c>
      <c r="BJ161" s="19" t="s">
        <v>71</v>
      </c>
      <c r="BK161" s="31" t="s">
        <v>103</v>
      </c>
      <c r="BL161" s="31" t="s">
        <v>104</v>
      </c>
      <c r="BN161" s="34"/>
      <c r="BO161" s="38" t="s">
        <v>183</v>
      </c>
      <c r="BP161" s="33">
        <v>0</v>
      </c>
      <c r="BT161" s="34"/>
      <c r="BZ161" s="34"/>
      <c r="CF161" s="36"/>
      <c r="CL161" s="36"/>
      <c r="CM161" s="44" t="s">
        <v>232</v>
      </c>
      <c r="CN161" s="19">
        <v>0</v>
      </c>
      <c r="CR161" s="36"/>
    </row>
    <row r="162" spans="7:96" x14ac:dyDescent="0.2">
      <c r="G162" s="25"/>
      <c r="H162" s="25"/>
      <c r="I162" s="27"/>
      <c r="J162" s="27"/>
      <c r="K162" s="27"/>
      <c r="L162" s="29"/>
      <c r="M162" s="27"/>
      <c r="N162" s="27"/>
      <c r="O162" s="27"/>
      <c r="P162" s="27"/>
      <c r="Q162" s="27"/>
      <c r="R162" s="29"/>
      <c r="X162" s="29"/>
      <c r="Y162" s="27"/>
      <c r="Z162" s="27"/>
      <c r="AA162" s="27"/>
      <c r="AB162" s="27"/>
      <c r="AC162" s="27"/>
      <c r="AE162" s="33"/>
      <c r="AF162" s="33"/>
      <c r="AG162" s="33"/>
      <c r="AH162" s="33"/>
      <c r="AJ162" s="34"/>
      <c r="AK162" s="54"/>
      <c r="AL162" s="33"/>
      <c r="AM162" s="33"/>
      <c r="AN162" s="33"/>
      <c r="AO162" s="24"/>
      <c r="AQ162" s="47"/>
      <c r="AR162" s="33"/>
      <c r="AS162" s="33"/>
      <c r="AT162" s="33"/>
      <c r="AU162" s="24"/>
      <c r="AW162" s="43"/>
      <c r="AX162" s="33"/>
      <c r="BA162" s="24"/>
      <c r="BC162" s="43" t="s">
        <v>223</v>
      </c>
      <c r="BD162" s="33">
        <v>0</v>
      </c>
      <c r="BE162" s="24"/>
      <c r="BF162" s="24"/>
      <c r="BG162" s="24"/>
      <c r="BH162" s="34"/>
      <c r="BI162" s="43" t="s">
        <v>261</v>
      </c>
      <c r="BJ162" s="19">
        <v>0</v>
      </c>
      <c r="BK162" s="31" t="s">
        <v>106</v>
      </c>
      <c r="BL162" s="31">
        <f>SUM(BJ162:BJ164)</f>
        <v>0</v>
      </c>
      <c r="BN162" s="34"/>
      <c r="BO162" s="38" t="s">
        <v>188</v>
      </c>
      <c r="BP162" s="33">
        <v>0</v>
      </c>
      <c r="BT162" s="34"/>
      <c r="BZ162" s="34"/>
      <c r="CF162" s="36"/>
      <c r="CL162" s="36"/>
      <c r="CR162" s="36"/>
    </row>
    <row r="163" spans="7:96" x14ac:dyDescent="0.2">
      <c r="H163" s="25"/>
      <c r="I163" s="27"/>
      <c r="J163" s="27"/>
      <c r="K163" s="27"/>
      <c r="L163" s="29"/>
      <c r="N163" s="27"/>
      <c r="O163" s="27"/>
      <c r="P163" s="27"/>
      <c r="Q163" s="27"/>
      <c r="R163" s="29"/>
      <c r="X163" s="29"/>
      <c r="AE163" s="24"/>
      <c r="AF163" s="33"/>
      <c r="AG163" s="24"/>
      <c r="AH163" s="24"/>
      <c r="AJ163" s="34"/>
      <c r="AK163" s="24"/>
      <c r="AL163" s="24"/>
      <c r="AM163" s="24"/>
      <c r="AN163" s="24"/>
      <c r="AO163" s="24"/>
      <c r="AQ163" s="24"/>
      <c r="AR163" s="24"/>
      <c r="AS163" s="24"/>
      <c r="AT163" s="24"/>
      <c r="AU163" s="24"/>
      <c r="AW163" s="43"/>
      <c r="AX163" s="33"/>
      <c r="BA163" s="24"/>
      <c r="BC163" s="43" t="s">
        <v>130</v>
      </c>
      <c r="BD163" s="19">
        <v>0</v>
      </c>
      <c r="BG163" s="24"/>
      <c r="BH163" s="34"/>
      <c r="BI163" s="43" t="s">
        <v>264</v>
      </c>
      <c r="BJ163" s="19">
        <v>0</v>
      </c>
      <c r="BK163" s="31" t="s">
        <v>115</v>
      </c>
      <c r="BL163" s="31">
        <f>MIN(BJ162:BJ164)</f>
        <v>0</v>
      </c>
      <c r="BN163" s="34"/>
      <c r="BO163" s="38" t="s">
        <v>193</v>
      </c>
      <c r="BP163" s="33">
        <v>2</v>
      </c>
      <c r="BT163" s="34"/>
      <c r="BZ163" s="34"/>
      <c r="CF163" s="36"/>
      <c r="CL163" s="36"/>
      <c r="CR163" s="36"/>
    </row>
    <row r="164" spans="7:96" x14ac:dyDescent="0.2">
      <c r="AE164" s="24"/>
      <c r="AF164" s="33"/>
      <c r="AG164" s="24"/>
      <c r="AH164" s="24"/>
      <c r="AJ164" s="34"/>
      <c r="AK164" s="24"/>
      <c r="AL164" s="24"/>
      <c r="AM164" s="24"/>
      <c r="AN164" s="24"/>
      <c r="AO164" s="24"/>
      <c r="AQ164" s="24"/>
      <c r="AR164" s="24"/>
      <c r="AS164" s="24"/>
      <c r="AT164" s="24"/>
      <c r="AU164" s="24"/>
      <c r="AW164" s="24"/>
      <c r="AX164" s="24"/>
      <c r="AY164" s="24"/>
      <c r="AZ164" s="24"/>
      <c r="BA164" s="24"/>
      <c r="BC164" s="43" t="s">
        <v>234</v>
      </c>
      <c r="BD164" s="19">
        <v>1</v>
      </c>
      <c r="BG164" s="24"/>
      <c r="BH164" s="34"/>
      <c r="BI164" s="43" t="s">
        <v>268</v>
      </c>
      <c r="BJ164" s="19">
        <v>0</v>
      </c>
      <c r="BK164" s="31" t="s">
        <v>122</v>
      </c>
      <c r="BL164" s="31">
        <f>MAX(BJ162:BJ164)</f>
        <v>0</v>
      </c>
      <c r="BN164" s="34"/>
      <c r="BO164" s="38" t="s">
        <v>199</v>
      </c>
      <c r="BP164" s="33">
        <v>1</v>
      </c>
      <c r="BT164" s="34"/>
      <c r="BZ164" s="34"/>
      <c r="CF164" s="36"/>
      <c r="CL164" s="36"/>
      <c r="CM164" s="46" t="s">
        <v>167</v>
      </c>
      <c r="CR164" s="36"/>
    </row>
    <row r="165" spans="7:96" x14ac:dyDescent="0.2">
      <c r="AE165" s="33"/>
      <c r="AF165" s="33"/>
      <c r="AG165" s="33"/>
      <c r="AH165" s="33"/>
      <c r="AJ165" s="34"/>
      <c r="AK165" s="54"/>
      <c r="AL165" s="33"/>
      <c r="AM165" s="24"/>
      <c r="AN165" s="24"/>
      <c r="AO165" s="24"/>
      <c r="AQ165" s="47"/>
      <c r="AR165" s="33"/>
      <c r="AS165" s="33"/>
      <c r="AT165" s="33"/>
      <c r="AU165" s="24"/>
      <c r="AW165" s="49"/>
      <c r="AX165" s="33"/>
      <c r="AY165" s="33"/>
      <c r="AZ165" s="33"/>
      <c r="BA165" s="24"/>
      <c r="BC165" s="43" t="s">
        <v>239</v>
      </c>
      <c r="BD165" s="19">
        <v>0</v>
      </c>
      <c r="BG165" s="24"/>
      <c r="BH165" s="34"/>
      <c r="BI165" s="43"/>
      <c r="BK165" s="31" t="s">
        <v>129</v>
      </c>
      <c r="BL165" s="31">
        <f>VAR(BJ162:BJ164)</f>
        <v>0</v>
      </c>
      <c r="BN165" s="34"/>
      <c r="BO165" s="38" t="s">
        <v>206</v>
      </c>
      <c r="BP165" s="33">
        <v>0</v>
      </c>
      <c r="BT165" s="34"/>
      <c r="BZ165" s="34"/>
      <c r="CF165" s="36"/>
      <c r="CL165" s="36"/>
      <c r="CM165" s="31" t="s">
        <v>102</v>
      </c>
      <c r="CN165" s="31" t="s">
        <v>71</v>
      </c>
      <c r="CO165" s="31" t="s">
        <v>103</v>
      </c>
      <c r="CP165" s="31" t="s">
        <v>104</v>
      </c>
      <c r="CR165" s="36"/>
    </row>
    <row r="166" spans="7:96" x14ac:dyDescent="0.2">
      <c r="AE166" s="33"/>
      <c r="AF166" s="33"/>
      <c r="AG166" s="33"/>
      <c r="AH166" s="33"/>
      <c r="AJ166" s="34"/>
      <c r="AK166" s="54"/>
      <c r="AL166" s="33"/>
      <c r="AM166" s="24"/>
      <c r="AN166" s="24"/>
      <c r="AO166" s="24"/>
      <c r="AQ166" s="47"/>
      <c r="AR166" s="33"/>
      <c r="AS166" s="33"/>
      <c r="AT166" s="33"/>
      <c r="AU166" s="24"/>
      <c r="AW166" s="49"/>
      <c r="AX166" s="33"/>
      <c r="AY166" s="33"/>
      <c r="AZ166" s="33"/>
      <c r="BA166" s="24"/>
      <c r="BC166" s="43" t="s">
        <v>245</v>
      </c>
      <c r="BD166" s="19">
        <v>1</v>
      </c>
      <c r="BG166" s="24"/>
      <c r="BH166" s="34"/>
      <c r="BI166" s="43"/>
      <c r="BK166" s="31" t="s">
        <v>138</v>
      </c>
      <c r="BL166" s="31">
        <f>AVERAGE(BJ162:BJ164)</f>
        <v>0</v>
      </c>
      <c r="BN166" s="34"/>
      <c r="BO166" s="38" t="s">
        <v>211</v>
      </c>
      <c r="BP166" s="33">
        <v>2</v>
      </c>
      <c r="BT166" s="34"/>
      <c r="BZ166" s="34"/>
      <c r="CF166" s="36"/>
      <c r="CL166" s="36"/>
      <c r="CM166" s="44" t="s">
        <v>256</v>
      </c>
      <c r="CN166" s="19">
        <v>0</v>
      </c>
      <c r="CO166" s="31" t="s">
        <v>106</v>
      </c>
      <c r="CP166" s="31">
        <f>SUM(CN166:CN192)</f>
        <v>1</v>
      </c>
      <c r="CR166" s="36"/>
    </row>
    <row r="167" spans="7:96" x14ac:dyDescent="0.2">
      <c r="AE167" s="33"/>
      <c r="AF167" s="33"/>
      <c r="AG167" s="33"/>
      <c r="AH167" s="33"/>
      <c r="AJ167" s="34"/>
      <c r="AK167" s="54"/>
      <c r="AL167" s="33"/>
      <c r="AM167" s="24"/>
      <c r="AN167" s="24"/>
      <c r="AO167" s="24"/>
      <c r="AQ167" s="47"/>
      <c r="AR167" s="33"/>
      <c r="AS167" s="33"/>
      <c r="AT167" s="33"/>
      <c r="AU167" s="24"/>
      <c r="AW167" s="49"/>
      <c r="AX167" s="33"/>
      <c r="AY167" s="33"/>
      <c r="AZ167" s="33"/>
      <c r="BA167" s="24"/>
      <c r="BC167" s="43" t="s">
        <v>250</v>
      </c>
      <c r="BD167" s="19">
        <v>0</v>
      </c>
      <c r="BG167" s="24"/>
      <c r="BH167" s="34"/>
      <c r="BI167" s="43"/>
      <c r="BK167" s="31" t="s">
        <v>144</v>
      </c>
      <c r="BL167" s="31">
        <f>STDEV(BJ162:BJ164)</f>
        <v>0</v>
      </c>
      <c r="BN167" s="34"/>
      <c r="BO167" s="38" t="s">
        <v>219</v>
      </c>
      <c r="BP167" s="33">
        <v>0</v>
      </c>
      <c r="BT167" s="34"/>
      <c r="BZ167" s="34"/>
      <c r="CF167" s="36"/>
      <c r="CL167" s="36"/>
      <c r="CM167" s="44" t="s">
        <v>259</v>
      </c>
      <c r="CN167" s="19">
        <v>1</v>
      </c>
      <c r="CO167" s="31" t="s">
        <v>115</v>
      </c>
      <c r="CP167" s="31">
        <f>MIN(CN166:CN192)</f>
        <v>0</v>
      </c>
      <c r="CR167" s="36"/>
    </row>
    <row r="168" spans="7:96" x14ac:dyDescent="0.2">
      <c r="AE168" s="33"/>
      <c r="AF168" s="33"/>
      <c r="AG168" s="33"/>
      <c r="AH168" s="33"/>
      <c r="AJ168" s="34"/>
      <c r="AK168" s="54"/>
      <c r="AL168" s="33"/>
      <c r="AM168" s="24"/>
      <c r="AN168" s="24"/>
      <c r="AO168" s="24"/>
      <c r="AQ168" s="47"/>
      <c r="AR168" s="33"/>
      <c r="AS168" s="33"/>
      <c r="AT168" s="33"/>
      <c r="AU168" s="24"/>
      <c r="AW168" s="49"/>
      <c r="AX168" s="33"/>
      <c r="AY168" s="33"/>
      <c r="AZ168" s="33"/>
      <c r="BA168" s="24"/>
      <c r="BC168" s="43" t="s">
        <v>254</v>
      </c>
      <c r="BD168" s="19">
        <v>0</v>
      </c>
      <c r="BG168" s="24"/>
      <c r="BH168" s="34"/>
      <c r="BI168" s="43"/>
      <c r="BN168" s="34"/>
      <c r="BO168" s="38" t="s">
        <v>225</v>
      </c>
      <c r="BP168" s="33">
        <v>0</v>
      </c>
      <c r="BT168" s="34"/>
      <c r="BZ168" s="34"/>
      <c r="CF168" s="36"/>
      <c r="CL168" s="36"/>
      <c r="CM168" s="44" t="s">
        <v>262</v>
      </c>
      <c r="CN168" s="19">
        <v>0</v>
      </c>
      <c r="CO168" s="31" t="s">
        <v>122</v>
      </c>
      <c r="CP168" s="31">
        <f>MAX(CN166:CN192)</f>
        <v>1</v>
      </c>
      <c r="CR168" s="36"/>
    </row>
    <row r="169" spans="7:96" x14ac:dyDescent="0.2">
      <c r="AE169" s="33"/>
      <c r="AF169" s="33"/>
      <c r="AG169" s="33"/>
      <c r="AH169" s="33"/>
      <c r="AJ169" s="34"/>
      <c r="AK169" s="54"/>
      <c r="AL169" s="33"/>
      <c r="AM169" s="24"/>
      <c r="AN169" s="24"/>
      <c r="AO169" s="24"/>
      <c r="AQ169" s="47"/>
      <c r="AR169" s="33"/>
      <c r="AS169" s="33"/>
      <c r="AT169" s="33"/>
      <c r="AU169" s="24"/>
      <c r="AW169" s="49"/>
      <c r="AX169" s="33"/>
      <c r="AY169" s="33"/>
      <c r="AZ169" s="33"/>
      <c r="BA169" s="24"/>
      <c r="BC169" s="43" t="s">
        <v>257</v>
      </c>
      <c r="BD169" s="19">
        <v>1</v>
      </c>
      <c r="BG169" s="24"/>
      <c r="BH169" s="34"/>
      <c r="BN169" s="34"/>
      <c r="BO169" s="38" t="s">
        <v>230</v>
      </c>
      <c r="BP169" s="33">
        <v>1</v>
      </c>
      <c r="BT169" s="34"/>
      <c r="BZ169" s="34"/>
      <c r="CF169" s="36"/>
      <c r="CL169" s="36"/>
      <c r="CM169" s="44" t="s">
        <v>266</v>
      </c>
      <c r="CN169" s="19">
        <v>0</v>
      </c>
      <c r="CO169" s="31" t="s">
        <v>129</v>
      </c>
      <c r="CP169" s="31">
        <f>VAR(CN166:CN192)</f>
        <v>0.25</v>
      </c>
      <c r="CR169" s="36"/>
    </row>
    <row r="170" spans="7:96" x14ac:dyDescent="0.2">
      <c r="AE170" s="33"/>
      <c r="AF170" s="33"/>
      <c r="AG170" s="33"/>
      <c r="AH170" s="33"/>
      <c r="AJ170" s="34"/>
      <c r="AK170" s="54"/>
      <c r="AL170" s="33"/>
      <c r="AM170" s="24"/>
      <c r="AN170" s="24"/>
      <c r="AO170" s="24"/>
      <c r="AQ170" s="47"/>
      <c r="AR170" s="33"/>
      <c r="AS170" s="33"/>
      <c r="AT170" s="33"/>
      <c r="AU170" s="24"/>
      <c r="AW170" s="49"/>
      <c r="AX170" s="33"/>
      <c r="AY170" s="33"/>
      <c r="AZ170" s="33"/>
      <c r="BA170" s="24"/>
      <c r="BC170" s="43" t="s">
        <v>260</v>
      </c>
      <c r="BD170" s="19">
        <v>3</v>
      </c>
      <c r="BG170" s="24"/>
      <c r="BH170" s="34"/>
      <c r="BI170" s="32" t="s">
        <v>274</v>
      </c>
      <c r="BJ170" s="19" t="s">
        <v>71</v>
      </c>
      <c r="BK170" s="31" t="s">
        <v>103</v>
      </c>
      <c r="BL170" s="31" t="s">
        <v>104</v>
      </c>
      <c r="BN170" s="34"/>
      <c r="BO170" s="38" t="s">
        <v>236</v>
      </c>
      <c r="BP170" s="33">
        <v>1</v>
      </c>
      <c r="BT170" s="34"/>
      <c r="BZ170" s="34"/>
      <c r="CF170" s="36"/>
      <c r="CL170" s="36"/>
      <c r="CO170" s="31" t="s">
        <v>138</v>
      </c>
      <c r="CP170" s="31">
        <f>AVERAGE(CN166:CN192)</f>
        <v>0.25</v>
      </c>
      <c r="CR170" s="36"/>
    </row>
    <row r="171" spans="7:96" x14ac:dyDescent="0.2">
      <c r="AE171" s="33"/>
      <c r="AF171" s="33"/>
      <c r="AG171" s="33"/>
      <c r="AH171" s="33"/>
      <c r="AJ171" s="34"/>
      <c r="AK171" s="54"/>
      <c r="AL171" s="33"/>
      <c r="AM171" s="24"/>
      <c r="AN171" s="24"/>
      <c r="AO171" s="24"/>
      <c r="AQ171" s="47"/>
      <c r="AR171" s="33"/>
      <c r="AS171" s="33"/>
      <c r="AT171" s="33"/>
      <c r="AU171" s="24"/>
      <c r="AW171" s="49"/>
      <c r="AX171" s="33"/>
      <c r="AY171" s="33"/>
      <c r="AZ171" s="33"/>
      <c r="BA171" s="24"/>
      <c r="BC171" s="43" t="s">
        <v>263</v>
      </c>
      <c r="BD171" s="19">
        <v>0</v>
      </c>
      <c r="BG171" s="24"/>
      <c r="BH171" s="34"/>
      <c r="BI171" s="43" t="s">
        <v>275</v>
      </c>
      <c r="BJ171" s="19">
        <v>0</v>
      </c>
      <c r="BK171" s="31" t="s">
        <v>106</v>
      </c>
      <c r="BL171" s="31">
        <f>SUM(BJ171:BJ193)</f>
        <v>6</v>
      </c>
      <c r="BN171" s="34"/>
      <c r="BO171" s="38" t="s">
        <v>241</v>
      </c>
      <c r="BP171" s="33">
        <v>0</v>
      </c>
      <c r="BT171" s="34"/>
      <c r="BZ171" s="34"/>
      <c r="CF171" s="36"/>
      <c r="CL171" s="36"/>
      <c r="CO171" s="31" t="s">
        <v>144</v>
      </c>
      <c r="CP171" s="31">
        <f>STDEV(CN166:CN192)</f>
        <v>0.5</v>
      </c>
      <c r="CR171" s="36"/>
    </row>
    <row r="172" spans="7:96" x14ac:dyDescent="0.2">
      <c r="AE172" s="24"/>
      <c r="AF172" s="33"/>
      <c r="AG172" s="24"/>
      <c r="AH172" s="24"/>
      <c r="AJ172" s="34"/>
      <c r="AK172" s="54"/>
      <c r="AL172" s="33"/>
      <c r="AM172" s="24"/>
      <c r="AN172" s="24"/>
      <c r="AO172" s="24"/>
      <c r="AQ172" s="24"/>
      <c r="AR172" s="24"/>
      <c r="AS172" s="24"/>
      <c r="AT172" s="24"/>
      <c r="AU172" s="24"/>
      <c r="AW172" s="49"/>
      <c r="AX172" s="33"/>
      <c r="AY172" s="33"/>
      <c r="AZ172" s="33"/>
      <c r="BA172" s="24"/>
      <c r="BC172" s="43" t="s">
        <v>267</v>
      </c>
      <c r="BD172" s="33">
        <v>0</v>
      </c>
      <c r="BE172" s="24"/>
      <c r="BF172" s="24"/>
      <c r="BG172" s="24"/>
      <c r="BH172" s="34"/>
      <c r="BI172" s="43" t="s">
        <v>276</v>
      </c>
      <c r="BJ172" s="19">
        <v>0</v>
      </c>
      <c r="BK172" s="31" t="s">
        <v>115</v>
      </c>
      <c r="BL172" s="31">
        <f>MIN(BJ171:BJ193)</f>
        <v>0</v>
      </c>
      <c r="BN172" s="34"/>
      <c r="BO172" s="38" t="s">
        <v>247</v>
      </c>
      <c r="BP172" s="33">
        <v>0</v>
      </c>
      <c r="BT172" s="34"/>
      <c r="BZ172" s="34"/>
      <c r="CF172" s="36"/>
      <c r="CL172" s="36"/>
      <c r="CR172" s="36"/>
    </row>
    <row r="173" spans="7:96" x14ac:dyDescent="0.2">
      <c r="AE173" s="24"/>
      <c r="AF173" s="33"/>
      <c r="AG173" s="24"/>
      <c r="AH173" s="24"/>
      <c r="AJ173" s="34"/>
      <c r="AK173" s="54"/>
      <c r="AL173" s="33"/>
      <c r="AM173" s="24"/>
      <c r="AN173" s="24"/>
      <c r="AO173" s="24"/>
      <c r="AQ173" s="24"/>
      <c r="AR173" s="24"/>
      <c r="AS173" s="24"/>
      <c r="AT173" s="24"/>
      <c r="AU173" s="24"/>
      <c r="AW173" s="25"/>
      <c r="AX173" s="33"/>
      <c r="AY173" s="24"/>
      <c r="AZ173" s="24"/>
      <c r="BA173" s="24"/>
      <c r="BC173" s="43" t="s">
        <v>270</v>
      </c>
      <c r="BD173" s="33">
        <v>0</v>
      </c>
      <c r="BE173" s="24"/>
      <c r="BF173" s="24"/>
      <c r="BG173" s="24"/>
      <c r="BH173" s="34"/>
      <c r="BI173" s="43" t="s">
        <v>277</v>
      </c>
      <c r="BJ173" s="19">
        <v>0</v>
      </c>
      <c r="BK173" s="31" t="s">
        <v>122</v>
      </c>
      <c r="BL173" s="31">
        <f>MAX(BJ171:BJ193)</f>
        <v>3</v>
      </c>
      <c r="BN173" s="34"/>
      <c r="BO173" s="38" t="s">
        <v>251</v>
      </c>
      <c r="BP173" s="33">
        <v>0</v>
      </c>
      <c r="BT173" s="34"/>
      <c r="BZ173" s="34"/>
      <c r="CF173" s="36"/>
      <c r="CL173" s="36"/>
      <c r="CR173" s="36"/>
    </row>
    <row r="174" spans="7:96" x14ac:dyDescent="0.2">
      <c r="AE174" s="24"/>
      <c r="AF174" s="33"/>
      <c r="AG174" s="24"/>
      <c r="AH174" s="24"/>
      <c r="AJ174" s="34"/>
      <c r="AK174" s="54"/>
      <c r="AL174" s="33"/>
      <c r="AM174" s="24"/>
      <c r="AN174" s="24"/>
      <c r="AO174" s="24"/>
      <c r="AQ174" s="33"/>
      <c r="AR174" s="24"/>
      <c r="AS174" s="24"/>
      <c r="AT174" s="24"/>
      <c r="AU174" s="24"/>
      <c r="AW174" s="49"/>
      <c r="AX174" s="33"/>
      <c r="AY174" s="24"/>
      <c r="AZ174" s="24"/>
      <c r="BA174" s="24"/>
      <c r="BC174" s="49"/>
      <c r="BD174" s="33"/>
      <c r="BE174" s="24"/>
      <c r="BF174" s="24"/>
      <c r="BG174" s="24"/>
      <c r="BH174" s="34"/>
      <c r="BI174" s="43" t="s">
        <v>278</v>
      </c>
      <c r="BJ174" s="19">
        <v>0</v>
      </c>
      <c r="BK174" s="31" t="s">
        <v>129</v>
      </c>
      <c r="BL174" s="31">
        <f>VAR(BJ171:BJ193)</f>
        <v>0.56521739130434778</v>
      </c>
      <c r="BN174" s="34"/>
      <c r="BT174" s="34"/>
      <c r="BZ174" s="34"/>
      <c r="CF174" s="36"/>
      <c r="CL174" s="36"/>
      <c r="CR174" s="36"/>
    </row>
    <row r="175" spans="7:96" x14ac:dyDescent="0.2">
      <c r="AE175" s="24"/>
      <c r="AF175" s="33"/>
      <c r="AG175" s="24"/>
      <c r="AH175" s="24"/>
      <c r="AJ175" s="34"/>
      <c r="AK175" s="54"/>
      <c r="AL175" s="33"/>
      <c r="AM175" s="24"/>
      <c r="AN175" s="24"/>
      <c r="AO175" s="24"/>
      <c r="AQ175" s="33"/>
      <c r="AR175" s="33"/>
      <c r="AS175" s="33"/>
      <c r="AT175" s="33"/>
      <c r="AU175" s="24"/>
      <c r="AW175" s="49"/>
      <c r="AX175" s="33"/>
      <c r="AY175" s="24"/>
      <c r="AZ175" s="24"/>
      <c r="BA175" s="24"/>
      <c r="BC175" s="49"/>
      <c r="BD175" s="33"/>
      <c r="BE175" s="24"/>
      <c r="BF175" s="24"/>
      <c r="BG175" s="24"/>
      <c r="BH175" s="34"/>
      <c r="BI175" s="43" t="s">
        <v>279</v>
      </c>
      <c r="BJ175" s="19">
        <v>0</v>
      </c>
      <c r="BK175" s="31" t="s">
        <v>138</v>
      </c>
      <c r="BL175" s="31">
        <f>AVERAGE(BJ171:BJ193)</f>
        <v>0.2608695652173913</v>
      </c>
      <c r="BN175" s="34"/>
      <c r="BT175" s="34"/>
      <c r="BZ175" s="34"/>
      <c r="CF175" s="36"/>
      <c r="CL175" s="36"/>
      <c r="CR175" s="36"/>
    </row>
    <row r="176" spans="7:96" x14ac:dyDescent="0.2">
      <c r="AE176" s="24"/>
      <c r="AF176" s="33"/>
      <c r="AG176" s="24"/>
      <c r="AH176" s="24"/>
      <c r="AJ176" s="34"/>
      <c r="AK176" s="54"/>
      <c r="AL176" s="33"/>
      <c r="AM176" s="24"/>
      <c r="AN176" s="24"/>
      <c r="AO176" s="24"/>
      <c r="AQ176" s="47"/>
      <c r="AR176" s="33"/>
      <c r="AS176" s="33"/>
      <c r="AT176" s="33"/>
      <c r="AU176" s="24"/>
      <c r="AW176" s="49"/>
      <c r="AX176" s="33"/>
      <c r="AY176" s="24"/>
      <c r="AZ176" s="24"/>
      <c r="BA176" s="24"/>
      <c r="BC176" s="49"/>
      <c r="BD176" s="33"/>
      <c r="BE176" s="24"/>
      <c r="BF176" s="24"/>
      <c r="BG176" s="24"/>
      <c r="BH176" s="34"/>
      <c r="BI176" s="43" t="s">
        <v>280</v>
      </c>
      <c r="BJ176" s="19">
        <v>0</v>
      </c>
      <c r="BK176" s="31" t="s">
        <v>144</v>
      </c>
      <c r="BL176" s="31">
        <f>STDEV(BJ171:BJ193)</f>
        <v>0.75180941155611225</v>
      </c>
      <c r="BN176" s="34"/>
      <c r="BO176" s="32" t="s">
        <v>162</v>
      </c>
      <c r="BP176" s="33" t="s">
        <v>71</v>
      </c>
      <c r="BQ176" s="31" t="s">
        <v>103</v>
      </c>
      <c r="BR176" s="31" t="s">
        <v>104</v>
      </c>
      <c r="BT176" s="34"/>
      <c r="BZ176" s="34"/>
      <c r="CF176" s="36"/>
      <c r="CL176" s="36"/>
      <c r="CR176" s="36"/>
    </row>
    <row r="177" spans="31:96" x14ac:dyDescent="0.2">
      <c r="AE177" s="24"/>
      <c r="AF177" s="33"/>
      <c r="AG177" s="24"/>
      <c r="AH177" s="24"/>
      <c r="AJ177" s="34"/>
      <c r="AK177" s="54"/>
      <c r="AL177" s="33"/>
      <c r="AM177" s="24"/>
      <c r="AN177" s="24"/>
      <c r="AO177" s="24"/>
      <c r="AQ177" s="47"/>
      <c r="AR177" s="33"/>
      <c r="AS177" s="33"/>
      <c r="AT177" s="33"/>
      <c r="AU177" s="24"/>
      <c r="AW177" s="49"/>
      <c r="AX177" s="33"/>
      <c r="AY177" s="24"/>
      <c r="AZ177" s="24"/>
      <c r="BA177" s="24"/>
      <c r="BC177" s="49"/>
      <c r="BD177" s="33"/>
      <c r="BE177" s="24"/>
      <c r="BF177" s="24"/>
      <c r="BG177" s="24"/>
      <c r="BH177" s="34"/>
      <c r="BI177" s="43" t="s">
        <v>281</v>
      </c>
      <c r="BJ177" s="19">
        <v>0</v>
      </c>
      <c r="BN177" s="34"/>
      <c r="BO177" s="38" t="s">
        <v>265</v>
      </c>
      <c r="BP177" s="33">
        <v>0</v>
      </c>
      <c r="BQ177" s="31" t="s">
        <v>106</v>
      </c>
      <c r="BR177" s="31">
        <f>SUM(BP177:BP181)</f>
        <v>1</v>
      </c>
      <c r="BT177" s="34"/>
      <c r="BZ177" s="34"/>
      <c r="CF177" s="36"/>
      <c r="CL177" s="36"/>
      <c r="CR177" s="36"/>
    </row>
    <row r="178" spans="31:96" x14ac:dyDescent="0.2">
      <c r="AE178" s="24"/>
      <c r="AF178" s="24"/>
      <c r="AG178" s="24"/>
      <c r="AH178" s="24"/>
      <c r="AJ178" s="34"/>
      <c r="AK178" s="33"/>
      <c r="AL178" s="33"/>
      <c r="AM178" s="24"/>
      <c r="AN178" s="24"/>
      <c r="AO178" s="24"/>
      <c r="AQ178" s="47"/>
      <c r="AR178" s="33"/>
      <c r="AS178" s="33"/>
      <c r="AT178" s="33"/>
      <c r="AU178" s="24"/>
      <c r="AW178" s="49"/>
      <c r="AX178" s="33"/>
      <c r="AY178" s="24"/>
      <c r="AZ178" s="24"/>
      <c r="BA178" s="24"/>
      <c r="BC178" s="49"/>
      <c r="BD178" s="33"/>
      <c r="BE178" s="24"/>
      <c r="BF178" s="24"/>
      <c r="BG178" s="24"/>
      <c r="BH178" s="34"/>
      <c r="BI178" s="43" t="s">
        <v>282</v>
      </c>
      <c r="BJ178" s="19">
        <v>1</v>
      </c>
      <c r="BN178" s="34"/>
      <c r="BO178" s="38" t="s">
        <v>269</v>
      </c>
      <c r="BP178" s="33">
        <v>0</v>
      </c>
      <c r="BQ178" s="31" t="s">
        <v>115</v>
      </c>
      <c r="BR178" s="31">
        <f>MIN(BP177:BP181)</f>
        <v>0</v>
      </c>
      <c r="BT178" s="34"/>
      <c r="BZ178" s="34"/>
      <c r="CF178" s="36"/>
      <c r="CL178" s="36"/>
      <c r="CR178" s="36"/>
    </row>
    <row r="179" spans="31:96" x14ac:dyDescent="0.2">
      <c r="AE179" s="24"/>
      <c r="AF179" s="24"/>
      <c r="AG179" s="24"/>
      <c r="AH179" s="24"/>
      <c r="AJ179" s="34"/>
      <c r="AK179" s="33"/>
      <c r="AL179" s="33"/>
      <c r="AM179" s="24"/>
      <c r="AN179" s="24"/>
      <c r="AO179" s="24"/>
      <c r="AQ179" s="47"/>
      <c r="AR179" s="33"/>
      <c r="AS179" s="33"/>
      <c r="AT179" s="33"/>
      <c r="AU179" s="24"/>
      <c r="AW179" s="49"/>
      <c r="AX179" s="33"/>
      <c r="AY179" s="24"/>
      <c r="AZ179" s="24"/>
      <c r="BA179" s="24"/>
      <c r="BC179" s="49"/>
      <c r="BD179" s="33"/>
      <c r="BE179" s="24"/>
      <c r="BF179" s="24"/>
      <c r="BG179" s="24"/>
      <c r="BH179" s="34"/>
      <c r="BI179" s="43" t="s">
        <v>283</v>
      </c>
      <c r="BJ179" s="19">
        <v>0</v>
      </c>
      <c r="BN179" s="34"/>
      <c r="BO179" s="38" t="s">
        <v>271</v>
      </c>
      <c r="BP179" s="33">
        <v>0</v>
      </c>
      <c r="BQ179" s="31" t="s">
        <v>122</v>
      </c>
      <c r="BR179" s="31">
        <f>MAX(BP177:BP181)</f>
        <v>1</v>
      </c>
      <c r="BT179" s="34"/>
      <c r="BZ179" s="34"/>
      <c r="CF179" s="36"/>
      <c r="CL179" s="36"/>
      <c r="CR179" s="36"/>
    </row>
    <row r="180" spans="31:96" x14ac:dyDescent="0.2">
      <c r="AE180" s="33"/>
      <c r="AF180" s="33"/>
      <c r="AG180" s="33"/>
      <c r="AH180" s="33"/>
      <c r="AJ180" s="34"/>
      <c r="AK180" s="33"/>
      <c r="AL180" s="33"/>
      <c r="AM180" s="33"/>
      <c r="AN180" s="33"/>
      <c r="AO180" s="24"/>
      <c r="AQ180" s="47"/>
      <c r="AR180" s="33"/>
      <c r="AS180" s="33"/>
      <c r="AT180" s="33"/>
      <c r="AU180" s="24"/>
      <c r="AW180" s="49"/>
      <c r="AX180" s="33"/>
      <c r="AY180" s="24"/>
      <c r="AZ180" s="24"/>
      <c r="BA180" s="24"/>
      <c r="BC180" s="49"/>
      <c r="BD180" s="33"/>
      <c r="BE180" s="24"/>
      <c r="BF180" s="24"/>
      <c r="BG180" s="24"/>
      <c r="BH180" s="34"/>
      <c r="BI180" s="43" t="s">
        <v>284</v>
      </c>
      <c r="BJ180" s="19">
        <v>0</v>
      </c>
      <c r="BN180" s="34"/>
      <c r="BO180" s="38" t="s">
        <v>272</v>
      </c>
      <c r="BP180" s="33">
        <v>1</v>
      </c>
      <c r="BQ180" s="31" t="s">
        <v>129</v>
      </c>
      <c r="BR180" s="31">
        <f>VAR(BP177:BP181)</f>
        <v>0.2</v>
      </c>
      <c r="BT180" s="34"/>
      <c r="BZ180" s="34"/>
      <c r="CF180" s="36"/>
      <c r="CL180" s="36"/>
      <c r="CR180" s="36"/>
    </row>
    <row r="181" spans="31:96" x14ac:dyDescent="0.2">
      <c r="AE181" s="33"/>
      <c r="AF181" s="33"/>
      <c r="AG181" s="33"/>
      <c r="AH181" s="33"/>
      <c r="AJ181" s="34"/>
      <c r="AK181" s="33"/>
      <c r="AL181" s="33"/>
      <c r="AM181" s="33"/>
      <c r="AN181" s="33"/>
      <c r="AO181" s="24"/>
      <c r="AQ181" s="47"/>
      <c r="AR181" s="33"/>
      <c r="AS181" s="33"/>
      <c r="AT181" s="33"/>
      <c r="AU181" s="24"/>
      <c r="AW181" s="49"/>
      <c r="AX181" s="33"/>
      <c r="AY181" s="24"/>
      <c r="AZ181" s="24"/>
      <c r="BA181" s="24"/>
      <c r="BC181" s="49"/>
      <c r="BD181" s="33"/>
      <c r="BE181" s="24"/>
      <c r="BF181" s="24"/>
      <c r="BG181" s="24"/>
      <c r="BH181" s="34"/>
      <c r="BI181" s="43" t="s">
        <v>119</v>
      </c>
      <c r="BJ181" s="19">
        <v>0</v>
      </c>
      <c r="BN181" s="34"/>
      <c r="BO181" s="38" t="s">
        <v>273</v>
      </c>
      <c r="BP181" s="33">
        <v>0</v>
      </c>
      <c r="BQ181" s="31" t="s">
        <v>138</v>
      </c>
      <c r="BR181" s="31">
        <f>AVERAGE(BP177:BP181)</f>
        <v>0.2</v>
      </c>
      <c r="BT181" s="34"/>
      <c r="BZ181" s="34"/>
      <c r="CF181" s="36"/>
      <c r="CL181" s="36"/>
      <c r="CR181" s="36"/>
    </row>
    <row r="182" spans="31:96" x14ac:dyDescent="0.2">
      <c r="AE182" s="33"/>
      <c r="AF182" s="33"/>
      <c r="AG182" s="33"/>
      <c r="AH182" s="33"/>
      <c r="AJ182" s="34"/>
      <c r="AK182" s="54"/>
      <c r="AL182" s="33"/>
      <c r="AM182" s="33"/>
      <c r="AN182" s="33"/>
      <c r="AO182" s="24"/>
      <c r="AQ182" s="47"/>
      <c r="AR182" s="33"/>
      <c r="AS182" s="33"/>
      <c r="AT182" s="33"/>
      <c r="AU182" s="24"/>
      <c r="AW182" s="49"/>
      <c r="AX182" s="33"/>
      <c r="AY182" s="24"/>
      <c r="AZ182" s="24"/>
      <c r="BA182" s="24"/>
      <c r="BC182" s="49"/>
      <c r="BD182" s="33"/>
      <c r="BE182" s="24"/>
      <c r="BF182" s="24"/>
      <c r="BG182" s="24"/>
      <c r="BH182" s="34"/>
      <c r="BI182" s="43" t="s">
        <v>211</v>
      </c>
      <c r="BJ182" s="19">
        <v>3</v>
      </c>
      <c r="BN182" s="34"/>
      <c r="BO182" s="38"/>
      <c r="BP182" s="33"/>
      <c r="BQ182" s="31" t="s">
        <v>144</v>
      </c>
      <c r="BR182" s="31">
        <f>STDEV(BP177:BP181)</f>
        <v>0.44721359549995793</v>
      </c>
      <c r="BT182" s="34"/>
      <c r="BZ182" s="34"/>
      <c r="CF182" s="36"/>
      <c r="CL182" s="36"/>
      <c r="CR182" s="36"/>
    </row>
    <row r="183" spans="31:96" x14ac:dyDescent="0.2">
      <c r="AE183" s="33"/>
      <c r="AF183" s="33"/>
      <c r="AG183" s="33"/>
      <c r="AH183" s="33"/>
      <c r="AJ183" s="34"/>
      <c r="AK183" s="54"/>
      <c r="AL183" s="33"/>
      <c r="AM183" s="33"/>
      <c r="AN183" s="33"/>
      <c r="AO183" s="24"/>
      <c r="AQ183" s="47"/>
      <c r="AR183" s="33"/>
      <c r="AS183" s="33"/>
      <c r="AT183" s="33"/>
      <c r="AU183" s="24"/>
      <c r="AW183" s="49"/>
      <c r="AX183" s="33"/>
      <c r="AY183" s="24"/>
      <c r="AZ183" s="24"/>
      <c r="BA183" s="24"/>
      <c r="BC183" s="49"/>
      <c r="BD183" s="33"/>
      <c r="BE183" s="24"/>
      <c r="BF183" s="24"/>
      <c r="BG183" s="24"/>
      <c r="BH183" s="34"/>
      <c r="BI183" s="43" t="s">
        <v>219</v>
      </c>
      <c r="BJ183" s="19">
        <v>2</v>
      </c>
      <c r="BN183" s="34"/>
      <c r="BT183" s="34"/>
      <c r="BZ183" s="34"/>
      <c r="CF183" s="36"/>
      <c r="CL183" s="36"/>
      <c r="CR183" s="36"/>
    </row>
    <row r="184" spans="31:96" x14ac:dyDescent="0.2">
      <c r="AE184" s="33"/>
      <c r="AF184" s="33"/>
      <c r="AG184" s="33"/>
      <c r="AH184" s="33"/>
      <c r="AJ184" s="34"/>
      <c r="AK184" s="25"/>
      <c r="AL184" s="33"/>
      <c r="AM184" s="33"/>
      <c r="AN184" s="33"/>
      <c r="AO184" s="24"/>
      <c r="AQ184" s="47"/>
      <c r="AR184" s="33"/>
      <c r="AS184" s="33"/>
      <c r="AT184" s="33"/>
      <c r="AU184" s="24"/>
      <c r="AW184" s="49"/>
      <c r="AX184" s="33"/>
      <c r="AY184" s="24"/>
      <c r="AZ184" s="24"/>
      <c r="BA184" s="24"/>
      <c r="BC184" s="49"/>
      <c r="BD184" s="33"/>
      <c r="BE184" s="24"/>
      <c r="BF184" s="24"/>
      <c r="BG184" s="24"/>
      <c r="BH184" s="34"/>
      <c r="BI184" s="43" t="s">
        <v>285</v>
      </c>
      <c r="BJ184" s="19">
        <v>0</v>
      </c>
      <c r="BN184" s="34"/>
      <c r="BT184" s="34"/>
      <c r="BZ184" s="34"/>
      <c r="CF184" s="36"/>
      <c r="CL184" s="36"/>
      <c r="CR184" s="36"/>
    </row>
    <row r="185" spans="31:96" x14ac:dyDescent="0.2">
      <c r="AE185" s="33"/>
      <c r="AF185" s="33"/>
      <c r="AG185" s="33"/>
      <c r="AH185" s="33"/>
      <c r="AJ185" s="34"/>
      <c r="AK185" s="54"/>
      <c r="AL185" s="33"/>
      <c r="AM185" s="33"/>
      <c r="AN185" s="33"/>
      <c r="AO185" s="24"/>
      <c r="AQ185" s="47"/>
      <c r="AR185" s="33"/>
      <c r="AS185" s="33"/>
      <c r="AT185" s="33"/>
      <c r="AU185" s="24"/>
      <c r="AW185" s="49"/>
      <c r="AX185" s="33"/>
      <c r="AY185" s="24"/>
      <c r="AZ185" s="24"/>
      <c r="BA185" s="24"/>
      <c r="BC185" s="49"/>
      <c r="BD185" s="33"/>
      <c r="BE185" s="24"/>
      <c r="BF185" s="24"/>
      <c r="BG185" s="24"/>
      <c r="BH185" s="34"/>
      <c r="BI185" s="43" t="s">
        <v>286</v>
      </c>
      <c r="BJ185" s="19">
        <v>0</v>
      </c>
      <c r="BN185" s="34"/>
      <c r="BT185" s="34"/>
      <c r="BZ185" s="34"/>
      <c r="CF185" s="36"/>
      <c r="CL185" s="36"/>
      <c r="CR185" s="36"/>
    </row>
    <row r="186" spans="31:96" x14ac:dyDescent="0.2">
      <c r="AE186" s="33"/>
      <c r="AF186" s="33"/>
      <c r="AG186" s="33"/>
      <c r="AH186" s="33"/>
      <c r="AJ186" s="34"/>
      <c r="AK186" s="54"/>
      <c r="AL186" s="33"/>
      <c r="AM186" s="33"/>
      <c r="AN186" s="33"/>
      <c r="AO186" s="24"/>
      <c r="AQ186" s="24"/>
      <c r="AR186" s="24"/>
      <c r="AS186" s="24"/>
      <c r="AT186" s="24"/>
      <c r="AU186" s="24"/>
      <c r="AW186" s="49"/>
      <c r="AX186" s="33"/>
      <c r="AY186" s="24"/>
      <c r="AZ186" s="24"/>
      <c r="BA186" s="24"/>
      <c r="BC186" s="49"/>
      <c r="BD186" s="33"/>
      <c r="BE186" s="24"/>
      <c r="BF186" s="24"/>
      <c r="BG186" s="24"/>
      <c r="BH186" s="34"/>
      <c r="BI186" s="43" t="s">
        <v>287</v>
      </c>
      <c r="BJ186" s="19">
        <v>0</v>
      </c>
      <c r="BN186" s="34"/>
      <c r="BT186" s="34"/>
      <c r="BZ186" s="34"/>
      <c r="CF186" s="36"/>
      <c r="CL186" s="36"/>
      <c r="CR186" s="36"/>
    </row>
    <row r="187" spans="31:96" x14ac:dyDescent="0.2">
      <c r="AE187" s="33"/>
      <c r="AF187" s="33"/>
      <c r="AG187" s="33"/>
      <c r="AH187" s="33"/>
      <c r="AJ187" s="34"/>
      <c r="AK187" s="54"/>
      <c r="AL187" s="33"/>
      <c r="AM187" s="33"/>
      <c r="AN187" s="33"/>
      <c r="AO187" s="24"/>
      <c r="AQ187" s="24"/>
      <c r="AR187" s="24"/>
      <c r="AS187" s="24"/>
      <c r="AT187" s="24"/>
      <c r="AU187" s="24"/>
      <c r="AW187" s="49"/>
      <c r="AX187" s="33"/>
      <c r="AY187" s="24"/>
      <c r="AZ187" s="24"/>
      <c r="BA187" s="24"/>
      <c r="BC187" s="49"/>
      <c r="BD187" s="33"/>
      <c r="BE187" s="24"/>
      <c r="BF187" s="24"/>
      <c r="BG187" s="24"/>
      <c r="BH187" s="34"/>
      <c r="BI187" s="43" t="s">
        <v>288</v>
      </c>
      <c r="BJ187" s="19">
        <v>0</v>
      </c>
      <c r="BN187" s="34"/>
      <c r="BT187" s="34"/>
      <c r="BZ187" s="34"/>
      <c r="CF187" s="36"/>
      <c r="CL187" s="36"/>
      <c r="CR187" s="36"/>
    </row>
    <row r="188" spans="31:96" x14ac:dyDescent="0.2">
      <c r="AE188" s="33"/>
      <c r="AF188" s="33"/>
      <c r="AG188" s="33"/>
      <c r="AH188" s="33"/>
      <c r="AJ188" s="34"/>
      <c r="AK188" s="54"/>
      <c r="AL188" s="33"/>
      <c r="AM188" s="33"/>
      <c r="AN188" s="33"/>
      <c r="AO188" s="24"/>
      <c r="AQ188" s="24"/>
      <c r="AR188" s="24"/>
      <c r="AS188" s="24"/>
      <c r="AT188" s="24"/>
      <c r="AU188" s="24"/>
      <c r="AW188" s="49"/>
      <c r="AX188" s="33"/>
      <c r="AY188" s="24"/>
      <c r="AZ188" s="24"/>
      <c r="BA188" s="24"/>
      <c r="BC188" s="49"/>
      <c r="BD188" s="33"/>
      <c r="BE188" s="24"/>
      <c r="BF188" s="24"/>
      <c r="BG188" s="24"/>
      <c r="BH188" s="34"/>
      <c r="BI188" s="43" t="s">
        <v>289</v>
      </c>
      <c r="BJ188" s="19">
        <v>0</v>
      </c>
      <c r="BN188" s="34"/>
      <c r="BT188" s="34"/>
      <c r="BZ188" s="34"/>
      <c r="CF188" s="36"/>
      <c r="CL188" s="36"/>
      <c r="CR188" s="36"/>
    </row>
    <row r="189" spans="31:96" x14ac:dyDescent="0.2">
      <c r="AE189" s="33"/>
      <c r="AF189" s="33"/>
      <c r="AG189" s="33"/>
      <c r="AH189" s="33"/>
      <c r="AJ189" s="34"/>
      <c r="AK189" s="54"/>
      <c r="AL189" s="33"/>
      <c r="AM189" s="33"/>
      <c r="AN189" s="33"/>
      <c r="AO189" s="24"/>
      <c r="AQ189" s="24"/>
      <c r="AR189" s="24"/>
      <c r="AS189" s="24"/>
      <c r="AT189" s="24"/>
      <c r="AU189" s="24"/>
      <c r="AW189" s="49"/>
      <c r="AX189" s="33"/>
      <c r="AY189" s="24"/>
      <c r="AZ189" s="24"/>
      <c r="BA189" s="24"/>
      <c r="BC189" s="49"/>
      <c r="BD189" s="33"/>
      <c r="BE189" s="24"/>
      <c r="BF189" s="24"/>
      <c r="BG189" s="24"/>
      <c r="BH189" s="34"/>
      <c r="BI189" s="43" t="s">
        <v>290</v>
      </c>
      <c r="BJ189" s="19">
        <v>0</v>
      </c>
      <c r="BN189" s="34"/>
      <c r="BT189" s="34"/>
      <c r="BZ189" s="34"/>
      <c r="CF189" s="36"/>
      <c r="CL189" s="36"/>
      <c r="CR189" s="36"/>
    </row>
    <row r="190" spans="31:96" x14ac:dyDescent="0.2">
      <c r="AE190" s="33"/>
      <c r="AF190" s="33"/>
      <c r="AG190" s="33"/>
      <c r="AH190" s="33"/>
      <c r="AJ190" s="34"/>
      <c r="AK190" s="54"/>
      <c r="AL190" s="33"/>
      <c r="AM190" s="33"/>
      <c r="AN190" s="33"/>
      <c r="AO190" s="24"/>
      <c r="AQ190" s="24"/>
      <c r="AR190" s="24"/>
      <c r="AS190" s="24"/>
      <c r="AT190" s="24"/>
      <c r="AU190" s="24"/>
      <c r="AW190" s="49"/>
      <c r="AX190" s="33"/>
      <c r="AY190" s="24"/>
      <c r="AZ190" s="24"/>
      <c r="BA190" s="24"/>
      <c r="BC190" s="49"/>
      <c r="BD190" s="33"/>
      <c r="BE190" s="24"/>
      <c r="BF190" s="24"/>
      <c r="BG190" s="24"/>
      <c r="BH190" s="34"/>
      <c r="BI190" s="43" t="s">
        <v>291</v>
      </c>
      <c r="BJ190" s="19">
        <v>0</v>
      </c>
      <c r="BK190" s="31"/>
      <c r="BL190" s="31"/>
      <c r="BN190" s="34"/>
      <c r="BT190" s="34"/>
      <c r="BZ190" s="34"/>
      <c r="CF190" s="36"/>
      <c r="CL190" s="36"/>
      <c r="CR190" s="36"/>
    </row>
    <row r="191" spans="31:96" x14ac:dyDescent="0.2">
      <c r="AE191" s="33"/>
      <c r="AF191" s="33"/>
      <c r="AG191" s="33"/>
      <c r="AH191" s="33"/>
      <c r="AJ191" s="34"/>
      <c r="AK191" s="54"/>
      <c r="AL191" s="33"/>
      <c r="AM191" s="33"/>
      <c r="AN191" s="33"/>
      <c r="AO191" s="24"/>
      <c r="AQ191" s="24"/>
      <c r="AR191" s="24"/>
      <c r="AS191" s="24"/>
      <c r="AT191" s="24"/>
      <c r="AU191" s="24"/>
      <c r="AW191" s="49"/>
      <c r="AX191" s="33"/>
      <c r="AY191" s="24"/>
      <c r="AZ191" s="24"/>
      <c r="BA191" s="24"/>
      <c r="BC191" s="49"/>
      <c r="BD191" s="33"/>
      <c r="BE191" s="24"/>
      <c r="BF191" s="24"/>
      <c r="BG191" s="24"/>
      <c r="BH191" s="34"/>
      <c r="BI191" s="43" t="s">
        <v>292</v>
      </c>
      <c r="BJ191" s="19">
        <v>0</v>
      </c>
      <c r="BN191" s="34"/>
      <c r="BT191" s="34"/>
      <c r="BZ191" s="34"/>
      <c r="CF191" s="36"/>
      <c r="CL191" s="36"/>
      <c r="CR191" s="36"/>
    </row>
    <row r="192" spans="31:96" x14ac:dyDescent="0.2">
      <c r="AE192" s="24"/>
      <c r="AF192" s="33"/>
      <c r="AG192" s="24"/>
      <c r="AH192" s="24"/>
      <c r="AJ192" s="34"/>
      <c r="AK192" s="54"/>
      <c r="AL192" s="33"/>
      <c r="AM192" s="33"/>
      <c r="AN192" s="33"/>
      <c r="AO192" s="24"/>
      <c r="AQ192" s="24"/>
      <c r="AR192" s="24"/>
      <c r="AS192" s="24"/>
      <c r="AT192" s="24"/>
      <c r="AU192" s="24"/>
      <c r="AW192" s="49"/>
      <c r="AX192" s="33"/>
      <c r="AY192" s="24"/>
      <c r="AZ192" s="24"/>
      <c r="BA192" s="24"/>
      <c r="BC192" s="49"/>
      <c r="BD192" s="33"/>
      <c r="BE192" s="24"/>
      <c r="BF192" s="24"/>
      <c r="BG192" s="24"/>
      <c r="BH192" s="34"/>
      <c r="BI192" s="43" t="s">
        <v>293</v>
      </c>
      <c r="BJ192" s="19">
        <v>0</v>
      </c>
      <c r="BN192" s="34"/>
      <c r="BT192" s="34"/>
      <c r="BZ192" s="34"/>
      <c r="CF192" s="36"/>
      <c r="CL192" s="36"/>
      <c r="CR192" s="36"/>
    </row>
    <row r="193" spans="31:96" x14ac:dyDescent="0.2">
      <c r="AE193" s="24"/>
      <c r="AF193" s="33"/>
      <c r="AG193" s="24"/>
      <c r="AH193" s="24"/>
      <c r="AJ193" s="34"/>
      <c r="AK193" s="54"/>
      <c r="AL193" s="33"/>
      <c r="AM193" s="33"/>
      <c r="AN193" s="33"/>
      <c r="AO193" s="24"/>
      <c r="AQ193" s="24"/>
      <c r="AR193" s="24"/>
      <c r="AS193" s="24"/>
      <c r="AT193" s="24"/>
      <c r="AU193" s="24"/>
      <c r="AW193" s="49"/>
      <c r="AX193" s="33"/>
      <c r="AY193" s="24"/>
      <c r="AZ193" s="24"/>
      <c r="BA193" s="24"/>
      <c r="BC193" s="49"/>
      <c r="BD193" s="33"/>
      <c r="BE193" s="24"/>
      <c r="BF193" s="24"/>
      <c r="BG193" s="24"/>
      <c r="BH193" s="34"/>
      <c r="BI193" s="43" t="s">
        <v>294</v>
      </c>
      <c r="BJ193" s="19">
        <v>0</v>
      </c>
      <c r="BN193" s="34"/>
      <c r="BT193" s="34"/>
      <c r="BZ193" s="34"/>
      <c r="CF193" s="36"/>
      <c r="CL193" s="36"/>
      <c r="CR193" s="36"/>
    </row>
    <row r="194" spans="31:96" x14ac:dyDescent="0.2">
      <c r="AE194" s="24"/>
      <c r="AF194" s="33"/>
      <c r="AG194" s="24"/>
      <c r="AH194" s="24"/>
      <c r="AJ194" s="34"/>
      <c r="AK194" s="54"/>
      <c r="AL194" s="33"/>
      <c r="AM194" s="24"/>
      <c r="AN194" s="24"/>
      <c r="AO194" s="24"/>
      <c r="AQ194" s="24"/>
      <c r="AR194" s="24"/>
      <c r="AS194" s="24"/>
      <c r="AT194" s="24"/>
      <c r="AU194" s="24"/>
      <c r="AW194" s="49"/>
      <c r="AX194" s="33"/>
      <c r="AY194" s="24"/>
      <c r="AZ194" s="24"/>
      <c r="BA194" s="24"/>
      <c r="BC194" s="49"/>
      <c r="BD194" s="33"/>
      <c r="BE194" s="24"/>
      <c r="BF194" s="24"/>
      <c r="BG194" s="24"/>
      <c r="BH194" s="34"/>
      <c r="BN194" s="34"/>
      <c r="BT194" s="34"/>
      <c r="BZ194" s="34"/>
      <c r="CF194" s="36"/>
      <c r="CL194" s="36"/>
      <c r="CR194" s="36"/>
    </row>
    <row r="195" spans="31:96" x14ac:dyDescent="0.2">
      <c r="AE195" s="24"/>
      <c r="AF195" s="33"/>
      <c r="AG195" s="24"/>
      <c r="AH195" s="24"/>
      <c r="AJ195" s="34"/>
      <c r="AK195" s="54"/>
      <c r="AL195" s="33"/>
      <c r="AM195" s="24"/>
      <c r="AN195" s="24"/>
      <c r="AO195" s="24"/>
      <c r="AQ195" s="24"/>
      <c r="AR195" s="24"/>
      <c r="AS195" s="24"/>
      <c r="AT195" s="24"/>
      <c r="AU195" s="24"/>
      <c r="AW195" s="49"/>
      <c r="AX195" s="33"/>
      <c r="AY195" s="24"/>
      <c r="AZ195" s="24"/>
      <c r="BA195" s="24"/>
      <c r="BC195" s="49"/>
      <c r="BD195" s="33"/>
      <c r="BE195" s="24"/>
      <c r="BF195" s="24"/>
      <c r="BG195" s="24"/>
      <c r="BH195" s="34"/>
      <c r="BN195" s="34"/>
      <c r="BT195" s="34"/>
      <c r="BZ195" s="34"/>
      <c r="CF195" s="36"/>
      <c r="CL195" s="36"/>
      <c r="CR195" s="36"/>
    </row>
    <row r="196" spans="31:96" x14ac:dyDescent="0.2">
      <c r="AE196" s="24"/>
      <c r="AF196" s="33"/>
      <c r="AG196" s="24"/>
      <c r="AH196" s="24"/>
      <c r="AJ196" s="34"/>
      <c r="AK196" s="54"/>
      <c r="AL196" s="33"/>
      <c r="AM196" s="24"/>
      <c r="AN196" s="24"/>
      <c r="AO196" s="24"/>
      <c r="AQ196" s="24"/>
      <c r="AR196" s="24"/>
      <c r="AS196" s="24"/>
      <c r="AT196" s="24"/>
      <c r="AU196" s="24"/>
      <c r="AW196" s="49"/>
      <c r="AX196" s="33"/>
      <c r="AY196" s="24"/>
      <c r="AZ196" s="24"/>
      <c r="BA196" s="24"/>
      <c r="BC196" s="49"/>
      <c r="BD196" s="33"/>
      <c r="BE196" s="24"/>
      <c r="BF196" s="24"/>
      <c r="BG196" s="24"/>
      <c r="BH196" s="34"/>
      <c r="BI196" s="31" t="s">
        <v>25</v>
      </c>
      <c r="BN196" s="34"/>
      <c r="BT196" s="34"/>
      <c r="BZ196" s="34"/>
      <c r="CF196" s="36"/>
      <c r="CL196" s="36"/>
      <c r="CR196" s="36"/>
    </row>
    <row r="197" spans="31:96" x14ac:dyDescent="0.2">
      <c r="AE197" s="24"/>
      <c r="AF197" s="33"/>
      <c r="AG197" s="24"/>
      <c r="AH197" s="24"/>
      <c r="AJ197" s="34"/>
      <c r="AK197" s="54"/>
      <c r="AL197" s="33"/>
      <c r="AM197" s="24"/>
      <c r="AN197" s="24"/>
      <c r="AO197" s="24"/>
      <c r="AQ197" s="24"/>
      <c r="AR197" s="24"/>
      <c r="AS197" s="24"/>
      <c r="AT197" s="24"/>
      <c r="AU197" s="24"/>
      <c r="AW197" s="49"/>
      <c r="AX197" s="33"/>
      <c r="AY197" s="24"/>
      <c r="AZ197" s="24"/>
      <c r="BA197" s="24"/>
      <c r="BC197" s="49"/>
      <c r="BD197" s="33"/>
      <c r="BE197" s="24"/>
      <c r="BF197" s="24"/>
      <c r="BG197" s="24"/>
      <c r="BH197" s="34"/>
      <c r="BI197" s="31" t="s">
        <v>102</v>
      </c>
      <c r="BJ197" s="31" t="s">
        <v>71</v>
      </c>
      <c r="BK197" s="31" t="s">
        <v>103</v>
      </c>
      <c r="BL197" s="31" t="s">
        <v>104</v>
      </c>
      <c r="BN197" s="34"/>
      <c r="BT197" s="34"/>
      <c r="BZ197" s="34"/>
      <c r="CF197" s="36"/>
      <c r="CL197" s="36"/>
      <c r="CR197" s="36"/>
    </row>
    <row r="198" spans="31:96" x14ac:dyDescent="0.2">
      <c r="AE198" s="24"/>
      <c r="AF198" s="24"/>
      <c r="AG198" s="24"/>
      <c r="AH198" s="24"/>
      <c r="AJ198" s="34"/>
      <c r="AK198" s="54"/>
      <c r="AL198" s="33"/>
      <c r="AM198" s="24"/>
      <c r="AN198" s="24"/>
      <c r="AO198" s="24"/>
      <c r="AQ198" s="24"/>
      <c r="AR198" s="24"/>
      <c r="AS198" s="24"/>
      <c r="AT198" s="24"/>
      <c r="AU198" s="24"/>
      <c r="AW198" s="49"/>
      <c r="AX198" s="33"/>
      <c r="AY198" s="24"/>
      <c r="AZ198" s="24"/>
      <c r="BA198" s="24"/>
      <c r="BC198" s="49"/>
      <c r="BD198" s="33"/>
      <c r="BE198" s="24"/>
      <c r="BF198" s="24"/>
      <c r="BG198" s="24"/>
      <c r="BH198" s="34"/>
      <c r="BI198" s="43" t="s">
        <v>109</v>
      </c>
      <c r="BJ198" s="19">
        <v>0</v>
      </c>
      <c r="BK198" s="31" t="s">
        <v>106</v>
      </c>
      <c r="BL198" s="31">
        <f>SUM(BJ198:BJ203)</f>
        <v>1</v>
      </c>
      <c r="BN198" s="34"/>
      <c r="BT198" s="34"/>
      <c r="BZ198" s="34"/>
      <c r="CF198" s="36"/>
      <c r="CL198" s="36"/>
      <c r="CR198" s="36"/>
    </row>
    <row r="199" spans="31:96" x14ac:dyDescent="0.2">
      <c r="AE199" s="24"/>
      <c r="AF199" s="24"/>
      <c r="AG199" s="24"/>
      <c r="AH199" s="24"/>
      <c r="AJ199" s="34"/>
      <c r="AK199" s="54"/>
      <c r="AL199" s="33"/>
      <c r="AM199" s="24"/>
      <c r="AN199" s="24"/>
      <c r="AO199" s="24"/>
      <c r="AQ199" s="24"/>
      <c r="AR199" s="24"/>
      <c r="AS199" s="24"/>
      <c r="AT199" s="24"/>
      <c r="AU199" s="24"/>
      <c r="AW199" s="49"/>
      <c r="AX199" s="33"/>
      <c r="AY199" s="24"/>
      <c r="AZ199" s="24"/>
      <c r="BA199" s="24"/>
      <c r="BC199" s="49"/>
      <c r="BD199" s="33"/>
      <c r="BE199" s="24"/>
      <c r="BF199" s="24"/>
      <c r="BG199" s="24"/>
      <c r="BH199" s="34"/>
      <c r="BI199" s="43" t="s">
        <v>117</v>
      </c>
      <c r="BJ199" s="19">
        <v>0</v>
      </c>
      <c r="BK199" s="31" t="s">
        <v>115</v>
      </c>
      <c r="BL199" s="31">
        <f>MIN(BJ198:BJ203)</f>
        <v>0</v>
      </c>
      <c r="BN199" s="34"/>
      <c r="BT199" s="34"/>
      <c r="BZ199" s="34"/>
      <c r="CF199" s="36"/>
      <c r="CL199" s="36"/>
      <c r="CR199" s="36"/>
    </row>
    <row r="200" spans="31:96" x14ac:dyDescent="0.2">
      <c r="AE200" s="33"/>
      <c r="AF200" s="33"/>
      <c r="AG200" s="33"/>
      <c r="AH200" s="33"/>
      <c r="AJ200" s="34"/>
      <c r="AK200" s="54"/>
      <c r="AL200" s="33"/>
      <c r="AM200" s="24"/>
      <c r="AN200" s="24"/>
      <c r="AO200" s="24"/>
      <c r="AQ200" s="24"/>
      <c r="AR200" s="24"/>
      <c r="AS200" s="24"/>
      <c r="AT200" s="24"/>
      <c r="AU200" s="24"/>
      <c r="AW200" s="49"/>
      <c r="AX200" s="33"/>
      <c r="AY200" s="24"/>
      <c r="AZ200" s="24"/>
      <c r="BA200" s="24"/>
      <c r="BC200" s="49"/>
      <c r="BD200" s="33"/>
      <c r="BE200" s="24"/>
      <c r="BF200" s="24"/>
      <c r="BG200" s="24"/>
      <c r="BH200" s="34"/>
      <c r="BI200" s="43" t="s">
        <v>124</v>
      </c>
      <c r="BJ200" s="19">
        <v>0</v>
      </c>
      <c r="BK200" s="31" t="s">
        <v>122</v>
      </c>
      <c r="BL200" s="31">
        <f>MAX(BJ198:BJ203)</f>
        <v>1</v>
      </c>
      <c r="BN200" s="34"/>
      <c r="BT200" s="34"/>
      <c r="BZ200" s="34"/>
      <c r="CF200" s="36"/>
      <c r="CL200" s="36"/>
      <c r="CR200" s="36"/>
    </row>
    <row r="201" spans="31:96" x14ac:dyDescent="0.2">
      <c r="AE201" s="33"/>
      <c r="AF201" s="33"/>
      <c r="AG201" s="33"/>
      <c r="AH201" s="33"/>
      <c r="AJ201" s="34"/>
      <c r="AK201" s="54"/>
      <c r="AL201" s="33"/>
      <c r="AM201" s="24"/>
      <c r="AN201" s="24"/>
      <c r="AO201" s="24"/>
      <c r="AQ201" s="24"/>
      <c r="AR201" s="24"/>
      <c r="AS201" s="24"/>
      <c r="AT201" s="24"/>
      <c r="AU201" s="24"/>
      <c r="AW201" s="49"/>
      <c r="AX201" s="33"/>
      <c r="AY201" s="24"/>
      <c r="AZ201" s="24"/>
      <c r="BA201" s="24"/>
      <c r="BC201" s="49"/>
      <c r="BD201" s="33"/>
      <c r="BE201" s="24"/>
      <c r="BF201" s="24"/>
      <c r="BG201" s="24"/>
      <c r="BH201" s="34"/>
      <c r="BI201" s="43" t="s">
        <v>133</v>
      </c>
      <c r="BJ201" s="19">
        <v>0</v>
      </c>
      <c r="BK201" s="31" t="s">
        <v>129</v>
      </c>
      <c r="BL201" s="31">
        <f>VAR(BJ198:BJ203)</f>
        <v>0.16666666666666669</v>
      </c>
      <c r="BN201" s="34"/>
      <c r="BT201" s="34"/>
      <c r="BZ201" s="34"/>
      <c r="CF201" s="36"/>
      <c r="CL201" s="36"/>
      <c r="CR201" s="36"/>
    </row>
    <row r="202" spans="31:96" x14ac:dyDescent="0.2">
      <c r="AE202" s="33"/>
      <c r="AF202" s="33"/>
      <c r="AG202" s="33"/>
      <c r="AH202" s="33"/>
      <c r="AJ202" s="34"/>
      <c r="AK202" s="54"/>
      <c r="AL202" s="33"/>
      <c r="AM202" s="24"/>
      <c r="AN202" s="24"/>
      <c r="AO202" s="24"/>
      <c r="AQ202" s="24"/>
      <c r="AR202" s="24"/>
      <c r="AS202" s="24"/>
      <c r="AT202" s="24"/>
      <c r="AU202" s="24"/>
      <c r="AW202" s="49"/>
      <c r="AX202" s="33"/>
      <c r="AY202" s="24"/>
      <c r="AZ202" s="24"/>
      <c r="BA202" s="24"/>
      <c r="BC202" s="49"/>
      <c r="BD202" s="33"/>
      <c r="BE202" s="24"/>
      <c r="BF202" s="24"/>
      <c r="BG202" s="24"/>
      <c r="BH202" s="34"/>
      <c r="BI202" s="43" t="s">
        <v>140</v>
      </c>
      <c r="BJ202" s="19">
        <v>1</v>
      </c>
      <c r="BK202" s="31" t="s">
        <v>138</v>
      </c>
      <c r="BL202" s="31">
        <f>AVERAGE(BJ198:BJ203)</f>
        <v>0.16666666666666666</v>
      </c>
      <c r="BN202" s="34"/>
      <c r="BT202" s="34"/>
      <c r="BZ202" s="34"/>
      <c r="CF202" s="36"/>
      <c r="CL202" s="36"/>
      <c r="CR202" s="36"/>
    </row>
    <row r="203" spans="31:96" x14ac:dyDescent="0.2">
      <c r="AE203" s="33"/>
      <c r="AF203" s="33"/>
      <c r="AG203" s="33"/>
      <c r="AH203" s="33"/>
      <c r="AJ203" s="34"/>
      <c r="AK203" s="54"/>
      <c r="AL203" s="33"/>
      <c r="AM203" s="24"/>
      <c r="AN203" s="24"/>
      <c r="AO203" s="24"/>
      <c r="AQ203" s="24"/>
      <c r="AR203" s="24"/>
      <c r="AS203" s="24"/>
      <c r="AT203" s="24"/>
      <c r="AU203" s="24"/>
      <c r="AW203" s="49"/>
      <c r="AX203" s="33"/>
      <c r="AY203" s="24"/>
      <c r="AZ203" s="24"/>
      <c r="BA203" s="24"/>
      <c r="BC203" s="49"/>
      <c r="BD203" s="33"/>
      <c r="BE203" s="24"/>
      <c r="BF203" s="24"/>
      <c r="BG203" s="24"/>
      <c r="BH203" s="34"/>
      <c r="BI203" s="43" t="s">
        <v>145</v>
      </c>
      <c r="BJ203" s="19">
        <v>0</v>
      </c>
      <c r="BK203" s="31" t="s">
        <v>144</v>
      </c>
      <c r="BL203" s="31">
        <f>STDEV(BJ198:BJ203)</f>
        <v>0.40824829046386302</v>
      </c>
      <c r="BN203" s="34"/>
      <c r="BT203" s="34"/>
      <c r="BZ203" s="34"/>
      <c r="CF203" s="36"/>
      <c r="CL203" s="36"/>
      <c r="CR203" s="36"/>
    </row>
    <row r="204" spans="31:96" x14ac:dyDescent="0.2">
      <c r="AE204" s="33"/>
      <c r="AF204" s="33"/>
      <c r="AG204" s="33"/>
      <c r="AH204" s="33"/>
      <c r="AJ204" s="34"/>
      <c r="AK204" s="54"/>
      <c r="AL204" s="33"/>
      <c r="AM204" s="24"/>
      <c r="AN204" s="24"/>
      <c r="AO204" s="24"/>
      <c r="AQ204" s="24"/>
      <c r="AR204" s="24"/>
      <c r="AS204" s="24"/>
      <c r="AT204" s="24"/>
      <c r="AU204" s="24"/>
      <c r="AW204" s="49"/>
      <c r="AX204" s="33"/>
      <c r="AY204" s="24"/>
      <c r="AZ204" s="24"/>
      <c r="BA204" s="24"/>
      <c r="BC204" s="49"/>
      <c r="BD204" s="33"/>
      <c r="BE204" s="24"/>
      <c r="BF204" s="24"/>
      <c r="BG204" s="24"/>
      <c r="BH204" s="34"/>
      <c r="BI204" s="43"/>
      <c r="BK204" s="31"/>
      <c r="BL204" s="31"/>
      <c r="BN204" s="34"/>
      <c r="BT204" s="34"/>
      <c r="BZ204" s="34"/>
      <c r="CF204" s="36"/>
      <c r="CL204" s="36"/>
      <c r="CR204" s="36"/>
    </row>
    <row r="205" spans="31:96" x14ac:dyDescent="0.2">
      <c r="AE205" s="33"/>
      <c r="AF205" s="33"/>
      <c r="AG205" s="33"/>
      <c r="AH205" s="33"/>
      <c r="AJ205" s="34"/>
      <c r="AK205" s="54"/>
      <c r="AL205" s="33"/>
      <c r="AM205" s="24"/>
      <c r="AN205" s="24"/>
      <c r="AO205" s="24"/>
      <c r="AQ205" s="24"/>
      <c r="AR205" s="24"/>
      <c r="AS205" s="24"/>
      <c r="AT205" s="24"/>
      <c r="AU205" s="24"/>
      <c r="AW205" s="49"/>
      <c r="AX205" s="33"/>
      <c r="AY205" s="24"/>
      <c r="AZ205" s="24"/>
      <c r="BA205" s="24"/>
      <c r="BC205" s="49"/>
      <c r="BD205" s="33"/>
      <c r="BE205" s="24"/>
      <c r="BF205" s="24"/>
      <c r="BG205" s="24"/>
      <c r="BH205" s="34"/>
      <c r="BI205" s="43"/>
      <c r="BK205" s="31"/>
      <c r="BL205" s="31"/>
      <c r="BN205" s="34"/>
      <c r="BT205" s="34"/>
      <c r="BZ205" s="34"/>
      <c r="CF205" s="36"/>
      <c r="CL205" s="36"/>
      <c r="CR205" s="36"/>
    </row>
    <row r="206" spans="31:96" x14ac:dyDescent="0.2">
      <c r="AE206" s="33"/>
      <c r="AF206" s="33"/>
      <c r="AG206" s="33"/>
      <c r="AH206" s="33"/>
      <c r="AJ206" s="34"/>
      <c r="AK206" s="54"/>
      <c r="AL206" s="33"/>
      <c r="AM206" s="24"/>
      <c r="AN206" s="24"/>
      <c r="AO206" s="24"/>
      <c r="AQ206" s="24"/>
      <c r="AR206" s="24"/>
      <c r="AS206" s="24"/>
      <c r="AT206" s="24"/>
      <c r="AU206" s="24"/>
      <c r="AW206" s="25"/>
      <c r="AX206" s="33"/>
      <c r="AY206" s="24"/>
      <c r="AZ206" s="24"/>
      <c r="BA206" s="24"/>
      <c r="BC206" s="25"/>
      <c r="BD206" s="33"/>
      <c r="BE206" s="24"/>
      <c r="BF206" s="24"/>
      <c r="BG206" s="24"/>
      <c r="BH206" s="34"/>
      <c r="BI206" s="32" t="s">
        <v>162</v>
      </c>
      <c r="BJ206" s="31" t="s">
        <v>71</v>
      </c>
      <c r="BK206" s="31" t="s">
        <v>103</v>
      </c>
      <c r="BL206" s="31" t="s">
        <v>104</v>
      </c>
      <c r="BN206" s="34"/>
      <c r="BT206" s="34"/>
      <c r="BZ206" s="34"/>
      <c r="CF206" s="36"/>
      <c r="CL206" s="36"/>
      <c r="CR206" s="36"/>
    </row>
    <row r="207" spans="31:96" x14ac:dyDescent="0.2">
      <c r="AE207" s="33"/>
      <c r="AF207" s="33"/>
      <c r="AG207" s="33"/>
      <c r="AH207" s="33"/>
      <c r="AJ207" s="34"/>
      <c r="AK207" s="24"/>
      <c r="AL207" s="24"/>
      <c r="AM207" s="24"/>
      <c r="AN207" s="24"/>
      <c r="AO207" s="24"/>
      <c r="AQ207" s="24"/>
      <c r="AR207" s="24"/>
      <c r="AS207" s="24"/>
      <c r="AT207" s="24"/>
      <c r="AU207" s="24"/>
      <c r="AW207" s="25"/>
      <c r="AX207" s="33"/>
      <c r="AY207" s="24"/>
      <c r="AZ207" s="24"/>
      <c r="BA207" s="24"/>
      <c r="BC207" s="25"/>
      <c r="BD207" s="33"/>
      <c r="BE207" s="24"/>
      <c r="BF207" s="24"/>
      <c r="BG207" s="24"/>
      <c r="BH207" s="34"/>
      <c r="BI207" s="43" t="s">
        <v>114</v>
      </c>
      <c r="BJ207" s="19">
        <v>0</v>
      </c>
      <c r="BK207" s="31" t="s">
        <v>106</v>
      </c>
      <c r="BL207" s="31">
        <f>SUM(BJ207:BJ221)</f>
        <v>5</v>
      </c>
      <c r="BN207" s="34"/>
      <c r="BT207" s="34"/>
      <c r="BZ207" s="34"/>
      <c r="CF207" s="36"/>
      <c r="CL207" s="36"/>
      <c r="CR207" s="36"/>
    </row>
    <row r="208" spans="31:96" x14ac:dyDescent="0.2">
      <c r="AE208" s="33"/>
      <c r="AF208" s="33"/>
      <c r="AG208" s="33"/>
      <c r="AH208" s="33"/>
      <c r="AJ208" s="34"/>
      <c r="AK208" s="24"/>
      <c r="AL208" s="24"/>
      <c r="AM208" s="24"/>
      <c r="AN208" s="24"/>
      <c r="AO208" s="24"/>
      <c r="AQ208" s="24"/>
      <c r="AR208" s="24"/>
      <c r="AS208" s="24"/>
      <c r="AT208" s="24"/>
      <c r="AU208" s="24"/>
      <c r="AW208" s="25"/>
      <c r="AX208" s="33"/>
      <c r="AY208" s="24"/>
      <c r="AZ208" s="24"/>
      <c r="BA208" s="24"/>
      <c r="BC208" s="25"/>
      <c r="BD208" s="33"/>
      <c r="BE208" s="24"/>
      <c r="BF208" s="24"/>
      <c r="BG208" s="24"/>
      <c r="BH208" s="34"/>
      <c r="BI208" s="43" t="s">
        <v>172</v>
      </c>
      <c r="BJ208" s="19">
        <v>0</v>
      </c>
      <c r="BK208" s="31" t="s">
        <v>115</v>
      </c>
      <c r="BL208" s="31">
        <f>MIN(BJ207:BJ221)</f>
        <v>0</v>
      </c>
      <c r="BN208" s="34"/>
      <c r="BT208" s="34"/>
      <c r="BZ208" s="34"/>
      <c r="CF208" s="36"/>
      <c r="CL208" s="36"/>
      <c r="CR208" s="36"/>
    </row>
    <row r="209" spans="31:96" x14ac:dyDescent="0.2">
      <c r="AE209" s="33"/>
      <c r="AF209" s="33"/>
      <c r="AG209" s="33"/>
      <c r="AH209" s="33"/>
      <c r="AJ209" s="34"/>
      <c r="AK209" s="33"/>
      <c r="AL209" s="33"/>
      <c r="AM209" s="33"/>
      <c r="AN209" s="33"/>
      <c r="AO209" s="24"/>
      <c r="AQ209" s="24"/>
      <c r="AR209" s="24"/>
      <c r="AS209" s="24"/>
      <c r="AT209" s="24"/>
      <c r="AU209" s="24"/>
      <c r="AW209" s="25"/>
      <c r="AX209" s="33"/>
      <c r="AY209" s="24"/>
      <c r="AZ209" s="24"/>
      <c r="BA209" s="24"/>
      <c r="BC209" s="25"/>
      <c r="BD209" s="33"/>
      <c r="BE209" s="24"/>
      <c r="BF209" s="24"/>
      <c r="BG209" s="24"/>
      <c r="BH209" s="34"/>
      <c r="BI209" s="43" t="s">
        <v>177</v>
      </c>
      <c r="BJ209" s="19">
        <v>1</v>
      </c>
      <c r="BK209" s="31" t="s">
        <v>122</v>
      </c>
      <c r="BL209" s="31">
        <f>MAX(BJ207:BJ221)</f>
        <v>2</v>
      </c>
      <c r="BN209" s="34"/>
      <c r="BT209" s="34"/>
      <c r="BZ209" s="34"/>
      <c r="CF209" s="36"/>
      <c r="CL209" s="36"/>
      <c r="CR209" s="36"/>
    </row>
    <row r="210" spans="31:96" x14ac:dyDescent="0.2">
      <c r="AE210" s="33"/>
      <c r="AF210" s="33"/>
      <c r="AG210" s="33"/>
      <c r="AH210" s="33"/>
      <c r="AJ210" s="34"/>
      <c r="AK210" s="33"/>
      <c r="AL210" s="33"/>
      <c r="AM210" s="33"/>
      <c r="AN210" s="33"/>
      <c r="AO210" s="24"/>
      <c r="AQ210" s="24"/>
      <c r="AR210" s="24"/>
      <c r="AS210" s="24"/>
      <c r="AT210" s="24"/>
      <c r="AU210" s="24"/>
      <c r="AW210" s="25"/>
      <c r="AX210" s="33"/>
      <c r="AY210" s="24"/>
      <c r="AZ210" s="24"/>
      <c r="BA210" s="24"/>
      <c r="BC210" s="25"/>
      <c r="BD210" s="33"/>
      <c r="BE210" s="24"/>
      <c r="BF210" s="24"/>
      <c r="BG210" s="24"/>
      <c r="BH210" s="34"/>
      <c r="BI210" s="43" t="s">
        <v>137</v>
      </c>
      <c r="BJ210" s="19">
        <v>2</v>
      </c>
      <c r="BK210" s="31" t="s">
        <v>129</v>
      </c>
      <c r="BL210" s="31">
        <f>VAR(BJ207:BJ221)</f>
        <v>0.52380952380952384</v>
      </c>
      <c r="BN210" s="34"/>
      <c r="BT210" s="34"/>
      <c r="BZ210" s="34"/>
      <c r="CF210" s="36"/>
      <c r="CL210" s="36"/>
      <c r="CR210" s="36"/>
    </row>
    <row r="211" spans="31:96" x14ac:dyDescent="0.2">
      <c r="AE211" s="33"/>
      <c r="AF211" s="33"/>
      <c r="AG211" s="33"/>
      <c r="AH211" s="33"/>
      <c r="AJ211" s="34"/>
      <c r="AK211" s="54"/>
      <c r="AL211" s="33"/>
      <c r="AM211" s="33"/>
      <c r="AN211" s="33"/>
      <c r="AO211" s="24"/>
      <c r="AQ211" s="24"/>
      <c r="AR211" s="24"/>
      <c r="AS211" s="24"/>
      <c r="AT211" s="24"/>
      <c r="AU211" s="24"/>
      <c r="AW211" s="25"/>
      <c r="AX211" s="33"/>
      <c r="AY211" s="24"/>
      <c r="AZ211" s="24"/>
      <c r="BA211" s="24"/>
      <c r="BC211" s="25"/>
      <c r="BD211" s="33"/>
      <c r="BE211" s="24"/>
      <c r="BF211" s="24"/>
      <c r="BG211" s="24"/>
      <c r="BH211" s="34"/>
      <c r="BI211" s="43" t="s">
        <v>187</v>
      </c>
      <c r="BJ211" s="19">
        <v>0</v>
      </c>
      <c r="BK211" s="31" t="s">
        <v>138</v>
      </c>
      <c r="BL211" s="31">
        <f>AVERAGE(BJ207:BJ221)</f>
        <v>0.33333333333333331</v>
      </c>
      <c r="BN211" s="34"/>
      <c r="BT211" s="34"/>
      <c r="BZ211" s="34"/>
      <c r="CF211" s="36"/>
      <c r="CL211" s="36"/>
      <c r="CR211" s="36"/>
    </row>
    <row r="212" spans="31:96" x14ac:dyDescent="0.2">
      <c r="AE212" s="24"/>
      <c r="AF212" s="33"/>
      <c r="AG212" s="24"/>
      <c r="AH212" s="24"/>
      <c r="AJ212" s="34"/>
      <c r="AK212" s="54"/>
      <c r="AL212" s="33"/>
      <c r="AM212" s="33"/>
      <c r="AN212" s="33"/>
      <c r="AO212" s="24"/>
      <c r="AQ212" s="24"/>
      <c r="AR212" s="24"/>
      <c r="AS212" s="24"/>
      <c r="AT212" s="24"/>
      <c r="AU212" s="24"/>
      <c r="AW212" s="25"/>
      <c r="AX212" s="33"/>
      <c r="AY212" s="24"/>
      <c r="AZ212" s="24"/>
      <c r="BA212" s="24"/>
      <c r="BC212" s="25"/>
      <c r="BD212" s="33"/>
      <c r="BE212" s="24"/>
      <c r="BF212" s="24"/>
      <c r="BG212" s="24"/>
      <c r="BH212" s="34"/>
      <c r="BI212" s="43" t="s">
        <v>151</v>
      </c>
      <c r="BJ212" s="19">
        <v>0</v>
      </c>
      <c r="BK212" s="31" t="s">
        <v>144</v>
      </c>
      <c r="BL212" s="31">
        <f>STDEV(BJ207:BJ221)</f>
        <v>0.72374686445574588</v>
      </c>
      <c r="BN212" s="34"/>
      <c r="BT212" s="34"/>
      <c r="BZ212" s="34"/>
      <c r="CF212" s="36"/>
      <c r="CL212" s="36"/>
      <c r="CR212" s="36"/>
    </row>
    <row r="213" spans="31:96" x14ac:dyDescent="0.2">
      <c r="AE213" s="24"/>
      <c r="AF213" s="33"/>
      <c r="AG213" s="24"/>
      <c r="AH213" s="24"/>
      <c r="AJ213" s="34"/>
      <c r="AK213" s="25"/>
      <c r="AL213" s="33"/>
      <c r="AM213" s="33"/>
      <c r="AN213" s="33"/>
      <c r="AO213" s="24"/>
      <c r="AQ213" s="24"/>
      <c r="AR213" s="24"/>
      <c r="AS213" s="24"/>
      <c r="AT213" s="24"/>
      <c r="AU213" s="24"/>
      <c r="AW213" s="25"/>
      <c r="AX213" s="33"/>
      <c r="AY213" s="24"/>
      <c r="AZ213" s="24"/>
      <c r="BA213" s="24"/>
      <c r="BC213" s="25"/>
      <c r="BD213" s="33"/>
      <c r="BE213" s="24"/>
      <c r="BF213" s="24"/>
      <c r="BG213" s="24"/>
      <c r="BH213" s="34"/>
      <c r="BI213" s="43" t="s">
        <v>198</v>
      </c>
      <c r="BJ213" s="19">
        <v>2</v>
      </c>
      <c r="BK213" s="31"/>
      <c r="BL213" s="31"/>
      <c r="BN213" s="34"/>
      <c r="BT213" s="34"/>
      <c r="BZ213" s="34"/>
      <c r="CF213" s="36"/>
      <c r="CL213" s="36"/>
      <c r="CR213" s="36"/>
    </row>
    <row r="214" spans="31:96" x14ac:dyDescent="0.2">
      <c r="AE214" s="24"/>
      <c r="AF214" s="33"/>
      <c r="AG214" s="24"/>
      <c r="AH214" s="24"/>
      <c r="AJ214" s="34"/>
      <c r="AK214" s="54"/>
      <c r="AL214" s="33"/>
      <c r="AM214" s="33"/>
      <c r="AN214" s="33"/>
      <c r="AO214" s="24"/>
      <c r="AQ214" s="24"/>
      <c r="AR214" s="24"/>
      <c r="AS214" s="24"/>
      <c r="AT214" s="24"/>
      <c r="AU214" s="24"/>
      <c r="AW214" s="25"/>
      <c r="AX214" s="33"/>
      <c r="AY214" s="24"/>
      <c r="AZ214" s="24"/>
      <c r="BA214" s="24"/>
      <c r="BC214" s="25"/>
      <c r="BD214" s="33"/>
      <c r="BE214" s="24"/>
      <c r="BF214" s="24"/>
      <c r="BG214" s="24"/>
      <c r="BH214" s="34"/>
      <c r="BI214" s="43" t="s">
        <v>205</v>
      </c>
      <c r="BJ214" s="19">
        <v>0</v>
      </c>
      <c r="BN214" s="34"/>
      <c r="BT214" s="34"/>
      <c r="BZ214" s="34"/>
      <c r="CF214" s="36"/>
      <c r="CL214" s="36"/>
      <c r="CR214" s="36"/>
    </row>
    <row r="215" spans="31:96" x14ac:dyDescent="0.2">
      <c r="AE215" s="24"/>
      <c r="AF215" s="33"/>
      <c r="AG215" s="24"/>
      <c r="AH215" s="24"/>
      <c r="AJ215" s="34"/>
      <c r="AK215" s="54"/>
      <c r="AL215" s="33"/>
      <c r="AM215" s="33"/>
      <c r="AN215" s="33"/>
      <c r="AO215" s="24"/>
      <c r="AQ215" s="24"/>
      <c r="AR215" s="24"/>
      <c r="AS215" s="24"/>
      <c r="AT215" s="24"/>
      <c r="AU215" s="24"/>
      <c r="AW215" s="25"/>
      <c r="AX215" s="33"/>
      <c r="AY215" s="24"/>
      <c r="AZ215" s="24"/>
      <c r="BA215" s="24"/>
      <c r="BC215" s="25"/>
      <c r="BD215" s="33"/>
      <c r="BE215" s="24"/>
      <c r="BF215" s="24"/>
      <c r="BG215" s="24"/>
      <c r="BH215" s="34"/>
      <c r="BI215" s="43" t="s">
        <v>210</v>
      </c>
      <c r="BJ215" s="19">
        <v>0</v>
      </c>
      <c r="BN215" s="34"/>
      <c r="BT215" s="34"/>
      <c r="BZ215" s="34"/>
      <c r="CF215" s="36"/>
      <c r="CL215" s="36"/>
      <c r="CR215" s="36"/>
    </row>
    <row r="216" spans="31:96" x14ac:dyDescent="0.2">
      <c r="AE216" s="24"/>
      <c r="AF216" s="33"/>
      <c r="AG216" s="24"/>
      <c r="AH216" s="24"/>
      <c r="AJ216" s="34"/>
      <c r="AK216" s="54"/>
      <c r="AL216" s="33"/>
      <c r="AM216" s="33"/>
      <c r="AN216" s="33"/>
      <c r="AO216" s="24"/>
      <c r="AQ216" s="33"/>
      <c r="AR216" s="33"/>
      <c r="AS216" s="33"/>
      <c r="AT216" s="33"/>
      <c r="AU216" s="24"/>
      <c r="AW216" s="25"/>
      <c r="AX216" s="33"/>
      <c r="AY216" s="24"/>
      <c r="AZ216" s="24"/>
      <c r="BA216" s="24"/>
      <c r="BC216" s="25"/>
      <c r="BD216" s="33"/>
      <c r="BE216" s="24"/>
      <c r="BF216" s="24"/>
      <c r="BG216" s="24"/>
      <c r="BH216" s="34"/>
      <c r="BI216" s="43" t="s">
        <v>218</v>
      </c>
      <c r="BJ216" s="19">
        <v>0</v>
      </c>
      <c r="BN216" s="34"/>
      <c r="BT216" s="34"/>
      <c r="BZ216" s="34"/>
      <c r="CF216" s="36"/>
      <c r="CL216" s="36"/>
      <c r="CR216" s="36"/>
    </row>
    <row r="217" spans="31:96" x14ac:dyDescent="0.2">
      <c r="AE217" s="24"/>
      <c r="AF217" s="33"/>
      <c r="AG217" s="24"/>
      <c r="AH217" s="24"/>
      <c r="AJ217" s="34"/>
      <c r="AK217" s="54"/>
      <c r="AL217" s="33"/>
      <c r="AM217" s="33"/>
      <c r="AN217" s="33"/>
      <c r="AO217" s="24"/>
      <c r="AQ217" s="49"/>
      <c r="AR217" s="33"/>
      <c r="AS217" s="33"/>
      <c r="AT217" s="33"/>
      <c r="AU217" s="24"/>
      <c r="AW217" s="25"/>
      <c r="AX217" s="33"/>
      <c r="AY217" s="24"/>
      <c r="AZ217" s="24"/>
      <c r="BA217" s="24"/>
      <c r="BC217" s="25"/>
      <c r="BD217" s="33"/>
      <c r="BE217" s="24"/>
      <c r="BF217" s="24"/>
      <c r="BG217" s="24"/>
      <c r="BH217" s="34"/>
      <c r="BI217" s="43" t="s">
        <v>224</v>
      </c>
      <c r="BJ217" s="19">
        <v>0</v>
      </c>
      <c r="BN217" s="34"/>
      <c r="BT217" s="34"/>
      <c r="BZ217" s="34"/>
      <c r="CF217" s="36"/>
      <c r="CL217" s="36"/>
      <c r="CR217" s="36"/>
    </row>
    <row r="218" spans="31:96" x14ac:dyDescent="0.2">
      <c r="AE218" s="24"/>
      <c r="AF218" s="24"/>
      <c r="AG218" s="24"/>
      <c r="AH218" s="24"/>
      <c r="AJ218" s="34"/>
      <c r="AK218" s="54"/>
      <c r="AL218" s="33"/>
      <c r="AM218" s="33"/>
      <c r="AN218" s="33"/>
      <c r="AO218" s="24"/>
      <c r="AQ218" s="49"/>
      <c r="AR218" s="33"/>
      <c r="AS218" s="33"/>
      <c r="AT218" s="33"/>
      <c r="AU218" s="24"/>
      <c r="AW218" s="25"/>
      <c r="AX218" s="33"/>
      <c r="AY218" s="24"/>
      <c r="AZ218" s="24"/>
      <c r="BA218" s="24"/>
      <c r="BC218" s="25"/>
      <c r="BD218" s="33"/>
      <c r="BE218" s="24"/>
      <c r="BF218" s="24"/>
      <c r="BG218" s="24"/>
      <c r="BH218" s="34"/>
      <c r="BI218" s="43" t="s">
        <v>229</v>
      </c>
      <c r="BJ218" s="19">
        <v>0</v>
      </c>
      <c r="BN218" s="34"/>
      <c r="BT218" s="34"/>
      <c r="BZ218" s="34"/>
      <c r="CF218" s="36"/>
      <c r="CL218" s="36"/>
      <c r="CR218" s="36"/>
    </row>
    <row r="219" spans="31:96" x14ac:dyDescent="0.2">
      <c r="AE219" s="24"/>
      <c r="AF219" s="24"/>
      <c r="AG219" s="24"/>
      <c r="AH219" s="24"/>
      <c r="AJ219" s="34"/>
      <c r="AK219" s="54"/>
      <c r="AL219" s="33"/>
      <c r="AM219" s="33"/>
      <c r="AN219" s="33"/>
      <c r="AO219" s="24"/>
      <c r="AQ219" s="49"/>
      <c r="AR219" s="33"/>
      <c r="AS219" s="33"/>
      <c r="AT219" s="33"/>
      <c r="AU219" s="24"/>
      <c r="AW219" s="25"/>
      <c r="AX219" s="33"/>
      <c r="AY219" s="24"/>
      <c r="AZ219" s="24"/>
      <c r="BA219" s="24"/>
      <c r="BC219" s="25"/>
      <c r="BD219" s="33"/>
      <c r="BE219" s="24"/>
      <c r="BF219" s="24"/>
      <c r="BG219" s="24"/>
      <c r="BH219" s="34"/>
      <c r="BI219" s="43" t="s">
        <v>235</v>
      </c>
      <c r="BJ219" s="19">
        <v>0</v>
      </c>
      <c r="BN219" s="34"/>
      <c r="BT219" s="34"/>
      <c r="BZ219" s="34"/>
      <c r="CF219" s="36"/>
      <c r="CL219" s="36"/>
      <c r="CR219" s="36"/>
    </row>
    <row r="220" spans="31:96" x14ac:dyDescent="0.2">
      <c r="AE220" s="24"/>
      <c r="AF220" s="24"/>
      <c r="AG220" s="24"/>
      <c r="AH220" s="24"/>
      <c r="AJ220" s="34"/>
      <c r="AK220" s="54"/>
      <c r="AL220" s="33"/>
      <c r="AM220" s="33"/>
      <c r="AN220" s="33"/>
      <c r="AO220" s="24"/>
      <c r="AQ220" s="49"/>
      <c r="AR220" s="33"/>
      <c r="AS220" s="33"/>
      <c r="AT220" s="33"/>
      <c r="AU220" s="24"/>
      <c r="AW220" s="25"/>
      <c r="AX220" s="33"/>
      <c r="AY220" s="24"/>
      <c r="AZ220" s="24"/>
      <c r="BA220" s="24"/>
      <c r="BC220" s="25"/>
      <c r="BD220" s="33"/>
      <c r="BE220" s="24"/>
      <c r="BF220" s="24"/>
      <c r="BG220" s="24"/>
      <c r="BH220" s="34"/>
      <c r="BI220" s="43" t="s">
        <v>240</v>
      </c>
      <c r="BJ220" s="19">
        <v>0</v>
      </c>
      <c r="BN220" s="34"/>
      <c r="BT220" s="34"/>
      <c r="BZ220" s="34"/>
      <c r="CF220" s="36"/>
      <c r="CL220" s="36"/>
      <c r="CR220" s="36"/>
    </row>
    <row r="221" spans="31:96" x14ac:dyDescent="0.2">
      <c r="AE221" s="24"/>
      <c r="AF221" s="24"/>
      <c r="AG221" s="24"/>
      <c r="AH221" s="24"/>
      <c r="AJ221" s="34"/>
      <c r="AK221" s="54"/>
      <c r="AL221" s="33"/>
      <c r="AM221" s="33"/>
      <c r="AN221" s="33"/>
      <c r="AO221" s="24"/>
      <c r="AQ221" s="49"/>
      <c r="AR221" s="33"/>
      <c r="AS221" s="33"/>
      <c r="AT221" s="33"/>
      <c r="AU221" s="24"/>
      <c r="AW221" s="25"/>
      <c r="AX221" s="33"/>
      <c r="AY221" s="24"/>
      <c r="AZ221" s="24"/>
      <c r="BA221" s="24"/>
      <c r="BC221" s="25"/>
      <c r="BD221" s="33"/>
      <c r="BE221" s="24"/>
      <c r="BF221" s="24"/>
      <c r="BG221" s="24"/>
      <c r="BH221" s="34"/>
      <c r="BI221" s="43" t="s">
        <v>246</v>
      </c>
      <c r="BJ221" s="19">
        <v>0</v>
      </c>
      <c r="BN221" s="34"/>
      <c r="BT221" s="34"/>
      <c r="BZ221" s="34"/>
      <c r="CF221" s="36"/>
      <c r="CL221" s="36"/>
      <c r="CR221" s="36"/>
    </row>
    <row r="222" spans="31:96" x14ac:dyDescent="0.2">
      <c r="AE222" s="24"/>
      <c r="AF222" s="24"/>
      <c r="AG222" s="24"/>
      <c r="AH222" s="24"/>
      <c r="AJ222" s="34"/>
      <c r="AK222" s="54"/>
      <c r="AL222" s="33"/>
      <c r="AM222" s="33"/>
      <c r="AN222" s="33"/>
      <c r="AO222" s="24"/>
      <c r="AQ222" s="49"/>
      <c r="AR222" s="33"/>
      <c r="AS222" s="33"/>
      <c r="AT222" s="33"/>
      <c r="AU222" s="24"/>
      <c r="AW222" s="25"/>
      <c r="AX222" s="33"/>
      <c r="AY222" s="24"/>
      <c r="AZ222" s="24"/>
      <c r="BA222" s="24"/>
      <c r="BC222" s="25"/>
      <c r="BD222" s="33"/>
      <c r="BE222" s="24"/>
      <c r="BF222" s="24"/>
      <c r="BG222" s="24"/>
      <c r="BH222" s="34"/>
      <c r="BI222" s="43"/>
      <c r="BN222" s="34"/>
      <c r="BT222" s="34"/>
      <c r="BZ222" s="34"/>
      <c r="CF222" s="36"/>
      <c r="CL222" s="36"/>
      <c r="CR222" s="36"/>
    </row>
    <row r="223" spans="31:96" x14ac:dyDescent="0.2">
      <c r="AE223" s="24"/>
      <c r="AF223" s="24"/>
      <c r="AG223" s="24"/>
      <c r="AH223" s="24"/>
      <c r="AJ223" s="34"/>
      <c r="AK223" s="54"/>
      <c r="AL223" s="33"/>
      <c r="AM223" s="24"/>
      <c r="AN223" s="24"/>
      <c r="AO223" s="24"/>
      <c r="AQ223" s="49"/>
      <c r="AR223" s="33"/>
      <c r="AS223" s="33"/>
      <c r="AT223" s="33"/>
      <c r="AU223" s="24"/>
      <c r="AW223" s="25"/>
      <c r="AX223" s="33"/>
      <c r="AY223" s="24"/>
      <c r="AZ223" s="24"/>
      <c r="BA223" s="24"/>
      <c r="BC223" s="25"/>
      <c r="BD223" s="33"/>
      <c r="BE223" s="24"/>
      <c r="BF223" s="24"/>
      <c r="BG223" s="24"/>
      <c r="BH223" s="34"/>
      <c r="BN223" s="34"/>
      <c r="BT223" s="34"/>
      <c r="BZ223" s="34"/>
      <c r="CF223" s="36"/>
      <c r="CL223" s="36"/>
      <c r="CR223" s="36"/>
    </row>
    <row r="224" spans="31:96" x14ac:dyDescent="0.2">
      <c r="AE224" s="24"/>
      <c r="AF224" s="24"/>
      <c r="AG224" s="24"/>
      <c r="AH224" s="24"/>
      <c r="AJ224" s="34"/>
      <c r="AK224" s="54"/>
      <c r="AL224" s="33"/>
      <c r="AM224" s="24"/>
      <c r="AN224" s="24"/>
      <c r="AO224" s="24"/>
      <c r="AQ224" s="49"/>
      <c r="AR224" s="33"/>
      <c r="AS224" s="33"/>
      <c r="AT224" s="33"/>
      <c r="AU224" s="24"/>
      <c r="AW224" s="25"/>
      <c r="AX224" s="33"/>
      <c r="AY224" s="24"/>
      <c r="AZ224" s="24"/>
      <c r="BA224" s="24"/>
      <c r="BC224" s="25"/>
      <c r="BD224" s="33"/>
      <c r="BE224" s="24"/>
      <c r="BF224" s="24"/>
      <c r="BG224" s="24"/>
      <c r="BH224" s="34"/>
      <c r="BI224" s="32" t="s">
        <v>258</v>
      </c>
      <c r="BJ224" s="19" t="s">
        <v>71</v>
      </c>
      <c r="BK224" s="31" t="s">
        <v>103</v>
      </c>
      <c r="BL224" s="31" t="s">
        <v>104</v>
      </c>
      <c r="BN224" s="34"/>
      <c r="BT224" s="34"/>
      <c r="BZ224" s="34"/>
      <c r="CF224" s="36"/>
      <c r="CL224" s="36"/>
      <c r="CR224" s="36"/>
    </row>
    <row r="225" spans="31:96" x14ac:dyDescent="0.2">
      <c r="AE225" s="24"/>
      <c r="AF225" s="24"/>
      <c r="AG225" s="24"/>
      <c r="AH225" s="24"/>
      <c r="AJ225" s="34"/>
      <c r="AK225" s="54"/>
      <c r="AL225" s="33"/>
      <c r="AM225" s="24"/>
      <c r="AN225" s="24"/>
      <c r="AO225" s="24"/>
      <c r="AQ225" s="49"/>
      <c r="AR225" s="33"/>
      <c r="AS225" s="33"/>
      <c r="AT225" s="33"/>
      <c r="AU225" s="24"/>
      <c r="AW225" s="25"/>
      <c r="AX225" s="33"/>
      <c r="AY225" s="24"/>
      <c r="AZ225" s="24"/>
      <c r="BA225" s="24"/>
      <c r="BC225" s="25"/>
      <c r="BD225" s="33"/>
      <c r="BE225" s="24"/>
      <c r="BF225" s="24"/>
      <c r="BG225" s="24"/>
      <c r="BH225" s="34"/>
      <c r="BI225" s="43" t="s">
        <v>261</v>
      </c>
      <c r="BJ225" s="19">
        <v>0</v>
      </c>
      <c r="BK225" s="31" t="s">
        <v>106</v>
      </c>
      <c r="BL225" s="31">
        <f>SUM(BJ225:BJ227)</f>
        <v>0</v>
      </c>
      <c r="BN225" s="34"/>
      <c r="BT225" s="34"/>
      <c r="BZ225" s="34"/>
      <c r="CF225" s="36"/>
      <c r="CL225" s="36"/>
      <c r="CR225" s="36"/>
    </row>
    <row r="226" spans="31:96" x14ac:dyDescent="0.2">
      <c r="AE226" s="24"/>
      <c r="AF226" s="24"/>
      <c r="AG226" s="24"/>
      <c r="AH226" s="24"/>
      <c r="AJ226" s="34"/>
      <c r="AK226" s="54"/>
      <c r="AL226" s="33"/>
      <c r="AM226" s="24"/>
      <c r="AN226" s="24"/>
      <c r="AO226" s="24"/>
      <c r="AQ226" s="49"/>
      <c r="AR226" s="33"/>
      <c r="AS226" s="33"/>
      <c r="AT226" s="33"/>
      <c r="AU226" s="24"/>
      <c r="AW226" s="25"/>
      <c r="AX226" s="33"/>
      <c r="AY226" s="24"/>
      <c r="AZ226" s="24"/>
      <c r="BA226" s="24"/>
      <c r="BC226" s="25"/>
      <c r="BD226" s="33"/>
      <c r="BE226" s="24"/>
      <c r="BF226" s="24"/>
      <c r="BG226" s="24"/>
      <c r="BH226" s="34"/>
      <c r="BI226" s="43" t="s">
        <v>264</v>
      </c>
      <c r="BJ226" s="19">
        <v>0</v>
      </c>
      <c r="BK226" s="31" t="s">
        <v>115</v>
      </c>
      <c r="BL226" s="31">
        <f>MIN(BJ225:BJ227)</f>
        <v>0</v>
      </c>
      <c r="BN226" s="34"/>
      <c r="BT226" s="34"/>
      <c r="BZ226" s="34"/>
      <c r="CF226" s="36"/>
      <c r="CL226" s="36"/>
      <c r="CR226" s="36"/>
    </row>
    <row r="227" spans="31:96" x14ac:dyDescent="0.2">
      <c r="AE227" s="24"/>
      <c r="AF227" s="24"/>
      <c r="AG227" s="24"/>
      <c r="AH227" s="24"/>
      <c r="AJ227" s="34"/>
      <c r="AK227" s="54"/>
      <c r="AL227" s="33"/>
      <c r="AM227" s="24"/>
      <c r="AN227" s="24"/>
      <c r="AO227" s="24"/>
      <c r="AQ227" s="49"/>
      <c r="AR227" s="33"/>
      <c r="AS227" s="33"/>
      <c r="AT227" s="33"/>
      <c r="AU227" s="24"/>
      <c r="AW227" s="25"/>
      <c r="AX227" s="33"/>
      <c r="AY227" s="24"/>
      <c r="AZ227" s="24"/>
      <c r="BA227" s="24"/>
      <c r="BC227" s="25"/>
      <c r="BD227" s="33"/>
      <c r="BE227" s="24"/>
      <c r="BF227" s="24"/>
      <c r="BG227" s="24"/>
      <c r="BH227" s="34"/>
      <c r="BI227" s="43" t="s">
        <v>268</v>
      </c>
      <c r="BJ227" s="19">
        <v>0</v>
      </c>
      <c r="BK227" s="31" t="s">
        <v>122</v>
      </c>
      <c r="BL227" s="31">
        <f>MAX(BJ225:BJ227)</f>
        <v>0</v>
      </c>
      <c r="BN227" s="34"/>
      <c r="BT227" s="34"/>
      <c r="BZ227" s="34"/>
      <c r="CF227" s="36"/>
      <c r="CL227" s="36"/>
      <c r="CR227" s="36"/>
    </row>
    <row r="228" spans="31:96" x14ac:dyDescent="0.2">
      <c r="AE228" s="24"/>
      <c r="AF228" s="24"/>
      <c r="AG228" s="24"/>
      <c r="AH228" s="24"/>
      <c r="AJ228" s="34"/>
      <c r="AK228" s="54"/>
      <c r="AL228" s="33"/>
      <c r="AM228" s="24"/>
      <c r="AN228" s="24"/>
      <c r="AO228" s="24"/>
      <c r="AQ228" s="49"/>
      <c r="AR228" s="33"/>
      <c r="AS228" s="33"/>
      <c r="AT228" s="33"/>
      <c r="AU228" s="24"/>
      <c r="AW228" s="25"/>
      <c r="AX228" s="33"/>
      <c r="AY228" s="24"/>
      <c r="AZ228" s="24"/>
      <c r="BA228" s="24"/>
      <c r="BC228" s="25"/>
      <c r="BD228" s="33"/>
      <c r="BE228" s="24"/>
      <c r="BF228" s="24"/>
      <c r="BG228" s="24"/>
      <c r="BH228" s="34"/>
      <c r="BI228" s="43"/>
      <c r="BK228" s="31" t="s">
        <v>129</v>
      </c>
      <c r="BL228" s="31">
        <f>VAR(BJ225:BJ227)</f>
        <v>0</v>
      </c>
      <c r="BN228" s="34"/>
      <c r="BT228" s="34"/>
      <c r="BZ228" s="34"/>
      <c r="CF228" s="36"/>
      <c r="CL228" s="36"/>
      <c r="CR228" s="36"/>
    </row>
    <row r="229" spans="31:96" x14ac:dyDescent="0.2">
      <c r="AE229" s="24"/>
      <c r="AF229" s="24"/>
      <c r="AG229" s="24"/>
      <c r="AH229" s="24"/>
      <c r="AJ229" s="34"/>
      <c r="AK229" s="54"/>
      <c r="AL229" s="33"/>
      <c r="AM229" s="24"/>
      <c r="AN229" s="24"/>
      <c r="AO229" s="24"/>
      <c r="AQ229" s="25"/>
      <c r="AR229" s="33"/>
      <c r="AS229" s="24"/>
      <c r="AT229" s="24"/>
      <c r="AU229" s="24"/>
      <c r="AW229" s="25"/>
      <c r="AX229" s="33"/>
      <c r="AY229" s="24"/>
      <c r="AZ229" s="24"/>
      <c r="BA229" s="24"/>
      <c r="BC229" s="25"/>
      <c r="BD229" s="33"/>
      <c r="BE229" s="24"/>
      <c r="BF229" s="24"/>
      <c r="BG229" s="24"/>
      <c r="BH229" s="34"/>
      <c r="BI229" s="43"/>
      <c r="BK229" s="31" t="s">
        <v>138</v>
      </c>
      <c r="BL229" s="31">
        <f>AVERAGE(BJ225:BJ227)</f>
        <v>0</v>
      </c>
      <c r="BN229" s="34"/>
      <c r="BT229" s="34"/>
      <c r="BZ229" s="34"/>
      <c r="CF229" s="36"/>
      <c r="CL229" s="36"/>
      <c r="CR229" s="36"/>
    </row>
    <row r="230" spans="31:96" x14ac:dyDescent="0.2">
      <c r="AE230" s="24"/>
      <c r="AF230" s="24"/>
      <c r="AG230" s="24"/>
      <c r="AH230" s="24"/>
      <c r="AJ230" s="34"/>
      <c r="AK230" s="54"/>
      <c r="AL230" s="33"/>
      <c r="AM230" s="24"/>
      <c r="AN230" s="24"/>
      <c r="AO230" s="24"/>
      <c r="AQ230" s="49"/>
      <c r="AR230" s="33"/>
      <c r="AS230" s="24"/>
      <c r="AT230" s="24"/>
      <c r="AU230" s="24"/>
      <c r="AW230" s="25"/>
      <c r="AX230" s="33"/>
      <c r="AY230" s="24"/>
      <c r="AZ230" s="24"/>
      <c r="BA230" s="24"/>
      <c r="BC230" s="25"/>
      <c r="BD230" s="33"/>
      <c r="BE230" s="24"/>
      <c r="BF230" s="24"/>
      <c r="BG230" s="24"/>
      <c r="BH230" s="34"/>
      <c r="BI230" s="43"/>
      <c r="BK230" s="31" t="s">
        <v>144</v>
      </c>
      <c r="BL230" s="31">
        <f>STDEV(BJ225:BJ227)</f>
        <v>0</v>
      </c>
      <c r="BN230" s="34"/>
      <c r="BT230" s="34"/>
      <c r="BZ230" s="34"/>
      <c r="CF230" s="36"/>
      <c r="CL230" s="36"/>
      <c r="CR230" s="36"/>
    </row>
    <row r="231" spans="31:96" x14ac:dyDescent="0.2">
      <c r="AE231" s="24"/>
      <c r="AF231" s="24"/>
      <c r="AG231" s="24"/>
      <c r="AH231" s="24"/>
      <c r="AJ231" s="34"/>
      <c r="AK231" s="54"/>
      <c r="AL231" s="33"/>
      <c r="AM231" s="24"/>
      <c r="AN231" s="24"/>
      <c r="AO231" s="24"/>
      <c r="AQ231" s="49"/>
      <c r="AR231" s="33"/>
      <c r="AS231" s="24"/>
      <c r="AT231" s="24"/>
      <c r="AU231" s="24"/>
      <c r="AW231" s="25"/>
      <c r="AX231" s="33"/>
      <c r="AY231" s="24"/>
      <c r="AZ231" s="24"/>
      <c r="BA231" s="24"/>
      <c r="BC231" s="25"/>
      <c r="BD231" s="33"/>
      <c r="BE231" s="24"/>
      <c r="BF231" s="24"/>
      <c r="BG231" s="24"/>
      <c r="BH231" s="34"/>
      <c r="BI231" s="43"/>
      <c r="BN231" s="34"/>
      <c r="BT231" s="34"/>
      <c r="BZ231" s="34"/>
      <c r="CF231" s="36"/>
      <c r="CL231" s="36"/>
      <c r="CR231" s="36"/>
    </row>
    <row r="232" spans="31:96" x14ac:dyDescent="0.2">
      <c r="AE232" s="24"/>
      <c r="AF232" s="24"/>
      <c r="AG232" s="24"/>
      <c r="AH232" s="24"/>
      <c r="AJ232" s="34"/>
      <c r="AK232" s="54"/>
      <c r="AL232" s="33"/>
      <c r="AM232" s="24"/>
      <c r="AN232" s="24"/>
      <c r="AO232" s="24"/>
      <c r="AQ232" s="49"/>
      <c r="AR232" s="33"/>
      <c r="AS232" s="24"/>
      <c r="AT232" s="24"/>
      <c r="AU232" s="24"/>
      <c r="AW232" s="25"/>
      <c r="AX232" s="33"/>
      <c r="AY232" s="24"/>
      <c r="AZ232" s="24"/>
      <c r="BA232" s="24"/>
      <c r="BC232" s="25"/>
      <c r="BD232" s="33"/>
      <c r="BE232" s="24"/>
      <c r="BF232" s="24"/>
      <c r="BG232" s="24"/>
      <c r="BH232" s="34"/>
      <c r="BN232" s="34"/>
      <c r="BT232" s="34"/>
      <c r="BZ232" s="34"/>
      <c r="CF232" s="36"/>
      <c r="CL232" s="36"/>
      <c r="CR232" s="36"/>
    </row>
    <row r="233" spans="31:96" x14ac:dyDescent="0.2">
      <c r="AE233" s="24"/>
      <c r="AF233" s="24"/>
      <c r="AG233" s="24"/>
      <c r="AH233" s="24"/>
      <c r="AJ233" s="34"/>
      <c r="AK233" s="54"/>
      <c r="AL233" s="33"/>
      <c r="AM233" s="24"/>
      <c r="AN233" s="24"/>
      <c r="AO233" s="24"/>
      <c r="AQ233" s="49"/>
      <c r="AR233" s="33"/>
      <c r="AS233" s="24"/>
      <c r="AT233" s="24"/>
      <c r="AU233" s="24"/>
      <c r="AW233" s="25"/>
      <c r="AX233" s="33"/>
      <c r="AY233" s="24"/>
      <c r="AZ233" s="24"/>
      <c r="BA233" s="24"/>
      <c r="BC233" s="25"/>
      <c r="BD233" s="33"/>
      <c r="BE233" s="24"/>
      <c r="BF233" s="24"/>
      <c r="BG233" s="24"/>
      <c r="BH233" s="34"/>
      <c r="BI233" s="32" t="s">
        <v>274</v>
      </c>
      <c r="BJ233" s="19" t="s">
        <v>71</v>
      </c>
      <c r="BK233" s="31" t="s">
        <v>103</v>
      </c>
      <c r="BL233" s="31" t="s">
        <v>104</v>
      </c>
      <c r="BN233" s="34"/>
      <c r="BT233" s="34"/>
      <c r="BZ233" s="34"/>
      <c r="CF233" s="36"/>
      <c r="CL233" s="36"/>
      <c r="CR233" s="36"/>
    </row>
    <row r="234" spans="31:96" x14ac:dyDescent="0.2">
      <c r="AE234" s="24"/>
      <c r="AF234" s="24"/>
      <c r="AG234" s="24"/>
      <c r="AH234" s="24"/>
      <c r="AJ234" s="34"/>
      <c r="AK234" s="54"/>
      <c r="AL234" s="33"/>
      <c r="AM234" s="24"/>
      <c r="AN234" s="24"/>
      <c r="AO234" s="24"/>
      <c r="AQ234" s="49"/>
      <c r="AR234" s="33"/>
      <c r="AS234" s="24"/>
      <c r="AT234" s="24"/>
      <c r="AU234" s="24"/>
      <c r="AW234" s="25"/>
      <c r="AX234" s="33"/>
      <c r="AY234" s="24"/>
      <c r="AZ234" s="24"/>
      <c r="BA234" s="24"/>
      <c r="BC234" s="25"/>
      <c r="BD234" s="33"/>
      <c r="BE234" s="24"/>
      <c r="BF234" s="24"/>
      <c r="BG234" s="24"/>
      <c r="BH234" s="34"/>
      <c r="BI234" s="43" t="s">
        <v>275</v>
      </c>
      <c r="BJ234" s="19">
        <v>0</v>
      </c>
      <c r="BK234" s="31" t="s">
        <v>106</v>
      </c>
      <c r="BL234" s="31">
        <f>SUM(BJ234:BJ256)</f>
        <v>5</v>
      </c>
      <c r="BN234" s="34"/>
      <c r="BT234" s="34"/>
      <c r="BZ234" s="34"/>
      <c r="CF234" s="36"/>
      <c r="CL234" s="36"/>
      <c r="CR234" s="36"/>
    </row>
    <row r="235" spans="31:96" x14ac:dyDescent="0.2">
      <c r="AE235" s="24"/>
      <c r="AF235" s="24"/>
      <c r="AG235" s="24"/>
      <c r="AH235" s="24"/>
      <c r="AJ235" s="34"/>
      <c r="AK235" s="54"/>
      <c r="AL235" s="33"/>
      <c r="AM235" s="24"/>
      <c r="AN235" s="24"/>
      <c r="AO235" s="24"/>
      <c r="AQ235" s="49"/>
      <c r="AR235" s="33"/>
      <c r="AS235" s="24"/>
      <c r="AT235" s="24"/>
      <c r="AU235" s="24"/>
      <c r="AW235" s="24"/>
      <c r="AX235" s="24"/>
      <c r="AY235" s="24"/>
      <c r="AZ235" s="24"/>
      <c r="BA235" s="24"/>
      <c r="BC235" s="24"/>
      <c r="BD235" s="24"/>
      <c r="BE235" s="24"/>
      <c r="BF235" s="24"/>
      <c r="BG235" s="24"/>
      <c r="BH235" s="34"/>
      <c r="BI235" s="43" t="s">
        <v>276</v>
      </c>
      <c r="BJ235" s="19">
        <v>0</v>
      </c>
      <c r="BK235" s="31" t="s">
        <v>115</v>
      </c>
      <c r="BL235" s="31">
        <f>MIN(BJ234:BJ256)</f>
        <v>0</v>
      </c>
      <c r="BN235" s="34"/>
      <c r="BT235" s="34"/>
      <c r="BZ235" s="34"/>
      <c r="CF235" s="36"/>
      <c r="CL235" s="36"/>
      <c r="CR235" s="36"/>
    </row>
    <row r="236" spans="31:96" x14ac:dyDescent="0.2">
      <c r="AE236" s="24"/>
      <c r="AF236" s="24"/>
      <c r="AG236" s="24"/>
      <c r="AH236" s="24"/>
      <c r="AJ236" s="34"/>
      <c r="AK236" s="33"/>
      <c r="AL236" s="33"/>
      <c r="AM236" s="24"/>
      <c r="AN236" s="24"/>
      <c r="AO236" s="24"/>
      <c r="AQ236" s="49"/>
      <c r="AR236" s="33"/>
      <c r="AS236" s="24"/>
      <c r="AT236" s="24"/>
      <c r="AU236" s="24"/>
      <c r="AW236" s="24"/>
      <c r="AX236" s="24"/>
      <c r="AY236" s="24"/>
      <c r="AZ236" s="24"/>
      <c r="BA236" s="24"/>
      <c r="BC236" s="24"/>
      <c r="BD236" s="24"/>
      <c r="BE236" s="24"/>
      <c r="BF236" s="24"/>
      <c r="BG236" s="24"/>
      <c r="BH236" s="34"/>
      <c r="BI236" s="43" t="s">
        <v>277</v>
      </c>
      <c r="BJ236" s="19">
        <v>2</v>
      </c>
      <c r="BK236" s="31" t="s">
        <v>122</v>
      </c>
      <c r="BL236" s="31">
        <f>MAX(BJ234:BJ256)</f>
        <v>2</v>
      </c>
      <c r="BN236" s="34"/>
      <c r="BT236" s="34"/>
      <c r="BZ236" s="34"/>
      <c r="CF236" s="36"/>
      <c r="CL236" s="36"/>
      <c r="CR236" s="36"/>
    </row>
    <row r="237" spans="31:96" x14ac:dyDescent="0.2">
      <c r="AE237" s="24"/>
      <c r="AF237" s="24"/>
      <c r="AG237" s="24"/>
      <c r="AH237" s="24"/>
      <c r="AJ237" s="34"/>
      <c r="AK237" s="33"/>
      <c r="AL237" s="33"/>
      <c r="AM237" s="24"/>
      <c r="AN237" s="24"/>
      <c r="AO237" s="24"/>
      <c r="AQ237" s="49"/>
      <c r="AR237" s="33"/>
      <c r="AS237" s="24"/>
      <c r="AT237" s="24"/>
      <c r="AU237" s="24"/>
      <c r="AW237" s="33"/>
      <c r="AX237" s="24"/>
      <c r="AY237" s="24"/>
      <c r="AZ237" s="24"/>
      <c r="BA237" s="24"/>
      <c r="BC237" s="33"/>
      <c r="BD237" s="24"/>
      <c r="BE237" s="24"/>
      <c r="BF237" s="24"/>
      <c r="BG237" s="24"/>
      <c r="BH237" s="34"/>
      <c r="BI237" s="43" t="s">
        <v>278</v>
      </c>
      <c r="BJ237" s="19">
        <v>0</v>
      </c>
      <c r="BK237" s="31" t="s">
        <v>129</v>
      </c>
      <c r="BL237" s="31">
        <f>VAR(BJ234:BJ256)</f>
        <v>0.35968379446640314</v>
      </c>
      <c r="BN237" s="34"/>
      <c r="BT237" s="34"/>
      <c r="BZ237" s="34"/>
      <c r="CF237" s="36"/>
      <c r="CL237" s="36"/>
      <c r="CR237" s="36"/>
    </row>
    <row r="238" spans="31:96" x14ac:dyDescent="0.2">
      <c r="AE238" s="24"/>
      <c r="AF238" s="24"/>
      <c r="AG238" s="24"/>
      <c r="AH238" s="24"/>
      <c r="AJ238" s="34"/>
      <c r="AK238" s="33"/>
      <c r="AL238" s="33"/>
      <c r="AM238" s="33"/>
      <c r="AN238" s="33"/>
      <c r="AO238" s="24"/>
      <c r="AQ238" s="49"/>
      <c r="AR238" s="33"/>
      <c r="AS238" s="24"/>
      <c r="AT238" s="24"/>
      <c r="AU238" s="24"/>
      <c r="AW238" s="33"/>
      <c r="AX238" s="33"/>
      <c r="AY238" s="33"/>
      <c r="AZ238" s="33"/>
      <c r="BA238" s="24"/>
      <c r="BC238" s="33"/>
      <c r="BD238" s="33"/>
      <c r="BE238" s="33"/>
      <c r="BF238" s="33"/>
      <c r="BG238" s="24"/>
      <c r="BH238" s="34"/>
      <c r="BI238" s="43" t="s">
        <v>279</v>
      </c>
      <c r="BJ238" s="19">
        <v>0</v>
      </c>
      <c r="BK238" s="31" t="s">
        <v>138</v>
      </c>
      <c r="BL238" s="31">
        <f>AVERAGE(BJ234:BJ256)</f>
        <v>0.21739130434782608</v>
      </c>
      <c r="BN238" s="34"/>
      <c r="BT238" s="34"/>
      <c r="BZ238" s="34"/>
      <c r="CF238" s="36"/>
      <c r="CL238" s="36"/>
      <c r="CR238" s="36"/>
    </row>
    <row r="239" spans="31:96" x14ac:dyDescent="0.2">
      <c r="AE239" s="24"/>
      <c r="AF239" s="24"/>
      <c r="AG239" s="24"/>
      <c r="AH239" s="24"/>
      <c r="AJ239" s="34"/>
      <c r="AK239" s="33"/>
      <c r="AL239" s="33"/>
      <c r="AM239" s="33"/>
      <c r="AN239" s="33"/>
      <c r="AO239" s="24"/>
      <c r="AQ239" s="49"/>
      <c r="AR239" s="33"/>
      <c r="AS239" s="24"/>
      <c r="AT239" s="24"/>
      <c r="AU239" s="24"/>
      <c r="AW239" s="49"/>
      <c r="AX239" s="33"/>
      <c r="AY239" s="33"/>
      <c r="AZ239" s="33"/>
      <c r="BA239" s="24"/>
      <c r="BC239" s="49"/>
      <c r="BD239" s="33"/>
      <c r="BE239" s="33"/>
      <c r="BF239" s="33"/>
      <c r="BG239" s="24"/>
      <c r="BH239" s="34"/>
      <c r="BI239" s="43" t="s">
        <v>280</v>
      </c>
      <c r="BJ239" s="19">
        <v>0</v>
      </c>
      <c r="BK239" s="31" t="s">
        <v>144</v>
      </c>
      <c r="BL239" s="31">
        <f>STDEV(BJ234:BJ256)</f>
        <v>0.59973643750101024</v>
      </c>
      <c r="BN239" s="34"/>
      <c r="BT239" s="34"/>
      <c r="BZ239" s="34"/>
      <c r="CF239" s="36"/>
      <c r="CL239" s="36"/>
      <c r="CR239" s="36"/>
    </row>
    <row r="240" spans="31:96" x14ac:dyDescent="0.2">
      <c r="AE240" s="24"/>
      <c r="AF240" s="24"/>
      <c r="AG240" s="24"/>
      <c r="AH240" s="24"/>
      <c r="AJ240" s="34"/>
      <c r="AK240" s="54"/>
      <c r="AL240" s="33"/>
      <c r="AM240" s="33"/>
      <c r="AN240" s="33"/>
      <c r="AO240" s="24"/>
      <c r="AQ240" s="49"/>
      <c r="AR240" s="33"/>
      <c r="AS240" s="24"/>
      <c r="AT240" s="24"/>
      <c r="AU240" s="24"/>
      <c r="AW240" s="49"/>
      <c r="AX240" s="33"/>
      <c r="AY240" s="33"/>
      <c r="AZ240" s="33"/>
      <c r="BA240" s="24"/>
      <c r="BC240" s="49"/>
      <c r="BD240" s="33"/>
      <c r="BE240" s="33"/>
      <c r="BF240" s="33"/>
      <c r="BG240" s="24"/>
      <c r="BH240" s="34"/>
      <c r="BI240" s="43" t="s">
        <v>281</v>
      </c>
      <c r="BJ240" s="19">
        <v>0</v>
      </c>
      <c r="BN240" s="34"/>
      <c r="BT240" s="34"/>
      <c r="BZ240" s="34"/>
      <c r="CF240" s="36"/>
      <c r="CL240" s="36"/>
      <c r="CR240" s="36"/>
    </row>
    <row r="241" spans="31:96" x14ac:dyDescent="0.2">
      <c r="AE241" s="24"/>
      <c r="AF241" s="24"/>
      <c r="AG241" s="24"/>
      <c r="AH241" s="24"/>
      <c r="AJ241" s="34"/>
      <c r="AK241" s="54"/>
      <c r="AL241" s="33"/>
      <c r="AM241" s="33"/>
      <c r="AN241" s="33"/>
      <c r="AO241" s="24"/>
      <c r="AQ241" s="49"/>
      <c r="AR241" s="33"/>
      <c r="AS241" s="24"/>
      <c r="AT241" s="24"/>
      <c r="AU241" s="24"/>
      <c r="AW241" s="49"/>
      <c r="AX241" s="33"/>
      <c r="AY241" s="33"/>
      <c r="AZ241" s="33"/>
      <c r="BA241" s="24"/>
      <c r="BC241" s="49"/>
      <c r="BD241" s="33"/>
      <c r="BE241" s="33"/>
      <c r="BF241" s="33"/>
      <c r="BG241" s="24"/>
      <c r="BH241" s="34"/>
      <c r="BI241" s="43" t="s">
        <v>282</v>
      </c>
      <c r="BJ241" s="19">
        <v>0</v>
      </c>
      <c r="BN241" s="34"/>
      <c r="BT241" s="34"/>
      <c r="BZ241" s="34"/>
      <c r="CF241" s="36"/>
      <c r="CL241" s="36"/>
      <c r="CR241" s="36"/>
    </row>
    <row r="242" spans="31:96" x14ac:dyDescent="0.2">
      <c r="AE242" s="24"/>
      <c r="AF242" s="24"/>
      <c r="AG242" s="24"/>
      <c r="AH242" s="24"/>
      <c r="AJ242" s="34"/>
      <c r="AK242" s="25"/>
      <c r="AL242" s="33"/>
      <c r="AM242" s="33"/>
      <c r="AN242" s="33"/>
      <c r="AO242" s="24"/>
      <c r="AQ242" s="49"/>
      <c r="AR242" s="33"/>
      <c r="AS242" s="24"/>
      <c r="AT242" s="24"/>
      <c r="AU242" s="24"/>
      <c r="AW242" s="49"/>
      <c r="AX242" s="33"/>
      <c r="AY242" s="33"/>
      <c r="AZ242" s="33"/>
      <c r="BA242" s="24"/>
      <c r="BC242" s="49"/>
      <c r="BD242" s="33"/>
      <c r="BE242" s="33"/>
      <c r="BF242" s="33"/>
      <c r="BG242" s="24"/>
      <c r="BH242" s="34"/>
      <c r="BI242" s="43" t="s">
        <v>283</v>
      </c>
      <c r="BJ242" s="19">
        <v>0</v>
      </c>
      <c r="BN242" s="34"/>
      <c r="BT242" s="34"/>
      <c r="BZ242" s="34"/>
      <c r="CF242" s="36"/>
      <c r="CL242" s="36"/>
      <c r="CR242" s="36"/>
    </row>
    <row r="243" spans="31:96" x14ac:dyDescent="0.2">
      <c r="AE243" s="24"/>
      <c r="AF243" s="24"/>
      <c r="AG243" s="24"/>
      <c r="AH243" s="24"/>
      <c r="AJ243" s="34"/>
      <c r="AK243" s="54"/>
      <c r="AL243" s="33"/>
      <c r="AM243" s="33"/>
      <c r="AN243" s="33"/>
      <c r="AO243" s="24"/>
      <c r="AQ243" s="49"/>
      <c r="AR243" s="33"/>
      <c r="AS243" s="24"/>
      <c r="AT243" s="24"/>
      <c r="AU243" s="24"/>
      <c r="AW243" s="49"/>
      <c r="AX243" s="33"/>
      <c r="AY243" s="33"/>
      <c r="AZ243" s="33"/>
      <c r="BA243" s="24"/>
      <c r="BC243" s="49"/>
      <c r="BD243" s="33"/>
      <c r="BE243" s="33"/>
      <c r="BF243" s="33"/>
      <c r="BG243" s="24"/>
      <c r="BH243" s="34"/>
      <c r="BI243" s="43" t="s">
        <v>284</v>
      </c>
      <c r="BJ243" s="19">
        <v>0</v>
      </c>
      <c r="BN243" s="34"/>
      <c r="BT243" s="34"/>
      <c r="BZ243" s="34"/>
      <c r="CF243" s="36"/>
      <c r="CL243" s="36"/>
      <c r="CR243" s="36"/>
    </row>
    <row r="244" spans="31:96" x14ac:dyDescent="0.2">
      <c r="AE244" s="24"/>
      <c r="AF244" s="24"/>
      <c r="AG244" s="24"/>
      <c r="AH244" s="24"/>
      <c r="AJ244" s="34"/>
      <c r="AK244" s="54"/>
      <c r="AL244" s="33"/>
      <c r="AM244" s="33"/>
      <c r="AN244" s="33"/>
      <c r="AO244" s="24"/>
      <c r="AQ244" s="49"/>
      <c r="AR244" s="33"/>
      <c r="AS244" s="24"/>
      <c r="AT244" s="24"/>
      <c r="AU244" s="24"/>
      <c r="AW244" s="49"/>
      <c r="AX244" s="33"/>
      <c r="AY244" s="33"/>
      <c r="AZ244" s="33"/>
      <c r="BA244" s="24"/>
      <c r="BC244" s="49"/>
      <c r="BD244" s="33"/>
      <c r="BE244" s="33"/>
      <c r="BF244" s="33"/>
      <c r="BG244" s="24"/>
      <c r="BH244" s="34"/>
      <c r="BI244" s="43" t="s">
        <v>119</v>
      </c>
      <c r="BJ244" s="19">
        <v>0</v>
      </c>
      <c r="BN244" s="34"/>
      <c r="BT244" s="34"/>
      <c r="BZ244" s="34"/>
      <c r="CF244" s="36"/>
      <c r="CL244" s="36"/>
      <c r="CR244" s="36"/>
    </row>
    <row r="245" spans="31:96" x14ac:dyDescent="0.2">
      <c r="AE245" s="24"/>
      <c r="AF245" s="24"/>
      <c r="AG245" s="24"/>
      <c r="AH245" s="24"/>
      <c r="AJ245" s="34"/>
      <c r="AK245" s="54"/>
      <c r="AL245" s="33"/>
      <c r="AM245" s="33"/>
      <c r="AN245" s="33"/>
      <c r="AO245" s="24"/>
      <c r="AQ245" s="49"/>
      <c r="AR245" s="33"/>
      <c r="AS245" s="24"/>
      <c r="AT245" s="24"/>
      <c r="AU245" s="24"/>
      <c r="AW245" s="49"/>
      <c r="AX245" s="33"/>
      <c r="AY245" s="33"/>
      <c r="AZ245" s="33"/>
      <c r="BA245" s="24"/>
      <c r="BC245" s="49"/>
      <c r="BD245" s="33"/>
      <c r="BE245" s="33"/>
      <c r="BF245" s="33"/>
      <c r="BG245" s="24"/>
      <c r="BH245" s="34"/>
      <c r="BI245" s="43" t="s">
        <v>211</v>
      </c>
      <c r="BJ245" s="19">
        <v>2</v>
      </c>
      <c r="BN245" s="34"/>
      <c r="BT245" s="34"/>
      <c r="BZ245" s="34"/>
      <c r="CF245" s="36"/>
      <c r="CL245" s="36"/>
      <c r="CR245" s="36"/>
    </row>
    <row r="246" spans="31:96" x14ac:dyDescent="0.2">
      <c r="AE246" s="24"/>
      <c r="AF246" s="24"/>
      <c r="AG246" s="24"/>
      <c r="AH246" s="24"/>
      <c r="AJ246" s="34"/>
      <c r="AK246" s="54"/>
      <c r="AL246" s="33"/>
      <c r="AM246" s="33"/>
      <c r="AN246" s="33"/>
      <c r="AO246" s="24"/>
      <c r="AQ246" s="49"/>
      <c r="AR246" s="33"/>
      <c r="AS246" s="24"/>
      <c r="AT246" s="24"/>
      <c r="AU246" s="24"/>
      <c r="AW246" s="49"/>
      <c r="AX246" s="33"/>
      <c r="AY246" s="33"/>
      <c r="AZ246" s="33"/>
      <c r="BA246" s="24"/>
      <c r="BC246" s="49"/>
      <c r="BD246" s="33"/>
      <c r="BE246" s="33"/>
      <c r="BF246" s="33"/>
      <c r="BG246" s="24"/>
      <c r="BH246" s="34"/>
      <c r="BI246" s="43" t="s">
        <v>219</v>
      </c>
      <c r="BJ246" s="19">
        <v>0</v>
      </c>
      <c r="BN246" s="34"/>
      <c r="BT246" s="34"/>
      <c r="BZ246" s="34"/>
      <c r="CF246" s="36"/>
      <c r="CL246" s="36"/>
      <c r="CR246" s="36"/>
    </row>
    <row r="247" spans="31:96" x14ac:dyDescent="0.2">
      <c r="AE247" s="24"/>
      <c r="AF247" s="24"/>
      <c r="AG247" s="24"/>
      <c r="AH247" s="24"/>
      <c r="AJ247" s="34"/>
      <c r="AK247" s="54"/>
      <c r="AL247" s="33"/>
      <c r="AM247" s="33"/>
      <c r="AN247" s="33"/>
      <c r="AO247" s="24"/>
      <c r="AQ247" s="49"/>
      <c r="AR247" s="33"/>
      <c r="AS247" s="24"/>
      <c r="AT247" s="24"/>
      <c r="AU247" s="24"/>
      <c r="AW247" s="49"/>
      <c r="AX247" s="33"/>
      <c r="AY247" s="33"/>
      <c r="AZ247" s="33"/>
      <c r="BA247" s="24"/>
      <c r="BC247" s="49"/>
      <c r="BD247" s="33"/>
      <c r="BE247" s="33"/>
      <c r="BF247" s="33"/>
      <c r="BG247" s="24"/>
      <c r="BH247" s="34"/>
      <c r="BI247" s="43" t="s">
        <v>285</v>
      </c>
      <c r="BJ247" s="19">
        <v>0</v>
      </c>
      <c r="BN247" s="34"/>
      <c r="BT247" s="34"/>
      <c r="BZ247" s="34"/>
      <c r="CF247" s="36"/>
      <c r="CL247" s="36"/>
      <c r="CR247" s="36"/>
    </row>
    <row r="248" spans="31:96" x14ac:dyDescent="0.2">
      <c r="AE248" s="24"/>
      <c r="AF248" s="24"/>
      <c r="AG248" s="24"/>
      <c r="AH248" s="24"/>
      <c r="AJ248" s="34"/>
      <c r="AK248" s="54"/>
      <c r="AL248" s="33"/>
      <c r="AM248" s="33"/>
      <c r="AN248" s="33"/>
      <c r="AO248" s="24"/>
      <c r="AQ248" s="49"/>
      <c r="AR248" s="33"/>
      <c r="AS248" s="24"/>
      <c r="AT248" s="24"/>
      <c r="AU248" s="24"/>
      <c r="AW248" s="49"/>
      <c r="AX248" s="33"/>
      <c r="AY248" s="33"/>
      <c r="AZ248" s="33"/>
      <c r="BA248" s="24"/>
      <c r="BC248" s="49"/>
      <c r="BD248" s="33"/>
      <c r="BE248" s="33"/>
      <c r="BF248" s="33"/>
      <c r="BG248" s="24"/>
      <c r="BH248" s="34"/>
      <c r="BI248" s="43" t="s">
        <v>286</v>
      </c>
      <c r="BJ248" s="19">
        <v>1</v>
      </c>
      <c r="BN248" s="34"/>
      <c r="BT248" s="34"/>
      <c r="BZ248" s="34"/>
      <c r="CF248" s="36"/>
      <c r="CL248" s="36"/>
      <c r="CR248" s="36"/>
    </row>
    <row r="249" spans="31:96" x14ac:dyDescent="0.2">
      <c r="AE249" s="24"/>
      <c r="AF249" s="24"/>
      <c r="AG249" s="24"/>
      <c r="AH249" s="24"/>
      <c r="AJ249" s="34"/>
      <c r="AK249" s="54"/>
      <c r="AL249" s="33"/>
      <c r="AM249" s="33"/>
      <c r="AN249" s="33"/>
      <c r="AO249" s="24"/>
      <c r="AQ249" s="49"/>
      <c r="AR249" s="33"/>
      <c r="AS249" s="24"/>
      <c r="AT249" s="24"/>
      <c r="AU249" s="24"/>
      <c r="AW249" s="49"/>
      <c r="AX249" s="33"/>
      <c r="AY249" s="33"/>
      <c r="AZ249" s="33"/>
      <c r="BA249" s="24"/>
      <c r="BC249" s="49"/>
      <c r="BD249" s="33"/>
      <c r="BE249" s="33"/>
      <c r="BF249" s="33"/>
      <c r="BG249" s="24"/>
      <c r="BH249" s="34"/>
      <c r="BI249" s="43" t="s">
        <v>287</v>
      </c>
      <c r="BJ249" s="19">
        <v>0</v>
      </c>
      <c r="BN249" s="34"/>
      <c r="BT249" s="34"/>
      <c r="BZ249" s="34"/>
      <c r="CF249" s="36"/>
      <c r="CL249" s="36"/>
      <c r="CR249" s="36"/>
    </row>
    <row r="250" spans="31:96" x14ac:dyDescent="0.2">
      <c r="AE250" s="24"/>
      <c r="AF250" s="24"/>
      <c r="AG250" s="24"/>
      <c r="AH250" s="24"/>
      <c r="AJ250" s="34"/>
      <c r="AK250" s="54"/>
      <c r="AL250" s="33"/>
      <c r="AM250" s="33"/>
      <c r="AN250" s="33"/>
      <c r="AO250" s="24"/>
      <c r="AQ250" s="49"/>
      <c r="AR250" s="33"/>
      <c r="AS250" s="24"/>
      <c r="AT250" s="24"/>
      <c r="AU250" s="24"/>
      <c r="AW250" s="49"/>
      <c r="AX250" s="33"/>
      <c r="AY250" s="33"/>
      <c r="AZ250" s="33"/>
      <c r="BA250" s="24"/>
      <c r="BC250" s="49"/>
      <c r="BD250" s="33"/>
      <c r="BE250" s="33"/>
      <c r="BF250" s="33"/>
      <c r="BG250" s="24"/>
      <c r="BH250" s="34"/>
      <c r="BI250" s="43" t="s">
        <v>288</v>
      </c>
      <c r="BJ250" s="19">
        <v>0</v>
      </c>
      <c r="BN250" s="34"/>
      <c r="BT250" s="34"/>
      <c r="BZ250" s="34"/>
      <c r="CF250" s="36"/>
      <c r="CL250" s="36"/>
      <c r="CR250" s="36"/>
    </row>
    <row r="251" spans="31:96" x14ac:dyDescent="0.2">
      <c r="AE251" s="24"/>
      <c r="AF251" s="24"/>
      <c r="AG251" s="24"/>
      <c r="AH251" s="24"/>
      <c r="AJ251" s="34"/>
      <c r="AK251" s="54"/>
      <c r="AL251" s="33"/>
      <c r="AM251" s="33"/>
      <c r="AN251" s="33"/>
      <c r="AO251" s="24"/>
      <c r="AQ251" s="49"/>
      <c r="AR251" s="33"/>
      <c r="AS251" s="24"/>
      <c r="AT251" s="24"/>
      <c r="AU251" s="24"/>
      <c r="AW251" s="25"/>
      <c r="AX251" s="33"/>
      <c r="AY251" s="24"/>
      <c r="AZ251" s="24"/>
      <c r="BA251" s="24"/>
      <c r="BC251" s="25"/>
      <c r="BD251" s="33"/>
      <c r="BE251" s="24"/>
      <c r="BF251" s="24"/>
      <c r="BG251" s="24"/>
      <c r="BH251" s="34"/>
      <c r="BI251" s="43" t="s">
        <v>289</v>
      </c>
      <c r="BJ251" s="19">
        <v>0</v>
      </c>
      <c r="BN251" s="34"/>
      <c r="BT251" s="34"/>
      <c r="BZ251" s="34"/>
      <c r="CF251" s="36"/>
      <c r="CL251" s="36"/>
      <c r="CR251" s="36"/>
    </row>
    <row r="252" spans="31:96" x14ac:dyDescent="0.2">
      <c r="AE252" s="24"/>
      <c r="AF252" s="24"/>
      <c r="AG252" s="24"/>
      <c r="AH252" s="24"/>
      <c r="AJ252" s="34"/>
      <c r="AK252" s="54"/>
      <c r="AL252" s="33"/>
      <c r="AM252" s="24"/>
      <c r="AN252" s="24"/>
      <c r="AO252" s="24"/>
      <c r="AQ252" s="49"/>
      <c r="AR252" s="33"/>
      <c r="AS252" s="24"/>
      <c r="AT252" s="24"/>
      <c r="AU252" s="24"/>
      <c r="AW252" s="49"/>
      <c r="AX252" s="33"/>
      <c r="AY252" s="24"/>
      <c r="AZ252" s="24"/>
      <c r="BA252" s="24"/>
      <c r="BC252" s="49"/>
      <c r="BD252" s="33"/>
      <c r="BE252" s="24"/>
      <c r="BF252" s="24"/>
      <c r="BG252" s="24"/>
      <c r="BH252" s="34"/>
      <c r="BI252" s="43" t="s">
        <v>290</v>
      </c>
      <c r="BJ252" s="19">
        <v>0</v>
      </c>
      <c r="BN252" s="34"/>
      <c r="BT252" s="34"/>
      <c r="BZ252" s="34"/>
      <c r="CF252" s="36"/>
      <c r="CL252" s="36"/>
      <c r="CR252" s="36"/>
    </row>
    <row r="253" spans="31:96" x14ac:dyDescent="0.2">
      <c r="AE253" s="24"/>
      <c r="AF253" s="24"/>
      <c r="AG253" s="24"/>
      <c r="AH253" s="24"/>
      <c r="AJ253" s="34"/>
      <c r="AK253" s="54"/>
      <c r="AL253" s="33"/>
      <c r="AM253" s="24"/>
      <c r="AN253" s="24"/>
      <c r="AO253" s="24"/>
      <c r="AQ253" s="49"/>
      <c r="AR253" s="33"/>
      <c r="AS253" s="24"/>
      <c r="AT253" s="24"/>
      <c r="AU253" s="24"/>
      <c r="AW253" s="49"/>
      <c r="AX253" s="33"/>
      <c r="AY253" s="24"/>
      <c r="AZ253" s="24"/>
      <c r="BA253" s="24"/>
      <c r="BC253" s="49"/>
      <c r="BD253" s="33"/>
      <c r="BE253" s="24"/>
      <c r="BF253" s="24"/>
      <c r="BG253" s="24"/>
      <c r="BH253" s="34"/>
      <c r="BI253" s="43" t="s">
        <v>291</v>
      </c>
      <c r="BJ253" s="19">
        <v>0</v>
      </c>
      <c r="BN253" s="34"/>
      <c r="BT253" s="34"/>
      <c r="BZ253" s="34"/>
      <c r="CF253" s="36"/>
      <c r="CL253" s="36"/>
      <c r="CR253" s="36"/>
    </row>
    <row r="254" spans="31:96" x14ac:dyDescent="0.2">
      <c r="AE254" s="24"/>
      <c r="AF254" s="24"/>
      <c r="AG254" s="24"/>
      <c r="AH254" s="24"/>
      <c r="AJ254" s="34"/>
      <c r="AK254" s="54"/>
      <c r="AL254" s="33"/>
      <c r="AM254" s="24"/>
      <c r="AN254" s="24"/>
      <c r="AO254" s="24"/>
      <c r="AQ254" s="49"/>
      <c r="AR254" s="33"/>
      <c r="AS254" s="24"/>
      <c r="AT254" s="24"/>
      <c r="AU254" s="24"/>
      <c r="AW254" s="49"/>
      <c r="AX254" s="33"/>
      <c r="AY254" s="24"/>
      <c r="AZ254" s="24"/>
      <c r="BA254" s="24"/>
      <c r="BC254" s="49"/>
      <c r="BD254" s="33"/>
      <c r="BE254" s="24"/>
      <c r="BF254" s="24"/>
      <c r="BG254" s="24"/>
      <c r="BH254" s="34"/>
      <c r="BI254" s="43" t="s">
        <v>292</v>
      </c>
      <c r="BJ254" s="19">
        <v>0</v>
      </c>
      <c r="BN254" s="34"/>
      <c r="BT254" s="34"/>
      <c r="BZ254" s="34"/>
      <c r="CF254" s="36"/>
      <c r="CL254" s="36"/>
      <c r="CR254" s="36"/>
    </row>
    <row r="255" spans="31:96" x14ac:dyDescent="0.2">
      <c r="AE255" s="24"/>
      <c r="AF255" s="24"/>
      <c r="AG255" s="24"/>
      <c r="AH255" s="24"/>
      <c r="AJ255" s="34"/>
      <c r="AK255" s="54"/>
      <c r="AL255" s="33"/>
      <c r="AM255" s="24"/>
      <c r="AN255" s="24"/>
      <c r="AO255" s="24"/>
      <c r="AQ255" s="49"/>
      <c r="AR255" s="33"/>
      <c r="AS255" s="24"/>
      <c r="AT255" s="24"/>
      <c r="AU255" s="24"/>
      <c r="AW255" s="49"/>
      <c r="AX255" s="33"/>
      <c r="AY255" s="24"/>
      <c r="AZ255" s="24"/>
      <c r="BA255" s="24"/>
      <c r="BC255" s="49"/>
      <c r="BD255" s="33"/>
      <c r="BE255" s="24"/>
      <c r="BF255" s="24"/>
      <c r="BG255" s="24"/>
      <c r="BH255" s="34"/>
      <c r="BI255" s="43" t="s">
        <v>293</v>
      </c>
      <c r="BJ255" s="19">
        <v>0</v>
      </c>
      <c r="BN255" s="34"/>
      <c r="BT255" s="34"/>
      <c r="BZ255" s="34"/>
      <c r="CF255" s="36"/>
      <c r="CL255" s="36"/>
      <c r="CR255" s="36"/>
    </row>
    <row r="256" spans="31:96" x14ac:dyDescent="0.2">
      <c r="AE256" s="24"/>
      <c r="AF256" s="24"/>
      <c r="AG256" s="24"/>
      <c r="AH256" s="24"/>
      <c r="AJ256" s="34"/>
      <c r="AK256" s="54"/>
      <c r="AL256" s="33"/>
      <c r="AM256" s="24"/>
      <c r="AN256" s="24"/>
      <c r="AO256" s="24"/>
      <c r="AQ256" s="49"/>
      <c r="AR256" s="33"/>
      <c r="AS256" s="24"/>
      <c r="AT256" s="24"/>
      <c r="AU256" s="24"/>
      <c r="AW256" s="49"/>
      <c r="AX256" s="33"/>
      <c r="AY256" s="24"/>
      <c r="AZ256" s="24"/>
      <c r="BA256" s="24"/>
      <c r="BC256" s="49"/>
      <c r="BD256" s="33"/>
      <c r="BE256" s="24"/>
      <c r="BF256" s="24"/>
      <c r="BG256" s="24"/>
      <c r="BH256" s="34"/>
      <c r="BI256" s="43" t="s">
        <v>294</v>
      </c>
      <c r="BJ256" s="19">
        <v>0</v>
      </c>
      <c r="BN256" s="34"/>
      <c r="BT256" s="34"/>
      <c r="BZ256" s="34"/>
      <c r="CF256" s="36"/>
      <c r="CL256" s="36"/>
      <c r="CR256" s="36"/>
    </row>
    <row r="257" spans="31:96" x14ac:dyDescent="0.2">
      <c r="AE257" s="24"/>
      <c r="AF257" s="24"/>
      <c r="AG257" s="24"/>
      <c r="AH257" s="24"/>
      <c r="AJ257" s="34"/>
      <c r="AK257" s="54"/>
      <c r="AL257" s="33"/>
      <c r="AM257" s="24"/>
      <c r="AN257" s="24"/>
      <c r="AO257" s="24"/>
      <c r="AQ257" s="49"/>
      <c r="AR257" s="33"/>
      <c r="AS257" s="24"/>
      <c r="AT257" s="24"/>
      <c r="AU257" s="24"/>
      <c r="AW257" s="49"/>
      <c r="AX257" s="33"/>
      <c r="AY257" s="24"/>
      <c r="AZ257" s="24"/>
      <c r="BA257" s="24"/>
      <c r="BC257" s="49"/>
      <c r="BD257" s="33"/>
      <c r="BE257" s="24"/>
      <c r="BF257" s="24"/>
      <c r="BG257" s="24"/>
      <c r="BH257" s="34"/>
      <c r="BN257" s="34"/>
      <c r="BT257" s="34"/>
      <c r="BZ257" s="34"/>
      <c r="CF257" s="36"/>
      <c r="CL257" s="36"/>
      <c r="CR257" s="36"/>
    </row>
    <row r="258" spans="31:96" x14ac:dyDescent="0.2">
      <c r="AE258" s="36"/>
      <c r="AF258" s="36"/>
      <c r="AG258" s="36"/>
      <c r="AH258" s="36"/>
      <c r="AI258" s="36"/>
      <c r="AJ258" s="36"/>
      <c r="AK258" s="56"/>
      <c r="AL258" s="57"/>
      <c r="AM258" s="36"/>
      <c r="AN258" s="36"/>
      <c r="AO258" s="36"/>
      <c r="AP258" s="36"/>
      <c r="AQ258" s="58"/>
      <c r="AR258" s="57"/>
      <c r="AS258" s="36"/>
      <c r="AT258" s="36"/>
      <c r="AU258" s="36"/>
      <c r="AV258" s="36"/>
      <c r="AW258" s="58"/>
      <c r="AX258" s="57"/>
      <c r="AY258" s="36"/>
      <c r="AZ258" s="36"/>
      <c r="BA258" s="36"/>
      <c r="BB258" s="36"/>
      <c r="BC258" s="36"/>
      <c r="BD258" s="57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6"/>
      <c r="BQ258" s="36"/>
      <c r="BR258" s="36"/>
      <c r="BS258" s="36"/>
      <c r="BT258" s="36"/>
      <c r="BU258" s="36"/>
      <c r="BV258" s="36"/>
      <c r="BW258" s="36"/>
      <c r="BX258" s="36"/>
      <c r="BY258" s="36"/>
      <c r="BZ258" s="36"/>
      <c r="CA258" s="36"/>
      <c r="CB258" s="36"/>
      <c r="CC258" s="36"/>
      <c r="CD258" s="36"/>
      <c r="CE258" s="36"/>
      <c r="CF258" s="36"/>
      <c r="CL258" s="36"/>
      <c r="CR258" s="36"/>
    </row>
    <row r="259" spans="31:96" x14ac:dyDescent="0.2">
      <c r="AE259" s="36"/>
      <c r="AF259" s="36"/>
      <c r="AG259" s="36"/>
      <c r="AH259" s="36"/>
      <c r="AI259" s="36"/>
      <c r="AJ259" s="36"/>
      <c r="AK259" s="56"/>
      <c r="AL259" s="57"/>
      <c r="AM259" s="36"/>
      <c r="AN259" s="36"/>
      <c r="AO259" s="36"/>
      <c r="AP259" s="36"/>
      <c r="AQ259" s="58"/>
      <c r="AR259" s="57"/>
      <c r="AS259" s="36"/>
      <c r="AT259" s="36"/>
      <c r="AU259" s="36"/>
      <c r="AV259" s="36"/>
      <c r="AW259" s="58"/>
      <c r="AX259" s="57"/>
      <c r="AY259" s="36"/>
      <c r="AZ259" s="36"/>
      <c r="BA259" s="36"/>
      <c r="BB259" s="36"/>
      <c r="BC259" s="36"/>
      <c r="BD259" s="57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6"/>
      <c r="BQ259" s="36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6"/>
      <c r="CC259" s="36"/>
      <c r="CD259" s="36"/>
      <c r="CE259" s="36"/>
      <c r="CF259" s="36"/>
      <c r="CL259" s="36"/>
      <c r="CR259" s="36"/>
    </row>
    <row r="260" spans="31:96" x14ac:dyDescent="0.2">
      <c r="AE260" s="24"/>
      <c r="AF260" s="24"/>
      <c r="AG260" s="24"/>
      <c r="AH260" s="24"/>
      <c r="AK260" s="54"/>
      <c r="AL260" s="33"/>
      <c r="AM260" s="24"/>
      <c r="AN260" s="24"/>
      <c r="AO260" s="24"/>
      <c r="AP260" s="24"/>
      <c r="AQ260" s="49"/>
      <c r="AR260" s="33"/>
      <c r="AS260" s="24"/>
      <c r="AT260" s="24"/>
      <c r="AU260" s="24"/>
      <c r="AV260" s="24"/>
      <c r="AW260" s="49"/>
      <c r="AX260" s="33"/>
      <c r="AY260" s="24"/>
      <c r="AZ260" s="24"/>
      <c r="BA260" s="24"/>
      <c r="BB260" s="24"/>
      <c r="BC260" s="49"/>
      <c r="BD260" s="33"/>
      <c r="BE260" s="24"/>
      <c r="BF260" s="24"/>
      <c r="BG260" s="24"/>
      <c r="BN260" s="24"/>
      <c r="BT260" s="24"/>
      <c r="BZ260" s="24"/>
      <c r="CF260" s="24"/>
      <c r="CL260" s="24"/>
      <c r="CR260" s="24"/>
    </row>
    <row r="261" spans="31:96" x14ac:dyDescent="0.2">
      <c r="AE261" s="24"/>
      <c r="AF261" s="24"/>
      <c r="AG261" s="24"/>
      <c r="AH261" s="24"/>
      <c r="AK261" s="54"/>
      <c r="AL261" s="33"/>
      <c r="AM261" s="24"/>
      <c r="AN261" s="24"/>
      <c r="AO261" s="24"/>
      <c r="AP261" s="24"/>
      <c r="AQ261" s="49"/>
      <c r="AR261" s="33"/>
      <c r="AS261" s="24"/>
      <c r="AT261" s="24"/>
      <c r="AU261" s="24"/>
      <c r="AV261" s="24"/>
      <c r="AW261" s="49"/>
      <c r="AX261" s="33"/>
      <c r="AY261" s="24"/>
      <c r="AZ261" s="24"/>
      <c r="BA261" s="24"/>
      <c r="BB261" s="24"/>
      <c r="BC261" s="49"/>
      <c r="BD261" s="33"/>
      <c r="BE261" s="24"/>
      <c r="BF261" s="24"/>
      <c r="BG261" s="24"/>
      <c r="BN261" s="24"/>
      <c r="BT261" s="24"/>
      <c r="BZ261" s="24"/>
      <c r="CF261" s="24"/>
      <c r="CL261" s="24"/>
      <c r="CR261" s="24"/>
    </row>
    <row r="262" spans="31:96" x14ac:dyDescent="0.2">
      <c r="AE262" s="24"/>
      <c r="AF262" s="24"/>
      <c r="AG262" s="24"/>
      <c r="AH262" s="24"/>
      <c r="AK262" s="54"/>
      <c r="AL262" s="33"/>
      <c r="AM262" s="24"/>
      <c r="AN262" s="24"/>
      <c r="AO262" s="24"/>
      <c r="AP262" s="24"/>
      <c r="AQ262" s="25"/>
      <c r="AR262" s="33"/>
      <c r="AS262" s="24"/>
      <c r="AT262" s="24"/>
      <c r="AU262" s="24"/>
      <c r="AV262" s="24"/>
      <c r="AW262" s="49"/>
      <c r="AX262" s="33"/>
      <c r="AY262" s="24"/>
      <c r="AZ262" s="24"/>
      <c r="BA262" s="24"/>
      <c r="BB262" s="24"/>
      <c r="BC262" s="49"/>
      <c r="BD262" s="33"/>
      <c r="BE262" s="24"/>
      <c r="BF262" s="24"/>
      <c r="BG262" s="24"/>
      <c r="BN262" s="24"/>
      <c r="BT262" s="24"/>
      <c r="BZ262" s="24"/>
      <c r="CF262" s="24"/>
      <c r="CL262" s="24"/>
      <c r="CR262" s="24"/>
    </row>
    <row r="263" spans="31:96" x14ac:dyDescent="0.2">
      <c r="AE263" s="24"/>
      <c r="AF263" s="24"/>
      <c r="AG263" s="24"/>
      <c r="AH263" s="24"/>
      <c r="AK263" s="54"/>
      <c r="AL263" s="33"/>
      <c r="AM263" s="24"/>
      <c r="AN263" s="24"/>
      <c r="AO263" s="24"/>
      <c r="AP263" s="24"/>
      <c r="AQ263" s="25"/>
      <c r="AR263" s="33"/>
      <c r="AS263" s="24"/>
      <c r="AT263" s="24"/>
      <c r="AU263" s="24"/>
      <c r="AV263" s="24"/>
      <c r="AW263" s="49"/>
      <c r="AX263" s="33"/>
      <c r="AY263" s="24"/>
      <c r="AZ263" s="24"/>
      <c r="BA263" s="24"/>
      <c r="BB263" s="24"/>
      <c r="BC263" s="49"/>
      <c r="BD263" s="33"/>
      <c r="BE263" s="24"/>
      <c r="BF263" s="24"/>
      <c r="BG263" s="24"/>
      <c r="BN263" s="24"/>
      <c r="BT263" s="24"/>
      <c r="BZ263" s="24"/>
      <c r="CF263" s="24"/>
      <c r="CL263" s="24"/>
      <c r="CR263" s="24"/>
    </row>
    <row r="264" spans="31:96" x14ac:dyDescent="0.2">
      <c r="AE264" s="24"/>
      <c r="AF264" s="24"/>
      <c r="AG264" s="24"/>
      <c r="AH264" s="24"/>
      <c r="AK264" s="54"/>
      <c r="AL264" s="33"/>
      <c r="AM264" s="24"/>
      <c r="AN264" s="24"/>
      <c r="AO264" s="24"/>
      <c r="AP264" s="24"/>
      <c r="AQ264" s="25"/>
      <c r="AR264" s="33"/>
      <c r="AS264" s="24"/>
      <c r="AT264" s="24"/>
      <c r="AU264" s="24"/>
      <c r="AV264" s="24"/>
      <c r="AW264" s="49"/>
      <c r="AX264" s="33"/>
      <c r="AY264" s="24"/>
      <c r="AZ264" s="24"/>
      <c r="BA264" s="24"/>
      <c r="BB264" s="24"/>
      <c r="BC264" s="49"/>
      <c r="BD264" s="33"/>
      <c r="BE264" s="24"/>
      <c r="BF264" s="24"/>
      <c r="BG264" s="24"/>
      <c r="BN264" s="24"/>
      <c r="BT264" s="24"/>
      <c r="BZ264" s="24"/>
      <c r="CF264" s="24"/>
      <c r="CL264" s="24"/>
      <c r="CR264" s="24"/>
    </row>
    <row r="265" spans="31:96" x14ac:dyDescent="0.2">
      <c r="AE265" s="24"/>
      <c r="AF265" s="24"/>
      <c r="AG265" s="24"/>
      <c r="AH265" s="24"/>
      <c r="AK265" s="24"/>
      <c r="AL265" s="24"/>
      <c r="AM265" s="24"/>
      <c r="AN265" s="24"/>
      <c r="AO265" s="24"/>
      <c r="AP265" s="24"/>
      <c r="AQ265" s="25"/>
      <c r="AR265" s="33"/>
      <c r="AS265" s="24"/>
      <c r="AT265" s="24"/>
      <c r="AU265" s="24"/>
      <c r="AV265" s="24"/>
      <c r="AW265" s="49"/>
      <c r="AX265" s="33"/>
      <c r="AY265" s="24"/>
      <c r="AZ265" s="24"/>
      <c r="BA265" s="24"/>
      <c r="BB265" s="24"/>
      <c r="BC265" s="49"/>
      <c r="BD265" s="33"/>
      <c r="BE265" s="24"/>
      <c r="BF265" s="24"/>
      <c r="BG265" s="24"/>
      <c r="BN265" s="24"/>
      <c r="BT265" s="24"/>
      <c r="BZ265" s="24"/>
      <c r="CF265" s="24"/>
      <c r="CL265" s="24"/>
      <c r="CR265" s="24"/>
    </row>
    <row r="266" spans="31:96" x14ac:dyDescent="0.2">
      <c r="AE266" s="24"/>
      <c r="AF266" s="24"/>
      <c r="AG266" s="24"/>
      <c r="AH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49"/>
      <c r="AX266" s="33"/>
      <c r="AY266" s="24"/>
      <c r="AZ266" s="24"/>
      <c r="BA266" s="24"/>
      <c r="BB266" s="24"/>
      <c r="BC266" s="49"/>
      <c r="BD266" s="33"/>
      <c r="BE266" s="24"/>
      <c r="BF266" s="24"/>
      <c r="BG266" s="24"/>
      <c r="BN266" s="24"/>
      <c r="BT266" s="24"/>
      <c r="BZ266" s="24"/>
      <c r="CF266" s="24"/>
      <c r="CL266" s="24"/>
      <c r="CR266" s="24"/>
    </row>
    <row r="267" spans="31:96" x14ac:dyDescent="0.2">
      <c r="AE267" s="24"/>
      <c r="AF267" s="24"/>
      <c r="AG267" s="24"/>
      <c r="AH267" s="24"/>
      <c r="AK267" s="33"/>
      <c r="AL267" s="33"/>
      <c r="AM267" s="33"/>
      <c r="AN267" s="33"/>
      <c r="AO267" s="24"/>
      <c r="AP267" s="24"/>
      <c r="AQ267" s="24"/>
      <c r="AR267" s="24"/>
      <c r="AS267" s="24"/>
      <c r="AT267" s="24"/>
      <c r="AU267" s="24"/>
      <c r="AV267" s="24"/>
      <c r="AW267" s="49"/>
      <c r="AX267" s="33"/>
      <c r="AY267" s="24"/>
      <c r="AZ267" s="24"/>
      <c r="BA267" s="24"/>
      <c r="BB267" s="24"/>
      <c r="BC267" s="49"/>
      <c r="BD267" s="33"/>
      <c r="BE267" s="24"/>
      <c r="BF267" s="24"/>
      <c r="BG267" s="24"/>
      <c r="BN267" s="24"/>
      <c r="BT267" s="24"/>
      <c r="BZ267" s="24"/>
      <c r="CF267" s="24"/>
      <c r="CL267" s="24"/>
      <c r="CR267" s="24"/>
    </row>
    <row r="268" spans="31:96" x14ac:dyDescent="0.2">
      <c r="AE268" s="24"/>
      <c r="AF268" s="24"/>
      <c r="AG268" s="24"/>
      <c r="AH268" s="24"/>
      <c r="AK268" s="33"/>
      <c r="AL268" s="33"/>
      <c r="AM268" s="33"/>
      <c r="AN268" s="33"/>
      <c r="AO268" s="24"/>
      <c r="AP268" s="24"/>
      <c r="AQ268" s="33"/>
      <c r="AR268" s="24"/>
      <c r="AS268" s="24"/>
      <c r="AT268" s="24"/>
      <c r="AU268" s="24"/>
      <c r="AV268" s="24"/>
      <c r="AW268" s="49"/>
      <c r="AX268" s="33"/>
      <c r="AY268" s="24"/>
      <c r="AZ268" s="24"/>
      <c r="BA268" s="24"/>
      <c r="BB268" s="24"/>
      <c r="BC268" s="49"/>
      <c r="BD268" s="33"/>
      <c r="BE268" s="24"/>
      <c r="BF268" s="24"/>
      <c r="BG268" s="24"/>
      <c r="BN268" s="24"/>
      <c r="BT268" s="24"/>
      <c r="BZ268" s="24"/>
      <c r="CF268" s="24"/>
      <c r="CL268" s="24"/>
      <c r="CR268" s="24"/>
    </row>
    <row r="269" spans="31:96" x14ac:dyDescent="0.2">
      <c r="AE269" s="24"/>
      <c r="AF269" s="24"/>
      <c r="AG269" s="24"/>
      <c r="AH269" s="24"/>
      <c r="AK269" s="54"/>
      <c r="AL269" s="33"/>
      <c r="AM269" s="33"/>
      <c r="AN269" s="33"/>
      <c r="AO269" s="24"/>
      <c r="AP269" s="24"/>
      <c r="AQ269" s="33"/>
      <c r="AR269" s="33"/>
      <c r="AS269" s="33"/>
      <c r="AT269" s="33"/>
      <c r="AU269" s="24"/>
      <c r="AV269" s="24"/>
      <c r="AW269" s="49"/>
      <c r="AX269" s="33"/>
      <c r="AY269" s="24"/>
      <c r="AZ269" s="24"/>
      <c r="BA269" s="24"/>
      <c r="BB269" s="24"/>
      <c r="BC269" s="49"/>
      <c r="BD269" s="33"/>
      <c r="BE269" s="24"/>
      <c r="BF269" s="24"/>
      <c r="BG269" s="24"/>
      <c r="BN269" s="24"/>
      <c r="BT269" s="24"/>
      <c r="BZ269" s="24"/>
      <c r="CF269" s="24"/>
      <c r="CL269" s="24"/>
      <c r="CR269" s="24"/>
    </row>
    <row r="270" spans="31:96" x14ac:dyDescent="0.2">
      <c r="AE270" s="24"/>
      <c r="AF270" s="24"/>
      <c r="AG270" s="24"/>
      <c r="AH270" s="24"/>
      <c r="AK270" s="54"/>
      <c r="AL270" s="33"/>
      <c r="AM270" s="33"/>
      <c r="AN270" s="33"/>
      <c r="AO270" s="24"/>
      <c r="AP270" s="24"/>
      <c r="AQ270" s="49"/>
      <c r="AR270" s="33"/>
      <c r="AS270" s="33"/>
      <c r="AT270" s="33"/>
      <c r="AU270" s="24"/>
      <c r="AV270" s="24"/>
      <c r="AW270" s="49"/>
      <c r="AX270" s="33"/>
      <c r="AY270" s="24"/>
      <c r="AZ270" s="24"/>
      <c r="BA270" s="24"/>
      <c r="BB270" s="24"/>
      <c r="BC270" s="49"/>
      <c r="BD270" s="33"/>
      <c r="BE270" s="24"/>
      <c r="BF270" s="24"/>
      <c r="BG270" s="24"/>
      <c r="BT270" s="24"/>
      <c r="BZ270" s="24"/>
      <c r="CF270" s="24"/>
      <c r="CL270" s="24"/>
      <c r="CR270" s="24"/>
    </row>
    <row r="271" spans="31:96" x14ac:dyDescent="0.2">
      <c r="AE271" s="24"/>
      <c r="AF271" s="24"/>
      <c r="AG271" s="24"/>
      <c r="AH271" s="24"/>
      <c r="AK271" s="25"/>
      <c r="AL271" s="33"/>
      <c r="AM271" s="33"/>
      <c r="AN271" s="33"/>
      <c r="AO271" s="24"/>
      <c r="AP271" s="24"/>
      <c r="AQ271" s="49"/>
      <c r="AR271" s="33"/>
      <c r="AS271" s="33"/>
      <c r="AT271" s="33"/>
      <c r="AU271" s="24"/>
      <c r="AV271" s="24"/>
      <c r="AW271" s="49"/>
      <c r="AX271" s="33"/>
      <c r="AY271" s="24"/>
      <c r="AZ271" s="24"/>
      <c r="BA271" s="24"/>
      <c r="BB271" s="24"/>
      <c r="BC271" s="49"/>
      <c r="BD271" s="33"/>
      <c r="BE271" s="24"/>
      <c r="BF271" s="24"/>
      <c r="BG271" s="24"/>
      <c r="BT271" s="24"/>
      <c r="BZ271" s="24"/>
      <c r="CF271" s="24"/>
      <c r="CL271" s="24"/>
      <c r="CR271" s="24"/>
    </row>
    <row r="272" spans="31:96" x14ac:dyDescent="0.2">
      <c r="AE272" s="24"/>
      <c r="AF272" s="24"/>
      <c r="AG272" s="24"/>
      <c r="AH272" s="24"/>
      <c r="AK272" s="54"/>
      <c r="AL272" s="33"/>
      <c r="AM272" s="33"/>
      <c r="AN272" s="33"/>
      <c r="AO272" s="24"/>
      <c r="AP272" s="24"/>
      <c r="AQ272" s="49"/>
      <c r="AR272" s="33"/>
      <c r="AS272" s="33"/>
      <c r="AT272" s="33"/>
      <c r="AU272" s="24"/>
      <c r="AV272" s="24"/>
      <c r="AW272" s="49"/>
      <c r="AX272" s="33"/>
      <c r="AY272" s="24"/>
      <c r="AZ272" s="24"/>
      <c r="BA272" s="24"/>
      <c r="BB272" s="24"/>
      <c r="BC272" s="49"/>
      <c r="BD272" s="33"/>
      <c r="BE272" s="24"/>
      <c r="BF272" s="24"/>
      <c r="BG272" s="24"/>
      <c r="BT272" s="24"/>
      <c r="BZ272" s="24"/>
      <c r="CF272" s="24"/>
      <c r="CL272" s="24"/>
      <c r="CR272" s="24"/>
    </row>
    <row r="273" spans="31:96" x14ac:dyDescent="0.2">
      <c r="AE273" s="24"/>
      <c r="AF273" s="24"/>
      <c r="AG273" s="24"/>
      <c r="AH273" s="24"/>
      <c r="AK273" s="54"/>
      <c r="AL273" s="33"/>
      <c r="AM273" s="33"/>
      <c r="AN273" s="33"/>
      <c r="AO273" s="24"/>
      <c r="AP273" s="24"/>
      <c r="AQ273" s="49"/>
      <c r="AR273" s="33"/>
      <c r="AS273" s="33"/>
      <c r="AT273" s="33"/>
      <c r="AU273" s="24"/>
      <c r="AV273" s="24"/>
      <c r="AW273" s="49"/>
      <c r="AX273" s="33"/>
      <c r="AY273" s="24"/>
      <c r="AZ273" s="24"/>
      <c r="BA273" s="24"/>
      <c r="BB273" s="24"/>
      <c r="BC273" s="49"/>
      <c r="BD273" s="33"/>
      <c r="BE273" s="24"/>
      <c r="BF273" s="24"/>
      <c r="BG273" s="24"/>
      <c r="BT273" s="24"/>
      <c r="BZ273" s="24"/>
      <c r="CF273" s="24"/>
      <c r="CL273" s="24"/>
      <c r="CR273" s="24"/>
    </row>
    <row r="274" spans="31:96" x14ac:dyDescent="0.2">
      <c r="AE274" s="24"/>
      <c r="AF274" s="24"/>
      <c r="AG274" s="24"/>
      <c r="AH274" s="24"/>
      <c r="AK274" s="54"/>
      <c r="AL274" s="33"/>
      <c r="AM274" s="33"/>
      <c r="AN274" s="33"/>
      <c r="AO274" s="24"/>
      <c r="AP274" s="24"/>
      <c r="AQ274" s="49"/>
      <c r="AR274" s="33"/>
      <c r="AS274" s="33"/>
      <c r="AT274" s="33"/>
      <c r="AU274" s="24"/>
      <c r="AV274" s="24"/>
      <c r="AW274" s="49"/>
      <c r="AX274" s="33"/>
      <c r="AY274" s="24"/>
      <c r="AZ274" s="24"/>
      <c r="BA274" s="24"/>
      <c r="BB274" s="24"/>
      <c r="BC274" s="49"/>
      <c r="BD274" s="33"/>
      <c r="BE274" s="24"/>
      <c r="BF274" s="24"/>
      <c r="BG274" s="24"/>
      <c r="BT274" s="24"/>
      <c r="BZ274" s="24"/>
      <c r="CF274" s="24"/>
      <c r="CL274" s="24"/>
      <c r="CR274" s="24"/>
    </row>
    <row r="275" spans="31:96" x14ac:dyDescent="0.2">
      <c r="AE275" s="24"/>
      <c r="AF275" s="24"/>
      <c r="AG275" s="24"/>
      <c r="AH275" s="24"/>
      <c r="AK275" s="54"/>
      <c r="AL275" s="33"/>
      <c r="AM275" s="33"/>
      <c r="AN275" s="33"/>
      <c r="AO275" s="24"/>
      <c r="AP275" s="24"/>
      <c r="AQ275" s="49"/>
      <c r="AR275" s="33"/>
      <c r="AS275" s="33"/>
      <c r="AT275" s="33"/>
      <c r="AU275" s="24"/>
      <c r="AV275" s="24"/>
      <c r="AW275" s="49"/>
      <c r="AX275" s="33"/>
      <c r="AY275" s="24"/>
      <c r="AZ275" s="24"/>
      <c r="BA275" s="24"/>
      <c r="BB275" s="24"/>
      <c r="BC275" s="49"/>
      <c r="BD275" s="33"/>
      <c r="BE275" s="24"/>
      <c r="BF275" s="24"/>
      <c r="BG275" s="24"/>
      <c r="BT275" s="24"/>
      <c r="BZ275" s="24"/>
      <c r="CF275" s="24"/>
      <c r="CL275" s="24"/>
      <c r="CR275" s="24"/>
    </row>
    <row r="276" spans="31:96" x14ac:dyDescent="0.2">
      <c r="AE276" s="24"/>
      <c r="AF276" s="24"/>
      <c r="AG276" s="24"/>
      <c r="AH276" s="24"/>
      <c r="AK276" s="54"/>
      <c r="AL276" s="33"/>
      <c r="AM276" s="33"/>
      <c r="AN276" s="33"/>
      <c r="AO276" s="24"/>
      <c r="AP276" s="24"/>
      <c r="AQ276" s="49"/>
      <c r="AR276" s="33"/>
      <c r="AS276" s="33"/>
      <c r="AT276" s="33"/>
      <c r="AU276" s="24"/>
      <c r="AV276" s="24"/>
      <c r="AW276" s="49"/>
      <c r="AX276" s="33"/>
      <c r="AY276" s="24"/>
      <c r="AZ276" s="24"/>
      <c r="BA276" s="24"/>
      <c r="BB276" s="24"/>
      <c r="BC276" s="49"/>
      <c r="BD276" s="33"/>
      <c r="BE276" s="24"/>
      <c r="BF276" s="24"/>
      <c r="BG276" s="24"/>
      <c r="BT276" s="24"/>
      <c r="BZ276" s="24"/>
      <c r="CF276" s="24"/>
      <c r="CL276" s="24"/>
      <c r="CR276" s="24"/>
    </row>
    <row r="277" spans="31:96" x14ac:dyDescent="0.2">
      <c r="AE277" s="24"/>
      <c r="AF277" s="24"/>
      <c r="AG277" s="24"/>
      <c r="AH277" s="24"/>
      <c r="AK277" s="54"/>
      <c r="AL277" s="33"/>
      <c r="AM277" s="33"/>
      <c r="AN277" s="33"/>
      <c r="AO277" s="24"/>
      <c r="AP277" s="24"/>
      <c r="AQ277" s="49"/>
      <c r="AR277" s="33"/>
      <c r="AS277" s="33"/>
      <c r="AT277" s="33"/>
      <c r="AU277" s="24"/>
      <c r="AV277" s="24"/>
      <c r="AW277" s="49"/>
      <c r="AX277" s="33"/>
      <c r="AY277" s="24"/>
      <c r="AZ277" s="24"/>
      <c r="BA277" s="24"/>
      <c r="BB277" s="24"/>
      <c r="BC277" s="49"/>
      <c r="BD277" s="33"/>
      <c r="BE277" s="24"/>
      <c r="BF277" s="24"/>
      <c r="BG277" s="24"/>
      <c r="BT277" s="24"/>
      <c r="BZ277" s="24"/>
      <c r="CF277" s="24"/>
      <c r="CL277" s="24"/>
      <c r="CR277" s="24"/>
    </row>
    <row r="278" spans="31:96" x14ac:dyDescent="0.2">
      <c r="AE278" s="24"/>
      <c r="AF278" s="24"/>
      <c r="AG278" s="24"/>
      <c r="AH278" s="24"/>
      <c r="AK278" s="54"/>
      <c r="AL278" s="33"/>
      <c r="AM278" s="33"/>
      <c r="AN278" s="33"/>
      <c r="AO278" s="24"/>
      <c r="AP278" s="24"/>
      <c r="AQ278" s="49"/>
      <c r="AR278" s="33"/>
      <c r="AS278" s="33"/>
      <c r="AT278" s="33"/>
      <c r="AU278" s="24"/>
      <c r="AV278" s="24"/>
      <c r="AW278" s="49"/>
      <c r="AX278" s="33"/>
      <c r="AY278" s="24"/>
      <c r="AZ278" s="24"/>
      <c r="BA278" s="24"/>
      <c r="BB278" s="24"/>
      <c r="BC278" s="49"/>
      <c r="BD278" s="33"/>
      <c r="BE278" s="24"/>
      <c r="BF278" s="24"/>
      <c r="BG278" s="24"/>
      <c r="BT278" s="24"/>
      <c r="BZ278" s="24"/>
      <c r="CF278" s="24"/>
      <c r="CL278" s="24"/>
      <c r="CR278" s="24"/>
    </row>
    <row r="279" spans="31:96" x14ac:dyDescent="0.2">
      <c r="AE279" s="24"/>
      <c r="AF279" s="24"/>
      <c r="AG279" s="24"/>
      <c r="AH279" s="24"/>
      <c r="AK279" s="54"/>
      <c r="AL279" s="33"/>
      <c r="AM279" s="33"/>
      <c r="AN279" s="33"/>
      <c r="AO279" s="24"/>
      <c r="AP279" s="24"/>
      <c r="AQ279" s="49"/>
      <c r="AR279" s="33"/>
      <c r="AS279" s="33"/>
      <c r="AT279" s="33"/>
      <c r="AU279" s="24"/>
      <c r="AV279" s="24"/>
      <c r="AW279" s="49"/>
      <c r="AX279" s="33"/>
      <c r="AY279" s="24"/>
      <c r="AZ279" s="24"/>
      <c r="BA279" s="24"/>
      <c r="BB279" s="24"/>
      <c r="BC279" s="49"/>
      <c r="BD279" s="33"/>
      <c r="BE279" s="24"/>
      <c r="BF279" s="24"/>
      <c r="BG279" s="24"/>
      <c r="BT279" s="24"/>
      <c r="BZ279" s="24"/>
      <c r="CF279" s="24"/>
      <c r="CL279" s="24"/>
      <c r="CR279" s="24"/>
    </row>
    <row r="280" spans="31:96" x14ac:dyDescent="0.2">
      <c r="AE280" s="24"/>
      <c r="AF280" s="24"/>
      <c r="AG280" s="24"/>
      <c r="AH280" s="24"/>
      <c r="AK280" s="54"/>
      <c r="AL280" s="33"/>
      <c r="AM280" s="33"/>
      <c r="AN280" s="33"/>
      <c r="AO280" s="24"/>
      <c r="AP280" s="24"/>
      <c r="AQ280" s="49"/>
      <c r="AR280" s="33"/>
      <c r="AS280" s="33"/>
      <c r="AT280" s="33"/>
      <c r="AU280" s="24"/>
      <c r="AV280" s="24"/>
      <c r="AW280" s="49"/>
      <c r="AX280" s="33"/>
      <c r="AY280" s="24"/>
      <c r="AZ280" s="24"/>
      <c r="BA280" s="24"/>
      <c r="BB280" s="24"/>
      <c r="BC280" s="49"/>
      <c r="BD280" s="33"/>
      <c r="BE280" s="24"/>
      <c r="BF280" s="24"/>
      <c r="BG280" s="24"/>
      <c r="BT280" s="24"/>
      <c r="BZ280" s="24"/>
      <c r="CF280" s="24"/>
      <c r="CL280" s="24"/>
      <c r="CR280" s="24"/>
    </row>
    <row r="281" spans="31:96" x14ac:dyDescent="0.2">
      <c r="AE281" s="24"/>
      <c r="AF281" s="24"/>
      <c r="AG281" s="24"/>
      <c r="AH281" s="24"/>
      <c r="AK281" s="54"/>
      <c r="AL281" s="33"/>
      <c r="AM281" s="24"/>
      <c r="AN281" s="24"/>
      <c r="AO281" s="24"/>
      <c r="AP281" s="24"/>
      <c r="AQ281" s="49"/>
      <c r="AR281" s="33"/>
      <c r="AS281" s="33"/>
      <c r="AT281" s="33"/>
      <c r="AU281" s="24"/>
      <c r="AV281" s="24"/>
      <c r="AW281" s="49"/>
      <c r="AX281" s="33"/>
      <c r="AY281" s="24"/>
      <c r="AZ281" s="24"/>
      <c r="BA281" s="24"/>
      <c r="BB281" s="24"/>
      <c r="BC281" s="49"/>
      <c r="BD281" s="33"/>
      <c r="BE281" s="24"/>
      <c r="BF281" s="24"/>
      <c r="BG281" s="24"/>
      <c r="BT281" s="24"/>
      <c r="BZ281" s="24"/>
      <c r="CF281" s="24"/>
      <c r="CL281" s="24"/>
      <c r="CR281" s="24"/>
    </row>
    <row r="282" spans="31:96" x14ac:dyDescent="0.2">
      <c r="AE282" s="24"/>
      <c r="AF282" s="24"/>
      <c r="AG282" s="24"/>
      <c r="AH282" s="24"/>
      <c r="AK282" s="54"/>
      <c r="AL282" s="33"/>
      <c r="AM282" s="24"/>
      <c r="AN282" s="24"/>
      <c r="AO282" s="24"/>
      <c r="AP282" s="24"/>
      <c r="AQ282" s="25"/>
      <c r="AR282" s="33"/>
      <c r="AS282" s="24"/>
      <c r="AT282" s="24"/>
      <c r="AU282" s="24"/>
      <c r="AV282" s="24"/>
      <c r="AW282" s="49"/>
      <c r="AX282" s="33"/>
      <c r="AY282" s="24"/>
      <c r="AZ282" s="24"/>
      <c r="BA282" s="24"/>
      <c r="BB282" s="24"/>
      <c r="BC282" s="49"/>
      <c r="BD282" s="33"/>
      <c r="BE282" s="24"/>
      <c r="BF282" s="24"/>
      <c r="BG282" s="24"/>
      <c r="BT282" s="24"/>
      <c r="BZ282" s="24"/>
      <c r="CF282" s="24"/>
      <c r="CL282" s="24"/>
      <c r="CR282" s="24"/>
    </row>
    <row r="283" spans="31:96" x14ac:dyDescent="0.2">
      <c r="AE283" s="24"/>
      <c r="AF283" s="24"/>
      <c r="AG283" s="24"/>
      <c r="AH283" s="24"/>
      <c r="AK283" s="54"/>
      <c r="AL283" s="33"/>
      <c r="AM283" s="24"/>
      <c r="AN283" s="24"/>
      <c r="AO283" s="24"/>
      <c r="AP283" s="24"/>
      <c r="AQ283" s="49"/>
      <c r="AR283" s="33"/>
      <c r="AS283" s="24"/>
      <c r="AT283" s="24"/>
      <c r="AU283" s="24"/>
      <c r="AV283" s="24"/>
      <c r="AW283" s="49"/>
      <c r="AX283" s="33"/>
      <c r="AY283" s="24"/>
      <c r="AZ283" s="24"/>
      <c r="BA283" s="24"/>
      <c r="BB283" s="24"/>
      <c r="BC283" s="49"/>
      <c r="BD283" s="33"/>
      <c r="BE283" s="24"/>
      <c r="BF283" s="24"/>
      <c r="BG283" s="24"/>
      <c r="BT283" s="24"/>
      <c r="BZ283" s="24"/>
      <c r="CF283" s="24"/>
      <c r="CL283" s="24"/>
      <c r="CR283" s="24"/>
    </row>
    <row r="284" spans="31:96" x14ac:dyDescent="0.2">
      <c r="AE284" s="24"/>
      <c r="AF284" s="24"/>
      <c r="AG284" s="24"/>
      <c r="AH284" s="24"/>
      <c r="AK284" s="54"/>
      <c r="AL284" s="33"/>
      <c r="AM284" s="24"/>
      <c r="AN284" s="24"/>
      <c r="AO284" s="24"/>
      <c r="AP284" s="24"/>
      <c r="AQ284" s="49"/>
      <c r="AR284" s="33"/>
      <c r="AS284" s="24"/>
      <c r="AT284" s="24"/>
      <c r="AU284" s="24"/>
      <c r="AV284" s="24"/>
      <c r="AW284" s="25"/>
      <c r="AX284" s="33"/>
      <c r="AY284" s="24"/>
      <c r="AZ284" s="24"/>
      <c r="BA284" s="24"/>
      <c r="BB284" s="24"/>
      <c r="BC284" s="25"/>
      <c r="BD284" s="33"/>
      <c r="BE284" s="24"/>
      <c r="BF284" s="24"/>
      <c r="BG284" s="24"/>
      <c r="BT284" s="24"/>
      <c r="BZ284" s="24"/>
      <c r="CF284" s="24"/>
      <c r="CL284" s="24"/>
      <c r="CR284" s="24"/>
    </row>
    <row r="285" spans="31:96" x14ac:dyDescent="0.2">
      <c r="AE285" s="24"/>
      <c r="AF285" s="24"/>
      <c r="AG285" s="24"/>
      <c r="AH285" s="24"/>
      <c r="AK285" s="54"/>
      <c r="AL285" s="33"/>
      <c r="AM285" s="24"/>
      <c r="AN285" s="24"/>
      <c r="AO285" s="24"/>
      <c r="AP285" s="24"/>
      <c r="AQ285" s="49"/>
      <c r="AR285" s="33"/>
      <c r="AS285" s="24"/>
      <c r="AT285" s="24"/>
      <c r="AU285" s="24"/>
      <c r="AV285" s="24"/>
      <c r="AW285" s="25"/>
      <c r="AX285" s="33"/>
      <c r="AY285" s="24"/>
      <c r="AZ285" s="24"/>
      <c r="BA285" s="24"/>
      <c r="BB285" s="24"/>
      <c r="BC285" s="25"/>
      <c r="BD285" s="33"/>
      <c r="BE285" s="24"/>
      <c r="BF285" s="24"/>
      <c r="BG285" s="24"/>
      <c r="BT285" s="24"/>
      <c r="BZ285" s="24"/>
      <c r="CF285" s="24"/>
      <c r="CL285" s="24"/>
      <c r="CR285" s="24"/>
    </row>
    <row r="286" spans="31:96" x14ac:dyDescent="0.2">
      <c r="AE286" s="24"/>
      <c r="AF286" s="24"/>
      <c r="AG286" s="24"/>
      <c r="AH286" s="24"/>
      <c r="AK286" s="54"/>
      <c r="AL286" s="33"/>
      <c r="AM286" s="24"/>
      <c r="AN286" s="24"/>
      <c r="AO286" s="24"/>
      <c r="AP286" s="24"/>
      <c r="AQ286" s="49"/>
      <c r="AR286" s="33"/>
      <c r="AS286" s="24"/>
      <c r="AT286" s="24"/>
      <c r="AU286" s="24"/>
      <c r="AV286" s="24"/>
      <c r="AW286" s="25"/>
      <c r="AX286" s="33"/>
      <c r="AY286" s="24"/>
      <c r="AZ286" s="24"/>
      <c r="BA286" s="24"/>
      <c r="BB286" s="24"/>
      <c r="BC286" s="25"/>
      <c r="BD286" s="33"/>
      <c r="BE286" s="24"/>
      <c r="BF286" s="24"/>
      <c r="BG286" s="24"/>
      <c r="BT286" s="24"/>
      <c r="BZ286" s="24"/>
      <c r="CF286" s="24"/>
      <c r="CL286" s="24"/>
      <c r="CR286" s="24"/>
    </row>
    <row r="287" spans="31:96" x14ac:dyDescent="0.2">
      <c r="AE287" s="24"/>
      <c r="AF287" s="24"/>
      <c r="AG287" s="24"/>
      <c r="AH287" s="24"/>
      <c r="AK287" s="54"/>
      <c r="AL287" s="33"/>
      <c r="AM287" s="24"/>
      <c r="AN287" s="24"/>
      <c r="AO287" s="24"/>
      <c r="AP287" s="24"/>
      <c r="AQ287" s="49"/>
      <c r="AR287" s="33"/>
      <c r="AS287" s="24"/>
      <c r="AT287" s="24"/>
      <c r="AU287" s="24"/>
      <c r="AV287" s="24"/>
      <c r="AW287" s="25"/>
      <c r="AX287" s="33"/>
      <c r="AY287" s="24"/>
      <c r="AZ287" s="24"/>
      <c r="BA287" s="24"/>
      <c r="BB287" s="24"/>
      <c r="BC287" s="25"/>
      <c r="BD287" s="33"/>
      <c r="BE287" s="24"/>
      <c r="BF287" s="24"/>
      <c r="BG287" s="24"/>
      <c r="BT287" s="24"/>
      <c r="BZ287" s="24"/>
      <c r="CF287" s="24"/>
      <c r="CL287" s="24"/>
      <c r="CR287" s="24"/>
    </row>
    <row r="288" spans="31:96" x14ac:dyDescent="0.2">
      <c r="AE288" s="24"/>
      <c r="AF288" s="24"/>
      <c r="AG288" s="24"/>
      <c r="AH288" s="24"/>
      <c r="AK288" s="54"/>
      <c r="AL288" s="33"/>
      <c r="AM288" s="24"/>
      <c r="AN288" s="24"/>
      <c r="AO288" s="24"/>
      <c r="AP288" s="24"/>
      <c r="AQ288" s="49"/>
      <c r="AR288" s="33"/>
      <c r="AS288" s="24"/>
      <c r="AT288" s="24"/>
      <c r="AU288" s="24"/>
      <c r="AV288" s="24"/>
      <c r="AW288" s="25"/>
      <c r="AX288" s="33"/>
      <c r="AY288" s="24"/>
      <c r="AZ288" s="24"/>
      <c r="BA288" s="24"/>
      <c r="BB288" s="24"/>
      <c r="BC288" s="25"/>
      <c r="BD288" s="33"/>
      <c r="BE288" s="24"/>
      <c r="BF288" s="24"/>
      <c r="BG288" s="24"/>
      <c r="BT288" s="24"/>
      <c r="BZ288" s="24"/>
      <c r="CF288" s="24"/>
      <c r="CL288" s="24"/>
      <c r="CR288" s="24"/>
    </row>
    <row r="289" spans="31:96" x14ac:dyDescent="0.2">
      <c r="AE289" s="24"/>
      <c r="AF289" s="24"/>
      <c r="AG289" s="24"/>
      <c r="AH289" s="24"/>
      <c r="AK289" s="54"/>
      <c r="AL289" s="33"/>
      <c r="AM289" s="24"/>
      <c r="AN289" s="24"/>
      <c r="AO289" s="24"/>
      <c r="AP289" s="24"/>
      <c r="AQ289" s="49"/>
      <c r="AR289" s="33"/>
      <c r="AS289" s="24"/>
      <c r="AT289" s="24"/>
      <c r="AU289" s="24"/>
      <c r="AV289" s="24"/>
      <c r="AW289" s="25"/>
      <c r="AX289" s="33"/>
      <c r="AY289" s="24"/>
      <c r="AZ289" s="24"/>
      <c r="BA289" s="24"/>
      <c r="BB289" s="24"/>
      <c r="BC289" s="25"/>
      <c r="BD289" s="33"/>
      <c r="BE289" s="24"/>
      <c r="BF289" s="24"/>
      <c r="BG289" s="24"/>
      <c r="BT289" s="24"/>
      <c r="BZ289" s="24"/>
      <c r="CF289" s="24"/>
      <c r="CL289" s="24"/>
      <c r="CR289" s="24"/>
    </row>
    <row r="290" spans="31:96" x14ac:dyDescent="0.2">
      <c r="AE290" s="24"/>
      <c r="AF290" s="24"/>
      <c r="AG290" s="24"/>
      <c r="AH290" s="24"/>
      <c r="AK290" s="54"/>
      <c r="AL290" s="33"/>
      <c r="AM290" s="24"/>
      <c r="AN290" s="24"/>
      <c r="AO290" s="24"/>
      <c r="AP290" s="24"/>
      <c r="AQ290" s="49"/>
      <c r="AR290" s="33"/>
      <c r="AS290" s="24"/>
      <c r="AT290" s="24"/>
      <c r="AU290" s="24"/>
      <c r="AV290" s="24"/>
      <c r="AW290" s="25"/>
      <c r="AX290" s="33"/>
      <c r="AY290" s="24"/>
      <c r="AZ290" s="24"/>
      <c r="BA290" s="24"/>
      <c r="BB290" s="24"/>
      <c r="BC290" s="25"/>
      <c r="BD290" s="33"/>
      <c r="BE290" s="24"/>
      <c r="BF290" s="24"/>
      <c r="BG290" s="24"/>
      <c r="BT290" s="24"/>
      <c r="BZ290" s="24"/>
      <c r="CF290" s="24"/>
      <c r="CL290" s="24"/>
      <c r="CR290" s="24"/>
    </row>
    <row r="291" spans="31:96" x14ac:dyDescent="0.2">
      <c r="AE291" s="24"/>
      <c r="AF291" s="24"/>
      <c r="AG291" s="24"/>
      <c r="AH291" s="24"/>
      <c r="AK291" s="54"/>
      <c r="AL291" s="33"/>
      <c r="AM291" s="24"/>
      <c r="AN291" s="24"/>
      <c r="AO291" s="24"/>
      <c r="AP291" s="24"/>
      <c r="AQ291" s="49"/>
      <c r="AR291" s="33"/>
      <c r="AS291" s="24"/>
      <c r="AT291" s="24"/>
      <c r="AU291" s="24"/>
      <c r="AV291" s="24"/>
      <c r="AW291" s="25"/>
      <c r="AX291" s="33"/>
      <c r="AY291" s="24"/>
      <c r="AZ291" s="24"/>
      <c r="BA291" s="24"/>
      <c r="BB291" s="24"/>
      <c r="BC291" s="25"/>
      <c r="BD291" s="33"/>
      <c r="BE291" s="24"/>
      <c r="BF291" s="24"/>
      <c r="BG291" s="24"/>
      <c r="BT291" s="24"/>
      <c r="BZ291" s="24"/>
      <c r="CF291" s="24"/>
      <c r="CL291" s="24"/>
      <c r="CR291" s="24"/>
    </row>
    <row r="292" spans="31:96" x14ac:dyDescent="0.2">
      <c r="AE292" s="24"/>
      <c r="AF292" s="24"/>
      <c r="AG292" s="24"/>
      <c r="AH292" s="24"/>
      <c r="AK292" s="54"/>
      <c r="AL292" s="33"/>
      <c r="AM292" s="24"/>
      <c r="AN292" s="24"/>
      <c r="AO292" s="24"/>
      <c r="AP292" s="24"/>
      <c r="AQ292" s="49"/>
      <c r="AR292" s="33"/>
      <c r="AS292" s="24"/>
      <c r="AT292" s="24"/>
      <c r="AU292" s="24"/>
      <c r="AV292" s="24"/>
      <c r="AW292" s="25"/>
      <c r="AX292" s="33"/>
      <c r="AY292" s="24"/>
      <c r="AZ292" s="24"/>
      <c r="BA292" s="24"/>
      <c r="BB292" s="24"/>
      <c r="BC292" s="25"/>
      <c r="BD292" s="33"/>
      <c r="BE292" s="24"/>
      <c r="BF292" s="24"/>
      <c r="BG292" s="24"/>
      <c r="BT292" s="24"/>
      <c r="BZ292" s="24"/>
      <c r="CF292" s="24"/>
      <c r="CL292" s="24"/>
      <c r="CR292" s="24"/>
    </row>
    <row r="293" spans="31:96" x14ac:dyDescent="0.2">
      <c r="AE293" s="24"/>
      <c r="AF293" s="24"/>
      <c r="AG293" s="24"/>
      <c r="AH293" s="24"/>
      <c r="AK293" s="54"/>
      <c r="AL293" s="33"/>
      <c r="AM293" s="24"/>
      <c r="AN293" s="24"/>
      <c r="AO293" s="24"/>
      <c r="AP293" s="24"/>
      <c r="AQ293" s="49"/>
      <c r="AR293" s="33"/>
      <c r="AS293" s="24"/>
      <c r="AT293" s="24"/>
      <c r="AU293" s="24"/>
      <c r="AV293" s="24"/>
      <c r="AW293" s="25"/>
      <c r="AX293" s="33"/>
      <c r="AY293" s="24"/>
      <c r="AZ293" s="24"/>
      <c r="BA293" s="24"/>
      <c r="BB293" s="24"/>
      <c r="BC293" s="25"/>
      <c r="BD293" s="33"/>
      <c r="BE293" s="24"/>
      <c r="BF293" s="24"/>
      <c r="BG293" s="24"/>
      <c r="BT293" s="24"/>
      <c r="BZ293" s="24"/>
      <c r="CF293" s="24"/>
      <c r="CL293" s="24"/>
      <c r="CR293" s="24"/>
    </row>
    <row r="294" spans="31:96" x14ac:dyDescent="0.2">
      <c r="AE294" s="24"/>
      <c r="AF294" s="24"/>
      <c r="AG294" s="24"/>
      <c r="AH294" s="24"/>
      <c r="AK294" s="33"/>
      <c r="AL294" s="24"/>
      <c r="AM294" s="24"/>
      <c r="AN294" s="24"/>
      <c r="AO294" s="24"/>
      <c r="AP294" s="24"/>
      <c r="AQ294" s="49"/>
      <c r="AR294" s="33"/>
      <c r="AS294" s="24"/>
      <c r="AT294" s="24"/>
      <c r="AU294" s="24"/>
      <c r="AV294" s="24"/>
      <c r="AW294" s="25"/>
      <c r="AX294" s="33"/>
      <c r="AY294" s="24"/>
      <c r="AZ294" s="24"/>
      <c r="BA294" s="24"/>
      <c r="BB294" s="24"/>
      <c r="BC294" s="25"/>
      <c r="BD294" s="33"/>
      <c r="BE294" s="24"/>
      <c r="BF294" s="24"/>
      <c r="BG294" s="24"/>
      <c r="BT294" s="24"/>
      <c r="BZ294" s="24"/>
      <c r="CF294" s="24"/>
      <c r="CL294" s="24"/>
      <c r="CR294" s="24"/>
    </row>
    <row r="295" spans="31:96" x14ac:dyDescent="0.2">
      <c r="AE295" s="24"/>
      <c r="AF295" s="24"/>
      <c r="AG295" s="24"/>
      <c r="AH295" s="24"/>
      <c r="AK295" s="33"/>
      <c r="AL295" s="33"/>
      <c r="AM295" s="24"/>
      <c r="AN295" s="24"/>
      <c r="AO295" s="24"/>
      <c r="AP295" s="24"/>
      <c r="AQ295" s="49"/>
      <c r="AR295" s="33"/>
      <c r="AS295" s="24"/>
      <c r="AT295" s="24"/>
      <c r="AU295" s="24"/>
      <c r="AV295" s="24"/>
      <c r="AW295" s="25"/>
      <c r="AX295" s="33"/>
      <c r="AY295" s="24"/>
      <c r="AZ295" s="24"/>
      <c r="BA295" s="24"/>
      <c r="BB295" s="24"/>
      <c r="BC295" s="25"/>
      <c r="BD295" s="33"/>
      <c r="BE295" s="24"/>
      <c r="BF295" s="24"/>
      <c r="BG295" s="24"/>
      <c r="BT295" s="24"/>
      <c r="BZ295" s="24"/>
      <c r="CF295" s="24"/>
      <c r="CL295" s="24"/>
      <c r="CR295" s="24"/>
    </row>
    <row r="296" spans="31:96" x14ac:dyDescent="0.2">
      <c r="AE296" s="24"/>
      <c r="AF296" s="24"/>
      <c r="AG296" s="24"/>
      <c r="AH296" s="24"/>
      <c r="AK296" s="33"/>
      <c r="AL296" s="33"/>
      <c r="AM296" s="33"/>
      <c r="AN296" s="33"/>
      <c r="AO296" s="24"/>
      <c r="AP296" s="24"/>
      <c r="AQ296" s="49"/>
      <c r="AR296" s="33"/>
      <c r="AS296" s="24"/>
      <c r="AT296" s="24"/>
      <c r="AU296" s="24"/>
      <c r="AV296" s="24"/>
      <c r="AW296" s="25"/>
      <c r="AX296" s="33"/>
      <c r="AY296" s="24"/>
      <c r="AZ296" s="24"/>
      <c r="BA296" s="24"/>
      <c r="BB296" s="24"/>
      <c r="BC296" s="25"/>
      <c r="BD296" s="33"/>
      <c r="BE296" s="24"/>
      <c r="BF296" s="24"/>
      <c r="BG296" s="24"/>
      <c r="BT296" s="24"/>
      <c r="BZ296" s="24"/>
      <c r="CF296" s="24"/>
      <c r="CL296" s="24"/>
      <c r="CR296" s="24"/>
    </row>
    <row r="297" spans="31:96" x14ac:dyDescent="0.2">
      <c r="AE297" s="24"/>
      <c r="AF297" s="24"/>
      <c r="AG297" s="24"/>
      <c r="AH297" s="24"/>
      <c r="AK297" s="33"/>
      <c r="AL297" s="33"/>
      <c r="AM297" s="33"/>
      <c r="AN297" s="33"/>
      <c r="AO297" s="24"/>
      <c r="AP297" s="24"/>
      <c r="AQ297" s="49"/>
      <c r="AR297" s="33"/>
      <c r="AS297" s="24"/>
      <c r="AT297" s="24"/>
      <c r="AU297" s="24"/>
      <c r="AV297" s="24"/>
      <c r="AW297" s="25"/>
      <c r="AX297" s="33"/>
      <c r="AY297" s="24"/>
      <c r="AZ297" s="24"/>
      <c r="BA297" s="24"/>
      <c r="BB297" s="24"/>
      <c r="BC297" s="25"/>
      <c r="BD297" s="33"/>
      <c r="BE297" s="24"/>
      <c r="BF297" s="24"/>
      <c r="BG297" s="24"/>
      <c r="BT297" s="24"/>
      <c r="BZ297" s="24"/>
      <c r="CF297" s="24"/>
      <c r="CL297" s="24"/>
      <c r="CR297" s="24"/>
    </row>
    <row r="298" spans="31:96" x14ac:dyDescent="0.2">
      <c r="AE298" s="24"/>
      <c r="AF298" s="24"/>
      <c r="AG298" s="24"/>
      <c r="AH298" s="24"/>
      <c r="AK298" s="54"/>
      <c r="AL298" s="33"/>
      <c r="AM298" s="33"/>
      <c r="AN298" s="33"/>
      <c r="AO298" s="24"/>
      <c r="AP298" s="24"/>
      <c r="AQ298" s="49"/>
      <c r="AR298" s="33"/>
      <c r="AS298" s="24"/>
      <c r="AT298" s="24"/>
      <c r="AU298" s="24"/>
      <c r="AV298" s="24"/>
      <c r="AW298" s="25"/>
      <c r="AX298" s="33"/>
      <c r="AY298" s="24"/>
      <c r="AZ298" s="24"/>
      <c r="BA298" s="24"/>
      <c r="BB298" s="24"/>
      <c r="BC298" s="25"/>
      <c r="BD298" s="33"/>
      <c r="BE298" s="24"/>
      <c r="BF298" s="24"/>
      <c r="BG298" s="24"/>
      <c r="BT298" s="24"/>
      <c r="BZ298" s="24"/>
      <c r="CF298" s="24"/>
      <c r="CL298" s="24"/>
      <c r="CR298" s="24"/>
    </row>
    <row r="299" spans="31:96" x14ac:dyDescent="0.2">
      <c r="AE299" s="24"/>
      <c r="AF299" s="24"/>
      <c r="AG299" s="24"/>
      <c r="AH299" s="24"/>
      <c r="AK299" s="54"/>
      <c r="AL299" s="33"/>
      <c r="AM299" s="33"/>
      <c r="AN299" s="33"/>
      <c r="AO299" s="24"/>
      <c r="AP299" s="24"/>
      <c r="AQ299" s="49"/>
      <c r="AR299" s="33"/>
      <c r="AS299" s="24"/>
      <c r="AT299" s="24"/>
      <c r="AU299" s="24"/>
      <c r="AV299" s="24"/>
      <c r="AW299" s="25"/>
      <c r="AX299" s="33"/>
      <c r="AY299" s="24"/>
      <c r="AZ299" s="24"/>
      <c r="BA299" s="24"/>
      <c r="BB299" s="24"/>
      <c r="BC299" s="25"/>
      <c r="BD299" s="33"/>
      <c r="BE299" s="24"/>
      <c r="BF299" s="24"/>
      <c r="BG299" s="24"/>
      <c r="BT299" s="24"/>
      <c r="BZ299" s="24"/>
      <c r="CF299" s="24"/>
      <c r="CL299" s="24"/>
      <c r="CR299" s="24"/>
    </row>
    <row r="300" spans="31:96" x14ac:dyDescent="0.2">
      <c r="AE300" s="24"/>
      <c r="AF300" s="24"/>
      <c r="AG300" s="24"/>
      <c r="AH300" s="24"/>
      <c r="AK300" s="25"/>
      <c r="AL300" s="33"/>
      <c r="AM300" s="33"/>
      <c r="AN300" s="33"/>
      <c r="AO300" s="24"/>
      <c r="AP300" s="24"/>
      <c r="AQ300" s="49"/>
      <c r="AR300" s="33"/>
      <c r="AS300" s="24"/>
      <c r="AT300" s="24"/>
      <c r="AU300" s="24"/>
      <c r="AV300" s="24"/>
      <c r="AW300" s="25"/>
      <c r="AX300" s="33"/>
      <c r="AY300" s="24"/>
      <c r="AZ300" s="24"/>
      <c r="BA300" s="24"/>
      <c r="BB300" s="24"/>
      <c r="BC300" s="25"/>
      <c r="BD300" s="33"/>
      <c r="BE300" s="24"/>
      <c r="BF300" s="24"/>
      <c r="BG300" s="24"/>
      <c r="BT300" s="24"/>
      <c r="BZ300" s="24"/>
      <c r="CF300" s="24"/>
      <c r="CL300" s="24"/>
      <c r="CR300" s="24"/>
    </row>
    <row r="301" spans="31:96" x14ac:dyDescent="0.2">
      <c r="AE301" s="24"/>
      <c r="AF301" s="24"/>
      <c r="AG301" s="24"/>
      <c r="AH301" s="24"/>
      <c r="AK301" s="54"/>
      <c r="AL301" s="33"/>
      <c r="AM301" s="33"/>
      <c r="AN301" s="33"/>
      <c r="AO301" s="24"/>
      <c r="AP301" s="24"/>
      <c r="AQ301" s="49"/>
      <c r="AR301" s="33"/>
      <c r="AS301" s="24"/>
      <c r="AT301" s="24"/>
      <c r="AU301" s="24"/>
      <c r="AV301" s="24"/>
      <c r="AW301" s="25"/>
      <c r="AX301" s="33"/>
      <c r="AY301" s="24"/>
      <c r="AZ301" s="24"/>
      <c r="BA301" s="24"/>
      <c r="BB301" s="24"/>
      <c r="BC301" s="25"/>
      <c r="BD301" s="33"/>
      <c r="BE301" s="24"/>
      <c r="BF301" s="24"/>
      <c r="BG301" s="24"/>
      <c r="BT301" s="24"/>
      <c r="BZ301" s="24"/>
      <c r="CF301" s="24"/>
      <c r="CL301" s="24"/>
      <c r="CR301" s="24"/>
    </row>
    <row r="302" spans="31:96" x14ac:dyDescent="0.2">
      <c r="AE302" s="24"/>
      <c r="AF302" s="24"/>
      <c r="AG302" s="24"/>
      <c r="AH302" s="24"/>
      <c r="AK302" s="54"/>
      <c r="AL302" s="33"/>
      <c r="AM302" s="33"/>
      <c r="AN302" s="33"/>
      <c r="AO302" s="24"/>
      <c r="AP302" s="24"/>
      <c r="AQ302" s="49"/>
      <c r="AR302" s="33"/>
      <c r="AS302" s="24"/>
      <c r="AT302" s="24"/>
      <c r="AU302" s="24"/>
      <c r="AV302" s="24"/>
      <c r="AW302" s="25"/>
      <c r="AX302" s="33"/>
      <c r="AY302" s="24"/>
      <c r="AZ302" s="24"/>
      <c r="BA302" s="24"/>
      <c r="BB302" s="24"/>
      <c r="BC302" s="25"/>
      <c r="BD302" s="33"/>
      <c r="BE302" s="24"/>
      <c r="BF302" s="24"/>
      <c r="BG302" s="24"/>
      <c r="BT302" s="24"/>
      <c r="BZ302" s="24"/>
      <c r="CF302" s="24"/>
      <c r="CL302" s="24"/>
      <c r="CR302" s="24"/>
    </row>
    <row r="303" spans="31:96" x14ac:dyDescent="0.2">
      <c r="AE303" s="24"/>
      <c r="AF303" s="24"/>
      <c r="AG303" s="24"/>
      <c r="AH303" s="24"/>
      <c r="AK303" s="54"/>
      <c r="AL303" s="33"/>
      <c r="AM303" s="33"/>
      <c r="AN303" s="33"/>
      <c r="AO303" s="24"/>
      <c r="AP303" s="24"/>
      <c r="AQ303" s="49"/>
      <c r="AR303" s="33"/>
      <c r="AS303" s="24"/>
      <c r="AT303" s="24"/>
      <c r="AU303" s="24"/>
      <c r="AV303" s="24"/>
      <c r="AW303" s="25"/>
      <c r="AX303" s="33"/>
      <c r="AY303" s="24"/>
      <c r="AZ303" s="24"/>
      <c r="BA303" s="24"/>
      <c r="BB303" s="24"/>
      <c r="BC303" s="25"/>
      <c r="BD303" s="33"/>
      <c r="BE303" s="24"/>
      <c r="BF303" s="24"/>
      <c r="BG303" s="24"/>
      <c r="BT303" s="24"/>
      <c r="BZ303" s="24"/>
      <c r="CF303" s="24"/>
      <c r="CL303" s="24"/>
      <c r="CR303" s="24"/>
    </row>
    <row r="304" spans="31:96" x14ac:dyDescent="0.2">
      <c r="AE304" s="24"/>
      <c r="AF304" s="24"/>
      <c r="AG304" s="24"/>
      <c r="AH304" s="24"/>
      <c r="AK304" s="54"/>
      <c r="AL304" s="33"/>
      <c r="AM304" s="33"/>
      <c r="AN304" s="33"/>
      <c r="AO304" s="24"/>
      <c r="AP304" s="24"/>
      <c r="AQ304" s="49"/>
      <c r="AR304" s="33"/>
      <c r="AS304" s="24"/>
      <c r="AT304" s="24"/>
      <c r="AU304" s="24"/>
      <c r="AV304" s="24"/>
      <c r="AW304" s="25"/>
      <c r="AX304" s="33"/>
      <c r="AY304" s="24"/>
      <c r="AZ304" s="24"/>
      <c r="BA304" s="24"/>
      <c r="BB304" s="24"/>
      <c r="BC304" s="25"/>
      <c r="BD304" s="33"/>
      <c r="BE304" s="24"/>
      <c r="BF304" s="24"/>
      <c r="BG304" s="24"/>
      <c r="BT304" s="24"/>
      <c r="BZ304" s="24"/>
      <c r="CF304" s="24"/>
      <c r="CL304" s="24"/>
      <c r="CR304" s="24"/>
    </row>
    <row r="305" spans="31:96" x14ac:dyDescent="0.2">
      <c r="AE305" s="24"/>
      <c r="AF305" s="24"/>
      <c r="AG305" s="24"/>
      <c r="AH305" s="24"/>
      <c r="AK305" s="54"/>
      <c r="AL305" s="33"/>
      <c r="AM305" s="33"/>
      <c r="AN305" s="33"/>
      <c r="AO305" s="24"/>
      <c r="AP305" s="24"/>
      <c r="AQ305" s="49"/>
      <c r="AR305" s="33"/>
      <c r="AS305" s="24"/>
      <c r="AT305" s="24"/>
      <c r="AU305" s="24"/>
      <c r="AV305" s="24"/>
      <c r="AW305" s="25"/>
      <c r="AX305" s="33"/>
      <c r="AY305" s="24"/>
      <c r="AZ305" s="24"/>
      <c r="BA305" s="24"/>
      <c r="BB305" s="24"/>
      <c r="BC305" s="25"/>
      <c r="BD305" s="33"/>
      <c r="BE305" s="24"/>
      <c r="BF305" s="24"/>
      <c r="BG305" s="24"/>
      <c r="BT305" s="24"/>
      <c r="BZ305" s="24"/>
      <c r="CF305" s="24"/>
      <c r="CL305" s="24"/>
      <c r="CR305" s="24"/>
    </row>
    <row r="306" spans="31:96" x14ac:dyDescent="0.2">
      <c r="AE306" s="24"/>
      <c r="AF306" s="24"/>
      <c r="AG306" s="24"/>
      <c r="AH306" s="24"/>
      <c r="AK306" s="54"/>
      <c r="AL306" s="33"/>
      <c r="AM306" s="33"/>
      <c r="AN306" s="33"/>
      <c r="AO306" s="24"/>
      <c r="AP306" s="24"/>
      <c r="AQ306" s="49"/>
      <c r="AR306" s="33"/>
      <c r="AS306" s="24"/>
      <c r="AT306" s="24"/>
      <c r="AU306" s="24"/>
      <c r="AV306" s="24"/>
      <c r="AW306" s="25"/>
      <c r="AX306" s="33"/>
      <c r="AY306" s="24"/>
      <c r="AZ306" s="24"/>
      <c r="BA306" s="24"/>
      <c r="BB306" s="24"/>
      <c r="BC306" s="25"/>
      <c r="BD306" s="33"/>
      <c r="BE306" s="24"/>
      <c r="BF306" s="24"/>
      <c r="BG306" s="24"/>
      <c r="BT306" s="24"/>
      <c r="BZ306" s="24"/>
      <c r="CF306" s="24"/>
      <c r="CL306" s="24"/>
      <c r="CR306" s="24"/>
    </row>
    <row r="307" spans="31:96" x14ac:dyDescent="0.2">
      <c r="AE307" s="24"/>
      <c r="AF307" s="24"/>
      <c r="AG307" s="24"/>
      <c r="AH307" s="24"/>
      <c r="AK307" s="54"/>
      <c r="AL307" s="33"/>
      <c r="AM307" s="33"/>
      <c r="AN307" s="33"/>
      <c r="AO307" s="24"/>
      <c r="AP307" s="24"/>
      <c r="AQ307" s="49"/>
      <c r="AR307" s="33"/>
      <c r="AS307" s="24"/>
      <c r="AT307" s="24"/>
      <c r="AU307" s="24"/>
      <c r="AV307" s="24"/>
      <c r="AW307" s="25"/>
      <c r="AX307" s="33"/>
      <c r="AY307" s="24"/>
      <c r="AZ307" s="24"/>
      <c r="BA307" s="24"/>
      <c r="BB307" s="24"/>
      <c r="BC307" s="25"/>
      <c r="BD307" s="33"/>
      <c r="BE307" s="24"/>
      <c r="BF307" s="24"/>
      <c r="BG307" s="24"/>
      <c r="BT307" s="24"/>
      <c r="BZ307" s="24"/>
      <c r="CF307" s="24"/>
      <c r="CL307" s="24"/>
      <c r="CR307" s="24"/>
    </row>
    <row r="308" spans="31:96" x14ac:dyDescent="0.2">
      <c r="AE308" s="24"/>
      <c r="AF308" s="24"/>
      <c r="AG308" s="24"/>
      <c r="AH308" s="24"/>
      <c r="AK308" s="54"/>
      <c r="AL308" s="33"/>
      <c r="AM308" s="33"/>
      <c r="AN308" s="33"/>
      <c r="AO308" s="24"/>
      <c r="AP308" s="24"/>
      <c r="AQ308" s="49"/>
      <c r="AR308" s="33"/>
      <c r="AS308" s="24"/>
      <c r="AT308" s="24"/>
      <c r="AU308" s="24"/>
      <c r="AV308" s="24"/>
      <c r="AW308" s="25"/>
      <c r="AX308" s="33"/>
      <c r="AY308" s="24"/>
      <c r="AZ308" s="24"/>
      <c r="BA308" s="24"/>
      <c r="BB308" s="24"/>
      <c r="BC308" s="25"/>
      <c r="BD308" s="33"/>
      <c r="BE308" s="24"/>
      <c r="BF308" s="24"/>
      <c r="BG308" s="24"/>
      <c r="BT308" s="24"/>
      <c r="BZ308" s="24"/>
      <c r="CF308" s="24"/>
      <c r="CL308" s="24"/>
      <c r="CR308" s="24"/>
    </row>
    <row r="309" spans="31:96" x14ac:dyDescent="0.2">
      <c r="AE309" s="24"/>
      <c r="AF309" s="24"/>
      <c r="AG309" s="24"/>
      <c r="AH309" s="24"/>
      <c r="AK309" s="54"/>
      <c r="AL309" s="33"/>
      <c r="AM309" s="33"/>
      <c r="AN309" s="33"/>
      <c r="AO309" s="24"/>
      <c r="AP309" s="24"/>
      <c r="AQ309" s="49"/>
      <c r="AR309" s="33"/>
      <c r="AS309" s="24"/>
      <c r="AT309" s="24"/>
      <c r="AU309" s="24"/>
      <c r="AV309" s="24"/>
      <c r="AW309" s="25"/>
      <c r="AX309" s="33"/>
      <c r="AY309" s="24"/>
      <c r="AZ309" s="24"/>
      <c r="BA309" s="24"/>
      <c r="BB309" s="24"/>
      <c r="BC309" s="25"/>
      <c r="BD309" s="33"/>
      <c r="BE309" s="24"/>
      <c r="BF309" s="24"/>
      <c r="BG309" s="24"/>
      <c r="BT309" s="24"/>
      <c r="BZ309" s="24"/>
      <c r="CF309" s="24"/>
      <c r="CL309" s="24"/>
      <c r="CR309" s="24"/>
    </row>
    <row r="310" spans="31:96" x14ac:dyDescent="0.2">
      <c r="AE310" s="24"/>
      <c r="AF310" s="24"/>
      <c r="AG310" s="24"/>
      <c r="AH310" s="24"/>
      <c r="AK310" s="54"/>
      <c r="AL310" s="33"/>
      <c r="AM310" s="24"/>
      <c r="AN310" s="24"/>
      <c r="AO310" s="24"/>
      <c r="AP310" s="24"/>
      <c r="AQ310" s="49"/>
      <c r="AR310" s="33"/>
      <c r="AS310" s="24"/>
      <c r="AT310" s="24"/>
      <c r="AU310" s="24"/>
      <c r="AV310" s="24"/>
      <c r="AW310" s="25"/>
      <c r="AX310" s="33"/>
      <c r="AY310" s="24"/>
      <c r="AZ310" s="24"/>
      <c r="BA310" s="24"/>
      <c r="BB310" s="24"/>
      <c r="BC310" s="25"/>
      <c r="BD310" s="33"/>
      <c r="BE310" s="24"/>
      <c r="BF310" s="24"/>
      <c r="BG310" s="24"/>
      <c r="BT310" s="24"/>
      <c r="BZ310" s="24"/>
      <c r="CF310" s="24"/>
      <c r="CL310" s="24"/>
      <c r="CR310" s="24"/>
    </row>
    <row r="311" spans="31:96" x14ac:dyDescent="0.2">
      <c r="AE311" s="24"/>
      <c r="AF311" s="24"/>
      <c r="AG311" s="24"/>
      <c r="AH311" s="24"/>
      <c r="AK311" s="54"/>
      <c r="AL311" s="33"/>
      <c r="AM311" s="24"/>
      <c r="AN311" s="24"/>
      <c r="AO311" s="24"/>
      <c r="AP311" s="24"/>
      <c r="AQ311" s="49"/>
      <c r="AR311" s="33"/>
      <c r="AS311" s="24"/>
      <c r="AT311" s="24"/>
      <c r="AU311" s="24"/>
      <c r="AV311" s="24"/>
      <c r="AW311" s="25"/>
      <c r="AX311" s="33"/>
      <c r="AY311" s="24"/>
      <c r="AZ311" s="24"/>
      <c r="BA311" s="24"/>
      <c r="BB311" s="24"/>
      <c r="BC311" s="25"/>
      <c r="BD311" s="33"/>
      <c r="BE311" s="24"/>
      <c r="BF311" s="24"/>
      <c r="BG311" s="24"/>
      <c r="BT311" s="24"/>
      <c r="BZ311" s="24"/>
      <c r="CF311" s="24"/>
      <c r="CL311" s="24"/>
      <c r="CR311" s="24"/>
    </row>
    <row r="312" spans="31:96" x14ac:dyDescent="0.2">
      <c r="AE312" s="24"/>
      <c r="AF312" s="24"/>
      <c r="AG312" s="24"/>
      <c r="AH312" s="24"/>
      <c r="AK312" s="54"/>
      <c r="AL312" s="33"/>
      <c r="AM312" s="24"/>
      <c r="AN312" s="24"/>
      <c r="AO312" s="24"/>
      <c r="AP312" s="24"/>
      <c r="AQ312" s="49"/>
      <c r="AR312" s="33"/>
      <c r="AS312" s="24"/>
      <c r="AT312" s="24"/>
      <c r="AU312" s="24"/>
      <c r="AV312" s="24"/>
      <c r="AW312" s="25"/>
      <c r="AX312" s="33"/>
      <c r="AY312" s="24"/>
      <c r="AZ312" s="24"/>
      <c r="BA312" s="24"/>
      <c r="BB312" s="24"/>
      <c r="BC312" s="25"/>
      <c r="BD312" s="33"/>
      <c r="BE312" s="24"/>
      <c r="BF312" s="24"/>
      <c r="BG312" s="24"/>
      <c r="BT312" s="24"/>
      <c r="BZ312" s="24"/>
      <c r="CF312" s="24"/>
      <c r="CL312" s="24"/>
      <c r="CR312" s="24"/>
    </row>
    <row r="313" spans="31:96" x14ac:dyDescent="0.2">
      <c r="AE313" s="24"/>
      <c r="AF313" s="24"/>
      <c r="AG313" s="24"/>
      <c r="AH313" s="24"/>
      <c r="AK313" s="54"/>
      <c r="AL313" s="33"/>
      <c r="AM313" s="24"/>
      <c r="AN313" s="24"/>
      <c r="AO313" s="24"/>
      <c r="AP313" s="24"/>
      <c r="AQ313" s="49"/>
      <c r="AR313" s="33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T313" s="24"/>
      <c r="BZ313" s="24"/>
      <c r="CF313" s="24"/>
      <c r="CL313" s="24"/>
      <c r="CR313" s="24"/>
    </row>
    <row r="314" spans="31:96" x14ac:dyDescent="0.2">
      <c r="AE314" s="24"/>
      <c r="AF314" s="24"/>
      <c r="AG314" s="24"/>
      <c r="AH314" s="24"/>
      <c r="AK314" s="54"/>
      <c r="AL314" s="33"/>
      <c r="AM314" s="24"/>
      <c r="AN314" s="24"/>
      <c r="AO314" s="24"/>
      <c r="AP314" s="24"/>
      <c r="AQ314" s="49"/>
      <c r="AR314" s="33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T314" s="24"/>
      <c r="BZ314" s="24"/>
      <c r="CF314" s="24"/>
      <c r="CL314" s="24"/>
      <c r="CR314" s="24"/>
    </row>
    <row r="315" spans="31:96" x14ac:dyDescent="0.2">
      <c r="AE315" s="24"/>
      <c r="AF315" s="24"/>
      <c r="AG315" s="24"/>
      <c r="AH315" s="24"/>
      <c r="AK315" s="54"/>
      <c r="AL315" s="33"/>
      <c r="AM315" s="24"/>
      <c r="AN315" s="24"/>
      <c r="AO315" s="24"/>
      <c r="AP315" s="24"/>
      <c r="AQ315" s="25"/>
      <c r="AR315" s="33"/>
      <c r="AS315" s="24"/>
      <c r="AT315" s="24"/>
      <c r="AU315" s="24"/>
      <c r="AV315" s="24"/>
      <c r="AW315" s="33"/>
      <c r="AX315" s="24"/>
      <c r="AY315" s="24"/>
      <c r="AZ315" s="24"/>
      <c r="BA315" s="24"/>
      <c r="BB315" s="24"/>
      <c r="BC315" s="33"/>
      <c r="BD315" s="24"/>
      <c r="BE315" s="24"/>
      <c r="BF315" s="24"/>
      <c r="BG315" s="24"/>
      <c r="BT315" s="24"/>
      <c r="BZ315" s="24"/>
      <c r="CF315" s="24"/>
      <c r="CL315" s="24"/>
      <c r="CR315" s="24"/>
    </row>
    <row r="316" spans="31:96" x14ac:dyDescent="0.2">
      <c r="AE316" s="24"/>
      <c r="AF316" s="24"/>
      <c r="AG316" s="24"/>
      <c r="AH316" s="24"/>
      <c r="AK316" s="54"/>
      <c r="AL316" s="33"/>
      <c r="AM316" s="24"/>
      <c r="AN316" s="24"/>
      <c r="AO316" s="24"/>
      <c r="AP316" s="24"/>
      <c r="AQ316" s="25"/>
      <c r="AR316" s="33"/>
      <c r="AS316" s="24"/>
      <c r="AT316" s="24"/>
      <c r="AU316" s="24"/>
      <c r="AV316" s="24"/>
      <c r="AW316" s="33"/>
      <c r="AX316" s="33"/>
      <c r="AY316" s="33"/>
      <c r="AZ316" s="33"/>
      <c r="BA316" s="24"/>
      <c r="BB316" s="24"/>
      <c r="BC316" s="33"/>
      <c r="BD316" s="33"/>
      <c r="BE316" s="33"/>
      <c r="BF316" s="33"/>
      <c r="BG316" s="24"/>
      <c r="BT316" s="24"/>
      <c r="BZ316" s="24"/>
      <c r="CF316" s="24"/>
      <c r="CL316" s="24"/>
      <c r="CR316" s="24"/>
    </row>
    <row r="317" spans="31:96" x14ac:dyDescent="0.2">
      <c r="AE317" s="24"/>
      <c r="AF317" s="24"/>
      <c r="AG317" s="24"/>
      <c r="AH317" s="24"/>
      <c r="AK317" s="54"/>
      <c r="AL317" s="33"/>
      <c r="AM317" s="24"/>
      <c r="AN317" s="24"/>
      <c r="AO317" s="24"/>
      <c r="AP317" s="24"/>
      <c r="AQ317" s="25"/>
      <c r="AR317" s="33"/>
      <c r="AS317" s="24"/>
      <c r="AT317" s="24"/>
      <c r="AU317" s="24"/>
      <c r="AV317" s="24"/>
      <c r="AW317" s="49"/>
      <c r="AX317" s="33"/>
      <c r="AY317" s="33"/>
      <c r="AZ317" s="33"/>
      <c r="BA317" s="24"/>
      <c r="BB317" s="24"/>
      <c r="BC317" s="49"/>
      <c r="BD317" s="33"/>
      <c r="BE317" s="33"/>
      <c r="BF317" s="33"/>
      <c r="BG317" s="24"/>
      <c r="BT317" s="24"/>
      <c r="BZ317" s="24"/>
      <c r="CF317" s="24"/>
      <c r="CL317" s="24"/>
      <c r="CR317" s="24"/>
    </row>
    <row r="318" spans="31:96" x14ac:dyDescent="0.2">
      <c r="AE318" s="24"/>
      <c r="AF318" s="24"/>
      <c r="AG318" s="24"/>
      <c r="AH318" s="24"/>
      <c r="AK318" s="54"/>
      <c r="AL318" s="33"/>
      <c r="AM318" s="24"/>
      <c r="AN318" s="24"/>
      <c r="AO318" s="24"/>
      <c r="AP318" s="24"/>
      <c r="AQ318" s="25"/>
      <c r="AR318" s="33"/>
      <c r="AS318" s="24"/>
      <c r="AT318" s="24"/>
      <c r="AU318" s="24"/>
      <c r="AV318" s="24"/>
      <c r="AW318" s="49"/>
      <c r="AX318" s="33"/>
      <c r="AY318" s="33"/>
      <c r="AZ318" s="33"/>
      <c r="BA318" s="24"/>
      <c r="BB318" s="24"/>
      <c r="BC318" s="49"/>
      <c r="BD318" s="33"/>
      <c r="BE318" s="33"/>
      <c r="BF318" s="33"/>
      <c r="BG318" s="24"/>
      <c r="BT318" s="24"/>
      <c r="BZ318" s="24"/>
      <c r="CF318" s="24"/>
      <c r="CL318" s="24"/>
      <c r="CR318" s="24"/>
    </row>
    <row r="319" spans="31:96" x14ac:dyDescent="0.2">
      <c r="AE319" s="24"/>
      <c r="AF319" s="24"/>
      <c r="AG319" s="24"/>
      <c r="AH319" s="24"/>
      <c r="AK319" s="54"/>
      <c r="AL319" s="33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49"/>
      <c r="AX319" s="33"/>
      <c r="AY319" s="33"/>
      <c r="AZ319" s="33"/>
      <c r="BA319" s="24"/>
      <c r="BB319" s="24"/>
      <c r="BC319" s="49"/>
      <c r="BD319" s="33"/>
      <c r="BE319" s="33"/>
      <c r="BF319" s="33"/>
      <c r="BG319" s="24"/>
      <c r="BT319" s="24"/>
      <c r="BZ319" s="24"/>
      <c r="CF319" s="24"/>
      <c r="CL319" s="24"/>
      <c r="CR319" s="24"/>
    </row>
    <row r="320" spans="31:96" x14ac:dyDescent="0.2">
      <c r="AE320" s="24"/>
      <c r="AF320" s="24"/>
      <c r="AG320" s="24"/>
      <c r="AH320" s="24"/>
      <c r="AK320" s="54"/>
      <c r="AL320" s="33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49"/>
      <c r="AX320" s="33"/>
      <c r="AY320" s="33"/>
      <c r="AZ320" s="33"/>
      <c r="BA320" s="24"/>
      <c r="BB320" s="24"/>
      <c r="BC320" s="49"/>
      <c r="BD320" s="33"/>
      <c r="BE320" s="33"/>
      <c r="BF320" s="33"/>
      <c r="BG320" s="24"/>
      <c r="BT320" s="24"/>
      <c r="BZ320" s="24"/>
      <c r="CF320" s="24"/>
      <c r="CL320" s="24"/>
      <c r="CR320" s="24"/>
    </row>
    <row r="321" spans="31:96" x14ac:dyDescent="0.2">
      <c r="AE321" s="24"/>
      <c r="AF321" s="24"/>
      <c r="AG321" s="24"/>
      <c r="AH321" s="24"/>
      <c r="AK321" s="54"/>
      <c r="AL321" s="33"/>
      <c r="AM321" s="24"/>
      <c r="AN321" s="24"/>
      <c r="AO321" s="24"/>
      <c r="AP321" s="24"/>
      <c r="AQ321" s="33"/>
      <c r="AR321" s="24"/>
      <c r="AS321" s="24"/>
      <c r="AT321" s="24"/>
      <c r="AU321" s="24"/>
      <c r="AV321" s="24"/>
      <c r="AW321" s="49"/>
      <c r="AX321" s="33"/>
      <c r="AY321" s="33"/>
      <c r="AZ321" s="33"/>
      <c r="BA321" s="24"/>
      <c r="BB321" s="24"/>
      <c r="BC321" s="49"/>
      <c r="BD321" s="33"/>
      <c r="BE321" s="33"/>
      <c r="BF321" s="33"/>
      <c r="BG321" s="24"/>
      <c r="BT321" s="24"/>
      <c r="BZ321" s="24"/>
      <c r="CF321" s="24"/>
      <c r="CL321" s="24"/>
      <c r="CR321" s="24"/>
    </row>
    <row r="322" spans="31:96" x14ac:dyDescent="0.2">
      <c r="AE322" s="24"/>
      <c r="AF322" s="24"/>
      <c r="AG322" s="24"/>
      <c r="AH322" s="24"/>
      <c r="AK322" s="54"/>
      <c r="AL322" s="33"/>
      <c r="AM322" s="24"/>
      <c r="AN322" s="24"/>
      <c r="AO322" s="24"/>
      <c r="AP322" s="24"/>
      <c r="AQ322" s="33"/>
      <c r="AR322" s="33"/>
      <c r="AS322" s="33"/>
      <c r="AT322" s="33"/>
      <c r="AU322" s="24"/>
      <c r="AV322" s="24"/>
      <c r="AW322" s="49"/>
      <c r="AX322" s="33"/>
      <c r="AY322" s="33"/>
      <c r="AZ322" s="33"/>
      <c r="BA322" s="24"/>
      <c r="BB322" s="24"/>
      <c r="BC322" s="49"/>
      <c r="BD322" s="33"/>
      <c r="BE322" s="33"/>
      <c r="BF322" s="33"/>
      <c r="BG322" s="24"/>
      <c r="BT322" s="24"/>
      <c r="BZ322" s="24"/>
      <c r="CF322" s="24"/>
      <c r="CL322" s="24"/>
      <c r="CR322" s="24"/>
    </row>
    <row r="323" spans="31:96" x14ac:dyDescent="0.2">
      <c r="AE323" s="24"/>
      <c r="AF323" s="24"/>
      <c r="AG323" s="24"/>
      <c r="AH323" s="24"/>
      <c r="AK323" s="24"/>
      <c r="AL323" s="24"/>
      <c r="AM323" s="24"/>
      <c r="AN323" s="24"/>
      <c r="AO323" s="24"/>
      <c r="AP323" s="24"/>
      <c r="AQ323" s="49"/>
      <c r="AR323" s="33"/>
      <c r="AS323" s="33"/>
      <c r="AT323" s="33"/>
      <c r="AU323" s="24"/>
      <c r="AV323" s="24"/>
      <c r="AW323" s="49"/>
      <c r="AX323" s="33"/>
      <c r="AY323" s="33"/>
      <c r="AZ323" s="33"/>
      <c r="BA323" s="24"/>
      <c r="BB323" s="24"/>
      <c r="BC323" s="49"/>
      <c r="BD323" s="33"/>
      <c r="BE323" s="33"/>
      <c r="BF323" s="33"/>
      <c r="BG323" s="24"/>
      <c r="BT323" s="24"/>
      <c r="BZ323" s="24"/>
      <c r="CF323" s="24"/>
      <c r="CL323" s="24"/>
      <c r="CR323" s="24"/>
    </row>
    <row r="324" spans="31:96" x14ac:dyDescent="0.2">
      <c r="AE324" s="24"/>
      <c r="AF324" s="24"/>
      <c r="AG324" s="24"/>
      <c r="AH324" s="24"/>
      <c r="AK324" s="24"/>
      <c r="AL324" s="24"/>
      <c r="AM324" s="24"/>
      <c r="AN324" s="24"/>
      <c r="AO324" s="24"/>
      <c r="AP324" s="24"/>
      <c r="AQ324" s="49"/>
      <c r="AR324" s="33"/>
      <c r="AS324" s="33"/>
      <c r="AT324" s="33"/>
      <c r="AU324" s="24"/>
      <c r="AV324" s="24"/>
      <c r="AW324" s="49"/>
      <c r="AX324" s="33"/>
      <c r="AY324" s="33"/>
      <c r="AZ324" s="33"/>
      <c r="BA324" s="24"/>
      <c r="BB324" s="24"/>
      <c r="BC324" s="49"/>
      <c r="BD324" s="33"/>
      <c r="BE324" s="33"/>
      <c r="BF324" s="33"/>
      <c r="BG324" s="24"/>
      <c r="BT324" s="24"/>
      <c r="BZ324" s="24"/>
      <c r="CF324" s="24"/>
      <c r="CL324" s="24"/>
      <c r="CR324" s="24"/>
    </row>
    <row r="325" spans="31:96" x14ac:dyDescent="0.2">
      <c r="AE325" s="24"/>
      <c r="AF325" s="24"/>
      <c r="AG325" s="24"/>
      <c r="AH325" s="24"/>
      <c r="AK325" s="33"/>
      <c r="AL325" s="24"/>
      <c r="AM325" s="24"/>
      <c r="AN325" s="24"/>
      <c r="AO325" s="24"/>
      <c r="AP325" s="24"/>
      <c r="AQ325" s="49"/>
      <c r="AR325" s="33"/>
      <c r="AS325" s="33"/>
      <c r="AT325" s="33"/>
      <c r="AU325" s="24"/>
      <c r="AV325" s="24"/>
      <c r="AW325" s="49"/>
      <c r="AX325" s="33"/>
      <c r="AY325" s="33"/>
      <c r="AZ325" s="33"/>
      <c r="BA325" s="24"/>
      <c r="BB325" s="24"/>
      <c r="BC325" s="49"/>
      <c r="BD325" s="33"/>
      <c r="BE325" s="33"/>
      <c r="BF325" s="33"/>
      <c r="BG325" s="24"/>
      <c r="BT325" s="24"/>
      <c r="BZ325" s="24"/>
      <c r="CF325" s="24"/>
      <c r="CL325" s="24"/>
      <c r="CR325" s="24"/>
    </row>
    <row r="326" spans="31:96" x14ac:dyDescent="0.2">
      <c r="AE326" s="24"/>
      <c r="AF326" s="24"/>
      <c r="AG326" s="24"/>
      <c r="AH326" s="24"/>
      <c r="AK326" s="33"/>
      <c r="AL326" s="33"/>
      <c r="AM326" s="33"/>
      <c r="AN326" s="33"/>
      <c r="AO326" s="24"/>
      <c r="AP326" s="24"/>
      <c r="AQ326" s="49"/>
      <c r="AR326" s="33"/>
      <c r="AS326" s="33"/>
      <c r="AT326" s="33"/>
      <c r="AU326" s="24"/>
      <c r="AV326" s="24"/>
      <c r="AW326" s="49"/>
      <c r="AX326" s="33"/>
      <c r="AY326" s="33"/>
      <c r="AZ326" s="33"/>
      <c r="BA326" s="24"/>
      <c r="BB326" s="24"/>
      <c r="BC326" s="49"/>
      <c r="BD326" s="33"/>
      <c r="BE326" s="33"/>
      <c r="BF326" s="33"/>
      <c r="BG326" s="24"/>
      <c r="BT326" s="24"/>
      <c r="BZ326" s="24"/>
      <c r="CF326" s="24"/>
      <c r="CL326" s="24"/>
      <c r="CR326" s="24"/>
    </row>
    <row r="327" spans="31:96" x14ac:dyDescent="0.2">
      <c r="AE327" s="24"/>
      <c r="AF327" s="24"/>
      <c r="AG327" s="24"/>
      <c r="AH327" s="24"/>
      <c r="AK327" s="54"/>
      <c r="AL327" s="33"/>
      <c r="AM327" s="33"/>
      <c r="AN327" s="33"/>
      <c r="AO327" s="24"/>
      <c r="AP327" s="24"/>
      <c r="AQ327" s="49"/>
      <c r="AR327" s="33"/>
      <c r="AS327" s="33"/>
      <c r="AT327" s="33"/>
      <c r="AU327" s="24"/>
      <c r="AV327" s="24"/>
      <c r="AW327" s="49"/>
      <c r="AX327" s="33"/>
      <c r="AY327" s="33"/>
      <c r="AZ327" s="33"/>
      <c r="BA327" s="24"/>
      <c r="BB327" s="24"/>
      <c r="BC327" s="49"/>
      <c r="BD327" s="33"/>
      <c r="BE327" s="33"/>
      <c r="BF327" s="33"/>
      <c r="BG327" s="24"/>
      <c r="BT327" s="24"/>
      <c r="BZ327" s="24"/>
      <c r="CF327" s="24"/>
      <c r="CL327" s="24"/>
      <c r="CR327" s="24"/>
    </row>
    <row r="328" spans="31:96" x14ac:dyDescent="0.2">
      <c r="AE328" s="24"/>
      <c r="AF328" s="24"/>
      <c r="AG328" s="24"/>
      <c r="AH328" s="24"/>
      <c r="AK328" s="54"/>
      <c r="AL328" s="33"/>
      <c r="AM328" s="33"/>
      <c r="AN328" s="33"/>
      <c r="AO328" s="24"/>
      <c r="AP328" s="24"/>
      <c r="AQ328" s="49"/>
      <c r="AR328" s="33"/>
      <c r="AS328" s="33"/>
      <c r="AT328" s="33"/>
      <c r="AU328" s="24"/>
      <c r="AV328" s="24"/>
      <c r="AW328" s="49"/>
      <c r="AX328" s="33"/>
      <c r="AY328" s="33"/>
      <c r="AZ328" s="33"/>
      <c r="BA328" s="24"/>
      <c r="BB328" s="24"/>
      <c r="BC328" s="49"/>
      <c r="BD328" s="33"/>
      <c r="BE328" s="33"/>
      <c r="BF328" s="33"/>
      <c r="BG328" s="24"/>
      <c r="BT328" s="24"/>
      <c r="BZ328" s="24"/>
      <c r="CF328" s="24"/>
      <c r="CL328" s="24"/>
      <c r="CR328" s="24"/>
    </row>
    <row r="329" spans="31:96" x14ac:dyDescent="0.2">
      <c r="AE329" s="24"/>
      <c r="AF329" s="24"/>
      <c r="AG329" s="24"/>
      <c r="AH329" s="24"/>
      <c r="AK329" s="25"/>
      <c r="AL329" s="33"/>
      <c r="AM329" s="33"/>
      <c r="AN329" s="33"/>
      <c r="AO329" s="24"/>
      <c r="AP329" s="24"/>
      <c r="AQ329" s="49"/>
      <c r="AR329" s="33"/>
      <c r="AS329" s="33"/>
      <c r="AT329" s="33"/>
      <c r="AU329" s="24"/>
      <c r="AV329" s="24"/>
      <c r="AW329" s="25"/>
      <c r="AX329" s="33"/>
      <c r="AY329" s="24"/>
      <c r="AZ329" s="24"/>
      <c r="BA329" s="24"/>
      <c r="BB329" s="24"/>
      <c r="BC329" s="25"/>
      <c r="BD329" s="33"/>
      <c r="BE329" s="24"/>
      <c r="BF329" s="24"/>
      <c r="BG329" s="24"/>
      <c r="BT329" s="24"/>
      <c r="BZ329" s="24"/>
      <c r="CF329" s="24"/>
      <c r="CL329" s="24"/>
      <c r="CR329" s="24"/>
    </row>
    <row r="330" spans="31:96" x14ac:dyDescent="0.2">
      <c r="AE330" s="24"/>
      <c r="AF330" s="24"/>
      <c r="AG330" s="24"/>
      <c r="AH330" s="24"/>
      <c r="AK330" s="54"/>
      <c r="AL330" s="33"/>
      <c r="AM330" s="33"/>
      <c r="AN330" s="33"/>
      <c r="AO330" s="24"/>
      <c r="AP330" s="24"/>
      <c r="AQ330" s="49"/>
      <c r="AR330" s="33"/>
      <c r="AS330" s="33"/>
      <c r="AT330" s="33"/>
      <c r="AU330" s="24"/>
      <c r="AV330" s="24"/>
      <c r="AW330" s="49"/>
      <c r="AX330" s="33"/>
      <c r="AY330" s="24"/>
      <c r="AZ330" s="24"/>
      <c r="BA330" s="24"/>
      <c r="BB330" s="24"/>
      <c r="BC330" s="49"/>
      <c r="BD330" s="33"/>
      <c r="BE330" s="24"/>
      <c r="BF330" s="24"/>
      <c r="BG330" s="24"/>
      <c r="BT330" s="24"/>
      <c r="BZ330" s="24"/>
      <c r="CF330" s="24"/>
      <c r="CL330" s="24"/>
      <c r="CR330" s="24"/>
    </row>
    <row r="331" spans="31:96" x14ac:dyDescent="0.2">
      <c r="AE331" s="24"/>
      <c r="AF331" s="24"/>
      <c r="AG331" s="24"/>
      <c r="AH331" s="24"/>
      <c r="AK331" s="54"/>
      <c r="AL331" s="33"/>
      <c r="AM331" s="33"/>
      <c r="AN331" s="33"/>
      <c r="AO331" s="24"/>
      <c r="AP331" s="24"/>
      <c r="AQ331" s="49"/>
      <c r="AR331" s="33"/>
      <c r="AS331" s="33"/>
      <c r="AT331" s="33"/>
      <c r="AU331" s="24"/>
      <c r="AV331" s="24"/>
      <c r="AW331" s="49"/>
      <c r="AX331" s="33"/>
      <c r="AY331" s="24"/>
      <c r="AZ331" s="24"/>
      <c r="BA331" s="24"/>
      <c r="BB331" s="24"/>
      <c r="BC331" s="49"/>
      <c r="BD331" s="33"/>
      <c r="BE331" s="24"/>
      <c r="BF331" s="24"/>
      <c r="BG331" s="24"/>
      <c r="BT331" s="24"/>
      <c r="BZ331" s="24"/>
      <c r="CF331" s="24"/>
      <c r="CL331" s="24"/>
      <c r="CR331" s="24"/>
    </row>
    <row r="332" spans="31:96" x14ac:dyDescent="0.2">
      <c r="AE332" s="24"/>
      <c r="AF332" s="24"/>
      <c r="AG332" s="24"/>
      <c r="AH332" s="24"/>
      <c r="AK332" s="54"/>
      <c r="AL332" s="33"/>
      <c r="AM332" s="33"/>
      <c r="AN332" s="33"/>
      <c r="AO332" s="24"/>
      <c r="AP332" s="24"/>
      <c r="AQ332" s="49"/>
      <c r="AR332" s="33"/>
      <c r="AS332" s="33"/>
      <c r="AT332" s="33"/>
      <c r="AU332" s="24"/>
      <c r="AV332" s="24"/>
      <c r="AW332" s="49"/>
      <c r="AX332" s="33"/>
      <c r="AY332" s="24"/>
      <c r="AZ332" s="24"/>
      <c r="BA332" s="24"/>
      <c r="BB332" s="24"/>
      <c r="BC332" s="49"/>
      <c r="BD332" s="33"/>
      <c r="BE332" s="24"/>
      <c r="BF332" s="24"/>
      <c r="BG332" s="24"/>
      <c r="BT332" s="24"/>
      <c r="BZ332" s="24"/>
      <c r="CF332" s="24"/>
      <c r="CL332" s="24"/>
      <c r="CR332" s="24"/>
    </row>
    <row r="333" spans="31:96" x14ac:dyDescent="0.2">
      <c r="AE333" s="24"/>
      <c r="AF333" s="24"/>
      <c r="AG333" s="24"/>
      <c r="AH333" s="24"/>
      <c r="AK333" s="54"/>
      <c r="AL333" s="33"/>
      <c r="AM333" s="33"/>
      <c r="AN333" s="33"/>
      <c r="AO333" s="24"/>
      <c r="AP333" s="24"/>
      <c r="AQ333" s="49"/>
      <c r="AR333" s="33"/>
      <c r="AS333" s="33"/>
      <c r="AT333" s="33"/>
      <c r="AU333" s="24"/>
      <c r="AV333" s="24"/>
      <c r="AW333" s="49"/>
      <c r="AX333" s="33"/>
      <c r="AY333" s="24"/>
      <c r="AZ333" s="24"/>
      <c r="BA333" s="24"/>
      <c r="BB333" s="24"/>
      <c r="BC333" s="49"/>
      <c r="BD333" s="33"/>
      <c r="BE333" s="24"/>
      <c r="BF333" s="24"/>
      <c r="BG333" s="24"/>
      <c r="BT333" s="24"/>
      <c r="BZ333" s="24"/>
      <c r="CF333" s="24"/>
      <c r="CL333" s="24"/>
      <c r="CR333" s="24"/>
    </row>
    <row r="334" spans="31:96" x14ac:dyDescent="0.2">
      <c r="AE334" s="24"/>
      <c r="AF334" s="24"/>
      <c r="AG334" s="24"/>
      <c r="AH334" s="24"/>
      <c r="AK334" s="54"/>
      <c r="AL334" s="33"/>
      <c r="AM334" s="33"/>
      <c r="AN334" s="33"/>
      <c r="AO334" s="24"/>
      <c r="AP334" s="24"/>
      <c r="AQ334" s="49"/>
      <c r="AR334" s="33"/>
      <c r="AS334" s="33"/>
      <c r="AT334" s="33"/>
      <c r="AU334" s="24"/>
      <c r="AV334" s="24"/>
      <c r="AW334" s="49"/>
      <c r="AX334" s="33"/>
      <c r="AY334" s="24"/>
      <c r="AZ334" s="24"/>
      <c r="BA334" s="24"/>
      <c r="BB334" s="24"/>
      <c r="BC334" s="49"/>
      <c r="BD334" s="33"/>
      <c r="BE334" s="24"/>
      <c r="BF334" s="24"/>
      <c r="BG334" s="24"/>
      <c r="BT334" s="24"/>
      <c r="BZ334" s="24"/>
      <c r="CF334" s="24"/>
      <c r="CL334" s="24"/>
      <c r="CR334" s="24"/>
    </row>
    <row r="335" spans="31:96" x14ac:dyDescent="0.2">
      <c r="AE335" s="24"/>
      <c r="AF335" s="24"/>
      <c r="AG335" s="24"/>
      <c r="AH335" s="24"/>
      <c r="AK335" s="54"/>
      <c r="AL335" s="33"/>
      <c r="AM335" s="33"/>
      <c r="AN335" s="33"/>
      <c r="AO335" s="24"/>
      <c r="AP335" s="24"/>
      <c r="AQ335" s="25"/>
      <c r="AR335" s="33"/>
      <c r="AS335" s="24"/>
      <c r="AT335" s="24"/>
      <c r="AU335" s="24"/>
      <c r="AV335" s="24"/>
      <c r="AW335" s="49"/>
      <c r="AX335" s="33"/>
      <c r="AY335" s="24"/>
      <c r="AZ335" s="24"/>
      <c r="BA335" s="24"/>
      <c r="BB335" s="24"/>
      <c r="BC335" s="49"/>
      <c r="BD335" s="33"/>
      <c r="BE335" s="24"/>
      <c r="BF335" s="24"/>
      <c r="BG335" s="24"/>
      <c r="BZ335" s="24"/>
      <c r="CF335" s="24"/>
      <c r="CL335" s="24"/>
      <c r="CR335" s="24"/>
    </row>
    <row r="336" spans="31:96" x14ac:dyDescent="0.2">
      <c r="AE336" s="24"/>
      <c r="AF336" s="24"/>
      <c r="AG336" s="24"/>
      <c r="AH336" s="24"/>
      <c r="AK336" s="54"/>
      <c r="AL336" s="33"/>
      <c r="AM336" s="33"/>
      <c r="AN336" s="33"/>
      <c r="AO336" s="24"/>
      <c r="AP336" s="24"/>
      <c r="AQ336" s="49"/>
      <c r="AR336" s="33"/>
      <c r="AS336" s="24"/>
      <c r="AT336" s="24"/>
      <c r="AU336" s="24"/>
      <c r="AV336" s="24"/>
      <c r="AW336" s="49"/>
      <c r="AX336" s="33"/>
      <c r="AY336" s="24"/>
      <c r="AZ336" s="24"/>
      <c r="BA336" s="24"/>
      <c r="BB336" s="24"/>
      <c r="BC336" s="49"/>
      <c r="BD336" s="33"/>
      <c r="BE336" s="24"/>
      <c r="BF336" s="24"/>
      <c r="BG336" s="24"/>
      <c r="BZ336" s="24"/>
      <c r="CF336" s="24"/>
      <c r="CL336" s="24"/>
      <c r="CR336" s="24"/>
    </row>
    <row r="337" spans="31:96" x14ac:dyDescent="0.2">
      <c r="AE337" s="24"/>
      <c r="AF337" s="24"/>
      <c r="AG337" s="24"/>
      <c r="AH337" s="24"/>
      <c r="AK337" s="54"/>
      <c r="AL337" s="33"/>
      <c r="AM337" s="33"/>
      <c r="AN337" s="33"/>
      <c r="AO337" s="24"/>
      <c r="AP337" s="24"/>
      <c r="AQ337" s="49"/>
      <c r="AR337" s="33"/>
      <c r="AS337" s="24"/>
      <c r="AT337" s="24"/>
      <c r="AU337" s="24"/>
      <c r="AV337" s="24"/>
      <c r="AW337" s="49"/>
      <c r="AX337" s="33"/>
      <c r="AY337" s="24"/>
      <c r="AZ337" s="24"/>
      <c r="BA337" s="24"/>
      <c r="BB337" s="24"/>
      <c r="BC337" s="49"/>
      <c r="BD337" s="33"/>
      <c r="BE337" s="24"/>
      <c r="BF337" s="24"/>
      <c r="BG337" s="24"/>
      <c r="BZ337" s="24"/>
      <c r="CF337" s="24"/>
      <c r="CL337" s="24"/>
      <c r="CR337" s="24"/>
    </row>
    <row r="338" spans="31:96" x14ac:dyDescent="0.2">
      <c r="AE338" s="24"/>
      <c r="AF338" s="24"/>
      <c r="AG338" s="24"/>
      <c r="AH338" s="24"/>
      <c r="AK338" s="54"/>
      <c r="AL338" s="33"/>
      <c r="AM338" s="33"/>
      <c r="AN338" s="33"/>
      <c r="AO338" s="24"/>
      <c r="AP338" s="24"/>
      <c r="AQ338" s="49"/>
      <c r="AR338" s="33"/>
      <c r="AS338" s="24"/>
      <c r="AT338" s="24"/>
      <c r="AU338" s="24"/>
      <c r="AV338" s="24"/>
      <c r="AW338" s="49"/>
      <c r="AX338" s="33"/>
      <c r="AY338" s="24"/>
      <c r="AZ338" s="24"/>
      <c r="BA338" s="24"/>
      <c r="BB338" s="24"/>
      <c r="BC338" s="49"/>
      <c r="BD338" s="33"/>
      <c r="BE338" s="24"/>
      <c r="BF338" s="24"/>
      <c r="BG338" s="24"/>
      <c r="BZ338" s="24"/>
      <c r="CF338" s="24"/>
      <c r="CL338" s="24"/>
      <c r="CR338" s="24"/>
    </row>
    <row r="339" spans="31:96" x14ac:dyDescent="0.2">
      <c r="AE339" s="24"/>
      <c r="AF339" s="24"/>
      <c r="AG339" s="24"/>
      <c r="AH339" s="24"/>
      <c r="AK339" s="54"/>
      <c r="AL339" s="33"/>
      <c r="AM339" s="24"/>
      <c r="AN339" s="24"/>
      <c r="AO339" s="24"/>
      <c r="AP339" s="24"/>
      <c r="AQ339" s="49"/>
      <c r="AR339" s="33"/>
      <c r="AS339" s="24"/>
      <c r="AT339" s="24"/>
      <c r="AU339" s="24"/>
      <c r="AV339" s="24"/>
      <c r="AW339" s="49"/>
      <c r="AX339" s="33"/>
      <c r="AY339" s="24"/>
      <c r="AZ339" s="24"/>
      <c r="BA339" s="24"/>
      <c r="BB339" s="24"/>
      <c r="BC339" s="49"/>
      <c r="BD339" s="33"/>
      <c r="BE339" s="24"/>
      <c r="BF339" s="24"/>
      <c r="BG339" s="24"/>
      <c r="BZ339" s="24"/>
      <c r="CF339" s="24"/>
      <c r="CL339" s="24"/>
      <c r="CR339" s="24"/>
    </row>
    <row r="340" spans="31:96" x14ac:dyDescent="0.2">
      <c r="AE340" s="24"/>
      <c r="AF340" s="24"/>
      <c r="AG340" s="24"/>
      <c r="AH340" s="24"/>
      <c r="AK340" s="54"/>
      <c r="AL340" s="33"/>
      <c r="AM340" s="24"/>
      <c r="AN340" s="24"/>
      <c r="AO340" s="24"/>
      <c r="AP340" s="24"/>
      <c r="AQ340" s="49"/>
      <c r="AR340" s="33"/>
      <c r="AS340" s="24"/>
      <c r="AT340" s="24"/>
      <c r="AU340" s="24"/>
      <c r="AV340" s="24"/>
      <c r="AW340" s="49"/>
      <c r="AX340" s="33"/>
      <c r="AY340" s="24"/>
      <c r="AZ340" s="24"/>
      <c r="BA340" s="24"/>
      <c r="BB340" s="24"/>
      <c r="BC340" s="49"/>
      <c r="BD340" s="33"/>
      <c r="BE340" s="24"/>
      <c r="BF340" s="24"/>
      <c r="BG340" s="24"/>
      <c r="BZ340" s="24"/>
      <c r="CF340" s="24"/>
      <c r="CL340" s="24"/>
      <c r="CR340" s="24"/>
    </row>
    <row r="341" spans="31:96" x14ac:dyDescent="0.2">
      <c r="AE341" s="24"/>
      <c r="AF341" s="24"/>
      <c r="AG341" s="24"/>
      <c r="AH341" s="24"/>
      <c r="AK341" s="54"/>
      <c r="AL341" s="33"/>
      <c r="AM341" s="24"/>
      <c r="AN341" s="24"/>
      <c r="AO341" s="24"/>
      <c r="AP341" s="24"/>
      <c r="AQ341" s="49"/>
      <c r="AR341" s="33"/>
      <c r="AS341" s="24"/>
      <c r="AT341" s="24"/>
      <c r="AU341" s="24"/>
      <c r="AV341" s="24"/>
      <c r="AW341" s="49"/>
      <c r="AX341" s="33"/>
      <c r="AY341" s="24"/>
      <c r="AZ341" s="24"/>
      <c r="BA341" s="24"/>
      <c r="BB341" s="24"/>
      <c r="BC341" s="49"/>
      <c r="BD341" s="33"/>
      <c r="BE341" s="24"/>
      <c r="BF341" s="24"/>
      <c r="BG341" s="24"/>
      <c r="BZ341" s="24"/>
      <c r="CF341" s="24"/>
      <c r="CL341" s="24"/>
      <c r="CR341" s="24"/>
    </row>
    <row r="342" spans="31:96" x14ac:dyDescent="0.2">
      <c r="AE342" s="24"/>
      <c r="AF342" s="24"/>
      <c r="AG342" s="24"/>
      <c r="AH342" s="24"/>
      <c r="AK342" s="54"/>
      <c r="AL342" s="33"/>
      <c r="AM342" s="24"/>
      <c r="AN342" s="24"/>
      <c r="AO342" s="24"/>
      <c r="AP342" s="24"/>
      <c r="AQ342" s="49"/>
      <c r="AR342" s="33"/>
      <c r="AS342" s="24"/>
      <c r="AT342" s="24"/>
      <c r="AU342" s="24"/>
      <c r="AV342" s="24"/>
      <c r="AW342" s="49"/>
      <c r="AX342" s="33"/>
      <c r="AY342" s="24"/>
      <c r="AZ342" s="24"/>
      <c r="BA342" s="24"/>
      <c r="BB342" s="24"/>
      <c r="BC342" s="49"/>
      <c r="BD342" s="33"/>
      <c r="BE342" s="24"/>
      <c r="BF342" s="24"/>
      <c r="BG342" s="24"/>
      <c r="BZ342" s="24"/>
      <c r="CF342" s="24"/>
      <c r="CL342" s="24"/>
      <c r="CR342" s="24"/>
    </row>
    <row r="343" spans="31:96" x14ac:dyDescent="0.2">
      <c r="AE343" s="24"/>
      <c r="AF343" s="24"/>
      <c r="AG343" s="24"/>
      <c r="AH343" s="24"/>
      <c r="AK343" s="54"/>
      <c r="AL343" s="33"/>
      <c r="AM343" s="24"/>
      <c r="AN343" s="24"/>
      <c r="AO343" s="24"/>
      <c r="AP343" s="24"/>
      <c r="AQ343" s="49"/>
      <c r="AR343" s="33"/>
      <c r="AS343" s="24"/>
      <c r="AT343" s="24"/>
      <c r="AU343" s="24"/>
      <c r="AV343" s="24"/>
      <c r="AW343" s="49"/>
      <c r="AX343" s="33"/>
      <c r="AY343" s="24"/>
      <c r="AZ343" s="24"/>
      <c r="BA343" s="24"/>
      <c r="BB343" s="24"/>
      <c r="BC343" s="49"/>
      <c r="BD343" s="33"/>
      <c r="BE343" s="24"/>
      <c r="BF343" s="24"/>
      <c r="BG343" s="24"/>
      <c r="BZ343" s="24"/>
      <c r="CF343" s="24"/>
      <c r="CL343" s="24"/>
      <c r="CR343" s="24"/>
    </row>
    <row r="344" spans="31:96" x14ac:dyDescent="0.2">
      <c r="AE344" s="24"/>
      <c r="AF344" s="24"/>
      <c r="AG344" s="24"/>
      <c r="AH344" s="24"/>
      <c r="AK344" s="54"/>
      <c r="AL344" s="33"/>
      <c r="AM344" s="24"/>
      <c r="AN344" s="24"/>
      <c r="AO344" s="24"/>
      <c r="AP344" s="24"/>
      <c r="AQ344" s="49"/>
      <c r="AR344" s="33"/>
      <c r="AS344" s="24"/>
      <c r="AT344" s="24"/>
      <c r="AU344" s="24"/>
      <c r="AV344" s="24"/>
      <c r="AW344" s="49"/>
      <c r="AX344" s="33"/>
      <c r="AY344" s="24"/>
      <c r="AZ344" s="24"/>
      <c r="BA344" s="24"/>
      <c r="BB344" s="24"/>
      <c r="BC344" s="49"/>
      <c r="BD344" s="33"/>
      <c r="BE344" s="24"/>
      <c r="BF344" s="24"/>
      <c r="BG344" s="24"/>
      <c r="BZ344" s="24"/>
      <c r="CF344" s="24"/>
      <c r="CL344" s="24"/>
      <c r="CR344" s="24"/>
    </row>
    <row r="345" spans="31:96" x14ac:dyDescent="0.2">
      <c r="AE345" s="24"/>
      <c r="AF345" s="24"/>
      <c r="AG345" s="24"/>
      <c r="AH345" s="24"/>
      <c r="AK345" s="54"/>
      <c r="AL345" s="33"/>
      <c r="AM345" s="24"/>
      <c r="AN345" s="24"/>
      <c r="AO345" s="24"/>
      <c r="AP345" s="24"/>
      <c r="AQ345" s="49"/>
      <c r="AR345" s="33"/>
      <c r="AS345" s="24"/>
      <c r="AT345" s="24"/>
      <c r="AU345" s="24"/>
      <c r="AV345" s="24"/>
      <c r="AW345" s="49"/>
      <c r="AX345" s="33"/>
      <c r="AY345" s="24"/>
      <c r="AZ345" s="24"/>
      <c r="BA345" s="24"/>
      <c r="BB345" s="24"/>
      <c r="BC345" s="49"/>
      <c r="BD345" s="33"/>
      <c r="BE345" s="24"/>
      <c r="BF345" s="24"/>
      <c r="BG345" s="24"/>
      <c r="BZ345" s="24"/>
      <c r="CF345" s="24"/>
      <c r="CL345" s="24"/>
      <c r="CR345" s="24"/>
    </row>
    <row r="346" spans="31:96" x14ac:dyDescent="0.2">
      <c r="AE346" s="24"/>
      <c r="AF346" s="24"/>
      <c r="AG346" s="24"/>
      <c r="AH346" s="24"/>
      <c r="AK346" s="54"/>
      <c r="AL346" s="33"/>
      <c r="AM346" s="24"/>
      <c r="AN346" s="24"/>
      <c r="AO346" s="24"/>
      <c r="AP346" s="24"/>
      <c r="AQ346" s="49"/>
      <c r="AR346" s="33"/>
      <c r="AS346" s="24"/>
      <c r="AT346" s="24"/>
      <c r="AU346" s="24"/>
      <c r="AV346" s="24"/>
      <c r="AW346" s="49"/>
      <c r="AX346" s="33"/>
      <c r="AY346" s="24"/>
      <c r="AZ346" s="24"/>
      <c r="BA346" s="24"/>
      <c r="BB346" s="24"/>
      <c r="BC346" s="49"/>
      <c r="BD346" s="33"/>
      <c r="BE346" s="24"/>
      <c r="BF346" s="24"/>
      <c r="BG346" s="24"/>
      <c r="BZ346" s="24"/>
      <c r="CF346" s="24"/>
      <c r="CL346" s="24"/>
      <c r="CR346" s="24"/>
    </row>
    <row r="347" spans="31:96" x14ac:dyDescent="0.2">
      <c r="AE347" s="24"/>
      <c r="AF347" s="24"/>
      <c r="AG347" s="24"/>
      <c r="AH347" s="24"/>
      <c r="AK347" s="54"/>
      <c r="AL347" s="33"/>
      <c r="AM347" s="24"/>
      <c r="AN347" s="24"/>
      <c r="AO347" s="24"/>
      <c r="AP347" s="24"/>
      <c r="AQ347" s="49"/>
      <c r="AR347" s="33"/>
      <c r="AS347" s="24"/>
      <c r="AT347" s="24"/>
      <c r="AU347" s="24"/>
      <c r="AV347" s="24"/>
      <c r="AW347" s="49"/>
      <c r="AX347" s="33"/>
      <c r="AY347" s="24"/>
      <c r="AZ347" s="24"/>
      <c r="BA347" s="24"/>
      <c r="BB347" s="24"/>
      <c r="BC347" s="49"/>
      <c r="BD347" s="33"/>
      <c r="BE347" s="24"/>
      <c r="BF347" s="24"/>
      <c r="BG347" s="24"/>
      <c r="BZ347" s="24"/>
      <c r="CF347" s="24"/>
      <c r="CL347" s="24"/>
      <c r="CR347" s="24"/>
    </row>
    <row r="348" spans="31:96" x14ac:dyDescent="0.2">
      <c r="AE348" s="24"/>
      <c r="AF348" s="24"/>
      <c r="AG348" s="24"/>
      <c r="AH348" s="24"/>
      <c r="AK348" s="54"/>
      <c r="AL348" s="33"/>
      <c r="AM348" s="24"/>
      <c r="AN348" s="24"/>
      <c r="AO348" s="24"/>
      <c r="AP348" s="24"/>
      <c r="AQ348" s="49"/>
      <c r="AR348" s="33"/>
      <c r="AS348" s="24"/>
      <c r="AT348" s="24"/>
      <c r="AU348" s="24"/>
      <c r="AV348" s="24"/>
      <c r="AW348" s="49"/>
      <c r="AX348" s="33"/>
      <c r="AY348" s="24"/>
      <c r="AZ348" s="24"/>
      <c r="BA348" s="24"/>
      <c r="BB348" s="24"/>
      <c r="BC348" s="49"/>
      <c r="BD348" s="33"/>
      <c r="BE348" s="24"/>
      <c r="BF348" s="24"/>
      <c r="BG348" s="24"/>
      <c r="CF348" s="24"/>
      <c r="CL348" s="24"/>
      <c r="CR348" s="24"/>
    </row>
    <row r="349" spans="31:96" x14ac:dyDescent="0.2">
      <c r="AE349" s="24"/>
      <c r="AF349" s="24"/>
      <c r="AG349" s="24"/>
      <c r="AH349" s="24"/>
      <c r="AK349" s="54"/>
      <c r="AL349" s="33"/>
      <c r="AM349" s="24"/>
      <c r="AN349" s="24"/>
      <c r="AO349" s="24"/>
      <c r="AP349" s="24"/>
      <c r="AQ349" s="49"/>
      <c r="AR349" s="33"/>
      <c r="AS349" s="24"/>
      <c r="AT349" s="24"/>
      <c r="AU349" s="24"/>
      <c r="AV349" s="24"/>
      <c r="AW349" s="49"/>
      <c r="AX349" s="33"/>
      <c r="AY349" s="24"/>
      <c r="AZ349" s="24"/>
      <c r="BA349" s="24"/>
      <c r="BB349" s="24"/>
      <c r="BC349" s="49"/>
      <c r="BD349" s="33"/>
      <c r="BE349" s="24"/>
      <c r="BF349" s="24"/>
      <c r="BG349" s="24"/>
      <c r="CF349" s="24"/>
      <c r="CL349" s="24"/>
      <c r="CR349" s="24"/>
    </row>
    <row r="350" spans="31:96" x14ac:dyDescent="0.2">
      <c r="AE350" s="24"/>
      <c r="AF350" s="24"/>
      <c r="AG350" s="24"/>
      <c r="AH350" s="24"/>
      <c r="AK350" s="54"/>
      <c r="AL350" s="33"/>
      <c r="AM350" s="24"/>
      <c r="AN350" s="24"/>
      <c r="AO350" s="24"/>
      <c r="AP350" s="24"/>
      <c r="AQ350" s="49"/>
      <c r="AR350" s="33"/>
      <c r="AS350" s="24"/>
      <c r="AT350" s="24"/>
      <c r="AU350" s="24"/>
      <c r="AV350" s="24"/>
      <c r="AW350" s="49"/>
      <c r="AX350" s="33"/>
      <c r="AY350" s="24"/>
      <c r="AZ350" s="24"/>
      <c r="BA350" s="24"/>
      <c r="BB350" s="24"/>
      <c r="BC350" s="49"/>
      <c r="BD350" s="33"/>
      <c r="BE350" s="24"/>
      <c r="BF350" s="24"/>
      <c r="BG350" s="24"/>
      <c r="CF350" s="24"/>
      <c r="CL350" s="24"/>
      <c r="CR350" s="24"/>
    </row>
    <row r="351" spans="31:96" x14ac:dyDescent="0.2">
      <c r="AE351" s="24"/>
      <c r="AF351" s="24"/>
      <c r="AG351" s="24"/>
      <c r="AH351" s="24"/>
      <c r="AK351" s="54"/>
      <c r="AL351" s="33"/>
      <c r="AM351" s="24"/>
      <c r="AN351" s="24"/>
      <c r="AO351" s="24"/>
      <c r="AP351" s="24"/>
      <c r="AQ351" s="49"/>
      <c r="AR351" s="33"/>
      <c r="AS351" s="24"/>
      <c r="AT351" s="24"/>
      <c r="AU351" s="24"/>
      <c r="AV351" s="24"/>
      <c r="AW351" s="49"/>
      <c r="AX351" s="33"/>
      <c r="AY351" s="24"/>
      <c r="AZ351" s="24"/>
      <c r="BA351" s="24"/>
      <c r="BB351" s="24"/>
      <c r="BC351" s="49"/>
      <c r="BD351" s="33"/>
      <c r="BE351" s="24"/>
      <c r="BF351" s="24"/>
      <c r="BG351" s="24"/>
      <c r="CF351" s="24"/>
      <c r="CL351" s="24"/>
      <c r="CR351" s="24"/>
    </row>
    <row r="352" spans="31:96" x14ac:dyDescent="0.2">
      <c r="AE352" s="24"/>
      <c r="AF352" s="24"/>
      <c r="AG352" s="24"/>
      <c r="AH352" s="24"/>
      <c r="AK352" s="24"/>
      <c r="AL352" s="24"/>
      <c r="AM352" s="24"/>
      <c r="AN352" s="24"/>
      <c r="AO352" s="24"/>
      <c r="AP352" s="24"/>
      <c r="AQ352" s="49"/>
      <c r="AR352" s="33"/>
      <c r="AS352" s="24"/>
      <c r="AT352" s="24"/>
      <c r="AU352" s="24"/>
      <c r="AV352" s="24"/>
      <c r="AW352" s="49"/>
      <c r="AX352" s="33"/>
      <c r="AY352" s="24"/>
      <c r="AZ352" s="24"/>
      <c r="BA352" s="24"/>
      <c r="BB352" s="24"/>
      <c r="BC352" s="49"/>
      <c r="BD352" s="33"/>
      <c r="BE352" s="24"/>
      <c r="BF352" s="24"/>
      <c r="BG352" s="24"/>
      <c r="CF352" s="24"/>
      <c r="CL352" s="24"/>
      <c r="CR352" s="24"/>
    </row>
    <row r="353" spans="31:96" x14ac:dyDescent="0.2">
      <c r="AE353" s="24"/>
      <c r="AF353" s="24"/>
      <c r="AG353" s="24"/>
      <c r="AH353" s="24"/>
      <c r="AK353" s="24"/>
      <c r="AL353" s="24"/>
      <c r="AM353" s="24"/>
      <c r="AN353" s="24"/>
      <c r="AO353" s="24"/>
      <c r="AP353" s="24"/>
      <c r="AQ353" s="49"/>
      <c r="AR353" s="33"/>
      <c r="AS353" s="24"/>
      <c r="AT353" s="24"/>
      <c r="AU353" s="24"/>
      <c r="AV353" s="24"/>
      <c r="AW353" s="49"/>
      <c r="AX353" s="33"/>
      <c r="AY353" s="24"/>
      <c r="AZ353" s="24"/>
      <c r="BA353" s="24"/>
      <c r="BB353" s="24"/>
      <c r="BC353" s="49"/>
      <c r="BD353" s="33"/>
      <c r="BE353" s="24"/>
      <c r="BF353" s="24"/>
      <c r="BG353" s="24"/>
      <c r="CF353" s="24"/>
      <c r="CL353" s="24"/>
      <c r="CR353" s="24"/>
    </row>
    <row r="354" spans="31:96" x14ac:dyDescent="0.2">
      <c r="AE354" s="24"/>
      <c r="AF354" s="24"/>
      <c r="AG354" s="24"/>
      <c r="AH354" s="24"/>
      <c r="AK354" s="33"/>
      <c r="AL354" s="24"/>
      <c r="AM354" s="24"/>
      <c r="AN354" s="24"/>
      <c r="AO354" s="24"/>
      <c r="AP354" s="24"/>
      <c r="AQ354" s="49"/>
      <c r="AR354" s="33"/>
      <c r="AS354" s="24"/>
      <c r="AT354" s="24"/>
      <c r="AU354" s="24"/>
      <c r="AV354" s="24"/>
      <c r="AW354" s="49"/>
      <c r="AX354" s="33"/>
      <c r="AY354" s="24"/>
      <c r="AZ354" s="24"/>
      <c r="BA354" s="24"/>
      <c r="BB354" s="24"/>
      <c r="BC354" s="49"/>
      <c r="BD354" s="33"/>
      <c r="BE354" s="24"/>
      <c r="BF354" s="24"/>
      <c r="BG354" s="24"/>
      <c r="CF354" s="24"/>
      <c r="CL354" s="24"/>
      <c r="CR354" s="24"/>
    </row>
    <row r="355" spans="31:96" x14ac:dyDescent="0.2">
      <c r="AE355" s="24"/>
      <c r="AF355" s="24"/>
      <c r="AG355" s="24"/>
      <c r="AH355" s="24"/>
      <c r="AK355" s="33"/>
      <c r="AL355" s="33"/>
      <c r="AM355" s="33"/>
      <c r="AN355" s="33"/>
      <c r="AO355" s="24"/>
      <c r="AP355" s="24"/>
      <c r="AQ355" s="49"/>
      <c r="AR355" s="33"/>
      <c r="AS355" s="24"/>
      <c r="AT355" s="24"/>
      <c r="AU355" s="24"/>
      <c r="AV355" s="24"/>
      <c r="AW355" s="49"/>
      <c r="AX355" s="33"/>
      <c r="AY355" s="24"/>
      <c r="AZ355" s="24"/>
      <c r="BA355" s="24"/>
      <c r="BB355" s="24"/>
      <c r="BC355" s="49"/>
      <c r="BD355" s="33"/>
      <c r="BE355" s="24"/>
      <c r="BF355" s="24"/>
      <c r="BG355" s="24"/>
      <c r="CF355" s="24"/>
      <c r="CL355" s="24"/>
      <c r="CR355" s="24"/>
    </row>
    <row r="356" spans="31:96" x14ac:dyDescent="0.2">
      <c r="AE356" s="24"/>
      <c r="AF356" s="24"/>
      <c r="AG356" s="24"/>
      <c r="AH356" s="24"/>
      <c r="AK356" s="54"/>
      <c r="AL356" s="33"/>
      <c r="AM356" s="33"/>
      <c r="AN356" s="33"/>
      <c r="AO356" s="24"/>
      <c r="AP356" s="24"/>
      <c r="AQ356" s="49"/>
      <c r="AR356" s="33"/>
      <c r="AS356" s="24"/>
      <c r="AT356" s="24"/>
      <c r="AU356" s="24"/>
      <c r="AV356" s="24"/>
      <c r="AW356" s="49"/>
      <c r="AX356" s="33"/>
      <c r="AY356" s="24"/>
      <c r="AZ356" s="24"/>
      <c r="BA356" s="24"/>
      <c r="BB356" s="24"/>
      <c r="BC356" s="49"/>
      <c r="BD356" s="33"/>
      <c r="BE356" s="24"/>
      <c r="BF356" s="24"/>
      <c r="BG356" s="24"/>
      <c r="CF356" s="24"/>
      <c r="CL356" s="24"/>
      <c r="CR356" s="24"/>
    </row>
    <row r="357" spans="31:96" x14ac:dyDescent="0.2">
      <c r="AE357" s="24"/>
      <c r="AF357" s="24"/>
      <c r="AG357" s="24"/>
      <c r="AH357" s="24"/>
      <c r="AK357" s="54"/>
      <c r="AL357" s="33"/>
      <c r="AM357" s="33"/>
      <c r="AN357" s="33"/>
      <c r="AO357" s="24"/>
      <c r="AP357" s="24"/>
      <c r="AQ357" s="49"/>
      <c r="AR357" s="33"/>
      <c r="AS357" s="24"/>
      <c r="AT357" s="24"/>
      <c r="AU357" s="24"/>
      <c r="AV357" s="24"/>
      <c r="AW357" s="49"/>
      <c r="AX357" s="33"/>
      <c r="AY357" s="24"/>
      <c r="AZ357" s="24"/>
      <c r="BA357" s="24"/>
      <c r="BB357" s="24"/>
      <c r="BC357" s="49"/>
      <c r="BD357" s="33"/>
      <c r="BE357" s="24"/>
      <c r="BF357" s="24"/>
      <c r="BG357" s="24"/>
      <c r="CF357" s="24"/>
      <c r="CL357" s="24"/>
      <c r="CR357" s="24"/>
    </row>
    <row r="358" spans="31:96" x14ac:dyDescent="0.2">
      <c r="AE358" s="24"/>
      <c r="AF358" s="24"/>
      <c r="AG358" s="24"/>
      <c r="AH358" s="24"/>
      <c r="AK358" s="25"/>
      <c r="AL358" s="33"/>
      <c r="AM358" s="33"/>
      <c r="AN358" s="33"/>
      <c r="AO358" s="24"/>
      <c r="AP358" s="24"/>
      <c r="AQ358" s="49"/>
      <c r="AR358" s="33"/>
      <c r="AS358" s="24"/>
      <c r="AT358" s="24"/>
      <c r="AU358" s="24"/>
      <c r="AV358" s="24"/>
      <c r="AW358" s="49"/>
      <c r="AX358" s="33"/>
      <c r="AY358" s="24"/>
      <c r="AZ358" s="24"/>
      <c r="BA358" s="24"/>
      <c r="BB358" s="24"/>
      <c r="BC358" s="49"/>
      <c r="BD358" s="33"/>
      <c r="BE358" s="24"/>
      <c r="BF358" s="24"/>
      <c r="BG358" s="24"/>
      <c r="CF358" s="24"/>
      <c r="CL358" s="24"/>
      <c r="CR358" s="24"/>
    </row>
    <row r="359" spans="31:96" x14ac:dyDescent="0.2">
      <c r="AE359" s="24"/>
      <c r="AF359" s="24"/>
      <c r="AG359" s="24"/>
      <c r="AH359" s="24"/>
      <c r="AK359" s="54"/>
      <c r="AL359" s="33"/>
      <c r="AM359" s="33"/>
      <c r="AN359" s="33"/>
      <c r="AO359" s="24"/>
      <c r="AP359" s="24"/>
      <c r="AQ359" s="49"/>
      <c r="AR359" s="33"/>
      <c r="AS359" s="24"/>
      <c r="AT359" s="24"/>
      <c r="AU359" s="24"/>
      <c r="AV359" s="24"/>
      <c r="AW359" s="49"/>
      <c r="AX359" s="33"/>
      <c r="AY359" s="24"/>
      <c r="AZ359" s="24"/>
      <c r="BA359" s="24"/>
      <c r="BB359" s="24"/>
      <c r="BC359" s="49"/>
      <c r="BD359" s="33"/>
      <c r="BE359" s="24"/>
      <c r="BF359" s="24"/>
      <c r="BG359" s="24"/>
      <c r="CF359" s="24"/>
      <c r="CL359" s="24"/>
      <c r="CR359" s="24"/>
    </row>
    <row r="360" spans="31:96" x14ac:dyDescent="0.2">
      <c r="AE360" s="24"/>
      <c r="AF360" s="24"/>
      <c r="AG360" s="24"/>
      <c r="AH360" s="24"/>
      <c r="AK360" s="54"/>
      <c r="AL360" s="33"/>
      <c r="AM360" s="33"/>
      <c r="AN360" s="33"/>
      <c r="AO360" s="24"/>
      <c r="AP360" s="24"/>
      <c r="AQ360" s="49"/>
      <c r="AR360" s="33"/>
      <c r="AS360" s="24"/>
      <c r="AT360" s="24"/>
      <c r="AU360" s="24"/>
      <c r="AV360" s="24"/>
      <c r="AW360" s="49"/>
      <c r="AX360" s="33"/>
      <c r="AY360" s="24"/>
      <c r="AZ360" s="24"/>
      <c r="BA360" s="24"/>
      <c r="BB360" s="24"/>
      <c r="BC360" s="49"/>
      <c r="BD360" s="33"/>
      <c r="BE360" s="24"/>
      <c r="BF360" s="24"/>
      <c r="BG360" s="24"/>
      <c r="CF360" s="24"/>
      <c r="CL360" s="24"/>
      <c r="CR360" s="24"/>
    </row>
    <row r="361" spans="31:96" x14ac:dyDescent="0.2">
      <c r="AE361" s="24"/>
      <c r="AF361" s="24"/>
      <c r="AG361" s="24"/>
      <c r="AH361" s="24"/>
      <c r="AK361" s="54"/>
      <c r="AL361" s="33"/>
      <c r="AM361" s="33"/>
      <c r="AN361" s="33"/>
      <c r="AO361" s="24"/>
      <c r="AP361" s="24"/>
      <c r="AQ361" s="49"/>
      <c r="AR361" s="33"/>
      <c r="AS361" s="24"/>
      <c r="AT361" s="24"/>
      <c r="AU361" s="24"/>
      <c r="AV361" s="24"/>
      <c r="AW361" s="49"/>
      <c r="AX361" s="33"/>
      <c r="AY361" s="24"/>
      <c r="AZ361" s="24"/>
      <c r="BA361" s="24"/>
      <c r="BB361" s="24"/>
      <c r="BC361" s="49"/>
      <c r="BD361" s="33"/>
      <c r="BE361" s="24"/>
      <c r="BF361" s="24"/>
      <c r="BG361" s="24"/>
      <c r="CF361" s="24"/>
      <c r="CL361" s="24"/>
      <c r="CR361" s="24"/>
    </row>
    <row r="362" spans="31:96" x14ac:dyDescent="0.2">
      <c r="AE362" s="24"/>
      <c r="AF362" s="24"/>
      <c r="AG362" s="24"/>
      <c r="AH362" s="24"/>
      <c r="AK362" s="54"/>
      <c r="AL362" s="33"/>
      <c r="AM362" s="33"/>
      <c r="AN362" s="33"/>
      <c r="AO362" s="24"/>
      <c r="AP362" s="24"/>
      <c r="AQ362" s="49"/>
      <c r="AR362" s="33"/>
      <c r="AS362" s="24"/>
      <c r="AT362" s="24"/>
      <c r="AU362" s="24"/>
      <c r="AV362" s="24"/>
      <c r="AW362" s="25"/>
      <c r="AX362" s="33"/>
      <c r="AY362" s="24"/>
      <c r="AZ362" s="24"/>
      <c r="BA362" s="24"/>
      <c r="BB362" s="24"/>
      <c r="BC362" s="25"/>
      <c r="BD362" s="33"/>
      <c r="BE362" s="24"/>
      <c r="BF362" s="24"/>
      <c r="BG362" s="24"/>
      <c r="CF362" s="24"/>
      <c r="CL362" s="24"/>
      <c r="CR362" s="24"/>
    </row>
    <row r="363" spans="31:96" x14ac:dyDescent="0.2">
      <c r="AE363" s="24"/>
      <c r="AF363" s="24"/>
      <c r="AG363" s="24"/>
      <c r="AH363" s="24"/>
      <c r="AK363" s="54"/>
      <c r="AL363" s="33"/>
      <c r="AM363" s="33"/>
      <c r="AN363" s="33"/>
      <c r="AO363" s="24"/>
      <c r="AP363" s="24"/>
      <c r="AQ363" s="49"/>
      <c r="AR363" s="33"/>
      <c r="AS363" s="24"/>
      <c r="AT363" s="24"/>
      <c r="AU363" s="24"/>
      <c r="AV363" s="24"/>
      <c r="AW363" s="25"/>
      <c r="AX363" s="33"/>
      <c r="AY363" s="24"/>
      <c r="AZ363" s="24"/>
      <c r="BA363" s="24"/>
      <c r="BB363" s="24"/>
      <c r="BC363" s="25"/>
      <c r="BD363" s="33"/>
      <c r="BE363" s="24"/>
      <c r="BF363" s="24"/>
      <c r="BG363" s="24"/>
      <c r="CF363" s="24"/>
      <c r="CL363" s="24"/>
      <c r="CR363" s="24"/>
    </row>
    <row r="364" spans="31:96" x14ac:dyDescent="0.2">
      <c r="AE364" s="24"/>
      <c r="AF364" s="24"/>
      <c r="AG364" s="24"/>
      <c r="AH364" s="24"/>
      <c r="AK364" s="54"/>
      <c r="AL364" s="33"/>
      <c r="AM364" s="33"/>
      <c r="AN364" s="33"/>
      <c r="AO364" s="24"/>
      <c r="AP364" s="24"/>
      <c r="AQ364" s="49"/>
      <c r="AR364" s="33"/>
      <c r="AS364" s="24"/>
      <c r="AT364" s="24"/>
      <c r="AU364" s="24"/>
      <c r="AV364" s="24"/>
      <c r="AW364" s="25"/>
      <c r="AX364" s="33"/>
      <c r="AY364" s="24"/>
      <c r="AZ364" s="24"/>
      <c r="BA364" s="24"/>
      <c r="BB364" s="24"/>
      <c r="BC364" s="25"/>
      <c r="BD364" s="33"/>
      <c r="BE364" s="24"/>
      <c r="BF364" s="24"/>
      <c r="BG364" s="24"/>
      <c r="CF364" s="24"/>
      <c r="CL364" s="24"/>
      <c r="CR364" s="24"/>
    </row>
    <row r="365" spans="31:96" x14ac:dyDescent="0.2">
      <c r="AE365" s="24"/>
      <c r="AF365" s="24"/>
      <c r="AG365" s="24"/>
      <c r="AH365" s="24"/>
      <c r="AK365" s="54"/>
      <c r="AL365" s="33"/>
      <c r="AM365" s="33"/>
      <c r="AN365" s="33"/>
      <c r="AO365" s="24"/>
      <c r="AP365" s="24"/>
      <c r="AQ365" s="49"/>
      <c r="AR365" s="33"/>
      <c r="AS365" s="24"/>
      <c r="AT365" s="24"/>
      <c r="AU365" s="24"/>
      <c r="AV365" s="24"/>
      <c r="AW365" s="25"/>
      <c r="AX365" s="33"/>
      <c r="AY365" s="24"/>
      <c r="AZ365" s="24"/>
      <c r="BA365" s="24"/>
      <c r="BB365" s="24"/>
      <c r="BC365" s="25"/>
      <c r="BD365" s="33"/>
      <c r="BE365" s="24"/>
      <c r="BF365" s="24"/>
      <c r="BG365" s="24"/>
      <c r="CF365" s="24"/>
      <c r="CL365" s="24"/>
      <c r="CR365" s="24"/>
    </row>
    <row r="366" spans="31:96" x14ac:dyDescent="0.2">
      <c r="AE366" s="24"/>
      <c r="AF366" s="24"/>
      <c r="AG366" s="24"/>
      <c r="AH366" s="24"/>
      <c r="AK366" s="54"/>
      <c r="AL366" s="33"/>
      <c r="AM366" s="33"/>
      <c r="AN366" s="33"/>
      <c r="AO366" s="24"/>
      <c r="AP366" s="24"/>
      <c r="AQ366" s="49"/>
      <c r="AR366" s="33"/>
      <c r="AS366" s="24"/>
      <c r="AT366" s="24"/>
      <c r="AU366" s="24"/>
      <c r="AV366" s="24"/>
      <c r="AW366" s="25"/>
      <c r="AX366" s="33"/>
      <c r="AY366" s="24"/>
      <c r="AZ366" s="24"/>
      <c r="BA366" s="24"/>
      <c r="BB366" s="24"/>
      <c r="BC366" s="25"/>
      <c r="BD366" s="33"/>
      <c r="BE366" s="24"/>
      <c r="BF366" s="24"/>
      <c r="BG366" s="24"/>
      <c r="CF366" s="24"/>
      <c r="CL366" s="24"/>
      <c r="CR366" s="24"/>
    </row>
    <row r="367" spans="31:96" x14ac:dyDescent="0.2">
      <c r="AE367" s="24"/>
      <c r="AF367" s="24"/>
      <c r="AG367" s="24"/>
      <c r="AH367" s="24"/>
      <c r="AK367" s="54"/>
      <c r="AL367" s="33"/>
      <c r="AM367" s="33"/>
      <c r="AN367" s="33"/>
      <c r="AO367" s="24"/>
      <c r="AP367" s="24"/>
      <c r="AQ367" s="49"/>
      <c r="AR367" s="33"/>
      <c r="AS367" s="24"/>
      <c r="AT367" s="24"/>
      <c r="AU367" s="24"/>
      <c r="AV367" s="24"/>
      <c r="AW367" s="25"/>
      <c r="AX367" s="33"/>
      <c r="AY367" s="24"/>
      <c r="AZ367" s="24"/>
      <c r="BA367" s="24"/>
      <c r="BB367" s="24"/>
      <c r="BC367" s="25"/>
      <c r="BD367" s="33"/>
      <c r="BE367" s="24"/>
      <c r="BF367" s="24"/>
      <c r="BG367" s="24"/>
      <c r="CF367" s="24"/>
      <c r="CL367" s="24"/>
      <c r="CR367" s="24"/>
    </row>
    <row r="368" spans="31:96" x14ac:dyDescent="0.2">
      <c r="AE368" s="24"/>
      <c r="AF368" s="24"/>
      <c r="AG368" s="24"/>
      <c r="AH368" s="24"/>
      <c r="AK368" s="54"/>
      <c r="AL368" s="33"/>
      <c r="AM368" s="24"/>
      <c r="AN368" s="24"/>
      <c r="AO368" s="24"/>
      <c r="AP368" s="24"/>
      <c r="AQ368" s="25"/>
      <c r="AR368" s="33"/>
      <c r="AS368" s="24"/>
      <c r="AT368" s="24"/>
      <c r="AU368" s="24"/>
      <c r="AV368" s="24"/>
      <c r="AW368" s="25"/>
      <c r="AX368" s="33"/>
      <c r="AY368" s="24"/>
      <c r="AZ368" s="24"/>
      <c r="BA368" s="24"/>
      <c r="BB368" s="24"/>
      <c r="BC368" s="25"/>
      <c r="BD368" s="33"/>
      <c r="BE368" s="24"/>
      <c r="BF368" s="24"/>
      <c r="BG368" s="24"/>
      <c r="CF368" s="24"/>
      <c r="CL368" s="24"/>
      <c r="CR368" s="24"/>
    </row>
    <row r="369" spans="31:96" x14ac:dyDescent="0.2">
      <c r="AE369" s="24"/>
      <c r="AF369" s="24"/>
      <c r="AG369" s="24"/>
      <c r="AH369" s="24"/>
      <c r="AK369" s="54"/>
      <c r="AL369" s="33"/>
      <c r="AM369" s="24"/>
      <c r="AN369" s="24"/>
      <c r="AO369" s="24"/>
      <c r="AP369" s="24"/>
      <c r="AQ369" s="25"/>
      <c r="AR369" s="33"/>
      <c r="AS369" s="24"/>
      <c r="AT369" s="24"/>
      <c r="AU369" s="24"/>
      <c r="AV369" s="24"/>
      <c r="AW369" s="25"/>
      <c r="AX369" s="33"/>
      <c r="AY369" s="24"/>
      <c r="AZ369" s="24"/>
      <c r="BA369" s="24"/>
      <c r="BB369" s="24"/>
      <c r="BC369" s="25"/>
      <c r="BD369" s="33"/>
      <c r="BE369" s="24"/>
      <c r="BF369" s="24"/>
      <c r="BG369" s="24"/>
      <c r="CF369" s="24"/>
      <c r="CL369" s="24"/>
      <c r="CR369" s="24"/>
    </row>
    <row r="370" spans="31:96" x14ac:dyDescent="0.2">
      <c r="AE370" s="24"/>
      <c r="AF370" s="24"/>
      <c r="AG370" s="24"/>
      <c r="AH370" s="24"/>
      <c r="AK370" s="54"/>
      <c r="AL370" s="33"/>
      <c r="AM370" s="24"/>
      <c r="AN370" s="24"/>
      <c r="AO370" s="24"/>
      <c r="AP370" s="24"/>
      <c r="AQ370" s="25"/>
      <c r="AR370" s="33"/>
      <c r="AS370" s="24"/>
      <c r="AT370" s="24"/>
      <c r="AU370" s="24"/>
      <c r="AV370" s="24"/>
      <c r="AW370" s="25"/>
      <c r="AX370" s="33"/>
      <c r="AY370" s="24"/>
      <c r="AZ370" s="24"/>
      <c r="BA370" s="24"/>
      <c r="BB370" s="24"/>
      <c r="BC370" s="25"/>
      <c r="BD370" s="33"/>
      <c r="BE370" s="24"/>
      <c r="BF370" s="24"/>
      <c r="BG370" s="24"/>
      <c r="CF370" s="24"/>
      <c r="CL370" s="24"/>
      <c r="CR370" s="24"/>
    </row>
    <row r="371" spans="31:96" x14ac:dyDescent="0.2">
      <c r="AE371" s="24"/>
      <c r="AF371" s="24"/>
      <c r="AG371" s="24"/>
      <c r="AH371" s="24"/>
      <c r="AK371" s="54"/>
      <c r="AL371" s="33"/>
      <c r="AM371" s="24"/>
      <c r="AN371" s="24"/>
      <c r="AO371" s="24"/>
      <c r="AP371" s="24"/>
      <c r="AQ371" s="25"/>
      <c r="AR371" s="33"/>
      <c r="AS371" s="24"/>
      <c r="AT371" s="24"/>
      <c r="AU371" s="24"/>
      <c r="AV371" s="24"/>
      <c r="AW371" s="25"/>
      <c r="AX371" s="33"/>
      <c r="AY371" s="24"/>
      <c r="AZ371" s="24"/>
      <c r="BA371" s="24"/>
      <c r="BB371" s="24"/>
      <c r="BC371" s="25"/>
      <c r="BD371" s="33"/>
      <c r="BE371" s="24"/>
      <c r="BF371" s="24"/>
      <c r="BG371" s="24"/>
      <c r="CF371" s="24"/>
      <c r="CL371" s="24"/>
      <c r="CR371" s="24"/>
    </row>
    <row r="372" spans="31:96" x14ac:dyDescent="0.2">
      <c r="AE372" s="24"/>
      <c r="AF372" s="24"/>
      <c r="AG372" s="24"/>
      <c r="AH372" s="24"/>
      <c r="AK372" s="54"/>
      <c r="AL372" s="33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5"/>
      <c r="AX372" s="33"/>
      <c r="AY372" s="24"/>
      <c r="AZ372" s="24"/>
      <c r="BA372" s="24"/>
      <c r="BB372" s="24"/>
      <c r="BC372" s="25"/>
      <c r="BD372" s="33"/>
      <c r="BE372" s="24"/>
      <c r="BF372" s="24"/>
      <c r="BG372" s="24"/>
      <c r="CF372" s="24"/>
      <c r="CL372" s="24"/>
      <c r="CR372" s="24"/>
    </row>
    <row r="373" spans="31:96" x14ac:dyDescent="0.2">
      <c r="AE373" s="24"/>
      <c r="AF373" s="24"/>
      <c r="AG373" s="24"/>
      <c r="AH373" s="24"/>
      <c r="AK373" s="54"/>
      <c r="AL373" s="33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5"/>
      <c r="AX373" s="33"/>
      <c r="AY373" s="24"/>
      <c r="AZ373" s="24"/>
      <c r="BA373" s="24"/>
      <c r="BB373" s="24"/>
      <c r="BC373" s="25"/>
      <c r="BD373" s="33"/>
      <c r="BE373" s="24"/>
      <c r="BF373" s="24"/>
      <c r="BG373" s="24"/>
      <c r="CF373" s="24"/>
      <c r="CL373" s="24"/>
      <c r="CR373" s="24"/>
    </row>
    <row r="374" spans="31:96" x14ac:dyDescent="0.2">
      <c r="AE374" s="24"/>
      <c r="AF374" s="24"/>
      <c r="AG374" s="24"/>
      <c r="AH374" s="24"/>
      <c r="AK374" s="54"/>
      <c r="AL374" s="33"/>
      <c r="AM374" s="24"/>
      <c r="AN374" s="24"/>
      <c r="AO374" s="24"/>
      <c r="AP374" s="24"/>
      <c r="AQ374" s="33"/>
      <c r="AR374" s="24"/>
      <c r="AS374" s="24"/>
      <c r="AT374" s="24"/>
      <c r="AU374" s="24"/>
      <c r="AV374" s="24"/>
      <c r="AW374" s="25"/>
      <c r="AX374" s="33"/>
      <c r="AY374" s="24"/>
      <c r="AZ374" s="24"/>
      <c r="BA374" s="24"/>
      <c r="BB374" s="24"/>
      <c r="BC374" s="25"/>
      <c r="BD374" s="33"/>
      <c r="BE374" s="24"/>
      <c r="BF374" s="24"/>
      <c r="BG374" s="24"/>
      <c r="CF374" s="24"/>
      <c r="CL374" s="24"/>
      <c r="CR374" s="24"/>
    </row>
    <row r="375" spans="31:96" x14ac:dyDescent="0.2">
      <c r="AE375" s="24"/>
      <c r="AF375" s="24"/>
      <c r="AG375" s="24"/>
      <c r="AH375" s="24"/>
      <c r="AK375" s="54"/>
      <c r="AL375" s="33"/>
      <c r="AM375" s="24"/>
      <c r="AN375" s="24"/>
      <c r="AO375" s="24"/>
      <c r="AP375" s="24"/>
      <c r="AQ375" s="33"/>
      <c r="AR375" s="33"/>
      <c r="AS375" s="33"/>
      <c r="AT375" s="33"/>
      <c r="AU375" s="24"/>
      <c r="AV375" s="24"/>
      <c r="AW375" s="25"/>
      <c r="AX375" s="33"/>
      <c r="AY375" s="24"/>
      <c r="AZ375" s="24"/>
      <c r="BA375" s="24"/>
      <c r="BB375" s="24"/>
      <c r="BC375" s="25"/>
      <c r="BD375" s="33"/>
      <c r="BE375" s="24"/>
      <c r="BF375" s="24"/>
      <c r="BG375" s="24"/>
      <c r="CF375" s="24"/>
      <c r="CL375" s="24"/>
      <c r="CR375" s="24"/>
    </row>
    <row r="376" spans="31:96" x14ac:dyDescent="0.2">
      <c r="AE376" s="24"/>
      <c r="AF376" s="24"/>
      <c r="AG376" s="24"/>
      <c r="AH376" s="24"/>
      <c r="AK376" s="54"/>
      <c r="AL376" s="33"/>
      <c r="AM376" s="24"/>
      <c r="AN376" s="24"/>
      <c r="AO376" s="24"/>
      <c r="AP376" s="24"/>
      <c r="AQ376" s="49"/>
      <c r="AR376" s="33"/>
      <c r="AS376" s="33"/>
      <c r="AT376" s="33"/>
      <c r="AU376" s="24"/>
      <c r="AV376" s="24"/>
      <c r="AW376" s="25"/>
      <c r="AX376" s="33"/>
      <c r="AY376" s="24"/>
      <c r="AZ376" s="24"/>
      <c r="BA376" s="24"/>
      <c r="BB376" s="24"/>
      <c r="BC376" s="25"/>
      <c r="BD376" s="33"/>
      <c r="BE376" s="24"/>
      <c r="BF376" s="24"/>
      <c r="BG376" s="24"/>
      <c r="CF376" s="24"/>
      <c r="CL376" s="24"/>
      <c r="CR376" s="24"/>
    </row>
    <row r="377" spans="31:96" x14ac:dyDescent="0.2">
      <c r="AE377" s="24"/>
      <c r="AF377" s="24"/>
      <c r="AG377" s="24"/>
      <c r="AH377" s="24"/>
      <c r="AK377" s="54"/>
      <c r="AL377" s="33"/>
      <c r="AM377" s="24"/>
      <c r="AN377" s="24"/>
      <c r="AO377" s="24"/>
      <c r="AP377" s="24"/>
      <c r="AQ377" s="49"/>
      <c r="AR377" s="33"/>
      <c r="AS377" s="33"/>
      <c r="AT377" s="33"/>
      <c r="AU377" s="24"/>
      <c r="AV377" s="24"/>
      <c r="AW377" s="25"/>
      <c r="AX377" s="33"/>
      <c r="AY377" s="24"/>
      <c r="AZ377" s="24"/>
      <c r="BA377" s="24"/>
      <c r="BB377" s="24"/>
      <c r="BC377" s="25"/>
      <c r="BD377" s="33"/>
      <c r="BE377" s="24"/>
      <c r="BF377" s="24"/>
      <c r="BG377" s="24"/>
      <c r="CF377" s="24"/>
      <c r="CL377" s="24"/>
      <c r="CR377" s="24"/>
    </row>
    <row r="378" spans="31:96" x14ac:dyDescent="0.2">
      <c r="AE378" s="24"/>
      <c r="AF378" s="24"/>
      <c r="AG378" s="24"/>
      <c r="AH378" s="24"/>
      <c r="AK378" s="54"/>
      <c r="AL378" s="33"/>
      <c r="AM378" s="24"/>
      <c r="AN378" s="24"/>
      <c r="AO378" s="24"/>
      <c r="AP378" s="24"/>
      <c r="AQ378" s="49"/>
      <c r="AR378" s="33"/>
      <c r="AS378" s="33"/>
      <c r="AT378" s="33"/>
      <c r="AU378" s="24"/>
      <c r="AV378" s="24"/>
      <c r="AW378" s="25"/>
      <c r="AX378" s="33"/>
      <c r="AY378" s="24"/>
      <c r="AZ378" s="24"/>
      <c r="BA378" s="24"/>
      <c r="BB378" s="24"/>
      <c r="BC378" s="25"/>
      <c r="BD378" s="33"/>
      <c r="BE378" s="24"/>
      <c r="BF378" s="24"/>
      <c r="BG378" s="24"/>
      <c r="CF378" s="24"/>
      <c r="CL378" s="24"/>
      <c r="CR378" s="24"/>
    </row>
    <row r="379" spans="31:96" x14ac:dyDescent="0.2">
      <c r="AE379" s="24"/>
      <c r="AF379" s="24"/>
      <c r="AG379" s="24"/>
      <c r="AH379" s="24"/>
      <c r="AK379" s="54"/>
      <c r="AL379" s="33"/>
      <c r="AM379" s="24"/>
      <c r="AN379" s="24"/>
      <c r="AO379" s="24"/>
      <c r="AP379" s="24"/>
      <c r="AQ379" s="49"/>
      <c r="AR379" s="33"/>
      <c r="AS379" s="33"/>
      <c r="AT379" s="33"/>
      <c r="AU379" s="24"/>
      <c r="AV379" s="24"/>
      <c r="AW379" s="25"/>
      <c r="AX379" s="33"/>
      <c r="AY379" s="24"/>
      <c r="AZ379" s="24"/>
      <c r="BA379" s="24"/>
      <c r="BB379" s="24"/>
      <c r="BC379" s="25"/>
      <c r="BD379" s="33"/>
      <c r="BE379" s="24"/>
      <c r="BF379" s="24"/>
      <c r="BG379" s="24"/>
      <c r="CF379" s="24"/>
      <c r="CL379" s="24"/>
      <c r="CR379" s="24"/>
    </row>
    <row r="380" spans="31:96" x14ac:dyDescent="0.2">
      <c r="AE380" s="24"/>
      <c r="AF380" s="24"/>
      <c r="AG380" s="24"/>
      <c r="AH380" s="24"/>
      <c r="AK380" s="54"/>
      <c r="AL380" s="33"/>
      <c r="AM380" s="24"/>
      <c r="AN380" s="24"/>
      <c r="AO380" s="24"/>
      <c r="AP380" s="24"/>
      <c r="AQ380" s="49"/>
      <c r="AR380" s="33"/>
      <c r="AS380" s="33"/>
      <c r="AT380" s="33"/>
      <c r="AU380" s="24"/>
      <c r="AV380" s="24"/>
      <c r="AW380" s="25"/>
      <c r="AX380" s="33"/>
      <c r="AY380" s="24"/>
      <c r="AZ380" s="24"/>
      <c r="BA380" s="24"/>
      <c r="BB380" s="24"/>
      <c r="BC380" s="25"/>
      <c r="BD380" s="33"/>
      <c r="BE380" s="24"/>
      <c r="BF380" s="24"/>
      <c r="BG380" s="24"/>
      <c r="CF380" s="24"/>
      <c r="CL380" s="24"/>
      <c r="CR380" s="24"/>
    </row>
    <row r="381" spans="31:96" x14ac:dyDescent="0.2">
      <c r="AE381" s="24"/>
      <c r="AF381" s="24"/>
      <c r="AG381" s="24"/>
      <c r="AH381" s="24"/>
      <c r="AK381" s="33"/>
      <c r="AL381" s="33"/>
      <c r="AM381" s="24"/>
      <c r="AN381" s="24"/>
      <c r="AO381" s="24"/>
      <c r="AP381" s="24"/>
      <c r="AQ381" s="49"/>
      <c r="AR381" s="33"/>
      <c r="AS381" s="33"/>
      <c r="AT381" s="33"/>
      <c r="AU381" s="24"/>
      <c r="AV381" s="24"/>
      <c r="AW381" s="25"/>
      <c r="AX381" s="33"/>
      <c r="AY381" s="24"/>
      <c r="AZ381" s="24"/>
      <c r="BA381" s="24"/>
      <c r="BB381" s="24"/>
      <c r="BC381" s="25"/>
      <c r="BD381" s="33"/>
      <c r="BE381" s="24"/>
      <c r="BF381" s="24"/>
      <c r="BG381" s="24"/>
      <c r="CF381" s="24"/>
      <c r="CL381" s="24"/>
      <c r="CR381" s="24"/>
    </row>
    <row r="382" spans="31:96" x14ac:dyDescent="0.2">
      <c r="AE382" s="24"/>
      <c r="AF382" s="24"/>
      <c r="AG382" s="24"/>
      <c r="AH382" s="24"/>
      <c r="AK382" s="33"/>
      <c r="AL382" s="33"/>
      <c r="AM382" s="24"/>
      <c r="AN382" s="24"/>
      <c r="AO382" s="24"/>
      <c r="AP382" s="24"/>
      <c r="AQ382" s="49"/>
      <c r="AR382" s="33"/>
      <c r="AS382" s="33"/>
      <c r="AT382" s="33"/>
      <c r="AU382" s="24"/>
      <c r="AV382" s="24"/>
      <c r="AW382" s="25"/>
      <c r="AX382" s="33"/>
      <c r="AY382" s="24"/>
      <c r="AZ382" s="24"/>
      <c r="BA382" s="24"/>
      <c r="BB382" s="24"/>
      <c r="BC382" s="25"/>
      <c r="BD382" s="33"/>
      <c r="BE382" s="24"/>
      <c r="BF382" s="24"/>
      <c r="BG382" s="24"/>
      <c r="CF382" s="24"/>
      <c r="CL382" s="24"/>
      <c r="CR382" s="24"/>
    </row>
    <row r="383" spans="31:96" x14ac:dyDescent="0.2">
      <c r="AE383" s="24"/>
      <c r="AF383" s="24"/>
      <c r="AG383" s="24"/>
      <c r="AH383" s="24"/>
      <c r="AK383" s="33"/>
      <c r="AL383" s="24"/>
      <c r="AM383" s="24"/>
      <c r="AN383" s="24"/>
      <c r="AO383" s="24"/>
      <c r="AP383" s="24"/>
      <c r="AQ383" s="49"/>
      <c r="AR383" s="33"/>
      <c r="AS383" s="33"/>
      <c r="AT383" s="33"/>
      <c r="AU383" s="24"/>
      <c r="AV383" s="24"/>
      <c r="AW383" s="25"/>
      <c r="AX383" s="33"/>
      <c r="AY383" s="24"/>
      <c r="AZ383" s="24"/>
      <c r="BA383" s="24"/>
      <c r="BB383" s="24"/>
      <c r="BC383" s="25"/>
      <c r="BD383" s="33"/>
      <c r="BE383" s="24"/>
      <c r="BF383" s="24"/>
      <c r="BG383" s="24"/>
      <c r="CF383" s="24"/>
      <c r="CL383" s="24"/>
      <c r="CR383" s="24"/>
    </row>
    <row r="384" spans="31:96" x14ac:dyDescent="0.2">
      <c r="AE384" s="24"/>
      <c r="AF384" s="24"/>
      <c r="AG384" s="24"/>
      <c r="AH384" s="24"/>
      <c r="AK384" s="33"/>
      <c r="AL384" s="33"/>
      <c r="AM384" s="33"/>
      <c r="AN384" s="33"/>
      <c r="AO384" s="24"/>
      <c r="AP384" s="24"/>
      <c r="AQ384" s="49"/>
      <c r="AR384" s="33"/>
      <c r="AS384" s="33"/>
      <c r="AT384" s="33"/>
      <c r="AU384" s="24"/>
      <c r="AV384" s="24"/>
      <c r="AW384" s="25"/>
      <c r="AX384" s="33"/>
      <c r="AY384" s="24"/>
      <c r="AZ384" s="24"/>
      <c r="BA384" s="24"/>
      <c r="BB384" s="24"/>
      <c r="BC384" s="25"/>
      <c r="BD384" s="33"/>
      <c r="BE384" s="24"/>
      <c r="BF384" s="24"/>
      <c r="BG384" s="24"/>
      <c r="CF384" s="24"/>
      <c r="CL384" s="24"/>
      <c r="CR384" s="24"/>
    </row>
    <row r="385" spans="31:96" x14ac:dyDescent="0.2">
      <c r="AE385" s="24"/>
      <c r="AF385" s="24"/>
      <c r="AG385" s="24"/>
      <c r="AH385" s="24"/>
      <c r="AK385" s="54"/>
      <c r="AL385" s="33"/>
      <c r="AM385" s="33"/>
      <c r="AN385" s="33"/>
      <c r="AO385" s="24"/>
      <c r="AP385" s="24"/>
      <c r="AQ385" s="49"/>
      <c r="AR385" s="33"/>
      <c r="AS385" s="33"/>
      <c r="AT385" s="33"/>
      <c r="AU385" s="24"/>
      <c r="AV385" s="24"/>
      <c r="AW385" s="25"/>
      <c r="AX385" s="33"/>
      <c r="AY385" s="24"/>
      <c r="AZ385" s="24"/>
      <c r="BA385" s="24"/>
      <c r="BB385" s="24"/>
      <c r="BC385" s="25"/>
      <c r="BD385" s="33"/>
      <c r="BE385" s="24"/>
      <c r="BF385" s="24"/>
      <c r="BG385" s="24"/>
      <c r="CF385" s="24"/>
      <c r="CL385" s="24"/>
      <c r="CR385" s="24"/>
    </row>
    <row r="386" spans="31:96" x14ac:dyDescent="0.2">
      <c r="AE386" s="24"/>
      <c r="AF386" s="24"/>
      <c r="AG386" s="24"/>
      <c r="AH386" s="24"/>
      <c r="AK386" s="54"/>
      <c r="AL386" s="33"/>
      <c r="AM386" s="33"/>
      <c r="AN386" s="33"/>
      <c r="AO386" s="24"/>
      <c r="AP386" s="24"/>
      <c r="AQ386" s="49"/>
      <c r="AR386" s="33"/>
      <c r="AS386" s="33"/>
      <c r="AT386" s="33"/>
      <c r="AU386" s="24"/>
      <c r="AV386" s="24"/>
      <c r="AW386" s="25"/>
      <c r="AX386" s="33"/>
      <c r="AY386" s="24"/>
      <c r="AZ386" s="24"/>
      <c r="BA386" s="24"/>
      <c r="BB386" s="24"/>
      <c r="BC386" s="25"/>
      <c r="BD386" s="33"/>
      <c r="BE386" s="24"/>
      <c r="BF386" s="24"/>
      <c r="BG386" s="24"/>
      <c r="CF386" s="24"/>
      <c r="CL386" s="24"/>
      <c r="CR386" s="24"/>
    </row>
    <row r="387" spans="31:96" x14ac:dyDescent="0.2">
      <c r="AE387" s="24"/>
      <c r="AF387" s="24"/>
      <c r="AG387" s="24"/>
      <c r="AH387" s="24"/>
      <c r="AK387" s="25"/>
      <c r="AL387" s="33"/>
      <c r="AM387" s="33"/>
      <c r="AN387" s="33"/>
      <c r="AO387" s="24"/>
      <c r="AP387" s="24"/>
      <c r="AQ387" s="49"/>
      <c r="AR387" s="33"/>
      <c r="AS387" s="33"/>
      <c r="AT387" s="33"/>
      <c r="AU387" s="24"/>
      <c r="AV387" s="24"/>
      <c r="AW387" s="25"/>
      <c r="AX387" s="33"/>
      <c r="AY387" s="24"/>
      <c r="AZ387" s="24"/>
      <c r="BA387" s="24"/>
      <c r="BB387" s="24"/>
      <c r="BC387" s="25"/>
      <c r="BD387" s="33"/>
      <c r="BE387" s="24"/>
      <c r="BF387" s="24"/>
      <c r="BG387" s="24"/>
      <c r="CF387" s="24"/>
      <c r="CL387" s="24"/>
      <c r="CR387" s="24"/>
    </row>
    <row r="388" spans="31:96" x14ac:dyDescent="0.2">
      <c r="AK388" s="54"/>
      <c r="AL388" s="33"/>
      <c r="AM388" s="33"/>
      <c r="AN388" s="33"/>
      <c r="AO388" s="24"/>
      <c r="AP388" s="24"/>
      <c r="AQ388" s="25"/>
      <c r="AR388" s="33"/>
      <c r="AS388" s="24"/>
      <c r="AT388" s="24"/>
      <c r="AU388" s="24"/>
      <c r="AV388" s="24"/>
      <c r="AW388" s="25"/>
      <c r="AX388" s="33"/>
      <c r="AY388" s="24"/>
      <c r="AZ388" s="24"/>
      <c r="BA388" s="24"/>
      <c r="BB388" s="24"/>
      <c r="BC388" s="25"/>
      <c r="BD388" s="33"/>
      <c r="BE388" s="24"/>
      <c r="BF388" s="24"/>
      <c r="BG388" s="24"/>
      <c r="CF388" s="24"/>
      <c r="CL388" s="24"/>
      <c r="CR388" s="24"/>
    </row>
    <row r="389" spans="31:96" x14ac:dyDescent="0.2">
      <c r="AK389" s="54"/>
      <c r="AL389" s="33"/>
      <c r="AM389" s="33"/>
      <c r="AN389" s="33"/>
      <c r="AO389" s="24"/>
      <c r="AP389" s="24"/>
      <c r="AQ389" s="49"/>
      <c r="AR389" s="33"/>
      <c r="AS389" s="24"/>
      <c r="AT389" s="24"/>
      <c r="AU389" s="24"/>
      <c r="AV389" s="24"/>
      <c r="AW389" s="25"/>
      <c r="AX389" s="33"/>
      <c r="AY389" s="24"/>
      <c r="AZ389" s="24"/>
      <c r="BA389" s="24"/>
      <c r="BB389" s="24"/>
      <c r="BC389" s="25"/>
      <c r="BD389" s="33"/>
      <c r="BE389" s="24"/>
      <c r="BF389" s="24"/>
      <c r="BG389" s="24"/>
      <c r="CF389" s="24"/>
      <c r="CL389" s="24"/>
      <c r="CR389" s="24"/>
    </row>
    <row r="390" spans="31:96" x14ac:dyDescent="0.2">
      <c r="AK390" s="54"/>
      <c r="AL390" s="33"/>
      <c r="AM390" s="33"/>
      <c r="AN390" s="33"/>
      <c r="AO390" s="24"/>
      <c r="AP390" s="24"/>
      <c r="AQ390" s="49"/>
      <c r="AR390" s="33"/>
      <c r="AS390" s="24"/>
      <c r="AT390" s="24"/>
      <c r="AU390" s="24"/>
      <c r="AV390" s="24"/>
      <c r="AW390" s="25"/>
      <c r="AX390" s="33"/>
      <c r="AY390" s="24"/>
      <c r="AZ390" s="24"/>
      <c r="BA390" s="24"/>
      <c r="BB390" s="24"/>
      <c r="BC390" s="25"/>
      <c r="BD390" s="33"/>
      <c r="BE390" s="24"/>
      <c r="BF390" s="24"/>
      <c r="BG390" s="24"/>
      <c r="CF390" s="24"/>
      <c r="CL390" s="24"/>
      <c r="CR390" s="24"/>
    </row>
    <row r="391" spans="31:96" x14ac:dyDescent="0.2">
      <c r="AK391" s="54"/>
      <c r="AL391" s="33"/>
      <c r="AM391" s="33"/>
      <c r="AN391" s="33"/>
      <c r="AO391" s="24"/>
      <c r="AP391" s="24"/>
      <c r="AQ391" s="49"/>
      <c r="AR391" s="33"/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  <c r="BC391" s="24"/>
      <c r="BD391" s="24"/>
      <c r="BE391" s="24"/>
      <c r="BF391" s="24"/>
      <c r="BG391" s="24"/>
      <c r="CF391" s="24"/>
      <c r="CL391" s="24"/>
      <c r="CR391" s="24"/>
    </row>
    <row r="392" spans="31:96" x14ac:dyDescent="0.2">
      <c r="AK392" s="54"/>
      <c r="AL392" s="33"/>
      <c r="AM392" s="33"/>
      <c r="AN392" s="33"/>
      <c r="AO392" s="24"/>
      <c r="AP392" s="24"/>
      <c r="AQ392" s="49"/>
      <c r="AR392" s="33"/>
      <c r="AS392" s="24"/>
      <c r="AT392" s="24"/>
      <c r="AU392" s="24"/>
      <c r="AV392" s="24"/>
      <c r="AW392" s="24"/>
      <c r="AX392" s="24"/>
      <c r="AY392" s="24"/>
      <c r="AZ392" s="24"/>
      <c r="BA392" s="24"/>
      <c r="BB392" s="24"/>
      <c r="BC392" s="24"/>
      <c r="BD392" s="24"/>
      <c r="BE392" s="24"/>
      <c r="BF392" s="24"/>
      <c r="BG392" s="24"/>
      <c r="CF392" s="24"/>
      <c r="CL392" s="24"/>
      <c r="CR392" s="24"/>
    </row>
    <row r="393" spans="31:96" x14ac:dyDescent="0.2">
      <c r="AK393" s="54"/>
      <c r="AL393" s="33"/>
      <c r="AM393" s="33"/>
      <c r="AN393" s="33"/>
      <c r="AO393" s="24"/>
      <c r="AP393" s="24"/>
      <c r="AQ393" s="49"/>
      <c r="AR393" s="33"/>
      <c r="AS393" s="24"/>
      <c r="AT393" s="24"/>
      <c r="AU393" s="24"/>
      <c r="AV393" s="24"/>
      <c r="AW393" s="33"/>
      <c r="AX393" s="24"/>
      <c r="AY393" s="24"/>
      <c r="AZ393" s="24"/>
      <c r="BA393" s="24"/>
      <c r="BB393" s="24"/>
      <c r="BC393" s="33"/>
      <c r="BD393" s="24"/>
      <c r="BE393" s="24"/>
      <c r="BF393" s="24"/>
      <c r="BG393" s="24"/>
      <c r="CF393" s="24"/>
      <c r="CL393" s="24"/>
      <c r="CR393" s="24"/>
    </row>
    <row r="394" spans="31:96" x14ac:dyDescent="0.2">
      <c r="AK394" s="54"/>
      <c r="AL394" s="33"/>
      <c r="AM394" s="33"/>
      <c r="AN394" s="33"/>
      <c r="AO394" s="24"/>
      <c r="AP394" s="24"/>
      <c r="AQ394" s="49"/>
      <c r="AR394" s="33"/>
      <c r="AS394" s="24"/>
      <c r="AT394" s="24"/>
      <c r="AU394" s="24"/>
      <c r="AV394" s="24"/>
      <c r="AW394" s="33"/>
      <c r="AX394" s="33"/>
      <c r="AY394" s="33"/>
      <c r="AZ394" s="33"/>
      <c r="BA394" s="24"/>
      <c r="BB394" s="24"/>
      <c r="BC394" s="33"/>
      <c r="BD394" s="33"/>
      <c r="BE394" s="33"/>
      <c r="BF394" s="33"/>
      <c r="BG394" s="24"/>
      <c r="CF394" s="24"/>
      <c r="CL394" s="24"/>
      <c r="CR394" s="24"/>
    </row>
    <row r="395" spans="31:96" x14ac:dyDescent="0.2">
      <c r="AK395" s="54"/>
      <c r="AL395" s="33"/>
      <c r="AM395" s="33"/>
      <c r="AN395" s="33"/>
      <c r="AO395" s="24"/>
      <c r="AP395" s="24"/>
      <c r="AQ395" s="49"/>
      <c r="AR395" s="33"/>
      <c r="AS395" s="24"/>
      <c r="AT395" s="24"/>
      <c r="AU395" s="24"/>
      <c r="AV395" s="24"/>
      <c r="AW395" s="49"/>
      <c r="AX395" s="33"/>
      <c r="AY395" s="33"/>
      <c r="AZ395" s="33"/>
      <c r="BA395" s="24"/>
      <c r="BB395" s="24"/>
      <c r="BC395" s="49"/>
      <c r="BD395" s="33"/>
      <c r="BE395" s="33"/>
      <c r="BF395" s="33"/>
      <c r="BG395" s="24"/>
      <c r="CF395" s="24"/>
      <c r="CL395" s="24"/>
      <c r="CR395" s="24"/>
    </row>
    <row r="396" spans="31:96" x14ac:dyDescent="0.2">
      <c r="AK396" s="54"/>
      <c r="AL396" s="33"/>
      <c r="AM396" s="33"/>
      <c r="AN396" s="33"/>
      <c r="AO396" s="24"/>
      <c r="AP396" s="24"/>
      <c r="AQ396" s="49"/>
      <c r="AR396" s="33"/>
      <c r="AS396" s="24"/>
      <c r="AT396" s="24"/>
      <c r="AU396" s="24"/>
      <c r="AV396" s="24"/>
      <c r="AW396" s="49"/>
      <c r="AX396" s="33"/>
      <c r="AY396" s="33"/>
      <c r="AZ396" s="33"/>
      <c r="BA396" s="24"/>
      <c r="BB396" s="24"/>
      <c r="BC396" s="49"/>
      <c r="BD396" s="33"/>
      <c r="BE396" s="33"/>
      <c r="BF396" s="33"/>
      <c r="BG396" s="24"/>
      <c r="CF396" s="24"/>
      <c r="CL396" s="24"/>
      <c r="CR396" s="24"/>
    </row>
    <row r="397" spans="31:96" x14ac:dyDescent="0.2">
      <c r="AK397" s="54"/>
      <c r="AL397" s="33"/>
      <c r="AM397" s="24"/>
      <c r="AN397" s="24"/>
      <c r="AO397" s="24"/>
      <c r="AP397" s="24"/>
      <c r="AQ397" s="49"/>
      <c r="AR397" s="33"/>
      <c r="AS397" s="24"/>
      <c r="AT397" s="24"/>
      <c r="AU397" s="24"/>
      <c r="AV397" s="24"/>
      <c r="AW397" s="49"/>
      <c r="AX397" s="33"/>
      <c r="AY397" s="33"/>
      <c r="AZ397" s="33"/>
      <c r="BA397" s="24"/>
      <c r="BB397" s="24"/>
      <c r="BC397" s="49"/>
      <c r="BD397" s="33"/>
      <c r="BE397" s="33"/>
      <c r="BF397" s="33"/>
      <c r="BG397" s="24"/>
      <c r="CF397" s="24"/>
      <c r="CL397" s="24"/>
      <c r="CR397" s="24"/>
    </row>
    <row r="398" spans="31:96" x14ac:dyDescent="0.2">
      <c r="AK398" s="54"/>
      <c r="AL398" s="33"/>
      <c r="AM398" s="24"/>
      <c r="AN398" s="24"/>
      <c r="AO398" s="24"/>
      <c r="AP398" s="24"/>
      <c r="AQ398" s="49"/>
      <c r="AR398" s="33"/>
      <c r="AS398" s="24"/>
      <c r="AT398" s="24"/>
      <c r="AU398" s="24"/>
      <c r="AV398" s="24"/>
      <c r="AW398" s="49"/>
      <c r="AX398" s="33"/>
      <c r="AY398" s="33"/>
      <c r="AZ398" s="33"/>
      <c r="BA398" s="24"/>
      <c r="BB398" s="24"/>
      <c r="BC398" s="49"/>
      <c r="BD398" s="33"/>
      <c r="BE398" s="33"/>
      <c r="BF398" s="33"/>
      <c r="BG398" s="24"/>
      <c r="CF398" s="24"/>
      <c r="CL398" s="24"/>
      <c r="CR398" s="24"/>
    </row>
    <row r="399" spans="31:96" x14ac:dyDescent="0.2">
      <c r="AK399" s="54"/>
      <c r="AL399" s="33"/>
      <c r="AM399" s="24"/>
      <c r="AN399" s="24"/>
      <c r="AO399" s="24"/>
      <c r="AP399" s="24"/>
      <c r="AQ399" s="49"/>
      <c r="AR399" s="33"/>
      <c r="AS399" s="24"/>
      <c r="AT399" s="24"/>
      <c r="AU399" s="24"/>
      <c r="AV399" s="24"/>
      <c r="AW399" s="49"/>
      <c r="AX399" s="33"/>
      <c r="AY399" s="33"/>
      <c r="AZ399" s="33"/>
      <c r="BA399" s="24"/>
      <c r="BB399" s="24"/>
      <c r="BC399" s="49"/>
      <c r="BD399" s="33"/>
      <c r="BE399" s="33"/>
      <c r="BF399" s="33"/>
      <c r="BG399" s="24"/>
      <c r="CF399" s="24"/>
      <c r="CL399" s="24"/>
      <c r="CR399" s="24"/>
    </row>
    <row r="400" spans="31:96" x14ac:dyDescent="0.2">
      <c r="AK400" s="54"/>
      <c r="AL400" s="33"/>
      <c r="AM400" s="24"/>
      <c r="AN400" s="24"/>
      <c r="AO400" s="24"/>
      <c r="AP400" s="24"/>
      <c r="AQ400" s="49"/>
      <c r="AR400" s="33"/>
      <c r="AS400" s="24"/>
      <c r="AT400" s="24"/>
      <c r="AU400" s="24"/>
      <c r="AV400" s="24"/>
      <c r="AW400" s="49"/>
      <c r="AX400" s="33"/>
      <c r="AY400" s="33"/>
      <c r="AZ400" s="33"/>
      <c r="BA400" s="24"/>
      <c r="BB400" s="24"/>
      <c r="BC400" s="49"/>
      <c r="BD400" s="33"/>
      <c r="BE400" s="33"/>
      <c r="BF400" s="33"/>
      <c r="BG400" s="24"/>
      <c r="CF400" s="24"/>
      <c r="CL400" s="24"/>
      <c r="CR400" s="24"/>
    </row>
    <row r="401" spans="37:96" x14ac:dyDescent="0.2">
      <c r="AK401" s="54"/>
      <c r="AL401" s="33"/>
      <c r="AM401" s="24"/>
      <c r="AN401" s="24"/>
      <c r="AO401" s="24"/>
      <c r="AP401" s="24"/>
      <c r="AQ401" s="49"/>
      <c r="AR401" s="33"/>
      <c r="AS401" s="24"/>
      <c r="AT401" s="24"/>
      <c r="AU401" s="24"/>
      <c r="AV401" s="24"/>
      <c r="AW401" s="49"/>
      <c r="AX401" s="33"/>
      <c r="AY401" s="33"/>
      <c r="AZ401" s="33"/>
      <c r="BA401" s="24"/>
      <c r="BB401" s="24"/>
      <c r="BC401" s="49"/>
      <c r="BD401" s="33"/>
      <c r="BE401" s="33"/>
      <c r="BF401" s="33"/>
      <c r="BG401" s="24"/>
      <c r="CF401" s="24"/>
      <c r="CL401" s="24"/>
      <c r="CR401" s="24"/>
    </row>
    <row r="402" spans="37:96" x14ac:dyDescent="0.2">
      <c r="AK402" s="54"/>
      <c r="AL402" s="33"/>
      <c r="AM402" s="24"/>
      <c r="AN402" s="24"/>
      <c r="AO402" s="24"/>
      <c r="AP402" s="24"/>
      <c r="AQ402" s="49"/>
      <c r="AR402" s="33"/>
      <c r="AS402" s="24"/>
      <c r="AT402" s="24"/>
      <c r="AU402" s="24"/>
      <c r="AV402" s="24"/>
      <c r="AW402" s="49"/>
      <c r="AX402" s="33"/>
      <c r="AY402" s="33"/>
      <c r="AZ402" s="33"/>
      <c r="BA402" s="24"/>
      <c r="BB402" s="24"/>
      <c r="BC402" s="49"/>
      <c r="BD402" s="33"/>
      <c r="BE402" s="33"/>
      <c r="BF402" s="33"/>
      <c r="BG402" s="24"/>
      <c r="CF402" s="24"/>
      <c r="CL402" s="24"/>
      <c r="CR402" s="24"/>
    </row>
    <row r="403" spans="37:96" x14ac:dyDescent="0.2">
      <c r="AK403" s="54"/>
      <c r="AL403" s="33"/>
      <c r="AM403" s="24"/>
      <c r="AN403" s="24"/>
      <c r="AO403" s="24"/>
      <c r="AP403" s="24"/>
      <c r="AQ403" s="49"/>
      <c r="AR403" s="33"/>
      <c r="AS403" s="24"/>
      <c r="AT403" s="24"/>
      <c r="AU403" s="24"/>
      <c r="AV403" s="24"/>
      <c r="AW403" s="49"/>
      <c r="AX403" s="33"/>
      <c r="AY403" s="33"/>
      <c r="AZ403" s="33"/>
      <c r="BA403" s="24"/>
      <c r="BB403" s="24"/>
      <c r="BC403" s="49"/>
      <c r="BD403" s="33"/>
      <c r="BE403" s="33"/>
      <c r="BF403" s="33"/>
      <c r="BG403" s="24"/>
      <c r="CF403" s="24"/>
      <c r="CL403" s="24"/>
      <c r="CR403" s="24"/>
    </row>
    <row r="404" spans="37:96" x14ac:dyDescent="0.2">
      <c r="AK404" s="54"/>
      <c r="AL404" s="33"/>
      <c r="AM404" s="24"/>
      <c r="AN404" s="24"/>
      <c r="AO404" s="24"/>
      <c r="AP404" s="24"/>
      <c r="AQ404" s="49"/>
      <c r="AR404" s="33"/>
      <c r="AS404" s="24"/>
      <c r="AT404" s="24"/>
      <c r="AU404" s="24"/>
      <c r="AV404" s="24"/>
      <c r="AW404" s="49"/>
      <c r="AX404" s="33"/>
      <c r="AY404" s="33"/>
      <c r="AZ404" s="33"/>
      <c r="BA404" s="24"/>
      <c r="BB404" s="24"/>
      <c r="BC404" s="49"/>
      <c r="BD404" s="33"/>
      <c r="BE404" s="33"/>
      <c r="BF404" s="33"/>
      <c r="BG404" s="24"/>
      <c r="CF404" s="24"/>
      <c r="CL404" s="24"/>
      <c r="CR404" s="24"/>
    </row>
    <row r="405" spans="37:96" x14ac:dyDescent="0.2">
      <c r="AK405" s="54"/>
      <c r="AL405" s="33"/>
      <c r="AM405" s="24"/>
      <c r="AN405" s="24"/>
      <c r="AO405" s="24"/>
      <c r="AP405" s="24"/>
      <c r="AQ405" s="49"/>
      <c r="AR405" s="33"/>
      <c r="AS405" s="24"/>
      <c r="AT405" s="24"/>
      <c r="AU405" s="24"/>
      <c r="AV405" s="24"/>
      <c r="AW405" s="49"/>
      <c r="AX405" s="33"/>
      <c r="AY405" s="33"/>
      <c r="AZ405" s="33"/>
      <c r="BA405" s="24"/>
      <c r="BB405" s="24"/>
      <c r="BC405" s="49"/>
      <c r="BD405" s="33"/>
      <c r="BE405" s="33"/>
      <c r="BF405" s="33"/>
      <c r="BG405" s="24"/>
      <c r="CF405" s="24"/>
      <c r="CL405" s="24"/>
      <c r="CR405" s="24"/>
    </row>
    <row r="406" spans="37:96" x14ac:dyDescent="0.2">
      <c r="AK406" s="54"/>
      <c r="AL406" s="33"/>
      <c r="AM406" s="24"/>
      <c r="AN406" s="24"/>
      <c r="AO406" s="24"/>
      <c r="AP406" s="24"/>
      <c r="AQ406" s="49"/>
      <c r="AR406" s="33"/>
      <c r="AS406" s="24"/>
      <c r="AT406" s="24"/>
      <c r="AU406" s="24"/>
      <c r="AV406" s="24"/>
      <c r="AW406" s="49"/>
      <c r="AX406" s="33"/>
      <c r="AY406" s="33"/>
      <c r="AZ406" s="33"/>
      <c r="BA406" s="24"/>
      <c r="BB406" s="24"/>
      <c r="BC406" s="49"/>
      <c r="BD406" s="33"/>
      <c r="BE406" s="33"/>
      <c r="BF406" s="33"/>
      <c r="BG406" s="24"/>
      <c r="CF406" s="24"/>
      <c r="CL406" s="24"/>
      <c r="CR406" s="24"/>
    </row>
    <row r="407" spans="37:96" x14ac:dyDescent="0.2">
      <c r="AK407" s="54"/>
      <c r="AL407" s="33"/>
      <c r="AM407" s="24"/>
      <c r="AN407" s="24"/>
      <c r="AO407" s="24"/>
      <c r="AP407" s="24"/>
      <c r="AQ407" s="49"/>
      <c r="AR407" s="33"/>
      <c r="AS407" s="24"/>
      <c r="AT407" s="24"/>
      <c r="AU407" s="24"/>
      <c r="AV407" s="24"/>
      <c r="AW407" s="25"/>
      <c r="AX407" s="33"/>
      <c r="AY407" s="24"/>
      <c r="AZ407" s="24"/>
      <c r="BA407" s="24"/>
      <c r="BB407" s="24"/>
      <c r="BC407" s="25"/>
      <c r="BD407" s="33"/>
      <c r="BE407" s="24"/>
      <c r="BF407" s="24"/>
      <c r="BG407" s="24"/>
      <c r="CF407" s="24"/>
      <c r="CL407" s="24"/>
      <c r="CR407" s="24"/>
    </row>
    <row r="408" spans="37:96" x14ac:dyDescent="0.2">
      <c r="AK408" s="54"/>
      <c r="AL408" s="33"/>
      <c r="AM408" s="24"/>
      <c r="AN408" s="24"/>
      <c r="AO408" s="24"/>
      <c r="AP408" s="24"/>
      <c r="AQ408" s="49"/>
      <c r="AR408" s="33"/>
      <c r="AS408" s="24"/>
      <c r="AT408" s="24"/>
      <c r="AU408" s="24"/>
      <c r="AV408" s="24"/>
      <c r="AW408" s="49"/>
      <c r="AX408" s="33"/>
      <c r="AY408" s="24"/>
      <c r="AZ408" s="24"/>
      <c r="BA408" s="24"/>
      <c r="BB408" s="24"/>
      <c r="BC408" s="49"/>
      <c r="BD408" s="33"/>
      <c r="BE408" s="24"/>
      <c r="BF408" s="24"/>
      <c r="BG408" s="24"/>
      <c r="CF408" s="24"/>
      <c r="CL408" s="24"/>
      <c r="CR408" s="24"/>
    </row>
    <row r="409" spans="37:96" x14ac:dyDescent="0.2">
      <c r="AK409" s="54"/>
      <c r="AL409" s="33"/>
      <c r="AM409" s="24"/>
      <c r="AN409" s="24"/>
      <c r="AO409" s="24"/>
      <c r="AP409" s="24"/>
      <c r="AQ409" s="49"/>
      <c r="AR409" s="33"/>
      <c r="AS409" s="24"/>
      <c r="AT409" s="24"/>
      <c r="AU409" s="24"/>
      <c r="AV409" s="24"/>
      <c r="AW409" s="49"/>
      <c r="AX409" s="33"/>
      <c r="AY409" s="24"/>
      <c r="AZ409" s="24"/>
      <c r="BA409" s="24"/>
      <c r="BB409" s="24"/>
      <c r="BC409" s="49"/>
      <c r="BD409" s="33"/>
      <c r="BE409" s="24"/>
      <c r="BF409" s="24"/>
      <c r="BG409" s="24"/>
      <c r="CF409" s="24"/>
      <c r="CL409" s="24"/>
      <c r="CR409" s="24"/>
    </row>
    <row r="410" spans="37:96" x14ac:dyDescent="0.2">
      <c r="AK410" s="24"/>
      <c r="AL410" s="24"/>
      <c r="AM410" s="24"/>
      <c r="AN410" s="24"/>
      <c r="AO410" s="24"/>
      <c r="AP410" s="24"/>
      <c r="AQ410" s="49"/>
      <c r="AR410" s="33"/>
      <c r="AS410" s="24"/>
      <c r="AT410" s="24"/>
      <c r="AU410" s="24"/>
      <c r="AV410" s="24"/>
      <c r="AW410" s="49"/>
      <c r="AX410" s="33"/>
      <c r="AY410" s="24"/>
      <c r="AZ410" s="24"/>
      <c r="BA410" s="24"/>
      <c r="BB410" s="24"/>
      <c r="BC410" s="49"/>
      <c r="BD410" s="33"/>
      <c r="BE410" s="24"/>
      <c r="BF410" s="24"/>
      <c r="BG410" s="24"/>
      <c r="CF410" s="24"/>
      <c r="CL410" s="24"/>
      <c r="CR410" s="24"/>
    </row>
    <row r="411" spans="37:96" x14ac:dyDescent="0.2">
      <c r="AK411" s="24"/>
      <c r="AL411" s="24"/>
      <c r="AM411" s="24"/>
      <c r="AN411" s="24"/>
      <c r="AO411" s="24"/>
      <c r="AP411" s="24"/>
      <c r="AQ411" s="49"/>
      <c r="AR411" s="33"/>
      <c r="AS411" s="24"/>
      <c r="AT411" s="24"/>
      <c r="AU411" s="24"/>
      <c r="AV411" s="24"/>
      <c r="AW411" s="49"/>
      <c r="AX411" s="33"/>
      <c r="AY411" s="24"/>
      <c r="AZ411" s="24"/>
      <c r="BA411" s="24"/>
      <c r="BB411" s="24"/>
      <c r="BC411" s="49"/>
      <c r="BD411" s="33"/>
      <c r="BE411" s="24"/>
      <c r="BF411" s="24"/>
      <c r="BG411" s="24"/>
      <c r="CF411" s="24"/>
      <c r="CL411" s="24"/>
      <c r="CR411" s="24"/>
    </row>
    <row r="412" spans="37:96" x14ac:dyDescent="0.2">
      <c r="AK412" s="24"/>
      <c r="AL412" s="24"/>
      <c r="AM412" s="24"/>
      <c r="AN412" s="24"/>
      <c r="AO412" s="24"/>
      <c r="AP412" s="24"/>
      <c r="AQ412" s="49"/>
      <c r="AR412" s="33"/>
      <c r="AS412" s="24"/>
      <c r="AT412" s="24"/>
      <c r="AU412" s="24"/>
      <c r="AV412" s="24"/>
      <c r="AW412" s="49"/>
      <c r="AX412" s="33"/>
      <c r="AY412" s="24"/>
      <c r="AZ412" s="24"/>
      <c r="BA412" s="24"/>
      <c r="BB412" s="24"/>
      <c r="BC412" s="49"/>
      <c r="BD412" s="33"/>
      <c r="BE412" s="24"/>
      <c r="BF412" s="24"/>
      <c r="BG412" s="24"/>
      <c r="CF412" s="24"/>
      <c r="CL412" s="24"/>
      <c r="CR412" s="24"/>
    </row>
    <row r="413" spans="37:96" x14ac:dyDescent="0.2">
      <c r="AK413" s="24"/>
      <c r="AL413" s="24"/>
      <c r="AM413" s="24"/>
      <c r="AN413" s="24"/>
      <c r="AO413" s="24"/>
      <c r="AP413" s="24"/>
      <c r="AQ413" s="49"/>
      <c r="AR413" s="33"/>
      <c r="AS413" s="24"/>
      <c r="AT413" s="24"/>
      <c r="AU413" s="24"/>
      <c r="AV413" s="24"/>
      <c r="AW413" s="49"/>
      <c r="AX413" s="33"/>
      <c r="AY413" s="24"/>
      <c r="AZ413" s="24"/>
      <c r="BA413" s="24"/>
      <c r="BB413" s="24"/>
      <c r="BC413" s="49"/>
      <c r="BD413" s="33"/>
      <c r="BE413" s="24"/>
      <c r="BF413" s="24"/>
      <c r="BG413" s="24"/>
      <c r="CF413" s="24"/>
      <c r="CL413" s="24"/>
      <c r="CR413" s="24"/>
    </row>
    <row r="414" spans="37:96" x14ac:dyDescent="0.2">
      <c r="AK414" s="24"/>
      <c r="AL414" s="24"/>
      <c r="AM414" s="24"/>
      <c r="AN414" s="24"/>
      <c r="AO414" s="24"/>
      <c r="AP414" s="24"/>
      <c r="AQ414" s="49"/>
      <c r="AR414" s="33"/>
      <c r="AS414" s="24"/>
      <c r="AT414" s="24"/>
      <c r="AU414" s="24"/>
      <c r="AV414" s="24"/>
      <c r="AW414" s="49"/>
      <c r="AX414" s="33"/>
      <c r="AY414" s="24"/>
      <c r="AZ414" s="24"/>
      <c r="BA414" s="24"/>
      <c r="BB414" s="24"/>
      <c r="BC414" s="49"/>
      <c r="BD414" s="33"/>
      <c r="BE414" s="24"/>
      <c r="BF414" s="24"/>
      <c r="BG414" s="24"/>
      <c r="CF414" s="24"/>
      <c r="CL414" s="24"/>
      <c r="CR414" s="24"/>
    </row>
    <row r="415" spans="37:96" x14ac:dyDescent="0.2">
      <c r="AK415" s="24"/>
      <c r="AL415" s="24"/>
      <c r="AM415" s="24"/>
      <c r="AN415" s="24"/>
      <c r="AO415" s="24"/>
      <c r="AP415" s="24"/>
      <c r="AQ415" s="49"/>
      <c r="AR415" s="33"/>
      <c r="AS415" s="24"/>
      <c r="AT415" s="24"/>
      <c r="AU415" s="24"/>
      <c r="AV415" s="24"/>
      <c r="AW415" s="49"/>
      <c r="AX415" s="33"/>
      <c r="AY415" s="24"/>
      <c r="AZ415" s="24"/>
      <c r="BA415" s="24"/>
      <c r="BB415" s="24"/>
      <c r="BC415" s="49"/>
      <c r="BD415" s="33"/>
      <c r="BE415" s="24"/>
      <c r="BF415" s="24"/>
      <c r="BG415" s="24"/>
      <c r="CF415" s="24"/>
      <c r="CL415" s="24"/>
      <c r="CR415" s="24"/>
    </row>
    <row r="416" spans="37:96" x14ac:dyDescent="0.2">
      <c r="AK416" s="24"/>
      <c r="AL416" s="24"/>
      <c r="AM416" s="24"/>
      <c r="AN416" s="24"/>
      <c r="AO416" s="24"/>
      <c r="AP416" s="24"/>
      <c r="AQ416" s="49"/>
      <c r="AR416" s="33"/>
      <c r="AS416" s="24"/>
      <c r="AT416" s="24"/>
      <c r="AU416" s="24"/>
      <c r="AV416" s="24"/>
      <c r="AW416" s="49"/>
      <c r="AX416" s="33"/>
      <c r="AY416" s="24"/>
      <c r="AZ416" s="24"/>
      <c r="BA416" s="24"/>
      <c r="BB416" s="24"/>
      <c r="BC416" s="49"/>
      <c r="BD416" s="33"/>
      <c r="BE416" s="24"/>
      <c r="BF416" s="24"/>
      <c r="BG416" s="24"/>
      <c r="CF416" s="24"/>
      <c r="CL416" s="24"/>
      <c r="CR416" s="24"/>
    </row>
    <row r="417" spans="37:96" x14ac:dyDescent="0.2">
      <c r="AK417" s="24"/>
      <c r="AL417" s="24"/>
      <c r="AM417" s="24"/>
      <c r="AN417" s="24"/>
      <c r="AO417" s="24"/>
      <c r="AP417" s="24"/>
      <c r="AQ417" s="49"/>
      <c r="AR417" s="33"/>
      <c r="AS417" s="24"/>
      <c r="AT417" s="24"/>
      <c r="AU417" s="24"/>
      <c r="AV417" s="24"/>
      <c r="AW417" s="49"/>
      <c r="AX417" s="33"/>
      <c r="AY417" s="24"/>
      <c r="AZ417" s="24"/>
      <c r="BA417" s="24"/>
      <c r="BB417" s="24"/>
      <c r="BC417" s="49"/>
      <c r="BD417" s="33"/>
      <c r="BE417" s="24"/>
      <c r="BF417" s="24"/>
      <c r="BG417" s="24"/>
      <c r="CF417" s="24"/>
      <c r="CL417" s="24"/>
      <c r="CR417" s="24"/>
    </row>
    <row r="418" spans="37:96" x14ac:dyDescent="0.2">
      <c r="AK418" s="24"/>
      <c r="AL418" s="24"/>
      <c r="AM418" s="24"/>
      <c r="AN418" s="24"/>
      <c r="AO418" s="24"/>
      <c r="AP418" s="24"/>
      <c r="AQ418" s="49"/>
      <c r="AR418" s="33"/>
      <c r="AS418" s="24"/>
      <c r="AT418" s="24"/>
      <c r="AU418" s="24"/>
      <c r="AV418" s="24"/>
      <c r="AW418" s="49"/>
      <c r="AX418" s="33"/>
      <c r="AY418" s="24"/>
      <c r="AZ418" s="24"/>
      <c r="BA418" s="24"/>
      <c r="BB418" s="24"/>
      <c r="BC418" s="49"/>
      <c r="BD418" s="33"/>
      <c r="BE418" s="24"/>
      <c r="BF418" s="24"/>
      <c r="BG418" s="24"/>
      <c r="CF418" s="24"/>
      <c r="CL418" s="24"/>
      <c r="CR418" s="24"/>
    </row>
    <row r="419" spans="37:96" x14ac:dyDescent="0.2">
      <c r="AK419" s="24"/>
      <c r="AL419" s="24"/>
      <c r="AM419" s="24"/>
      <c r="AN419" s="24"/>
      <c r="AO419" s="24"/>
      <c r="AP419" s="24"/>
      <c r="AQ419" s="49"/>
      <c r="AR419" s="33"/>
      <c r="AS419" s="24"/>
      <c r="AT419" s="24"/>
      <c r="AU419" s="24"/>
      <c r="AV419" s="24"/>
      <c r="AW419" s="49"/>
      <c r="AX419" s="33"/>
      <c r="AY419" s="24"/>
      <c r="AZ419" s="24"/>
      <c r="BA419" s="24"/>
      <c r="BB419" s="24"/>
      <c r="BC419" s="49"/>
      <c r="BD419" s="33"/>
      <c r="BE419" s="24"/>
      <c r="BF419" s="24"/>
      <c r="BG419" s="24"/>
      <c r="CF419" s="24"/>
      <c r="CL419" s="24"/>
      <c r="CR419" s="24"/>
    </row>
    <row r="420" spans="37:96" x14ac:dyDescent="0.2">
      <c r="AK420" s="24"/>
      <c r="AL420" s="24"/>
      <c r="AM420" s="24"/>
      <c r="AN420" s="24"/>
      <c r="AO420" s="24"/>
      <c r="AP420" s="24"/>
      <c r="AQ420" s="49"/>
      <c r="AR420" s="33"/>
      <c r="AS420" s="24"/>
      <c r="AT420" s="24"/>
      <c r="AU420" s="24"/>
      <c r="AV420" s="24"/>
      <c r="AW420" s="49"/>
      <c r="AX420" s="33"/>
      <c r="AY420" s="24"/>
      <c r="AZ420" s="24"/>
      <c r="BA420" s="24"/>
      <c r="BB420" s="24"/>
      <c r="BC420" s="49"/>
      <c r="BD420" s="33"/>
      <c r="BE420" s="24"/>
      <c r="BF420" s="24"/>
      <c r="BG420" s="24"/>
      <c r="CF420" s="24"/>
      <c r="CL420" s="24"/>
      <c r="CR420" s="24"/>
    </row>
    <row r="421" spans="37:96" x14ac:dyDescent="0.2">
      <c r="AK421" s="24"/>
      <c r="AL421" s="24"/>
      <c r="AM421" s="24"/>
      <c r="AN421" s="24"/>
      <c r="AO421" s="24"/>
      <c r="AP421" s="24"/>
      <c r="AQ421" s="25"/>
      <c r="AR421" s="33"/>
      <c r="AS421" s="24"/>
      <c r="AT421" s="24"/>
      <c r="AU421" s="24"/>
      <c r="AV421" s="24"/>
      <c r="AW421" s="49"/>
      <c r="AX421" s="33"/>
      <c r="AY421" s="24"/>
      <c r="AZ421" s="24"/>
      <c r="BA421" s="24"/>
      <c r="BB421" s="24"/>
      <c r="BC421" s="49"/>
      <c r="BD421" s="33"/>
      <c r="BE421" s="24"/>
      <c r="BF421" s="24"/>
      <c r="BG421" s="24"/>
      <c r="CF421" s="24"/>
      <c r="CL421" s="24"/>
      <c r="CR421" s="24"/>
    </row>
    <row r="422" spans="37:96" x14ac:dyDescent="0.2">
      <c r="AK422" s="24"/>
      <c r="AL422" s="24"/>
      <c r="AM422" s="24"/>
      <c r="AN422" s="24"/>
      <c r="AO422" s="24"/>
      <c r="AP422" s="24"/>
      <c r="AQ422" s="25"/>
      <c r="AR422" s="33"/>
      <c r="AS422" s="24"/>
      <c r="AT422" s="24"/>
      <c r="AU422" s="24"/>
      <c r="AV422" s="24"/>
      <c r="AW422" s="49"/>
      <c r="AX422" s="33"/>
      <c r="AY422" s="24"/>
      <c r="AZ422" s="24"/>
      <c r="BA422" s="24"/>
      <c r="BB422" s="24"/>
      <c r="BC422" s="49"/>
      <c r="BD422" s="33"/>
      <c r="BE422" s="24"/>
      <c r="BF422" s="24"/>
      <c r="BG422" s="24"/>
      <c r="CF422" s="24"/>
      <c r="CL422" s="24"/>
      <c r="CR422" s="24"/>
    </row>
    <row r="423" spans="37:96" x14ac:dyDescent="0.2">
      <c r="AK423" s="33"/>
      <c r="AL423" s="33"/>
      <c r="AM423" s="24"/>
      <c r="AN423" s="24"/>
      <c r="AO423" s="24"/>
      <c r="AP423" s="24"/>
      <c r="AQ423" s="25"/>
      <c r="AR423" s="33"/>
      <c r="AS423" s="24"/>
      <c r="AT423" s="24"/>
      <c r="AU423" s="24"/>
      <c r="AV423" s="24"/>
      <c r="AW423" s="49"/>
      <c r="AX423" s="33"/>
      <c r="AY423" s="24"/>
      <c r="AZ423" s="24"/>
      <c r="BA423" s="24"/>
      <c r="BB423" s="24"/>
      <c r="BC423" s="49"/>
      <c r="BD423" s="33"/>
      <c r="BE423" s="24"/>
      <c r="BF423" s="24"/>
      <c r="BG423" s="24"/>
      <c r="CF423" s="24"/>
      <c r="CL423" s="24"/>
      <c r="CR423" s="24"/>
    </row>
    <row r="424" spans="37:96" x14ac:dyDescent="0.2">
      <c r="AK424" s="33"/>
      <c r="AL424" s="33"/>
      <c r="AM424" s="24"/>
      <c r="AN424" s="24"/>
      <c r="AO424" s="24"/>
      <c r="AP424" s="24"/>
      <c r="AQ424" s="25"/>
      <c r="AR424" s="33"/>
      <c r="AS424" s="24"/>
      <c r="AT424" s="24"/>
      <c r="AU424" s="24"/>
      <c r="AV424" s="24"/>
      <c r="AW424" s="49"/>
      <c r="AX424" s="33"/>
      <c r="AY424" s="24"/>
      <c r="AZ424" s="24"/>
      <c r="BA424" s="24"/>
      <c r="BB424" s="24"/>
      <c r="BC424" s="49"/>
      <c r="BD424" s="33"/>
      <c r="BE424" s="24"/>
      <c r="BF424" s="24"/>
      <c r="BG424" s="24"/>
      <c r="CF424" s="24"/>
      <c r="CL424" s="24"/>
      <c r="CR424" s="24"/>
    </row>
    <row r="425" spans="37:96" x14ac:dyDescent="0.2">
      <c r="AK425" s="33"/>
      <c r="AL425" s="33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49"/>
      <c r="AX425" s="33"/>
      <c r="AY425" s="24"/>
      <c r="AZ425" s="24"/>
      <c r="BA425" s="24"/>
      <c r="BB425" s="24"/>
      <c r="BC425" s="49"/>
      <c r="BD425" s="33"/>
      <c r="BE425" s="24"/>
      <c r="BF425" s="24"/>
      <c r="BG425" s="24"/>
      <c r="CF425" s="24"/>
      <c r="CL425" s="24"/>
      <c r="CR425" s="24"/>
    </row>
    <row r="426" spans="37:96" x14ac:dyDescent="0.2">
      <c r="AK426" s="33"/>
      <c r="AL426" s="33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49"/>
      <c r="AX426" s="33"/>
      <c r="AY426" s="24"/>
      <c r="AZ426" s="24"/>
      <c r="BA426" s="24"/>
      <c r="BB426" s="24"/>
      <c r="BC426" s="49"/>
      <c r="BD426" s="33"/>
      <c r="BE426" s="24"/>
      <c r="BF426" s="24"/>
      <c r="BG426" s="24"/>
      <c r="CF426" s="24"/>
      <c r="CL426" s="24"/>
      <c r="CR426" s="24"/>
    </row>
    <row r="427" spans="37:96" x14ac:dyDescent="0.2">
      <c r="AK427" s="33"/>
      <c r="AL427" s="33"/>
      <c r="AM427" s="24"/>
      <c r="AN427" s="24"/>
      <c r="AO427" s="24"/>
      <c r="AP427" s="24"/>
      <c r="AQ427" s="33"/>
      <c r="AR427" s="24"/>
      <c r="AS427" s="24"/>
      <c r="AT427" s="24"/>
      <c r="AU427" s="24"/>
      <c r="AV427" s="24"/>
      <c r="AW427" s="49"/>
      <c r="AX427" s="33"/>
      <c r="AY427" s="24"/>
      <c r="AZ427" s="24"/>
      <c r="BA427" s="24"/>
      <c r="BB427" s="24"/>
      <c r="BC427" s="49"/>
      <c r="BD427" s="33"/>
      <c r="BE427" s="24"/>
      <c r="BF427" s="24"/>
      <c r="BG427" s="24"/>
      <c r="CF427" s="24"/>
      <c r="CL427" s="24"/>
      <c r="CR427" s="24"/>
    </row>
    <row r="428" spans="37:96" x14ac:dyDescent="0.2">
      <c r="AK428" s="33"/>
      <c r="AL428" s="33"/>
      <c r="AM428" s="24"/>
      <c r="AN428" s="24"/>
      <c r="AO428" s="24"/>
      <c r="AP428" s="24"/>
      <c r="AQ428" s="33"/>
      <c r="AR428" s="33"/>
      <c r="AS428" s="33"/>
      <c r="AT428" s="33"/>
      <c r="AU428" s="24"/>
      <c r="AV428" s="24"/>
      <c r="AW428" s="49"/>
      <c r="AX428" s="33"/>
      <c r="AY428" s="24"/>
      <c r="AZ428" s="24"/>
      <c r="BA428" s="24"/>
      <c r="BB428" s="24"/>
      <c r="BC428" s="49"/>
      <c r="BD428" s="33"/>
      <c r="BE428" s="24"/>
      <c r="BF428" s="24"/>
      <c r="BG428" s="24"/>
      <c r="CF428" s="24"/>
      <c r="CL428" s="24"/>
      <c r="CR428" s="24"/>
    </row>
    <row r="429" spans="37:96" x14ac:dyDescent="0.2">
      <c r="AK429" s="33"/>
      <c r="AL429" s="33"/>
      <c r="AM429" s="24"/>
      <c r="AN429" s="24"/>
      <c r="AO429" s="24"/>
      <c r="AP429" s="24"/>
      <c r="AQ429" s="49"/>
      <c r="AR429" s="33"/>
      <c r="AS429" s="33"/>
      <c r="AT429" s="33"/>
      <c r="AU429" s="24"/>
      <c r="AV429" s="24"/>
      <c r="AW429" s="49"/>
      <c r="AX429" s="33"/>
      <c r="AY429" s="24"/>
      <c r="AZ429" s="24"/>
      <c r="BA429" s="24"/>
      <c r="BB429" s="24"/>
      <c r="BC429" s="49"/>
      <c r="BD429" s="33"/>
      <c r="BE429" s="24"/>
      <c r="BF429" s="24"/>
      <c r="BG429" s="24"/>
      <c r="CF429" s="24"/>
      <c r="CL429" s="24"/>
      <c r="CR429" s="24"/>
    </row>
    <row r="430" spans="37:96" x14ac:dyDescent="0.2">
      <c r="AK430" s="33"/>
      <c r="AL430" s="33"/>
      <c r="AM430" s="24"/>
      <c r="AN430" s="24"/>
      <c r="AO430" s="24"/>
      <c r="AP430" s="24"/>
      <c r="AQ430" s="49"/>
      <c r="AR430" s="33"/>
      <c r="AS430" s="33"/>
      <c r="AT430" s="33"/>
      <c r="AU430" s="24"/>
      <c r="AV430" s="24"/>
      <c r="AW430" s="49"/>
      <c r="AX430" s="33"/>
      <c r="AY430" s="24"/>
      <c r="AZ430" s="24"/>
      <c r="BA430" s="24"/>
      <c r="BB430" s="24"/>
      <c r="BC430" s="49"/>
      <c r="BD430" s="33"/>
      <c r="BE430" s="24"/>
      <c r="BF430" s="24"/>
      <c r="BG430" s="24"/>
      <c r="CF430" s="24"/>
      <c r="CL430" s="24"/>
      <c r="CR430" s="24"/>
    </row>
    <row r="431" spans="37:96" x14ac:dyDescent="0.2">
      <c r="AK431" s="33"/>
      <c r="AL431" s="33"/>
      <c r="AM431" s="24"/>
      <c r="AN431" s="24"/>
      <c r="AO431" s="24"/>
      <c r="AP431" s="24"/>
      <c r="AQ431" s="49"/>
      <c r="AR431" s="33"/>
      <c r="AS431" s="33"/>
      <c r="AT431" s="33"/>
      <c r="AU431" s="24"/>
      <c r="AV431" s="24"/>
      <c r="AW431" s="49"/>
      <c r="AX431" s="33"/>
      <c r="AY431" s="24"/>
      <c r="AZ431" s="24"/>
      <c r="BA431" s="24"/>
      <c r="BB431" s="24"/>
      <c r="BC431" s="49"/>
      <c r="BD431" s="33"/>
      <c r="BE431" s="24"/>
      <c r="BF431" s="24"/>
      <c r="BG431" s="24"/>
      <c r="CF431" s="24"/>
      <c r="CL431" s="24"/>
      <c r="CR431" s="24"/>
    </row>
    <row r="432" spans="37:96" x14ac:dyDescent="0.2">
      <c r="AK432" s="24"/>
      <c r="AL432" s="33"/>
      <c r="AM432" s="24"/>
      <c r="AN432" s="24"/>
      <c r="AO432" s="24"/>
      <c r="AP432" s="24"/>
      <c r="AQ432" s="49"/>
      <c r="AR432" s="33"/>
      <c r="AS432" s="33"/>
      <c r="AT432" s="33"/>
      <c r="AU432" s="24"/>
      <c r="AV432" s="24"/>
      <c r="AW432" s="49"/>
      <c r="AX432" s="33"/>
      <c r="AY432" s="24"/>
      <c r="AZ432" s="24"/>
      <c r="BA432" s="24"/>
      <c r="BB432" s="24"/>
      <c r="BC432" s="49"/>
      <c r="BD432" s="33"/>
      <c r="BE432" s="24"/>
      <c r="BF432" s="24"/>
      <c r="BG432" s="24"/>
      <c r="CF432" s="24"/>
      <c r="CL432" s="24"/>
      <c r="CR432" s="24"/>
    </row>
    <row r="433" spans="37:96" x14ac:dyDescent="0.2">
      <c r="AK433" s="33"/>
      <c r="AL433" s="33"/>
      <c r="AM433" s="24"/>
      <c r="AN433" s="24"/>
      <c r="AO433" s="24"/>
      <c r="AP433" s="24"/>
      <c r="AQ433" s="49"/>
      <c r="AR433" s="33"/>
      <c r="AS433" s="33"/>
      <c r="AT433" s="33"/>
      <c r="AU433" s="24"/>
      <c r="AV433" s="24"/>
      <c r="AW433" s="49"/>
      <c r="AX433" s="33"/>
      <c r="AY433" s="24"/>
      <c r="AZ433" s="24"/>
      <c r="BA433" s="24"/>
      <c r="BB433" s="24"/>
      <c r="BC433" s="49"/>
      <c r="BD433" s="33"/>
      <c r="BE433" s="24"/>
      <c r="BF433" s="24"/>
      <c r="BG433" s="24"/>
      <c r="CF433" s="24"/>
      <c r="CL433" s="24"/>
      <c r="CR433" s="24"/>
    </row>
    <row r="434" spans="37:96" x14ac:dyDescent="0.2">
      <c r="AK434" s="33"/>
      <c r="AL434" s="33"/>
      <c r="AM434" s="24"/>
      <c r="AN434" s="24"/>
      <c r="AO434" s="24"/>
      <c r="AP434" s="24"/>
      <c r="AQ434" s="49"/>
      <c r="AR434" s="33"/>
      <c r="AS434" s="33"/>
      <c r="AT434" s="33"/>
      <c r="AU434" s="24"/>
      <c r="AV434" s="24"/>
      <c r="AW434" s="49"/>
      <c r="AX434" s="33"/>
      <c r="AY434" s="24"/>
      <c r="AZ434" s="24"/>
      <c r="BA434" s="24"/>
      <c r="BB434" s="24"/>
      <c r="BC434" s="49"/>
      <c r="BD434" s="33"/>
      <c r="BE434" s="24"/>
      <c r="BF434" s="24"/>
      <c r="BG434" s="24"/>
      <c r="CF434" s="24"/>
      <c r="CL434" s="24"/>
      <c r="CR434" s="24"/>
    </row>
    <row r="435" spans="37:96" x14ac:dyDescent="0.2">
      <c r="AK435" s="33"/>
      <c r="AL435" s="33"/>
      <c r="AM435" s="24"/>
      <c r="AN435" s="24"/>
      <c r="AO435" s="24"/>
      <c r="AP435" s="24"/>
      <c r="AQ435" s="49"/>
      <c r="AR435" s="33"/>
      <c r="AS435" s="33"/>
      <c r="AT435" s="33"/>
      <c r="AU435" s="24"/>
      <c r="AV435" s="24"/>
      <c r="AW435" s="49"/>
      <c r="AX435" s="33"/>
      <c r="AY435" s="24"/>
      <c r="AZ435" s="24"/>
      <c r="BA435" s="24"/>
      <c r="BB435" s="24"/>
      <c r="BC435" s="49"/>
      <c r="BD435" s="33"/>
      <c r="BE435" s="24"/>
      <c r="BF435" s="24"/>
      <c r="BG435" s="24"/>
      <c r="CF435" s="24"/>
      <c r="CL435" s="24"/>
      <c r="CR435" s="24"/>
    </row>
    <row r="436" spans="37:96" x14ac:dyDescent="0.2">
      <c r="AK436" s="33"/>
      <c r="AL436" s="33"/>
      <c r="AM436" s="24"/>
      <c r="AN436" s="24"/>
      <c r="AO436" s="24"/>
      <c r="AP436" s="24"/>
      <c r="AQ436" s="49"/>
      <c r="AR436" s="33"/>
      <c r="AS436" s="33"/>
      <c r="AT436" s="33"/>
      <c r="AU436" s="24"/>
      <c r="AV436" s="24"/>
      <c r="AW436" s="49"/>
      <c r="AX436" s="33"/>
      <c r="AY436" s="24"/>
      <c r="AZ436" s="24"/>
      <c r="BA436" s="24"/>
      <c r="BB436" s="24"/>
      <c r="BC436" s="49"/>
      <c r="BD436" s="33"/>
      <c r="BE436" s="24"/>
      <c r="BF436" s="24"/>
      <c r="BG436" s="24"/>
      <c r="CF436" s="24"/>
      <c r="CL436" s="24"/>
      <c r="CR436" s="24"/>
    </row>
    <row r="437" spans="37:96" x14ac:dyDescent="0.2">
      <c r="AK437" s="33"/>
      <c r="AL437" s="33"/>
      <c r="AM437" s="24"/>
      <c r="AN437" s="24"/>
      <c r="AO437" s="24"/>
      <c r="AP437" s="24"/>
      <c r="AQ437" s="49"/>
      <c r="AR437" s="33"/>
      <c r="AS437" s="33"/>
      <c r="AT437" s="33"/>
      <c r="AU437" s="24"/>
      <c r="AV437" s="24"/>
      <c r="AW437" s="49"/>
      <c r="AX437" s="33"/>
      <c r="AY437" s="24"/>
      <c r="AZ437" s="24"/>
      <c r="BA437" s="24"/>
      <c r="BB437" s="24"/>
      <c r="BC437" s="49"/>
      <c r="BD437" s="33"/>
      <c r="BE437" s="24"/>
      <c r="BF437" s="24"/>
      <c r="BG437" s="24"/>
      <c r="CF437" s="24"/>
      <c r="CL437" s="24"/>
      <c r="CR437" s="24"/>
    </row>
    <row r="438" spans="37:96" x14ac:dyDescent="0.2">
      <c r="AK438" s="33"/>
      <c r="AL438" s="33"/>
      <c r="AM438" s="24"/>
      <c r="AN438" s="24"/>
      <c r="AO438" s="24"/>
      <c r="AP438" s="24"/>
      <c r="AQ438" s="49"/>
      <c r="AR438" s="33"/>
      <c r="AS438" s="33"/>
      <c r="AT438" s="33"/>
      <c r="AU438" s="24"/>
      <c r="AV438" s="24"/>
      <c r="AW438" s="49"/>
      <c r="AX438" s="33"/>
      <c r="AY438" s="24"/>
      <c r="AZ438" s="24"/>
      <c r="BA438" s="24"/>
      <c r="BB438" s="24"/>
      <c r="BC438" s="49"/>
      <c r="BD438" s="33"/>
      <c r="BE438" s="24"/>
      <c r="BF438" s="24"/>
      <c r="BG438" s="24"/>
      <c r="CF438" s="24"/>
      <c r="CL438" s="24"/>
      <c r="CR438" s="24"/>
    </row>
    <row r="439" spans="37:96" x14ac:dyDescent="0.2">
      <c r="AK439" s="33"/>
      <c r="AL439" s="33"/>
      <c r="AM439" s="24"/>
      <c r="AN439" s="24"/>
      <c r="AO439" s="24"/>
      <c r="AP439" s="24"/>
      <c r="AQ439" s="49"/>
      <c r="AR439" s="33"/>
      <c r="AS439" s="33"/>
      <c r="AT439" s="33"/>
      <c r="AU439" s="24"/>
      <c r="AV439" s="24"/>
      <c r="AW439" s="49"/>
      <c r="AX439" s="33"/>
      <c r="AY439" s="24"/>
      <c r="AZ439" s="24"/>
      <c r="BA439" s="24"/>
      <c r="BB439" s="24"/>
      <c r="BC439" s="49"/>
      <c r="BD439" s="33"/>
      <c r="BE439" s="24"/>
      <c r="BF439" s="24"/>
      <c r="BG439" s="24"/>
      <c r="CF439" s="24"/>
      <c r="CL439" s="24"/>
      <c r="CR439" s="24"/>
    </row>
    <row r="440" spans="37:96" x14ac:dyDescent="0.2">
      <c r="AK440" s="33"/>
      <c r="AL440" s="33"/>
      <c r="AM440" s="24"/>
      <c r="AN440" s="24"/>
      <c r="AO440" s="24"/>
      <c r="AP440" s="24"/>
      <c r="AQ440" s="49"/>
      <c r="AR440" s="33"/>
      <c r="AS440" s="33"/>
      <c r="AT440" s="33"/>
      <c r="AU440" s="24"/>
      <c r="AV440" s="24"/>
      <c r="AW440" s="25"/>
      <c r="AX440" s="33"/>
      <c r="AY440" s="24"/>
      <c r="AZ440" s="24"/>
      <c r="BA440" s="24"/>
      <c r="BB440" s="24"/>
      <c r="BC440" s="25"/>
      <c r="BD440" s="33"/>
      <c r="BE440" s="24"/>
      <c r="BF440" s="24"/>
      <c r="BG440" s="24"/>
      <c r="CF440" s="24"/>
      <c r="CL440" s="24"/>
      <c r="CR440" s="24"/>
    </row>
    <row r="441" spans="37:96" x14ac:dyDescent="0.2">
      <c r="AK441" s="33"/>
      <c r="AL441" s="33"/>
      <c r="AM441" s="24"/>
      <c r="AN441" s="24"/>
      <c r="AO441" s="24"/>
      <c r="AP441" s="24"/>
      <c r="AQ441" s="25"/>
      <c r="AR441" s="33"/>
      <c r="AS441" s="24"/>
      <c r="AT441" s="24"/>
      <c r="AU441" s="24"/>
      <c r="AV441" s="24"/>
      <c r="AW441" s="25"/>
      <c r="AX441" s="33"/>
      <c r="AY441" s="24"/>
      <c r="AZ441" s="24"/>
      <c r="BA441" s="24"/>
      <c r="BB441" s="24"/>
      <c r="BC441" s="25"/>
      <c r="BD441" s="33"/>
      <c r="BE441" s="24"/>
      <c r="BF441" s="24"/>
      <c r="BG441" s="24"/>
      <c r="CF441" s="24"/>
      <c r="CL441" s="24"/>
      <c r="CR441" s="24"/>
    </row>
    <row r="442" spans="37:96" x14ac:dyDescent="0.2">
      <c r="AK442" s="33"/>
      <c r="AL442" s="33"/>
      <c r="AM442" s="24"/>
      <c r="AN442" s="24"/>
      <c r="AO442" s="24"/>
      <c r="AP442" s="24"/>
      <c r="AQ442" s="49"/>
      <c r="AR442" s="33"/>
      <c r="AS442" s="24"/>
      <c r="AT442" s="24"/>
      <c r="AU442" s="24"/>
      <c r="AV442" s="24"/>
      <c r="AW442" s="25"/>
      <c r="AX442" s="33"/>
      <c r="AY442" s="24"/>
      <c r="AZ442" s="24"/>
      <c r="BA442" s="24"/>
      <c r="BB442" s="24"/>
      <c r="BC442" s="25"/>
      <c r="BD442" s="33"/>
      <c r="BE442" s="24"/>
      <c r="BF442" s="24"/>
      <c r="BG442" s="24"/>
      <c r="CF442" s="24"/>
      <c r="CL442" s="24"/>
      <c r="CR442" s="24"/>
    </row>
    <row r="443" spans="37:96" x14ac:dyDescent="0.2">
      <c r="AK443" s="24"/>
      <c r="AL443" s="24"/>
      <c r="AM443" s="24"/>
      <c r="AN443" s="24"/>
      <c r="AO443" s="24"/>
      <c r="AP443" s="24"/>
      <c r="AQ443" s="49"/>
      <c r="AR443" s="33"/>
      <c r="AS443" s="24"/>
      <c r="AT443" s="24"/>
      <c r="AU443" s="24"/>
      <c r="AV443" s="24"/>
      <c r="AW443" s="25"/>
      <c r="AX443" s="33"/>
      <c r="AY443" s="24"/>
      <c r="AZ443" s="24"/>
      <c r="BA443" s="24"/>
      <c r="BB443" s="24"/>
      <c r="BC443" s="25"/>
      <c r="BD443" s="33"/>
      <c r="BE443" s="24"/>
      <c r="BF443" s="24"/>
      <c r="BG443" s="24"/>
      <c r="CF443" s="24"/>
      <c r="CL443" s="24"/>
      <c r="CR443" s="24"/>
    </row>
    <row r="444" spans="37:96" x14ac:dyDescent="0.2">
      <c r="AK444" s="24"/>
      <c r="AL444" s="24"/>
      <c r="AM444" s="24"/>
      <c r="AN444" s="24"/>
      <c r="AO444" s="24"/>
      <c r="AP444" s="24"/>
      <c r="AQ444" s="49"/>
      <c r="AR444" s="33"/>
      <c r="AS444" s="24"/>
      <c r="AT444" s="24"/>
      <c r="AU444" s="24"/>
      <c r="AV444" s="24"/>
      <c r="AW444" s="25"/>
      <c r="AX444" s="33"/>
      <c r="AY444" s="24"/>
      <c r="AZ444" s="24"/>
      <c r="BA444" s="24"/>
      <c r="BB444" s="24"/>
      <c r="BC444" s="25"/>
      <c r="BD444" s="33"/>
      <c r="BE444" s="24"/>
      <c r="BF444" s="24"/>
      <c r="BG444" s="24"/>
      <c r="CF444" s="24"/>
      <c r="CL444" s="24"/>
      <c r="CR444" s="24"/>
    </row>
    <row r="445" spans="37:96" x14ac:dyDescent="0.2">
      <c r="AK445" s="24"/>
      <c r="AL445" s="24"/>
      <c r="AM445" s="24"/>
      <c r="AN445" s="24"/>
      <c r="AO445" s="24"/>
      <c r="AP445" s="24"/>
      <c r="AQ445" s="49"/>
      <c r="AR445" s="33"/>
      <c r="AS445" s="24"/>
      <c r="AT445" s="24"/>
      <c r="AU445" s="24"/>
      <c r="AV445" s="24"/>
      <c r="AW445" s="25"/>
      <c r="AX445" s="33"/>
      <c r="AY445" s="24"/>
      <c r="AZ445" s="24"/>
      <c r="BA445" s="24"/>
      <c r="BB445" s="24"/>
      <c r="BC445" s="25"/>
      <c r="BD445" s="33"/>
      <c r="BE445" s="24"/>
      <c r="BF445" s="24"/>
      <c r="BG445" s="24"/>
      <c r="CF445" s="24"/>
      <c r="CL445" s="24"/>
      <c r="CR445" s="24"/>
    </row>
    <row r="446" spans="37:96" x14ac:dyDescent="0.2">
      <c r="AK446" s="24"/>
      <c r="AL446" s="24"/>
      <c r="AM446" s="24"/>
      <c r="AN446" s="24"/>
      <c r="AO446" s="24"/>
      <c r="AP446" s="24"/>
      <c r="AQ446" s="49"/>
      <c r="AR446" s="33"/>
      <c r="AS446" s="24"/>
      <c r="AT446" s="24"/>
      <c r="AU446" s="24"/>
      <c r="AV446" s="24"/>
      <c r="AW446" s="25"/>
      <c r="AX446" s="33"/>
      <c r="AY446" s="24"/>
      <c r="AZ446" s="24"/>
      <c r="BA446" s="24"/>
      <c r="BB446" s="24"/>
      <c r="BC446" s="25"/>
      <c r="BD446" s="33"/>
      <c r="BE446" s="24"/>
      <c r="BF446" s="24"/>
      <c r="BG446" s="24"/>
      <c r="CF446" s="24"/>
      <c r="CL446" s="24"/>
      <c r="CR446" s="24"/>
    </row>
    <row r="447" spans="37:96" x14ac:dyDescent="0.2">
      <c r="AK447" s="24"/>
      <c r="AL447" s="24"/>
      <c r="AM447" s="24"/>
      <c r="AN447" s="24"/>
      <c r="AO447" s="24"/>
      <c r="AP447" s="24"/>
      <c r="AQ447" s="49"/>
      <c r="AR447" s="33"/>
      <c r="AS447" s="24"/>
      <c r="AT447" s="24"/>
      <c r="AU447" s="24"/>
      <c r="AV447" s="24"/>
      <c r="AW447" s="25"/>
      <c r="AX447" s="33"/>
      <c r="AY447" s="24"/>
      <c r="AZ447" s="24"/>
      <c r="BA447" s="24"/>
      <c r="BB447" s="24"/>
      <c r="BC447" s="25"/>
      <c r="BD447" s="33"/>
      <c r="BE447" s="24"/>
      <c r="BF447" s="24"/>
      <c r="BG447" s="24"/>
      <c r="CF447" s="24"/>
      <c r="CL447" s="24"/>
      <c r="CR447" s="24"/>
    </row>
    <row r="448" spans="37:96" x14ac:dyDescent="0.2">
      <c r="AK448" s="24"/>
      <c r="AL448" s="24"/>
      <c r="AM448" s="24"/>
      <c r="AN448" s="24"/>
      <c r="AO448" s="24"/>
      <c r="AP448" s="24"/>
      <c r="AQ448" s="49"/>
      <c r="AR448" s="33"/>
      <c r="AS448" s="24"/>
      <c r="AT448" s="24"/>
      <c r="AU448" s="24"/>
      <c r="AV448" s="24"/>
      <c r="AW448" s="25"/>
      <c r="AX448" s="33"/>
      <c r="AY448" s="24"/>
      <c r="AZ448" s="24"/>
      <c r="BA448" s="24"/>
      <c r="BB448" s="24"/>
      <c r="BC448" s="25"/>
      <c r="BD448" s="33"/>
      <c r="BE448" s="24"/>
      <c r="BF448" s="24"/>
      <c r="BG448" s="24"/>
      <c r="CF448" s="24"/>
      <c r="CL448" s="24"/>
      <c r="CR448" s="24"/>
    </row>
    <row r="449" spans="37:96" x14ac:dyDescent="0.2">
      <c r="AK449" s="24"/>
      <c r="AL449" s="24"/>
      <c r="AM449" s="24"/>
      <c r="AN449" s="24"/>
      <c r="AO449" s="24"/>
      <c r="AP449" s="24"/>
      <c r="AQ449" s="49"/>
      <c r="AR449" s="33"/>
      <c r="AS449" s="24"/>
      <c r="AT449" s="24"/>
      <c r="AU449" s="24"/>
      <c r="AV449" s="24"/>
      <c r="AW449" s="25"/>
      <c r="AX449" s="33"/>
      <c r="AY449" s="24"/>
      <c r="AZ449" s="24"/>
      <c r="BA449" s="24"/>
      <c r="BB449" s="24"/>
      <c r="BC449" s="25"/>
      <c r="BD449" s="33"/>
      <c r="BE449" s="24"/>
      <c r="BF449" s="24"/>
      <c r="BG449" s="24"/>
      <c r="CF449" s="24"/>
      <c r="CL449" s="24"/>
      <c r="CR449" s="24"/>
    </row>
    <row r="450" spans="37:96" x14ac:dyDescent="0.2">
      <c r="AK450" s="24"/>
      <c r="AL450" s="24"/>
      <c r="AM450" s="24"/>
      <c r="AN450" s="24"/>
      <c r="AO450" s="24"/>
      <c r="AP450" s="24"/>
      <c r="AQ450" s="49"/>
      <c r="AR450" s="33"/>
      <c r="AS450" s="24"/>
      <c r="AT450" s="24"/>
      <c r="AU450" s="24"/>
      <c r="AV450" s="24"/>
      <c r="AW450" s="25"/>
      <c r="AX450" s="33"/>
      <c r="AY450" s="24"/>
      <c r="AZ450" s="24"/>
      <c r="BA450" s="24"/>
      <c r="BB450" s="24"/>
      <c r="BC450" s="25"/>
      <c r="BD450" s="33"/>
      <c r="BE450" s="24"/>
      <c r="BF450" s="24"/>
      <c r="BG450" s="24"/>
      <c r="CF450" s="24"/>
      <c r="CL450" s="24"/>
      <c r="CR450" s="24"/>
    </row>
    <row r="451" spans="37:96" x14ac:dyDescent="0.2">
      <c r="AK451" s="24"/>
      <c r="AL451" s="24"/>
      <c r="AM451" s="24"/>
      <c r="AN451" s="24"/>
      <c r="AO451" s="24"/>
      <c r="AP451" s="24"/>
      <c r="AQ451" s="49"/>
      <c r="AR451" s="33"/>
      <c r="AS451" s="24"/>
      <c r="AT451" s="24"/>
      <c r="AU451" s="24"/>
      <c r="AV451" s="24"/>
      <c r="AW451" s="25"/>
      <c r="AX451" s="33"/>
      <c r="AY451" s="24"/>
      <c r="AZ451" s="24"/>
      <c r="BA451" s="24"/>
      <c r="BB451" s="24"/>
      <c r="BC451" s="25"/>
      <c r="BD451" s="33"/>
      <c r="BE451" s="24"/>
      <c r="BF451" s="24"/>
      <c r="BG451" s="24"/>
    </row>
    <row r="452" spans="37:96" x14ac:dyDescent="0.2">
      <c r="AK452" s="24"/>
      <c r="AL452" s="24"/>
      <c r="AM452" s="24"/>
      <c r="AN452" s="24"/>
      <c r="AO452" s="24"/>
      <c r="AP452" s="24"/>
      <c r="AQ452" s="49"/>
      <c r="AR452" s="33"/>
      <c r="AS452" s="24"/>
      <c r="AT452" s="24"/>
      <c r="AU452" s="24"/>
      <c r="AV452" s="24"/>
      <c r="AW452" s="25"/>
      <c r="AX452" s="33"/>
      <c r="AY452" s="24"/>
      <c r="AZ452" s="24"/>
      <c r="BA452" s="24"/>
      <c r="BB452" s="24"/>
      <c r="BC452" s="25"/>
      <c r="BD452" s="33"/>
      <c r="BE452" s="24"/>
      <c r="BF452" s="24"/>
      <c r="BG452" s="24"/>
    </row>
    <row r="453" spans="37:96" x14ac:dyDescent="0.2">
      <c r="AK453" s="24"/>
      <c r="AL453" s="24"/>
      <c r="AM453" s="24"/>
      <c r="AN453" s="24"/>
      <c r="AO453" s="24"/>
      <c r="AP453" s="24"/>
      <c r="AQ453" s="49"/>
      <c r="AR453" s="33"/>
      <c r="AS453" s="24"/>
      <c r="AT453" s="24"/>
      <c r="AU453" s="24"/>
      <c r="AV453" s="24"/>
      <c r="AW453" s="25"/>
      <c r="AX453" s="33"/>
      <c r="AY453" s="24"/>
      <c r="AZ453" s="24"/>
      <c r="BA453" s="24"/>
      <c r="BB453" s="24"/>
      <c r="BC453" s="25"/>
      <c r="BD453" s="33"/>
      <c r="BE453" s="24"/>
      <c r="BF453" s="24"/>
      <c r="BG453" s="24"/>
    </row>
    <row r="454" spans="37:96" x14ac:dyDescent="0.2">
      <c r="AK454" s="24"/>
      <c r="AL454" s="24"/>
      <c r="AM454" s="24"/>
      <c r="AN454" s="24"/>
      <c r="AO454" s="24"/>
      <c r="AP454" s="24"/>
      <c r="AQ454" s="49"/>
      <c r="AR454" s="33"/>
      <c r="AS454" s="24"/>
      <c r="AT454" s="24"/>
      <c r="AU454" s="24"/>
      <c r="AV454" s="24"/>
      <c r="AW454" s="25"/>
      <c r="AX454" s="33"/>
      <c r="AY454" s="24"/>
      <c r="AZ454" s="24"/>
      <c r="BA454" s="24"/>
      <c r="BB454" s="24"/>
      <c r="BC454" s="25"/>
      <c r="BD454" s="33"/>
      <c r="BE454" s="24"/>
      <c r="BF454" s="24"/>
      <c r="BG454" s="24"/>
    </row>
    <row r="455" spans="37:96" x14ac:dyDescent="0.2">
      <c r="AK455" s="24"/>
      <c r="AL455" s="24"/>
      <c r="AM455" s="24"/>
      <c r="AN455" s="24"/>
      <c r="AO455" s="24"/>
      <c r="AP455" s="24"/>
      <c r="AQ455" s="49"/>
      <c r="AR455" s="33"/>
      <c r="AS455" s="24"/>
      <c r="AT455" s="24"/>
      <c r="AU455" s="24"/>
      <c r="AV455" s="24"/>
      <c r="AW455" s="25"/>
      <c r="AX455" s="33"/>
      <c r="AY455" s="24"/>
      <c r="AZ455" s="24"/>
      <c r="BA455" s="24"/>
      <c r="BB455" s="24"/>
      <c r="BC455" s="25"/>
      <c r="BD455" s="33"/>
      <c r="BE455" s="24"/>
      <c r="BF455" s="24"/>
      <c r="BG455" s="24"/>
    </row>
    <row r="456" spans="37:96" x14ac:dyDescent="0.2">
      <c r="AK456" s="24"/>
      <c r="AL456" s="24"/>
      <c r="AM456" s="24"/>
      <c r="AN456" s="24"/>
      <c r="AO456" s="24"/>
      <c r="AP456" s="24"/>
      <c r="AQ456" s="49"/>
      <c r="AR456" s="33"/>
      <c r="AS456" s="24"/>
      <c r="AT456" s="24"/>
      <c r="AU456" s="24"/>
      <c r="AV456" s="24"/>
      <c r="AW456" s="25"/>
      <c r="AX456" s="33"/>
      <c r="AY456" s="24"/>
      <c r="AZ456" s="24"/>
      <c r="BA456" s="24"/>
      <c r="BB456" s="24"/>
      <c r="BC456" s="25"/>
      <c r="BD456" s="33"/>
      <c r="BE456" s="24"/>
      <c r="BF456" s="24"/>
      <c r="BG456" s="24"/>
    </row>
    <row r="457" spans="37:96" x14ac:dyDescent="0.2">
      <c r="AK457" s="24"/>
      <c r="AL457" s="24"/>
      <c r="AM457" s="24"/>
      <c r="AN457" s="24"/>
      <c r="AO457" s="24"/>
      <c r="AP457" s="24"/>
      <c r="AQ457" s="49"/>
      <c r="AR457" s="33"/>
      <c r="AS457" s="24"/>
      <c r="AT457" s="24"/>
      <c r="AU457" s="24"/>
      <c r="AV457" s="24"/>
      <c r="AW457" s="25"/>
      <c r="AX457" s="33"/>
      <c r="AY457" s="24"/>
      <c r="AZ457" s="24"/>
      <c r="BA457" s="24"/>
      <c r="BB457" s="24"/>
      <c r="BC457" s="25"/>
      <c r="BD457" s="33"/>
      <c r="BE457" s="24"/>
      <c r="BF457" s="24"/>
      <c r="BG457" s="24"/>
    </row>
    <row r="458" spans="37:96" x14ac:dyDescent="0.2">
      <c r="AK458" s="24"/>
      <c r="AL458" s="24"/>
      <c r="AM458" s="24"/>
      <c r="AN458" s="24"/>
      <c r="AO458" s="24"/>
      <c r="AP458" s="24"/>
      <c r="AQ458" s="49"/>
      <c r="AR458" s="33"/>
      <c r="AS458" s="24"/>
      <c r="AT458" s="24"/>
      <c r="AU458" s="24"/>
      <c r="AV458" s="24"/>
      <c r="AW458" s="25"/>
      <c r="AX458" s="33"/>
      <c r="AY458" s="24"/>
      <c r="AZ458" s="24"/>
      <c r="BA458" s="24"/>
      <c r="BB458" s="24"/>
      <c r="BC458" s="25"/>
      <c r="BD458" s="33"/>
      <c r="BE458" s="24"/>
      <c r="BF458" s="24"/>
      <c r="BG458" s="24"/>
    </row>
    <row r="459" spans="37:96" x14ac:dyDescent="0.2">
      <c r="AK459" s="24"/>
      <c r="AL459" s="24"/>
      <c r="AM459" s="24"/>
      <c r="AN459" s="24"/>
      <c r="AO459" s="24"/>
      <c r="AP459" s="24"/>
      <c r="AQ459" s="49"/>
      <c r="AR459" s="33"/>
      <c r="AS459" s="24"/>
      <c r="AT459" s="24"/>
      <c r="AU459" s="24"/>
      <c r="AV459" s="24"/>
      <c r="AW459" s="25"/>
      <c r="AX459" s="33"/>
      <c r="AY459" s="24"/>
      <c r="AZ459" s="24"/>
      <c r="BA459" s="24"/>
      <c r="BB459" s="24"/>
      <c r="BC459" s="25"/>
      <c r="BD459" s="33"/>
      <c r="BE459" s="24"/>
      <c r="BF459" s="24"/>
      <c r="BG459" s="24"/>
    </row>
    <row r="460" spans="37:96" x14ac:dyDescent="0.2">
      <c r="AK460" s="24"/>
      <c r="AL460" s="24"/>
      <c r="AM460" s="24"/>
      <c r="AN460" s="24"/>
      <c r="AO460" s="24"/>
      <c r="AP460" s="24"/>
      <c r="AQ460" s="49"/>
      <c r="AR460" s="33"/>
      <c r="AS460" s="24"/>
      <c r="AT460" s="24"/>
      <c r="AU460" s="24"/>
      <c r="AV460" s="24"/>
      <c r="AW460" s="25"/>
      <c r="AX460" s="33"/>
      <c r="AY460" s="24"/>
      <c r="AZ460" s="24"/>
      <c r="BA460" s="24"/>
      <c r="BB460" s="24"/>
      <c r="BC460" s="25"/>
      <c r="BD460" s="33"/>
      <c r="BE460" s="24"/>
      <c r="BF460" s="24"/>
      <c r="BG460" s="24"/>
    </row>
    <row r="461" spans="37:96" x14ac:dyDescent="0.2">
      <c r="AK461" s="24"/>
      <c r="AL461" s="24"/>
      <c r="AM461" s="24"/>
      <c r="AN461" s="24"/>
      <c r="AO461" s="24"/>
      <c r="AP461" s="24"/>
      <c r="AQ461" s="49"/>
      <c r="AR461" s="33"/>
      <c r="AS461" s="24"/>
      <c r="AT461" s="24"/>
      <c r="AU461" s="24"/>
      <c r="AV461" s="24"/>
      <c r="AW461" s="25"/>
      <c r="AX461" s="33"/>
      <c r="AY461" s="24"/>
      <c r="AZ461" s="24"/>
      <c r="BA461" s="24"/>
      <c r="BB461" s="24"/>
      <c r="BC461" s="25"/>
      <c r="BD461" s="33"/>
      <c r="BE461" s="24"/>
      <c r="BF461" s="24"/>
      <c r="BG461" s="24"/>
    </row>
    <row r="462" spans="37:96" x14ac:dyDescent="0.2">
      <c r="AK462" s="24"/>
      <c r="AL462" s="24"/>
      <c r="AM462" s="24"/>
      <c r="AN462" s="24"/>
      <c r="AO462" s="24"/>
      <c r="AP462" s="24"/>
      <c r="AQ462" s="49"/>
      <c r="AR462" s="33"/>
      <c r="AS462" s="24"/>
      <c r="AT462" s="24"/>
      <c r="AU462" s="24"/>
      <c r="AV462" s="24"/>
      <c r="AW462" s="25"/>
      <c r="AX462" s="33"/>
      <c r="AY462" s="24"/>
      <c r="AZ462" s="24"/>
      <c r="BA462" s="24"/>
      <c r="BB462" s="24"/>
      <c r="BC462" s="25"/>
      <c r="BD462" s="33"/>
      <c r="BE462" s="24"/>
      <c r="BF462" s="24"/>
      <c r="BG462" s="24"/>
    </row>
    <row r="463" spans="37:96" x14ac:dyDescent="0.2">
      <c r="AK463" s="24"/>
      <c r="AL463" s="24"/>
      <c r="AM463" s="24"/>
      <c r="AN463" s="24"/>
      <c r="AO463" s="24"/>
      <c r="AP463" s="24"/>
      <c r="AQ463" s="49"/>
      <c r="AR463" s="33"/>
      <c r="AS463" s="24"/>
      <c r="AT463" s="24"/>
      <c r="AU463" s="24"/>
      <c r="AV463" s="24"/>
      <c r="AW463" s="25"/>
      <c r="AX463" s="33"/>
      <c r="AY463" s="24"/>
      <c r="AZ463" s="24"/>
      <c r="BA463" s="24"/>
      <c r="BB463" s="24"/>
      <c r="BC463" s="25"/>
      <c r="BD463" s="33"/>
      <c r="BE463" s="24"/>
      <c r="BF463" s="24"/>
      <c r="BG463" s="24"/>
    </row>
    <row r="464" spans="37:96" x14ac:dyDescent="0.2">
      <c r="AK464" s="24"/>
      <c r="AL464" s="24"/>
      <c r="AM464" s="24"/>
      <c r="AN464" s="24"/>
      <c r="AO464" s="24"/>
      <c r="AP464" s="24"/>
      <c r="AQ464" s="49"/>
      <c r="AR464" s="33"/>
      <c r="AS464" s="24"/>
      <c r="AT464" s="24"/>
      <c r="AU464" s="24"/>
      <c r="AV464" s="24"/>
      <c r="AW464" s="25"/>
      <c r="AX464" s="33"/>
      <c r="AY464" s="24"/>
      <c r="AZ464" s="24"/>
      <c r="BA464" s="24"/>
      <c r="BB464" s="24"/>
      <c r="BC464" s="25"/>
      <c r="BD464" s="33"/>
      <c r="BE464" s="24"/>
      <c r="BF464" s="24"/>
      <c r="BG464" s="24"/>
    </row>
    <row r="465" spans="37:59" x14ac:dyDescent="0.2">
      <c r="AK465" s="24"/>
      <c r="AL465" s="24"/>
      <c r="AM465" s="24"/>
      <c r="AN465" s="24"/>
      <c r="AO465" s="24"/>
      <c r="AP465" s="24"/>
      <c r="AQ465" s="49"/>
      <c r="AR465" s="33"/>
      <c r="AS465" s="24"/>
      <c r="AT465" s="24"/>
      <c r="AU465" s="24"/>
      <c r="AV465" s="24"/>
      <c r="AW465" s="25"/>
      <c r="AX465" s="33"/>
      <c r="AY465" s="24"/>
      <c r="AZ465" s="24"/>
      <c r="BA465" s="24"/>
      <c r="BB465" s="24"/>
      <c r="BC465" s="25"/>
      <c r="BD465" s="33"/>
      <c r="BE465" s="24"/>
      <c r="BF465" s="24"/>
      <c r="BG465" s="24"/>
    </row>
    <row r="466" spans="37:59" x14ac:dyDescent="0.2">
      <c r="AK466" s="24"/>
      <c r="AL466" s="24"/>
      <c r="AM466" s="24"/>
      <c r="AN466" s="24"/>
      <c r="AO466" s="24"/>
      <c r="AP466" s="24"/>
      <c r="AQ466" s="49"/>
      <c r="AR466" s="33"/>
      <c r="AS466" s="24"/>
      <c r="AT466" s="24"/>
      <c r="AU466" s="24"/>
      <c r="AV466" s="24"/>
      <c r="AW466" s="25"/>
      <c r="AX466" s="33"/>
      <c r="AY466" s="24"/>
      <c r="AZ466" s="24"/>
      <c r="BA466" s="24"/>
      <c r="BB466" s="24"/>
      <c r="BC466" s="25"/>
      <c r="BD466" s="33"/>
      <c r="BE466" s="24"/>
      <c r="BF466" s="24"/>
      <c r="BG466" s="24"/>
    </row>
    <row r="467" spans="37:59" x14ac:dyDescent="0.2">
      <c r="AK467" s="24"/>
      <c r="AL467" s="24"/>
      <c r="AM467" s="24"/>
      <c r="AN467" s="24"/>
      <c r="AO467" s="24"/>
      <c r="AP467" s="24"/>
      <c r="AQ467" s="49"/>
      <c r="AR467" s="33"/>
      <c r="AS467" s="24"/>
      <c r="AT467" s="24"/>
      <c r="AU467" s="24"/>
      <c r="AV467" s="24"/>
      <c r="AW467" s="25"/>
      <c r="AX467" s="33"/>
      <c r="AY467" s="24"/>
      <c r="AZ467" s="24"/>
      <c r="BA467" s="24"/>
      <c r="BB467" s="24"/>
      <c r="BC467" s="25"/>
      <c r="BD467" s="33"/>
      <c r="BE467" s="24"/>
      <c r="BF467" s="24"/>
      <c r="BG467" s="24"/>
    </row>
    <row r="468" spans="37:59" x14ac:dyDescent="0.2">
      <c r="AK468" s="24"/>
      <c r="AL468" s="24"/>
      <c r="AM468" s="24"/>
      <c r="AN468" s="24"/>
      <c r="AO468" s="24"/>
      <c r="AP468" s="24"/>
      <c r="AQ468" s="49"/>
      <c r="AR468" s="33"/>
      <c r="AS468" s="24"/>
      <c r="AT468" s="24"/>
      <c r="AU468" s="24"/>
      <c r="AV468" s="24"/>
      <c r="AW468" s="25"/>
      <c r="AX468" s="33"/>
      <c r="AY468" s="24"/>
      <c r="AZ468" s="24"/>
      <c r="BA468" s="24"/>
      <c r="BB468" s="24"/>
      <c r="BC468" s="25"/>
      <c r="BD468" s="33"/>
      <c r="BE468" s="24"/>
      <c r="BF468" s="24"/>
      <c r="BG468" s="24"/>
    </row>
    <row r="469" spans="37:59" x14ac:dyDescent="0.2">
      <c r="AK469" s="24"/>
      <c r="AL469" s="24"/>
      <c r="AM469" s="24"/>
      <c r="AN469" s="24"/>
      <c r="AO469" s="24"/>
      <c r="AP469" s="24"/>
      <c r="AQ469" s="49"/>
      <c r="AR469" s="33"/>
      <c r="AS469" s="24"/>
      <c r="AT469" s="24"/>
      <c r="AU469" s="24"/>
      <c r="AV469" s="24"/>
      <c r="AW469" s="24"/>
      <c r="AX469" s="24"/>
      <c r="AY469" s="24"/>
      <c r="AZ469" s="24"/>
      <c r="BA469" s="24"/>
      <c r="BB469" s="24"/>
      <c r="BC469" s="24"/>
      <c r="BD469" s="24"/>
      <c r="BE469" s="24"/>
      <c r="BF469" s="24"/>
      <c r="BG469" s="24"/>
    </row>
    <row r="470" spans="37:59" x14ac:dyDescent="0.2">
      <c r="AK470" s="24"/>
      <c r="AL470" s="24"/>
      <c r="AM470" s="24"/>
      <c r="AN470" s="24"/>
      <c r="AO470" s="24"/>
      <c r="AP470" s="24"/>
      <c r="AQ470" s="49"/>
      <c r="AR470" s="33"/>
      <c r="AS470" s="24"/>
      <c r="AT470" s="24"/>
      <c r="AU470" s="24"/>
      <c r="AV470" s="24"/>
      <c r="AW470" s="24"/>
      <c r="AX470" s="24"/>
      <c r="AY470" s="24"/>
      <c r="AZ470" s="24"/>
      <c r="BA470" s="24"/>
      <c r="BB470" s="24"/>
      <c r="BC470" s="24"/>
      <c r="BD470" s="24"/>
      <c r="BE470" s="24"/>
      <c r="BF470" s="24"/>
      <c r="BG470" s="24"/>
    </row>
    <row r="471" spans="37:59" x14ac:dyDescent="0.2">
      <c r="AK471" s="24"/>
      <c r="AL471" s="24"/>
      <c r="AM471" s="24"/>
      <c r="AN471" s="24"/>
      <c r="AO471" s="24"/>
      <c r="AP471" s="24"/>
      <c r="AQ471" s="49"/>
      <c r="AR471" s="33"/>
      <c r="AS471" s="24"/>
      <c r="AT471" s="24"/>
      <c r="AU471" s="24"/>
      <c r="AV471" s="24"/>
      <c r="AW471" s="33"/>
      <c r="AX471" s="24"/>
      <c r="AY471" s="24"/>
      <c r="AZ471" s="24"/>
      <c r="BA471" s="24"/>
      <c r="BB471" s="24"/>
      <c r="BC471" s="33"/>
      <c r="BD471" s="24"/>
      <c r="BE471" s="24"/>
      <c r="BF471" s="24"/>
      <c r="BG471" s="24"/>
    </row>
    <row r="472" spans="37:59" x14ac:dyDescent="0.2">
      <c r="AK472" s="33"/>
      <c r="AL472" s="33"/>
      <c r="AM472" s="24"/>
      <c r="AN472" s="24"/>
      <c r="AO472" s="24"/>
      <c r="AP472" s="24"/>
      <c r="AQ472" s="49"/>
      <c r="AR472" s="33"/>
      <c r="AS472" s="24"/>
      <c r="AT472" s="24"/>
      <c r="AU472" s="24"/>
      <c r="AV472" s="24"/>
      <c r="AW472" s="33"/>
      <c r="AX472" s="33"/>
      <c r="AY472" s="33"/>
      <c r="AZ472" s="33"/>
      <c r="BA472" s="24"/>
      <c r="BB472" s="24"/>
      <c r="BC472" s="33"/>
      <c r="BD472" s="33"/>
      <c r="BE472" s="33"/>
      <c r="BF472" s="33"/>
      <c r="BG472" s="24"/>
    </row>
    <row r="473" spans="37:59" x14ac:dyDescent="0.2">
      <c r="AK473" s="33"/>
      <c r="AL473" s="33"/>
      <c r="AM473" s="24"/>
      <c r="AN473" s="24"/>
      <c r="AO473" s="24"/>
      <c r="AP473" s="24"/>
      <c r="AQ473" s="49"/>
      <c r="AR473" s="33"/>
      <c r="AS473" s="24"/>
      <c r="AT473" s="24"/>
      <c r="AU473" s="24"/>
      <c r="AV473" s="24"/>
      <c r="AW473" s="49"/>
      <c r="AX473" s="33"/>
      <c r="AY473" s="33"/>
      <c r="AZ473" s="33"/>
      <c r="BA473" s="24"/>
      <c r="BB473" s="24"/>
      <c r="BC473" s="49"/>
      <c r="BD473" s="33"/>
      <c r="BE473" s="33"/>
      <c r="BF473" s="33"/>
      <c r="BG473" s="24"/>
    </row>
    <row r="474" spans="37:59" x14ac:dyDescent="0.2">
      <c r="AK474" s="33"/>
      <c r="AL474" s="33"/>
      <c r="AM474" s="24"/>
      <c r="AN474" s="24"/>
      <c r="AO474" s="24"/>
      <c r="AP474" s="24"/>
      <c r="AQ474" s="25"/>
      <c r="AR474" s="33"/>
      <c r="AS474" s="24"/>
      <c r="AT474" s="24"/>
      <c r="AU474" s="24"/>
      <c r="AV474" s="24"/>
      <c r="AW474" s="49"/>
      <c r="AX474" s="33"/>
      <c r="AY474" s="33"/>
      <c r="AZ474" s="33"/>
      <c r="BA474" s="24"/>
      <c r="BB474" s="24"/>
      <c r="BC474" s="49"/>
      <c r="BD474" s="33"/>
      <c r="BE474" s="33"/>
      <c r="BF474" s="33"/>
      <c r="BG474" s="24"/>
    </row>
    <row r="475" spans="37:59" x14ac:dyDescent="0.2">
      <c r="AK475" s="33"/>
      <c r="AL475" s="33"/>
      <c r="AM475" s="24"/>
      <c r="AN475" s="24"/>
      <c r="AO475" s="24"/>
      <c r="AP475" s="24"/>
      <c r="AQ475" s="25"/>
      <c r="AR475" s="33"/>
      <c r="AS475" s="24"/>
      <c r="AT475" s="24"/>
      <c r="AU475" s="24"/>
      <c r="AV475" s="24"/>
      <c r="AW475" s="49"/>
      <c r="AX475" s="33"/>
      <c r="AY475" s="33"/>
      <c r="AZ475" s="33"/>
      <c r="BA475" s="24"/>
      <c r="BB475" s="24"/>
      <c r="BC475" s="49"/>
      <c r="BD475" s="33"/>
      <c r="BE475" s="33"/>
      <c r="BF475" s="33"/>
      <c r="BG475" s="24"/>
    </row>
    <row r="476" spans="37:59" x14ac:dyDescent="0.2">
      <c r="AK476" s="33"/>
      <c r="AL476" s="33"/>
      <c r="AM476" s="24"/>
      <c r="AN476" s="24"/>
      <c r="AO476" s="24"/>
      <c r="AP476" s="24"/>
      <c r="AQ476" s="25"/>
      <c r="AR476" s="33"/>
      <c r="AS476" s="24"/>
      <c r="AT476" s="24"/>
      <c r="AU476" s="24"/>
      <c r="AV476" s="24"/>
      <c r="AW476" s="49"/>
      <c r="AX476" s="33"/>
      <c r="AY476" s="33"/>
      <c r="AZ476" s="33"/>
      <c r="BA476" s="24"/>
      <c r="BB476" s="24"/>
      <c r="BC476" s="49"/>
      <c r="BD476" s="33"/>
      <c r="BE476" s="33"/>
      <c r="BF476" s="33"/>
      <c r="BG476" s="24"/>
    </row>
    <row r="477" spans="37:59" x14ac:dyDescent="0.2">
      <c r="AK477" s="33"/>
      <c r="AL477" s="33"/>
      <c r="AM477" s="24"/>
      <c r="AN477" s="24"/>
      <c r="AO477" s="24"/>
      <c r="AP477" s="24"/>
      <c r="AQ477" s="25"/>
      <c r="AR477" s="33"/>
      <c r="AS477" s="24"/>
      <c r="AT477" s="24"/>
      <c r="AU477" s="24"/>
      <c r="AV477" s="24"/>
      <c r="AW477" s="49"/>
      <c r="AX477" s="33"/>
      <c r="AY477" s="33"/>
      <c r="AZ477" s="33"/>
      <c r="BA477" s="24"/>
      <c r="BB477" s="24"/>
      <c r="BC477" s="49"/>
      <c r="BD477" s="33"/>
      <c r="BE477" s="33"/>
      <c r="BF477" s="33"/>
      <c r="BG477" s="24"/>
    </row>
    <row r="478" spans="37:59" x14ac:dyDescent="0.2">
      <c r="AK478" s="33"/>
      <c r="AL478" s="33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49"/>
      <c r="AX478" s="33"/>
      <c r="AY478" s="33"/>
      <c r="AZ478" s="33"/>
      <c r="BA478" s="24"/>
      <c r="BB478" s="24"/>
      <c r="BC478" s="49"/>
      <c r="BD478" s="33"/>
      <c r="BE478" s="33"/>
      <c r="BF478" s="33"/>
      <c r="BG478" s="24"/>
    </row>
    <row r="479" spans="37:59" x14ac:dyDescent="0.2">
      <c r="AK479" s="33"/>
      <c r="AL479" s="33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49"/>
      <c r="AX479" s="33"/>
      <c r="AY479" s="33"/>
      <c r="AZ479" s="33"/>
      <c r="BA479" s="24"/>
      <c r="BB479" s="24"/>
      <c r="BC479" s="49"/>
      <c r="BD479" s="33"/>
      <c r="BE479" s="33"/>
      <c r="BF479" s="33"/>
      <c r="BG479" s="24"/>
    </row>
    <row r="480" spans="37:59" x14ac:dyDescent="0.2">
      <c r="AK480" s="33"/>
      <c r="AL480" s="33"/>
      <c r="AM480" s="24"/>
      <c r="AN480" s="24"/>
      <c r="AO480" s="24"/>
      <c r="AP480" s="24"/>
      <c r="AQ480" s="33"/>
      <c r="AR480" s="24"/>
      <c r="AS480" s="24"/>
      <c r="AT480" s="24"/>
      <c r="AU480" s="24"/>
      <c r="AV480" s="24"/>
      <c r="AW480" s="49"/>
      <c r="AX480" s="33"/>
      <c r="AY480" s="33"/>
      <c r="AZ480" s="33"/>
      <c r="BA480" s="24"/>
      <c r="BB480" s="24"/>
      <c r="BC480" s="49"/>
      <c r="BD480" s="33"/>
      <c r="BE480" s="33"/>
      <c r="BF480" s="33"/>
      <c r="BG480" s="24"/>
    </row>
    <row r="481" spans="37:59" x14ac:dyDescent="0.2">
      <c r="AK481" s="24"/>
      <c r="AL481" s="33"/>
      <c r="AM481" s="24"/>
      <c r="AN481" s="24"/>
      <c r="AO481" s="24"/>
      <c r="AP481" s="24"/>
      <c r="AQ481" s="33"/>
      <c r="AR481" s="33"/>
      <c r="AS481" s="33"/>
      <c r="AT481" s="33"/>
      <c r="AU481" s="24"/>
      <c r="AV481" s="24"/>
      <c r="AW481" s="49"/>
      <c r="AX481" s="33"/>
      <c r="AY481" s="33"/>
      <c r="AZ481" s="33"/>
      <c r="BA481" s="24"/>
      <c r="BB481" s="24"/>
      <c r="BC481" s="49"/>
      <c r="BD481" s="33"/>
      <c r="BE481" s="33"/>
      <c r="BF481" s="33"/>
      <c r="BG481" s="24"/>
    </row>
    <row r="482" spans="37:59" x14ac:dyDescent="0.2">
      <c r="AK482" s="33"/>
      <c r="AL482" s="33"/>
      <c r="AM482" s="24"/>
      <c r="AN482" s="24"/>
      <c r="AO482" s="24"/>
      <c r="AP482" s="24"/>
      <c r="AQ482" s="49"/>
      <c r="AR482" s="33"/>
      <c r="AS482" s="33"/>
      <c r="AT482" s="33"/>
      <c r="AU482" s="24"/>
      <c r="AV482" s="24"/>
      <c r="AW482" s="49"/>
      <c r="AX482" s="33"/>
      <c r="AY482" s="33"/>
      <c r="AZ482" s="33"/>
      <c r="BA482" s="24"/>
      <c r="BB482" s="24"/>
      <c r="BC482" s="49"/>
      <c r="BD482" s="33"/>
      <c r="BE482" s="33"/>
      <c r="BF482" s="33"/>
      <c r="BG482" s="24"/>
    </row>
    <row r="483" spans="37:59" x14ac:dyDescent="0.2">
      <c r="AK483" s="33"/>
      <c r="AL483" s="33"/>
      <c r="AM483" s="24"/>
      <c r="AN483" s="24"/>
      <c r="AO483" s="24"/>
      <c r="AP483" s="24"/>
      <c r="AQ483" s="49"/>
      <c r="AR483" s="33"/>
      <c r="AS483" s="33"/>
      <c r="AT483" s="33"/>
      <c r="AU483" s="24"/>
      <c r="AV483" s="24"/>
      <c r="AW483" s="49"/>
      <c r="AX483" s="33"/>
      <c r="AY483" s="33"/>
      <c r="AZ483" s="33"/>
      <c r="BA483" s="24"/>
      <c r="BB483" s="24"/>
      <c r="BC483" s="49"/>
      <c r="BD483" s="33"/>
      <c r="BE483" s="33"/>
      <c r="BF483" s="33"/>
      <c r="BG483" s="24"/>
    </row>
    <row r="484" spans="37:59" x14ac:dyDescent="0.2">
      <c r="AK484" s="33"/>
      <c r="AL484" s="33"/>
      <c r="AM484" s="24"/>
      <c r="AN484" s="24"/>
      <c r="AO484" s="24"/>
      <c r="AP484" s="24"/>
      <c r="AQ484" s="49"/>
      <c r="AR484" s="33"/>
      <c r="AS484" s="33"/>
      <c r="AT484" s="33"/>
      <c r="AU484" s="24"/>
      <c r="AV484" s="24"/>
      <c r="AW484" s="49"/>
      <c r="AX484" s="33"/>
      <c r="AY484" s="33"/>
      <c r="AZ484" s="33"/>
      <c r="BA484" s="24"/>
      <c r="BB484" s="24"/>
      <c r="BC484" s="49"/>
      <c r="BD484" s="33"/>
      <c r="BE484" s="33"/>
      <c r="BF484" s="33"/>
      <c r="BG484" s="24"/>
    </row>
    <row r="485" spans="37:59" x14ac:dyDescent="0.2">
      <c r="AK485" s="33"/>
      <c r="AL485" s="33"/>
      <c r="AM485" s="24"/>
      <c r="AN485" s="24"/>
      <c r="AO485" s="24"/>
      <c r="AP485" s="24"/>
      <c r="AQ485" s="49"/>
      <c r="AR485" s="33"/>
      <c r="AS485" s="33"/>
      <c r="AT485" s="33"/>
      <c r="AU485" s="24"/>
      <c r="AV485" s="24"/>
      <c r="AW485" s="25"/>
      <c r="AX485" s="33"/>
      <c r="AY485" s="24"/>
      <c r="AZ485" s="24"/>
      <c r="BA485" s="24"/>
      <c r="BB485" s="24"/>
      <c r="BC485" s="25"/>
      <c r="BD485" s="33"/>
      <c r="BE485" s="24"/>
      <c r="BF485" s="24"/>
      <c r="BG485" s="24"/>
    </row>
    <row r="486" spans="37:59" x14ac:dyDescent="0.2">
      <c r="AK486" s="33"/>
      <c r="AL486" s="33"/>
      <c r="AM486" s="24"/>
      <c r="AN486" s="24"/>
      <c r="AO486" s="24"/>
      <c r="AP486" s="24"/>
      <c r="AQ486" s="49"/>
      <c r="AR486" s="33"/>
      <c r="AS486" s="33"/>
      <c r="AT486" s="33"/>
      <c r="AU486" s="24"/>
      <c r="AV486" s="24"/>
      <c r="AW486" s="49"/>
      <c r="AX486" s="33"/>
      <c r="AY486" s="24"/>
      <c r="AZ486" s="24"/>
      <c r="BA486" s="24"/>
      <c r="BB486" s="24"/>
      <c r="BC486" s="49"/>
      <c r="BD486" s="33"/>
      <c r="BE486" s="24"/>
      <c r="BF486" s="24"/>
      <c r="BG486" s="24"/>
    </row>
    <row r="487" spans="37:59" x14ac:dyDescent="0.2">
      <c r="AK487" s="33"/>
      <c r="AL487" s="33"/>
      <c r="AM487" s="24"/>
      <c r="AN487" s="24"/>
      <c r="AO487" s="24"/>
      <c r="AP487" s="24"/>
      <c r="AQ487" s="49"/>
      <c r="AR487" s="33"/>
      <c r="AS487" s="33"/>
      <c r="AT487" s="33"/>
      <c r="AU487" s="24"/>
      <c r="AV487" s="24"/>
      <c r="AW487" s="49"/>
      <c r="AX487" s="33"/>
      <c r="AY487" s="24"/>
      <c r="AZ487" s="24"/>
      <c r="BA487" s="24"/>
      <c r="BB487" s="24"/>
      <c r="BC487" s="49"/>
      <c r="BD487" s="33"/>
      <c r="BE487" s="24"/>
      <c r="BF487" s="24"/>
      <c r="BG487" s="24"/>
    </row>
    <row r="488" spans="37:59" x14ac:dyDescent="0.2">
      <c r="AK488" s="33"/>
      <c r="AL488" s="33"/>
      <c r="AM488" s="24"/>
      <c r="AN488" s="24"/>
      <c r="AO488" s="24"/>
      <c r="AP488" s="24"/>
      <c r="AQ488" s="49"/>
      <c r="AR488" s="33"/>
      <c r="AS488" s="33"/>
      <c r="AT488" s="33"/>
      <c r="AU488" s="24"/>
      <c r="AV488" s="24"/>
      <c r="AW488" s="49"/>
      <c r="AX488" s="33"/>
      <c r="AY488" s="24"/>
      <c r="AZ488" s="24"/>
      <c r="BA488" s="24"/>
      <c r="BB488" s="24"/>
      <c r="BC488" s="49"/>
      <c r="BD488" s="33"/>
      <c r="BE488" s="24"/>
      <c r="BF488" s="24"/>
      <c r="BG488" s="24"/>
    </row>
    <row r="489" spans="37:59" x14ac:dyDescent="0.2">
      <c r="AK489" s="33"/>
      <c r="AL489" s="33"/>
      <c r="AM489" s="24"/>
      <c r="AN489" s="24"/>
      <c r="AO489" s="24"/>
      <c r="AP489" s="24"/>
      <c r="AQ489" s="49"/>
      <c r="AR489" s="33"/>
      <c r="AS489" s="33"/>
      <c r="AT489" s="33"/>
      <c r="AU489" s="24"/>
      <c r="AV489" s="24"/>
      <c r="AW489" s="49"/>
      <c r="AX489" s="33"/>
      <c r="AY489" s="24"/>
      <c r="AZ489" s="24"/>
      <c r="BA489" s="24"/>
      <c r="BB489" s="24"/>
      <c r="BC489" s="49"/>
      <c r="BD489" s="33"/>
      <c r="BE489" s="24"/>
      <c r="BF489" s="24"/>
      <c r="BG489" s="24"/>
    </row>
    <row r="490" spans="37:59" x14ac:dyDescent="0.2">
      <c r="AK490" s="33"/>
      <c r="AL490" s="33"/>
      <c r="AM490" s="24"/>
      <c r="AN490" s="24"/>
      <c r="AO490" s="24"/>
      <c r="AP490" s="24"/>
      <c r="AQ490" s="49"/>
      <c r="AR490" s="33"/>
      <c r="AS490" s="33"/>
      <c r="AT490" s="33"/>
      <c r="AU490" s="24"/>
      <c r="AV490" s="24"/>
      <c r="AW490" s="49"/>
      <c r="AX490" s="33"/>
      <c r="AY490" s="24"/>
      <c r="AZ490" s="24"/>
      <c r="BA490" s="24"/>
      <c r="BB490" s="24"/>
      <c r="BC490" s="49"/>
      <c r="BD490" s="33"/>
      <c r="BE490" s="24"/>
      <c r="BF490" s="24"/>
      <c r="BG490" s="24"/>
    </row>
    <row r="491" spans="37:59" x14ac:dyDescent="0.2">
      <c r="AK491" s="33"/>
      <c r="AL491" s="33"/>
      <c r="AM491" s="24"/>
      <c r="AN491" s="24"/>
      <c r="AO491" s="24"/>
      <c r="AP491" s="24"/>
      <c r="AQ491" s="49"/>
      <c r="AR491" s="33"/>
      <c r="AS491" s="33"/>
      <c r="AT491" s="33"/>
      <c r="AU491" s="24"/>
      <c r="AV491" s="24"/>
      <c r="AW491" s="49"/>
      <c r="AX491" s="33"/>
      <c r="AY491" s="24"/>
      <c r="AZ491" s="24"/>
      <c r="BA491" s="24"/>
      <c r="BB491" s="24"/>
      <c r="BC491" s="49"/>
      <c r="BD491" s="33"/>
      <c r="BE491" s="24"/>
      <c r="BF491" s="24"/>
      <c r="BG491" s="24"/>
    </row>
    <row r="492" spans="37:59" x14ac:dyDescent="0.2">
      <c r="AK492" s="24"/>
      <c r="AL492" s="24"/>
      <c r="AM492" s="24"/>
      <c r="AN492" s="24"/>
      <c r="AO492" s="24"/>
      <c r="AP492" s="24"/>
      <c r="AQ492" s="49"/>
      <c r="AR492" s="33"/>
      <c r="AS492" s="33"/>
      <c r="AT492" s="33"/>
      <c r="AU492" s="24"/>
      <c r="AV492" s="24"/>
      <c r="AW492" s="49"/>
      <c r="AX492" s="33"/>
      <c r="AY492" s="24"/>
      <c r="AZ492" s="24"/>
      <c r="BA492" s="24"/>
      <c r="BB492" s="24"/>
      <c r="BC492" s="49"/>
      <c r="BD492" s="33"/>
      <c r="BE492" s="24"/>
      <c r="BF492" s="24"/>
      <c r="BG492" s="24"/>
    </row>
    <row r="493" spans="37:59" x14ac:dyDescent="0.2">
      <c r="AK493" s="24"/>
      <c r="AL493" s="24"/>
      <c r="AM493" s="24"/>
      <c r="AN493" s="24"/>
      <c r="AO493" s="24"/>
      <c r="AP493" s="24"/>
      <c r="AQ493" s="49"/>
      <c r="AR493" s="33"/>
      <c r="AS493" s="33"/>
      <c r="AT493" s="33"/>
      <c r="AU493" s="24"/>
      <c r="AV493" s="24"/>
      <c r="AW493" s="49"/>
      <c r="AX493" s="33"/>
      <c r="AY493" s="24"/>
      <c r="AZ493" s="24"/>
      <c r="BA493" s="24"/>
      <c r="BB493" s="24"/>
      <c r="BC493" s="49"/>
      <c r="BD493" s="33"/>
      <c r="BE493" s="24"/>
      <c r="BF493" s="24"/>
      <c r="BG493" s="24"/>
    </row>
    <row r="494" spans="37:59" x14ac:dyDescent="0.2">
      <c r="AK494" s="24"/>
      <c r="AL494" s="24"/>
      <c r="AM494" s="24"/>
      <c r="AN494" s="24"/>
      <c r="AO494" s="24"/>
      <c r="AP494" s="24"/>
      <c r="AQ494" s="25"/>
      <c r="AR494" s="33"/>
      <c r="AS494" s="24"/>
      <c r="AT494" s="24"/>
      <c r="AU494" s="24"/>
      <c r="AV494" s="24"/>
      <c r="AW494" s="49"/>
      <c r="AX494" s="33"/>
      <c r="AY494" s="24"/>
      <c r="AZ494" s="24"/>
      <c r="BA494" s="24"/>
      <c r="BB494" s="24"/>
      <c r="BC494" s="49"/>
      <c r="BD494" s="33"/>
      <c r="BE494" s="24"/>
      <c r="BF494" s="24"/>
      <c r="BG494" s="24"/>
    </row>
    <row r="495" spans="37:59" x14ac:dyDescent="0.2">
      <c r="AK495" s="24"/>
      <c r="AL495" s="24"/>
      <c r="AM495" s="24"/>
      <c r="AN495" s="24"/>
      <c r="AO495" s="24"/>
      <c r="AP495" s="24"/>
      <c r="AQ495" s="49"/>
      <c r="AR495" s="33"/>
      <c r="AS495" s="24"/>
      <c r="AT495" s="24"/>
      <c r="AU495" s="24"/>
      <c r="AV495" s="24"/>
      <c r="AW495" s="49"/>
      <c r="AX495" s="33"/>
      <c r="AY495" s="24"/>
      <c r="AZ495" s="24"/>
      <c r="BA495" s="24"/>
      <c r="BB495" s="24"/>
      <c r="BC495" s="49"/>
      <c r="BD495" s="33"/>
      <c r="BE495" s="24"/>
      <c r="BF495" s="24"/>
      <c r="BG495" s="24"/>
    </row>
    <row r="496" spans="37:59" x14ac:dyDescent="0.2">
      <c r="AK496" s="24"/>
      <c r="AL496" s="24"/>
      <c r="AM496" s="24"/>
      <c r="AN496" s="24"/>
      <c r="AO496" s="24"/>
      <c r="AP496" s="24"/>
      <c r="AQ496" s="49"/>
      <c r="AR496" s="33"/>
      <c r="AS496" s="24"/>
      <c r="AT496" s="24"/>
      <c r="AU496" s="24"/>
      <c r="AV496" s="24"/>
      <c r="AW496" s="49"/>
      <c r="AX496" s="33"/>
      <c r="AY496" s="24"/>
      <c r="AZ496" s="24"/>
      <c r="BA496" s="24"/>
      <c r="BB496" s="24"/>
      <c r="BC496" s="49"/>
      <c r="BD496" s="33"/>
      <c r="BE496" s="24"/>
      <c r="BF496" s="24"/>
      <c r="BG496" s="24"/>
    </row>
    <row r="497" spans="37:59" x14ac:dyDescent="0.2">
      <c r="AK497" s="24"/>
      <c r="AL497" s="24"/>
      <c r="AM497" s="24"/>
      <c r="AN497" s="24"/>
      <c r="AO497" s="24"/>
      <c r="AP497" s="24"/>
      <c r="AQ497" s="49"/>
      <c r="AR497" s="33"/>
      <c r="AS497" s="24"/>
      <c r="AT497" s="24"/>
      <c r="AU497" s="24"/>
      <c r="AV497" s="24"/>
      <c r="AW497" s="49"/>
      <c r="AX497" s="33"/>
      <c r="AY497" s="24"/>
      <c r="AZ497" s="24"/>
      <c r="BA497" s="24"/>
      <c r="BB497" s="24"/>
      <c r="BC497" s="49"/>
      <c r="BD497" s="33"/>
      <c r="BE497" s="24"/>
      <c r="BF497" s="24"/>
      <c r="BG497" s="24"/>
    </row>
    <row r="498" spans="37:59" x14ac:dyDescent="0.2">
      <c r="AK498" s="24"/>
      <c r="AL498" s="24"/>
      <c r="AM498" s="24"/>
      <c r="AN498" s="24"/>
      <c r="AO498" s="24"/>
      <c r="AP498" s="24"/>
      <c r="AQ498" s="49"/>
      <c r="AR498" s="33"/>
      <c r="AS498" s="24"/>
      <c r="AT498" s="24"/>
      <c r="AU498" s="24"/>
      <c r="AV498" s="24"/>
      <c r="AW498" s="49"/>
      <c r="AX498" s="33"/>
      <c r="AY498" s="24"/>
      <c r="AZ498" s="24"/>
      <c r="BA498" s="24"/>
      <c r="BB498" s="24"/>
      <c r="BC498" s="49"/>
      <c r="BD498" s="33"/>
      <c r="BE498" s="24"/>
      <c r="BF498" s="24"/>
      <c r="BG498" s="24"/>
    </row>
    <row r="499" spans="37:59" x14ac:dyDescent="0.2">
      <c r="AK499" s="24"/>
      <c r="AL499" s="24"/>
      <c r="AM499" s="24"/>
      <c r="AN499" s="24"/>
      <c r="AO499" s="24"/>
      <c r="AP499" s="24"/>
      <c r="AQ499" s="49"/>
      <c r="AR499" s="33"/>
      <c r="AS499" s="24"/>
      <c r="AT499" s="24"/>
      <c r="AU499" s="24"/>
      <c r="AV499" s="24"/>
      <c r="AW499" s="49"/>
      <c r="AX499" s="33"/>
      <c r="AY499" s="24"/>
      <c r="AZ499" s="24"/>
      <c r="BA499" s="24"/>
      <c r="BB499" s="24"/>
      <c r="BC499" s="49"/>
      <c r="BD499" s="33"/>
      <c r="BE499" s="24"/>
      <c r="BF499" s="24"/>
      <c r="BG499" s="24"/>
    </row>
    <row r="500" spans="37:59" x14ac:dyDescent="0.2">
      <c r="AK500" s="24"/>
      <c r="AL500" s="24"/>
      <c r="AM500" s="24"/>
      <c r="AN500" s="24"/>
      <c r="AO500" s="24"/>
      <c r="AP500" s="24"/>
      <c r="AQ500" s="49"/>
      <c r="AR500" s="33"/>
      <c r="AS500" s="24"/>
      <c r="AT500" s="24"/>
      <c r="AU500" s="24"/>
      <c r="AV500" s="24"/>
      <c r="AW500" s="49"/>
      <c r="AX500" s="33"/>
      <c r="AY500" s="24"/>
      <c r="AZ500" s="24"/>
      <c r="BA500" s="24"/>
      <c r="BB500" s="24"/>
      <c r="BC500" s="49"/>
      <c r="BD500" s="33"/>
      <c r="BE500" s="24"/>
      <c r="BF500" s="24"/>
      <c r="BG500" s="24"/>
    </row>
    <row r="501" spans="37:59" x14ac:dyDescent="0.2">
      <c r="AK501" s="24"/>
      <c r="AL501" s="24"/>
      <c r="AM501" s="24"/>
      <c r="AN501" s="24"/>
      <c r="AO501" s="24"/>
      <c r="AP501" s="24"/>
      <c r="AQ501" s="49"/>
      <c r="AR501" s="33"/>
      <c r="AS501" s="24"/>
      <c r="AT501" s="24"/>
      <c r="AU501" s="24"/>
      <c r="AV501" s="24"/>
      <c r="AW501" s="49"/>
      <c r="AX501" s="33"/>
      <c r="AY501" s="24"/>
      <c r="AZ501" s="24"/>
      <c r="BA501" s="24"/>
      <c r="BB501" s="24"/>
      <c r="BC501" s="49"/>
      <c r="BD501" s="33"/>
      <c r="BE501" s="24"/>
      <c r="BF501" s="24"/>
      <c r="BG501" s="24"/>
    </row>
    <row r="502" spans="37:59" x14ac:dyDescent="0.2">
      <c r="AK502" s="24"/>
      <c r="AL502" s="24"/>
      <c r="AM502" s="24"/>
      <c r="AN502" s="24"/>
      <c r="AO502" s="24"/>
      <c r="AP502" s="24"/>
      <c r="AQ502" s="49"/>
      <c r="AR502" s="33"/>
      <c r="AS502" s="24"/>
      <c r="AT502" s="24"/>
      <c r="AU502" s="24"/>
      <c r="AV502" s="24"/>
      <c r="AW502" s="49"/>
      <c r="AX502" s="33"/>
      <c r="AY502" s="24"/>
      <c r="AZ502" s="24"/>
      <c r="BA502" s="24"/>
      <c r="BB502" s="24"/>
      <c r="BC502" s="49"/>
      <c r="BD502" s="33"/>
      <c r="BE502" s="24"/>
      <c r="BF502" s="24"/>
      <c r="BG502" s="24"/>
    </row>
    <row r="503" spans="37:59" x14ac:dyDescent="0.2">
      <c r="AK503" s="24"/>
      <c r="AL503" s="24"/>
      <c r="AM503" s="24"/>
      <c r="AN503" s="24"/>
      <c r="AO503" s="24"/>
      <c r="AP503" s="24"/>
      <c r="AQ503" s="49"/>
      <c r="AR503" s="33"/>
      <c r="AS503" s="24"/>
      <c r="AT503" s="24"/>
      <c r="AU503" s="24"/>
      <c r="AV503" s="24"/>
      <c r="AW503" s="49"/>
      <c r="AX503" s="33"/>
      <c r="AY503" s="24"/>
      <c r="AZ503" s="24"/>
      <c r="BA503" s="24"/>
      <c r="BB503" s="24"/>
      <c r="BC503" s="49"/>
      <c r="BD503" s="33"/>
      <c r="BE503" s="24"/>
      <c r="BF503" s="24"/>
      <c r="BG503" s="24"/>
    </row>
    <row r="504" spans="37:59" x14ac:dyDescent="0.2">
      <c r="AK504" s="24"/>
      <c r="AL504" s="24"/>
      <c r="AM504" s="24"/>
      <c r="AN504" s="24"/>
      <c r="AO504" s="24"/>
      <c r="AP504" s="24"/>
      <c r="AQ504" s="49"/>
      <c r="AR504" s="33"/>
      <c r="AS504" s="24"/>
      <c r="AT504" s="24"/>
      <c r="AU504" s="24"/>
      <c r="AV504" s="24"/>
      <c r="AW504" s="49"/>
      <c r="AX504" s="33"/>
      <c r="AY504" s="24"/>
      <c r="AZ504" s="24"/>
      <c r="BA504" s="24"/>
      <c r="BB504" s="24"/>
      <c r="BC504" s="49"/>
      <c r="BD504" s="33"/>
      <c r="BE504" s="24"/>
      <c r="BF504" s="24"/>
      <c r="BG504" s="24"/>
    </row>
    <row r="505" spans="37:59" x14ac:dyDescent="0.2">
      <c r="AK505" s="24"/>
      <c r="AL505" s="24"/>
      <c r="AM505" s="24"/>
      <c r="AN505" s="24"/>
      <c r="AO505" s="24"/>
      <c r="AP505" s="24"/>
      <c r="AQ505" s="49"/>
      <c r="AR505" s="33"/>
      <c r="AS505" s="24"/>
      <c r="AT505" s="24"/>
      <c r="AU505" s="24"/>
      <c r="AV505" s="24"/>
      <c r="AW505" s="49"/>
      <c r="AX505" s="33"/>
      <c r="AY505" s="24"/>
      <c r="AZ505" s="24"/>
      <c r="BA505" s="24"/>
      <c r="BB505" s="24"/>
      <c r="BC505" s="49"/>
      <c r="BD505" s="33"/>
      <c r="BE505" s="24"/>
      <c r="BF505" s="24"/>
      <c r="BG505" s="24"/>
    </row>
    <row r="506" spans="37:59" x14ac:dyDescent="0.2">
      <c r="AK506" s="24"/>
      <c r="AL506" s="24"/>
      <c r="AM506" s="24"/>
      <c r="AN506" s="24"/>
      <c r="AO506" s="24"/>
      <c r="AP506" s="24"/>
      <c r="AQ506" s="49"/>
      <c r="AR506" s="33"/>
      <c r="AS506" s="24"/>
      <c r="AT506" s="24"/>
      <c r="AU506" s="24"/>
      <c r="AV506" s="24"/>
      <c r="AW506" s="49"/>
      <c r="AX506" s="33"/>
      <c r="AY506" s="24"/>
      <c r="AZ506" s="24"/>
      <c r="BA506" s="24"/>
      <c r="BB506" s="24"/>
      <c r="BC506" s="49"/>
      <c r="BD506" s="33"/>
      <c r="BE506" s="24"/>
      <c r="BF506" s="24"/>
      <c r="BG506" s="24"/>
    </row>
    <row r="507" spans="37:59" x14ac:dyDescent="0.2">
      <c r="AK507" s="24"/>
      <c r="AL507" s="24"/>
      <c r="AM507" s="24"/>
      <c r="AN507" s="24"/>
      <c r="AO507" s="24"/>
      <c r="AP507" s="24"/>
      <c r="AQ507" s="49"/>
      <c r="AR507" s="33"/>
      <c r="AS507" s="24"/>
      <c r="AT507" s="24"/>
      <c r="AU507" s="24"/>
      <c r="AV507" s="24"/>
      <c r="AW507" s="49"/>
      <c r="AX507" s="33"/>
      <c r="AY507" s="24"/>
      <c r="AZ507" s="24"/>
      <c r="BA507" s="24"/>
      <c r="BB507" s="24"/>
      <c r="BC507" s="49"/>
      <c r="BD507" s="33"/>
      <c r="BE507" s="24"/>
      <c r="BF507" s="24"/>
      <c r="BG507" s="24"/>
    </row>
    <row r="508" spans="37:59" x14ac:dyDescent="0.2">
      <c r="AK508" s="24"/>
      <c r="AL508" s="24"/>
      <c r="AM508" s="24"/>
      <c r="AN508" s="24"/>
      <c r="AO508" s="24"/>
      <c r="AP508" s="24"/>
      <c r="AQ508" s="49"/>
      <c r="AR508" s="33"/>
      <c r="AS508" s="24"/>
      <c r="AT508" s="24"/>
      <c r="AU508" s="24"/>
      <c r="AV508" s="24"/>
      <c r="AW508" s="49"/>
      <c r="AX508" s="33"/>
      <c r="AY508" s="24"/>
      <c r="AZ508" s="24"/>
      <c r="BA508" s="24"/>
      <c r="BB508" s="24"/>
      <c r="BC508" s="49"/>
      <c r="BD508" s="33"/>
      <c r="BE508" s="24"/>
      <c r="BF508" s="24"/>
      <c r="BG508" s="24"/>
    </row>
    <row r="509" spans="37:59" x14ac:dyDescent="0.2">
      <c r="AK509" s="24"/>
      <c r="AL509" s="24"/>
      <c r="AM509" s="24"/>
      <c r="AN509" s="24"/>
      <c r="AO509" s="24"/>
      <c r="AP509" s="24"/>
      <c r="AQ509" s="49"/>
      <c r="AR509" s="33"/>
      <c r="AS509" s="24"/>
      <c r="AT509" s="24"/>
      <c r="AU509" s="24"/>
      <c r="AV509" s="24"/>
      <c r="AW509" s="49"/>
      <c r="AX509" s="33"/>
      <c r="AY509" s="24"/>
      <c r="AZ509" s="24"/>
      <c r="BA509" s="24"/>
      <c r="BB509" s="24"/>
      <c r="BC509" s="49"/>
      <c r="BD509" s="33"/>
      <c r="BE509" s="24"/>
      <c r="BF509" s="24"/>
      <c r="BG509" s="24"/>
    </row>
    <row r="510" spans="37:59" x14ac:dyDescent="0.2">
      <c r="AK510" s="24"/>
      <c r="AL510" s="24"/>
      <c r="AM510" s="24"/>
      <c r="AN510" s="24"/>
      <c r="AO510" s="24"/>
      <c r="AP510" s="24"/>
      <c r="AQ510" s="49"/>
      <c r="AR510" s="33"/>
      <c r="AS510" s="24"/>
      <c r="AT510" s="24"/>
      <c r="AU510" s="24"/>
      <c r="AV510" s="24"/>
      <c r="AW510" s="49"/>
      <c r="AX510" s="33"/>
      <c r="AY510" s="24"/>
      <c r="AZ510" s="24"/>
      <c r="BA510" s="24"/>
      <c r="BB510" s="24"/>
      <c r="BC510" s="49"/>
      <c r="BD510" s="33"/>
      <c r="BE510" s="24"/>
      <c r="BF510" s="24"/>
      <c r="BG510" s="24"/>
    </row>
    <row r="511" spans="37:59" x14ac:dyDescent="0.2">
      <c r="AK511" s="24"/>
      <c r="AL511" s="24"/>
      <c r="AM511" s="24"/>
      <c r="AN511" s="24"/>
      <c r="AO511" s="24"/>
      <c r="AP511" s="24"/>
      <c r="AQ511" s="49"/>
      <c r="AR511" s="33"/>
      <c r="AS511" s="24"/>
      <c r="AT511" s="24"/>
      <c r="AU511" s="24"/>
      <c r="AV511" s="24"/>
      <c r="AW511" s="49"/>
      <c r="AX511" s="33"/>
      <c r="AY511" s="24"/>
      <c r="AZ511" s="24"/>
      <c r="BA511" s="24"/>
      <c r="BB511" s="24"/>
      <c r="BC511" s="49"/>
      <c r="BD511" s="33"/>
      <c r="BE511" s="24"/>
      <c r="BF511" s="24"/>
      <c r="BG511" s="24"/>
    </row>
    <row r="512" spans="37:59" x14ac:dyDescent="0.2">
      <c r="AK512" s="24"/>
      <c r="AL512" s="24"/>
      <c r="AM512" s="24"/>
      <c r="AN512" s="24"/>
      <c r="AO512" s="24"/>
      <c r="AP512" s="24"/>
      <c r="AQ512" s="49"/>
      <c r="AR512" s="33"/>
      <c r="AS512" s="24"/>
      <c r="AT512" s="24"/>
      <c r="AU512" s="24"/>
      <c r="AV512" s="24"/>
      <c r="AW512" s="49"/>
      <c r="AX512" s="33"/>
      <c r="AY512" s="24"/>
      <c r="AZ512" s="24"/>
      <c r="BA512" s="24"/>
      <c r="BB512" s="24"/>
      <c r="BC512" s="49"/>
      <c r="BD512" s="33"/>
      <c r="BE512" s="24"/>
      <c r="BF512" s="24"/>
      <c r="BG512" s="24"/>
    </row>
    <row r="513" spans="37:59" x14ac:dyDescent="0.2">
      <c r="AK513" s="24"/>
      <c r="AL513" s="24"/>
      <c r="AM513" s="24"/>
      <c r="AN513" s="24"/>
      <c r="AO513" s="24"/>
      <c r="AP513" s="24"/>
      <c r="AQ513" s="49"/>
      <c r="AR513" s="33"/>
      <c r="AS513" s="24"/>
      <c r="AT513" s="24"/>
      <c r="AU513" s="24"/>
      <c r="AV513" s="24"/>
      <c r="AW513" s="49"/>
      <c r="AX513" s="33"/>
      <c r="AY513" s="24"/>
      <c r="AZ513" s="24"/>
      <c r="BA513" s="24"/>
      <c r="BB513" s="24"/>
      <c r="BC513" s="49"/>
      <c r="BD513" s="33"/>
      <c r="BE513" s="24"/>
      <c r="BF513" s="24"/>
      <c r="BG513" s="24"/>
    </row>
    <row r="514" spans="37:59" x14ac:dyDescent="0.2">
      <c r="AK514" s="24"/>
      <c r="AL514" s="24"/>
      <c r="AM514" s="24"/>
      <c r="AN514" s="24"/>
      <c r="AO514" s="24"/>
      <c r="AP514" s="24"/>
      <c r="AQ514" s="49"/>
      <c r="AR514" s="33"/>
      <c r="AS514" s="24"/>
      <c r="AT514" s="24"/>
      <c r="AU514" s="24"/>
      <c r="AV514" s="24"/>
      <c r="AW514" s="49"/>
      <c r="AX514" s="33"/>
      <c r="AY514" s="24"/>
      <c r="AZ514" s="24"/>
      <c r="BA514" s="24"/>
      <c r="BB514" s="24"/>
      <c r="BC514" s="49"/>
      <c r="BD514" s="33"/>
      <c r="BE514" s="24"/>
      <c r="BF514" s="24"/>
      <c r="BG514" s="24"/>
    </row>
    <row r="515" spans="37:59" x14ac:dyDescent="0.2">
      <c r="AK515" s="24"/>
      <c r="AL515" s="24"/>
      <c r="AM515" s="24"/>
      <c r="AN515" s="24"/>
      <c r="AO515" s="24"/>
      <c r="AP515" s="24"/>
      <c r="AQ515" s="49"/>
      <c r="AR515" s="33"/>
      <c r="AS515" s="24"/>
      <c r="AT515" s="24"/>
      <c r="AU515" s="24"/>
      <c r="AV515" s="24"/>
      <c r="AW515" s="49"/>
      <c r="AX515" s="33"/>
      <c r="AY515" s="24"/>
      <c r="AZ515" s="24"/>
      <c r="BA515" s="24"/>
      <c r="BB515" s="24"/>
      <c r="BC515" s="49"/>
      <c r="BD515" s="33"/>
      <c r="BE515" s="24"/>
      <c r="BF515" s="24"/>
      <c r="BG515" s="24"/>
    </row>
    <row r="516" spans="37:59" x14ac:dyDescent="0.2">
      <c r="AK516" s="24"/>
      <c r="AL516" s="24"/>
      <c r="AM516" s="24"/>
      <c r="AN516" s="24"/>
      <c r="AO516" s="24"/>
      <c r="AP516" s="24"/>
      <c r="AQ516" s="49"/>
      <c r="AR516" s="33"/>
      <c r="AS516" s="24"/>
      <c r="AT516" s="24"/>
      <c r="AU516" s="24"/>
      <c r="AV516" s="24"/>
      <c r="AW516" s="49"/>
      <c r="AX516" s="33"/>
      <c r="AY516" s="24"/>
      <c r="AZ516" s="24"/>
      <c r="BA516" s="24"/>
      <c r="BB516" s="24"/>
      <c r="BC516" s="49"/>
      <c r="BD516" s="33"/>
      <c r="BE516" s="24"/>
      <c r="BF516" s="24"/>
      <c r="BG516" s="24"/>
    </row>
    <row r="517" spans="37:59" x14ac:dyDescent="0.2">
      <c r="AK517" s="24"/>
      <c r="AL517" s="24"/>
      <c r="AM517" s="24"/>
      <c r="AN517" s="24"/>
      <c r="AO517" s="24"/>
      <c r="AP517" s="24"/>
      <c r="AQ517" s="49"/>
      <c r="AR517" s="33"/>
      <c r="AS517" s="24"/>
      <c r="AT517" s="24"/>
      <c r="AU517" s="24"/>
      <c r="AV517" s="24"/>
      <c r="AW517" s="49"/>
      <c r="AX517" s="33"/>
      <c r="AY517" s="24"/>
      <c r="AZ517" s="24"/>
      <c r="BA517" s="24"/>
      <c r="BB517" s="24"/>
      <c r="BC517" s="49"/>
      <c r="BD517" s="33"/>
      <c r="BE517" s="24"/>
      <c r="BF517" s="24"/>
      <c r="BG517" s="24"/>
    </row>
    <row r="518" spans="37:59" x14ac:dyDescent="0.2">
      <c r="AK518" s="24"/>
      <c r="AL518" s="24"/>
      <c r="AM518" s="24"/>
      <c r="AN518" s="24"/>
      <c r="AO518" s="24"/>
      <c r="AP518" s="24"/>
      <c r="AQ518" s="49"/>
      <c r="AR518" s="33"/>
      <c r="AS518" s="24"/>
      <c r="AT518" s="24"/>
      <c r="AU518" s="24"/>
      <c r="AV518" s="24"/>
      <c r="AW518" s="25"/>
      <c r="AX518" s="33"/>
      <c r="AY518" s="24"/>
      <c r="AZ518" s="24"/>
      <c r="BA518" s="24"/>
      <c r="BB518" s="24"/>
      <c r="BC518" s="25"/>
      <c r="BD518" s="33"/>
      <c r="BE518" s="24"/>
      <c r="BF518" s="24"/>
      <c r="BG518" s="24"/>
    </row>
    <row r="519" spans="37:59" x14ac:dyDescent="0.2">
      <c r="AK519" s="24"/>
      <c r="AL519" s="24"/>
      <c r="AM519" s="24"/>
      <c r="AN519" s="24"/>
      <c r="AO519" s="24"/>
      <c r="AP519" s="24"/>
      <c r="AQ519" s="49"/>
      <c r="AR519" s="33"/>
      <c r="AS519" s="24"/>
      <c r="AT519" s="24"/>
      <c r="AU519" s="24"/>
      <c r="AV519" s="24"/>
      <c r="AW519" s="25"/>
      <c r="AX519" s="33"/>
      <c r="AY519" s="24"/>
      <c r="AZ519" s="24"/>
      <c r="BA519" s="24"/>
      <c r="BB519" s="24"/>
      <c r="BC519" s="25"/>
      <c r="BD519" s="33"/>
      <c r="BE519" s="24"/>
      <c r="BF519" s="24"/>
      <c r="BG519" s="24"/>
    </row>
    <row r="520" spans="37:59" x14ac:dyDescent="0.2">
      <c r="AK520" s="24"/>
      <c r="AL520" s="24"/>
      <c r="AM520" s="24"/>
      <c r="AN520" s="24"/>
      <c r="AO520" s="24"/>
      <c r="AP520" s="24"/>
      <c r="AQ520" s="49"/>
      <c r="AR520" s="33"/>
      <c r="AS520" s="24"/>
      <c r="AT520" s="24"/>
      <c r="AU520" s="24"/>
      <c r="AV520" s="24"/>
      <c r="AW520" s="25"/>
      <c r="AX520" s="33"/>
      <c r="AY520" s="24"/>
      <c r="AZ520" s="24"/>
      <c r="BA520" s="24"/>
      <c r="BB520" s="24"/>
      <c r="BC520" s="25"/>
      <c r="BD520" s="33"/>
      <c r="BE520" s="24"/>
      <c r="BF520" s="24"/>
      <c r="BG520" s="24"/>
    </row>
    <row r="521" spans="37:59" x14ac:dyDescent="0.2">
      <c r="AK521" s="33"/>
      <c r="AL521" s="33"/>
      <c r="AM521" s="24"/>
      <c r="AN521" s="24"/>
      <c r="AO521" s="24"/>
      <c r="AP521" s="24"/>
      <c r="AQ521" s="49"/>
      <c r="AR521" s="33"/>
      <c r="AS521" s="24"/>
      <c r="AT521" s="24"/>
      <c r="AU521" s="24"/>
      <c r="AV521" s="24"/>
      <c r="AW521" s="25"/>
      <c r="AX521" s="33"/>
      <c r="AY521" s="24"/>
      <c r="AZ521" s="24"/>
      <c r="BA521" s="24"/>
      <c r="BB521" s="24"/>
      <c r="BC521" s="25"/>
      <c r="BD521" s="33"/>
      <c r="BE521" s="24"/>
      <c r="BF521" s="24"/>
      <c r="BG521" s="24"/>
    </row>
    <row r="522" spans="37:59" x14ac:dyDescent="0.2">
      <c r="AK522" s="33"/>
      <c r="AL522" s="33"/>
      <c r="AM522" s="24"/>
      <c r="AN522" s="24"/>
      <c r="AO522" s="24"/>
      <c r="AP522" s="24"/>
      <c r="AQ522" s="49"/>
      <c r="AR522" s="33"/>
      <c r="AS522" s="24"/>
      <c r="AT522" s="24"/>
      <c r="AU522" s="24"/>
      <c r="AV522" s="24"/>
      <c r="AW522" s="25"/>
      <c r="AX522" s="33"/>
      <c r="AY522" s="24"/>
      <c r="AZ522" s="24"/>
      <c r="BA522" s="24"/>
      <c r="BB522" s="24"/>
      <c r="BC522" s="25"/>
      <c r="BD522" s="33"/>
      <c r="BE522" s="24"/>
      <c r="BF522" s="24"/>
      <c r="BG522" s="24"/>
    </row>
    <row r="523" spans="37:59" x14ac:dyDescent="0.2">
      <c r="AK523" s="33"/>
      <c r="AL523" s="33"/>
      <c r="AM523" s="24"/>
      <c r="AN523" s="24"/>
      <c r="AO523" s="24"/>
      <c r="AP523" s="24"/>
      <c r="AQ523" s="49"/>
      <c r="AR523" s="33"/>
      <c r="AS523" s="24"/>
      <c r="AT523" s="24"/>
      <c r="AU523" s="24"/>
      <c r="AV523" s="24"/>
      <c r="AW523" s="25"/>
      <c r="AX523" s="33"/>
      <c r="AY523" s="24"/>
      <c r="AZ523" s="24"/>
      <c r="BA523" s="24"/>
      <c r="BB523" s="24"/>
      <c r="BC523" s="25"/>
      <c r="BD523" s="33"/>
      <c r="BE523" s="24"/>
      <c r="BF523" s="24"/>
      <c r="BG523" s="24"/>
    </row>
    <row r="524" spans="37:59" x14ac:dyDescent="0.2">
      <c r="AK524" s="33"/>
      <c r="AL524" s="33"/>
      <c r="AM524" s="24"/>
      <c r="AN524" s="24"/>
      <c r="AO524" s="24"/>
      <c r="AP524" s="24"/>
      <c r="AQ524" s="49"/>
      <c r="AR524" s="33"/>
      <c r="AS524" s="24"/>
      <c r="AT524" s="24"/>
      <c r="AU524" s="24"/>
      <c r="AV524" s="24"/>
      <c r="AW524" s="25"/>
      <c r="AX524" s="33"/>
      <c r="AY524" s="24"/>
      <c r="AZ524" s="24"/>
      <c r="BA524" s="24"/>
      <c r="BB524" s="24"/>
      <c r="BC524" s="25"/>
      <c r="BD524" s="33"/>
      <c r="BE524" s="24"/>
      <c r="BF524" s="24"/>
      <c r="BG524" s="24"/>
    </row>
    <row r="525" spans="37:59" x14ac:dyDescent="0.2">
      <c r="AK525" s="33"/>
      <c r="AL525" s="33"/>
      <c r="AM525" s="24"/>
      <c r="AN525" s="24"/>
      <c r="AO525" s="24"/>
      <c r="AP525" s="24"/>
      <c r="AQ525" s="49"/>
      <c r="AR525" s="33"/>
      <c r="AS525" s="24"/>
      <c r="AT525" s="24"/>
      <c r="AU525" s="24"/>
      <c r="AV525" s="24"/>
      <c r="AW525" s="25"/>
      <c r="AX525" s="33"/>
      <c r="AY525" s="24"/>
      <c r="AZ525" s="24"/>
      <c r="BA525" s="24"/>
      <c r="BB525" s="24"/>
      <c r="BC525" s="25"/>
      <c r="BD525" s="33"/>
      <c r="BE525" s="24"/>
      <c r="BF525" s="24"/>
      <c r="BG525" s="24"/>
    </row>
    <row r="526" spans="37:59" x14ac:dyDescent="0.2">
      <c r="AK526" s="33"/>
      <c r="AL526" s="33"/>
      <c r="AM526" s="24"/>
      <c r="AN526" s="24"/>
      <c r="AO526" s="24"/>
      <c r="AP526" s="24"/>
      <c r="AQ526" s="49"/>
      <c r="AR526" s="33"/>
      <c r="AS526" s="24"/>
      <c r="AT526" s="24"/>
      <c r="AU526" s="24"/>
      <c r="AV526" s="24"/>
      <c r="AW526" s="25"/>
      <c r="AX526" s="33"/>
      <c r="AY526" s="24"/>
      <c r="AZ526" s="24"/>
      <c r="BA526" s="24"/>
      <c r="BB526" s="24"/>
      <c r="BC526" s="25"/>
      <c r="BD526" s="33"/>
      <c r="BE526" s="24"/>
      <c r="BF526" s="24"/>
      <c r="BG526" s="24"/>
    </row>
    <row r="527" spans="37:59" x14ac:dyDescent="0.2">
      <c r="AK527" s="33"/>
      <c r="AL527" s="33"/>
      <c r="AM527" s="24"/>
      <c r="AN527" s="24"/>
      <c r="AO527" s="24"/>
      <c r="AP527" s="24"/>
      <c r="AQ527" s="25"/>
      <c r="AR527" s="33"/>
      <c r="AS527" s="24"/>
      <c r="AT527" s="24"/>
      <c r="AU527" s="24"/>
      <c r="AV527" s="24"/>
      <c r="AW527" s="25"/>
      <c r="AX527" s="33"/>
      <c r="AY527" s="24"/>
      <c r="AZ527" s="24"/>
      <c r="BA527" s="24"/>
      <c r="BB527" s="24"/>
      <c r="BC527" s="25"/>
      <c r="BD527" s="33"/>
      <c r="BE527" s="24"/>
      <c r="BF527" s="24"/>
      <c r="BG527" s="24"/>
    </row>
    <row r="528" spans="37:59" x14ac:dyDescent="0.2">
      <c r="AK528" s="33"/>
      <c r="AL528" s="33"/>
      <c r="AM528" s="24"/>
      <c r="AN528" s="24"/>
      <c r="AO528" s="24"/>
      <c r="AP528" s="24"/>
      <c r="AQ528" s="25"/>
      <c r="AR528" s="33"/>
      <c r="AS528" s="24"/>
      <c r="AT528" s="24"/>
      <c r="AU528" s="24"/>
      <c r="AV528" s="24"/>
      <c r="AW528" s="25"/>
      <c r="AX528" s="33"/>
      <c r="AY528" s="24"/>
      <c r="AZ528" s="24"/>
      <c r="BA528" s="24"/>
      <c r="BB528" s="24"/>
      <c r="BC528" s="25"/>
      <c r="BD528" s="33"/>
      <c r="BE528" s="24"/>
      <c r="BF528" s="24"/>
      <c r="BG528" s="24"/>
    </row>
    <row r="529" spans="37:59" x14ac:dyDescent="0.2">
      <c r="AK529" s="33"/>
      <c r="AL529" s="33"/>
      <c r="AM529" s="24"/>
      <c r="AN529" s="24"/>
      <c r="AO529" s="24"/>
      <c r="AP529" s="24"/>
      <c r="AQ529" s="25"/>
      <c r="AR529" s="33"/>
      <c r="AS529" s="24"/>
      <c r="AT529" s="24"/>
      <c r="AU529" s="24"/>
      <c r="AV529" s="24"/>
      <c r="AW529" s="25"/>
      <c r="AX529" s="33"/>
      <c r="AY529" s="24"/>
      <c r="AZ529" s="24"/>
      <c r="BA529" s="24"/>
      <c r="BB529" s="24"/>
      <c r="BC529" s="25"/>
      <c r="BD529" s="33"/>
      <c r="BE529" s="24"/>
      <c r="BF529" s="24"/>
      <c r="BG529" s="24"/>
    </row>
    <row r="530" spans="37:59" x14ac:dyDescent="0.2">
      <c r="AK530" s="24"/>
      <c r="AL530" s="33"/>
      <c r="AM530" s="24"/>
      <c r="AN530" s="24"/>
      <c r="AO530" s="24"/>
      <c r="AP530" s="24"/>
      <c r="AQ530" s="25"/>
      <c r="AR530" s="33"/>
      <c r="AS530" s="24"/>
      <c r="AT530" s="24"/>
      <c r="AU530" s="24"/>
      <c r="AV530" s="24"/>
      <c r="AW530" s="25"/>
      <c r="AX530" s="33"/>
      <c r="AY530" s="24"/>
      <c r="AZ530" s="24"/>
      <c r="BA530" s="24"/>
      <c r="BB530" s="24"/>
      <c r="BC530" s="25"/>
      <c r="BD530" s="33"/>
      <c r="BE530" s="24"/>
      <c r="BF530" s="24"/>
      <c r="BG530" s="24"/>
    </row>
    <row r="531" spans="37:59" x14ac:dyDescent="0.2">
      <c r="AK531" s="33"/>
      <c r="AL531" s="33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5"/>
      <c r="AX531" s="33"/>
      <c r="AY531" s="24"/>
      <c r="AZ531" s="24"/>
      <c r="BA531" s="24"/>
      <c r="BB531" s="24"/>
      <c r="BC531" s="25"/>
      <c r="BD531" s="33"/>
      <c r="BE531" s="24"/>
      <c r="BF531" s="24"/>
      <c r="BG531" s="24"/>
    </row>
    <row r="532" spans="37:59" x14ac:dyDescent="0.2">
      <c r="AK532" s="33"/>
      <c r="AL532" s="33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5"/>
      <c r="AX532" s="33"/>
      <c r="AY532" s="24"/>
      <c r="AZ532" s="24"/>
      <c r="BA532" s="24"/>
      <c r="BB532" s="24"/>
      <c r="BC532" s="25"/>
      <c r="BD532" s="33"/>
      <c r="BE532" s="24"/>
      <c r="BF532" s="24"/>
      <c r="BG532" s="24"/>
    </row>
    <row r="533" spans="37:59" x14ac:dyDescent="0.2">
      <c r="AK533" s="33"/>
      <c r="AL533" s="33"/>
      <c r="AM533" s="24"/>
      <c r="AN533" s="24"/>
      <c r="AO533" s="24"/>
      <c r="AP533" s="24"/>
      <c r="AQ533" s="33"/>
      <c r="AR533" s="24"/>
      <c r="AS533" s="24"/>
      <c r="AT533" s="24"/>
      <c r="AU533" s="24"/>
      <c r="AV533" s="24"/>
      <c r="AW533" s="25"/>
      <c r="AX533" s="33"/>
      <c r="AY533" s="24"/>
      <c r="AZ533" s="24"/>
      <c r="BA533" s="24"/>
      <c r="BB533" s="24"/>
      <c r="BC533" s="25"/>
      <c r="BD533" s="33"/>
      <c r="BE533" s="24"/>
      <c r="BF533" s="24"/>
      <c r="BG533" s="24"/>
    </row>
    <row r="534" spans="37:59" x14ac:dyDescent="0.2">
      <c r="AK534" s="33"/>
      <c r="AL534" s="33"/>
      <c r="AM534" s="24"/>
      <c r="AN534" s="24"/>
      <c r="AO534" s="24"/>
      <c r="AP534" s="24"/>
      <c r="AQ534" s="33"/>
      <c r="AR534" s="33"/>
      <c r="AS534" s="33"/>
      <c r="AT534" s="33"/>
      <c r="AU534" s="24"/>
      <c r="AV534" s="24"/>
      <c r="AW534" s="25"/>
      <c r="AX534" s="33"/>
      <c r="AY534" s="24"/>
      <c r="AZ534" s="24"/>
      <c r="BA534" s="24"/>
      <c r="BB534" s="24"/>
      <c r="BC534" s="25"/>
      <c r="BD534" s="33"/>
      <c r="BE534" s="24"/>
      <c r="BF534" s="24"/>
      <c r="BG534" s="24"/>
    </row>
    <row r="535" spans="37:59" x14ac:dyDescent="0.2">
      <c r="AK535" s="33"/>
      <c r="AL535" s="33"/>
      <c r="AM535" s="24"/>
      <c r="AN535" s="24"/>
      <c r="AO535" s="24"/>
      <c r="AP535" s="24"/>
      <c r="AQ535" s="49"/>
      <c r="AR535" s="33"/>
      <c r="AS535" s="33"/>
      <c r="AT535" s="33"/>
      <c r="AU535" s="24"/>
      <c r="AV535" s="24"/>
      <c r="AW535" s="25"/>
      <c r="AX535" s="33"/>
      <c r="AY535" s="24"/>
      <c r="AZ535" s="24"/>
      <c r="BA535" s="24"/>
      <c r="BB535" s="24"/>
      <c r="BC535" s="25"/>
      <c r="BD535" s="33"/>
      <c r="BE535" s="24"/>
      <c r="BF535" s="24"/>
      <c r="BG535" s="24"/>
    </row>
    <row r="536" spans="37:59" x14ac:dyDescent="0.2">
      <c r="AK536" s="33"/>
      <c r="AL536" s="33"/>
      <c r="AM536" s="24"/>
      <c r="AN536" s="24"/>
      <c r="AO536" s="24"/>
      <c r="AP536" s="24"/>
      <c r="AQ536" s="49"/>
      <c r="AR536" s="33"/>
      <c r="AS536" s="33"/>
      <c r="AT536" s="33"/>
      <c r="AU536" s="24"/>
      <c r="AV536" s="24"/>
      <c r="AW536" s="25"/>
      <c r="AX536" s="33"/>
      <c r="AY536" s="24"/>
      <c r="AZ536" s="24"/>
      <c r="BA536" s="24"/>
      <c r="BB536" s="24"/>
      <c r="BC536" s="25"/>
      <c r="BD536" s="33"/>
      <c r="BE536" s="24"/>
      <c r="BF536" s="24"/>
      <c r="BG536" s="24"/>
    </row>
    <row r="537" spans="37:59" x14ac:dyDescent="0.2">
      <c r="AK537" s="33"/>
      <c r="AL537" s="33"/>
      <c r="AM537" s="24"/>
      <c r="AN537" s="24"/>
      <c r="AO537" s="24"/>
      <c r="AP537" s="24"/>
      <c r="AQ537" s="49"/>
      <c r="AR537" s="33"/>
      <c r="AS537" s="33"/>
      <c r="AT537" s="33"/>
      <c r="AU537" s="24"/>
      <c r="AV537" s="24"/>
      <c r="AW537" s="25"/>
      <c r="AX537" s="33"/>
      <c r="AY537" s="24"/>
      <c r="AZ537" s="24"/>
      <c r="BA537" s="24"/>
      <c r="BB537" s="24"/>
      <c r="BC537" s="25"/>
      <c r="BD537" s="33"/>
      <c r="BE537" s="24"/>
      <c r="BF537" s="24"/>
      <c r="BG537" s="24"/>
    </row>
    <row r="538" spans="37:59" x14ac:dyDescent="0.2">
      <c r="AK538" s="33"/>
      <c r="AL538" s="33"/>
      <c r="AM538" s="24"/>
      <c r="AN538" s="24"/>
      <c r="AO538" s="24"/>
      <c r="AP538" s="24"/>
      <c r="AQ538" s="49"/>
      <c r="AR538" s="33"/>
      <c r="AS538" s="33"/>
      <c r="AT538" s="33"/>
      <c r="AU538" s="24"/>
      <c r="AV538" s="24"/>
      <c r="AW538" s="25"/>
      <c r="AX538" s="33"/>
      <c r="AY538" s="24"/>
      <c r="AZ538" s="24"/>
      <c r="BA538" s="24"/>
      <c r="BB538" s="24"/>
      <c r="BC538" s="25"/>
      <c r="BD538" s="33"/>
      <c r="BE538" s="24"/>
      <c r="BF538" s="24"/>
      <c r="BG538" s="24"/>
    </row>
    <row r="539" spans="37:59" x14ac:dyDescent="0.2">
      <c r="AK539" s="33"/>
      <c r="AL539" s="33"/>
      <c r="AM539" s="24"/>
      <c r="AN539" s="24"/>
      <c r="AO539" s="24"/>
      <c r="AP539" s="24"/>
      <c r="AQ539" s="49"/>
      <c r="AR539" s="33"/>
      <c r="AS539" s="33"/>
      <c r="AT539" s="33"/>
      <c r="AU539" s="24"/>
      <c r="AV539" s="24"/>
      <c r="AW539" s="25"/>
      <c r="AX539" s="33"/>
      <c r="AY539" s="24"/>
      <c r="AZ539" s="24"/>
      <c r="BA539" s="24"/>
      <c r="BB539" s="24"/>
      <c r="BC539" s="25"/>
      <c r="BD539" s="33"/>
      <c r="BE539" s="24"/>
      <c r="BF539" s="24"/>
      <c r="BG539" s="24"/>
    </row>
    <row r="540" spans="37:59" x14ac:dyDescent="0.2">
      <c r="AK540" s="33"/>
      <c r="AL540" s="33"/>
      <c r="AM540" s="24"/>
      <c r="AN540" s="24"/>
      <c r="AO540" s="24"/>
      <c r="AP540" s="24"/>
      <c r="AQ540" s="49"/>
      <c r="AR540" s="33"/>
      <c r="AS540" s="33"/>
      <c r="AT540" s="33"/>
      <c r="AU540" s="24"/>
      <c r="AV540" s="24"/>
      <c r="AW540" s="25"/>
      <c r="AX540" s="33"/>
      <c r="AY540" s="24"/>
      <c r="AZ540" s="24"/>
      <c r="BA540" s="24"/>
      <c r="BB540" s="24"/>
      <c r="BC540" s="25"/>
      <c r="BD540" s="33"/>
      <c r="BE540" s="24"/>
      <c r="BF540" s="24"/>
      <c r="BG540" s="24"/>
    </row>
    <row r="541" spans="37:59" x14ac:dyDescent="0.2">
      <c r="AK541" s="24"/>
      <c r="AL541" s="24"/>
      <c r="AM541" s="24"/>
      <c r="AN541" s="24"/>
      <c r="AO541" s="24"/>
      <c r="AP541" s="24"/>
      <c r="AQ541" s="49"/>
      <c r="AR541" s="33"/>
      <c r="AS541" s="33"/>
      <c r="AT541" s="33"/>
      <c r="AU541" s="24"/>
      <c r="AV541" s="24"/>
      <c r="AW541" s="25"/>
      <c r="AX541" s="33"/>
      <c r="AY541" s="24"/>
      <c r="AZ541" s="24"/>
      <c r="BA541" s="24"/>
      <c r="BB541" s="24"/>
      <c r="BC541" s="25"/>
      <c r="BD541" s="33"/>
      <c r="BE541" s="24"/>
      <c r="BF541" s="24"/>
      <c r="BG541" s="24"/>
    </row>
    <row r="542" spans="37:59" x14ac:dyDescent="0.2">
      <c r="AK542" s="24"/>
      <c r="AL542" s="24"/>
      <c r="AM542" s="24"/>
      <c r="AN542" s="24"/>
      <c r="AO542" s="24"/>
      <c r="AP542" s="24"/>
      <c r="AQ542" s="49"/>
      <c r="AR542" s="33"/>
      <c r="AS542" s="33"/>
      <c r="AT542" s="33"/>
      <c r="AU542" s="24"/>
      <c r="AV542" s="24"/>
      <c r="AW542" s="25"/>
      <c r="AX542" s="33"/>
      <c r="AY542" s="24"/>
      <c r="AZ542" s="24"/>
      <c r="BA542" s="24"/>
      <c r="BB542" s="24"/>
      <c r="BC542" s="25"/>
      <c r="BD542" s="33"/>
      <c r="BE542" s="24"/>
      <c r="BF542" s="24"/>
      <c r="BG542" s="24"/>
    </row>
    <row r="543" spans="37:59" x14ac:dyDescent="0.2">
      <c r="AK543" s="24"/>
      <c r="AL543" s="24"/>
      <c r="AM543" s="24"/>
      <c r="AN543" s="24"/>
      <c r="AO543" s="24"/>
      <c r="AP543" s="24"/>
      <c r="AQ543" s="49"/>
      <c r="AR543" s="33"/>
      <c r="AS543" s="33"/>
      <c r="AT543" s="33"/>
      <c r="AU543" s="24"/>
      <c r="AV543" s="24"/>
      <c r="AW543" s="25"/>
      <c r="AX543" s="33"/>
      <c r="AY543" s="24"/>
      <c r="AZ543" s="24"/>
      <c r="BA543" s="24"/>
      <c r="BB543" s="24"/>
      <c r="BC543" s="25"/>
      <c r="BD543" s="33"/>
      <c r="BE543" s="24"/>
      <c r="BF543" s="24"/>
      <c r="BG543" s="24"/>
    </row>
    <row r="544" spans="37:59" x14ac:dyDescent="0.2">
      <c r="AK544" s="24"/>
      <c r="AL544" s="24"/>
      <c r="AM544" s="24"/>
      <c r="AN544" s="24"/>
      <c r="AO544" s="24"/>
      <c r="AP544" s="24"/>
      <c r="AQ544" s="49"/>
      <c r="AR544" s="33"/>
      <c r="AS544" s="33"/>
      <c r="AT544" s="33"/>
      <c r="AU544" s="24"/>
      <c r="AV544" s="24"/>
      <c r="AW544" s="25"/>
      <c r="AX544" s="33"/>
      <c r="AY544" s="24"/>
      <c r="AZ544" s="24"/>
      <c r="BA544" s="24"/>
      <c r="BB544" s="24"/>
      <c r="BC544" s="25"/>
      <c r="BD544" s="33"/>
      <c r="BE544" s="24"/>
      <c r="BF544" s="24"/>
      <c r="BG544" s="24"/>
    </row>
    <row r="545" spans="37:59" x14ac:dyDescent="0.2">
      <c r="AK545" s="24"/>
      <c r="AL545" s="24"/>
      <c r="AM545" s="24"/>
      <c r="AN545" s="24"/>
      <c r="AO545" s="24"/>
      <c r="AP545" s="24"/>
      <c r="AQ545" s="49"/>
      <c r="AR545" s="33"/>
      <c r="AS545" s="33"/>
      <c r="AT545" s="33"/>
      <c r="AU545" s="24"/>
      <c r="AV545" s="24"/>
      <c r="AW545" s="25"/>
      <c r="AX545" s="33"/>
      <c r="AY545" s="24"/>
      <c r="AZ545" s="24"/>
      <c r="BA545" s="24"/>
      <c r="BB545" s="24"/>
      <c r="BC545" s="25"/>
      <c r="BD545" s="33"/>
      <c r="BE545" s="24"/>
      <c r="BF545" s="24"/>
      <c r="BG545" s="24"/>
    </row>
    <row r="546" spans="37:59" x14ac:dyDescent="0.2">
      <c r="AK546" s="24"/>
      <c r="AL546" s="24"/>
      <c r="AM546" s="24"/>
      <c r="AN546" s="24"/>
      <c r="AO546" s="24"/>
      <c r="AP546" s="24"/>
      <c r="AQ546" s="49"/>
      <c r="AR546" s="33"/>
      <c r="AS546" s="33"/>
      <c r="AT546" s="33"/>
      <c r="AU546" s="24"/>
      <c r="AV546" s="24"/>
      <c r="AW546" s="25"/>
      <c r="AX546" s="33"/>
      <c r="AY546" s="24"/>
      <c r="AZ546" s="24"/>
      <c r="BA546" s="24"/>
      <c r="BB546" s="24"/>
      <c r="BC546" s="25"/>
      <c r="BD546" s="33"/>
      <c r="BE546" s="24"/>
      <c r="BF546" s="24"/>
      <c r="BG546" s="24"/>
    </row>
    <row r="547" spans="37:59" x14ac:dyDescent="0.2">
      <c r="AK547" s="24"/>
      <c r="AL547" s="24"/>
      <c r="AM547" s="24"/>
      <c r="AN547" s="24"/>
      <c r="AO547" s="24"/>
      <c r="AP547" s="24"/>
      <c r="AQ547" s="25"/>
      <c r="AR547" s="33"/>
      <c r="AS547" s="24"/>
      <c r="AT547" s="24"/>
      <c r="AU547" s="24"/>
      <c r="AV547" s="24"/>
      <c r="AW547" s="24"/>
      <c r="AX547" s="24"/>
      <c r="AY547" s="24"/>
      <c r="AZ547" s="24"/>
      <c r="BA547" s="24"/>
      <c r="BB547" s="24"/>
      <c r="BC547" s="24"/>
      <c r="BD547" s="24"/>
      <c r="BE547" s="24"/>
      <c r="BF547" s="24"/>
      <c r="BG547" s="24"/>
    </row>
    <row r="548" spans="37:59" x14ac:dyDescent="0.2">
      <c r="AK548" s="24"/>
      <c r="AL548" s="24"/>
      <c r="AM548" s="24"/>
      <c r="AN548" s="24"/>
      <c r="AO548" s="24"/>
      <c r="AP548" s="24"/>
      <c r="AQ548" s="49"/>
      <c r="AR548" s="33"/>
      <c r="AS548" s="24"/>
      <c r="AT548" s="24"/>
      <c r="AU548" s="24"/>
      <c r="AV548" s="24"/>
      <c r="AW548" s="24"/>
      <c r="AX548" s="24"/>
      <c r="AY548" s="24"/>
      <c r="AZ548" s="24"/>
      <c r="BA548" s="24"/>
      <c r="BB548" s="24"/>
      <c r="BC548" s="24"/>
      <c r="BD548" s="24"/>
      <c r="BE548" s="24"/>
      <c r="BF548" s="24"/>
      <c r="BG548" s="24"/>
    </row>
    <row r="549" spans="37:59" x14ac:dyDescent="0.2">
      <c r="AK549" s="24"/>
      <c r="AL549" s="24"/>
      <c r="AM549" s="24"/>
      <c r="AN549" s="24"/>
      <c r="AO549" s="24"/>
      <c r="AP549" s="24"/>
      <c r="AQ549" s="49"/>
      <c r="AR549" s="33"/>
      <c r="AS549" s="24"/>
      <c r="AT549" s="24"/>
      <c r="AU549" s="24"/>
      <c r="AV549" s="24"/>
      <c r="AW549" s="33"/>
      <c r="AX549" s="24"/>
      <c r="AY549" s="24"/>
      <c r="AZ549" s="24"/>
      <c r="BA549" s="24"/>
      <c r="BB549" s="24"/>
      <c r="BC549" s="33"/>
      <c r="BD549" s="24"/>
      <c r="BE549" s="24"/>
      <c r="BF549" s="24"/>
      <c r="BG549" s="24"/>
    </row>
    <row r="550" spans="37:59" x14ac:dyDescent="0.2">
      <c r="AK550" s="24"/>
      <c r="AL550" s="24"/>
      <c r="AM550" s="24"/>
      <c r="AN550" s="24"/>
      <c r="AO550" s="24"/>
      <c r="AP550" s="24"/>
      <c r="AQ550" s="49"/>
      <c r="AR550" s="33"/>
      <c r="AS550" s="24"/>
      <c r="AT550" s="24"/>
      <c r="AU550" s="24"/>
      <c r="AV550" s="24"/>
      <c r="AW550" s="33"/>
      <c r="AX550" s="33"/>
      <c r="AY550" s="33"/>
      <c r="AZ550" s="33"/>
      <c r="BA550" s="24"/>
      <c r="BB550" s="24"/>
      <c r="BC550" s="33"/>
      <c r="BD550" s="33"/>
      <c r="BE550" s="33"/>
      <c r="BF550" s="33"/>
      <c r="BG550" s="24"/>
    </row>
    <row r="551" spans="37:59" x14ac:dyDescent="0.2">
      <c r="AK551" s="24"/>
      <c r="AL551" s="24"/>
      <c r="AM551" s="24"/>
      <c r="AN551" s="24"/>
      <c r="AO551" s="24"/>
      <c r="AP551" s="24"/>
      <c r="AQ551" s="49"/>
      <c r="AR551" s="33"/>
      <c r="AS551" s="24"/>
      <c r="AT551" s="24"/>
      <c r="AU551" s="24"/>
      <c r="AV551" s="24"/>
      <c r="AW551" s="49"/>
      <c r="AX551" s="33"/>
      <c r="AY551" s="33"/>
      <c r="AZ551" s="33"/>
      <c r="BA551" s="24"/>
      <c r="BB551" s="24"/>
      <c r="BC551" s="49"/>
      <c r="BD551" s="33"/>
      <c r="BE551" s="33"/>
      <c r="BF551" s="33"/>
      <c r="BG551" s="24"/>
    </row>
    <row r="552" spans="37:59" x14ac:dyDescent="0.2">
      <c r="AK552" s="24"/>
      <c r="AL552" s="24"/>
      <c r="AM552" s="24"/>
      <c r="AN552" s="24"/>
      <c r="AO552" s="24"/>
      <c r="AP552" s="24"/>
      <c r="AQ552" s="49"/>
      <c r="AR552" s="33"/>
      <c r="AS552" s="24"/>
      <c r="AT552" s="24"/>
      <c r="AU552" s="24"/>
      <c r="AV552" s="24"/>
      <c r="AW552" s="49"/>
      <c r="AX552" s="33"/>
      <c r="AY552" s="33"/>
      <c r="AZ552" s="33"/>
      <c r="BA552" s="24"/>
      <c r="BB552" s="24"/>
      <c r="BC552" s="49"/>
      <c r="BD552" s="33"/>
      <c r="BE552" s="33"/>
      <c r="BF552" s="33"/>
      <c r="BG552" s="24"/>
    </row>
    <row r="553" spans="37:59" x14ac:dyDescent="0.2">
      <c r="AK553" s="24"/>
      <c r="AL553" s="24"/>
      <c r="AM553" s="24"/>
      <c r="AN553" s="24"/>
      <c r="AO553" s="24"/>
      <c r="AP553" s="24"/>
      <c r="AQ553" s="49"/>
      <c r="AR553" s="33"/>
      <c r="AS553" s="24"/>
      <c r="AT553" s="24"/>
      <c r="AU553" s="24"/>
      <c r="AV553" s="24"/>
      <c r="AW553" s="49"/>
      <c r="AX553" s="33"/>
      <c r="AY553" s="33"/>
      <c r="AZ553" s="33"/>
      <c r="BA553" s="24"/>
      <c r="BB553" s="24"/>
      <c r="BC553" s="49"/>
      <c r="BD553" s="33"/>
      <c r="BE553" s="33"/>
      <c r="BF553" s="33"/>
      <c r="BG553" s="24"/>
    </row>
    <row r="554" spans="37:59" x14ac:dyDescent="0.2">
      <c r="AK554" s="24"/>
      <c r="AL554" s="24"/>
      <c r="AM554" s="24"/>
      <c r="AN554" s="24"/>
      <c r="AO554" s="24"/>
      <c r="AP554" s="24"/>
      <c r="AQ554" s="49"/>
      <c r="AR554" s="33"/>
      <c r="AS554" s="24"/>
      <c r="AT554" s="24"/>
      <c r="AU554" s="24"/>
      <c r="AV554" s="24"/>
      <c r="AW554" s="49"/>
      <c r="AX554" s="33"/>
      <c r="AY554" s="33"/>
      <c r="AZ554" s="33"/>
      <c r="BA554" s="24"/>
      <c r="BB554" s="24"/>
      <c r="BC554" s="49"/>
      <c r="BD554" s="33"/>
      <c r="BE554" s="33"/>
      <c r="BF554" s="33"/>
      <c r="BG554" s="24"/>
    </row>
    <row r="555" spans="37:59" x14ac:dyDescent="0.2">
      <c r="AK555" s="24"/>
      <c r="AL555" s="24"/>
      <c r="AM555" s="24"/>
      <c r="AN555" s="24"/>
      <c r="AO555" s="24"/>
      <c r="AP555" s="24"/>
      <c r="AQ555" s="49"/>
      <c r="AR555" s="33"/>
      <c r="AS555" s="24"/>
      <c r="AT555" s="24"/>
      <c r="AU555" s="24"/>
      <c r="AV555" s="24"/>
      <c r="AW555" s="49"/>
      <c r="AX555" s="33"/>
      <c r="AY555" s="33"/>
      <c r="AZ555" s="33"/>
      <c r="BA555" s="24"/>
      <c r="BB555" s="24"/>
      <c r="BC555" s="49"/>
      <c r="BD555" s="33"/>
      <c r="BE555" s="33"/>
      <c r="BF555" s="33"/>
      <c r="BG555" s="24"/>
    </row>
    <row r="556" spans="37:59" x14ac:dyDescent="0.2">
      <c r="AK556" s="24"/>
      <c r="AL556" s="24"/>
      <c r="AM556" s="24"/>
      <c r="AN556" s="24"/>
      <c r="AO556" s="24"/>
      <c r="AP556" s="24"/>
      <c r="AQ556" s="49"/>
      <c r="AR556" s="33"/>
      <c r="AS556" s="24"/>
      <c r="AT556" s="24"/>
      <c r="AU556" s="24"/>
      <c r="AV556" s="24"/>
      <c r="AW556" s="49"/>
      <c r="AX556" s="33"/>
      <c r="AY556" s="33"/>
      <c r="AZ556" s="33"/>
      <c r="BA556" s="24"/>
      <c r="BB556" s="24"/>
      <c r="BC556" s="49"/>
      <c r="BD556" s="33"/>
      <c r="BE556" s="33"/>
      <c r="BF556" s="33"/>
      <c r="BG556" s="24"/>
    </row>
    <row r="557" spans="37:59" x14ac:dyDescent="0.2">
      <c r="AK557" s="24"/>
      <c r="AL557" s="24"/>
      <c r="AM557" s="24"/>
      <c r="AN557" s="24"/>
      <c r="AO557" s="24"/>
      <c r="AP557" s="24"/>
      <c r="AQ557" s="49"/>
      <c r="AR557" s="33"/>
      <c r="AS557" s="24"/>
      <c r="AT557" s="24"/>
      <c r="AU557" s="24"/>
      <c r="AV557" s="24"/>
      <c r="AW557" s="49"/>
      <c r="AX557" s="33"/>
      <c r="AY557" s="33"/>
      <c r="AZ557" s="33"/>
      <c r="BA557" s="24"/>
      <c r="BB557" s="24"/>
      <c r="BC557" s="49"/>
      <c r="BD557" s="33"/>
      <c r="BE557" s="33"/>
      <c r="BF557" s="33"/>
      <c r="BG557" s="24"/>
    </row>
    <row r="558" spans="37:59" x14ac:dyDescent="0.2">
      <c r="AK558" s="24"/>
      <c r="AL558" s="24"/>
      <c r="AM558" s="24"/>
      <c r="AN558" s="24"/>
      <c r="AO558" s="24"/>
      <c r="AP558" s="24"/>
      <c r="AQ558" s="49"/>
      <c r="AR558" s="33"/>
      <c r="AS558" s="24"/>
      <c r="AT558" s="24"/>
      <c r="AU558" s="24"/>
      <c r="AV558" s="24"/>
      <c r="AW558" s="49"/>
      <c r="AX558" s="33"/>
      <c r="AY558" s="33"/>
      <c r="AZ558" s="33"/>
      <c r="BA558" s="24"/>
      <c r="BB558" s="24"/>
      <c r="BC558" s="49"/>
      <c r="BD558" s="33"/>
      <c r="BE558" s="33"/>
      <c r="BF558" s="33"/>
      <c r="BG558" s="24"/>
    </row>
    <row r="559" spans="37:59" x14ac:dyDescent="0.2">
      <c r="AK559" s="24"/>
      <c r="AL559" s="24"/>
      <c r="AM559" s="24"/>
      <c r="AN559" s="24"/>
      <c r="AO559" s="24"/>
      <c r="AP559" s="24"/>
      <c r="AQ559" s="49"/>
      <c r="AR559" s="33"/>
      <c r="AS559" s="24"/>
      <c r="AT559" s="24"/>
      <c r="AU559" s="24"/>
      <c r="AV559" s="24"/>
      <c r="AW559" s="49"/>
      <c r="AX559" s="33"/>
      <c r="AY559" s="33"/>
      <c r="AZ559" s="33"/>
      <c r="BA559" s="24"/>
      <c r="BB559" s="24"/>
      <c r="BC559" s="49"/>
      <c r="BD559" s="33"/>
      <c r="BE559" s="33"/>
      <c r="BF559" s="33"/>
      <c r="BG559" s="24"/>
    </row>
    <row r="560" spans="37:59" x14ac:dyDescent="0.2">
      <c r="AK560" s="24"/>
      <c r="AL560" s="24"/>
      <c r="AM560" s="24"/>
      <c r="AN560" s="24"/>
      <c r="AO560" s="24"/>
      <c r="AP560" s="24"/>
      <c r="AQ560" s="49"/>
      <c r="AR560" s="33"/>
      <c r="AS560" s="24"/>
      <c r="AT560" s="24"/>
      <c r="AU560" s="24"/>
      <c r="AV560" s="24"/>
      <c r="AW560" s="49"/>
      <c r="AX560" s="33"/>
      <c r="AY560" s="33"/>
      <c r="AZ560" s="33"/>
      <c r="BA560" s="24"/>
      <c r="BB560" s="24"/>
      <c r="BC560" s="49"/>
      <c r="BD560" s="33"/>
      <c r="BE560" s="33"/>
      <c r="BF560" s="33"/>
      <c r="BG560" s="24"/>
    </row>
    <row r="561" spans="37:59" x14ac:dyDescent="0.2">
      <c r="AK561" s="24"/>
      <c r="AL561" s="24"/>
      <c r="AM561" s="24"/>
      <c r="AN561" s="24"/>
      <c r="AO561" s="24"/>
      <c r="AP561" s="24"/>
      <c r="AQ561" s="49"/>
      <c r="AR561" s="33"/>
      <c r="AS561" s="24"/>
      <c r="AT561" s="24"/>
      <c r="AU561" s="24"/>
      <c r="AV561" s="24"/>
      <c r="AW561" s="49"/>
      <c r="AX561" s="33"/>
      <c r="AY561" s="33"/>
      <c r="AZ561" s="33"/>
      <c r="BA561" s="24"/>
      <c r="BB561" s="24"/>
      <c r="BC561" s="49"/>
      <c r="BD561" s="33"/>
      <c r="BE561" s="33"/>
      <c r="BF561" s="33"/>
      <c r="BG561" s="24"/>
    </row>
    <row r="562" spans="37:59" x14ac:dyDescent="0.2">
      <c r="AK562" s="24"/>
      <c r="AL562" s="24"/>
      <c r="AM562" s="24"/>
      <c r="AN562" s="24"/>
      <c r="AO562" s="24"/>
      <c r="AP562" s="24"/>
      <c r="AQ562" s="49"/>
      <c r="AR562" s="33"/>
      <c r="AS562" s="24"/>
      <c r="AT562" s="24"/>
      <c r="AU562" s="24"/>
      <c r="AV562" s="24"/>
      <c r="AW562" s="49"/>
      <c r="AX562" s="33"/>
      <c r="AY562" s="33"/>
      <c r="AZ562" s="33"/>
      <c r="BA562" s="24"/>
      <c r="BB562" s="24"/>
      <c r="BC562" s="49"/>
      <c r="BD562" s="33"/>
      <c r="BE562" s="33"/>
      <c r="BF562" s="33"/>
      <c r="BG562" s="24"/>
    </row>
    <row r="563" spans="37:59" x14ac:dyDescent="0.2">
      <c r="AK563" s="24"/>
      <c r="AL563" s="24"/>
      <c r="AM563" s="24"/>
      <c r="AN563" s="24"/>
      <c r="AO563" s="24"/>
      <c r="AP563" s="24"/>
      <c r="AQ563" s="49"/>
      <c r="AR563" s="33"/>
      <c r="AS563" s="24"/>
      <c r="AT563" s="24"/>
      <c r="AU563" s="24"/>
      <c r="AV563" s="24"/>
      <c r="AW563" s="25"/>
      <c r="AX563" s="33"/>
      <c r="AY563" s="24"/>
      <c r="AZ563" s="24"/>
      <c r="BA563" s="24"/>
      <c r="BB563" s="24"/>
      <c r="BC563" s="25"/>
      <c r="BD563" s="33"/>
      <c r="BE563" s="24"/>
      <c r="BF563" s="24"/>
      <c r="BG563" s="24"/>
    </row>
    <row r="564" spans="37:59" x14ac:dyDescent="0.2">
      <c r="AK564" s="24"/>
      <c r="AL564" s="24"/>
      <c r="AM564" s="24"/>
      <c r="AN564" s="24"/>
      <c r="AO564" s="24"/>
      <c r="AP564" s="24"/>
      <c r="AQ564" s="49"/>
      <c r="AR564" s="33"/>
      <c r="AS564" s="24"/>
      <c r="AT564" s="24"/>
      <c r="AU564" s="24"/>
      <c r="AV564" s="24"/>
      <c r="AW564" s="49"/>
      <c r="AX564" s="33"/>
      <c r="AY564" s="24"/>
      <c r="AZ564" s="24"/>
      <c r="BA564" s="24"/>
      <c r="BB564" s="24"/>
      <c r="BC564" s="49"/>
      <c r="BD564" s="33"/>
      <c r="BE564" s="24"/>
      <c r="BF564" s="24"/>
      <c r="BG564" s="24"/>
    </row>
    <row r="565" spans="37:59" x14ac:dyDescent="0.2">
      <c r="AK565" s="24"/>
      <c r="AL565" s="24"/>
      <c r="AM565" s="24"/>
      <c r="AN565" s="24"/>
      <c r="AO565" s="24"/>
      <c r="AP565" s="24"/>
      <c r="AQ565" s="49"/>
      <c r="AR565" s="33"/>
      <c r="AS565" s="24"/>
      <c r="AT565" s="24"/>
      <c r="AU565" s="24"/>
      <c r="AV565" s="24"/>
      <c r="AW565" s="49"/>
      <c r="AX565" s="33"/>
      <c r="AY565" s="24"/>
      <c r="AZ565" s="24"/>
      <c r="BA565" s="24"/>
      <c r="BB565" s="24"/>
      <c r="BC565" s="49"/>
      <c r="BD565" s="33"/>
      <c r="BE565" s="24"/>
      <c r="BF565" s="24"/>
      <c r="BG565" s="24"/>
    </row>
    <row r="566" spans="37:59" x14ac:dyDescent="0.2">
      <c r="AK566" s="24"/>
      <c r="AL566" s="24"/>
      <c r="AM566" s="24"/>
      <c r="AN566" s="24"/>
      <c r="AO566" s="24"/>
      <c r="AP566" s="24"/>
      <c r="AQ566" s="49"/>
      <c r="AR566" s="33"/>
      <c r="AS566" s="24"/>
      <c r="AT566" s="24"/>
      <c r="AU566" s="24"/>
      <c r="AV566" s="24"/>
      <c r="AW566" s="49"/>
      <c r="AX566" s="33"/>
      <c r="AY566" s="24"/>
      <c r="AZ566" s="24"/>
      <c r="BA566" s="24"/>
      <c r="BB566" s="24"/>
      <c r="BC566" s="49"/>
      <c r="BD566" s="33"/>
      <c r="BE566" s="24"/>
      <c r="BF566" s="24"/>
      <c r="BG566" s="24"/>
    </row>
    <row r="567" spans="37:59" x14ac:dyDescent="0.2">
      <c r="AK567" s="24"/>
      <c r="AL567" s="24"/>
      <c r="AM567" s="24"/>
      <c r="AN567" s="24"/>
      <c r="AO567" s="24"/>
      <c r="AP567" s="24"/>
      <c r="AQ567" s="49"/>
      <c r="AR567" s="33"/>
      <c r="AS567" s="24"/>
      <c r="AT567" s="24"/>
      <c r="AU567" s="24"/>
      <c r="AV567" s="24"/>
      <c r="AW567" s="49"/>
      <c r="AX567" s="33"/>
      <c r="AY567" s="24"/>
      <c r="AZ567" s="24"/>
      <c r="BA567" s="24"/>
      <c r="BB567" s="24"/>
      <c r="BC567" s="49"/>
      <c r="BD567" s="33"/>
      <c r="BE567" s="24"/>
      <c r="BF567" s="24"/>
      <c r="BG567" s="24"/>
    </row>
    <row r="568" spans="37:59" x14ac:dyDescent="0.2">
      <c r="AK568" s="24"/>
      <c r="AL568" s="24"/>
      <c r="AM568" s="24"/>
      <c r="AN568" s="24"/>
      <c r="AO568" s="24"/>
      <c r="AP568" s="24"/>
      <c r="AQ568" s="49"/>
      <c r="AR568" s="33"/>
      <c r="AS568" s="24"/>
      <c r="AT568" s="24"/>
      <c r="AU568" s="24"/>
      <c r="AV568" s="24"/>
      <c r="AW568" s="49"/>
      <c r="AX568" s="33"/>
      <c r="AY568" s="24"/>
      <c r="AZ568" s="24"/>
      <c r="BA568" s="24"/>
      <c r="BB568" s="24"/>
      <c r="BC568" s="49"/>
      <c r="BD568" s="33"/>
      <c r="BE568" s="24"/>
      <c r="BF568" s="24"/>
      <c r="BG568" s="24"/>
    </row>
    <row r="569" spans="37:59" x14ac:dyDescent="0.2">
      <c r="AK569" s="24"/>
      <c r="AL569" s="24"/>
      <c r="AM569" s="24"/>
      <c r="AN569" s="24"/>
      <c r="AO569" s="24"/>
      <c r="AP569" s="24"/>
      <c r="AQ569" s="49"/>
      <c r="AR569" s="33"/>
      <c r="AS569" s="24"/>
      <c r="AT569" s="24"/>
      <c r="AU569" s="24"/>
      <c r="AV569" s="24"/>
      <c r="AW569" s="49"/>
      <c r="AX569" s="33"/>
      <c r="AY569" s="24"/>
      <c r="AZ569" s="24"/>
      <c r="BA569" s="24"/>
      <c r="BB569" s="24"/>
      <c r="BC569" s="49"/>
      <c r="BD569" s="33"/>
      <c r="BE569" s="24"/>
      <c r="BF569" s="24"/>
      <c r="BG569" s="24"/>
    </row>
    <row r="570" spans="37:59" x14ac:dyDescent="0.2">
      <c r="AK570" s="33"/>
      <c r="AL570" s="33"/>
      <c r="AM570" s="24"/>
      <c r="AN570" s="24"/>
      <c r="AO570" s="24"/>
      <c r="AP570" s="24"/>
      <c r="AQ570" s="49"/>
      <c r="AR570" s="33"/>
      <c r="AS570" s="24"/>
      <c r="AT570" s="24"/>
      <c r="AU570" s="24"/>
      <c r="AV570" s="24"/>
      <c r="AW570" s="49"/>
      <c r="AX570" s="33"/>
      <c r="AY570" s="24"/>
      <c r="AZ570" s="24"/>
      <c r="BA570" s="24"/>
      <c r="BB570" s="24"/>
      <c r="BC570" s="49"/>
      <c r="BD570" s="33"/>
      <c r="BE570" s="24"/>
      <c r="BF570" s="24"/>
      <c r="BG570" s="24"/>
    </row>
    <row r="571" spans="37:59" x14ac:dyDescent="0.2">
      <c r="AK571" s="33"/>
      <c r="AL571" s="33"/>
      <c r="AM571" s="24"/>
      <c r="AN571" s="24"/>
      <c r="AO571" s="24"/>
      <c r="AP571" s="24"/>
      <c r="AQ571" s="49"/>
      <c r="AR571" s="33"/>
      <c r="AS571" s="24"/>
      <c r="AT571" s="24"/>
      <c r="AU571" s="24"/>
      <c r="AV571" s="24"/>
      <c r="AW571" s="49"/>
      <c r="AX571" s="33"/>
      <c r="AY571" s="24"/>
      <c r="AZ571" s="24"/>
      <c r="BA571" s="24"/>
      <c r="BB571" s="24"/>
      <c r="BC571" s="49"/>
      <c r="BD571" s="33"/>
      <c r="BE571" s="24"/>
      <c r="BF571" s="24"/>
      <c r="BG571" s="24"/>
    </row>
    <row r="572" spans="37:59" x14ac:dyDescent="0.2">
      <c r="AK572" s="33"/>
      <c r="AL572" s="33"/>
      <c r="AM572" s="24"/>
      <c r="AN572" s="24"/>
      <c r="AO572" s="24"/>
      <c r="AP572" s="24"/>
      <c r="AQ572" s="49"/>
      <c r="AR572" s="33"/>
      <c r="AS572" s="24"/>
      <c r="AT572" s="24"/>
      <c r="AU572" s="24"/>
      <c r="AV572" s="24"/>
      <c r="AW572" s="49"/>
      <c r="AX572" s="33"/>
      <c r="AY572" s="24"/>
      <c r="AZ572" s="24"/>
      <c r="BA572" s="24"/>
      <c r="BB572" s="24"/>
      <c r="BC572" s="49"/>
      <c r="BD572" s="33"/>
      <c r="BE572" s="24"/>
      <c r="BF572" s="24"/>
      <c r="BG572" s="24"/>
    </row>
    <row r="573" spans="37:59" x14ac:dyDescent="0.2">
      <c r="AK573" s="33"/>
      <c r="AL573" s="33"/>
      <c r="AM573" s="24"/>
      <c r="AN573" s="24"/>
      <c r="AO573" s="24"/>
      <c r="AP573" s="24"/>
      <c r="AQ573" s="49"/>
      <c r="AR573" s="33"/>
      <c r="AS573" s="24"/>
      <c r="AT573" s="24"/>
      <c r="AU573" s="24"/>
      <c r="AV573" s="24"/>
      <c r="AW573" s="49"/>
      <c r="AX573" s="33"/>
      <c r="AY573" s="24"/>
      <c r="AZ573" s="24"/>
      <c r="BA573" s="24"/>
      <c r="BB573" s="24"/>
      <c r="BC573" s="49"/>
      <c r="BD573" s="33"/>
      <c r="BE573" s="24"/>
      <c r="BF573" s="24"/>
      <c r="BG573" s="24"/>
    </row>
    <row r="574" spans="37:59" x14ac:dyDescent="0.2">
      <c r="AK574" s="33"/>
      <c r="AL574" s="33"/>
      <c r="AM574" s="24"/>
      <c r="AN574" s="24"/>
      <c r="AO574" s="24"/>
      <c r="AP574" s="24"/>
      <c r="AQ574" s="49"/>
      <c r="AR574" s="33"/>
      <c r="AS574" s="24"/>
      <c r="AT574" s="24"/>
      <c r="AU574" s="24"/>
      <c r="AV574" s="24"/>
      <c r="AW574" s="49"/>
      <c r="AX574" s="33"/>
      <c r="AY574" s="24"/>
      <c r="AZ574" s="24"/>
      <c r="BA574" s="24"/>
      <c r="BB574" s="24"/>
      <c r="BC574" s="49"/>
      <c r="BD574" s="33"/>
      <c r="BE574" s="24"/>
      <c r="BF574" s="24"/>
      <c r="BG574" s="24"/>
    </row>
    <row r="575" spans="37:59" x14ac:dyDescent="0.2">
      <c r="AK575" s="33"/>
      <c r="AL575" s="33"/>
      <c r="AM575" s="24"/>
      <c r="AN575" s="24"/>
      <c r="AO575" s="24"/>
      <c r="AP575" s="24"/>
      <c r="AQ575" s="49"/>
      <c r="AR575" s="33"/>
      <c r="AS575" s="24"/>
      <c r="AT575" s="24"/>
      <c r="AU575" s="24"/>
      <c r="AV575" s="24"/>
      <c r="AW575" s="49"/>
      <c r="AX575" s="33"/>
      <c r="AY575" s="24"/>
      <c r="AZ575" s="24"/>
      <c r="BA575" s="24"/>
      <c r="BB575" s="24"/>
      <c r="BC575" s="49"/>
      <c r="BD575" s="33"/>
      <c r="BE575" s="24"/>
      <c r="BF575" s="24"/>
      <c r="BG575" s="24"/>
    </row>
    <row r="576" spans="37:59" x14ac:dyDescent="0.2">
      <c r="AK576" s="33"/>
      <c r="AL576" s="33"/>
      <c r="AM576" s="24"/>
      <c r="AN576" s="24"/>
      <c r="AO576" s="24"/>
      <c r="AP576" s="24"/>
      <c r="AQ576" s="49"/>
      <c r="AR576" s="33"/>
      <c r="AS576" s="24"/>
      <c r="AT576" s="24"/>
      <c r="AU576" s="24"/>
      <c r="AV576" s="24"/>
      <c r="AW576" s="49"/>
      <c r="AX576" s="33"/>
      <c r="AY576" s="24"/>
      <c r="AZ576" s="24"/>
      <c r="BA576" s="24"/>
      <c r="BB576" s="24"/>
      <c r="BC576" s="49"/>
      <c r="BD576" s="33"/>
      <c r="BE576" s="24"/>
      <c r="BF576" s="24"/>
      <c r="BG576" s="24"/>
    </row>
    <row r="577" spans="37:59" x14ac:dyDescent="0.2">
      <c r="AK577" s="33"/>
      <c r="AL577" s="33"/>
      <c r="AM577" s="24"/>
      <c r="AN577" s="24"/>
      <c r="AO577" s="24"/>
      <c r="AP577" s="24"/>
      <c r="AQ577" s="49"/>
      <c r="AR577" s="33"/>
      <c r="AS577" s="24"/>
      <c r="AT577" s="24"/>
      <c r="AU577" s="24"/>
      <c r="AV577" s="24"/>
      <c r="AW577" s="49"/>
      <c r="AX577" s="33"/>
      <c r="AY577" s="24"/>
      <c r="AZ577" s="24"/>
      <c r="BA577" s="24"/>
      <c r="BB577" s="24"/>
      <c r="BC577" s="49"/>
      <c r="BD577" s="33"/>
      <c r="BE577" s="24"/>
      <c r="BF577" s="24"/>
      <c r="BG577" s="24"/>
    </row>
    <row r="578" spans="37:59" x14ac:dyDescent="0.2">
      <c r="AK578" s="33"/>
      <c r="AL578" s="33"/>
      <c r="AM578" s="24"/>
      <c r="AN578" s="24"/>
      <c r="AO578" s="24"/>
      <c r="AP578" s="24"/>
      <c r="AQ578" s="49"/>
      <c r="AR578" s="33"/>
      <c r="AS578" s="24"/>
      <c r="AT578" s="24"/>
      <c r="AU578" s="24"/>
      <c r="AV578" s="24"/>
      <c r="AW578" s="49"/>
      <c r="AX578" s="33"/>
      <c r="AY578" s="24"/>
      <c r="AZ578" s="24"/>
      <c r="BA578" s="24"/>
      <c r="BB578" s="24"/>
      <c r="BC578" s="49"/>
      <c r="BD578" s="33"/>
      <c r="BE578" s="24"/>
      <c r="BF578" s="24"/>
      <c r="BG578" s="24"/>
    </row>
    <row r="579" spans="37:59" x14ac:dyDescent="0.2">
      <c r="AK579" s="24"/>
      <c r="AL579" s="33"/>
      <c r="AM579" s="24"/>
      <c r="AN579" s="24"/>
      <c r="AO579" s="24"/>
      <c r="AP579" s="24"/>
      <c r="AQ579" s="49"/>
      <c r="AR579" s="33"/>
      <c r="AS579" s="24"/>
      <c r="AT579" s="24"/>
      <c r="AU579" s="24"/>
      <c r="AV579" s="24"/>
      <c r="AW579" s="49"/>
      <c r="AX579" s="33"/>
      <c r="AY579" s="24"/>
      <c r="AZ579" s="24"/>
      <c r="BA579" s="24"/>
      <c r="BB579" s="24"/>
      <c r="BC579" s="49"/>
      <c r="BD579" s="33"/>
      <c r="BE579" s="24"/>
      <c r="BF579" s="24"/>
      <c r="BG579" s="24"/>
    </row>
    <row r="580" spans="37:59" x14ac:dyDescent="0.2">
      <c r="AK580" s="33"/>
      <c r="AL580" s="33"/>
      <c r="AM580" s="24"/>
      <c r="AN580" s="24"/>
      <c r="AO580" s="24"/>
      <c r="AP580" s="24"/>
      <c r="AQ580" s="25"/>
      <c r="AR580" s="33"/>
      <c r="AS580" s="24"/>
      <c r="AT580" s="24"/>
      <c r="AU580" s="24"/>
      <c r="AV580" s="24"/>
      <c r="AW580" s="49"/>
      <c r="AX580" s="33"/>
      <c r="AY580" s="24"/>
      <c r="AZ580" s="24"/>
      <c r="BA580" s="24"/>
      <c r="BB580" s="24"/>
      <c r="BC580" s="49"/>
      <c r="BD580" s="33"/>
      <c r="BE580" s="24"/>
      <c r="BF580" s="24"/>
      <c r="BG580" s="24"/>
    </row>
    <row r="581" spans="37:59" x14ac:dyDescent="0.2">
      <c r="AK581" s="33"/>
      <c r="AL581" s="33"/>
      <c r="AM581" s="24"/>
      <c r="AN581" s="24"/>
      <c r="AO581" s="24"/>
      <c r="AP581" s="24"/>
      <c r="AQ581" s="25"/>
      <c r="AR581" s="33"/>
      <c r="AS581" s="24"/>
      <c r="AT581" s="24"/>
      <c r="AU581" s="24"/>
      <c r="AV581" s="24"/>
      <c r="AW581" s="49"/>
      <c r="AX581" s="33"/>
      <c r="AY581" s="24"/>
      <c r="AZ581" s="24"/>
      <c r="BA581" s="24"/>
      <c r="BB581" s="24"/>
      <c r="BC581" s="49"/>
      <c r="BD581" s="33"/>
      <c r="BE581" s="24"/>
      <c r="BF581" s="24"/>
      <c r="BG581" s="24"/>
    </row>
    <row r="582" spans="37:59" x14ac:dyDescent="0.2">
      <c r="AK582" s="33"/>
      <c r="AL582" s="33"/>
      <c r="AM582" s="24"/>
      <c r="AN582" s="24"/>
      <c r="AO582" s="24"/>
      <c r="AP582" s="24"/>
      <c r="AQ582" s="25"/>
      <c r="AR582" s="33"/>
      <c r="AS582" s="24"/>
      <c r="AT582" s="24"/>
      <c r="AU582" s="24"/>
      <c r="AV582" s="24"/>
      <c r="AW582" s="49"/>
      <c r="AX582" s="33"/>
      <c r="AY582" s="24"/>
      <c r="AZ582" s="24"/>
      <c r="BA582" s="24"/>
      <c r="BB582" s="24"/>
      <c r="BC582" s="49"/>
      <c r="BD582" s="33"/>
      <c r="BE582" s="24"/>
      <c r="BF582" s="24"/>
      <c r="BG582" s="24"/>
    </row>
    <row r="583" spans="37:59" x14ac:dyDescent="0.2">
      <c r="AK583" s="33"/>
      <c r="AL583" s="33"/>
      <c r="AM583" s="24"/>
      <c r="AN583" s="24"/>
      <c r="AO583" s="24"/>
      <c r="AP583" s="24"/>
      <c r="AQ583" s="25"/>
      <c r="AR583" s="33"/>
      <c r="AS583" s="24"/>
      <c r="AT583" s="24"/>
      <c r="AU583" s="24"/>
      <c r="AV583" s="24"/>
      <c r="AW583" s="49"/>
      <c r="AX583" s="33"/>
      <c r="AY583" s="24"/>
      <c r="AZ583" s="24"/>
      <c r="BA583" s="24"/>
      <c r="BB583" s="24"/>
      <c r="BC583" s="49"/>
      <c r="BD583" s="33"/>
      <c r="BE583" s="24"/>
      <c r="BF583" s="24"/>
      <c r="BG583" s="24"/>
    </row>
    <row r="584" spans="37:59" x14ac:dyDescent="0.2">
      <c r="AK584" s="33"/>
      <c r="AL584" s="33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49"/>
      <c r="AX584" s="33"/>
      <c r="AY584" s="24"/>
      <c r="AZ584" s="24"/>
      <c r="BA584" s="24"/>
      <c r="BB584" s="24"/>
      <c r="BC584" s="49"/>
      <c r="BD584" s="33"/>
      <c r="BE584" s="24"/>
      <c r="BF584" s="24"/>
      <c r="BG584" s="24"/>
    </row>
    <row r="585" spans="37:59" x14ac:dyDescent="0.2">
      <c r="AK585" s="33"/>
      <c r="AL585" s="33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49"/>
      <c r="AX585" s="33"/>
      <c r="AY585" s="24"/>
      <c r="AZ585" s="24"/>
      <c r="BA585" s="24"/>
      <c r="BB585" s="24"/>
      <c r="BC585" s="49"/>
      <c r="BD585" s="33"/>
      <c r="BE585" s="24"/>
      <c r="BF585" s="24"/>
      <c r="BG585" s="24"/>
    </row>
    <row r="586" spans="37:59" x14ac:dyDescent="0.2">
      <c r="AK586" s="33"/>
      <c r="AL586" s="33"/>
      <c r="AM586" s="24"/>
      <c r="AN586" s="24"/>
      <c r="AO586" s="24"/>
      <c r="AP586" s="24"/>
      <c r="AQ586" s="33"/>
      <c r="AR586" s="24"/>
      <c r="AS586" s="24"/>
      <c r="AT586" s="24"/>
      <c r="AU586" s="24"/>
      <c r="AV586" s="24"/>
      <c r="AW586" s="49"/>
      <c r="AX586" s="33"/>
      <c r="AY586" s="24"/>
      <c r="AZ586" s="24"/>
      <c r="BA586" s="24"/>
      <c r="BB586" s="24"/>
      <c r="BC586" s="49"/>
      <c r="BD586" s="33"/>
      <c r="BE586" s="24"/>
      <c r="BF586" s="24"/>
      <c r="BG586" s="24"/>
    </row>
    <row r="587" spans="37:59" x14ac:dyDescent="0.2">
      <c r="AK587" s="33"/>
      <c r="AL587" s="33"/>
      <c r="AM587" s="24"/>
      <c r="AN587" s="24"/>
      <c r="AO587" s="24"/>
      <c r="AP587" s="24"/>
      <c r="AQ587" s="33"/>
      <c r="AR587" s="33"/>
      <c r="AS587" s="33"/>
      <c r="AT587" s="33"/>
      <c r="AU587" s="24"/>
      <c r="AV587" s="24"/>
      <c r="AW587" s="49"/>
      <c r="AX587" s="33"/>
      <c r="AY587" s="24"/>
      <c r="AZ587" s="24"/>
      <c r="BA587" s="24"/>
      <c r="BB587" s="24"/>
      <c r="BC587" s="49"/>
      <c r="BD587" s="33"/>
      <c r="BE587" s="24"/>
      <c r="BF587" s="24"/>
      <c r="BG587" s="24"/>
    </row>
    <row r="588" spans="37:59" x14ac:dyDescent="0.2">
      <c r="AK588" s="33"/>
      <c r="AL588" s="33"/>
      <c r="AM588" s="24"/>
      <c r="AN588" s="24"/>
      <c r="AO588" s="24"/>
      <c r="AP588" s="24"/>
      <c r="AQ588" s="49"/>
      <c r="AR588" s="33"/>
      <c r="AS588" s="33"/>
      <c r="AT588" s="33"/>
      <c r="AU588" s="24"/>
      <c r="AV588" s="24"/>
      <c r="AW588" s="49"/>
      <c r="AX588" s="33"/>
      <c r="AY588" s="24"/>
      <c r="AZ588" s="24"/>
      <c r="BA588" s="24"/>
      <c r="BB588" s="24"/>
      <c r="BC588" s="49"/>
      <c r="BD588" s="33"/>
      <c r="BE588" s="24"/>
      <c r="BF588" s="24"/>
      <c r="BG588" s="24"/>
    </row>
    <row r="589" spans="37:59" x14ac:dyDescent="0.2">
      <c r="AK589" s="33"/>
      <c r="AL589" s="33"/>
      <c r="AM589" s="24"/>
      <c r="AN589" s="24"/>
      <c r="AO589" s="24"/>
      <c r="AP589" s="24"/>
      <c r="AQ589" s="49"/>
      <c r="AR589" s="33"/>
      <c r="AS589" s="33"/>
      <c r="AT589" s="33"/>
      <c r="AU589" s="24"/>
      <c r="AV589" s="24"/>
      <c r="AW589" s="49"/>
      <c r="AX589" s="33"/>
      <c r="AY589" s="24"/>
      <c r="AZ589" s="24"/>
      <c r="BA589" s="24"/>
      <c r="BB589" s="24"/>
      <c r="BC589" s="49"/>
      <c r="BD589" s="33"/>
      <c r="BE589" s="24"/>
      <c r="BF589" s="24"/>
      <c r="BG589" s="24"/>
    </row>
    <row r="590" spans="37:59" x14ac:dyDescent="0.2">
      <c r="AK590" s="24"/>
      <c r="AL590" s="24"/>
      <c r="AM590" s="24"/>
      <c r="AN590" s="24"/>
      <c r="AO590" s="24"/>
      <c r="AP590" s="24"/>
      <c r="AQ590" s="49"/>
      <c r="AR590" s="33"/>
      <c r="AS590" s="33"/>
      <c r="AT590" s="33"/>
      <c r="AU590" s="24"/>
      <c r="AV590" s="24"/>
      <c r="AW590" s="49"/>
      <c r="AX590" s="33"/>
      <c r="AY590" s="24"/>
      <c r="AZ590" s="24"/>
      <c r="BA590" s="24"/>
      <c r="BB590" s="24"/>
      <c r="BC590" s="49"/>
      <c r="BD590" s="33"/>
      <c r="BE590" s="24"/>
      <c r="BF590" s="24"/>
      <c r="BG590" s="24"/>
    </row>
    <row r="591" spans="37:59" x14ac:dyDescent="0.2">
      <c r="AK591" s="24"/>
      <c r="AL591" s="24"/>
      <c r="AM591" s="24"/>
      <c r="AN591" s="24"/>
      <c r="AO591" s="24"/>
      <c r="AP591" s="24"/>
      <c r="AQ591" s="49"/>
      <c r="AR591" s="33"/>
      <c r="AS591" s="33"/>
      <c r="AT591" s="33"/>
      <c r="AU591" s="24"/>
      <c r="AV591" s="24"/>
      <c r="AW591" s="49"/>
      <c r="AX591" s="33"/>
      <c r="AY591" s="24"/>
      <c r="AZ591" s="24"/>
      <c r="BA591" s="24"/>
      <c r="BB591" s="24"/>
      <c r="BC591" s="49"/>
      <c r="BD591" s="33"/>
      <c r="BE591" s="24"/>
      <c r="BF591" s="24"/>
      <c r="BG591" s="24"/>
    </row>
    <row r="592" spans="37:59" x14ac:dyDescent="0.2">
      <c r="AK592" s="24"/>
      <c r="AL592" s="24"/>
      <c r="AM592" s="24"/>
      <c r="AN592" s="24"/>
      <c r="AO592" s="24"/>
      <c r="AP592" s="24"/>
      <c r="AQ592" s="49"/>
      <c r="AR592" s="33"/>
      <c r="AS592" s="33"/>
      <c r="AT592" s="33"/>
      <c r="AU592" s="24"/>
      <c r="AV592" s="24"/>
      <c r="AW592" s="49"/>
      <c r="AX592" s="33"/>
      <c r="AY592" s="24"/>
      <c r="AZ592" s="24"/>
      <c r="BA592" s="24"/>
      <c r="BB592" s="24"/>
      <c r="BC592" s="49"/>
      <c r="BD592" s="33"/>
      <c r="BE592" s="24"/>
      <c r="BF592" s="24"/>
      <c r="BG592" s="24"/>
    </row>
    <row r="593" spans="37:59" x14ac:dyDescent="0.2">
      <c r="AK593" s="24"/>
      <c r="AL593" s="24"/>
      <c r="AM593" s="24"/>
      <c r="AN593" s="24"/>
      <c r="AO593" s="24"/>
      <c r="AP593" s="24"/>
      <c r="AQ593" s="49"/>
      <c r="AR593" s="33"/>
      <c r="AS593" s="33"/>
      <c r="AT593" s="33"/>
      <c r="AU593" s="24"/>
      <c r="AV593" s="24"/>
      <c r="AW593" s="49"/>
      <c r="AX593" s="33"/>
      <c r="AY593" s="24"/>
      <c r="AZ593" s="24"/>
      <c r="BA593" s="24"/>
      <c r="BB593" s="24"/>
      <c r="BC593" s="49"/>
      <c r="BD593" s="33"/>
      <c r="BE593" s="24"/>
      <c r="BF593" s="24"/>
      <c r="BG593" s="24"/>
    </row>
    <row r="594" spans="37:59" x14ac:dyDescent="0.2">
      <c r="AK594" s="24"/>
      <c r="AL594" s="24"/>
      <c r="AM594" s="24"/>
      <c r="AN594" s="24"/>
      <c r="AO594" s="24"/>
      <c r="AP594" s="24"/>
      <c r="AQ594" s="49"/>
      <c r="AR594" s="33"/>
      <c r="AS594" s="33"/>
      <c r="AT594" s="33"/>
      <c r="AU594" s="24"/>
      <c r="AV594" s="24"/>
      <c r="AW594" s="49"/>
      <c r="AX594" s="33"/>
      <c r="AY594" s="24"/>
      <c r="AZ594" s="24"/>
      <c r="BA594" s="24"/>
      <c r="BB594" s="24"/>
      <c r="BC594" s="49"/>
      <c r="BD594" s="33"/>
      <c r="BE594" s="24"/>
      <c r="BF594" s="24"/>
      <c r="BG594" s="24"/>
    </row>
    <row r="595" spans="37:59" x14ac:dyDescent="0.2">
      <c r="AK595" s="24"/>
      <c r="AL595" s="24"/>
      <c r="AM595" s="24"/>
      <c r="AN595" s="24"/>
      <c r="AO595" s="24"/>
      <c r="AP595" s="24"/>
      <c r="AQ595" s="49"/>
      <c r="AR595" s="33"/>
      <c r="AS595" s="33"/>
      <c r="AT595" s="33"/>
      <c r="AU595" s="24"/>
      <c r="AV595" s="24"/>
      <c r="AW595" s="49"/>
      <c r="AX595" s="33"/>
      <c r="AY595" s="24"/>
      <c r="AZ595" s="24"/>
      <c r="BA595" s="24"/>
      <c r="BB595" s="24"/>
      <c r="BC595" s="49"/>
      <c r="BD595" s="33"/>
      <c r="BE595" s="24"/>
      <c r="BF595" s="24"/>
      <c r="BG595" s="24"/>
    </row>
    <row r="596" spans="37:59" x14ac:dyDescent="0.2">
      <c r="AK596" s="24"/>
      <c r="AL596" s="24"/>
      <c r="AM596" s="24"/>
      <c r="AN596" s="24"/>
      <c r="AO596" s="24"/>
      <c r="AP596" s="24"/>
      <c r="AQ596" s="49"/>
      <c r="AR596" s="33"/>
      <c r="AS596" s="33"/>
      <c r="AT596" s="33"/>
      <c r="AU596" s="24"/>
      <c r="AV596" s="24"/>
      <c r="AW596" s="25"/>
      <c r="AX596" s="33"/>
      <c r="AY596" s="24"/>
      <c r="AZ596" s="24"/>
      <c r="BA596" s="24"/>
      <c r="BB596" s="24"/>
      <c r="BC596" s="25"/>
      <c r="BD596" s="33"/>
      <c r="BE596" s="24"/>
      <c r="BF596" s="24"/>
      <c r="BG596" s="24"/>
    </row>
    <row r="597" spans="37:59" x14ac:dyDescent="0.2">
      <c r="AK597" s="24"/>
      <c r="AL597" s="24"/>
      <c r="AM597" s="24"/>
      <c r="AN597" s="24"/>
      <c r="AO597" s="24"/>
      <c r="AP597" s="24"/>
      <c r="AQ597" s="49"/>
      <c r="AR597" s="33"/>
      <c r="AS597" s="33"/>
      <c r="AT597" s="33"/>
      <c r="AU597" s="24"/>
      <c r="AV597" s="24"/>
      <c r="AW597" s="25"/>
      <c r="AX597" s="33"/>
      <c r="AY597" s="24"/>
      <c r="AZ597" s="24"/>
      <c r="BA597" s="24"/>
      <c r="BB597" s="24"/>
      <c r="BC597" s="25"/>
      <c r="BD597" s="33"/>
      <c r="BE597" s="24"/>
      <c r="BF597" s="24"/>
      <c r="BG597" s="24"/>
    </row>
    <row r="598" spans="37:59" x14ac:dyDescent="0.2">
      <c r="AK598" s="24"/>
      <c r="AL598" s="24"/>
      <c r="AM598" s="24"/>
      <c r="AN598" s="24"/>
      <c r="AO598" s="24"/>
      <c r="AP598" s="24"/>
      <c r="AQ598" s="49"/>
      <c r="AR598" s="33"/>
      <c r="AS598" s="33"/>
      <c r="AT598" s="33"/>
      <c r="AU598" s="24"/>
      <c r="AV598" s="24"/>
      <c r="AW598" s="25"/>
      <c r="AX598" s="33"/>
      <c r="AY598" s="24"/>
      <c r="AZ598" s="24"/>
      <c r="BA598" s="24"/>
      <c r="BB598" s="24"/>
      <c r="BC598" s="25"/>
      <c r="BD598" s="33"/>
      <c r="BE598" s="24"/>
      <c r="BF598" s="24"/>
      <c r="BG598" s="24"/>
    </row>
    <row r="599" spans="37:59" x14ac:dyDescent="0.2">
      <c r="AK599" s="24"/>
      <c r="AL599" s="24"/>
      <c r="AM599" s="24"/>
      <c r="AN599" s="24"/>
      <c r="AO599" s="24"/>
      <c r="AP599" s="24"/>
      <c r="AQ599" s="49"/>
      <c r="AR599" s="33"/>
      <c r="AS599" s="33"/>
      <c r="AT599" s="33"/>
      <c r="AU599" s="24"/>
      <c r="AV599" s="24"/>
      <c r="AW599" s="25"/>
      <c r="AX599" s="33"/>
      <c r="AY599" s="24"/>
      <c r="AZ599" s="24"/>
      <c r="BA599" s="24"/>
      <c r="BB599" s="24"/>
      <c r="BC599" s="25"/>
      <c r="BD599" s="33"/>
      <c r="BE599" s="24"/>
      <c r="BF599" s="24"/>
      <c r="BG599" s="24"/>
    </row>
    <row r="600" spans="37:59" x14ac:dyDescent="0.2">
      <c r="AK600" s="24"/>
      <c r="AL600" s="24"/>
      <c r="AM600" s="24"/>
      <c r="AN600" s="24"/>
      <c r="AO600" s="24"/>
      <c r="AP600" s="24"/>
      <c r="AQ600" s="25"/>
      <c r="AR600" s="33"/>
      <c r="AS600" s="24"/>
      <c r="AT600" s="24"/>
      <c r="AU600" s="24"/>
      <c r="AV600" s="24"/>
      <c r="AW600" s="25"/>
      <c r="AX600" s="33"/>
      <c r="AY600" s="24"/>
      <c r="AZ600" s="24"/>
      <c r="BA600" s="24"/>
      <c r="BB600" s="24"/>
      <c r="BC600" s="25"/>
      <c r="BD600" s="33"/>
      <c r="BE600" s="24"/>
      <c r="BF600" s="24"/>
      <c r="BG600" s="24"/>
    </row>
    <row r="601" spans="37:59" x14ac:dyDescent="0.2">
      <c r="AK601" s="24"/>
      <c r="AL601" s="24"/>
      <c r="AM601" s="24"/>
      <c r="AN601" s="24"/>
      <c r="AO601" s="24"/>
      <c r="AP601" s="24"/>
      <c r="AQ601" s="49"/>
      <c r="AR601" s="33"/>
      <c r="AS601" s="24"/>
      <c r="AT601" s="24"/>
      <c r="AU601" s="24"/>
      <c r="AV601" s="24"/>
      <c r="AW601" s="25"/>
      <c r="AX601" s="33"/>
      <c r="AY601" s="24"/>
      <c r="AZ601" s="24"/>
      <c r="BA601" s="24"/>
      <c r="BB601" s="24"/>
      <c r="BC601" s="25"/>
      <c r="BD601" s="33"/>
      <c r="BE601" s="24"/>
      <c r="BF601" s="24"/>
      <c r="BG601" s="24"/>
    </row>
    <row r="602" spans="37:59" x14ac:dyDescent="0.2">
      <c r="AK602" s="24"/>
      <c r="AL602" s="24"/>
      <c r="AM602" s="24"/>
      <c r="AN602" s="24"/>
      <c r="AO602" s="24"/>
      <c r="AP602" s="24"/>
      <c r="AQ602" s="49"/>
      <c r="AR602" s="33"/>
      <c r="AS602" s="24"/>
      <c r="AT602" s="24"/>
      <c r="AU602" s="24"/>
      <c r="AV602" s="24"/>
      <c r="AW602" s="25"/>
      <c r="AX602" s="33"/>
      <c r="AY602" s="24"/>
      <c r="AZ602" s="24"/>
      <c r="BA602" s="24"/>
      <c r="BB602" s="24"/>
      <c r="BC602" s="25"/>
      <c r="BD602" s="33"/>
      <c r="BE602" s="24"/>
      <c r="BF602" s="24"/>
      <c r="BG602" s="24"/>
    </row>
    <row r="603" spans="37:59" x14ac:dyDescent="0.2">
      <c r="AK603" s="24"/>
      <c r="AL603" s="24"/>
      <c r="AM603" s="24"/>
      <c r="AN603" s="24"/>
      <c r="AO603" s="24"/>
      <c r="AP603" s="24"/>
      <c r="AQ603" s="49"/>
      <c r="AR603" s="33"/>
      <c r="AS603" s="24"/>
      <c r="AT603" s="24"/>
      <c r="AU603" s="24"/>
      <c r="AV603" s="24"/>
      <c r="AW603" s="25"/>
      <c r="AX603" s="33"/>
      <c r="AY603" s="24"/>
      <c r="AZ603" s="24"/>
      <c r="BA603" s="24"/>
      <c r="BB603" s="24"/>
      <c r="BC603" s="25"/>
      <c r="BD603" s="33"/>
      <c r="BE603" s="24"/>
      <c r="BF603" s="24"/>
      <c r="BG603" s="24"/>
    </row>
    <row r="604" spans="37:59" x14ac:dyDescent="0.2">
      <c r="AK604" s="24"/>
      <c r="AL604" s="24"/>
      <c r="AM604" s="24"/>
      <c r="AN604" s="24"/>
      <c r="AO604" s="24"/>
      <c r="AP604" s="24"/>
      <c r="AQ604" s="49"/>
      <c r="AR604" s="33"/>
      <c r="AS604" s="24"/>
      <c r="AT604" s="24"/>
      <c r="AU604" s="24"/>
      <c r="AV604" s="24"/>
      <c r="AW604" s="25"/>
      <c r="AX604" s="33"/>
      <c r="AY604" s="24"/>
      <c r="AZ604" s="24"/>
      <c r="BA604" s="24"/>
      <c r="BB604" s="24"/>
      <c r="BC604" s="25"/>
      <c r="BD604" s="33"/>
      <c r="BE604" s="24"/>
      <c r="BF604" s="24"/>
      <c r="BG604" s="24"/>
    </row>
    <row r="605" spans="37:59" x14ac:dyDescent="0.2">
      <c r="AK605" s="24"/>
      <c r="AL605" s="24"/>
      <c r="AM605" s="24"/>
      <c r="AN605" s="24"/>
      <c r="AO605" s="24"/>
      <c r="AP605" s="24"/>
      <c r="AQ605" s="49"/>
      <c r="AR605" s="33"/>
      <c r="AS605" s="24"/>
      <c r="AT605" s="24"/>
      <c r="AU605" s="24"/>
      <c r="AV605" s="24"/>
      <c r="AW605" s="25"/>
      <c r="AX605" s="33"/>
      <c r="AY605" s="24"/>
      <c r="AZ605" s="24"/>
      <c r="BA605" s="24"/>
      <c r="BB605" s="24"/>
      <c r="BC605" s="25"/>
      <c r="BD605" s="33"/>
      <c r="BE605" s="24"/>
      <c r="BF605" s="24"/>
      <c r="BG605" s="24"/>
    </row>
    <row r="606" spans="37:59" x14ac:dyDescent="0.2">
      <c r="AK606" s="24"/>
      <c r="AL606" s="24"/>
      <c r="AM606" s="24"/>
      <c r="AN606" s="24"/>
      <c r="AO606" s="24"/>
      <c r="AP606" s="24"/>
      <c r="AQ606" s="49"/>
      <c r="AR606" s="33"/>
      <c r="AS606" s="24"/>
      <c r="AT606" s="24"/>
      <c r="AU606" s="24"/>
      <c r="AV606" s="24"/>
      <c r="AW606" s="25"/>
      <c r="AX606" s="33"/>
      <c r="AY606" s="24"/>
      <c r="AZ606" s="24"/>
      <c r="BA606" s="24"/>
      <c r="BB606" s="24"/>
      <c r="BC606" s="25"/>
      <c r="BD606" s="33"/>
      <c r="BE606" s="24"/>
      <c r="BF606" s="24"/>
      <c r="BG606" s="24"/>
    </row>
    <row r="607" spans="37:59" x14ac:dyDescent="0.2">
      <c r="AK607" s="24"/>
      <c r="AL607" s="24"/>
      <c r="AM607" s="24"/>
      <c r="AN607" s="24"/>
      <c r="AO607" s="24"/>
      <c r="AP607" s="24"/>
      <c r="AQ607" s="49"/>
      <c r="AR607" s="33"/>
      <c r="AS607" s="24"/>
      <c r="AT607" s="24"/>
      <c r="AU607" s="24"/>
      <c r="AV607" s="24"/>
      <c r="AW607" s="25"/>
      <c r="AX607" s="33"/>
      <c r="AY607" s="24"/>
      <c r="AZ607" s="24"/>
      <c r="BA607" s="24"/>
      <c r="BB607" s="24"/>
      <c r="BC607" s="25"/>
      <c r="BD607" s="33"/>
      <c r="BE607" s="24"/>
      <c r="BF607" s="24"/>
      <c r="BG607" s="24"/>
    </row>
    <row r="608" spans="37:59" x14ac:dyDescent="0.2">
      <c r="AK608" s="24"/>
      <c r="AL608" s="24"/>
      <c r="AM608" s="24"/>
      <c r="AN608" s="24"/>
      <c r="AO608" s="24"/>
      <c r="AP608" s="24"/>
      <c r="AQ608" s="49"/>
      <c r="AR608" s="33"/>
      <c r="AS608" s="24"/>
      <c r="AT608" s="24"/>
      <c r="AU608" s="24"/>
      <c r="AV608" s="24"/>
      <c r="AW608" s="25"/>
      <c r="AX608" s="33"/>
      <c r="AY608" s="24"/>
      <c r="AZ608" s="24"/>
      <c r="BA608" s="24"/>
      <c r="BB608" s="24"/>
      <c r="BC608" s="25"/>
      <c r="BD608" s="33"/>
      <c r="BE608" s="24"/>
      <c r="BF608" s="24"/>
      <c r="BG608" s="24"/>
    </row>
    <row r="609" spans="37:59" x14ac:dyDescent="0.2">
      <c r="AK609" s="24"/>
      <c r="AL609" s="24"/>
      <c r="AM609" s="24"/>
      <c r="AN609" s="24"/>
      <c r="AO609" s="24"/>
      <c r="AP609" s="24"/>
      <c r="AQ609" s="49"/>
      <c r="AR609" s="33"/>
      <c r="AS609" s="24"/>
      <c r="AT609" s="24"/>
      <c r="AU609" s="24"/>
      <c r="AV609" s="24"/>
      <c r="AW609" s="25"/>
      <c r="AX609" s="33"/>
      <c r="AY609" s="24"/>
      <c r="AZ609" s="24"/>
      <c r="BA609" s="24"/>
      <c r="BB609" s="24"/>
      <c r="BC609" s="25"/>
      <c r="BD609" s="33"/>
      <c r="BE609" s="24"/>
      <c r="BF609" s="24"/>
      <c r="BG609" s="24"/>
    </row>
    <row r="610" spans="37:59" x14ac:dyDescent="0.2">
      <c r="AK610" s="24"/>
      <c r="AL610" s="24"/>
      <c r="AM610" s="24"/>
      <c r="AN610" s="24"/>
      <c r="AO610" s="24"/>
      <c r="AP610" s="24"/>
      <c r="AQ610" s="49"/>
      <c r="AR610" s="33"/>
      <c r="AS610" s="24"/>
      <c r="AT610" s="24"/>
      <c r="AU610" s="24"/>
      <c r="AV610" s="24"/>
      <c r="AW610" s="25"/>
      <c r="AX610" s="33"/>
      <c r="AY610" s="24"/>
      <c r="AZ610" s="24"/>
      <c r="BA610" s="24"/>
      <c r="BB610" s="24"/>
      <c r="BC610" s="25"/>
      <c r="BD610" s="33"/>
      <c r="BE610" s="24"/>
      <c r="BF610" s="24"/>
      <c r="BG610" s="24"/>
    </row>
    <row r="611" spans="37:59" x14ac:dyDescent="0.2">
      <c r="AK611" s="24"/>
      <c r="AL611" s="24"/>
      <c r="AM611" s="24"/>
      <c r="AN611" s="24"/>
      <c r="AO611" s="24"/>
      <c r="AP611" s="24"/>
      <c r="AQ611" s="49"/>
      <c r="AR611" s="33"/>
      <c r="AS611" s="24"/>
      <c r="AT611" s="24"/>
      <c r="AU611" s="24"/>
      <c r="AV611" s="24"/>
      <c r="AW611" s="25"/>
      <c r="AX611" s="33"/>
      <c r="AY611" s="24"/>
      <c r="AZ611" s="24"/>
      <c r="BA611" s="24"/>
      <c r="BB611" s="24"/>
      <c r="BC611" s="25"/>
      <c r="BD611" s="33"/>
      <c r="BE611" s="24"/>
      <c r="BF611" s="24"/>
      <c r="BG611" s="24"/>
    </row>
    <row r="612" spans="37:59" x14ac:dyDescent="0.2">
      <c r="AK612" s="24"/>
      <c r="AL612" s="24"/>
      <c r="AM612" s="24"/>
      <c r="AN612" s="24"/>
      <c r="AO612" s="24"/>
      <c r="AP612" s="24"/>
      <c r="AQ612" s="49"/>
      <c r="AR612" s="33"/>
      <c r="AS612" s="24"/>
      <c r="AT612" s="24"/>
      <c r="AU612" s="24"/>
      <c r="AV612" s="24"/>
      <c r="AW612" s="25"/>
      <c r="AX612" s="33"/>
      <c r="AY612" s="24"/>
      <c r="AZ612" s="24"/>
      <c r="BA612" s="24"/>
      <c r="BB612" s="24"/>
      <c r="BC612" s="25"/>
      <c r="BD612" s="33"/>
      <c r="BE612" s="24"/>
      <c r="BF612" s="24"/>
      <c r="BG612" s="24"/>
    </row>
    <row r="613" spans="37:59" x14ac:dyDescent="0.2">
      <c r="AK613" s="24"/>
      <c r="AL613" s="24"/>
      <c r="AM613" s="24"/>
      <c r="AN613" s="24"/>
      <c r="AO613" s="24"/>
      <c r="AP613" s="24"/>
      <c r="AQ613" s="49"/>
      <c r="AR613" s="33"/>
      <c r="AS613" s="24"/>
      <c r="AT613" s="24"/>
      <c r="AU613" s="24"/>
      <c r="AV613" s="24"/>
      <c r="AW613" s="25"/>
      <c r="AX613" s="33"/>
      <c r="AY613" s="24"/>
      <c r="AZ613" s="24"/>
      <c r="BA613" s="24"/>
      <c r="BB613" s="24"/>
      <c r="BC613" s="25"/>
      <c r="BD613" s="33"/>
      <c r="BE613" s="24"/>
      <c r="BF613" s="24"/>
      <c r="BG613" s="24"/>
    </row>
    <row r="614" spans="37:59" x14ac:dyDescent="0.2">
      <c r="AK614" s="24"/>
      <c r="AL614" s="24"/>
      <c r="AM614" s="24"/>
      <c r="AN614" s="24"/>
      <c r="AO614" s="24"/>
      <c r="AP614" s="24"/>
      <c r="AQ614" s="49"/>
      <c r="AR614" s="33"/>
      <c r="AS614" s="24"/>
      <c r="AT614" s="24"/>
      <c r="AU614" s="24"/>
      <c r="AV614" s="24"/>
      <c r="AW614" s="25"/>
      <c r="AX614" s="33"/>
      <c r="AY614" s="24"/>
      <c r="AZ614" s="24"/>
      <c r="BA614" s="24"/>
      <c r="BB614" s="24"/>
      <c r="BC614" s="25"/>
      <c r="BD614" s="33"/>
      <c r="BE614" s="24"/>
      <c r="BF614" s="24"/>
      <c r="BG614" s="24"/>
    </row>
    <row r="615" spans="37:59" x14ac:dyDescent="0.2">
      <c r="AK615" s="24"/>
      <c r="AL615" s="24"/>
      <c r="AM615" s="24"/>
      <c r="AN615" s="24"/>
      <c r="AO615" s="24"/>
      <c r="AP615" s="24"/>
      <c r="AQ615" s="49"/>
      <c r="AR615" s="33"/>
      <c r="AS615" s="24"/>
      <c r="AT615" s="24"/>
      <c r="AU615" s="24"/>
      <c r="AV615" s="24"/>
      <c r="AW615" s="25"/>
      <c r="AX615" s="33"/>
      <c r="AY615" s="24"/>
      <c r="AZ615" s="24"/>
      <c r="BA615" s="24"/>
      <c r="BB615" s="24"/>
      <c r="BC615" s="25"/>
      <c r="BD615" s="33"/>
      <c r="BE615" s="24"/>
      <c r="BF615" s="24"/>
      <c r="BG615" s="24"/>
    </row>
    <row r="616" spans="37:59" x14ac:dyDescent="0.2">
      <c r="AK616" s="24"/>
      <c r="AL616" s="24"/>
      <c r="AM616" s="24"/>
      <c r="AN616" s="24"/>
      <c r="AO616" s="24"/>
      <c r="AP616" s="24"/>
      <c r="AQ616" s="49"/>
      <c r="AR616" s="33"/>
      <c r="AS616" s="24"/>
      <c r="AT616" s="24"/>
      <c r="AU616" s="24"/>
      <c r="AV616" s="24"/>
      <c r="AW616" s="25"/>
      <c r="AX616" s="33"/>
      <c r="AY616" s="24"/>
      <c r="AZ616" s="24"/>
      <c r="BA616" s="24"/>
      <c r="BB616" s="24"/>
      <c r="BC616" s="25"/>
      <c r="BD616" s="33"/>
      <c r="BE616" s="24"/>
      <c r="BF616" s="24"/>
      <c r="BG616" s="24"/>
    </row>
    <row r="617" spans="37:59" x14ac:dyDescent="0.2">
      <c r="AK617" s="24"/>
      <c r="AL617" s="24"/>
      <c r="AM617" s="24"/>
      <c r="AN617" s="24"/>
      <c r="AO617" s="24"/>
      <c r="AP617" s="24"/>
      <c r="AQ617" s="49"/>
      <c r="AR617" s="33"/>
      <c r="AS617" s="24"/>
      <c r="AT617" s="24"/>
      <c r="AU617" s="24"/>
      <c r="AV617" s="24"/>
      <c r="AW617" s="25"/>
      <c r="AX617" s="33"/>
      <c r="AY617" s="24"/>
      <c r="AZ617" s="24"/>
      <c r="BA617" s="24"/>
      <c r="BB617" s="24"/>
      <c r="BC617" s="25"/>
      <c r="BD617" s="33"/>
      <c r="BE617" s="24"/>
      <c r="BF617" s="24"/>
      <c r="BG617" s="24"/>
    </row>
    <row r="618" spans="37:59" x14ac:dyDescent="0.2">
      <c r="AK618" s="24"/>
      <c r="AL618" s="24"/>
      <c r="AM618" s="24"/>
      <c r="AN618" s="24"/>
      <c r="AO618" s="24"/>
      <c r="AP618" s="24"/>
      <c r="AQ618" s="49"/>
      <c r="AR618" s="33"/>
      <c r="AS618" s="24"/>
      <c r="AT618" s="24"/>
      <c r="AU618" s="24"/>
      <c r="AV618" s="24"/>
      <c r="AW618" s="25"/>
      <c r="AX618" s="33"/>
      <c r="AY618" s="24"/>
      <c r="AZ618" s="24"/>
      <c r="BA618" s="24"/>
      <c r="BB618" s="24"/>
      <c r="BC618" s="25"/>
      <c r="BD618" s="33"/>
      <c r="BE618" s="24"/>
      <c r="BF618" s="24"/>
      <c r="BG618" s="24"/>
    </row>
    <row r="619" spans="37:59" x14ac:dyDescent="0.2">
      <c r="AK619" s="24"/>
      <c r="AL619" s="24"/>
      <c r="AM619" s="24"/>
      <c r="AN619" s="24"/>
      <c r="AO619" s="24"/>
      <c r="AP619" s="24"/>
      <c r="AQ619" s="49"/>
      <c r="AR619" s="33"/>
      <c r="AS619" s="24"/>
      <c r="AT619" s="24"/>
      <c r="AU619" s="24"/>
      <c r="AV619" s="24"/>
      <c r="AW619" s="25"/>
      <c r="AX619" s="33"/>
      <c r="AY619" s="24"/>
      <c r="AZ619" s="24"/>
      <c r="BA619" s="24"/>
      <c r="BB619" s="24"/>
      <c r="BC619" s="25"/>
      <c r="BD619" s="33"/>
      <c r="BE619" s="24"/>
      <c r="BF619" s="24"/>
      <c r="BG619" s="24"/>
    </row>
    <row r="620" spans="37:59" x14ac:dyDescent="0.2">
      <c r="AK620" s="24"/>
      <c r="AL620" s="24"/>
      <c r="AM620" s="24"/>
      <c r="AN620" s="24"/>
      <c r="AO620" s="24"/>
      <c r="AP620" s="24"/>
      <c r="AQ620" s="49"/>
      <c r="AR620" s="33"/>
      <c r="AS620" s="24"/>
      <c r="AT620" s="24"/>
      <c r="AU620" s="24"/>
      <c r="AV620" s="24"/>
      <c r="AW620" s="25"/>
      <c r="AX620" s="33"/>
      <c r="AY620" s="24"/>
      <c r="AZ620" s="24"/>
      <c r="BA620" s="24"/>
      <c r="BB620" s="24"/>
      <c r="BC620" s="25"/>
      <c r="BD620" s="33"/>
      <c r="BE620" s="24"/>
      <c r="BF620" s="24"/>
      <c r="BG620" s="24"/>
    </row>
    <row r="621" spans="37:59" x14ac:dyDescent="0.2">
      <c r="AK621" s="24"/>
      <c r="AL621" s="24"/>
      <c r="AM621" s="24"/>
      <c r="AN621" s="24"/>
      <c r="AO621" s="24"/>
      <c r="AP621" s="24"/>
      <c r="AQ621" s="49"/>
      <c r="AR621" s="33"/>
      <c r="AS621" s="24"/>
      <c r="AT621" s="24"/>
      <c r="AU621" s="24"/>
      <c r="AV621" s="24"/>
      <c r="AW621" s="25"/>
      <c r="AX621" s="33"/>
      <c r="AY621" s="24"/>
      <c r="AZ621" s="24"/>
      <c r="BA621" s="24"/>
      <c r="BB621" s="24"/>
      <c r="BC621" s="25"/>
      <c r="BD621" s="33"/>
      <c r="BE621" s="24"/>
      <c r="BF621" s="24"/>
      <c r="BG621" s="24"/>
    </row>
    <row r="622" spans="37:59" x14ac:dyDescent="0.2">
      <c r="AK622" s="24"/>
      <c r="AL622" s="24"/>
      <c r="AM622" s="24"/>
      <c r="AN622" s="24"/>
      <c r="AO622" s="24"/>
      <c r="AP622" s="24"/>
      <c r="AQ622" s="49"/>
      <c r="AR622" s="33"/>
      <c r="AS622" s="24"/>
      <c r="AT622" s="24"/>
      <c r="AU622" s="24"/>
      <c r="AV622" s="24"/>
      <c r="AW622" s="25"/>
      <c r="AX622" s="33"/>
      <c r="AY622" s="24"/>
      <c r="AZ622" s="24"/>
      <c r="BA622" s="24"/>
      <c r="BB622" s="24"/>
      <c r="BC622" s="25"/>
      <c r="BD622" s="33"/>
      <c r="BE622" s="24"/>
      <c r="BF622" s="24"/>
      <c r="BG622" s="24"/>
    </row>
    <row r="623" spans="37:59" x14ac:dyDescent="0.2">
      <c r="AK623" s="24"/>
      <c r="AL623" s="24"/>
      <c r="AM623" s="24"/>
      <c r="AN623" s="24"/>
      <c r="AO623" s="24"/>
      <c r="AP623" s="24"/>
      <c r="AQ623" s="49"/>
      <c r="AR623" s="33"/>
      <c r="AS623" s="24"/>
      <c r="AT623" s="24"/>
      <c r="AU623" s="24"/>
      <c r="AV623" s="24"/>
      <c r="AW623" s="25"/>
      <c r="AX623" s="33"/>
      <c r="AY623" s="24"/>
      <c r="AZ623" s="24"/>
      <c r="BA623" s="24"/>
      <c r="BB623" s="24"/>
      <c r="BC623" s="25"/>
      <c r="BD623" s="33"/>
      <c r="BE623" s="24"/>
      <c r="BF623" s="24"/>
      <c r="BG623" s="24"/>
    </row>
    <row r="624" spans="37:59" x14ac:dyDescent="0.2">
      <c r="AK624" s="24"/>
      <c r="AL624" s="24"/>
      <c r="AM624" s="24"/>
      <c r="AN624" s="24"/>
      <c r="AO624" s="24"/>
      <c r="AP624" s="24"/>
      <c r="AQ624" s="49"/>
      <c r="AR624" s="33"/>
      <c r="AS624" s="24"/>
      <c r="AT624" s="24"/>
      <c r="AU624" s="24"/>
      <c r="AV624" s="24"/>
      <c r="AW624" s="25"/>
      <c r="AX624" s="33"/>
      <c r="AY624" s="24"/>
      <c r="AZ624" s="24"/>
      <c r="BA624" s="24"/>
      <c r="BB624" s="24"/>
      <c r="BC624" s="25"/>
      <c r="BD624" s="33"/>
      <c r="BE624" s="24"/>
      <c r="BF624" s="24"/>
      <c r="BG624" s="24"/>
    </row>
    <row r="625" spans="37:59" x14ac:dyDescent="0.2">
      <c r="AK625" s="24"/>
      <c r="AL625" s="24"/>
      <c r="AM625" s="24"/>
      <c r="AN625" s="24"/>
      <c r="AO625" s="24"/>
      <c r="AP625" s="24"/>
      <c r="AQ625" s="49"/>
      <c r="AR625" s="33"/>
      <c r="AS625" s="24"/>
      <c r="AT625" s="24"/>
      <c r="AU625" s="24"/>
      <c r="AV625" s="24"/>
      <c r="AW625" s="24"/>
      <c r="AX625" s="24"/>
      <c r="AY625" s="24"/>
      <c r="AZ625" s="24"/>
      <c r="BA625" s="24"/>
      <c r="BB625" s="24"/>
      <c r="BC625" s="24"/>
      <c r="BD625" s="24"/>
      <c r="BE625" s="24"/>
      <c r="BF625" s="24"/>
      <c r="BG625" s="24"/>
    </row>
    <row r="626" spans="37:59" x14ac:dyDescent="0.2">
      <c r="AK626" s="24"/>
      <c r="AL626" s="24"/>
      <c r="AM626" s="24"/>
      <c r="AN626" s="24"/>
      <c r="AO626" s="24"/>
      <c r="AP626" s="24"/>
      <c r="AQ626" s="49"/>
      <c r="AR626" s="33"/>
      <c r="AS626" s="24"/>
      <c r="AT626" s="24"/>
      <c r="AU626" s="24"/>
      <c r="AV626" s="24"/>
      <c r="AW626" s="24"/>
      <c r="AX626" s="24"/>
      <c r="AY626" s="24"/>
      <c r="AZ626" s="24"/>
      <c r="BA626" s="24"/>
      <c r="BB626" s="24"/>
      <c r="BC626" s="24"/>
      <c r="BD626" s="24"/>
      <c r="BE626" s="24"/>
      <c r="BF626" s="24"/>
      <c r="BG626" s="24"/>
    </row>
    <row r="627" spans="37:59" x14ac:dyDescent="0.2">
      <c r="AK627" s="24"/>
      <c r="AL627" s="24"/>
      <c r="AM627" s="24"/>
      <c r="AN627" s="24"/>
      <c r="AO627" s="24"/>
      <c r="AP627" s="24"/>
      <c r="AQ627" s="49"/>
      <c r="AR627" s="33"/>
      <c r="AS627" s="24"/>
      <c r="AT627" s="24"/>
      <c r="AU627" s="24"/>
      <c r="AV627" s="24"/>
      <c r="AW627" s="33"/>
      <c r="AX627" s="24"/>
      <c r="AY627" s="24"/>
      <c r="AZ627" s="24"/>
      <c r="BA627" s="24"/>
      <c r="BB627" s="24"/>
      <c r="BC627" s="33"/>
      <c r="BD627" s="24"/>
      <c r="BE627" s="24"/>
      <c r="BF627" s="24"/>
      <c r="BG627" s="24"/>
    </row>
    <row r="628" spans="37:59" x14ac:dyDescent="0.2">
      <c r="AK628" s="24"/>
      <c r="AL628" s="24"/>
      <c r="AM628" s="24"/>
      <c r="AN628" s="24"/>
      <c r="AO628" s="24"/>
      <c r="AP628" s="24"/>
      <c r="AQ628" s="49"/>
      <c r="AR628" s="33"/>
      <c r="AS628" s="24"/>
      <c r="AT628" s="24"/>
      <c r="AU628" s="24"/>
      <c r="AV628" s="24"/>
      <c r="AW628" s="33"/>
      <c r="AX628" s="33"/>
      <c r="AY628" s="33"/>
      <c r="AZ628" s="33"/>
      <c r="BA628" s="24"/>
      <c r="BB628" s="24"/>
      <c r="BC628" s="33"/>
      <c r="BD628" s="33"/>
      <c r="BE628" s="33"/>
      <c r="BF628" s="33"/>
      <c r="BG628" s="24"/>
    </row>
    <row r="629" spans="37:59" x14ac:dyDescent="0.2">
      <c r="AK629" s="24"/>
      <c r="AL629" s="24"/>
      <c r="AM629" s="24"/>
      <c r="AN629" s="24"/>
      <c r="AO629" s="24"/>
      <c r="AP629" s="24"/>
      <c r="AQ629" s="49"/>
      <c r="AR629" s="33"/>
      <c r="AS629" s="24"/>
      <c r="AT629" s="24"/>
      <c r="AU629" s="24"/>
      <c r="AV629" s="24"/>
      <c r="AW629" s="49"/>
      <c r="AX629" s="33"/>
      <c r="AY629" s="33"/>
      <c r="AZ629" s="33"/>
      <c r="BA629" s="24"/>
      <c r="BB629" s="24"/>
      <c r="BC629" s="49"/>
      <c r="BD629" s="33"/>
      <c r="BE629" s="33"/>
      <c r="BF629" s="33"/>
      <c r="BG629" s="24"/>
    </row>
    <row r="630" spans="37:59" x14ac:dyDescent="0.2">
      <c r="AK630" s="24"/>
      <c r="AL630" s="24"/>
      <c r="AM630" s="24"/>
      <c r="AN630" s="24"/>
      <c r="AO630" s="24"/>
      <c r="AP630" s="24"/>
      <c r="AQ630" s="49"/>
      <c r="AR630" s="33"/>
      <c r="AS630" s="24"/>
      <c r="AT630" s="24"/>
      <c r="AU630" s="24"/>
      <c r="AV630" s="24"/>
      <c r="AW630" s="49"/>
      <c r="AX630" s="33"/>
      <c r="AY630" s="33"/>
      <c r="AZ630" s="33"/>
      <c r="BA630" s="24"/>
      <c r="BB630" s="24"/>
      <c r="BC630" s="49"/>
      <c r="BD630" s="33"/>
      <c r="BE630" s="33"/>
      <c r="BF630" s="33"/>
      <c r="BG630" s="24"/>
    </row>
    <row r="631" spans="37:59" x14ac:dyDescent="0.2">
      <c r="AK631" s="24"/>
      <c r="AL631" s="24"/>
      <c r="AM631" s="24"/>
      <c r="AN631" s="24"/>
      <c r="AO631" s="24"/>
      <c r="AP631" s="24"/>
      <c r="AQ631" s="49"/>
      <c r="AR631" s="33"/>
      <c r="AS631" s="24"/>
      <c r="AT631" s="24"/>
      <c r="AU631" s="24"/>
      <c r="AV631" s="24"/>
      <c r="AW631" s="49"/>
      <c r="AX631" s="33"/>
      <c r="AY631" s="33"/>
      <c r="AZ631" s="33"/>
      <c r="BA631" s="24"/>
      <c r="BB631" s="24"/>
      <c r="BC631" s="49"/>
      <c r="BD631" s="33"/>
      <c r="BE631" s="33"/>
      <c r="BF631" s="33"/>
      <c r="BG631" s="24"/>
    </row>
    <row r="632" spans="37:59" x14ac:dyDescent="0.2">
      <c r="AK632" s="24"/>
      <c r="AL632" s="24"/>
      <c r="AM632" s="24"/>
      <c r="AN632" s="24"/>
      <c r="AO632" s="24"/>
      <c r="AP632" s="24"/>
      <c r="AQ632" s="49"/>
      <c r="AR632" s="33"/>
      <c r="AS632" s="24"/>
      <c r="AT632" s="24"/>
      <c r="AU632" s="24"/>
      <c r="AV632" s="24"/>
      <c r="AW632" s="49"/>
      <c r="AX632" s="33"/>
      <c r="AY632" s="33"/>
      <c r="AZ632" s="33"/>
      <c r="BA632" s="24"/>
      <c r="BB632" s="24"/>
      <c r="BC632" s="49"/>
      <c r="BD632" s="33"/>
      <c r="BE632" s="33"/>
      <c r="BF632" s="33"/>
      <c r="BG632" s="24"/>
    </row>
    <row r="633" spans="37:59" x14ac:dyDescent="0.2">
      <c r="AK633" s="24"/>
      <c r="AL633" s="24"/>
      <c r="AM633" s="24"/>
      <c r="AN633" s="24"/>
      <c r="AO633" s="24"/>
      <c r="AP633" s="24"/>
      <c r="AQ633" s="25"/>
      <c r="AR633" s="33"/>
      <c r="AS633" s="24"/>
      <c r="AT633" s="24"/>
      <c r="AU633" s="24"/>
      <c r="AV633" s="24"/>
      <c r="AW633" s="49"/>
      <c r="AX633" s="33"/>
      <c r="AY633" s="33"/>
      <c r="AZ633" s="33"/>
      <c r="BA633" s="24"/>
      <c r="BB633" s="24"/>
      <c r="BC633" s="49"/>
      <c r="BD633" s="33"/>
      <c r="BE633" s="33"/>
      <c r="BF633" s="33"/>
      <c r="BG633" s="24"/>
    </row>
    <row r="634" spans="37:59" x14ac:dyDescent="0.2">
      <c r="AK634" s="24"/>
      <c r="AL634" s="24"/>
      <c r="AM634" s="24"/>
      <c r="AN634" s="24"/>
      <c r="AO634" s="24"/>
      <c r="AP634" s="24"/>
      <c r="AQ634" s="25"/>
      <c r="AR634" s="33"/>
      <c r="AS634" s="24"/>
      <c r="AT634" s="24"/>
      <c r="AU634" s="24"/>
      <c r="AV634" s="24"/>
      <c r="AW634" s="49"/>
      <c r="AX634" s="33"/>
      <c r="AY634" s="33"/>
      <c r="AZ634" s="33"/>
      <c r="BA634" s="24"/>
      <c r="BB634" s="24"/>
      <c r="BC634" s="49"/>
      <c r="BD634" s="33"/>
      <c r="BE634" s="33"/>
      <c r="BF634" s="33"/>
      <c r="BG634" s="24"/>
    </row>
    <row r="635" spans="37:59" x14ac:dyDescent="0.2">
      <c r="AK635" s="24"/>
      <c r="AL635" s="24"/>
      <c r="AM635" s="24"/>
      <c r="AN635" s="24"/>
      <c r="AO635" s="24"/>
      <c r="AP635" s="24"/>
      <c r="AQ635" s="25"/>
      <c r="AR635" s="33"/>
      <c r="AS635" s="24"/>
      <c r="AT635" s="24"/>
      <c r="AU635" s="24"/>
      <c r="AV635" s="24"/>
      <c r="AW635" s="49"/>
      <c r="AX635" s="33"/>
      <c r="AY635" s="33"/>
      <c r="AZ635" s="33"/>
      <c r="BA635" s="24"/>
      <c r="BB635" s="24"/>
      <c r="BC635" s="49"/>
      <c r="BD635" s="33"/>
      <c r="BE635" s="33"/>
      <c r="BF635" s="33"/>
      <c r="BG635" s="24"/>
    </row>
    <row r="636" spans="37:59" x14ac:dyDescent="0.2">
      <c r="AK636" s="24"/>
      <c r="AL636" s="24"/>
      <c r="AM636" s="24"/>
      <c r="AN636" s="24"/>
      <c r="AO636" s="24"/>
      <c r="AP636" s="24"/>
      <c r="AQ636" s="25"/>
      <c r="AR636" s="33"/>
      <c r="AS636" s="24"/>
      <c r="AT636" s="24"/>
      <c r="AU636" s="24"/>
      <c r="AV636" s="24"/>
      <c r="AW636" s="49"/>
      <c r="AX636" s="33"/>
      <c r="AY636" s="33"/>
      <c r="AZ636" s="33"/>
      <c r="BA636" s="24"/>
      <c r="BB636" s="24"/>
      <c r="BC636" s="49"/>
      <c r="BD636" s="33"/>
      <c r="BE636" s="33"/>
      <c r="BF636" s="33"/>
      <c r="BG636" s="24"/>
    </row>
    <row r="637" spans="37:59" x14ac:dyDescent="0.2"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49"/>
      <c r="AX637" s="33"/>
      <c r="AY637" s="33"/>
      <c r="AZ637" s="33"/>
      <c r="BA637" s="24"/>
      <c r="BB637" s="24"/>
      <c r="BC637" s="49"/>
      <c r="BD637" s="33"/>
      <c r="BE637" s="33"/>
      <c r="BF637" s="33"/>
      <c r="BG637" s="24"/>
    </row>
    <row r="638" spans="37:59" x14ac:dyDescent="0.2"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49"/>
      <c r="AX638" s="33"/>
      <c r="AY638" s="33"/>
      <c r="AZ638" s="33"/>
      <c r="BA638" s="24"/>
      <c r="BB638" s="24"/>
      <c r="BC638" s="49"/>
      <c r="BD638" s="33"/>
      <c r="BE638" s="33"/>
      <c r="BF638" s="33"/>
      <c r="BG638" s="24"/>
    </row>
    <row r="639" spans="37:59" x14ac:dyDescent="0.2">
      <c r="AK639" s="24"/>
      <c r="AL639" s="24"/>
      <c r="AM639" s="24"/>
      <c r="AN639" s="24"/>
      <c r="AO639" s="24"/>
      <c r="AP639" s="24"/>
      <c r="AQ639" s="33"/>
      <c r="AR639" s="24"/>
      <c r="AS639" s="24"/>
      <c r="AT639" s="24"/>
      <c r="AU639" s="24"/>
      <c r="AV639" s="24"/>
      <c r="AW639" s="49"/>
      <c r="AX639" s="33"/>
      <c r="AY639" s="33"/>
      <c r="AZ639" s="33"/>
      <c r="BA639" s="24"/>
      <c r="BB639" s="24"/>
      <c r="BC639" s="49"/>
      <c r="BD639" s="33"/>
      <c r="BE639" s="33"/>
      <c r="BF639" s="33"/>
      <c r="BG639" s="24"/>
    </row>
    <row r="640" spans="37:59" x14ac:dyDescent="0.2">
      <c r="AK640" s="24"/>
      <c r="AL640" s="24"/>
      <c r="AM640" s="24"/>
      <c r="AN640" s="24"/>
      <c r="AO640" s="24"/>
      <c r="AP640" s="24"/>
      <c r="AQ640" s="33"/>
      <c r="AR640" s="33"/>
      <c r="AS640" s="33"/>
      <c r="AT640" s="33"/>
      <c r="AU640" s="24"/>
      <c r="AV640" s="24"/>
      <c r="AW640" s="49"/>
      <c r="AX640" s="33"/>
      <c r="AY640" s="33"/>
      <c r="AZ640" s="33"/>
      <c r="BA640" s="24"/>
      <c r="BB640" s="24"/>
      <c r="BC640" s="49"/>
      <c r="BD640" s="33"/>
      <c r="BE640" s="33"/>
      <c r="BF640" s="33"/>
      <c r="BG640" s="24"/>
    </row>
    <row r="641" spans="37:59" x14ac:dyDescent="0.2">
      <c r="AK641" s="24"/>
      <c r="AL641" s="24"/>
      <c r="AM641" s="24"/>
      <c r="AN641" s="24"/>
      <c r="AO641" s="24"/>
      <c r="AP641" s="24"/>
      <c r="AQ641" s="49"/>
      <c r="AR641" s="33"/>
      <c r="AS641" s="33"/>
      <c r="AT641" s="33"/>
      <c r="AU641" s="24"/>
      <c r="AV641" s="24"/>
      <c r="AW641" s="25"/>
      <c r="AX641" s="33"/>
      <c r="AY641" s="24"/>
      <c r="AZ641" s="24"/>
      <c r="BA641" s="24"/>
      <c r="BB641" s="24"/>
      <c r="BC641" s="25"/>
      <c r="BD641" s="33"/>
      <c r="BE641" s="24"/>
      <c r="BF641" s="24"/>
      <c r="BG641" s="24"/>
    </row>
    <row r="642" spans="37:59" x14ac:dyDescent="0.2">
      <c r="AK642" s="24"/>
      <c r="AL642" s="24"/>
      <c r="AM642" s="24"/>
      <c r="AN642" s="24"/>
      <c r="AO642" s="24"/>
      <c r="AP642" s="24"/>
      <c r="AQ642" s="49"/>
      <c r="AR642" s="33"/>
      <c r="AS642" s="33"/>
      <c r="AT642" s="33"/>
      <c r="AU642" s="24"/>
      <c r="AV642" s="24"/>
      <c r="AW642" s="49"/>
      <c r="AX642" s="33"/>
      <c r="AY642" s="24"/>
      <c r="AZ642" s="24"/>
      <c r="BA642" s="24"/>
      <c r="BB642" s="24"/>
      <c r="BC642" s="49"/>
      <c r="BD642" s="33"/>
      <c r="BE642" s="24"/>
      <c r="BF642" s="24"/>
      <c r="BG642" s="24"/>
    </row>
    <row r="643" spans="37:59" x14ac:dyDescent="0.2">
      <c r="AK643" s="24"/>
      <c r="AL643" s="24"/>
      <c r="AM643" s="24"/>
      <c r="AN643" s="24"/>
      <c r="AO643" s="24"/>
      <c r="AP643" s="24"/>
      <c r="AQ643" s="49"/>
      <c r="AR643" s="33"/>
      <c r="AS643" s="33"/>
      <c r="AT643" s="33"/>
      <c r="AU643" s="24"/>
      <c r="AV643" s="24"/>
      <c r="AW643" s="49"/>
      <c r="AX643" s="33"/>
      <c r="AY643" s="24"/>
      <c r="AZ643" s="24"/>
      <c r="BA643" s="24"/>
      <c r="BB643" s="24"/>
      <c r="BC643" s="49"/>
      <c r="BD643" s="33"/>
      <c r="BE643" s="24"/>
      <c r="BF643" s="24"/>
      <c r="BG643" s="24"/>
    </row>
    <row r="644" spans="37:59" x14ac:dyDescent="0.2">
      <c r="AK644" s="24"/>
      <c r="AL644" s="24"/>
      <c r="AM644" s="24"/>
      <c r="AN644" s="24"/>
      <c r="AO644" s="24"/>
      <c r="AP644" s="24"/>
      <c r="AQ644" s="49"/>
      <c r="AR644" s="33"/>
      <c r="AS644" s="33"/>
      <c r="AT644" s="33"/>
      <c r="AU644" s="24"/>
      <c r="AV644" s="24"/>
      <c r="AW644" s="49"/>
      <c r="AX644" s="33"/>
      <c r="AY644" s="24"/>
      <c r="AZ644" s="24"/>
      <c r="BA644" s="24"/>
      <c r="BB644" s="24"/>
      <c r="BC644" s="49"/>
      <c r="BD644" s="33"/>
      <c r="BE644" s="24"/>
      <c r="BF644" s="24"/>
      <c r="BG644" s="24"/>
    </row>
    <row r="645" spans="37:59" x14ac:dyDescent="0.2">
      <c r="AK645" s="24"/>
      <c r="AL645" s="24"/>
      <c r="AM645" s="24"/>
      <c r="AN645" s="24"/>
      <c r="AO645" s="24"/>
      <c r="AP645" s="24"/>
      <c r="AQ645" s="49"/>
      <c r="AR645" s="33"/>
      <c r="AS645" s="33"/>
      <c r="AT645" s="33"/>
      <c r="AU645" s="24"/>
      <c r="AV645" s="24"/>
      <c r="AW645" s="49"/>
      <c r="AX645" s="33"/>
      <c r="AY645" s="24"/>
      <c r="AZ645" s="24"/>
      <c r="BA645" s="24"/>
      <c r="BB645" s="24"/>
      <c r="BC645" s="49"/>
      <c r="BD645" s="33"/>
      <c r="BE645" s="24"/>
      <c r="BF645" s="24"/>
      <c r="BG645" s="24"/>
    </row>
    <row r="646" spans="37:59" x14ac:dyDescent="0.2">
      <c r="AK646" s="24"/>
      <c r="AL646" s="24"/>
      <c r="AM646" s="24"/>
      <c r="AN646" s="24"/>
      <c r="AO646" s="24"/>
      <c r="AP646" s="24"/>
      <c r="AQ646" s="49"/>
      <c r="AR646" s="33"/>
      <c r="AS646" s="33"/>
      <c r="AT646" s="33"/>
      <c r="AU646" s="24"/>
      <c r="AV646" s="24"/>
      <c r="AW646" s="49"/>
      <c r="AX646" s="33"/>
      <c r="AY646" s="24"/>
      <c r="AZ646" s="24"/>
      <c r="BA646" s="24"/>
      <c r="BB646" s="24"/>
      <c r="BC646" s="49"/>
      <c r="BD646" s="33"/>
      <c r="BE646" s="24"/>
      <c r="BF646" s="24"/>
      <c r="BG646" s="24"/>
    </row>
    <row r="647" spans="37:59" x14ac:dyDescent="0.2">
      <c r="AK647" s="24"/>
      <c r="AL647" s="24"/>
      <c r="AM647" s="24"/>
      <c r="AN647" s="24"/>
      <c r="AO647" s="24"/>
      <c r="AP647" s="24"/>
      <c r="AQ647" s="49"/>
      <c r="AR647" s="33"/>
      <c r="AS647" s="33"/>
      <c r="AT647" s="33"/>
      <c r="AU647" s="24"/>
      <c r="AV647" s="24"/>
      <c r="AW647" s="49"/>
      <c r="AX647" s="33"/>
      <c r="AY647" s="24"/>
      <c r="AZ647" s="24"/>
      <c r="BA647" s="24"/>
      <c r="BB647" s="24"/>
      <c r="BC647" s="49"/>
      <c r="BD647" s="33"/>
      <c r="BE647" s="24"/>
      <c r="BF647" s="24"/>
      <c r="BG647" s="24"/>
    </row>
    <row r="648" spans="37:59" x14ac:dyDescent="0.2">
      <c r="AK648" s="24"/>
      <c r="AL648" s="24"/>
      <c r="AM648" s="24"/>
      <c r="AN648" s="24"/>
      <c r="AO648" s="24"/>
      <c r="AP648" s="24"/>
      <c r="AQ648" s="49"/>
      <c r="AR648" s="33"/>
      <c r="AS648" s="33"/>
      <c r="AT648" s="33"/>
      <c r="AU648" s="24"/>
      <c r="AV648" s="24"/>
      <c r="AW648" s="49"/>
      <c r="AX648" s="33"/>
      <c r="AY648" s="24"/>
      <c r="AZ648" s="24"/>
      <c r="BA648" s="24"/>
      <c r="BB648" s="24"/>
      <c r="BC648" s="49"/>
      <c r="BD648" s="33"/>
      <c r="BE648" s="24"/>
      <c r="BF648" s="24"/>
      <c r="BG648" s="24"/>
    </row>
    <row r="649" spans="37:59" x14ac:dyDescent="0.2">
      <c r="AK649" s="24"/>
      <c r="AL649" s="24"/>
      <c r="AM649" s="24"/>
      <c r="AN649" s="24"/>
      <c r="AO649" s="24"/>
      <c r="AP649" s="24"/>
      <c r="AQ649" s="49"/>
      <c r="AR649" s="33"/>
      <c r="AS649" s="33"/>
      <c r="AT649" s="33"/>
      <c r="AU649" s="24"/>
      <c r="AV649" s="24"/>
      <c r="AW649" s="49"/>
      <c r="AX649" s="33"/>
      <c r="AY649" s="24"/>
      <c r="AZ649" s="24"/>
      <c r="BA649" s="24"/>
      <c r="BB649" s="24"/>
      <c r="BC649" s="49"/>
      <c r="BD649" s="33"/>
      <c r="BE649" s="24"/>
      <c r="BF649" s="24"/>
      <c r="BG649" s="24"/>
    </row>
    <row r="650" spans="37:59" x14ac:dyDescent="0.2">
      <c r="AK650" s="24"/>
      <c r="AL650" s="24"/>
      <c r="AM650" s="24"/>
      <c r="AN650" s="24"/>
      <c r="AO650" s="24"/>
      <c r="AP650" s="24"/>
      <c r="AQ650" s="49"/>
      <c r="AR650" s="33"/>
      <c r="AS650" s="33"/>
      <c r="AT650" s="33"/>
      <c r="AU650" s="24"/>
      <c r="AV650" s="24"/>
      <c r="AW650" s="49"/>
      <c r="AX650" s="33"/>
      <c r="AY650" s="24"/>
      <c r="AZ650" s="24"/>
      <c r="BA650" s="24"/>
      <c r="BB650" s="24"/>
      <c r="BC650" s="49"/>
      <c r="BD650" s="33"/>
      <c r="BE650" s="24"/>
      <c r="BF650" s="24"/>
      <c r="BG650" s="24"/>
    </row>
    <row r="651" spans="37:59" x14ac:dyDescent="0.2">
      <c r="AK651" s="24"/>
      <c r="AL651" s="24"/>
      <c r="AM651" s="24"/>
      <c r="AN651" s="24"/>
      <c r="AO651" s="24"/>
      <c r="AP651" s="24"/>
      <c r="AQ651" s="49"/>
      <c r="AR651" s="33"/>
      <c r="AS651" s="33"/>
      <c r="AT651" s="33"/>
      <c r="AU651" s="24"/>
      <c r="AV651" s="24"/>
      <c r="AW651" s="49"/>
      <c r="AX651" s="33"/>
      <c r="AY651" s="24"/>
      <c r="AZ651" s="24"/>
      <c r="BA651" s="24"/>
      <c r="BB651" s="24"/>
      <c r="BC651" s="49"/>
      <c r="BD651" s="33"/>
      <c r="BE651" s="24"/>
      <c r="BF651" s="24"/>
      <c r="BG651" s="24"/>
    </row>
    <row r="652" spans="37:59" x14ac:dyDescent="0.2">
      <c r="AK652" s="24"/>
      <c r="AL652" s="24"/>
      <c r="AM652" s="24"/>
      <c r="AN652" s="24"/>
      <c r="AO652" s="24"/>
      <c r="AP652" s="24"/>
      <c r="AQ652" s="49"/>
      <c r="AR652" s="33"/>
      <c r="AS652" s="33"/>
      <c r="AT652" s="33"/>
      <c r="AU652" s="24"/>
      <c r="AV652" s="24"/>
      <c r="AW652" s="49"/>
      <c r="AX652" s="33"/>
      <c r="AY652" s="24"/>
      <c r="AZ652" s="24"/>
      <c r="BA652" s="24"/>
      <c r="BB652" s="24"/>
      <c r="BC652" s="49"/>
      <c r="BD652" s="33"/>
      <c r="BE652" s="24"/>
      <c r="BF652" s="24"/>
      <c r="BG652" s="24"/>
    </row>
    <row r="653" spans="37:59" x14ac:dyDescent="0.2">
      <c r="AK653" s="24"/>
      <c r="AL653" s="24"/>
      <c r="AM653" s="24"/>
      <c r="AN653" s="24"/>
      <c r="AO653" s="24"/>
      <c r="AP653" s="24"/>
      <c r="AQ653" s="25"/>
      <c r="AR653" s="33"/>
      <c r="AS653" s="24"/>
      <c r="AT653" s="24"/>
      <c r="AU653" s="24"/>
      <c r="AV653" s="24"/>
      <c r="AW653" s="49"/>
      <c r="AX653" s="33"/>
      <c r="AY653" s="24"/>
      <c r="AZ653" s="24"/>
      <c r="BA653" s="24"/>
      <c r="BB653" s="24"/>
      <c r="BC653" s="49"/>
      <c r="BD653" s="33"/>
      <c r="BE653" s="24"/>
      <c r="BF653" s="24"/>
      <c r="BG653" s="24"/>
    </row>
    <row r="654" spans="37:59" x14ac:dyDescent="0.2">
      <c r="AK654" s="24"/>
      <c r="AL654" s="24"/>
      <c r="AM654" s="24"/>
      <c r="AN654" s="24"/>
      <c r="AO654" s="24"/>
      <c r="AP654" s="24"/>
      <c r="AQ654" s="49"/>
      <c r="AR654" s="33"/>
      <c r="AS654" s="24"/>
      <c r="AT654" s="24"/>
      <c r="AU654" s="24"/>
      <c r="AV654" s="24"/>
      <c r="AW654" s="49"/>
      <c r="AX654" s="33"/>
      <c r="AY654" s="24"/>
      <c r="AZ654" s="24"/>
      <c r="BA654" s="24"/>
      <c r="BB654" s="24"/>
      <c r="BC654" s="49"/>
      <c r="BD654" s="33"/>
      <c r="BE654" s="24"/>
      <c r="BF654" s="24"/>
      <c r="BG654" s="24"/>
    </row>
    <row r="655" spans="37:59" x14ac:dyDescent="0.2">
      <c r="AK655" s="24"/>
      <c r="AL655" s="24"/>
      <c r="AM655" s="24"/>
      <c r="AN655" s="24"/>
      <c r="AO655" s="24"/>
      <c r="AP655" s="24"/>
      <c r="AQ655" s="49"/>
      <c r="AR655" s="33"/>
      <c r="AS655" s="24"/>
      <c r="AT655" s="24"/>
      <c r="AU655" s="24"/>
      <c r="AV655" s="24"/>
      <c r="AW655" s="49"/>
      <c r="AX655" s="33"/>
      <c r="AY655" s="24"/>
      <c r="AZ655" s="24"/>
      <c r="BA655" s="24"/>
      <c r="BB655" s="24"/>
      <c r="BC655" s="49"/>
      <c r="BD655" s="33"/>
      <c r="BE655" s="24"/>
      <c r="BF655" s="24"/>
      <c r="BG655" s="24"/>
    </row>
    <row r="656" spans="37:59" x14ac:dyDescent="0.2">
      <c r="AK656" s="24"/>
      <c r="AL656" s="24"/>
      <c r="AM656" s="24"/>
      <c r="AN656" s="24"/>
      <c r="AO656" s="24"/>
      <c r="AP656" s="24"/>
      <c r="AQ656" s="49"/>
      <c r="AR656" s="33"/>
      <c r="AS656" s="24"/>
      <c r="AT656" s="24"/>
      <c r="AU656" s="24"/>
      <c r="AV656" s="24"/>
      <c r="AW656" s="49"/>
      <c r="AX656" s="33"/>
      <c r="AY656" s="24"/>
      <c r="AZ656" s="24"/>
      <c r="BA656" s="24"/>
      <c r="BB656" s="24"/>
      <c r="BC656" s="49"/>
      <c r="BD656" s="33"/>
      <c r="BE656" s="24"/>
      <c r="BF656" s="24"/>
      <c r="BG656" s="24"/>
    </row>
    <row r="657" spans="37:59" x14ac:dyDescent="0.2">
      <c r="AK657" s="24"/>
      <c r="AL657" s="24"/>
      <c r="AM657" s="24"/>
      <c r="AN657" s="24"/>
      <c r="AO657" s="24"/>
      <c r="AP657" s="24"/>
      <c r="AQ657" s="49"/>
      <c r="AR657" s="33"/>
      <c r="AS657" s="24"/>
      <c r="AT657" s="24"/>
      <c r="AU657" s="24"/>
      <c r="AV657" s="24"/>
      <c r="AW657" s="49"/>
      <c r="AX657" s="33"/>
      <c r="AY657" s="24"/>
      <c r="AZ657" s="24"/>
      <c r="BA657" s="24"/>
      <c r="BB657" s="24"/>
      <c r="BC657" s="49"/>
      <c r="BD657" s="33"/>
      <c r="BE657" s="24"/>
      <c r="BF657" s="24"/>
      <c r="BG657" s="24"/>
    </row>
    <row r="658" spans="37:59" x14ac:dyDescent="0.2">
      <c r="AK658" s="24"/>
      <c r="AL658" s="24"/>
      <c r="AM658" s="24"/>
      <c r="AN658" s="24"/>
      <c r="AO658" s="24"/>
      <c r="AP658" s="24"/>
      <c r="AQ658" s="49"/>
      <c r="AR658" s="33"/>
      <c r="AS658" s="24"/>
      <c r="AT658" s="24"/>
      <c r="AU658" s="24"/>
      <c r="AV658" s="24"/>
      <c r="AW658" s="49"/>
      <c r="AX658" s="33"/>
      <c r="AY658" s="24"/>
      <c r="AZ658" s="24"/>
      <c r="BA658" s="24"/>
      <c r="BB658" s="24"/>
      <c r="BC658" s="49"/>
      <c r="BD658" s="33"/>
      <c r="BE658" s="24"/>
      <c r="BF658" s="24"/>
      <c r="BG658" s="24"/>
    </row>
    <row r="659" spans="37:59" x14ac:dyDescent="0.2">
      <c r="AK659" s="24"/>
      <c r="AL659" s="24"/>
      <c r="AM659" s="24"/>
      <c r="AN659" s="24"/>
      <c r="AO659" s="24"/>
      <c r="AP659" s="24"/>
      <c r="AQ659" s="49"/>
      <c r="AR659" s="33"/>
      <c r="AS659" s="24"/>
      <c r="AT659" s="24"/>
      <c r="AU659" s="24"/>
      <c r="AV659" s="24"/>
      <c r="AW659" s="49"/>
      <c r="AX659" s="33"/>
      <c r="AY659" s="24"/>
      <c r="AZ659" s="24"/>
      <c r="BA659" s="24"/>
      <c r="BB659" s="24"/>
      <c r="BC659" s="49"/>
      <c r="BD659" s="33"/>
      <c r="BE659" s="24"/>
      <c r="BF659" s="24"/>
      <c r="BG659" s="24"/>
    </row>
    <row r="660" spans="37:59" x14ac:dyDescent="0.2">
      <c r="AK660" s="24"/>
      <c r="AL660" s="24"/>
      <c r="AM660" s="24"/>
      <c r="AN660" s="24"/>
      <c r="AO660" s="24"/>
      <c r="AP660" s="24"/>
      <c r="AQ660" s="49"/>
      <c r="AR660" s="33"/>
      <c r="AS660" s="24"/>
      <c r="AT660" s="24"/>
      <c r="AU660" s="24"/>
      <c r="AV660" s="24"/>
      <c r="AW660" s="49"/>
      <c r="AX660" s="33"/>
      <c r="AY660" s="24"/>
      <c r="AZ660" s="24"/>
      <c r="BA660" s="24"/>
      <c r="BB660" s="24"/>
      <c r="BC660" s="49"/>
      <c r="BD660" s="33"/>
      <c r="BE660" s="24"/>
      <c r="BF660" s="24"/>
      <c r="BG660" s="24"/>
    </row>
    <row r="661" spans="37:59" x14ac:dyDescent="0.2">
      <c r="AK661" s="24"/>
      <c r="AL661" s="24"/>
      <c r="AM661" s="24"/>
      <c r="AN661" s="24"/>
      <c r="AO661" s="24"/>
      <c r="AP661" s="24"/>
      <c r="AQ661" s="49"/>
      <c r="AR661" s="33"/>
      <c r="AS661" s="24"/>
      <c r="AT661" s="24"/>
      <c r="AU661" s="24"/>
      <c r="AV661" s="24"/>
      <c r="AW661" s="49"/>
      <c r="AX661" s="33"/>
      <c r="AY661" s="24"/>
      <c r="AZ661" s="24"/>
      <c r="BA661" s="24"/>
      <c r="BB661" s="24"/>
      <c r="BC661" s="49"/>
      <c r="BD661" s="33"/>
      <c r="BE661" s="24"/>
      <c r="BF661" s="24"/>
      <c r="BG661" s="24"/>
    </row>
    <row r="662" spans="37:59" x14ac:dyDescent="0.2">
      <c r="AK662" s="24"/>
      <c r="AL662" s="24"/>
      <c r="AM662" s="24"/>
      <c r="AN662" s="24"/>
      <c r="AO662" s="24"/>
      <c r="AP662" s="24"/>
      <c r="AQ662" s="49"/>
      <c r="AR662" s="33"/>
      <c r="AS662" s="24"/>
      <c r="AT662" s="24"/>
      <c r="AU662" s="24"/>
      <c r="AV662" s="24"/>
      <c r="AW662" s="49"/>
      <c r="AX662" s="33"/>
      <c r="AY662" s="24"/>
      <c r="AZ662" s="24"/>
      <c r="BA662" s="24"/>
      <c r="BB662" s="24"/>
      <c r="BC662" s="49"/>
      <c r="BD662" s="33"/>
      <c r="BE662" s="24"/>
      <c r="BF662" s="24"/>
      <c r="BG662" s="24"/>
    </row>
    <row r="663" spans="37:59" x14ac:dyDescent="0.2">
      <c r="AK663" s="24"/>
      <c r="AL663" s="24"/>
      <c r="AM663" s="24"/>
      <c r="AN663" s="24"/>
      <c r="AO663" s="24"/>
      <c r="AP663" s="24"/>
      <c r="AQ663" s="49"/>
      <c r="AR663" s="33"/>
      <c r="AS663" s="24"/>
      <c r="AT663" s="24"/>
      <c r="AU663" s="24"/>
      <c r="AV663" s="24"/>
      <c r="AW663" s="49"/>
      <c r="AX663" s="33"/>
      <c r="AY663" s="24"/>
      <c r="AZ663" s="24"/>
      <c r="BA663" s="24"/>
      <c r="BB663" s="24"/>
      <c r="BC663" s="49"/>
      <c r="BD663" s="33"/>
      <c r="BE663" s="24"/>
      <c r="BF663" s="24"/>
      <c r="BG663" s="24"/>
    </row>
    <row r="664" spans="37:59" x14ac:dyDescent="0.2">
      <c r="AK664" s="24"/>
      <c r="AL664" s="24"/>
      <c r="AM664" s="24"/>
      <c r="AN664" s="24"/>
      <c r="AO664" s="24"/>
      <c r="AP664" s="24"/>
      <c r="AQ664" s="49"/>
      <c r="AR664" s="33"/>
      <c r="AS664" s="24"/>
      <c r="AT664" s="24"/>
      <c r="AU664" s="24"/>
      <c r="AV664" s="24"/>
      <c r="AW664" s="49"/>
      <c r="AX664" s="33"/>
      <c r="AY664" s="24"/>
      <c r="AZ664" s="24"/>
      <c r="BA664" s="24"/>
      <c r="BB664" s="24"/>
      <c r="BC664" s="49"/>
      <c r="BD664" s="33"/>
      <c r="BE664" s="24"/>
      <c r="BF664" s="24"/>
      <c r="BG664" s="24"/>
    </row>
    <row r="665" spans="37:59" x14ac:dyDescent="0.2">
      <c r="AK665" s="24"/>
      <c r="AL665" s="24"/>
      <c r="AM665" s="24"/>
      <c r="AN665" s="24"/>
      <c r="AO665" s="24"/>
      <c r="AP665" s="24"/>
      <c r="AQ665" s="49"/>
      <c r="AR665" s="33"/>
      <c r="AS665" s="24"/>
      <c r="AT665" s="24"/>
      <c r="AU665" s="24"/>
      <c r="AV665" s="24"/>
      <c r="AW665" s="49"/>
      <c r="AX665" s="33"/>
      <c r="AY665" s="24"/>
      <c r="AZ665" s="24"/>
      <c r="BA665" s="24"/>
      <c r="BB665" s="24"/>
      <c r="BC665" s="49"/>
      <c r="BD665" s="33"/>
      <c r="BE665" s="24"/>
      <c r="BF665" s="24"/>
      <c r="BG665" s="24"/>
    </row>
    <row r="666" spans="37:59" x14ac:dyDescent="0.2">
      <c r="AK666" s="24"/>
      <c r="AL666" s="24"/>
      <c r="AM666" s="24"/>
      <c r="AN666" s="24"/>
      <c r="AO666" s="24"/>
      <c r="AP666" s="24"/>
      <c r="AQ666" s="49"/>
      <c r="AR666" s="33"/>
      <c r="AS666" s="24"/>
      <c r="AT666" s="24"/>
      <c r="AU666" s="24"/>
      <c r="AV666" s="24"/>
      <c r="AW666" s="49"/>
      <c r="AX666" s="33"/>
      <c r="AY666" s="24"/>
      <c r="AZ666" s="24"/>
      <c r="BA666" s="24"/>
      <c r="BB666" s="24"/>
      <c r="BC666" s="49"/>
      <c r="BD666" s="33"/>
      <c r="BE666" s="24"/>
      <c r="BF666" s="24"/>
      <c r="BG666" s="24"/>
    </row>
    <row r="667" spans="37:59" x14ac:dyDescent="0.2">
      <c r="AK667" s="24"/>
      <c r="AL667" s="24"/>
      <c r="AM667" s="24"/>
      <c r="AN667" s="24"/>
      <c r="AO667" s="24"/>
      <c r="AP667" s="24"/>
      <c r="AQ667" s="49"/>
      <c r="AR667" s="33"/>
      <c r="AS667" s="24"/>
      <c r="AT667" s="24"/>
      <c r="AU667" s="24"/>
      <c r="AV667" s="24"/>
      <c r="AW667" s="49"/>
      <c r="AX667" s="33"/>
      <c r="AY667" s="24"/>
      <c r="AZ667" s="24"/>
      <c r="BA667" s="24"/>
      <c r="BB667" s="24"/>
      <c r="BC667" s="49"/>
      <c r="BD667" s="33"/>
      <c r="BE667" s="24"/>
      <c r="BF667" s="24"/>
      <c r="BG667" s="24"/>
    </row>
    <row r="668" spans="37:59" x14ac:dyDescent="0.2">
      <c r="AK668" s="24"/>
      <c r="AL668" s="24"/>
      <c r="AM668" s="24"/>
      <c r="AN668" s="24"/>
      <c r="AO668" s="24"/>
      <c r="AP668" s="24"/>
      <c r="AQ668" s="49"/>
      <c r="AR668" s="33"/>
      <c r="AS668" s="24"/>
      <c r="AT668" s="24"/>
      <c r="AU668" s="24"/>
      <c r="AV668" s="24"/>
      <c r="AW668" s="49"/>
      <c r="AX668" s="33"/>
      <c r="AY668" s="24"/>
      <c r="AZ668" s="24"/>
      <c r="BA668" s="24"/>
      <c r="BB668" s="24"/>
      <c r="BC668" s="49"/>
      <c r="BD668" s="33"/>
      <c r="BE668" s="24"/>
      <c r="BF668" s="24"/>
      <c r="BG668" s="24"/>
    </row>
    <row r="669" spans="37:59" x14ac:dyDescent="0.2">
      <c r="AK669" s="24"/>
      <c r="AL669" s="24"/>
      <c r="AM669" s="24"/>
      <c r="AN669" s="24"/>
      <c r="AO669" s="24"/>
      <c r="AP669" s="24"/>
      <c r="AQ669" s="49"/>
      <c r="AR669" s="33"/>
      <c r="AS669" s="24"/>
      <c r="AT669" s="24"/>
      <c r="AU669" s="24"/>
      <c r="AV669" s="24"/>
      <c r="AW669" s="49"/>
      <c r="AX669" s="33"/>
      <c r="AY669" s="24"/>
      <c r="AZ669" s="24"/>
      <c r="BA669" s="24"/>
      <c r="BB669" s="24"/>
      <c r="BC669" s="49"/>
      <c r="BD669" s="33"/>
      <c r="BE669" s="24"/>
      <c r="BF669" s="24"/>
      <c r="BG669" s="24"/>
    </row>
    <row r="670" spans="37:59" x14ac:dyDescent="0.2">
      <c r="AK670" s="24"/>
      <c r="AL670" s="24"/>
      <c r="AM670" s="24"/>
      <c r="AN670" s="24"/>
      <c r="AO670" s="24"/>
      <c r="AP670" s="24"/>
      <c r="AQ670" s="49"/>
      <c r="AR670" s="33"/>
      <c r="AS670" s="24"/>
      <c r="AT670" s="24"/>
      <c r="AU670" s="24"/>
      <c r="AV670" s="24"/>
      <c r="AW670" s="49"/>
      <c r="AX670" s="33"/>
      <c r="AY670" s="24"/>
      <c r="AZ670" s="24"/>
      <c r="BA670" s="24"/>
      <c r="BB670" s="24"/>
      <c r="BC670" s="49"/>
      <c r="BD670" s="33"/>
      <c r="BE670" s="24"/>
      <c r="BF670" s="24"/>
      <c r="BG670" s="24"/>
    </row>
    <row r="671" spans="37:59" x14ac:dyDescent="0.2">
      <c r="AK671" s="24"/>
      <c r="AL671" s="24"/>
      <c r="AM671" s="24"/>
      <c r="AN671" s="24"/>
      <c r="AO671" s="24"/>
      <c r="AP671" s="24"/>
      <c r="AQ671" s="49"/>
      <c r="AR671" s="33"/>
      <c r="AS671" s="24"/>
      <c r="AT671" s="24"/>
      <c r="AU671" s="24"/>
      <c r="AV671" s="24"/>
      <c r="AW671" s="49"/>
      <c r="AX671" s="33"/>
      <c r="AY671" s="24"/>
      <c r="AZ671" s="24"/>
      <c r="BA671" s="24"/>
      <c r="BB671" s="24"/>
      <c r="BC671" s="49"/>
      <c r="BD671" s="33"/>
      <c r="BE671" s="24"/>
      <c r="BF671" s="24"/>
      <c r="BG671" s="24"/>
    </row>
    <row r="672" spans="37:59" x14ac:dyDescent="0.2">
      <c r="AK672" s="24"/>
      <c r="AL672" s="24"/>
      <c r="AM672" s="24"/>
      <c r="AN672" s="24"/>
      <c r="AO672" s="24"/>
      <c r="AP672" s="24"/>
      <c r="AQ672" s="49"/>
      <c r="AR672" s="33"/>
      <c r="AS672" s="24"/>
      <c r="AT672" s="24"/>
      <c r="AU672" s="24"/>
      <c r="AV672" s="24"/>
      <c r="AW672" s="49"/>
      <c r="AX672" s="33"/>
      <c r="AY672" s="24"/>
      <c r="AZ672" s="24"/>
      <c r="BA672" s="24"/>
      <c r="BB672" s="24"/>
      <c r="BC672" s="49"/>
      <c r="BD672" s="33"/>
      <c r="BE672" s="24"/>
      <c r="BF672" s="24"/>
      <c r="BG672" s="24"/>
    </row>
    <row r="673" spans="37:59" x14ac:dyDescent="0.2">
      <c r="AK673" s="24"/>
      <c r="AL673" s="24"/>
      <c r="AM673" s="24"/>
      <c r="AN673" s="24"/>
      <c r="AO673" s="24"/>
      <c r="AP673" s="24"/>
      <c r="AQ673" s="49"/>
      <c r="AR673" s="33"/>
      <c r="AS673" s="24"/>
      <c r="AT673" s="24"/>
      <c r="AU673" s="24"/>
      <c r="AV673" s="24"/>
      <c r="AW673" s="49"/>
      <c r="AX673" s="33"/>
      <c r="AY673" s="24"/>
      <c r="AZ673" s="24"/>
      <c r="BA673" s="24"/>
      <c r="BB673" s="24"/>
      <c r="BC673" s="49"/>
      <c r="BD673" s="33"/>
      <c r="BE673" s="24"/>
      <c r="BF673" s="24"/>
      <c r="BG673" s="24"/>
    </row>
    <row r="674" spans="37:59" x14ac:dyDescent="0.2">
      <c r="AK674" s="24"/>
      <c r="AL674" s="24"/>
      <c r="AM674" s="24"/>
      <c r="AN674" s="24"/>
      <c r="AO674" s="24"/>
      <c r="AP674" s="24"/>
      <c r="AQ674" s="49"/>
      <c r="AR674" s="33"/>
      <c r="AS674" s="24"/>
      <c r="AT674" s="24"/>
      <c r="AU674" s="24"/>
      <c r="AV674" s="24"/>
      <c r="AW674" s="25"/>
      <c r="AX674" s="33"/>
      <c r="AY674" s="24"/>
      <c r="AZ674" s="24"/>
      <c r="BA674" s="24"/>
      <c r="BB674" s="24"/>
      <c r="BC674" s="25"/>
      <c r="BD674" s="33"/>
      <c r="BE674" s="24"/>
      <c r="BF674" s="24"/>
      <c r="BG674" s="24"/>
    </row>
    <row r="675" spans="37:59" x14ac:dyDescent="0.2">
      <c r="AK675" s="24"/>
      <c r="AL675" s="24"/>
      <c r="AM675" s="24"/>
      <c r="AN675" s="24"/>
      <c r="AO675" s="24"/>
      <c r="AP675" s="24"/>
      <c r="AQ675" s="49"/>
      <c r="AR675" s="33"/>
      <c r="AS675" s="24"/>
      <c r="AT675" s="24"/>
      <c r="AU675" s="24"/>
      <c r="AV675" s="24"/>
      <c r="AW675" s="25"/>
      <c r="AX675" s="33"/>
      <c r="AY675" s="24"/>
      <c r="AZ675" s="24"/>
      <c r="BA675" s="24"/>
      <c r="BB675" s="24"/>
      <c r="BC675" s="25"/>
      <c r="BD675" s="33"/>
      <c r="BE675" s="24"/>
      <c r="BF675" s="24"/>
      <c r="BG675" s="24"/>
    </row>
    <row r="676" spans="37:59" x14ac:dyDescent="0.2">
      <c r="AK676" s="24"/>
      <c r="AL676" s="24"/>
      <c r="AM676" s="24"/>
      <c r="AN676" s="24"/>
      <c r="AO676" s="24"/>
      <c r="AP676" s="24"/>
      <c r="AQ676" s="49"/>
      <c r="AR676" s="33"/>
      <c r="AS676" s="24"/>
      <c r="AT676" s="24"/>
      <c r="AU676" s="24"/>
      <c r="AV676" s="24"/>
      <c r="AW676" s="25"/>
      <c r="AX676" s="33"/>
      <c r="AY676" s="24"/>
      <c r="AZ676" s="24"/>
      <c r="BA676" s="24"/>
      <c r="BB676" s="24"/>
      <c r="BC676" s="25"/>
      <c r="BD676" s="33"/>
      <c r="BE676" s="24"/>
      <c r="BF676" s="24"/>
      <c r="BG676" s="24"/>
    </row>
    <row r="677" spans="37:59" x14ac:dyDescent="0.2">
      <c r="AK677" s="24"/>
      <c r="AL677" s="24"/>
      <c r="AM677" s="24"/>
      <c r="AN677" s="24"/>
      <c r="AO677" s="24"/>
      <c r="AP677" s="24"/>
      <c r="AQ677" s="49"/>
      <c r="AR677" s="33"/>
      <c r="AS677" s="24"/>
      <c r="AT677" s="24"/>
      <c r="AU677" s="24"/>
      <c r="AV677" s="24"/>
      <c r="AW677" s="25"/>
      <c r="AX677" s="33"/>
      <c r="AY677" s="24"/>
      <c r="AZ677" s="24"/>
      <c r="BA677" s="24"/>
      <c r="BB677" s="24"/>
      <c r="BC677" s="25"/>
      <c r="BD677" s="33"/>
      <c r="BE677" s="24"/>
      <c r="BF677" s="24"/>
      <c r="BG677" s="24"/>
    </row>
    <row r="678" spans="37:59" x14ac:dyDescent="0.2">
      <c r="AK678" s="24"/>
      <c r="AL678" s="24"/>
      <c r="AM678" s="24"/>
      <c r="AN678" s="24"/>
      <c r="AO678" s="24"/>
      <c r="AP678" s="24"/>
      <c r="AQ678" s="49"/>
      <c r="AR678" s="33"/>
      <c r="AS678" s="24"/>
      <c r="AT678" s="24"/>
      <c r="AU678" s="24"/>
      <c r="AV678" s="24"/>
      <c r="AW678" s="25"/>
      <c r="AX678" s="33"/>
      <c r="AY678" s="24"/>
      <c r="AZ678" s="24"/>
      <c r="BA678" s="24"/>
      <c r="BB678" s="24"/>
      <c r="BC678" s="25"/>
      <c r="BD678" s="33"/>
      <c r="BE678" s="24"/>
      <c r="BF678" s="24"/>
      <c r="BG678" s="24"/>
    </row>
    <row r="679" spans="37:59" x14ac:dyDescent="0.2">
      <c r="AK679" s="24"/>
      <c r="AL679" s="24"/>
      <c r="AM679" s="24"/>
      <c r="AN679" s="24"/>
      <c r="AO679" s="24"/>
      <c r="AP679" s="24"/>
      <c r="AQ679" s="49"/>
      <c r="AR679" s="33"/>
      <c r="AS679" s="24"/>
      <c r="AT679" s="24"/>
      <c r="AU679" s="24"/>
      <c r="AV679" s="24"/>
      <c r="AW679" s="25"/>
      <c r="AX679" s="33"/>
      <c r="AY679" s="24"/>
      <c r="AZ679" s="24"/>
      <c r="BA679" s="24"/>
      <c r="BB679" s="24"/>
      <c r="BC679" s="25"/>
      <c r="BD679" s="33"/>
      <c r="BE679" s="24"/>
      <c r="BF679" s="24"/>
      <c r="BG679" s="24"/>
    </row>
    <row r="680" spans="37:59" x14ac:dyDescent="0.2">
      <c r="AK680" s="24"/>
      <c r="AL680" s="24"/>
      <c r="AM680" s="24"/>
      <c r="AN680" s="24"/>
      <c r="AO680" s="24"/>
      <c r="AP680" s="24"/>
      <c r="AQ680" s="49"/>
      <c r="AR680" s="33"/>
      <c r="AS680" s="24"/>
      <c r="AT680" s="24"/>
      <c r="AU680" s="24"/>
      <c r="AV680" s="24"/>
      <c r="AW680" s="25"/>
      <c r="AX680" s="33"/>
      <c r="AY680" s="24"/>
      <c r="AZ680" s="24"/>
      <c r="BA680" s="24"/>
      <c r="BB680" s="24"/>
      <c r="BC680" s="25"/>
      <c r="BD680" s="33"/>
      <c r="BE680" s="24"/>
      <c r="BF680" s="24"/>
      <c r="BG680" s="24"/>
    </row>
    <row r="681" spans="37:59" x14ac:dyDescent="0.2">
      <c r="AK681" s="24"/>
      <c r="AL681" s="24"/>
      <c r="AM681" s="24"/>
      <c r="AN681" s="24"/>
      <c r="AO681" s="24"/>
      <c r="AP681" s="24"/>
      <c r="AQ681" s="49"/>
      <c r="AR681" s="33"/>
      <c r="AS681" s="24"/>
      <c r="AT681" s="24"/>
      <c r="AU681" s="24"/>
      <c r="AV681" s="24"/>
      <c r="AW681" s="25"/>
      <c r="AX681" s="33"/>
      <c r="AY681" s="24"/>
      <c r="AZ681" s="24"/>
      <c r="BA681" s="24"/>
      <c r="BB681" s="24"/>
      <c r="BC681" s="25"/>
      <c r="BD681" s="33"/>
      <c r="BE681" s="24"/>
      <c r="BF681" s="24"/>
      <c r="BG681" s="24"/>
    </row>
    <row r="682" spans="37:59" x14ac:dyDescent="0.2">
      <c r="AK682" s="24"/>
      <c r="AL682" s="24"/>
      <c r="AM682" s="24"/>
      <c r="AN682" s="24"/>
      <c r="AO682" s="24"/>
      <c r="AP682" s="24"/>
      <c r="AQ682" s="49"/>
      <c r="AR682" s="33"/>
      <c r="AS682" s="24"/>
      <c r="AT682" s="24"/>
      <c r="AU682" s="24"/>
      <c r="AV682" s="24"/>
      <c r="AW682" s="25"/>
      <c r="AX682" s="33"/>
      <c r="AY682" s="24"/>
      <c r="AZ682" s="24"/>
      <c r="BA682" s="24"/>
      <c r="BB682" s="24"/>
      <c r="BC682" s="25"/>
      <c r="BD682" s="33"/>
      <c r="BE682" s="24"/>
      <c r="BF682" s="24"/>
      <c r="BG682" s="24"/>
    </row>
    <row r="683" spans="37:59" x14ac:dyDescent="0.2">
      <c r="AK683" s="24"/>
      <c r="AL683" s="24"/>
      <c r="AM683" s="24"/>
      <c r="AN683" s="24"/>
      <c r="AO683" s="24"/>
      <c r="AP683" s="24"/>
      <c r="AQ683" s="49"/>
      <c r="AR683" s="33"/>
      <c r="AS683" s="24"/>
      <c r="AT683" s="24"/>
      <c r="AU683" s="24"/>
      <c r="AV683" s="24"/>
      <c r="AW683" s="25"/>
      <c r="AX683" s="33"/>
      <c r="AY683" s="24"/>
      <c r="AZ683" s="24"/>
      <c r="BA683" s="24"/>
      <c r="BB683" s="24"/>
      <c r="BC683" s="25"/>
      <c r="BD683" s="33"/>
      <c r="BE683" s="24"/>
      <c r="BF683" s="24"/>
      <c r="BG683" s="24"/>
    </row>
    <row r="684" spans="37:59" x14ac:dyDescent="0.2">
      <c r="AK684" s="24"/>
      <c r="AL684" s="24"/>
      <c r="AM684" s="24"/>
      <c r="AN684" s="24"/>
      <c r="AO684" s="24"/>
      <c r="AP684" s="24"/>
      <c r="AQ684" s="49"/>
      <c r="AR684" s="33"/>
      <c r="AS684" s="24"/>
      <c r="AT684" s="24"/>
      <c r="AU684" s="24"/>
      <c r="AV684" s="24"/>
      <c r="AW684" s="25"/>
      <c r="AX684" s="33"/>
      <c r="AY684" s="24"/>
      <c r="AZ684" s="24"/>
      <c r="BA684" s="24"/>
      <c r="BB684" s="24"/>
      <c r="BC684" s="25"/>
      <c r="BD684" s="33"/>
      <c r="BE684" s="24"/>
      <c r="BF684" s="24"/>
      <c r="BG684" s="24"/>
    </row>
    <row r="685" spans="37:59" x14ac:dyDescent="0.2">
      <c r="AK685" s="24"/>
      <c r="AL685" s="24"/>
      <c r="AM685" s="24"/>
      <c r="AN685" s="24"/>
      <c r="AO685" s="24"/>
      <c r="AP685" s="24"/>
      <c r="AQ685" s="49"/>
      <c r="AR685" s="33"/>
      <c r="AS685" s="24"/>
      <c r="AT685" s="24"/>
      <c r="AU685" s="24"/>
      <c r="AV685" s="24"/>
      <c r="AW685" s="25"/>
      <c r="AX685" s="33"/>
      <c r="AY685" s="24"/>
      <c r="AZ685" s="24"/>
      <c r="BA685" s="24"/>
      <c r="BB685" s="24"/>
      <c r="BC685" s="25"/>
      <c r="BD685" s="33"/>
      <c r="BE685" s="24"/>
      <c r="BF685" s="24"/>
      <c r="BG685" s="24"/>
    </row>
    <row r="686" spans="37:59" x14ac:dyDescent="0.2">
      <c r="AK686" s="24"/>
      <c r="AL686" s="24"/>
      <c r="AM686" s="24"/>
      <c r="AN686" s="24"/>
      <c r="AO686" s="24"/>
      <c r="AP686" s="24"/>
      <c r="AQ686" s="25"/>
      <c r="AR686" s="33"/>
      <c r="AS686" s="24"/>
      <c r="AT686" s="24"/>
      <c r="AU686" s="24"/>
      <c r="AV686" s="24"/>
      <c r="AW686" s="25"/>
      <c r="AX686" s="33"/>
      <c r="AY686" s="24"/>
      <c r="AZ686" s="24"/>
      <c r="BA686" s="24"/>
      <c r="BB686" s="24"/>
      <c r="BC686" s="25"/>
      <c r="BD686" s="33"/>
      <c r="BE686" s="24"/>
      <c r="BF686" s="24"/>
      <c r="BG686" s="24"/>
    </row>
    <row r="687" spans="37:59" x14ac:dyDescent="0.2">
      <c r="AK687" s="24"/>
      <c r="AL687" s="24"/>
      <c r="AM687" s="24"/>
      <c r="AN687" s="24"/>
      <c r="AO687" s="24"/>
      <c r="AP687" s="24"/>
      <c r="AQ687" s="25"/>
      <c r="AR687" s="33"/>
      <c r="AS687" s="24"/>
      <c r="AT687" s="24"/>
      <c r="AU687" s="24"/>
      <c r="AV687" s="24"/>
      <c r="AW687" s="25"/>
      <c r="AX687" s="33"/>
      <c r="AY687" s="24"/>
      <c r="AZ687" s="24"/>
      <c r="BA687" s="24"/>
      <c r="BB687" s="24"/>
      <c r="BC687" s="25"/>
      <c r="BD687" s="33"/>
      <c r="BE687" s="24"/>
      <c r="BF687" s="24"/>
      <c r="BG687" s="24"/>
    </row>
    <row r="688" spans="37:59" x14ac:dyDescent="0.2">
      <c r="AK688" s="24"/>
      <c r="AL688" s="24"/>
      <c r="AM688" s="24"/>
      <c r="AN688" s="24"/>
      <c r="AO688" s="24"/>
      <c r="AP688" s="24"/>
      <c r="AQ688" s="25"/>
      <c r="AR688" s="33"/>
      <c r="AS688" s="24"/>
      <c r="AT688" s="24"/>
      <c r="AU688" s="24"/>
      <c r="AV688" s="24"/>
      <c r="AW688" s="25"/>
      <c r="AX688" s="33"/>
      <c r="AY688" s="24"/>
      <c r="AZ688" s="24"/>
      <c r="BA688" s="24"/>
      <c r="BB688" s="24"/>
      <c r="BC688" s="25"/>
      <c r="BD688" s="33"/>
      <c r="BE688" s="24"/>
      <c r="BF688" s="24"/>
      <c r="BG688" s="24"/>
    </row>
    <row r="689" spans="37:59" x14ac:dyDescent="0.2">
      <c r="AK689" s="24"/>
      <c r="AL689" s="24"/>
      <c r="AM689" s="24"/>
      <c r="AN689" s="24"/>
      <c r="AO689" s="24"/>
      <c r="AP689" s="24"/>
      <c r="AQ689" s="25"/>
      <c r="AR689" s="33"/>
      <c r="AS689" s="24"/>
      <c r="AT689" s="24"/>
      <c r="AU689" s="24"/>
      <c r="AV689" s="24"/>
      <c r="AW689" s="25"/>
      <c r="AX689" s="33"/>
      <c r="AY689" s="24"/>
      <c r="AZ689" s="24"/>
      <c r="BA689" s="24"/>
      <c r="BB689" s="24"/>
      <c r="BC689" s="25"/>
      <c r="BD689" s="33"/>
      <c r="BE689" s="24"/>
      <c r="BF689" s="24"/>
      <c r="BG689" s="24"/>
    </row>
    <row r="690" spans="37:59" x14ac:dyDescent="0.2"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  <c r="AW690" s="25"/>
      <c r="AX690" s="33"/>
      <c r="AY690" s="24"/>
      <c r="AZ690" s="24"/>
      <c r="BA690" s="24"/>
      <c r="BB690" s="24"/>
      <c r="BC690" s="25"/>
      <c r="BD690" s="33"/>
      <c r="BE690" s="24"/>
      <c r="BF690" s="24"/>
      <c r="BG690" s="24"/>
    </row>
    <row r="691" spans="37:59" x14ac:dyDescent="0.2"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  <c r="AW691" s="25"/>
      <c r="AX691" s="33"/>
      <c r="AY691" s="24"/>
      <c r="AZ691" s="24"/>
      <c r="BA691" s="24"/>
      <c r="BB691" s="24"/>
      <c r="BC691" s="25"/>
      <c r="BD691" s="33"/>
      <c r="BE691" s="24"/>
      <c r="BF691" s="24"/>
      <c r="BG691" s="24"/>
    </row>
    <row r="692" spans="37:59" x14ac:dyDescent="0.2"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  <c r="AW692" s="25"/>
      <c r="AX692" s="33"/>
      <c r="AY692" s="24"/>
      <c r="AZ692" s="24"/>
      <c r="BA692" s="24"/>
      <c r="BB692" s="24"/>
      <c r="BC692" s="25"/>
      <c r="BD692" s="33"/>
      <c r="BE692" s="24"/>
      <c r="BF692" s="24"/>
      <c r="BG692" s="24"/>
    </row>
    <row r="693" spans="37:59" x14ac:dyDescent="0.2"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  <c r="AW693" s="25"/>
      <c r="AX693" s="33"/>
      <c r="AY693" s="24"/>
      <c r="AZ693" s="24"/>
      <c r="BA693" s="24"/>
      <c r="BB693" s="24"/>
      <c r="BC693" s="25"/>
      <c r="BD693" s="33"/>
      <c r="BE693" s="24"/>
      <c r="BF693" s="24"/>
      <c r="BG693" s="24"/>
    </row>
    <row r="694" spans="37:59" x14ac:dyDescent="0.2"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  <c r="AW694" s="25"/>
      <c r="AX694" s="33"/>
      <c r="AY694" s="24"/>
      <c r="AZ694" s="24"/>
      <c r="BA694" s="24"/>
      <c r="BB694" s="24"/>
      <c r="BC694" s="25"/>
      <c r="BD694" s="33"/>
      <c r="BE694" s="24"/>
      <c r="BF694" s="24"/>
      <c r="BG694" s="24"/>
    </row>
    <row r="695" spans="37:59" x14ac:dyDescent="0.2"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  <c r="AW695" s="25"/>
      <c r="AX695" s="33"/>
      <c r="AY695" s="24"/>
      <c r="AZ695" s="24"/>
      <c r="BA695" s="24"/>
      <c r="BB695" s="24"/>
      <c r="BC695" s="25"/>
      <c r="BD695" s="33"/>
      <c r="BE695" s="24"/>
      <c r="BF695" s="24"/>
      <c r="BG695" s="24"/>
    </row>
    <row r="696" spans="37:59" x14ac:dyDescent="0.2"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  <c r="AW696" s="25"/>
      <c r="AX696" s="33"/>
      <c r="AY696" s="24"/>
      <c r="AZ696" s="24"/>
      <c r="BA696" s="24"/>
      <c r="BB696" s="24"/>
      <c r="BC696" s="25"/>
      <c r="BD696" s="33"/>
      <c r="BE696" s="24"/>
      <c r="BF696" s="24"/>
      <c r="BG696" s="24"/>
    </row>
    <row r="697" spans="37:59" x14ac:dyDescent="0.2"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  <c r="AW697" s="25"/>
      <c r="AX697" s="33"/>
      <c r="AY697" s="24"/>
      <c r="AZ697" s="24"/>
      <c r="BA697" s="24"/>
      <c r="BB697" s="24"/>
      <c r="BC697" s="25"/>
      <c r="BD697" s="33"/>
      <c r="BE697" s="24"/>
      <c r="BF697" s="24"/>
      <c r="BG697" s="24"/>
    </row>
    <row r="698" spans="37:59" x14ac:dyDescent="0.2"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  <c r="AW698" s="25"/>
      <c r="AX698" s="33"/>
      <c r="AY698" s="24"/>
      <c r="AZ698" s="24"/>
      <c r="BA698" s="24"/>
      <c r="BB698" s="24"/>
      <c r="BC698" s="25"/>
      <c r="BD698" s="33"/>
      <c r="BE698" s="24"/>
      <c r="BF698" s="24"/>
      <c r="BG698" s="24"/>
    </row>
    <row r="699" spans="37:59" x14ac:dyDescent="0.2"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5"/>
      <c r="AX699" s="33"/>
      <c r="AY699" s="24"/>
      <c r="AZ699" s="24"/>
      <c r="BA699" s="24"/>
      <c r="BB699" s="24"/>
      <c r="BC699" s="25"/>
      <c r="BD699" s="33"/>
      <c r="BE699" s="24"/>
      <c r="BF699" s="24"/>
      <c r="BG699" s="24"/>
    </row>
    <row r="700" spans="37:59" x14ac:dyDescent="0.2"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5"/>
      <c r="AX700" s="33"/>
      <c r="AY700" s="24"/>
      <c r="AZ700" s="24"/>
      <c r="BA700" s="24"/>
      <c r="BB700" s="24"/>
      <c r="BC700" s="25"/>
      <c r="BD700" s="33"/>
      <c r="BE700" s="24"/>
      <c r="BF700" s="24"/>
      <c r="BG700" s="24"/>
    </row>
    <row r="701" spans="37:59" x14ac:dyDescent="0.2"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5"/>
      <c r="AX701" s="33"/>
      <c r="AY701" s="24"/>
      <c r="AZ701" s="24"/>
      <c r="BA701" s="24"/>
      <c r="BB701" s="24"/>
      <c r="BC701" s="25"/>
      <c r="BD701" s="33"/>
      <c r="BE701" s="24"/>
      <c r="BF701" s="24"/>
      <c r="BG701" s="24"/>
    </row>
    <row r="702" spans="37:59" x14ac:dyDescent="0.2"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  <c r="AW702" s="25"/>
      <c r="AX702" s="33"/>
      <c r="AY702" s="24"/>
      <c r="AZ702" s="24"/>
      <c r="BA702" s="24"/>
      <c r="BB702" s="24"/>
      <c r="BC702" s="25"/>
      <c r="BD702" s="33"/>
      <c r="BE702" s="24"/>
      <c r="BF702" s="24"/>
      <c r="BG702" s="24"/>
    </row>
    <row r="703" spans="37:59" x14ac:dyDescent="0.2"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  <c r="AW703" s="24"/>
      <c r="AX703" s="24"/>
      <c r="AY703" s="24"/>
      <c r="AZ703" s="24"/>
      <c r="BA703" s="24"/>
      <c r="BB703" s="24"/>
      <c r="BC703" s="24"/>
      <c r="BD703" s="24"/>
      <c r="BE703" s="24"/>
      <c r="BF703" s="24"/>
      <c r="BG703" s="24"/>
    </row>
    <row r="704" spans="37:59" x14ac:dyDescent="0.2"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  <c r="AW704" s="24"/>
      <c r="AX704" s="24"/>
      <c r="AY704" s="24"/>
      <c r="AZ704" s="24"/>
      <c r="BA704" s="24"/>
      <c r="BB704" s="24"/>
      <c r="BC704" s="24"/>
      <c r="BD704" s="24"/>
      <c r="BE704" s="24"/>
      <c r="BF704" s="24"/>
      <c r="BG704" s="24"/>
    </row>
    <row r="705" spans="37:59" x14ac:dyDescent="0.2"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  <c r="AW705" s="33"/>
      <c r="AX705" s="24"/>
      <c r="AY705" s="24"/>
      <c r="AZ705" s="24"/>
      <c r="BA705" s="24"/>
      <c r="BB705" s="24"/>
      <c r="BC705" s="33"/>
      <c r="BD705" s="24"/>
      <c r="BE705" s="24"/>
      <c r="BF705" s="24"/>
      <c r="BG705" s="24"/>
    </row>
    <row r="706" spans="37:59" x14ac:dyDescent="0.2"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  <c r="AW706" s="33"/>
      <c r="AX706" s="33"/>
      <c r="AY706" s="33"/>
      <c r="AZ706" s="33"/>
      <c r="BA706" s="24"/>
      <c r="BB706" s="24"/>
      <c r="BC706" s="33"/>
      <c r="BD706" s="33"/>
      <c r="BE706" s="33"/>
      <c r="BF706" s="33"/>
      <c r="BG706" s="24"/>
    </row>
    <row r="707" spans="37:59" x14ac:dyDescent="0.2"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  <c r="AW707" s="49"/>
      <c r="AX707" s="33"/>
      <c r="AY707" s="33"/>
      <c r="AZ707" s="33"/>
      <c r="BA707" s="24"/>
      <c r="BB707" s="24"/>
      <c r="BC707" s="49"/>
      <c r="BD707" s="33"/>
      <c r="BE707" s="33"/>
      <c r="BF707" s="33"/>
      <c r="BG707" s="24"/>
    </row>
    <row r="708" spans="37:59" x14ac:dyDescent="0.2"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  <c r="AW708" s="49"/>
      <c r="AX708" s="33"/>
      <c r="AY708" s="33"/>
      <c r="AZ708" s="33"/>
      <c r="BA708" s="24"/>
      <c r="BB708" s="24"/>
      <c r="BC708" s="49"/>
      <c r="BD708" s="33"/>
      <c r="BE708" s="33"/>
      <c r="BF708" s="33"/>
      <c r="BG708" s="24"/>
    </row>
    <row r="709" spans="37:59" x14ac:dyDescent="0.2"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  <c r="AW709" s="49"/>
      <c r="AX709" s="33"/>
      <c r="AY709" s="33"/>
      <c r="AZ709" s="33"/>
      <c r="BA709" s="24"/>
      <c r="BB709" s="24"/>
      <c r="BC709" s="49"/>
      <c r="BD709" s="33"/>
      <c r="BE709" s="33"/>
      <c r="BF709" s="33"/>
      <c r="BG709" s="24"/>
    </row>
    <row r="710" spans="37:59" x14ac:dyDescent="0.2"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  <c r="AW710" s="49"/>
      <c r="AX710" s="33"/>
      <c r="AY710" s="33"/>
      <c r="AZ710" s="33"/>
      <c r="BA710" s="24"/>
      <c r="BB710" s="24"/>
      <c r="BC710" s="49"/>
      <c r="BD710" s="33"/>
      <c r="BE710" s="33"/>
      <c r="BF710" s="33"/>
      <c r="BG710" s="24"/>
    </row>
    <row r="711" spans="37:59" x14ac:dyDescent="0.2"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  <c r="AW711" s="49"/>
      <c r="AX711" s="33"/>
      <c r="AY711" s="33"/>
      <c r="AZ711" s="33"/>
      <c r="BA711" s="24"/>
      <c r="BB711" s="24"/>
      <c r="BC711" s="49"/>
      <c r="BD711" s="33"/>
      <c r="BE711" s="33"/>
      <c r="BF711" s="33"/>
      <c r="BG711" s="24"/>
    </row>
    <row r="712" spans="37:59" x14ac:dyDescent="0.2"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  <c r="AW712" s="49"/>
      <c r="AX712" s="33"/>
      <c r="AY712" s="33"/>
      <c r="AZ712" s="33"/>
      <c r="BA712" s="24"/>
      <c r="BB712" s="24"/>
      <c r="BC712" s="49"/>
      <c r="BD712" s="33"/>
      <c r="BE712" s="33"/>
      <c r="BF712" s="33"/>
      <c r="BG712" s="24"/>
    </row>
    <row r="713" spans="37:59" x14ac:dyDescent="0.2"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  <c r="AW713" s="49"/>
      <c r="AX713" s="33"/>
      <c r="AY713" s="33"/>
      <c r="AZ713" s="33"/>
      <c r="BA713" s="24"/>
      <c r="BB713" s="24"/>
      <c r="BC713" s="49"/>
      <c r="BD713" s="33"/>
      <c r="BE713" s="33"/>
      <c r="BF713" s="33"/>
      <c r="BG713" s="24"/>
    </row>
    <row r="714" spans="37:59" x14ac:dyDescent="0.2"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  <c r="AW714" s="49"/>
      <c r="AX714" s="33"/>
      <c r="AY714" s="33"/>
      <c r="AZ714" s="33"/>
      <c r="BA714" s="24"/>
      <c r="BB714" s="24"/>
      <c r="BC714" s="49"/>
      <c r="BD714" s="33"/>
      <c r="BE714" s="33"/>
      <c r="BF714" s="33"/>
      <c r="BG714" s="24"/>
    </row>
    <row r="715" spans="37:59" x14ac:dyDescent="0.2"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  <c r="AW715" s="49"/>
      <c r="AX715" s="33"/>
      <c r="AY715" s="33"/>
      <c r="AZ715" s="33"/>
      <c r="BA715" s="24"/>
      <c r="BB715" s="24"/>
      <c r="BC715" s="49"/>
      <c r="BD715" s="33"/>
      <c r="BE715" s="33"/>
      <c r="BF715" s="33"/>
      <c r="BG715" s="24"/>
    </row>
    <row r="716" spans="37:59" x14ac:dyDescent="0.2"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49"/>
      <c r="AX716" s="33"/>
      <c r="AY716" s="33"/>
      <c r="AZ716" s="33"/>
      <c r="BA716" s="24"/>
      <c r="BB716" s="24"/>
      <c r="BC716" s="49"/>
      <c r="BD716" s="33"/>
      <c r="BE716" s="33"/>
      <c r="BF716" s="33"/>
      <c r="BG716" s="24"/>
    </row>
    <row r="717" spans="37:59" x14ac:dyDescent="0.2"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  <c r="AW717" s="49"/>
      <c r="AX717" s="33"/>
      <c r="AY717" s="33"/>
      <c r="AZ717" s="33"/>
      <c r="BA717" s="24"/>
      <c r="BB717" s="24"/>
      <c r="BC717" s="49"/>
      <c r="BD717" s="33"/>
      <c r="BE717" s="33"/>
      <c r="BF717" s="33"/>
      <c r="BG717" s="24"/>
    </row>
    <row r="718" spans="37:59" x14ac:dyDescent="0.2"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  <c r="AW718" s="49"/>
      <c r="AX718" s="33"/>
      <c r="AY718" s="33"/>
      <c r="AZ718" s="33"/>
      <c r="BA718" s="24"/>
      <c r="BB718" s="24"/>
      <c r="BC718" s="49"/>
      <c r="BD718" s="33"/>
      <c r="BE718" s="33"/>
      <c r="BF718" s="33"/>
      <c r="BG718" s="24"/>
    </row>
    <row r="719" spans="37:59" x14ac:dyDescent="0.2"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  <c r="AW719" s="25"/>
      <c r="AX719" s="33"/>
      <c r="AY719" s="24"/>
      <c r="AZ719" s="24"/>
      <c r="BA719" s="24"/>
      <c r="BB719" s="24"/>
      <c r="BC719" s="25"/>
      <c r="BD719" s="33"/>
      <c r="BE719" s="24"/>
      <c r="BF719" s="24"/>
      <c r="BG719" s="24"/>
    </row>
    <row r="720" spans="37:59" x14ac:dyDescent="0.2"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49"/>
      <c r="AX720" s="33"/>
      <c r="AY720" s="24"/>
      <c r="AZ720" s="24"/>
      <c r="BA720" s="24"/>
      <c r="BB720" s="24"/>
      <c r="BC720" s="49"/>
      <c r="BD720" s="33"/>
      <c r="BE720" s="24"/>
      <c r="BF720" s="24"/>
      <c r="BG720" s="24"/>
    </row>
    <row r="721" spans="37:59" x14ac:dyDescent="0.2"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  <c r="AW721" s="49"/>
      <c r="AX721" s="33"/>
      <c r="AY721" s="24"/>
      <c r="AZ721" s="24"/>
      <c r="BA721" s="24"/>
      <c r="BB721" s="24"/>
      <c r="BC721" s="49"/>
      <c r="BD721" s="33"/>
      <c r="BE721" s="24"/>
      <c r="BF721" s="24"/>
      <c r="BG721" s="24"/>
    </row>
    <row r="722" spans="37:59" x14ac:dyDescent="0.2"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  <c r="AW722" s="49"/>
      <c r="AX722" s="33"/>
      <c r="AY722" s="24"/>
      <c r="AZ722" s="24"/>
      <c r="BA722" s="24"/>
      <c r="BB722" s="24"/>
      <c r="BC722" s="49"/>
      <c r="BD722" s="33"/>
      <c r="BE722" s="24"/>
      <c r="BF722" s="24"/>
      <c r="BG722" s="24"/>
    </row>
    <row r="723" spans="37:59" x14ac:dyDescent="0.2"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  <c r="AW723" s="49"/>
      <c r="AX723" s="33"/>
      <c r="AY723" s="24"/>
      <c r="AZ723" s="24"/>
      <c r="BA723" s="24"/>
      <c r="BB723" s="24"/>
      <c r="BC723" s="49"/>
      <c r="BD723" s="33"/>
      <c r="BE723" s="24"/>
      <c r="BF723" s="24"/>
      <c r="BG723" s="24"/>
    </row>
    <row r="724" spans="37:59" x14ac:dyDescent="0.2"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  <c r="AW724" s="49"/>
      <c r="AX724" s="33"/>
      <c r="AY724" s="24"/>
      <c r="AZ724" s="24"/>
      <c r="BA724" s="24"/>
      <c r="BB724" s="24"/>
      <c r="BC724" s="49"/>
      <c r="BD724" s="33"/>
      <c r="BE724" s="24"/>
      <c r="BF724" s="24"/>
      <c r="BG724" s="24"/>
    </row>
    <row r="725" spans="37:59" x14ac:dyDescent="0.2"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49"/>
      <c r="AX725" s="33"/>
      <c r="AY725" s="24"/>
      <c r="AZ725" s="24"/>
      <c r="BA725" s="24"/>
      <c r="BB725" s="24"/>
      <c r="BC725" s="49"/>
      <c r="BD725" s="33"/>
      <c r="BE725" s="24"/>
      <c r="BF725" s="24"/>
      <c r="BG725" s="24"/>
    </row>
    <row r="726" spans="37:59" x14ac:dyDescent="0.2"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  <c r="AW726" s="49"/>
      <c r="AX726" s="33"/>
      <c r="AY726" s="24"/>
      <c r="AZ726" s="24"/>
      <c r="BA726" s="24"/>
      <c r="BB726" s="24"/>
      <c r="BC726" s="49"/>
      <c r="BD726" s="33"/>
      <c r="BE726" s="24"/>
      <c r="BF726" s="24"/>
      <c r="BG726" s="24"/>
    </row>
    <row r="727" spans="37:59" x14ac:dyDescent="0.2"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  <c r="AW727" s="49"/>
      <c r="AX727" s="33"/>
      <c r="AY727" s="24"/>
      <c r="AZ727" s="24"/>
      <c r="BA727" s="24"/>
      <c r="BB727" s="24"/>
      <c r="BC727" s="49"/>
      <c r="BD727" s="33"/>
      <c r="BE727" s="24"/>
      <c r="BF727" s="24"/>
      <c r="BG727" s="24"/>
    </row>
    <row r="728" spans="37:59" x14ac:dyDescent="0.2"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  <c r="AW728" s="49"/>
      <c r="AX728" s="33"/>
      <c r="AY728" s="24"/>
      <c r="AZ728" s="24"/>
      <c r="BA728" s="24"/>
      <c r="BB728" s="24"/>
      <c r="BC728" s="49"/>
      <c r="BD728" s="33"/>
      <c r="BE728" s="24"/>
      <c r="BF728" s="24"/>
      <c r="BG728" s="24"/>
    </row>
    <row r="729" spans="37:59" x14ac:dyDescent="0.2"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  <c r="AW729" s="49"/>
      <c r="AX729" s="33"/>
      <c r="AY729" s="24"/>
      <c r="AZ729" s="24"/>
      <c r="BA729" s="24"/>
      <c r="BB729" s="24"/>
      <c r="BC729" s="49"/>
      <c r="BD729" s="33"/>
      <c r="BE729" s="24"/>
      <c r="BF729" s="24"/>
      <c r="BG729" s="24"/>
    </row>
    <row r="730" spans="37:59" x14ac:dyDescent="0.2"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49"/>
      <c r="AX730" s="33"/>
      <c r="AY730" s="24"/>
      <c r="AZ730" s="24"/>
      <c r="BA730" s="24"/>
      <c r="BB730" s="24"/>
      <c r="BC730" s="49"/>
      <c r="BD730" s="33"/>
      <c r="BE730" s="24"/>
      <c r="BF730" s="24"/>
      <c r="BG730" s="24"/>
    </row>
    <row r="731" spans="37:59" x14ac:dyDescent="0.2"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49"/>
      <c r="AX731" s="33"/>
      <c r="AY731" s="24"/>
      <c r="AZ731" s="24"/>
      <c r="BA731" s="24"/>
      <c r="BB731" s="24"/>
      <c r="BC731" s="49"/>
      <c r="BD731" s="33"/>
      <c r="BE731" s="24"/>
      <c r="BF731" s="24"/>
      <c r="BG731" s="24"/>
    </row>
    <row r="732" spans="37:59" x14ac:dyDescent="0.2"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49"/>
      <c r="AX732" s="33"/>
      <c r="AY732" s="24"/>
      <c r="AZ732" s="24"/>
      <c r="BA732" s="24"/>
      <c r="BB732" s="24"/>
      <c r="BC732" s="49"/>
      <c r="BD732" s="33"/>
      <c r="BE732" s="24"/>
      <c r="BF732" s="24"/>
      <c r="BG732" s="24"/>
    </row>
    <row r="733" spans="37:59" x14ac:dyDescent="0.2"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  <c r="AW733" s="49"/>
      <c r="AX733" s="33"/>
      <c r="AY733" s="24"/>
      <c r="AZ733" s="24"/>
      <c r="BA733" s="24"/>
      <c r="BB733" s="24"/>
      <c r="BC733" s="49"/>
      <c r="BD733" s="33"/>
      <c r="BE733" s="24"/>
      <c r="BF733" s="24"/>
      <c r="BG733" s="24"/>
    </row>
    <row r="734" spans="37:59" x14ac:dyDescent="0.2"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  <c r="AW734" s="49"/>
      <c r="AX734" s="33"/>
      <c r="AY734" s="24"/>
      <c r="AZ734" s="24"/>
      <c r="BA734" s="24"/>
      <c r="BB734" s="24"/>
      <c r="BC734" s="49"/>
      <c r="BD734" s="33"/>
      <c r="BE734" s="24"/>
      <c r="BF734" s="24"/>
      <c r="BG734" s="24"/>
    </row>
    <row r="735" spans="37:59" x14ac:dyDescent="0.2"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  <c r="AW735" s="49"/>
      <c r="AX735" s="33"/>
      <c r="AY735" s="24"/>
      <c r="AZ735" s="24"/>
      <c r="BA735" s="24"/>
      <c r="BB735" s="24"/>
      <c r="BC735" s="49"/>
      <c r="BD735" s="33"/>
      <c r="BE735" s="24"/>
      <c r="BF735" s="24"/>
      <c r="BG735" s="24"/>
    </row>
    <row r="736" spans="37:59" x14ac:dyDescent="0.2"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  <c r="AW736" s="49"/>
      <c r="AX736" s="33"/>
      <c r="AY736" s="24"/>
      <c r="AZ736" s="24"/>
      <c r="BA736" s="24"/>
      <c r="BB736" s="24"/>
      <c r="BC736" s="49"/>
      <c r="BD736" s="33"/>
      <c r="BE736" s="24"/>
      <c r="BF736" s="24"/>
      <c r="BG736" s="24"/>
    </row>
    <row r="737" spans="37:59" x14ac:dyDescent="0.2"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  <c r="AW737" s="49"/>
      <c r="AX737" s="33"/>
      <c r="AY737" s="24"/>
      <c r="AZ737" s="24"/>
      <c r="BA737" s="24"/>
      <c r="BB737" s="24"/>
      <c r="BC737" s="49"/>
      <c r="BD737" s="33"/>
      <c r="BE737" s="24"/>
      <c r="BF737" s="24"/>
      <c r="BG737" s="24"/>
    </row>
    <row r="738" spans="37:59" x14ac:dyDescent="0.2"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  <c r="AW738" s="49"/>
      <c r="AX738" s="33"/>
      <c r="AY738" s="24"/>
      <c r="AZ738" s="24"/>
      <c r="BA738" s="24"/>
      <c r="BB738" s="24"/>
      <c r="BC738" s="49"/>
      <c r="BD738" s="33"/>
      <c r="BE738" s="24"/>
      <c r="BF738" s="24"/>
      <c r="BG738" s="24"/>
    </row>
    <row r="739" spans="37:59" x14ac:dyDescent="0.2"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  <c r="AW739" s="49"/>
      <c r="AX739" s="33"/>
      <c r="AY739" s="24"/>
      <c r="AZ739" s="24"/>
      <c r="BA739" s="24"/>
      <c r="BB739" s="24"/>
      <c r="BC739" s="49"/>
      <c r="BD739" s="33"/>
      <c r="BE739" s="24"/>
      <c r="BF739" s="24"/>
      <c r="BG739" s="24"/>
    </row>
    <row r="740" spans="37:59" x14ac:dyDescent="0.2"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  <c r="AW740" s="49"/>
      <c r="AX740" s="33"/>
      <c r="AY740" s="24"/>
      <c r="AZ740" s="24"/>
      <c r="BA740" s="24"/>
      <c r="BB740" s="24"/>
      <c r="BC740" s="49"/>
      <c r="BD740" s="33"/>
      <c r="BE740" s="24"/>
      <c r="BF740" s="24"/>
      <c r="BG740" s="24"/>
    </row>
    <row r="741" spans="37:59" x14ac:dyDescent="0.2"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  <c r="AW741" s="49"/>
      <c r="AX741" s="33"/>
      <c r="AY741" s="24"/>
      <c r="AZ741" s="24"/>
      <c r="BA741" s="24"/>
      <c r="BB741" s="24"/>
      <c r="BC741" s="49"/>
      <c r="BD741" s="33"/>
      <c r="BE741" s="24"/>
      <c r="BF741" s="24"/>
      <c r="BG741" s="24"/>
    </row>
    <row r="742" spans="37:59" x14ac:dyDescent="0.2"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  <c r="AW742" s="49"/>
      <c r="AX742" s="33"/>
      <c r="AY742" s="24"/>
      <c r="AZ742" s="24"/>
      <c r="BA742" s="24"/>
      <c r="BB742" s="24"/>
      <c r="BC742" s="49"/>
      <c r="BD742" s="33"/>
      <c r="BE742" s="24"/>
      <c r="BF742" s="24"/>
      <c r="BG742" s="24"/>
    </row>
    <row r="743" spans="37:59" x14ac:dyDescent="0.2"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  <c r="AW743" s="49"/>
      <c r="AX743" s="33"/>
      <c r="AY743" s="24"/>
      <c r="AZ743" s="24"/>
      <c r="BA743" s="24"/>
      <c r="BB743" s="24"/>
      <c r="BC743" s="49"/>
      <c r="BD743" s="33"/>
      <c r="BE743" s="24"/>
      <c r="BF743" s="24"/>
      <c r="BG743" s="24"/>
    </row>
    <row r="744" spans="37:59" x14ac:dyDescent="0.2"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  <c r="AW744" s="49"/>
      <c r="AX744" s="33"/>
      <c r="AY744" s="24"/>
      <c r="AZ744" s="24"/>
      <c r="BA744" s="24"/>
      <c r="BB744" s="24"/>
      <c r="BC744" s="49"/>
      <c r="BD744" s="33"/>
      <c r="BE744" s="24"/>
      <c r="BF744" s="24"/>
      <c r="BG744" s="24"/>
    </row>
    <row r="745" spans="37:59" x14ac:dyDescent="0.2"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  <c r="AW745" s="49"/>
      <c r="AX745" s="33"/>
      <c r="AY745" s="24"/>
      <c r="AZ745" s="24"/>
      <c r="BA745" s="24"/>
      <c r="BB745" s="24"/>
      <c r="BC745" s="49"/>
      <c r="BD745" s="33"/>
      <c r="BE745" s="24"/>
      <c r="BF745" s="24"/>
      <c r="BG745" s="24"/>
    </row>
    <row r="746" spans="37:59" x14ac:dyDescent="0.2"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  <c r="AW746" s="49"/>
      <c r="AX746" s="33"/>
      <c r="AY746" s="24"/>
      <c r="AZ746" s="24"/>
      <c r="BA746" s="24"/>
      <c r="BB746" s="24"/>
      <c r="BC746" s="49"/>
      <c r="BD746" s="33"/>
      <c r="BE746" s="24"/>
      <c r="BF746" s="24"/>
      <c r="BG746" s="24"/>
    </row>
    <row r="747" spans="37:59" x14ac:dyDescent="0.2"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  <c r="AW747" s="49"/>
      <c r="AX747" s="33"/>
      <c r="AY747" s="24"/>
      <c r="AZ747" s="24"/>
      <c r="BA747" s="24"/>
      <c r="BB747" s="24"/>
      <c r="BC747" s="49"/>
      <c r="BD747" s="33"/>
      <c r="BE747" s="24"/>
      <c r="BF747" s="24"/>
      <c r="BG747" s="24"/>
    </row>
    <row r="748" spans="37:59" x14ac:dyDescent="0.2"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  <c r="AW748" s="49"/>
      <c r="AX748" s="33"/>
      <c r="AY748" s="24"/>
      <c r="AZ748" s="24"/>
      <c r="BA748" s="24"/>
      <c r="BB748" s="24"/>
      <c r="BC748" s="49"/>
      <c r="BD748" s="33"/>
      <c r="BE748" s="24"/>
      <c r="BF748" s="24"/>
      <c r="BG748" s="24"/>
    </row>
    <row r="749" spans="37:59" x14ac:dyDescent="0.2"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  <c r="AW749" s="49"/>
      <c r="AX749" s="33"/>
      <c r="AY749" s="24"/>
      <c r="AZ749" s="24"/>
      <c r="BA749" s="24"/>
      <c r="BB749" s="24"/>
      <c r="BC749" s="49"/>
      <c r="BD749" s="33"/>
      <c r="BE749" s="24"/>
      <c r="BF749" s="24"/>
      <c r="BG749" s="24"/>
    </row>
    <row r="750" spans="37:59" x14ac:dyDescent="0.2"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  <c r="AW750" s="49"/>
      <c r="AX750" s="33"/>
      <c r="AY750" s="24"/>
      <c r="AZ750" s="24"/>
      <c r="BA750" s="24"/>
      <c r="BB750" s="24"/>
      <c r="BC750" s="49"/>
      <c r="BD750" s="33"/>
      <c r="BE750" s="24"/>
      <c r="BF750" s="24"/>
      <c r="BG750" s="24"/>
    </row>
    <row r="751" spans="37:59" x14ac:dyDescent="0.2"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  <c r="AW751" s="49"/>
      <c r="AX751" s="33"/>
      <c r="AY751" s="24"/>
      <c r="AZ751" s="24"/>
      <c r="BA751" s="24"/>
      <c r="BB751" s="24"/>
      <c r="BC751" s="49"/>
      <c r="BD751" s="33"/>
      <c r="BE751" s="24"/>
      <c r="BF751" s="24"/>
      <c r="BG751" s="24"/>
    </row>
    <row r="752" spans="37:59" x14ac:dyDescent="0.2"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  <c r="AW752" s="25"/>
      <c r="AX752" s="33"/>
      <c r="AY752" s="24"/>
      <c r="AZ752" s="24"/>
      <c r="BA752" s="24"/>
      <c r="BB752" s="24"/>
      <c r="BC752" s="25"/>
      <c r="BD752" s="33"/>
      <c r="BE752" s="24"/>
      <c r="BF752" s="24"/>
      <c r="BG752" s="24"/>
    </row>
    <row r="753" spans="37:59" x14ac:dyDescent="0.2"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  <c r="AW753" s="25"/>
      <c r="AX753" s="33"/>
      <c r="AY753" s="24"/>
      <c r="AZ753" s="24"/>
      <c r="BA753" s="24"/>
      <c r="BB753" s="24"/>
      <c r="BC753" s="25"/>
      <c r="BD753" s="33"/>
      <c r="BE753" s="24"/>
      <c r="BF753" s="24"/>
      <c r="BG753" s="24"/>
    </row>
    <row r="754" spans="37:59" x14ac:dyDescent="0.2"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  <c r="AW754" s="25"/>
      <c r="AX754" s="33"/>
      <c r="AY754" s="24"/>
      <c r="AZ754" s="24"/>
      <c r="BA754" s="24"/>
      <c r="BB754" s="24"/>
      <c r="BC754" s="25"/>
      <c r="BD754" s="33"/>
      <c r="BE754" s="24"/>
      <c r="BF754" s="24"/>
      <c r="BG754" s="24"/>
    </row>
    <row r="755" spans="37:59" x14ac:dyDescent="0.2"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  <c r="AW755" s="25"/>
      <c r="AX755" s="33"/>
      <c r="AY755" s="24"/>
      <c r="AZ755" s="24"/>
      <c r="BA755" s="24"/>
      <c r="BB755" s="24"/>
      <c r="BC755" s="25"/>
      <c r="BD755" s="33"/>
      <c r="BE755" s="24"/>
      <c r="BF755" s="24"/>
      <c r="BG755" s="24"/>
    </row>
    <row r="756" spans="37:59" x14ac:dyDescent="0.2"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  <c r="AW756" s="25"/>
      <c r="AX756" s="33"/>
      <c r="AY756" s="24"/>
      <c r="AZ756" s="24"/>
      <c r="BA756" s="24"/>
      <c r="BB756" s="24"/>
      <c r="BC756" s="25"/>
      <c r="BD756" s="33"/>
      <c r="BE756" s="24"/>
      <c r="BF756" s="24"/>
      <c r="BG756" s="24"/>
    </row>
    <row r="757" spans="37:59" x14ac:dyDescent="0.2"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  <c r="AW757" s="25"/>
      <c r="AX757" s="33"/>
      <c r="AY757" s="24"/>
      <c r="AZ757" s="24"/>
      <c r="BA757" s="24"/>
      <c r="BB757" s="24"/>
      <c r="BC757" s="25"/>
      <c r="BD757" s="33"/>
      <c r="BE757" s="24"/>
      <c r="BF757" s="24"/>
      <c r="BG757" s="24"/>
    </row>
    <row r="758" spans="37:59" x14ac:dyDescent="0.2"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  <c r="AW758" s="25"/>
      <c r="AX758" s="33"/>
      <c r="AY758" s="24"/>
      <c r="AZ758" s="24"/>
      <c r="BA758" s="24"/>
      <c r="BB758" s="24"/>
      <c r="BC758" s="25"/>
      <c r="BD758" s="33"/>
      <c r="BE758" s="24"/>
      <c r="BF758" s="24"/>
      <c r="BG758" s="24"/>
    </row>
    <row r="759" spans="37:59" x14ac:dyDescent="0.2"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  <c r="AW759" s="25"/>
      <c r="AX759" s="33"/>
      <c r="AY759" s="24"/>
      <c r="AZ759" s="24"/>
      <c r="BA759" s="24"/>
      <c r="BB759" s="24"/>
      <c r="BC759" s="25"/>
      <c r="BD759" s="33"/>
      <c r="BE759" s="24"/>
      <c r="BF759" s="24"/>
      <c r="BG759" s="24"/>
    </row>
    <row r="760" spans="37:59" x14ac:dyDescent="0.2"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  <c r="AW760" s="25"/>
      <c r="AX760" s="33"/>
      <c r="AY760" s="24"/>
      <c r="AZ760" s="24"/>
      <c r="BA760" s="24"/>
      <c r="BB760" s="24"/>
      <c r="BC760" s="25"/>
      <c r="BD760" s="33"/>
      <c r="BE760" s="24"/>
      <c r="BF760" s="24"/>
      <c r="BG760" s="24"/>
    </row>
    <row r="761" spans="37:59" x14ac:dyDescent="0.2"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  <c r="AW761" s="25"/>
      <c r="AX761" s="33"/>
      <c r="AY761" s="24"/>
      <c r="AZ761" s="24"/>
      <c r="BA761" s="24"/>
      <c r="BB761" s="24"/>
      <c r="BC761" s="25"/>
      <c r="BD761" s="33"/>
      <c r="BE761" s="24"/>
      <c r="BF761" s="24"/>
      <c r="BG761" s="24"/>
    </row>
    <row r="762" spans="37:59" x14ac:dyDescent="0.2"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  <c r="AW762" s="25"/>
      <c r="AX762" s="33"/>
      <c r="AY762" s="24"/>
      <c r="AZ762" s="24"/>
      <c r="BA762" s="24"/>
      <c r="BB762" s="24"/>
      <c r="BC762" s="25"/>
      <c r="BD762" s="33"/>
      <c r="BE762" s="24"/>
      <c r="BF762" s="24"/>
      <c r="BG762" s="24"/>
    </row>
    <row r="763" spans="37:59" x14ac:dyDescent="0.2"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  <c r="AW763" s="25"/>
      <c r="AX763" s="33"/>
      <c r="AY763" s="24"/>
      <c r="AZ763" s="24"/>
      <c r="BA763" s="24"/>
      <c r="BB763" s="24"/>
      <c r="BC763" s="25"/>
      <c r="BD763" s="33"/>
      <c r="BE763" s="24"/>
      <c r="BF763" s="24"/>
      <c r="BG763" s="24"/>
    </row>
    <row r="764" spans="37:59" x14ac:dyDescent="0.2"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  <c r="AW764" s="25"/>
      <c r="AX764" s="33"/>
      <c r="AY764" s="24"/>
      <c r="AZ764" s="24"/>
      <c r="BA764" s="24"/>
      <c r="BB764" s="24"/>
      <c r="BC764" s="25"/>
      <c r="BD764" s="33"/>
      <c r="BE764" s="24"/>
      <c r="BF764" s="24"/>
      <c r="BG764" s="24"/>
    </row>
    <row r="765" spans="37:59" x14ac:dyDescent="0.2"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  <c r="AW765" s="25"/>
      <c r="AX765" s="33"/>
      <c r="AY765" s="24"/>
      <c r="AZ765" s="24"/>
      <c r="BA765" s="24"/>
      <c r="BB765" s="24"/>
      <c r="BC765" s="25"/>
      <c r="BD765" s="33"/>
      <c r="BE765" s="24"/>
      <c r="BF765" s="24"/>
      <c r="BG765" s="24"/>
    </row>
    <row r="766" spans="37:59" x14ac:dyDescent="0.2"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  <c r="AW766" s="25"/>
      <c r="AX766" s="33"/>
      <c r="AY766" s="24"/>
      <c r="AZ766" s="24"/>
      <c r="BA766" s="24"/>
      <c r="BB766" s="24"/>
      <c r="BC766" s="25"/>
      <c r="BD766" s="33"/>
      <c r="BE766" s="24"/>
      <c r="BF766" s="24"/>
      <c r="BG766" s="24"/>
    </row>
    <row r="767" spans="37:59" x14ac:dyDescent="0.2"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  <c r="AW767" s="25"/>
      <c r="AX767" s="33"/>
      <c r="AY767" s="24"/>
      <c r="AZ767" s="24"/>
      <c r="BA767" s="24"/>
      <c r="BB767" s="24"/>
      <c r="BC767" s="25"/>
      <c r="BD767" s="33"/>
      <c r="BE767" s="24"/>
      <c r="BF767" s="24"/>
      <c r="BG767" s="24"/>
    </row>
    <row r="768" spans="37:59" x14ac:dyDescent="0.2"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  <c r="AW768" s="25"/>
      <c r="AX768" s="33"/>
      <c r="AY768" s="24"/>
      <c r="AZ768" s="24"/>
      <c r="BA768" s="24"/>
      <c r="BB768" s="24"/>
      <c r="BC768" s="25"/>
      <c r="BD768" s="33"/>
      <c r="BE768" s="24"/>
      <c r="BF768" s="24"/>
      <c r="BG768" s="24"/>
    </row>
    <row r="769" spans="37:59" x14ac:dyDescent="0.2"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  <c r="AW769" s="25"/>
      <c r="AX769" s="33"/>
      <c r="AY769" s="24"/>
      <c r="AZ769" s="24"/>
      <c r="BA769" s="24"/>
      <c r="BB769" s="24"/>
      <c r="BC769" s="25"/>
      <c r="BD769" s="33"/>
      <c r="BE769" s="24"/>
      <c r="BF769" s="24"/>
      <c r="BG769" s="24"/>
    </row>
    <row r="770" spans="37:59" x14ac:dyDescent="0.2"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  <c r="AW770" s="25"/>
      <c r="AX770" s="33"/>
      <c r="AY770" s="24"/>
      <c r="AZ770" s="24"/>
      <c r="BA770" s="24"/>
      <c r="BB770" s="24"/>
      <c r="BC770" s="25"/>
      <c r="BD770" s="33"/>
      <c r="BE770" s="24"/>
      <c r="BF770" s="24"/>
      <c r="BG770" s="24"/>
    </row>
    <row r="771" spans="37:59" x14ac:dyDescent="0.2"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  <c r="AW771" s="25"/>
      <c r="AX771" s="33"/>
      <c r="AY771" s="24"/>
      <c r="AZ771" s="24"/>
      <c r="BA771" s="24"/>
      <c r="BB771" s="24"/>
      <c r="BC771" s="25"/>
      <c r="BD771" s="33"/>
      <c r="BE771" s="24"/>
      <c r="BF771" s="24"/>
      <c r="BG771" s="24"/>
    </row>
    <row r="772" spans="37:59" x14ac:dyDescent="0.2"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  <c r="AW772" s="25"/>
      <c r="AX772" s="33"/>
      <c r="AY772" s="24"/>
      <c r="AZ772" s="24"/>
      <c r="BA772" s="24"/>
      <c r="BB772" s="24"/>
      <c r="BC772" s="25"/>
      <c r="BD772" s="33"/>
      <c r="BE772" s="24"/>
      <c r="BF772" s="24"/>
      <c r="BG772" s="24"/>
    </row>
    <row r="773" spans="37:59" x14ac:dyDescent="0.2"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  <c r="AW773" s="25"/>
      <c r="AX773" s="33"/>
      <c r="AY773" s="24"/>
      <c r="AZ773" s="24"/>
      <c r="BA773" s="24"/>
      <c r="BB773" s="24"/>
      <c r="BC773" s="25"/>
      <c r="BD773" s="33"/>
      <c r="BE773" s="24"/>
      <c r="BF773" s="24"/>
      <c r="BG773" s="24"/>
    </row>
    <row r="774" spans="37:59" x14ac:dyDescent="0.2"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  <c r="AW774" s="25"/>
      <c r="AX774" s="33"/>
      <c r="AY774" s="24"/>
      <c r="AZ774" s="24"/>
      <c r="BA774" s="24"/>
      <c r="BB774" s="24"/>
      <c r="BC774" s="25"/>
      <c r="BD774" s="33"/>
      <c r="BE774" s="24"/>
      <c r="BF774" s="24"/>
      <c r="BG774" s="24"/>
    </row>
    <row r="775" spans="37:59" x14ac:dyDescent="0.2"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  <c r="AW775" s="25"/>
      <c r="AX775" s="33"/>
      <c r="AY775" s="24"/>
      <c r="AZ775" s="24"/>
      <c r="BA775" s="24"/>
      <c r="BB775" s="24"/>
      <c r="BC775" s="25"/>
      <c r="BD775" s="33"/>
      <c r="BE775" s="24"/>
      <c r="BF775" s="24"/>
      <c r="BG775" s="24"/>
    </row>
    <row r="776" spans="37:59" x14ac:dyDescent="0.2"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  <c r="AW776" s="25"/>
      <c r="AX776" s="33"/>
      <c r="AY776" s="24"/>
      <c r="AZ776" s="24"/>
      <c r="BA776" s="24"/>
      <c r="BB776" s="24"/>
      <c r="BC776" s="25"/>
      <c r="BD776" s="33"/>
      <c r="BE776" s="24"/>
      <c r="BF776" s="24"/>
      <c r="BG776" s="24"/>
    </row>
    <row r="777" spans="37:59" x14ac:dyDescent="0.2"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  <c r="AW777" s="25"/>
      <c r="AX777" s="33"/>
      <c r="AY777" s="24"/>
      <c r="AZ777" s="24"/>
      <c r="BA777" s="24"/>
      <c r="BB777" s="24"/>
      <c r="BC777" s="25"/>
      <c r="BD777" s="33"/>
      <c r="BE777" s="24"/>
      <c r="BF777" s="24"/>
      <c r="BG777" s="24"/>
    </row>
    <row r="778" spans="37:59" x14ac:dyDescent="0.2"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  <c r="AW778" s="25"/>
      <c r="AX778" s="33"/>
      <c r="AY778" s="24"/>
      <c r="AZ778" s="24"/>
      <c r="BA778" s="24"/>
      <c r="BB778" s="24"/>
      <c r="BC778" s="25"/>
      <c r="BD778" s="33"/>
      <c r="BE778" s="24"/>
      <c r="BF778" s="24"/>
      <c r="BG778" s="24"/>
    </row>
    <row r="779" spans="37:59" x14ac:dyDescent="0.2"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  <c r="AW779" s="25"/>
      <c r="AX779" s="33"/>
      <c r="AY779" s="24"/>
      <c r="AZ779" s="24"/>
      <c r="BA779" s="24"/>
      <c r="BB779" s="24"/>
      <c r="BC779" s="25"/>
      <c r="BD779" s="33"/>
      <c r="BE779" s="24"/>
      <c r="BF779" s="24"/>
      <c r="BG779" s="24"/>
    </row>
    <row r="780" spans="37:59" x14ac:dyDescent="0.2"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  <c r="AW780" s="25"/>
      <c r="AX780" s="33"/>
      <c r="AY780" s="24"/>
      <c r="AZ780" s="24"/>
      <c r="BA780" s="24"/>
      <c r="BB780" s="24"/>
      <c r="BC780" s="25"/>
      <c r="BD780" s="33"/>
      <c r="BE780" s="24"/>
      <c r="BF780" s="24"/>
      <c r="BG780" s="24"/>
    </row>
    <row r="781" spans="37:59" x14ac:dyDescent="0.2"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  <c r="AW781" s="24"/>
      <c r="AX781" s="24"/>
      <c r="AY781" s="24"/>
      <c r="AZ781" s="24"/>
      <c r="BA781" s="24"/>
      <c r="BB781" s="24"/>
      <c r="BC781" s="24"/>
      <c r="BD781" s="24"/>
      <c r="BE781" s="24"/>
      <c r="BF781" s="24"/>
      <c r="BG781" s="24"/>
    </row>
    <row r="782" spans="37:59" x14ac:dyDescent="0.2"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  <c r="AW782" s="24"/>
      <c r="AX782" s="24"/>
      <c r="AY782" s="24"/>
      <c r="AZ782" s="24"/>
      <c r="BA782" s="24"/>
      <c r="BB782" s="24"/>
      <c r="BC782" s="24"/>
      <c r="BD782" s="24"/>
      <c r="BE782" s="24"/>
      <c r="BF782" s="24"/>
      <c r="BG782" s="24"/>
    </row>
    <row r="783" spans="37:59" x14ac:dyDescent="0.2"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  <c r="AW783" s="33"/>
      <c r="AX783" s="24"/>
      <c r="AY783" s="24"/>
      <c r="AZ783" s="24"/>
      <c r="BA783" s="24"/>
      <c r="BB783" s="24"/>
      <c r="BC783" s="33"/>
      <c r="BD783" s="24"/>
      <c r="BE783" s="24"/>
      <c r="BF783" s="24"/>
      <c r="BG783" s="24"/>
    </row>
    <row r="784" spans="37:59" x14ac:dyDescent="0.2"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  <c r="AW784" s="33"/>
      <c r="AX784" s="33"/>
      <c r="AY784" s="33"/>
      <c r="AZ784" s="33"/>
      <c r="BA784" s="24"/>
      <c r="BB784" s="24"/>
      <c r="BC784" s="33"/>
      <c r="BD784" s="33"/>
      <c r="BE784" s="33"/>
      <c r="BF784" s="33"/>
      <c r="BG784" s="24"/>
    </row>
    <row r="785" spans="37:59" x14ac:dyDescent="0.2"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  <c r="AW785" s="49"/>
      <c r="AX785" s="33"/>
      <c r="AY785" s="33"/>
      <c r="AZ785" s="33"/>
      <c r="BA785" s="24"/>
      <c r="BB785" s="24"/>
      <c r="BC785" s="49"/>
      <c r="BD785" s="33"/>
      <c r="BE785" s="33"/>
      <c r="BF785" s="33"/>
      <c r="BG785" s="24"/>
    </row>
    <row r="786" spans="37:59" x14ac:dyDescent="0.2"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  <c r="AW786" s="49"/>
      <c r="AX786" s="33"/>
      <c r="AY786" s="33"/>
      <c r="AZ786" s="33"/>
      <c r="BA786" s="24"/>
      <c r="BB786" s="24"/>
      <c r="BC786" s="49"/>
      <c r="BD786" s="33"/>
      <c r="BE786" s="33"/>
      <c r="BF786" s="33"/>
      <c r="BG786" s="24"/>
    </row>
    <row r="787" spans="37:59" x14ac:dyDescent="0.2"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  <c r="AW787" s="49"/>
      <c r="AX787" s="33"/>
      <c r="AY787" s="33"/>
      <c r="AZ787" s="33"/>
      <c r="BA787" s="24"/>
      <c r="BB787" s="24"/>
      <c r="BC787" s="49"/>
      <c r="BD787" s="33"/>
      <c r="BE787" s="33"/>
      <c r="BF787" s="33"/>
      <c r="BG787" s="24"/>
    </row>
    <row r="788" spans="37:59" x14ac:dyDescent="0.2"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  <c r="AW788" s="49"/>
      <c r="AX788" s="33"/>
      <c r="AY788" s="33"/>
      <c r="AZ788" s="33"/>
      <c r="BA788" s="24"/>
      <c r="BB788" s="24"/>
      <c r="BC788" s="49"/>
      <c r="BD788" s="33"/>
      <c r="BE788" s="33"/>
      <c r="BF788" s="33"/>
      <c r="BG788" s="24"/>
    </row>
    <row r="789" spans="37:59" x14ac:dyDescent="0.2"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  <c r="AW789" s="49"/>
      <c r="AX789" s="33"/>
      <c r="AY789" s="33"/>
      <c r="AZ789" s="33"/>
      <c r="BA789" s="24"/>
      <c r="BB789" s="24"/>
      <c r="BC789" s="49"/>
      <c r="BD789" s="33"/>
      <c r="BE789" s="33"/>
      <c r="BF789" s="33"/>
      <c r="BG789" s="24"/>
    </row>
    <row r="790" spans="37:59" x14ac:dyDescent="0.2"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  <c r="AW790" s="49"/>
      <c r="AX790" s="33"/>
      <c r="AY790" s="33"/>
      <c r="AZ790" s="33"/>
      <c r="BA790" s="24"/>
      <c r="BB790" s="24"/>
      <c r="BC790" s="49"/>
      <c r="BD790" s="33"/>
      <c r="BE790" s="33"/>
      <c r="BF790" s="33"/>
      <c r="BG790" s="24"/>
    </row>
    <row r="791" spans="37:59" x14ac:dyDescent="0.2"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  <c r="AW791" s="49"/>
      <c r="AX791" s="33"/>
      <c r="AY791" s="33"/>
      <c r="AZ791" s="33"/>
      <c r="BA791" s="24"/>
      <c r="BB791" s="24"/>
      <c r="BC791" s="49"/>
      <c r="BD791" s="33"/>
      <c r="BE791" s="33"/>
      <c r="BF791" s="33"/>
      <c r="BG791" s="24"/>
    </row>
    <row r="792" spans="37:59" x14ac:dyDescent="0.2"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  <c r="AW792" s="49"/>
      <c r="AX792" s="33"/>
      <c r="AY792" s="33"/>
      <c r="AZ792" s="33"/>
      <c r="BA792" s="24"/>
      <c r="BB792" s="24"/>
      <c r="BC792" s="49"/>
      <c r="BD792" s="33"/>
      <c r="BE792" s="33"/>
      <c r="BF792" s="33"/>
      <c r="BG792" s="24"/>
    </row>
    <row r="793" spans="37:59" x14ac:dyDescent="0.2"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  <c r="AW793" s="49"/>
      <c r="AX793" s="33"/>
      <c r="AY793" s="33"/>
      <c r="AZ793" s="33"/>
      <c r="BA793" s="24"/>
      <c r="BB793" s="24"/>
      <c r="BC793" s="49"/>
      <c r="BD793" s="33"/>
      <c r="BE793" s="33"/>
      <c r="BF793" s="33"/>
      <c r="BG793" s="24"/>
    </row>
    <row r="794" spans="37:59" x14ac:dyDescent="0.2"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  <c r="AW794" s="49"/>
      <c r="AX794" s="33"/>
      <c r="AY794" s="33"/>
      <c r="AZ794" s="33"/>
      <c r="BA794" s="24"/>
      <c r="BB794" s="24"/>
      <c r="BC794" s="49"/>
      <c r="BD794" s="33"/>
      <c r="BE794" s="33"/>
      <c r="BF794" s="33"/>
      <c r="BG794" s="24"/>
    </row>
    <row r="795" spans="37:59" x14ac:dyDescent="0.2"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49"/>
      <c r="AX795" s="33"/>
      <c r="AY795" s="33"/>
      <c r="AZ795" s="33"/>
      <c r="BA795" s="24"/>
      <c r="BB795" s="24"/>
      <c r="BC795" s="49"/>
      <c r="BD795" s="33"/>
      <c r="BE795" s="33"/>
      <c r="BF795" s="33"/>
      <c r="BG795" s="24"/>
    </row>
    <row r="796" spans="37:59" x14ac:dyDescent="0.2"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  <c r="AW796" s="49"/>
      <c r="AX796" s="33"/>
      <c r="AY796" s="33"/>
      <c r="AZ796" s="33"/>
      <c r="BA796" s="24"/>
      <c r="BB796" s="24"/>
      <c r="BC796" s="49"/>
      <c r="BD796" s="33"/>
      <c r="BE796" s="33"/>
      <c r="BF796" s="33"/>
      <c r="BG796" s="24"/>
    </row>
    <row r="797" spans="37:59" x14ac:dyDescent="0.2"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  <c r="AW797" s="25"/>
      <c r="AX797" s="33"/>
      <c r="AY797" s="24"/>
      <c r="AZ797" s="24"/>
      <c r="BA797" s="24"/>
      <c r="BB797" s="24"/>
      <c r="BC797" s="25"/>
      <c r="BD797" s="33"/>
      <c r="BE797" s="24"/>
      <c r="BF797" s="24"/>
      <c r="BG797" s="24"/>
    </row>
    <row r="798" spans="37:59" x14ac:dyDescent="0.2"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  <c r="AW798" s="49"/>
      <c r="AX798" s="33"/>
      <c r="AY798" s="24"/>
      <c r="AZ798" s="24"/>
      <c r="BA798" s="24"/>
      <c r="BB798" s="24"/>
      <c r="BC798" s="49"/>
      <c r="BD798" s="33"/>
      <c r="BE798" s="24"/>
      <c r="BF798" s="24"/>
      <c r="BG798" s="24"/>
    </row>
    <row r="799" spans="37:59" x14ac:dyDescent="0.2"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  <c r="AW799" s="49"/>
      <c r="AX799" s="33"/>
      <c r="AY799" s="24"/>
      <c r="AZ799" s="24"/>
      <c r="BA799" s="24"/>
      <c r="BB799" s="24"/>
      <c r="BC799" s="49"/>
      <c r="BD799" s="33"/>
      <c r="BE799" s="24"/>
      <c r="BF799" s="24"/>
      <c r="BG799" s="24"/>
    </row>
    <row r="800" spans="37:59" x14ac:dyDescent="0.2"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49"/>
      <c r="AX800" s="33"/>
      <c r="AY800" s="24"/>
      <c r="AZ800" s="24"/>
      <c r="BA800" s="24"/>
      <c r="BB800" s="24"/>
      <c r="BC800" s="49"/>
      <c r="BD800" s="33"/>
      <c r="BE800" s="24"/>
      <c r="BF800" s="24"/>
      <c r="BG800" s="24"/>
    </row>
    <row r="801" spans="37:59" x14ac:dyDescent="0.2"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  <c r="AW801" s="49"/>
      <c r="AX801" s="33"/>
      <c r="AY801" s="24"/>
      <c r="AZ801" s="24"/>
      <c r="BA801" s="24"/>
      <c r="BB801" s="24"/>
      <c r="BC801" s="49"/>
      <c r="BD801" s="33"/>
      <c r="BE801" s="24"/>
      <c r="BF801" s="24"/>
      <c r="BG801" s="24"/>
    </row>
    <row r="802" spans="37:59" x14ac:dyDescent="0.2"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  <c r="AW802" s="49"/>
      <c r="AX802" s="33"/>
      <c r="AY802" s="24"/>
      <c r="AZ802" s="24"/>
      <c r="BA802" s="24"/>
      <c r="BB802" s="24"/>
      <c r="BC802" s="49"/>
      <c r="BD802" s="33"/>
      <c r="BE802" s="24"/>
      <c r="BF802" s="24"/>
      <c r="BG802" s="24"/>
    </row>
    <row r="803" spans="37:59" x14ac:dyDescent="0.2"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  <c r="AW803" s="49"/>
      <c r="AX803" s="33"/>
      <c r="AY803" s="24"/>
      <c r="AZ803" s="24"/>
      <c r="BA803" s="24"/>
      <c r="BB803" s="24"/>
      <c r="BC803" s="49"/>
      <c r="BD803" s="33"/>
      <c r="BE803" s="24"/>
      <c r="BF803" s="24"/>
      <c r="BG803" s="24"/>
    </row>
    <row r="804" spans="37:59" x14ac:dyDescent="0.2"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  <c r="AW804" s="49"/>
      <c r="AX804" s="33"/>
      <c r="AY804" s="24"/>
      <c r="AZ804" s="24"/>
      <c r="BA804" s="24"/>
      <c r="BB804" s="24"/>
      <c r="BC804" s="49"/>
      <c r="BD804" s="33"/>
      <c r="BE804" s="24"/>
      <c r="BF804" s="24"/>
      <c r="BG804" s="24"/>
    </row>
    <row r="805" spans="37:59" x14ac:dyDescent="0.2"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  <c r="AW805" s="49"/>
      <c r="AX805" s="33"/>
      <c r="AY805" s="24"/>
      <c r="AZ805" s="24"/>
      <c r="BA805" s="24"/>
      <c r="BB805" s="24"/>
      <c r="BC805" s="49"/>
      <c r="BD805" s="33"/>
      <c r="BE805" s="24"/>
      <c r="BF805" s="24"/>
      <c r="BG805" s="24"/>
    </row>
    <row r="806" spans="37:59" x14ac:dyDescent="0.2"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  <c r="AW806" s="49"/>
      <c r="AX806" s="33"/>
      <c r="AY806" s="24"/>
      <c r="AZ806" s="24"/>
      <c r="BA806" s="24"/>
      <c r="BB806" s="24"/>
      <c r="BC806" s="49"/>
      <c r="BD806" s="33"/>
      <c r="BE806" s="24"/>
      <c r="BF806" s="24"/>
      <c r="BG806" s="24"/>
    </row>
    <row r="807" spans="37:59" x14ac:dyDescent="0.2"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  <c r="AW807" s="49"/>
      <c r="AX807" s="33"/>
      <c r="AY807" s="24"/>
      <c r="AZ807" s="24"/>
      <c r="BA807" s="24"/>
      <c r="BB807" s="24"/>
      <c r="BC807" s="49"/>
      <c r="BD807" s="33"/>
      <c r="BE807" s="24"/>
      <c r="BF807" s="24"/>
      <c r="BG807" s="24"/>
    </row>
    <row r="808" spans="37:59" x14ac:dyDescent="0.2"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  <c r="AW808" s="49"/>
      <c r="AX808" s="33"/>
      <c r="AY808" s="24"/>
      <c r="AZ808" s="24"/>
      <c r="BA808" s="24"/>
      <c r="BB808" s="24"/>
      <c r="BC808" s="49"/>
      <c r="BD808" s="33"/>
      <c r="BE808" s="24"/>
      <c r="BF808" s="24"/>
      <c r="BG808" s="24"/>
    </row>
    <row r="809" spans="37:59" x14ac:dyDescent="0.2"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  <c r="AW809" s="49"/>
      <c r="AX809" s="33"/>
      <c r="AY809" s="24"/>
      <c r="AZ809" s="24"/>
      <c r="BA809" s="24"/>
      <c r="BB809" s="24"/>
      <c r="BC809" s="49"/>
      <c r="BD809" s="33"/>
      <c r="BE809" s="24"/>
      <c r="BF809" s="24"/>
      <c r="BG809" s="24"/>
    </row>
    <row r="810" spans="37:59" x14ac:dyDescent="0.2"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  <c r="AW810" s="49"/>
      <c r="AX810" s="33"/>
      <c r="AY810" s="24"/>
      <c r="AZ810" s="24"/>
      <c r="BA810" s="24"/>
      <c r="BB810" s="24"/>
      <c r="BC810" s="49"/>
      <c r="BD810" s="33"/>
      <c r="BE810" s="24"/>
      <c r="BF810" s="24"/>
      <c r="BG810" s="24"/>
    </row>
    <row r="811" spans="37:59" x14ac:dyDescent="0.2"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  <c r="AW811" s="49"/>
      <c r="AX811" s="33"/>
      <c r="AY811" s="24"/>
      <c r="AZ811" s="24"/>
      <c r="BA811" s="24"/>
      <c r="BB811" s="24"/>
      <c r="BC811" s="49"/>
      <c r="BD811" s="33"/>
      <c r="BE811" s="24"/>
      <c r="BF811" s="24"/>
      <c r="BG811" s="24"/>
    </row>
    <row r="812" spans="37:59" x14ac:dyDescent="0.2"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  <c r="AW812" s="49"/>
      <c r="AX812" s="33"/>
      <c r="AY812" s="24"/>
      <c r="AZ812" s="24"/>
      <c r="BA812" s="24"/>
      <c r="BB812" s="24"/>
      <c r="BC812" s="49"/>
      <c r="BD812" s="33"/>
      <c r="BE812" s="24"/>
      <c r="BF812" s="24"/>
      <c r="BG812" s="24"/>
    </row>
    <row r="813" spans="37:59" x14ac:dyDescent="0.2"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  <c r="AW813" s="49"/>
      <c r="AX813" s="33"/>
      <c r="AY813" s="24"/>
      <c r="AZ813" s="24"/>
      <c r="BA813" s="24"/>
      <c r="BB813" s="24"/>
      <c r="BC813" s="49"/>
      <c r="BD813" s="33"/>
      <c r="BE813" s="24"/>
      <c r="BF813" s="24"/>
      <c r="BG813" s="24"/>
    </row>
    <row r="814" spans="37:59" x14ac:dyDescent="0.2"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  <c r="AW814" s="49"/>
      <c r="AX814" s="33"/>
      <c r="AY814" s="24"/>
      <c r="AZ814" s="24"/>
      <c r="BA814" s="24"/>
      <c r="BB814" s="24"/>
      <c r="BC814" s="49"/>
      <c r="BD814" s="33"/>
      <c r="BE814" s="24"/>
      <c r="BF814" s="24"/>
      <c r="BG814" s="24"/>
    </row>
    <row r="815" spans="37:59" x14ac:dyDescent="0.2"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  <c r="AW815" s="49"/>
      <c r="AX815" s="33"/>
      <c r="AY815" s="24"/>
      <c r="AZ815" s="24"/>
      <c r="BA815" s="24"/>
      <c r="BB815" s="24"/>
      <c r="BC815" s="49"/>
      <c r="BD815" s="33"/>
      <c r="BE815" s="24"/>
      <c r="BF815" s="24"/>
      <c r="BG815" s="24"/>
    </row>
    <row r="816" spans="37:59" x14ac:dyDescent="0.2"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  <c r="AW816" s="49"/>
      <c r="AX816" s="33"/>
      <c r="AY816" s="24"/>
      <c r="AZ816" s="24"/>
      <c r="BA816" s="24"/>
      <c r="BB816" s="24"/>
      <c r="BC816" s="49"/>
      <c r="BD816" s="33"/>
      <c r="BE816" s="24"/>
      <c r="BF816" s="24"/>
      <c r="BG816" s="24"/>
    </row>
    <row r="817" spans="37:59" x14ac:dyDescent="0.2"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  <c r="AW817" s="49"/>
      <c r="AX817" s="33"/>
      <c r="AY817" s="24"/>
      <c r="AZ817" s="24"/>
      <c r="BA817" s="24"/>
      <c r="BB817" s="24"/>
      <c r="BC817" s="49"/>
      <c r="BD817" s="33"/>
      <c r="BE817" s="24"/>
      <c r="BF817" s="24"/>
      <c r="BG817" s="24"/>
    </row>
    <row r="818" spans="37:59" x14ac:dyDescent="0.2"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  <c r="AW818" s="49"/>
      <c r="AX818" s="33"/>
      <c r="AY818" s="24"/>
      <c r="AZ818" s="24"/>
      <c r="BA818" s="24"/>
      <c r="BB818" s="24"/>
      <c r="BC818" s="49"/>
      <c r="BD818" s="33"/>
      <c r="BE818" s="24"/>
      <c r="BF818" s="24"/>
      <c r="BG818" s="24"/>
    </row>
    <row r="819" spans="37:59" x14ac:dyDescent="0.2"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  <c r="AW819" s="49"/>
      <c r="AX819" s="33"/>
      <c r="AY819" s="24"/>
      <c r="AZ819" s="24"/>
      <c r="BA819" s="24"/>
      <c r="BB819" s="24"/>
      <c r="BC819" s="49"/>
      <c r="BD819" s="33"/>
      <c r="BE819" s="24"/>
      <c r="BF819" s="24"/>
      <c r="BG819" s="24"/>
    </row>
    <row r="820" spans="37:59" x14ac:dyDescent="0.2"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  <c r="AW820" s="49"/>
      <c r="AX820" s="33"/>
      <c r="AY820" s="24"/>
      <c r="AZ820" s="24"/>
      <c r="BA820" s="24"/>
      <c r="BB820" s="24"/>
      <c r="BC820" s="49"/>
      <c r="BD820" s="33"/>
      <c r="BE820" s="24"/>
      <c r="BF820" s="24"/>
      <c r="BG820" s="24"/>
    </row>
    <row r="821" spans="37:59" x14ac:dyDescent="0.2"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  <c r="AW821" s="49"/>
      <c r="AX821" s="33"/>
      <c r="AY821" s="24"/>
      <c r="AZ821" s="24"/>
      <c r="BA821" s="24"/>
      <c r="BB821" s="24"/>
      <c r="BC821" s="49"/>
      <c r="BD821" s="33"/>
      <c r="BE821" s="24"/>
      <c r="BF821" s="24"/>
      <c r="BG821" s="24"/>
    </row>
    <row r="822" spans="37:59" x14ac:dyDescent="0.2"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  <c r="AW822" s="49"/>
      <c r="AX822" s="33"/>
      <c r="AY822" s="24"/>
      <c r="AZ822" s="24"/>
      <c r="BA822" s="24"/>
      <c r="BB822" s="24"/>
      <c r="BC822" s="49"/>
      <c r="BD822" s="33"/>
      <c r="BE822" s="24"/>
      <c r="BF822" s="24"/>
      <c r="BG822" s="24"/>
    </row>
    <row r="823" spans="37:59" x14ac:dyDescent="0.2"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  <c r="AW823" s="49"/>
      <c r="AX823" s="33"/>
      <c r="AY823" s="24"/>
      <c r="AZ823" s="24"/>
      <c r="BA823" s="24"/>
      <c r="BB823" s="24"/>
      <c r="BC823" s="49"/>
      <c r="BD823" s="33"/>
      <c r="BE823" s="24"/>
      <c r="BF823" s="24"/>
      <c r="BG823" s="24"/>
    </row>
    <row r="824" spans="37:59" x14ac:dyDescent="0.2"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  <c r="AW824" s="49"/>
      <c r="AX824" s="33"/>
      <c r="AY824" s="24"/>
      <c r="AZ824" s="24"/>
      <c r="BA824" s="24"/>
      <c r="BB824" s="24"/>
      <c r="BC824" s="49"/>
      <c r="BD824" s="33"/>
      <c r="BE824" s="24"/>
      <c r="BF824" s="24"/>
      <c r="BG824" s="24"/>
    </row>
    <row r="825" spans="37:59" x14ac:dyDescent="0.2"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  <c r="AW825" s="49"/>
      <c r="AX825" s="33"/>
      <c r="AY825" s="24"/>
      <c r="AZ825" s="24"/>
      <c r="BA825" s="24"/>
      <c r="BB825" s="24"/>
      <c r="BC825" s="49"/>
      <c r="BD825" s="33"/>
      <c r="BE825" s="24"/>
      <c r="BF825" s="24"/>
      <c r="BG825" s="24"/>
    </row>
    <row r="826" spans="37:59" x14ac:dyDescent="0.2"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  <c r="AW826" s="49"/>
      <c r="AX826" s="33"/>
      <c r="AY826" s="24"/>
      <c r="AZ826" s="24"/>
      <c r="BA826" s="24"/>
      <c r="BB826" s="24"/>
      <c r="BC826" s="49"/>
      <c r="BD826" s="33"/>
      <c r="BE826" s="24"/>
      <c r="BF826" s="24"/>
      <c r="BG826" s="24"/>
    </row>
    <row r="827" spans="37:59" x14ac:dyDescent="0.2"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  <c r="AW827" s="49"/>
      <c r="AX827" s="33"/>
      <c r="AY827" s="24"/>
      <c r="AZ827" s="24"/>
      <c r="BA827" s="24"/>
      <c r="BB827" s="24"/>
      <c r="BC827" s="49"/>
      <c r="BD827" s="33"/>
      <c r="BE827" s="24"/>
      <c r="BF827" s="24"/>
      <c r="BG827" s="24"/>
    </row>
    <row r="828" spans="37:59" x14ac:dyDescent="0.2"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  <c r="AW828" s="49"/>
      <c r="AX828" s="33"/>
      <c r="AY828" s="24"/>
      <c r="AZ828" s="24"/>
      <c r="BA828" s="24"/>
      <c r="BB828" s="24"/>
      <c r="BC828" s="49"/>
      <c r="BD828" s="33"/>
      <c r="BE828" s="24"/>
      <c r="BF828" s="24"/>
      <c r="BG828" s="24"/>
    </row>
    <row r="829" spans="37:59" x14ac:dyDescent="0.2"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  <c r="AW829" s="49"/>
      <c r="AX829" s="33"/>
      <c r="AY829" s="24"/>
      <c r="AZ829" s="24"/>
      <c r="BA829" s="24"/>
      <c r="BB829" s="24"/>
      <c r="BC829" s="49"/>
      <c r="BD829" s="33"/>
      <c r="BE829" s="24"/>
      <c r="BF829" s="24"/>
      <c r="BG829" s="24"/>
    </row>
    <row r="830" spans="37:59" x14ac:dyDescent="0.2"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25"/>
      <c r="AX830" s="33"/>
      <c r="AY830" s="24"/>
      <c r="AZ830" s="24"/>
      <c r="BA830" s="24"/>
      <c r="BB830" s="24"/>
      <c r="BC830" s="25"/>
      <c r="BD830" s="33"/>
      <c r="BE830" s="24"/>
      <c r="BF830" s="24"/>
      <c r="BG830" s="24"/>
    </row>
    <row r="831" spans="37:59" x14ac:dyDescent="0.2"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  <c r="AW831" s="25"/>
      <c r="AX831" s="33"/>
      <c r="AY831" s="24"/>
      <c r="AZ831" s="24"/>
      <c r="BA831" s="24"/>
      <c r="BB831" s="24"/>
      <c r="BC831" s="25"/>
      <c r="BD831" s="33"/>
      <c r="BE831" s="24"/>
      <c r="BF831" s="24"/>
      <c r="BG831" s="24"/>
    </row>
    <row r="832" spans="37:59" x14ac:dyDescent="0.2"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  <c r="AW832" s="25"/>
      <c r="AX832" s="33"/>
      <c r="AY832" s="24"/>
      <c r="AZ832" s="24"/>
      <c r="BA832" s="24"/>
      <c r="BB832" s="24"/>
      <c r="BC832" s="25"/>
      <c r="BD832" s="33"/>
      <c r="BE832" s="24"/>
      <c r="BF832" s="24"/>
      <c r="BG832" s="24"/>
    </row>
    <row r="833" spans="37:59" x14ac:dyDescent="0.2"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  <c r="AW833" s="25"/>
      <c r="AX833" s="33"/>
      <c r="AY833" s="24"/>
      <c r="AZ833" s="24"/>
      <c r="BA833" s="24"/>
      <c r="BB833" s="24"/>
      <c r="BC833" s="25"/>
      <c r="BD833" s="33"/>
      <c r="BE833" s="24"/>
      <c r="BF833" s="24"/>
      <c r="BG833" s="24"/>
    </row>
    <row r="834" spans="37:59" x14ac:dyDescent="0.2"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  <c r="AW834" s="25"/>
      <c r="AX834" s="33"/>
      <c r="AY834" s="24"/>
      <c r="AZ834" s="24"/>
      <c r="BA834" s="24"/>
      <c r="BB834" s="24"/>
      <c r="BC834" s="25"/>
      <c r="BD834" s="33"/>
      <c r="BE834" s="24"/>
      <c r="BF834" s="24"/>
      <c r="BG834" s="24"/>
    </row>
    <row r="835" spans="37:59" x14ac:dyDescent="0.2"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  <c r="AW835" s="25"/>
      <c r="AX835" s="33"/>
      <c r="AY835" s="24"/>
      <c r="AZ835" s="24"/>
      <c r="BA835" s="24"/>
      <c r="BB835" s="24"/>
      <c r="BC835" s="25"/>
      <c r="BD835" s="33"/>
      <c r="BE835" s="24"/>
      <c r="BF835" s="24"/>
      <c r="BG835" s="24"/>
    </row>
    <row r="836" spans="37:59" x14ac:dyDescent="0.2"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  <c r="AW836" s="25"/>
      <c r="AX836" s="33"/>
      <c r="AY836" s="24"/>
      <c r="AZ836" s="24"/>
      <c r="BA836" s="24"/>
      <c r="BB836" s="24"/>
      <c r="BC836" s="25"/>
      <c r="BD836" s="33"/>
      <c r="BE836" s="24"/>
      <c r="BF836" s="24"/>
      <c r="BG836" s="24"/>
    </row>
    <row r="837" spans="37:59" x14ac:dyDescent="0.2"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  <c r="AW837" s="25"/>
      <c r="AX837" s="33"/>
      <c r="AY837" s="24"/>
      <c r="AZ837" s="24"/>
      <c r="BA837" s="24"/>
      <c r="BB837" s="24"/>
      <c r="BC837" s="25"/>
      <c r="BD837" s="33"/>
      <c r="BE837" s="24"/>
      <c r="BF837" s="24"/>
      <c r="BG837" s="24"/>
    </row>
    <row r="838" spans="37:59" x14ac:dyDescent="0.2"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  <c r="AW838" s="25"/>
      <c r="AX838" s="33"/>
      <c r="AY838" s="24"/>
      <c r="AZ838" s="24"/>
      <c r="BA838" s="24"/>
      <c r="BB838" s="24"/>
      <c r="BC838" s="25"/>
      <c r="BD838" s="33"/>
      <c r="BE838" s="24"/>
      <c r="BF838" s="24"/>
      <c r="BG838" s="24"/>
    </row>
    <row r="839" spans="37:59" x14ac:dyDescent="0.2"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  <c r="AW839" s="25"/>
      <c r="AX839" s="33"/>
      <c r="AY839" s="24"/>
      <c r="AZ839" s="24"/>
      <c r="BA839" s="24"/>
      <c r="BB839" s="24"/>
      <c r="BC839" s="25"/>
      <c r="BD839" s="33"/>
      <c r="BE839" s="24"/>
      <c r="BF839" s="24"/>
      <c r="BG839" s="24"/>
    </row>
    <row r="840" spans="37:59" x14ac:dyDescent="0.2"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  <c r="AW840" s="25"/>
      <c r="AX840" s="33"/>
      <c r="AY840" s="24"/>
      <c r="AZ840" s="24"/>
      <c r="BA840" s="24"/>
      <c r="BB840" s="24"/>
      <c r="BC840" s="25"/>
      <c r="BD840" s="33"/>
      <c r="BE840" s="24"/>
      <c r="BF840" s="24"/>
      <c r="BG840" s="24"/>
    </row>
    <row r="841" spans="37:59" x14ac:dyDescent="0.2"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  <c r="AW841" s="25"/>
      <c r="AX841" s="33"/>
      <c r="AY841" s="24"/>
      <c r="AZ841" s="24"/>
      <c r="BA841" s="24"/>
      <c r="BB841" s="24"/>
      <c r="BC841" s="25"/>
      <c r="BD841" s="33"/>
      <c r="BE841" s="24"/>
      <c r="BF841" s="24"/>
      <c r="BG841" s="24"/>
    </row>
    <row r="842" spans="37:59" x14ac:dyDescent="0.2"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  <c r="AW842" s="25"/>
      <c r="AX842" s="33"/>
      <c r="AY842" s="24"/>
      <c r="AZ842" s="24"/>
      <c r="BA842" s="24"/>
      <c r="BB842" s="24"/>
      <c r="BC842" s="25"/>
      <c r="BD842" s="33"/>
      <c r="BE842" s="24"/>
      <c r="BF842" s="24"/>
      <c r="BG842" s="24"/>
    </row>
    <row r="843" spans="37:59" x14ac:dyDescent="0.2"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  <c r="AW843" s="25"/>
      <c r="AX843" s="33"/>
      <c r="AY843" s="24"/>
      <c r="AZ843" s="24"/>
      <c r="BA843" s="24"/>
      <c r="BB843" s="24"/>
      <c r="BC843" s="25"/>
      <c r="BD843" s="33"/>
      <c r="BE843" s="24"/>
      <c r="BF843" s="24"/>
      <c r="BG843" s="24"/>
    </row>
    <row r="844" spans="37:59" x14ac:dyDescent="0.2"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  <c r="AW844" s="25"/>
      <c r="AX844" s="33"/>
      <c r="AY844" s="24"/>
      <c r="AZ844" s="24"/>
      <c r="BA844" s="24"/>
      <c r="BB844" s="24"/>
      <c r="BC844" s="25"/>
      <c r="BD844" s="33"/>
      <c r="BE844" s="24"/>
      <c r="BF844" s="24"/>
      <c r="BG844" s="24"/>
    </row>
    <row r="845" spans="37:59" x14ac:dyDescent="0.2"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  <c r="AW845" s="25"/>
      <c r="AX845" s="33"/>
      <c r="AY845" s="24"/>
      <c r="AZ845" s="24"/>
      <c r="BA845" s="24"/>
      <c r="BB845" s="24"/>
      <c r="BC845" s="25"/>
      <c r="BD845" s="33"/>
      <c r="BE845" s="24"/>
      <c r="BF845" s="24"/>
      <c r="BG845" s="24"/>
    </row>
    <row r="846" spans="37:59" x14ac:dyDescent="0.2"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  <c r="AW846" s="25"/>
      <c r="AX846" s="33"/>
      <c r="AY846" s="24"/>
      <c r="AZ846" s="24"/>
      <c r="BA846" s="24"/>
      <c r="BB846" s="24"/>
      <c r="BC846" s="25"/>
      <c r="BD846" s="33"/>
      <c r="BE846" s="24"/>
      <c r="BF846" s="24"/>
      <c r="BG846" s="24"/>
    </row>
    <row r="847" spans="37:59" x14ac:dyDescent="0.2"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  <c r="AW847" s="25"/>
      <c r="AX847" s="33"/>
      <c r="AY847" s="24"/>
      <c r="AZ847" s="24"/>
      <c r="BA847" s="24"/>
      <c r="BB847" s="24"/>
      <c r="BC847" s="25"/>
      <c r="BD847" s="33"/>
      <c r="BE847" s="24"/>
      <c r="BF847" s="24"/>
      <c r="BG847" s="24"/>
    </row>
    <row r="848" spans="37:59" x14ac:dyDescent="0.2"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  <c r="AW848" s="25"/>
      <c r="AX848" s="33"/>
      <c r="AY848" s="24"/>
      <c r="AZ848" s="24"/>
      <c r="BA848" s="24"/>
      <c r="BB848" s="24"/>
      <c r="BC848" s="25"/>
      <c r="BD848" s="33"/>
      <c r="BE848" s="24"/>
      <c r="BF848" s="24"/>
      <c r="BG848" s="24"/>
    </row>
    <row r="849" spans="31:59" x14ac:dyDescent="0.2"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  <c r="AW849" s="25"/>
      <c r="AX849" s="33"/>
      <c r="AY849" s="24"/>
      <c r="AZ849" s="24"/>
      <c r="BA849" s="24"/>
      <c r="BB849" s="24"/>
      <c r="BC849" s="25"/>
      <c r="BD849" s="33"/>
      <c r="BE849" s="24"/>
      <c r="BF849" s="24"/>
      <c r="BG849" s="24"/>
    </row>
    <row r="850" spans="31:59" x14ac:dyDescent="0.2"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  <c r="AW850" s="25"/>
      <c r="AX850" s="33"/>
      <c r="AY850" s="24"/>
      <c r="AZ850" s="24"/>
      <c r="BA850" s="24"/>
      <c r="BB850" s="24"/>
      <c r="BC850" s="25"/>
      <c r="BD850" s="33"/>
      <c r="BE850" s="24"/>
      <c r="BF850" s="24"/>
      <c r="BG850" s="24"/>
    </row>
    <row r="851" spans="31:59" x14ac:dyDescent="0.2"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  <c r="AW851" s="25"/>
      <c r="AX851" s="33"/>
      <c r="AY851" s="24"/>
      <c r="AZ851" s="24"/>
      <c r="BA851" s="24"/>
      <c r="BB851" s="24"/>
      <c r="BC851" s="25"/>
      <c r="BD851" s="33"/>
      <c r="BE851" s="24"/>
      <c r="BF851" s="24"/>
      <c r="BG851" s="24"/>
    </row>
    <row r="852" spans="31:59" x14ac:dyDescent="0.2"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  <c r="AW852" s="25"/>
      <c r="AX852" s="33"/>
      <c r="AY852" s="24"/>
      <c r="AZ852" s="24"/>
      <c r="BA852" s="24"/>
      <c r="BB852" s="24"/>
      <c r="BC852" s="25"/>
      <c r="BD852" s="33"/>
      <c r="BE852" s="24"/>
      <c r="BF852" s="24"/>
      <c r="BG852" s="24"/>
    </row>
    <row r="853" spans="31:59" x14ac:dyDescent="0.2"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  <c r="AW853" s="25"/>
      <c r="AX853" s="33"/>
      <c r="AY853" s="24"/>
      <c r="AZ853" s="24"/>
      <c r="BA853" s="24"/>
      <c r="BB853" s="24"/>
      <c r="BC853" s="25"/>
      <c r="BD853" s="33"/>
      <c r="BE853" s="24"/>
      <c r="BF853" s="24"/>
      <c r="BG853" s="24"/>
    </row>
    <row r="854" spans="31:59" x14ac:dyDescent="0.2"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  <c r="AW854" s="25"/>
      <c r="AX854" s="33"/>
      <c r="AY854" s="24"/>
      <c r="AZ854" s="24"/>
      <c r="BA854" s="24"/>
      <c r="BB854" s="24"/>
      <c r="BC854" s="25"/>
      <c r="BD854" s="33"/>
      <c r="BE854" s="24"/>
      <c r="BF854" s="24"/>
      <c r="BG854" s="24"/>
    </row>
    <row r="855" spans="31:59" x14ac:dyDescent="0.2"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  <c r="AW855" s="25"/>
      <c r="AX855" s="33"/>
      <c r="AY855" s="24"/>
      <c r="AZ855" s="24"/>
      <c r="BA855" s="24"/>
      <c r="BB855" s="24"/>
      <c r="BC855" s="25"/>
      <c r="BD855" s="33"/>
      <c r="BE855" s="24"/>
      <c r="BF855" s="24"/>
      <c r="BG855" s="24"/>
    </row>
    <row r="856" spans="31:59" x14ac:dyDescent="0.2"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  <c r="AW856" s="25"/>
      <c r="AX856" s="33"/>
      <c r="AY856" s="24"/>
      <c r="AZ856" s="24"/>
      <c r="BA856" s="24"/>
      <c r="BB856" s="24"/>
      <c r="BC856" s="25"/>
      <c r="BD856" s="33"/>
      <c r="BE856" s="24"/>
      <c r="BF856" s="24"/>
      <c r="BG856" s="24"/>
    </row>
    <row r="857" spans="31:59" x14ac:dyDescent="0.2"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  <c r="AW857" s="25"/>
      <c r="AX857" s="33"/>
      <c r="AY857" s="24"/>
      <c r="AZ857" s="24"/>
      <c r="BA857" s="24"/>
      <c r="BB857" s="24"/>
      <c r="BC857" s="25"/>
      <c r="BD857" s="33"/>
      <c r="BE857" s="24"/>
      <c r="BF857" s="24"/>
      <c r="BG857" s="24"/>
    </row>
    <row r="858" spans="31:59" x14ac:dyDescent="0.2"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  <c r="AW858" s="25"/>
      <c r="AX858" s="33"/>
      <c r="AY858" s="24"/>
      <c r="AZ858" s="24"/>
      <c r="BA858" s="24"/>
      <c r="BB858" s="24"/>
      <c r="BC858" s="25"/>
      <c r="BD858" s="33"/>
      <c r="BE858" s="24"/>
      <c r="BF858" s="24"/>
      <c r="BG858" s="24"/>
    </row>
    <row r="859" spans="31:59" x14ac:dyDescent="0.2">
      <c r="AE859" s="34"/>
      <c r="AF859" s="34"/>
      <c r="AG859" s="34"/>
      <c r="AH859" s="34"/>
      <c r="AI859" s="3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  <c r="AW859" s="24"/>
      <c r="AX859" s="24"/>
      <c r="AY859" s="24"/>
      <c r="AZ859" s="24"/>
      <c r="BA859" s="24"/>
      <c r="BB859" s="24"/>
      <c r="BC859" s="24"/>
      <c r="BD859" s="24"/>
      <c r="BE859" s="24"/>
      <c r="BF859" s="24"/>
      <c r="BG859" s="24"/>
    </row>
    <row r="860" spans="31:59" x14ac:dyDescent="0.2">
      <c r="AE860" s="34"/>
      <c r="AF860" s="34"/>
      <c r="AG860" s="34"/>
      <c r="AH860" s="34"/>
      <c r="AI860" s="3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  <c r="AW860" s="24"/>
      <c r="AX860" s="24"/>
      <c r="AY860" s="24"/>
      <c r="AZ860" s="24"/>
      <c r="BA860" s="24"/>
      <c r="BB860" s="24"/>
      <c r="BC860" s="24"/>
      <c r="BD860" s="24"/>
      <c r="BE860" s="24"/>
      <c r="BF860" s="24"/>
      <c r="BG860" s="24"/>
    </row>
    <row r="861" spans="31:59" x14ac:dyDescent="0.2"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  <c r="AW861" s="24"/>
      <c r="AX861" s="24"/>
      <c r="AY861" s="24"/>
      <c r="AZ861" s="24"/>
      <c r="BA861" s="24"/>
      <c r="BB861" s="24"/>
      <c r="BC861" s="24"/>
      <c r="BD861" s="24"/>
      <c r="BE861" s="24"/>
      <c r="BF861" s="24"/>
      <c r="BG861" s="24"/>
    </row>
    <row r="862" spans="31:59" x14ac:dyDescent="0.2"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  <c r="AW862" s="24"/>
      <c r="AX862" s="24"/>
      <c r="AY862" s="24"/>
      <c r="AZ862" s="24"/>
      <c r="BA862" s="24"/>
      <c r="BB862" s="24"/>
      <c r="BC862" s="24"/>
      <c r="BD862" s="24"/>
      <c r="BE862" s="24"/>
      <c r="BF862" s="24"/>
      <c r="BG862" s="24"/>
    </row>
    <row r="863" spans="31:59" x14ac:dyDescent="0.2"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  <c r="AW863" s="24"/>
      <c r="AX863" s="24"/>
      <c r="AY863" s="24"/>
      <c r="AZ863" s="24"/>
      <c r="BA863" s="24"/>
      <c r="BB863" s="24"/>
      <c r="BC863" s="24"/>
      <c r="BD863" s="24"/>
      <c r="BE863" s="24"/>
      <c r="BF863" s="24"/>
      <c r="BG863" s="24"/>
    </row>
    <row r="864" spans="31:59" x14ac:dyDescent="0.2"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  <c r="AW864" s="24"/>
      <c r="AX864" s="24"/>
      <c r="AY864" s="24"/>
      <c r="AZ864" s="24"/>
      <c r="BA864" s="24"/>
      <c r="BB864" s="24"/>
      <c r="BC864" s="24"/>
      <c r="BD864" s="24"/>
      <c r="BE864" s="24"/>
      <c r="BF864" s="24"/>
      <c r="BG864" s="24"/>
    </row>
    <row r="865" spans="37:59" x14ac:dyDescent="0.2"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  <c r="AW865" s="24"/>
      <c r="AX865" s="24"/>
      <c r="AY865" s="24"/>
      <c r="AZ865" s="24"/>
      <c r="BA865" s="24"/>
      <c r="BB865" s="24"/>
      <c r="BC865" s="24"/>
      <c r="BD865" s="24"/>
      <c r="BE865" s="24"/>
      <c r="BF865" s="24"/>
      <c r="BG865" s="24"/>
    </row>
    <row r="866" spans="37:59" x14ac:dyDescent="0.2"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  <c r="AW866" s="24"/>
      <c r="AX866" s="24"/>
      <c r="AY866" s="24"/>
      <c r="AZ866" s="24"/>
      <c r="BA866" s="24"/>
      <c r="BB866" s="24"/>
      <c r="BC866" s="24"/>
      <c r="BD866" s="24"/>
      <c r="BE866" s="24"/>
      <c r="BF866" s="24"/>
      <c r="BG866" s="24"/>
    </row>
    <row r="867" spans="37:59" x14ac:dyDescent="0.2"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  <c r="AW867" s="24"/>
      <c r="AX867" s="24"/>
      <c r="AY867" s="24"/>
      <c r="AZ867" s="24"/>
      <c r="BA867" s="24"/>
      <c r="BB867" s="24"/>
      <c r="BC867" s="24"/>
      <c r="BD867" s="24"/>
      <c r="BE867" s="24"/>
      <c r="BF867" s="24"/>
      <c r="BG867" s="24"/>
    </row>
    <row r="868" spans="37:59" x14ac:dyDescent="0.2"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  <c r="AW868" s="24"/>
      <c r="AX868" s="24"/>
      <c r="AY868" s="24"/>
      <c r="AZ868" s="24"/>
      <c r="BA868" s="24"/>
      <c r="BB868" s="24"/>
      <c r="BC868" s="24"/>
      <c r="BD868" s="24"/>
      <c r="BE868" s="24"/>
      <c r="BF868" s="24"/>
      <c r="BG868" s="24"/>
    </row>
    <row r="869" spans="37:59" x14ac:dyDescent="0.2"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  <c r="AW869" s="24"/>
      <c r="AX869" s="24"/>
      <c r="AY869" s="24"/>
      <c r="AZ869" s="24"/>
      <c r="BA869" s="24"/>
      <c r="BB869" s="24"/>
      <c r="BC869" s="24"/>
      <c r="BD869" s="24"/>
      <c r="BE869" s="24"/>
      <c r="BF869" s="24"/>
      <c r="BG869" s="24"/>
    </row>
    <row r="870" spans="37:59" x14ac:dyDescent="0.2"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  <c r="AW870" s="24"/>
      <c r="AX870" s="24"/>
      <c r="AY870" s="24"/>
      <c r="AZ870" s="24"/>
      <c r="BA870" s="24"/>
      <c r="BB870" s="24"/>
      <c r="BC870" s="24"/>
      <c r="BD870" s="24"/>
      <c r="BE870" s="24"/>
      <c r="BF870" s="24"/>
      <c r="BG870" s="24"/>
    </row>
    <row r="871" spans="37:59" x14ac:dyDescent="0.2"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  <c r="AW871" s="24"/>
      <c r="AX871" s="24"/>
      <c r="AY871" s="24"/>
      <c r="AZ871" s="24"/>
      <c r="BA871" s="24"/>
      <c r="BB871" s="24"/>
      <c r="BC871" s="24"/>
      <c r="BD871" s="24"/>
      <c r="BE871" s="24"/>
      <c r="BF871" s="24"/>
      <c r="BG871" s="24"/>
    </row>
    <row r="872" spans="37:59" x14ac:dyDescent="0.2"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  <c r="AW872" s="24"/>
      <c r="AX872" s="24"/>
      <c r="AY872" s="24"/>
      <c r="AZ872" s="24"/>
      <c r="BA872" s="24"/>
      <c r="BB872" s="24"/>
      <c r="BC872" s="24"/>
      <c r="BD872" s="24"/>
      <c r="BE872" s="24"/>
      <c r="BF872" s="24"/>
      <c r="BG872" s="24"/>
    </row>
    <row r="873" spans="37:59" x14ac:dyDescent="0.2"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  <c r="AW873" s="24"/>
      <c r="AX873" s="24"/>
      <c r="AY873" s="24"/>
      <c r="AZ873" s="24"/>
      <c r="BA873" s="24"/>
      <c r="BB873" s="24"/>
      <c r="BC873" s="24"/>
      <c r="BD873" s="24"/>
      <c r="BE873" s="24"/>
      <c r="BF873" s="24"/>
      <c r="BG873" s="24"/>
    </row>
    <row r="874" spans="37:59" x14ac:dyDescent="0.2"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  <c r="AW874" s="24"/>
      <c r="AX874" s="24"/>
      <c r="AY874" s="24"/>
      <c r="AZ874" s="24"/>
      <c r="BA874" s="24"/>
      <c r="BB874" s="24"/>
      <c r="BC874" s="24"/>
      <c r="BD874" s="24"/>
      <c r="BE874" s="24"/>
      <c r="BF874" s="24"/>
      <c r="BG874" s="24"/>
    </row>
    <row r="875" spans="37:59" x14ac:dyDescent="0.2"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  <c r="AW875" s="24"/>
      <c r="AX875" s="24"/>
      <c r="AY875" s="24"/>
      <c r="AZ875" s="24"/>
      <c r="BA875" s="24"/>
      <c r="BB875" s="24"/>
      <c r="BC875" s="24"/>
      <c r="BD875" s="24"/>
      <c r="BE875" s="24"/>
      <c r="BF875" s="24"/>
      <c r="BG875" s="24"/>
    </row>
    <row r="876" spans="37:59" x14ac:dyDescent="0.2"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  <c r="AW876" s="24"/>
      <c r="AX876" s="24"/>
      <c r="AY876" s="24"/>
      <c r="AZ876" s="24"/>
      <c r="BA876" s="24"/>
      <c r="BB876" s="24"/>
      <c r="BC876" s="24"/>
      <c r="BD876" s="24"/>
      <c r="BE876" s="24"/>
      <c r="BF876" s="24"/>
      <c r="BG876" s="24"/>
    </row>
    <row r="877" spans="37:59" x14ac:dyDescent="0.2"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  <c r="AW877" s="24"/>
      <c r="AX877" s="24"/>
      <c r="AY877" s="24"/>
      <c r="AZ877" s="24"/>
      <c r="BA877" s="24"/>
      <c r="BB877" s="24"/>
      <c r="BC877" s="24"/>
      <c r="BD877" s="24"/>
      <c r="BE877" s="24"/>
      <c r="BF877" s="24"/>
      <c r="BG877" s="24"/>
    </row>
    <row r="878" spans="37:59" x14ac:dyDescent="0.2"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  <c r="AW878" s="24"/>
      <c r="AX878" s="24"/>
      <c r="AY878" s="24"/>
      <c r="AZ878" s="24"/>
      <c r="BA878" s="24"/>
      <c r="BB878" s="24"/>
      <c r="BC878" s="24"/>
      <c r="BD878" s="24"/>
      <c r="BE878" s="24"/>
      <c r="BF878" s="24"/>
      <c r="BG878" s="24"/>
    </row>
    <row r="879" spans="37:59" x14ac:dyDescent="0.2"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  <c r="AW879" s="24"/>
      <c r="AX879" s="24"/>
      <c r="AY879" s="24"/>
      <c r="AZ879" s="24"/>
      <c r="BA879" s="24"/>
      <c r="BB879" s="24"/>
      <c r="BC879" s="24"/>
      <c r="BD879" s="24"/>
      <c r="BE879" s="24"/>
      <c r="BF879" s="24"/>
      <c r="BG879" s="24"/>
    </row>
    <row r="880" spans="37:59" x14ac:dyDescent="0.2"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  <c r="AW880" s="24"/>
      <c r="AX880" s="24"/>
      <c r="AY880" s="24"/>
      <c r="AZ880" s="24"/>
      <c r="BA880" s="24"/>
      <c r="BB880" s="24"/>
      <c r="BC880" s="24"/>
      <c r="BD880" s="24"/>
      <c r="BE880" s="24"/>
      <c r="BF880" s="24"/>
      <c r="BG880" s="24"/>
    </row>
    <row r="881" spans="37:59" x14ac:dyDescent="0.2"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  <c r="AW881" s="24"/>
      <c r="AX881" s="24"/>
      <c r="AY881" s="24"/>
      <c r="AZ881" s="24"/>
      <c r="BA881" s="24"/>
      <c r="BB881" s="24"/>
      <c r="BC881" s="24"/>
      <c r="BD881" s="24"/>
      <c r="BE881" s="24"/>
      <c r="BF881" s="24"/>
      <c r="BG881" s="24"/>
    </row>
    <row r="882" spans="37:59" x14ac:dyDescent="0.2"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  <c r="AW882" s="24"/>
      <c r="AX882" s="24"/>
      <c r="AY882" s="24"/>
      <c r="AZ882" s="24"/>
      <c r="BA882" s="24"/>
      <c r="BB882" s="24"/>
      <c r="BC882" s="24"/>
      <c r="BD882" s="24"/>
      <c r="BE882" s="24"/>
      <c r="BF882" s="24"/>
      <c r="BG882" s="24"/>
    </row>
    <row r="883" spans="37:59" x14ac:dyDescent="0.2"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  <c r="AW883" s="24"/>
      <c r="AX883" s="24"/>
      <c r="AY883" s="24"/>
      <c r="AZ883" s="24"/>
      <c r="BA883" s="24"/>
      <c r="BB883" s="24"/>
      <c r="BC883" s="24"/>
      <c r="BD883" s="24"/>
      <c r="BE883" s="24"/>
      <c r="BF883" s="24"/>
      <c r="BG883" s="24"/>
    </row>
    <row r="884" spans="37:59" x14ac:dyDescent="0.2"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  <c r="AW884" s="24"/>
      <c r="AX884" s="24"/>
      <c r="AY884" s="24"/>
      <c r="AZ884" s="24"/>
      <c r="BA884" s="24"/>
      <c r="BB884" s="24"/>
      <c r="BC884" s="24"/>
      <c r="BD884" s="24"/>
      <c r="BE884" s="24"/>
      <c r="BF884" s="24"/>
      <c r="BG884" s="24"/>
    </row>
    <row r="885" spans="37:59" x14ac:dyDescent="0.2"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  <c r="AW885" s="24"/>
      <c r="AX885" s="24"/>
      <c r="AY885" s="24"/>
      <c r="AZ885" s="24"/>
      <c r="BA885" s="24"/>
      <c r="BB885" s="24"/>
      <c r="BC885" s="24"/>
      <c r="BD885" s="24"/>
      <c r="BE885" s="24"/>
      <c r="BF885" s="24"/>
      <c r="BG885" s="24"/>
    </row>
    <row r="886" spans="37:59" x14ac:dyDescent="0.2"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  <c r="AW886" s="24"/>
      <c r="AX886" s="24"/>
      <c r="AY886" s="24"/>
      <c r="AZ886" s="24"/>
      <c r="BA886" s="24"/>
      <c r="BB886" s="24"/>
      <c r="BC886" s="24"/>
      <c r="BD886" s="24"/>
      <c r="BE886" s="24"/>
      <c r="BF886" s="24"/>
      <c r="BG886" s="24"/>
    </row>
    <row r="887" spans="37:59" x14ac:dyDescent="0.2"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  <c r="AW887" s="24"/>
      <c r="AX887" s="24"/>
      <c r="AY887" s="24"/>
      <c r="AZ887" s="24"/>
      <c r="BA887" s="24"/>
      <c r="BB887" s="24"/>
      <c r="BC887" s="24"/>
      <c r="BD887" s="24"/>
      <c r="BE887" s="24"/>
      <c r="BF887" s="24"/>
      <c r="BG887" s="24"/>
    </row>
    <row r="888" spans="37:59" x14ac:dyDescent="0.2"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  <c r="AW888" s="24"/>
      <c r="AX888" s="24"/>
      <c r="AY888" s="24"/>
      <c r="AZ888" s="24"/>
      <c r="BA888" s="24"/>
      <c r="BB888" s="24"/>
      <c r="BC888" s="24"/>
      <c r="BD888" s="24"/>
      <c r="BE888" s="24"/>
      <c r="BF888" s="24"/>
      <c r="BG888" s="24"/>
    </row>
    <row r="889" spans="37:59" x14ac:dyDescent="0.2"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  <c r="AW889" s="24"/>
      <c r="AX889" s="24"/>
      <c r="AY889" s="24"/>
      <c r="AZ889" s="24"/>
      <c r="BA889" s="24"/>
      <c r="BB889" s="24"/>
      <c r="BC889" s="24"/>
      <c r="BD889" s="24"/>
      <c r="BE889" s="24"/>
      <c r="BF889" s="24"/>
      <c r="BG889" s="24"/>
    </row>
    <row r="890" spans="37:59" x14ac:dyDescent="0.2"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  <c r="AW890" s="24"/>
      <c r="AX890" s="24"/>
      <c r="AY890" s="24"/>
      <c r="AZ890" s="24"/>
      <c r="BA890" s="24"/>
      <c r="BB890" s="24"/>
      <c r="BC890" s="24"/>
      <c r="BD890" s="24"/>
      <c r="BE890" s="24"/>
      <c r="BF890" s="24"/>
      <c r="BG890" s="24"/>
    </row>
    <row r="891" spans="37:59" x14ac:dyDescent="0.2"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  <c r="AW891" s="24"/>
      <c r="AX891" s="24"/>
      <c r="AY891" s="24"/>
      <c r="AZ891" s="24"/>
      <c r="BA891" s="24"/>
      <c r="BB891" s="24"/>
      <c r="BC891" s="24"/>
      <c r="BD891" s="24"/>
      <c r="BE891" s="24"/>
      <c r="BF891" s="24"/>
      <c r="BG891" s="24"/>
    </row>
    <row r="892" spans="37:59" x14ac:dyDescent="0.2"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  <c r="AW892" s="24"/>
      <c r="AX892" s="24"/>
      <c r="AY892" s="24"/>
      <c r="AZ892" s="24"/>
      <c r="BA892" s="24"/>
      <c r="BB892" s="24"/>
      <c r="BC892" s="24"/>
      <c r="BD892" s="24"/>
      <c r="BE892" s="24"/>
      <c r="BF892" s="24"/>
      <c r="BG892" s="24"/>
    </row>
    <row r="893" spans="37:59" x14ac:dyDescent="0.2"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  <c r="AW893" s="24"/>
      <c r="AX893" s="24"/>
      <c r="AY893" s="24"/>
      <c r="AZ893" s="24"/>
      <c r="BA893" s="24"/>
      <c r="BB893" s="24"/>
      <c r="BC893" s="24"/>
      <c r="BD893" s="24"/>
      <c r="BE893" s="24"/>
      <c r="BF893" s="24"/>
      <c r="BG893" s="24"/>
    </row>
    <row r="894" spans="37:59" x14ac:dyDescent="0.2"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  <c r="AW894" s="24"/>
      <c r="AX894" s="24"/>
      <c r="AY894" s="24"/>
      <c r="AZ894" s="24"/>
      <c r="BA894" s="24"/>
      <c r="BB894" s="24"/>
      <c r="BC894" s="24"/>
      <c r="BD894" s="24"/>
      <c r="BE894" s="24"/>
      <c r="BF894" s="24"/>
      <c r="BG894" s="24"/>
    </row>
    <row r="895" spans="37:59" x14ac:dyDescent="0.2"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  <c r="AW895" s="24"/>
      <c r="AX895" s="24"/>
      <c r="AY895" s="24"/>
      <c r="AZ895" s="24"/>
      <c r="BA895" s="24"/>
      <c r="BB895" s="24"/>
      <c r="BC895" s="24"/>
      <c r="BD895" s="24"/>
      <c r="BE895" s="24"/>
      <c r="BF895" s="24"/>
      <c r="BG895" s="24"/>
    </row>
    <row r="896" spans="37:59" x14ac:dyDescent="0.2"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  <c r="AW896" s="24"/>
      <c r="AX896" s="24"/>
      <c r="AY896" s="24"/>
      <c r="AZ896" s="24"/>
      <c r="BA896" s="24"/>
      <c r="BB896" s="24"/>
      <c r="BC896" s="24"/>
      <c r="BD896" s="24"/>
      <c r="BE896" s="24"/>
      <c r="BF896" s="24"/>
      <c r="BG896" s="24"/>
    </row>
    <row r="897" spans="37:59" x14ac:dyDescent="0.2"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  <c r="AW897" s="24"/>
      <c r="AX897" s="24"/>
      <c r="AY897" s="24"/>
      <c r="AZ897" s="24"/>
      <c r="BA897" s="24"/>
      <c r="BB897" s="24"/>
      <c r="BC897" s="24"/>
      <c r="BD897" s="24"/>
      <c r="BE897" s="24"/>
      <c r="BF897" s="24"/>
      <c r="BG897" s="24"/>
    </row>
    <row r="898" spans="37:59" x14ac:dyDescent="0.2"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  <c r="AW898" s="24"/>
      <c r="AX898" s="24"/>
      <c r="AY898" s="24"/>
      <c r="AZ898" s="24"/>
      <c r="BA898" s="24"/>
      <c r="BB898" s="24"/>
      <c r="BC898" s="24"/>
      <c r="BD898" s="24"/>
      <c r="BE898" s="24"/>
      <c r="BF898" s="24"/>
      <c r="BG898" s="24"/>
    </row>
    <row r="899" spans="37:59" x14ac:dyDescent="0.2"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  <c r="AW899" s="24"/>
      <c r="AX899" s="24"/>
      <c r="AY899" s="24"/>
      <c r="AZ899" s="24"/>
      <c r="BA899" s="24"/>
      <c r="BB899" s="24"/>
      <c r="BC899" s="24"/>
      <c r="BD899" s="24"/>
      <c r="BE899" s="24"/>
      <c r="BF899" s="24"/>
      <c r="BG899" s="24"/>
    </row>
    <row r="900" spans="37:59" x14ac:dyDescent="0.2"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  <c r="AV900" s="24"/>
      <c r="AW900" s="24"/>
      <c r="AX900" s="24"/>
      <c r="AY900" s="24"/>
      <c r="AZ900" s="24"/>
      <c r="BA900" s="24"/>
      <c r="BB900" s="24"/>
      <c r="BC900" s="24"/>
      <c r="BD900" s="24"/>
      <c r="BE900" s="24"/>
      <c r="BF900" s="24"/>
      <c r="BG900" s="24"/>
    </row>
    <row r="901" spans="37:59" x14ac:dyDescent="0.2"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  <c r="AW901" s="24"/>
      <c r="AX901" s="24"/>
      <c r="AY901" s="24"/>
      <c r="AZ901" s="24"/>
      <c r="BA901" s="24"/>
      <c r="BB901" s="24"/>
      <c r="BC901" s="24"/>
      <c r="BD901" s="24"/>
      <c r="BE901" s="24"/>
      <c r="BF901" s="24"/>
      <c r="BG901" s="24"/>
    </row>
    <row r="902" spans="37:59" x14ac:dyDescent="0.2"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  <c r="AV902" s="24"/>
      <c r="AW902" s="24"/>
      <c r="AX902" s="24"/>
      <c r="AY902" s="24"/>
      <c r="AZ902" s="24"/>
      <c r="BA902" s="24"/>
      <c r="BB902" s="24"/>
      <c r="BC902" s="24"/>
      <c r="BD902" s="24"/>
      <c r="BE902" s="24"/>
      <c r="BF902" s="24"/>
      <c r="BG902" s="24"/>
    </row>
    <row r="903" spans="37:59" x14ac:dyDescent="0.2"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  <c r="AV903" s="24"/>
      <c r="AW903" s="24"/>
      <c r="AX903" s="24"/>
      <c r="AY903" s="24"/>
      <c r="AZ903" s="24"/>
      <c r="BA903" s="24"/>
      <c r="BB903" s="24"/>
      <c r="BC903" s="24"/>
      <c r="BD903" s="24"/>
      <c r="BE903" s="24"/>
      <c r="BF903" s="24"/>
      <c r="BG903" s="24"/>
    </row>
    <row r="904" spans="37:59" x14ac:dyDescent="0.2"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  <c r="AW904" s="24"/>
      <c r="AX904" s="24"/>
      <c r="AY904" s="24"/>
      <c r="AZ904" s="24"/>
      <c r="BA904" s="24"/>
      <c r="BB904" s="24"/>
      <c r="BC904" s="24"/>
      <c r="BD904" s="24"/>
      <c r="BE904" s="24"/>
      <c r="BF904" s="24"/>
      <c r="BG904" s="24"/>
    </row>
    <row r="905" spans="37:59" x14ac:dyDescent="0.2"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  <c r="AV905" s="24"/>
      <c r="AW905" s="24"/>
      <c r="AX905" s="24"/>
      <c r="AY905" s="24"/>
      <c r="AZ905" s="24"/>
      <c r="BA905" s="24"/>
      <c r="BB905" s="24"/>
      <c r="BC905" s="24"/>
      <c r="BD905" s="24"/>
      <c r="BE905" s="24"/>
      <c r="BF905" s="24"/>
      <c r="BG905" s="24"/>
    </row>
    <row r="906" spans="37:59" x14ac:dyDescent="0.2"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  <c r="AW906" s="24"/>
      <c r="AX906" s="24"/>
      <c r="AY906" s="24"/>
      <c r="AZ906" s="24"/>
      <c r="BA906" s="24"/>
      <c r="BB906" s="24"/>
      <c r="BC906" s="24"/>
      <c r="BD906" s="24"/>
      <c r="BE906" s="24"/>
      <c r="BF906" s="24"/>
      <c r="BG906" s="24"/>
    </row>
    <row r="907" spans="37:59" x14ac:dyDescent="0.2"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  <c r="AW907" s="24"/>
      <c r="AX907" s="24"/>
      <c r="AY907" s="24"/>
      <c r="AZ907" s="24"/>
      <c r="BA907" s="24"/>
      <c r="BB907" s="24"/>
      <c r="BC907" s="24"/>
      <c r="BD907" s="24"/>
      <c r="BE907" s="24"/>
      <c r="BF907" s="24"/>
      <c r="BG907" s="24"/>
    </row>
    <row r="908" spans="37:59" x14ac:dyDescent="0.2"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  <c r="AW908" s="24"/>
      <c r="AX908" s="24"/>
      <c r="AY908" s="24"/>
      <c r="AZ908" s="24"/>
      <c r="BA908" s="24"/>
      <c r="BB908" s="24"/>
      <c r="BC908" s="24"/>
      <c r="BD908" s="24"/>
      <c r="BE908" s="24"/>
      <c r="BF908" s="24"/>
      <c r="BG908" s="24"/>
    </row>
    <row r="909" spans="37:59" x14ac:dyDescent="0.2"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  <c r="AW909" s="24"/>
      <c r="AX909" s="24"/>
      <c r="AY909" s="24"/>
      <c r="AZ909" s="24"/>
      <c r="BA909" s="24"/>
      <c r="BB909" s="24"/>
      <c r="BC909" s="24"/>
      <c r="BD909" s="24"/>
      <c r="BE909" s="24"/>
      <c r="BF909" s="24"/>
      <c r="BG909" s="24"/>
    </row>
    <row r="910" spans="37:59" x14ac:dyDescent="0.2"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  <c r="AW910" s="24"/>
      <c r="AX910" s="24"/>
      <c r="AY910" s="24"/>
      <c r="AZ910" s="24"/>
      <c r="BA910" s="24"/>
      <c r="BB910" s="24"/>
      <c r="BC910" s="24"/>
      <c r="BD910" s="24"/>
      <c r="BE910" s="24"/>
      <c r="BF910" s="24"/>
      <c r="BG910" s="24"/>
    </row>
    <row r="911" spans="37:59" x14ac:dyDescent="0.2"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  <c r="AV911" s="24"/>
      <c r="AW911" s="24"/>
      <c r="AX911" s="24"/>
      <c r="AY911" s="24"/>
      <c r="AZ911" s="24"/>
      <c r="BA911" s="24"/>
      <c r="BB911" s="24"/>
      <c r="BC911" s="24"/>
      <c r="BD911" s="24"/>
      <c r="BE911" s="24"/>
      <c r="BF911" s="24"/>
      <c r="BG911" s="24"/>
    </row>
    <row r="912" spans="37:59" x14ac:dyDescent="0.2"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  <c r="AV912" s="24"/>
      <c r="AW912" s="24"/>
      <c r="AX912" s="24"/>
      <c r="AY912" s="24"/>
      <c r="AZ912" s="24"/>
      <c r="BA912" s="24"/>
      <c r="BB912" s="24"/>
      <c r="BC912" s="24"/>
      <c r="BD912" s="24"/>
      <c r="BE912" s="24"/>
      <c r="BF912" s="24"/>
      <c r="BG912" s="24"/>
    </row>
    <row r="913" spans="37:59" x14ac:dyDescent="0.2"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  <c r="AW913" s="24"/>
      <c r="AX913" s="24"/>
      <c r="AY913" s="24"/>
      <c r="AZ913" s="24"/>
      <c r="BA913" s="24"/>
      <c r="BB913" s="24"/>
      <c r="BC913" s="24"/>
      <c r="BD913" s="24"/>
      <c r="BE913" s="24"/>
      <c r="BF913" s="24"/>
      <c r="BG913" s="24"/>
    </row>
    <row r="914" spans="37:59" x14ac:dyDescent="0.2"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  <c r="AW914" s="24"/>
      <c r="AX914" s="24"/>
      <c r="AY914" s="24"/>
      <c r="AZ914" s="24"/>
      <c r="BA914" s="24"/>
      <c r="BB914" s="24"/>
      <c r="BC914" s="24"/>
      <c r="BD914" s="24"/>
      <c r="BE914" s="24"/>
      <c r="BF914" s="24"/>
      <c r="BG914" s="24"/>
    </row>
    <row r="915" spans="37:59" x14ac:dyDescent="0.2"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  <c r="AW915" s="24"/>
      <c r="AX915" s="24"/>
      <c r="AY915" s="24"/>
      <c r="AZ915" s="24"/>
      <c r="BA915" s="24"/>
      <c r="BB915" s="24"/>
      <c r="BC915" s="24"/>
      <c r="BD915" s="24"/>
      <c r="BE915" s="24"/>
      <c r="BF915" s="24"/>
      <c r="BG915" s="24"/>
    </row>
    <row r="916" spans="37:59" x14ac:dyDescent="0.2"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  <c r="AW916" s="24"/>
      <c r="AX916" s="24"/>
      <c r="AY916" s="24"/>
      <c r="AZ916" s="24"/>
      <c r="BA916" s="24"/>
      <c r="BB916" s="24"/>
      <c r="BC916" s="24"/>
      <c r="BD916" s="24"/>
      <c r="BE916" s="24"/>
      <c r="BF916" s="24"/>
      <c r="BG916" s="24"/>
    </row>
    <row r="917" spans="37:59" x14ac:dyDescent="0.2"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  <c r="AW917" s="24"/>
      <c r="AX917" s="24"/>
      <c r="AY917" s="24"/>
      <c r="AZ917" s="24"/>
      <c r="BA917" s="24"/>
      <c r="BB917" s="24"/>
      <c r="BC917" s="24"/>
      <c r="BD917" s="24"/>
      <c r="BE917" s="24"/>
      <c r="BF917" s="24"/>
      <c r="BG917" s="24"/>
    </row>
    <row r="918" spans="37:59" x14ac:dyDescent="0.2"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  <c r="AV918" s="24"/>
      <c r="AW918" s="24"/>
      <c r="AX918" s="24"/>
      <c r="AY918" s="24"/>
      <c r="AZ918" s="24"/>
      <c r="BA918" s="24"/>
      <c r="BB918" s="24"/>
      <c r="BC918" s="24"/>
      <c r="BD918" s="24"/>
      <c r="BE918" s="24"/>
      <c r="BF918" s="24"/>
      <c r="BG918" s="24"/>
    </row>
    <row r="919" spans="37:59" x14ac:dyDescent="0.2"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  <c r="AW919" s="24"/>
      <c r="AX919" s="24"/>
      <c r="AY919" s="24"/>
      <c r="AZ919" s="24"/>
      <c r="BA919" s="24"/>
      <c r="BB919" s="24"/>
      <c r="BC919" s="24"/>
      <c r="BD919" s="24"/>
      <c r="BE919" s="24"/>
      <c r="BF919" s="24"/>
      <c r="BG919" s="24"/>
    </row>
    <row r="920" spans="37:59" x14ac:dyDescent="0.2"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  <c r="AW920" s="24"/>
      <c r="AX920" s="24"/>
      <c r="AY920" s="24"/>
      <c r="AZ920" s="24"/>
      <c r="BA920" s="24"/>
      <c r="BB920" s="24"/>
      <c r="BC920" s="24"/>
      <c r="BD920" s="24"/>
      <c r="BE920" s="24"/>
      <c r="BF920" s="24"/>
      <c r="BG920" s="24"/>
    </row>
    <row r="921" spans="37:59" x14ac:dyDescent="0.2"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  <c r="AW921" s="24"/>
      <c r="AX921" s="24"/>
      <c r="AY921" s="24"/>
      <c r="AZ921" s="24"/>
      <c r="BA921" s="24"/>
      <c r="BB921" s="24"/>
      <c r="BC921" s="24"/>
      <c r="BD921" s="24"/>
      <c r="BE921" s="24"/>
      <c r="BF921" s="24"/>
      <c r="BG921" s="24"/>
    </row>
    <row r="922" spans="37:59" x14ac:dyDescent="0.2"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  <c r="AW922" s="24"/>
      <c r="AX922" s="24"/>
      <c r="AY922" s="24"/>
      <c r="AZ922" s="24"/>
      <c r="BA922" s="24"/>
      <c r="BB922" s="24"/>
      <c r="BC922" s="24"/>
      <c r="BD922" s="24"/>
      <c r="BE922" s="24"/>
      <c r="BF922" s="24"/>
      <c r="BG922" s="24"/>
    </row>
    <row r="923" spans="37:59" x14ac:dyDescent="0.2"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  <c r="AW923" s="24"/>
      <c r="AX923" s="24"/>
      <c r="AY923" s="24"/>
      <c r="AZ923" s="24"/>
      <c r="BA923" s="24"/>
      <c r="BB923" s="24"/>
      <c r="BC923" s="24"/>
      <c r="BD923" s="24"/>
      <c r="BE923" s="24"/>
      <c r="BF923" s="24"/>
      <c r="BG923" s="24"/>
    </row>
    <row r="924" spans="37:59" x14ac:dyDescent="0.2"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  <c r="AW924" s="24"/>
      <c r="AX924" s="24"/>
      <c r="AY924" s="24"/>
      <c r="AZ924" s="24"/>
      <c r="BA924" s="24"/>
      <c r="BB924" s="24"/>
      <c r="BC924" s="24"/>
      <c r="BD924" s="24"/>
      <c r="BE924" s="24"/>
      <c r="BF924" s="24"/>
      <c r="BG924" s="24"/>
    </row>
    <row r="925" spans="37:59" x14ac:dyDescent="0.2"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  <c r="AW925" s="24"/>
      <c r="AX925" s="24"/>
      <c r="AY925" s="24"/>
      <c r="AZ925" s="24"/>
      <c r="BA925" s="24"/>
      <c r="BB925" s="24"/>
      <c r="BC925" s="24"/>
      <c r="BD925" s="24"/>
      <c r="BE925" s="24"/>
      <c r="BF925" s="24"/>
      <c r="BG925" s="24"/>
    </row>
    <row r="926" spans="37:59" x14ac:dyDescent="0.2"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  <c r="AV926" s="24"/>
      <c r="AW926" s="24"/>
      <c r="AX926" s="24"/>
      <c r="AY926" s="24"/>
      <c r="AZ926" s="24"/>
      <c r="BA926" s="24"/>
      <c r="BB926" s="24"/>
      <c r="BC926" s="24"/>
      <c r="BD926" s="24"/>
      <c r="BE926" s="24"/>
      <c r="BF926" s="24"/>
      <c r="BG926" s="24"/>
    </row>
    <row r="927" spans="37:59" x14ac:dyDescent="0.2"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  <c r="AV927" s="24"/>
      <c r="AW927" s="24"/>
      <c r="AX927" s="24"/>
      <c r="AY927" s="24"/>
      <c r="AZ927" s="24"/>
      <c r="BA927" s="24"/>
      <c r="BB927" s="24"/>
      <c r="BC927" s="24"/>
      <c r="BD927" s="24"/>
      <c r="BE927" s="24"/>
      <c r="BF927" s="24"/>
      <c r="BG927" s="24"/>
    </row>
    <row r="928" spans="37:59" x14ac:dyDescent="0.2"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  <c r="AW928" s="24"/>
      <c r="AX928" s="24"/>
      <c r="AY928" s="24"/>
      <c r="AZ928" s="24"/>
      <c r="BA928" s="24"/>
      <c r="BB928" s="24"/>
      <c r="BC928" s="24"/>
      <c r="BD928" s="24"/>
      <c r="BE928" s="24"/>
      <c r="BF928" s="24"/>
      <c r="BG928" s="24"/>
    </row>
    <row r="929" spans="37:59" x14ac:dyDescent="0.2"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  <c r="AW929" s="24"/>
      <c r="AX929" s="24"/>
      <c r="AY929" s="24"/>
      <c r="AZ929" s="24"/>
      <c r="BA929" s="24"/>
      <c r="BB929" s="24"/>
      <c r="BC929" s="24"/>
      <c r="BD929" s="24"/>
      <c r="BE929" s="24"/>
      <c r="BF929" s="24"/>
      <c r="BG929" s="24"/>
    </row>
    <row r="930" spans="37:59" x14ac:dyDescent="0.2"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  <c r="AW930" s="24"/>
      <c r="AX930" s="24"/>
      <c r="AY930" s="24"/>
      <c r="AZ930" s="24"/>
      <c r="BA930" s="24"/>
      <c r="BB930" s="24"/>
      <c r="BC930" s="24"/>
      <c r="BD930" s="24"/>
      <c r="BE930" s="24"/>
      <c r="BF930" s="24"/>
      <c r="BG930" s="24"/>
    </row>
    <row r="931" spans="37:59" x14ac:dyDescent="0.2"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  <c r="AV931" s="24"/>
      <c r="AW931" s="24"/>
      <c r="AX931" s="24"/>
      <c r="AY931" s="24"/>
      <c r="AZ931" s="24"/>
      <c r="BA931" s="24"/>
      <c r="BB931" s="24"/>
      <c r="BC931" s="24"/>
      <c r="BD931" s="24"/>
      <c r="BE931" s="24"/>
      <c r="BF931" s="24"/>
      <c r="BG931" s="24"/>
    </row>
    <row r="932" spans="37:59" x14ac:dyDescent="0.2"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  <c r="AW932" s="24"/>
      <c r="AX932" s="24"/>
      <c r="AY932" s="24"/>
      <c r="AZ932" s="24"/>
      <c r="BA932" s="24"/>
      <c r="BB932" s="24"/>
      <c r="BC932" s="24"/>
      <c r="BD932" s="24"/>
      <c r="BE932" s="24"/>
      <c r="BF932" s="24"/>
      <c r="BG932" s="24"/>
    </row>
    <row r="933" spans="37:59" x14ac:dyDescent="0.2"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  <c r="AV933" s="24"/>
      <c r="AW933" s="24"/>
      <c r="AX933" s="24"/>
      <c r="AY933" s="24"/>
      <c r="AZ933" s="24"/>
      <c r="BA933" s="24"/>
      <c r="BB933" s="24"/>
      <c r="BC933" s="24"/>
      <c r="BD933" s="24"/>
      <c r="BE933" s="24"/>
      <c r="BF933" s="24"/>
      <c r="BG933" s="24"/>
    </row>
    <row r="934" spans="37:59" x14ac:dyDescent="0.2"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  <c r="AW934" s="24"/>
      <c r="AX934" s="24"/>
      <c r="AY934" s="24"/>
      <c r="AZ934" s="24"/>
      <c r="BA934" s="24"/>
      <c r="BB934" s="24"/>
      <c r="BC934" s="24"/>
      <c r="BD934" s="24"/>
      <c r="BE934" s="24"/>
      <c r="BF934" s="24"/>
      <c r="BG934" s="24"/>
    </row>
    <row r="935" spans="37:59" x14ac:dyDescent="0.2"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  <c r="AV935" s="24"/>
      <c r="AW935" s="24"/>
      <c r="AX935" s="24"/>
      <c r="AY935" s="24"/>
      <c r="AZ935" s="24"/>
      <c r="BA935" s="24"/>
      <c r="BB935" s="24"/>
      <c r="BC935" s="24"/>
      <c r="BD935" s="24"/>
      <c r="BE935" s="24"/>
      <c r="BF935" s="24"/>
      <c r="BG935" s="24"/>
    </row>
    <row r="936" spans="37:59" x14ac:dyDescent="0.2"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  <c r="AW936" s="24"/>
      <c r="AX936" s="24"/>
      <c r="AY936" s="24"/>
      <c r="AZ936" s="24"/>
      <c r="BA936" s="24"/>
      <c r="BB936" s="24"/>
      <c r="BC936" s="24"/>
      <c r="BD936" s="24"/>
      <c r="BE936" s="24"/>
      <c r="BF936" s="24"/>
      <c r="BG936" s="24"/>
    </row>
    <row r="937" spans="37:59" x14ac:dyDescent="0.2"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  <c r="AV937" s="24"/>
      <c r="AW937" s="24"/>
      <c r="AX937" s="24"/>
      <c r="AY937" s="24"/>
      <c r="AZ937" s="24"/>
      <c r="BA937" s="24"/>
      <c r="BB937" s="24"/>
      <c r="BC937" s="24"/>
      <c r="BD937" s="24"/>
      <c r="BE937" s="24"/>
      <c r="BF937" s="24"/>
      <c r="BG937" s="24"/>
    </row>
  </sheetData>
  <mergeCells count="6">
    <mergeCell ref="T153:U153"/>
    <mergeCell ref="T24:U24"/>
    <mergeCell ref="H96:I96"/>
    <mergeCell ref="H113:I113"/>
    <mergeCell ref="T118:U118"/>
    <mergeCell ref="T146:U14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topLeftCell="J1" workbookViewId="0">
      <selection activeCell="AA3" sqref="AA3"/>
    </sheetView>
  </sheetViews>
  <sheetFormatPr defaultRowHeight="15" x14ac:dyDescent="0.25"/>
  <cols>
    <col min="1" max="1" width="23.42578125" bestFit="1" customWidth="1"/>
  </cols>
  <sheetData>
    <row r="1" spans="1:28" x14ac:dyDescent="0.25">
      <c r="A1" s="19" t="s">
        <v>98</v>
      </c>
      <c r="B1" s="22">
        <v>1</v>
      </c>
      <c r="C1" s="22">
        <v>2</v>
      </c>
      <c r="D1" s="22">
        <v>3</v>
      </c>
      <c r="E1" s="22">
        <v>4</v>
      </c>
      <c r="F1" s="22">
        <v>5</v>
      </c>
      <c r="G1" s="22">
        <v>6</v>
      </c>
      <c r="H1" s="22">
        <v>7</v>
      </c>
      <c r="I1" s="22">
        <v>8</v>
      </c>
      <c r="J1" s="22">
        <v>9</v>
      </c>
      <c r="K1" s="22">
        <v>10</v>
      </c>
      <c r="L1" s="22">
        <v>11</v>
      </c>
      <c r="M1" s="22">
        <v>12</v>
      </c>
      <c r="N1" s="22">
        <v>13</v>
      </c>
      <c r="O1" s="22">
        <v>14</v>
      </c>
      <c r="P1" s="22">
        <v>15</v>
      </c>
      <c r="Q1" s="22">
        <v>16</v>
      </c>
      <c r="R1" s="22">
        <v>17</v>
      </c>
      <c r="S1" s="22">
        <v>18</v>
      </c>
      <c r="T1" s="22">
        <v>19</v>
      </c>
      <c r="U1" s="22">
        <v>20</v>
      </c>
      <c r="V1" s="22">
        <v>21</v>
      </c>
      <c r="W1" s="22">
        <v>22</v>
      </c>
      <c r="X1" s="22">
        <v>23</v>
      </c>
      <c r="Y1" s="22">
        <v>24</v>
      </c>
      <c r="Z1" s="83">
        <v>25</v>
      </c>
    </row>
    <row r="2" spans="1:28" s="43" customFormat="1" ht="12.75" x14ac:dyDescent="0.2">
      <c r="A2" s="47" t="s">
        <v>97</v>
      </c>
      <c r="B2" s="23" t="s">
        <v>505</v>
      </c>
      <c r="C2" s="23" t="s">
        <v>506</v>
      </c>
      <c r="D2" s="23" t="s">
        <v>507</v>
      </c>
      <c r="E2" s="23" t="s">
        <v>508</v>
      </c>
      <c r="F2" s="23" t="s">
        <v>509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 t="s">
        <v>73</v>
      </c>
      <c r="AB2" s="23" t="s">
        <v>72</v>
      </c>
    </row>
    <row r="3" spans="1:28" x14ac:dyDescent="0.25">
      <c r="A3" s="12" t="s">
        <v>1</v>
      </c>
      <c r="AA3">
        <f t="shared" ref="AA3:AA37" si="0">SUM(B3:Z3)</f>
        <v>0</v>
      </c>
      <c r="AB3">
        <f>(AA3/AA38)*100</f>
        <v>0</v>
      </c>
    </row>
    <row r="4" spans="1:28" x14ac:dyDescent="0.25">
      <c r="A4" s="12" t="s">
        <v>2</v>
      </c>
      <c r="B4">
        <v>8</v>
      </c>
      <c r="C4">
        <v>4</v>
      </c>
      <c r="D4">
        <v>10</v>
      </c>
      <c r="E4">
        <v>34</v>
      </c>
      <c r="F4">
        <v>12</v>
      </c>
      <c r="AA4">
        <f t="shared" si="0"/>
        <v>68</v>
      </c>
      <c r="AB4">
        <f>(AA4/AA38)*100</f>
        <v>41.212121212121211</v>
      </c>
    </row>
    <row r="5" spans="1:28" x14ac:dyDescent="0.25">
      <c r="A5" s="12" t="s">
        <v>3</v>
      </c>
      <c r="AA5">
        <f t="shared" si="0"/>
        <v>0</v>
      </c>
      <c r="AB5">
        <f>(AA5/AA38)*100</f>
        <v>0</v>
      </c>
    </row>
    <row r="6" spans="1:28" x14ac:dyDescent="0.25">
      <c r="A6" s="12" t="s">
        <v>4</v>
      </c>
      <c r="AA6">
        <f t="shared" si="0"/>
        <v>0</v>
      </c>
      <c r="AB6">
        <f>(AA6/AA38)*100</f>
        <v>0</v>
      </c>
    </row>
    <row r="7" spans="1:28" x14ac:dyDescent="0.25">
      <c r="A7" s="12" t="s">
        <v>5</v>
      </c>
      <c r="F7">
        <v>2</v>
      </c>
      <c r="AA7">
        <f t="shared" si="0"/>
        <v>2</v>
      </c>
      <c r="AB7">
        <f>(AA7/AA38)*100</f>
        <v>1.2121212121212122</v>
      </c>
    </row>
    <row r="8" spans="1:28" x14ac:dyDescent="0.25">
      <c r="A8" s="12" t="s">
        <v>6</v>
      </c>
      <c r="E8">
        <v>3</v>
      </c>
      <c r="F8">
        <v>1</v>
      </c>
      <c r="AA8">
        <f t="shared" si="0"/>
        <v>4</v>
      </c>
      <c r="AB8">
        <f>(AA8/AA38)*100</f>
        <v>2.4242424242424243</v>
      </c>
    </row>
    <row r="9" spans="1:28" x14ac:dyDescent="0.25">
      <c r="A9" s="12" t="s">
        <v>7</v>
      </c>
      <c r="AA9">
        <f t="shared" si="0"/>
        <v>0</v>
      </c>
      <c r="AB9">
        <f>(AA9/AA38)*100</f>
        <v>0</v>
      </c>
    </row>
    <row r="10" spans="1:28" x14ac:dyDescent="0.25">
      <c r="A10" s="12" t="s">
        <v>8</v>
      </c>
      <c r="AA10">
        <f t="shared" si="0"/>
        <v>0</v>
      </c>
      <c r="AB10">
        <f>(AA10/AA38)*100</f>
        <v>0</v>
      </c>
    </row>
    <row r="11" spans="1:28" x14ac:dyDescent="0.25">
      <c r="A11" s="12" t="s">
        <v>9</v>
      </c>
      <c r="E11">
        <v>1</v>
      </c>
      <c r="AA11">
        <f t="shared" si="0"/>
        <v>1</v>
      </c>
      <c r="AB11">
        <f>(AA11/AA38)*100</f>
        <v>0.60606060606060608</v>
      </c>
    </row>
    <row r="12" spans="1:28" x14ac:dyDescent="0.25">
      <c r="A12" s="12" t="s">
        <v>10</v>
      </c>
      <c r="AA12">
        <f t="shared" si="0"/>
        <v>0</v>
      </c>
      <c r="AB12">
        <f>(AA12/AA38)*100</f>
        <v>0</v>
      </c>
    </row>
    <row r="13" spans="1:28" x14ac:dyDescent="0.25">
      <c r="A13" s="12" t="s">
        <v>11</v>
      </c>
      <c r="AA13">
        <f t="shared" si="0"/>
        <v>0</v>
      </c>
      <c r="AB13">
        <f>(AA13/AA38)*100</f>
        <v>0</v>
      </c>
    </row>
    <row r="14" spans="1:28" x14ac:dyDescent="0.25">
      <c r="A14" s="12" t="s">
        <v>12</v>
      </c>
      <c r="AA14">
        <f t="shared" si="0"/>
        <v>0</v>
      </c>
      <c r="AB14">
        <f>(AA14/AA38)*100</f>
        <v>0</v>
      </c>
    </row>
    <row r="15" spans="1:28" x14ac:dyDescent="0.25">
      <c r="A15" s="12" t="s">
        <v>13</v>
      </c>
      <c r="AA15">
        <f t="shared" si="0"/>
        <v>0</v>
      </c>
      <c r="AB15">
        <f>(AA15/AA38)*100</f>
        <v>0</v>
      </c>
    </row>
    <row r="16" spans="1:28" x14ac:dyDescent="0.25">
      <c r="A16" s="12" t="s">
        <v>14</v>
      </c>
      <c r="AA16">
        <f t="shared" si="0"/>
        <v>0</v>
      </c>
      <c r="AB16">
        <f>(AA16/AA38)*100</f>
        <v>0</v>
      </c>
    </row>
    <row r="17" spans="1:28" x14ac:dyDescent="0.25">
      <c r="A17" s="12" t="s">
        <v>15</v>
      </c>
      <c r="C17">
        <v>7</v>
      </c>
      <c r="D17">
        <v>2</v>
      </c>
      <c r="E17">
        <v>3</v>
      </c>
      <c r="F17">
        <v>3</v>
      </c>
      <c r="AA17">
        <f t="shared" si="0"/>
        <v>15</v>
      </c>
      <c r="AB17">
        <f>(AA17/AA38)*100</f>
        <v>9.0909090909090917</v>
      </c>
    </row>
    <row r="18" spans="1:28" x14ac:dyDescent="0.25">
      <c r="A18" s="12" t="s">
        <v>16</v>
      </c>
      <c r="B18">
        <v>1</v>
      </c>
      <c r="F18">
        <v>1</v>
      </c>
      <c r="AA18">
        <f t="shared" si="0"/>
        <v>2</v>
      </c>
      <c r="AB18">
        <f>(AA18/AA38)*100</f>
        <v>1.2121212121212122</v>
      </c>
    </row>
    <row r="19" spans="1:28" x14ac:dyDescent="0.25">
      <c r="A19" s="12" t="s">
        <v>17</v>
      </c>
      <c r="AA19">
        <f t="shared" si="0"/>
        <v>0</v>
      </c>
      <c r="AB19">
        <f>(AA19/AA38)*100</f>
        <v>0</v>
      </c>
    </row>
    <row r="20" spans="1:28" x14ac:dyDescent="0.25">
      <c r="A20" s="12" t="s">
        <v>18</v>
      </c>
      <c r="C20">
        <v>1</v>
      </c>
      <c r="D20">
        <v>2</v>
      </c>
      <c r="E20">
        <v>2</v>
      </c>
      <c r="AA20">
        <f t="shared" si="0"/>
        <v>5</v>
      </c>
      <c r="AB20">
        <f>(AA20/AA38)*100</f>
        <v>3.0303030303030303</v>
      </c>
    </row>
    <row r="21" spans="1:28" x14ac:dyDescent="0.25">
      <c r="A21" s="12" t="s">
        <v>19</v>
      </c>
      <c r="AA21">
        <f t="shared" si="0"/>
        <v>0</v>
      </c>
      <c r="AB21">
        <f>(AA21/AA38)*100</f>
        <v>0</v>
      </c>
    </row>
    <row r="22" spans="1:28" x14ac:dyDescent="0.25">
      <c r="A22" s="12" t="s">
        <v>20</v>
      </c>
      <c r="AA22">
        <f t="shared" si="0"/>
        <v>0</v>
      </c>
      <c r="AB22">
        <f>(AA22/AA38)*100</f>
        <v>0</v>
      </c>
    </row>
    <row r="23" spans="1:28" x14ac:dyDescent="0.25">
      <c r="A23" s="12" t="s">
        <v>21</v>
      </c>
      <c r="E23">
        <v>1</v>
      </c>
      <c r="AA23">
        <f t="shared" si="0"/>
        <v>1</v>
      </c>
      <c r="AB23">
        <f>(AA23/AA38)*100</f>
        <v>0.60606060606060608</v>
      </c>
    </row>
    <row r="24" spans="1:28" x14ac:dyDescent="0.25">
      <c r="A24" s="12" t="s">
        <v>22</v>
      </c>
      <c r="AA24">
        <f t="shared" si="0"/>
        <v>0</v>
      </c>
      <c r="AB24">
        <f>(AA24/AA38)*100</f>
        <v>0</v>
      </c>
    </row>
    <row r="25" spans="1:28" x14ac:dyDescent="0.25">
      <c r="A25" s="12" t="s">
        <v>23</v>
      </c>
      <c r="AA25">
        <f t="shared" si="0"/>
        <v>0</v>
      </c>
      <c r="AB25">
        <f>(AA25/AA38)*100</f>
        <v>0</v>
      </c>
    </row>
    <row r="26" spans="1:28" x14ac:dyDescent="0.25">
      <c r="A26" s="12" t="s">
        <v>24</v>
      </c>
      <c r="F26">
        <v>1</v>
      </c>
      <c r="AA26">
        <f t="shared" si="0"/>
        <v>1</v>
      </c>
      <c r="AB26">
        <f>(AA26/AA38)*100</f>
        <v>0.60606060606060608</v>
      </c>
    </row>
    <row r="27" spans="1:28" x14ac:dyDescent="0.25">
      <c r="A27" s="12" t="s">
        <v>25</v>
      </c>
      <c r="AA27">
        <f t="shared" si="0"/>
        <v>0</v>
      </c>
      <c r="AB27">
        <f>(AA27/AA38)*100</f>
        <v>0</v>
      </c>
    </row>
    <row r="28" spans="1:28" x14ac:dyDescent="0.25">
      <c r="A28" s="12" t="s">
        <v>26</v>
      </c>
      <c r="AA28">
        <f t="shared" si="0"/>
        <v>0</v>
      </c>
      <c r="AB28">
        <f>(AA28/AA38)*100</f>
        <v>0</v>
      </c>
    </row>
    <row r="29" spans="1:28" x14ac:dyDescent="0.25">
      <c r="A29" s="12" t="s">
        <v>27</v>
      </c>
      <c r="B29">
        <v>2</v>
      </c>
      <c r="C29">
        <v>5</v>
      </c>
      <c r="D29">
        <v>5</v>
      </c>
      <c r="E29">
        <v>9</v>
      </c>
      <c r="F29">
        <v>3</v>
      </c>
      <c r="AA29">
        <f t="shared" si="0"/>
        <v>24</v>
      </c>
      <c r="AB29">
        <f>(AA29/AA38)*100</f>
        <v>14.545454545454545</v>
      </c>
    </row>
    <row r="30" spans="1:28" x14ac:dyDescent="0.25">
      <c r="A30" s="12" t="s">
        <v>28</v>
      </c>
      <c r="C30">
        <v>8</v>
      </c>
      <c r="D30">
        <v>6</v>
      </c>
      <c r="E30">
        <v>12</v>
      </c>
      <c r="F30">
        <v>16</v>
      </c>
      <c r="AA30">
        <f t="shared" si="0"/>
        <v>42</v>
      </c>
      <c r="AB30">
        <f>(AA30/AA38)*100</f>
        <v>25.454545454545453</v>
      </c>
    </row>
    <row r="31" spans="1:28" x14ac:dyDescent="0.25">
      <c r="A31" s="12" t="s">
        <v>29</v>
      </c>
      <c r="AA31">
        <f t="shared" si="0"/>
        <v>0</v>
      </c>
      <c r="AB31">
        <f>(AA31/AA38)*100</f>
        <v>0</v>
      </c>
    </row>
    <row r="32" spans="1:28" x14ac:dyDescent="0.25">
      <c r="A32" s="12" t="s">
        <v>30</v>
      </c>
      <c r="AA32">
        <f t="shared" si="0"/>
        <v>0</v>
      </c>
      <c r="AB32">
        <f>(AA32/AA38)*100</f>
        <v>0</v>
      </c>
    </row>
    <row r="33" spans="1:28" x14ac:dyDescent="0.25">
      <c r="A33" s="12" t="s">
        <v>31</v>
      </c>
      <c r="AA33">
        <f t="shared" si="0"/>
        <v>0</v>
      </c>
      <c r="AB33">
        <f>(AA33/AA38)*100</f>
        <v>0</v>
      </c>
    </row>
    <row r="34" spans="1:28" x14ac:dyDescent="0.25">
      <c r="A34" s="12" t="s">
        <v>68</v>
      </c>
      <c r="AA34">
        <f t="shared" si="0"/>
        <v>0</v>
      </c>
      <c r="AB34">
        <f>(AA34/AA38)*100</f>
        <v>0</v>
      </c>
    </row>
    <row r="35" spans="1:28" x14ac:dyDescent="0.25">
      <c r="A35" s="12" t="s">
        <v>32</v>
      </c>
      <c r="AA35">
        <f t="shared" si="0"/>
        <v>0</v>
      </c>
      <c r="AB35">
        <f>(AA35/AA38)*100</f>
        <v>0</v>
      </c>
    </row>
    <row r="36" spans="1:28" x14ac:dyDescent="0.25">
      <c r="A36" s="12" t="s">
        <v>33</v>
      </c>
      <c r="AA36">
        <f t="shared" si="0"/>
        <v>0</v>
      </c>
      <c r="AB36">
        <f>(AA36/AA38)*100</f>
        <v>0</v>
      </c>
    </row>
    <row r="37" spans="1:28" x14ac:dyDescent="0.25">
      <c r="A37" s="12" t="s">
        <v>34</v>
      </c>
      <c r="AA37">
        <f t="shared" si="0"/>
        <v>0</v>
      </c>
      <c r="AB37">
        <f>(AA37/AA38)*100</f>
        <v>0</v>
      </c>
    </row>
    <row r="38" spans="1:28" s="19" customFormat="1" ht="12.75" x14ac:dyDescent="0.2">
      <c r="A38" s="19" t="s">
        <v>71</v>
      </c>
      <c r="B38" s="22">
        <f t="shared" ref="B38:Z38" si="1">SUM(B3:B37)</f>
        <v>11</v>
      </c>
      <c r="C38" s="22">
        <f t="shared" si="1"/>
        <v>25</v>
      </c>
      <c r="D38" s="22">
        <f t="shared" si="1"/>
        <v>25</v>
      </c>
      <c r="E38" s="22">
        <f t="shared" si="1"/>
        <v>65</v>
      </c>
      <c r="F38" s="22">
        <f t="shared" si="1"/>
        <v>39</v>
      </c>
      <c r="G38" s="22">
        <f t="shared" si="1"/>
        <v>0</v>
      </c>
      <c r="H38" s="22">
        <f t="shared" si="1"/>
        <v>0</v>
      </c>
      <c r="I38" s="22">
        <f t="shared" si="1"/>
        <v>0</v>
      </c>
      <c r="J38" s="22">
        <f t="shared" si="1"/>
        <v>0</v>
      </c>
      <c r="K38" s="22">
        <f t="shared" si="1"/>
        <v>0</v>
      </c>
      <c r="L38" s="22">
        <f t="shared" si="1"/>
        <v>0</v>
      </c>
      <c r="M38" s="22">
        <f t="shared" si="1"/>
        <v>0</v>
      </c>
      <c r="N38" s="22">
        <f t="shared" si="1"/>
        <v>0</v>
      </c>
      <c r="O38" s="22">
        <f t="shared" si="1"/>
        <v>0</v>
      </c>
      <c r="P38" s="22">
        <f t="shared" si="1"/>
        <v>0</v>
      </c>
      <c r="Q38" s="22">
        <f t="shared" si="1"/>
        <v>0</v>
      </c>
      <c r="R38" s="22">
        <f t="shared" si="1"/>
        <v>0</v>
      </c>
      <c r="S38" s="22">
        <f t="shared" si="1"/>
        <v>0</v>
      </c>
      <c r="T38" s="22">
        <f t="shared" si="1"/>
        <v>0</v>
      </c>
      <c r="U38" s="22">
        <f t="shared" si="1"/>
        <v>0</v>
      </c>
      <c r="V38" s="22">
        <f t="shared" si="1"/>
        <v>0</v>
      </c>
      <c r="W38" s="22">
        <f t="shared" si="1"/>
        <v>0</v>
      </c>
      <c r="X38" s="22">
        <f t="shared" si="1"/>
        <v>0</v>
      </c>
      <c r="Y38" s="22">
        <f t="shared" si="1"/>
        <v>0</v>
      </c>
      <c r="Z38" s="22">
        <f t="shared" si="1"/>
        <v>0</v>
      </c>
      <c r="AA38" s="22">
        <f>SUM(AA3:AA37)</f>
        <v>165</v>
      </c>
      <c r="AB38" s="21">
        <f>SUM(AB3:AB37)</f>
        <v>100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topLeftCell="A19" workbookViewId="0"/>
  </sheetViews>
  <sheetFormatPr defaultRowHeight="15" x14ac:dyDescent="0.25"/>
  <cols>
    <col min="1" max="1" width="23.42578125" bestFit="1" customWidth="1"/>
  </cols>
  <sheetData>
    <row r="1" spans="1:28" x14ac:dyDescent="0.25">
      <c r="A1" s="19" t="s">
        <v>98</v>
      </c>
      <c r="B1" s="22">
        <v>1</v>
      </c>
      <c r="C1" s="22">
        <v>2</v>
      </c>
      <c r="D1" s="22">
        <v>3</v>
      </c>
      <c r="E1" s="22">
        <v>4</v>
      </c>
      <c r="F1" s="22">
        <v>5</v>
      </c>
      <c r="G1" s="22">
        <v>6</v>
      </c>
      <c r="H1" s="22">
        <v>7</v>
      </c>
      <c r="I1" s="22">
        <v>8</v>
      </c>
      <c r="J1" s="22">
        <v>9</v>
      </c>
      <c r="K1" s="22">
        <v>10</v>
      </c>
      <c r="L1" s="22">
        <v>11</v>
      </c>
      <c r="M1" s="22">
        <v>12</v>
      </c>
      <c r="N1" s="22">
        <v>13</v>
      </c>
      <c r="O1" s="22">
        <v>14</v>
      </c>
      <c r="P1" s="22">
        <v>15</v>
      </c>
      <c r="Q1" s="22">
        <v>16</v>
      </c>
      <c r="R1" s="22">
        <v>17</v>
      </c>
      <c r="S1" s="22">
        <v>18</v>
      </c>
      <c r="T1" s="22">
        <v>19</v>
      </c>
      <c r="U1" s="22">
        <v>20</v>
      </c>
      <c r="V1" s="22">
        <v>21</v>
      </c>
      <c r="W1" s="22">
        <v>22</v>
      </c>
      <c r="X1" s="22">
        <v>23</v>
      </c>
      <c r="Y1" s="22">
        <v>24</v>
      </c>
      <c r="Z1" s="83">
        <v>25</v>
      </c>
    </row>
    <row r="2" spans="1:28" s="43" customFormat="1" ht="12.75" x14ac:dyDescent="0.2">
      <c r="A2" s="47" t="s">
        <v>97</v>
      </c>
      <c r="B2" s="23" t="s">
        <v>510</v>
      </c>
      <c r="C2" s="23" t="s">
        <v>511</v>
      </c>
      <c r="D2" s="23" t="s">
        <v>512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 t="s">
        <v>73</v>
      </c>
      <c r="AB2" s="23" t="s">
        <v>72</v>
      </c>
    </row>
    <row r="3" spans="1:28" x14ac:dyDescent="0.25">
      <c r="A3" s="12" t="s">
        <v>1</v>
      </c>
      <c r="AA3">
        <f t="shared" ref="AA3:AA37" si="0">SUM(B3:Z3)</f>
        <v>0</v>
      </c>
      <c r="AB3">
        <f>(AA3/AA38)*100</f>
        <v>0</v>
      </c>
    </row>
    <row r="4" spans="1:28" x14ac:dyDescent="0.25">
      <c r="A4" s="12" t="s">
        <v>2</v>
      </c>
      <c r="B4">
        <v>2</v>
      </c>
      <c r="C4">
        <v>5</v>
      </c>
      <c r="D4">
        <v>13</v>
      </c>
      <c r="AA4">
        <f t="shared" si="0"/>
        <v>20</v>
      </c>
      <c r="AB4">
        <f>(AA4/AA38)*100</f>
        <v>38.461538461538467</v>
      </c>
    </row>
    <row r="5" spans="1:28" x14ac:dyDescent="0.25">
      <c r="A5" s="12" t="s">
        <v>3</v>
      </c>
      <c r="AA5">
        <f t="shared" si="0"/>
        <v>0</v>
      </c>
      <c r="AB5">
        <f>(AA5/AA38)*100</f>
        <v>0</v>
      </c>
    </row>
    <row r="6" spans="1:28" x14ac:dyDescent="0.25">
      <c r="A6" s="12" t="s">
        <v>4</v>
      </c>
      <c r="AA6">
        <f t="shared" si="0"/>
        <v>0</v>
      </c>
      <c r="AB6">
        <f>(AA6/AA38)*100</f>
        <v>0</v>
      </c>
    </row>
    <row r="7" spans="1:28" x14ac:dyDescent="0.25">
      <c r="A7" s="12" t="s">
        <v>5</v>
      </c>
      <c r="AA7">
        <f t="shared" si="0"/>
        <v>0</v>
      </c>
      <c r="AB7">
        <f>(AA7/AA38)*100</f>
        <v>0</v>
      </c>
    </row>
    <row r="8" spans="1:28" x14ac:dyDescent="0.25">
      <c r="A8" s="12" t="s">
        <v>6</v>
      </c>
      <c r="AA8">
        <f t="shared" si="0"/>
        <v>0</v>
      </c>
      <c r="AB8">
        <f>(AA8/AA38)*100</f>
        <v>0</v>
      </c>
    </row>
    <row r="9" spans="1:28" x14ac:dyDescent="0.25">
      <c r="A9" s="12" t="s">
        <v>7</v>
      </c>
      <c r="AA9">
        <f t="shared" si="0"/>
        <v>0</v>
      </c>
      <c r="AB9">
        <f>(AA9/AA38)*100</f>
        <v>0</v>
      </c>
    </row>
    <row r="10" spans="1:28" x14ac:dyDescent="0.25">
      <c r="A10" s="12" t="s">
        <v>8</v>
      </c>
      <c r="AA10">
        <f t="shared" si="0"/>
        <v>0</v>
      </c>
      <c r="AB10">
        <f>(AA10/AA38)*100</f>
        <v>0</v>
      </c>
    </row>
    <row r="11" spans="1:28" x14ac:dyDescent="0.25">
      <c r="A11" s="12" t="s">
        <v>9</v>
      </c>
      <c r="AA11">
        <f t="shared" si="0"/>
        <v>0</v>
      </c>
      <c r="AB11">
        <f>(AA11/AA38)*100</f>
        <v>0</v>
      </c>
    </row>
    <row r="12" spans="1:28" x14ac:dyDescent="0.25">
      <c r="A12" s="12" t="s">
        <v>10</v>
      </c>
      <c r="AA12">
        <f t="shared" si="0"/>
        <v>0</v>
      </c>
      <c r="AB12">
        <f>(AA12/AA38)*100</f>
        <v>0</v>
      </c>
    </row>
    <row r="13" spans="1:28" x14ac:dyDescent="0.25">
      <c r="A13" s="12" t="s">
        <v>11</v>
      </c>
      <c r="AA13">
        <f t="shared" si="0"/>
        <v>0</v>
      </c>
      <c r="AB13">
        <f>(AA13/AA38)*100</f>
        <v>0</v>
      </c>
    </row>
    <row r="14" spans="1:28" x14ac:dyDescent="0.25">
      <c r="A14" s="12" t="s">
        <v>12</v>
      </c>
      <c r="AA14">
        <f t="shared" si="0"/>
        <v>0</v>
      </c>
      <c r="AB14">
        <f>(AA14/AA38)*100</f>
        <v>0</v>
      </c>
    </row>
    <row r="15" spans="1:28" x14ac:dyDescent="0.25">
      <c r="A15" s="12" t="s">
        <v>13</v>
      </c>
      <c r="AA15">
        <f t="shared" si="0"/>
        <v>0</v>
      </c>
      <c r="AB15">
        <f>(AA15/AA38)*100</f>
        <v>0</v>
      </c>
    </row>
    <row r="16" spans="1:28" x14ac:dyDescent="0.25">
      <c r="A16" s="12" t="s">
        <v>14</v>
      </c>
      <c r="AA16">
        <f t="shared" si="0"/>
        <v>0</v>
      </c>
      <c r="AB16">
        <f>(AA16/AA38)*100</f>
        <v>0</v>
      </c>
    </row>
    <row r="17" spans="1:28" x14ac:dyDescent="0.25">
      <c r="A17" s="12" t="s">
        <v>15</v>
      </c>
      <c r="AA17">
        <f t="shared" si="0"/>
        <v>0</v>
      </c>
      <c r="AB17">
        <f>(AA17/AA38)*100</f>
        <v>0</v>
      </c>
    </row>
    <row r="18" spans="1:28" x14ac:dyDescent="0.25">
      <c r="A18" s="12" t="s">
        <v>16</v>
      </c>
      <c r="AA18">
        <f t="shared" si="0"/>
        <v>0</v>
      </c>
      <c r="AB18">
        <f>(AA18/AA38)*100</f>
        <v>0</v>
      </c>
    </row>
    <row r="19" spans="1:28" x14ac:dyDescent="0.25">
      <c r="A19" s="12" t="s">
        <v>17</v>
      </c>
      <c r="AA19">
        <f t="shared" si="0"/>
        <v>0</v>
      </c>
      <c r="AB19">
        <f>(AA19/AA38)*100</f>
        <v>0</v>
      </c>
    </row>
    <row r="20" spans="1:28" x14ac:dyDescent="0.25">
      <c r="A20" s="12" t="s">
        <v>18</v>
      </c>
      <c r="AA20">
        <f t="shared" si="0"/>
        <v>0</v>
      </c>
      <c r="AB20">
        <f>(AA20/AA38)*100</f>
        <v>0</v>
      </c>
    </row>
    <row r="21" spans="1:28" x14ac:dyDescent="0.25">
      <c r="A21" s="12" t="s">
        <v>19</v>
      </c>
      <c r="AA21">
        <f t="shared" si="0"/>
        <v>0</v>
      </c>
      <c r="AB21">
        <f>(AA21/AA38)*100</f>
        <v>0</v>
      </c>
    </row>
    <row r="22" spans="1:28" x14ac:dyDescent="0.25">
      <c r="A22" s="12" t="s">
        <v>20</v>
      </c>
      <c r="AA22">
        <f t="shared" si="0"/>
        <v>0</v>
      </c>
      <c r="AB22">
        <f>(AA22/AA38)*100</f>
        <v>0</v>
      </c>
    </row>
    <row r="23" spans="1:28" x14ac:dyDescent="0.25">
      <c r="A23" s="12" t="s">
        <v>21</v>
      </c>
      <c r="AA23">
        <f t="shared" si="0"/>
        <v>0</v>
      </c>
      <c r="AB23">
        <f>(AA23/AA38)*100</f>
        <v>0</v>
      </c>
    </row>
    <row r="24" spans="1:28" x14ac:dyDescent="0.25">
      <c r="A24" s="12" t="s">
        <v>22</v>
      </c>
      <c r="C24">
        <v>1</v>
      </c>
      <c r="AA24">
        <f t="shared" si="0"/>
        <v>1</v>
      </c>
      <c r="AB24">
        <f>(AA24/AA38)*100</f>
        <v>1.9230769230769231</v>
      </c>
    </row>
    <row r="25" spans="1:28" x14ac:dyDescent="0.25">
      <c r="A25" s="12" t="s">
        <v>23</v>
      </c>
      <c r="AA25">
        <f t="shared" si="0"/>
        <v>0</v>
      </c>
      <c r="AB25">
        <f>(AA25/AA38)*100</f>
        <v>0</v>
      </c>
    </row>
    <row r="26" spans="1:28" x14ac:dyDescent="0.25">
      <c r="A26" s="12" t="s">
        <v>24</v>
      </c>
      <c r="AA26">
        <f t="shared" si="0"/>
        <v>0</v>
      </c>
      <c r="AB26">
        <f>(AA26/AA38)*100</f>
        <v>0</v>
      </c>
    </row>
    <row r="27" spans="1:28" x14ac:dyDescent="0.25">
      <c r="A27" s="12" t="s">
        <v>25</v>
      </c>
      <c r="AA27">
        <f t="shared" si="0"/>
        <v>0</v>
      </c>
      <c r="AB27">
        <f>(AA27/AA38)*100</f>
        <v>0</v>
      </c>
    </row>
    <row r="28" spans="1:28" x14ac:dyDescent="0.25">
      <c r="A28" s="12" t="s">
        <v>26</v>
      </c>
      <c r="AA28">
        <f t="shared" si="0"/>
        <v>0</v>
      </c>
      <c r="AB28">
        <f>(AA28/AA38)*100</f>
        <v>0</v>
      </c>
    </row>
    <row r="29" spans="1:28" x14ac:dyDescent="0.25">
      <c r="A29" s="12" t="s">
        <v>27</v>
      </c>
      <c r="B29">
        <v>7</v>
      </c>
      <c r="C29">
        <v>1</v>
      </c>
      <c r="D29">
        <v>2</v>
      </c>
      <c r="AA29">
        <f t="shared" si="0"/>
        <v>10</v>
      </c>
      <c r="AB29">
        <f>(AA29/AA38)*100</f>
        <v>19.230769230769234</v>
      </c>
    </row>
    <row r="30" spans="1:28" x14ac:dyDescent="0.25">
      <c r="A30" s="12" t="s">
        <v>28</v>
      </c>
      <c r="AA30">
        <f t="shared" si="0"/>
        <v>0</v>
      </c>
      <c r="AB30">
        <f>(AA30/AA38)*100</f>
        <v>0</v>
      </c>
    </row>
    <row r="31" spans="1:28" x14ac:dyDescent="0.25">
      <c r="A31" s="12" t="s">
        <v>29</v>
      </c>
      <c r="B31">
        <v>9</v>
      </c>
      <c r="C31">
        <v>3</v>
      </c>
      <c r="D31">
        <v>9</v>
      </c>
      <c r="AA31">
        <f t="shared" si="0"/>
        <v>21</v>
      </c>
      <c r="AB31">
        <f>(AA31/AA38)*100</f>
        <v>40.384615384615387</v>
      </c>
    </row>
    <row r="32" spans="1:28" x14ac:dyDescent="0.25">
      <c r="A32" s="12" t="s">
        <v>30</v>
      </c>
      <c r="AA32">
        <f t="shared" si="0"/>
        <v>0</v>
      </c>
      <c r="AB32">
        <f>(AA32/AA38)*100</f>
        <v>0</v>
      </c>
    </row>
    <row r="33" spans="1:28" x14ac:dyDescent="0.25">
      <c r="A33" s="12" t="s">
        <v>31</v>
      </c>
      <c r="AA33">
        <f t="shared" si="0"/>
        <v>0</v>
      </c>
      <c r="AB33">
        <f>(AA33/AA38)*100</f>
        <v>0</v>
      </c>
    </row>
    <row r="34" spans="1:28" x14ac:dyDescent="0.25">
      <c r="A34" s="12" t="s">
        <v>68</v>
      </c>
      <c r="AA34">
        <f t="shared" si="0"/>
        <v>0</v>
      </c>
      <c r="AB34">
        <f>(AA34/AA38)*100</f>
        <v>0</v>
      </c>
    </row>
    <row r="35" spans="1:28" x14ac:dyDescent="0.25">
      <c r="A35" s="12" t="s">
        <v>32</v>
      </c>
      <c r="AA35">
        <f t="shared" si="0"/>
        <v>0</v>
      </c>
      <c r="AB35">
        <f>(AA35/AA38)*100</f>
        <v>0</v>
      </c>
    </row>
    <row r="36" spans="1:28" x14ac:dyDescent="0.25">
      <c r="A36" s="12" t="s">
        <v>33</v>
      </c>
      <c r="AA36">
        <f t="shared" si="0"/>
        <v>0</v>
      </c>
      <c r="AB36">
        <f>(AA36/AA38)*100</f>
        <v>0</v>
      </c>
    </row>
    <row r="37" spans="1:28" x14ac:dyDescent="0.25">
      <c r="A37" s="12" t="s">
        <v>34</v>
      </c>
      <c r="AA37">
        <f t="shared" si="0"/>
        <v>0</v>
      </c>
      <c r="AB37">
        <f>(AA37/AA38)*100</f>
        <v>0</v>
      </c>
    </row>
    <row r="38" spans="1:28" s="19" customFormat="1" ht="12.75" x14ac:dyDescent="0.2">
      <c r="A38" s="19" t="s">
        <v>71</v>
      </c>
      <c r="B38" s="22">
        <f t="shared" ref="B38:Z38" si="1">SUM(B3:B37)</f>
        <v>18</v>
      </c>
      <c r="C38" s="22">
        <f t="shared" si="1"/>
        <v>10</v>
      </c>
      <c r="D38" s="22">
        <f t="shared" si="1"/>
        <v>24</v>
      </c>
      <c r="E38" s="22">
        <f t="shared" si="1"/>
        <v>0</v>
      </c>
      <c r="F38" s="22">
        <f t="shared" si="1"/>
        <v>0</v>
      </c>
      <c r="G38" s="22">
        <f t="shared" si="1"/>
        <v>0</v>
      </c>
      <c r="H38" s="22">
        <f t="shared" si="1"/>
        <v>0</v>
      </c>
      <c r="I38" s="22">
        <f t="shared" si="1"/>
        <v>0</v>
      </c>
      <c r="J38" s="22">
        <f t="shared" si="1"/>
        <v>0</v>
      </c>
      <c r="K38" s="22">
        <f t="shared" si="1"/>
        <v>0</v>
      </c>
      <c r="L38" s="22">
        <f t="shared" si="1"/>
        <v>0</v>
      </c>
      <c r="M38" s="22">
        <f t="shared" si="1"/>
        <v>0</v>
      </c>
      <c r="N38" s="22">
        <f t="shared" si="1"/>
        <v>0</v>
      </c>
      <c r="O38" s="22">
        <f t="shared" si="1"/>
        <v>0</v>
      </c>
      <c r="P38" s="22">
        <f t="shared" si="1"/>
        <v>0</v>
      </c>
      <c r="Q38" s="22">
        <f t="shared" si="1"/>
        <v>0</v>
      </c>
      <c r="R38" s="22">
        <f t="shared" si="1"/>
        <v>0</v>
      </c>
      <c r="S38" s="22">
        <f t="shared" si="1"/>
        <v>0</v>
      </c>
      <c r="T38" s="22">
        <f t="shared" si="1"/>
        <v>0</v>
      </c>
      <c r="U38" s="22">
        <f t="shared" si="1"/>
        <v>0</v>
      </c>
      <c r="V38" s="22">
        <f t="shared" si="1"/>
        <v>0</v>
      </c>
      <c r="W38" s="22">
        <f t="shared" si="1"/>
        <v>0</v>
      </c>
      <c r="X38" s="22">
        <f t="shared" si="1"/>
        <v>0</v>
      </c>
      <c r="Y38" s="22">
        <f t="shared" si="1"/>
        <v>0</v>
      </c>
      <c r="Z38" s="22">
        <f t="shared" si="1"/>
        <v>0</v>
      </c>
      <c r="AA38" s="22">
        <f>SUM(AA3:AA37)</f>
        <v>52</v>
      </c>
      <c r="AB38" s="21">
        <f>SUM(AB3:AB37)</f>
        <v>100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topLeftCell="A19" workbookViewId="0"/>
  </sheetViews>
  <sheetFormatPr defaultRowHeight="15" x14ac:dyDescent="0.25"/>
  <cols>
    <col min="1" max="1" width="23.42578125" bestFit="1" customWidth="1"/>
  </cols>
  <sheetData>
    <row r="1" spans="1:28" x14ac:dyDescent="0.25">
      <c r="A1" s="19" t="s">
        <v>98</v>
      </c>
      <c r="B1" s="22">
        <v>1</v>
      </c>
      <c r="C1" s="22">
        <v>2</v>
      </c>
      <c r="D1" s="22">
        <v>3</v>
      </c>
      <c r="E1" s="22">
        <v>4</v>
      </c>
      <c r="F1" s="22">
        <v>5</v>
      </c>
      <c r="G1" s="22">
        <v>6</v>
      </c>
      <c r="H1" s="22">
        <v>7</v>
      </c>
      <c r="I1" s="22">
        <v>8</v>
      </c>
      <c r="J1" s="22">
        <v>9</v>
      </c>
      <c r="K1" s="22">
        <v>10</v>
      </c>
      <c r="L1" s="22">
        <v>11</v>
      </c>
      <c r="M1" s="22">
        <v>12</v>
      </c>
      <c r="N1" s="22">
        <v>13</v>
      </c>
      <c r="O1" s="22">
        <v>14</v>
      </c>
      <c r="P1" s="22">
        <v>15</v>
      </c>
      <c r="Q1" s="22">
        <v>16</v>
      </c>
      <c r="R1" s="22">
        <v>17</v>
      </c>
      <c r="S1" s="22">
        <v>18</v>
      </c>
      <c r="T1" s="22">
        <v>19</v>
      </c>
      <c r="U1" s="22">
        <v>20</v>
      </c>
      <c r="V1" s="22">
        <v>21</v>
      </c>
      <c r="W1" s="22">
        <v>22</v>
      </c>
      <c r="X1" s="22">
        <v>23</v>
      </c>
      <c r="Y1" s="22">
        <v>24</v>
      </c>
      <c r="Z1" s="83">
        <v>25</v>
      </c>
    </row>
    <row r="2" spans="1:28" s="43" customFormat="1" ht="12.75" x14ac:dyDescent="0.2">
      <c r="A2" s="47" t="s">
        <v>97</v>
      </c>
      <c r="B2" s="23" t="s">
        <v>513</v>
      </c>
      <c r="C2" s="23" t="s">
        <v>514</v>
      </c>
      <c r="D2" s="23" t="s">
        <v>515</v>
      </c>
      <c r="E2" s="23" t="s">
        <v>516</v>
      </c>
      <c r="F2" s="23" t="s">
        <v>517</v>
      </c>
      <c r="G2" s="23" t="s">
        <v>518</v>
      </c>
      <c r="H2" s="23" t="s">
        <v>519</v>
      </c>
      <c r="I2" s="23" t="s">
        <v>520</v>
      </c>
      <c r="J2" s="23" t="s">
        <v>521</v>
      </c>
      <c r="K2" s="23" t="s">
        <v>175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 t="s">
        <v>73</v>
      </c>
      <c r="AB2" s="23" t="s">
        <v>72</v>
      </c>
    </row>
    <row r="3" spans="1:28" x14ac:dyDescent="0.25">
      <c r="A3" s="12" t="s">
        <v>1</v>
      </c>
      <c r="AA3">
        <f t="shared" ref="AA3:AA37" si="0">SUM(B3:Z3)</f>
        <v>0</v>
      </c>
      <c r="AB3">
        <f>(AA3/AA38)*100</f>
        <v>0</v>
      </c>
    </row>
    <row r="4" spans="1:28" x14ac:dyDescent="0.25">
      <c r="A4" s="12" t="s">
        <v>2</v>
      </c>
      <c r="B4">
        <v>43</v>
      </c>
      <c r="C4">
        <v>22</v>
      </c>
      <c r="D4">
        <v>31</v>
      </c>
      <c r="E4">
        <v>19</v>
      </c>
      <c r="F4">
        <v>7</v>
      </c>
      <c r="G4">
        <v>23</v>
      </c>
      <c r="H4">
        <v>39</v>
      </c>
      <c r="I4">
        <v>16</v>
      </c>
      <c r="J4">
        <v>34</v>
      </c>
      <c r="K4">
        <v>22</v>
      </c>
      <c r="AA4">
        <f t="shared" si="0"/>
        <v>256</v>
      </c>
      <c r="AB4">
        <f>(AA4/AA38)*100</f>
        <v>48.030018761726076</v>
      </c>
    </row>
    <row r="5" spans="1:28" x14ac:dyDescent="0.25">
      <c r="A5" s="12" t="s">
        <v>3</v>
      </c>
      <c r="F5">
        <v>2</v>
      </c>
      <c r="AA5">
        <f t="shared" si="0"/>
        <v>2</v>
      </c>
      <c r="AB5">
        <f>(AA5/AA38)*100</f>
        <v>0.37523452157598497</v>
      </c>
    </row>
    <row r="6" spans="1:28" x14ac:dyDescent="0.25">
      <c r="A6" s="12" t="s">
        <v>4</v>
      </c>
      <c r="AA6">
        <f t="shared" si="0"/>
        <v>0</v>
      </c>
      <c r="AB6">
        <f>(AA6/AA38)*100</f>
        <v>0</v>
      </c>
    </row>
    <row r="7" spans="1:28" x14ac:dyDescent="0.25">
      <c r="A7" s="12" t="s">
        <v>5</v>
      </c>
      <c r="F7">
        <v>4</v>
      </c>
      <c r="G7">
        <v>2</v>
      </c>
      <c r="AA7">
        <f t="shared" si="0"/>
        <v>6</v>
      </c>
      <c r="AB7">
        <f>(AA7/AA38)*100</f>
        <v>1.125703564727955</v>
      </c>
    </row>
    <row r="8" spans="1:28" x14ac:dyDescent="0.25">
      <c r="A8" s="12" t="s">
        <v>6</v>
      </c>
      <c r="B8">
        <v>4</v>
      </c>
      <c r="E8">
        <v>2</v>
      </c>
      <c r="G8">
        <v>3</v>
      </c>
      <c r="H8">
        <v>3</v>
      </c>
      <c r="J8">
        <v>3</v>
      </c>
      <c r="K8">
        <v>2</v>
      </c>
      <c r="AA8">
        <f t="shared" si="0"/>
        <v>17</v>
      </c>
      <c r="AB8">
        <f>(AA8/AA38)*100</f>
        <v>3.1894934333958722</v>
      </c>
    </row>
    <row r="9" spans="1:28" x14ac:dyDescent="0.25">
      <c r="A9" s="12" t="s">
        <v>7</v>
      </c>
      <c r="AA9">
        <f t="shared" si="0"/>
        <v>0</v>
      </c>
      <c r="AB9">
        <f>(AA9/AA38)*100</f>
        <v>0</v>
      </c>
    </row>
    <row r="10" spans="1:28" x14ac:dyDescent="0.25">
      <c r="A10" s="12" t="s">
        <v>8</v>
      </c>
      <c r="J10">
        <v>1</v>
      </c>
      <c r="AA10">
        <f t="shared" si="0"/>
        <v>1</v>
      </c>
      <c r="AB10">
        <f>(AA10/AA38)*100</f>
        <v>0.18761726078799248</v>
      </c>
    </row>
    <row r="11" spans="1:28" x14ac:dyDescent="0.25">
      <c r="A11" s="12" t="s">
        <v>9</v>
      </c>
      <c r="AA11">
        <f t="shared" si="0"/>
        <v>0</v>
      </c>
      <c r="AB11">
        <f>(AA11/AA38)*100</f>
        <v>0</v>
      </c>
    </row>
    <row r="12" spans="1:28" x14ac:dyDescent="0.25">
      <c r="A12" s="12" t="s">
        <v>10</v>
      </c>
      <c r="AA12">
        <f t="shared" si="0"/>
        <v>0</v>
      </c>
      <c r="AB12">
        <f>(AA12/AA38)*100</f>
        <v>0</v>
      </c>
    </row>
    <row r="13" spans="1:28" x14ac:dyDescent="0.25">
      <c r="A13" s="12" t="s">
        <v>11</v>
      </c>
      <c r="AA13">
        <f t="shared" si="0"/>
        <v>0</v>
      </c>
      <c r="AB13">
        <f>(AA13/AA38)*100</f>
        <v>0</v>
      </c>
    </row>
    <row r="14" spans="1:28" x14ac:dyDescent="0.25">
      <c r="A14" s="12" t="s">
        <v>12</v>
      </c>
      <c r="AA14">
        <f t="shared" si="0"/>
        <v>0</v>
      </c>
      <c r="AB14">
        <f>(AA14/AA38)*100</f>
        <v>0</v>
      </c>
    </row>
    <row r="15" spans="1:28" x14ac:dyDescent="0.25">
      <c r="A15" s="12" t="s">
        <v>13</v>
      </c>
      <c r="AA15">
        <f t="shared" si="0"/>
        <v>0</v>
      </c>
      <c r="AB15">
        <f>(AA15/AA38)*100</f>
        <v>0</v>
      </c>
    </row>
    <row r="16" spans="1:28" x14ac:dyDescent="0.25">
      <c r="A16" s="12" t="s">
        <v>14</v>
      </c>
      <c r="AA16">
        <f t="shared" si="0"/>
        <v>0</v>
      </c>
      <c r="AB16">
        <f>(AA16/AA38)*100</f>
        <v>0</v>
      </c>
    </row>
    <row r="17" spans="1:28" x14ac:dyDescent="0.25">
      <c r="A17" s="12" t="s">
        <v>15</v>
      </c>
      <c r="B17">
        <v>3</v>
      </c>
      <c r="C17">
        <v>3</v>
      </c>
      <c r="E17">
        <v>2</v>
      </c>
      <c r="G17">
        <v>1</v>
      </c>
      <c r="H17">
        <v>2</v>
      </c>
      <c r="I17">
        <v>1</v>
      </c>
      <c r="J17">
        <v>3</v>
      </c>
      <c r="K17">
        <v>2</v>
      </c>
      <c r="AA17">
        <f t="shared" si="0"/>
        <v>17</v>
      </c>
      <c r="AB17">
        <f>(AA17/AA38)*100</f>
        <v>3.1894934333958722</v>
      </c>
    </row>
    <row r="18" spans="1:28" x14ac:dyDescent="0.25">
      <c r="A18" s="12" t="s">
        <v>16</v>
      </c>
      <c r="AA18">
        <f t="shared" si="0"/>
        <v>0</v>
      </c>
      <c r="AB18">
        <f>(AA18/AA38)*100</f>
        <v>0</v>
      </c>
    </row>
    <row r="19" spans="1:28" x14ac:dyDescent="0.25">
      <c r="A19" s="12" t="s">
        <v>17</v>
      </c>
      <c r="B19">
        <v>1</v>
      </c>
      <c r="C19">
        <v>4</v>
      </c>
      <c r="D19">
        <v>2</v>
      </c>
      <c r="E19">
        <v>4</v>
      </c>
      <c r="F19">
        <v>2</v>
      </c>
      <c r="G19">
        <v>6</v>
      </c>
      <c r="H19">
        <v>4</v>
      </c>
      <c r="I19">
        <v>4</v>
      </c>
      <c r="J19">
        <v>7</v>
      </c>
      <c r="K19">
        <v>8</v>
      </c>
      <c r="AA19">
        <f t="shared" si="0"/>
        <v>42</v>
      </c>
      <c r="AB19">
        <f>(AA19/AA38)*100</f>
        <v>7.879924953095685</v>
      </c>
    </row>
    <row r="20" spans="1:28" x14ac:dyDescent="0.25">
      <c r="A20" s="12" t="s">
        <v>18</v>
      </c>
      <c r="C20">
        <v>1</v>
      </c>
      <c r="D20">
        <v>1</v>
      </c>
      <c r="F20">
        <v>1</v>
      </c>
      <c r="J20">
        <v>3</v>
      </c>
      <c r="AA20">
        <f t="shared" si="0"/>
        <v>6</v>
      </c>
      <c r="AB20">
        <f>(AA20/AA38)*100</f>
        <v>1.125703564727955</v>
      </c>
    </row>
    <row r="21" spans="1:28" x14ac:dyDescent="0.25">
      <c r="A21" s="12" t="s">
        <v>19</v>
      </c>
      <c r="AA21">
        <f t="shared" si="0"/>
        <v>0</v>
      </c>
      <c r="AB21">
        <f>(AA21/AA38)*100</f>
        <v>0</v>
      </c>
    </row>
    <row r="22" spans="1:28" x14ac:dyDescent="0.25">
      <c r="A22" s="12" t="s">
        <v>20</v>
      </c>
      <c r="AA22">
        <f t="shared" si="0"/>
        <v>0</v>
      </c>
      <c r="AB22">
        <f>(AA22/AA38)*100</f>
        <v>0</v>
      </c>
    </row>
    <row r="23" spans="1:28" x14ac:dyDescent="0.25">
      <c r="A23" s="12" t="s">
        <v>21</v>
      </c>
      <c r="B23">
        <v>3</v>
      </c>
      <c r="D23">
        <v>3</v>
      </c>
      <c r="F23">
        <v>2</v>
      </c>
      <c r="G23">
        <v>1</v>
      </c>
      <c r="H23">
        <v>2</v>
      </c>
      <c r="J23">
        <v>2</v>
      </c>
      <c r="AA23">
        <f t="shared" si="0"/>
        <v>13</v>
      </c>
      <c r="AB23">
        <f>(AA23/AA38)*100</f>
        <v>2.4390243902439024</v>
      </c>
    </row>
    <row r="24" spans="1:28" x14ac:dyDescent="0.25">
      <c r="A24" s="12" t="s">
        <v>22</v>
      </c>
      <c r="AA24">
        <f t="shared" si="0"/>
        <v>0</v>
      </c>
      <c r="AB24">
        <f>(AA24/AA38)*100</f>
        <v>0</v>
      </c>
    </row>
    <row r="25" spans="1:28" x14ac:dyDescent="0.25">
      <c r="A25" s="12" t="s">
        <v>23</v>
      </c>
      <c r="AA25">
        <f t="shared" si="0"/>
        <v>0</v>
      </c>
      <c r="AB25">
        <f>(AA25/AA38)*100</f>
        <v>0</v>
      </c>
    </row>
    <row r="26" spans="1:28" x14ac:dyDescent="0.25">
      <c r="A26" s="12" t="s">
        <v>24</v>
      </c>
      <c r="K26">
        <v>1</v>
      </c>
      <c r="AA26">
        <f t="shared" si="0"/>
        <v>1</v>
      </c>
      <c r="AB26">
        <f>(AA26/AA38)*100</f>
        <v>0.18761726078799248</v>
      </c>
    </row>
    <row r="27" spans="1:28" x14ac:dyDescent="0.25">
      <c r="A27" s="12" t="s">
        <v>25</v>
      </c>
      <c r="AA27">
        <f t="shared" si="0"/>
        <v>0</v>
      </c>
      <c r="AB27">
        <f>(AA27/AA38)*100</f>
        <v>0</v>
      </c>
    </row>
    <row r="28" spans="1:28" x14ac:dyDescent="0.25">
      <c r="A28" s="12" t="s">
        <v>26</v>
      </c>
      <c r="AA28">
        <f t="shared" si="0"/>
        <v>0</v>
      </c>
      <c r="AB28">
        <f>(AA28/AA38)*100</f>
        <v>0</v>
      </c>
    </row>
    <row r="29" spans="1:28" x14ac:dyDescent="0.25">
      <c r="A29" s="12" t="s">
        <v>27</v>
      </c>
      <c r="C29">
        <v>3</v>
      </c>
      <c r="E29">
        <v>4</v>
      </c>
      <c r="H29">
        <v>2</v>
      </c>
      <c r="J29">
        <v>3</v>
      </c>
      <c r="K29">
        <v>2</v>
      </c>
      <c r="AA29">
        <f t="shared" si="0"/>
        <v>14</v>
      </c>
      <c r="AB29">
        <f>(AA29/AA38)*100</f>
        <v>2.6266416510318953</v>
      </c>
    </row>
    <row r="30" spans="1:28" x14ac:dyDescent="0.25">
      <c r="A30" s="12" t="s">
        <v>28</v>
      </c>
      <c r="AA30">
        <f t="shared" si="0"/>
        <v>0</v>
      </c>
      <c r="AB30">
        <f>(AA30/AA38)*100</f>
        <v>0</v>
      </c>
    </row>
    <row r="31" spans="1:28" ht="16.5" customHeight="1" x14ac:dyDescent="0.25">
      <c r="A31" s="12" t="s">
        <v>29</v>
      </c>
      <c r="B31">
        <v>16</v>
      </c>
      <c r="C31">
        <v>13</v>
      </c>
      <c r="D31">
        <v>14</v>
      </c>
      <c r="E31">
        <v>20</v>
      </c>
      <c r="F31">
        <v>21</v>
      </c>
      <c r="G31">
        <v>24</v>
      </c>
      <c r="H31">
        <v>15</v>
      </c>
      <c r="I31">
        <v>4</v>
      </c>
      <c r="J31">
        <v>14</v>
      </c>
      <c r="K31">
        <v>10</v>
      </c>
      <c r="AA31">
        <f t="shared" si="0"/>
        <v>151</v>
      </c>
      <c r="AB31">
        <f>(AA31/AA38)*100</f>
        <v>28.330206378986865</v>
      </c>
    </row>
    <row r="32" spans="1:28" x14ac:dyDescent="0.25">
      <c r="A32" s="12" t="s">
        <v>30</v>
      </c>
      <c r="B32">
        <v>2</v>
      </c>
      <c r="E32">
        <v>1</v>
      </c>
      <c r="F32">
        <v>1</v>
      </c>
      <c r="H32">
        <v>2</v>
      </c>
      <c r="AA32">
        <f t="shared" si="0"/>
        <v>6</v>
      </c>
      <c r="AB32">
        <f>(AA32/AA38)*100</f>
        <v>1.125703564727955</v>
      </c>
    </row>
    <row r="33" spans="1:28" x14ac:dyDescent="0.25">
      <c r="A33" s="12" t="s">
        <v>31</v>
      </c>
      <c r="D33">
        <v>1</v>
      </c>
      <c r="AA33">
        <f t="shared" si="0"/>
        <v>1</v>
      </c>
      <c r="AB33">
        <f>(AA33/AA38)*100</f>
        <v>0.18761726078799248</v>
      </c>
    </row>
    <row r="34" spans="1:28" x14ac:dyDescent="0.25">
      <c r="A34" s="12" t="s">
        <v>68</v>
      </c>
      <c r="AA34">
        <f t="shared" si="0"/>
        <v>0</v>
      </c>
      <c r="AB34">
        <f>(AA34/AA38)*100</f>
        <v>0</v>
      </c>
    </row>
    <row r="35" spans="1:28" x14ac:dyDescent="0.25">
      <c r="A35" s="12" t="s">
        <v>32</v>
      </c>
      <c r="AA35">
        <f t="shared" si="0"/>
        <v>0</v>
      </c>
      <c r="AB35">
        <f>(AA35/AA38)*100</f>
        <v>0</v>
      </c>
    </row>
    <row r="36" spans="1:28" x14ac:dyDescent="0.25">
      <c r="A36" s="12" t="s">
        <v>33</v>
      </c>
      <c r="AA36">
        <f t="shared" si="0"/>
        <v>0</v>
      </c>
      <c r="AB36">
        <f>(AA36/AA38)*100</f>
        <v>0</v>
      </c>
    </row>
    <row r="37" spans="1:28" x14ac:dyDescent="0.25">
      <c r="A37" s="12" t="s">
        <v>34</v>
      </c>
      <c r="AA37">
        <f t="shared" si="0"/>
        <v>0</v>
      </c>
      <c r="AB37">
        <f>(AA37/AA38)*100</f>
        <v>0</v>
      </c>
    </row>
    <row r="38" spans="1:28" s="19" customFormat="1" ht="12.75" x14ac:dyDescent="0.2">
      <c r="A38" s="19" t="s">
        <v>71</v>
      </c>
      <c r="B38" s="22">
        <f t="shared" ref="B38:AB38" si="1">SUM(B3:B37)</f>
        <v>72</v>
      </c>
      <c r="C38" s="22">
        <f t="shared" si="1"/>
        <v>46</v>
      </c>
      <c r="D38" s="22">
        <f t="shared" si="1"/>
        <v>52</v>
      </c>
      <c r="E38" s="22">
        <f t="shared" si="1"/>
        <v>52</v>
      </c>
      <c r="F38" s="22">
        <f t="shared" si="1"/>
        <v>40</v>
      </c>
      <c r="G38" s="22">
        <f t="shared" si="1"/>
        <v>60</v>
      </c>
      <c r="H38" s="22">
        <f t="shared" si="1"/>
        <v>69</v>
      </c>
      <c r="I38" s="22">
        <f t="shared" si="1"/>
        <v>25</v>
      </c>
      <c r="J38" s="22">
        <f t="shared" si="1"/>
        <v>70</v>
      </c>
      <c r="K38" s="22">
        <f t="shared" si="1"/>
        <v>47</v>
      </c>
      <c r="L38" s="22">
        <f t="shared" si="1"/>
        <v>0</v>
      </c>
      <c r="M38" s="22">
        <f t="shared" si="1"/>
        <v>0</v>
      </c>
      <c r="N38" s="22">
        <f t="shared" si="1"/>
        <v>0</v>
      </c>
      <c r="O38" s="22">
        <f t="shared" si="1"/>
        <v>0</v>
      </c>
      <c r="P38" s="22">
        <f t="shared" si="1"/>
        <v>0</v>
      </c>
      <c r="Q38" s="22">
        <f t="shared" si="1"/>
        <v>0</v>
      </c>
      <c r="R38" s="22">
        <f t="shared" si="1"/>
        <v>0</v>
      </c>
      <c r="S38" s="22">
        <f t="shared" si="1"/>
        <v>0</v>
      </c>
      <c r="T38" s="22">
        <f t="shared" si="1"/>
        <v>0</v>
      </c>
      <c r="U38" s="22">
        <f t="shared" si="1"/>
        <v>0</v>
      </c>
      <c r="V38" s="22">
        <f t="shared" si="1"/>
        <v>0</v>
      </c>
      <c r="W38" s="22">
        <f t="shared" si="1"/>
        <v>0</v>
      </c>
      <c r="X38" s="22">
        <f t="shared" si="1"/>
        <v>0</v>
      </c>
      <c r="Y38" s="22">
        <f t="shared" si="1"/>
        <v>0</v>
      </c>
      <c r="Z38" s="22">
        <f t="shared" si="1"/>
        <v>0</v>
      </c>
      <c r="AA38" s="22">
        <f t="shared" si="1"/>
        <v>533</v>
      </c>
      <c r="AB38" s="21">
        <f t="shared" si="1"/>
        <v>100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9"/>
  <sheetViews>
    <sheetView workbookViewId="0">
      <selection activeCell="J43" sqref="J43"/>
    </sheetView>
  </sheetViews>
  <sheetFormatPr defaultColWidth="12.5703125" defaultRowHeight="12.75" x14ac:dyDescent="0.2"/>
  <cols>
    <col min="1" max="1" width="15.140625" style="59" customWidth="1"/>
    <col min="2" max="256" width="12.5703125" style="59"/>
    <col min="257" max="257" width="15.140625" style="59" customWidth="1"/>
    <col min="258" max="512" width="12.5703125" style="59"/>
    <col min="513" max="513" width="15.140625" style="59" customWidth="1"/>
    <col min="514" max="768" width="12.5703125" style="59"/>
    <col min="769" max="769" width="15.140625" style="59" customWidth="1"/>
    <col min="770" max="1024" width="12.5703125" style="59"/>
    <col min="1025" max="1025" width="15.140625" style="59" customWidth="1"/>
    <col min="1026" max="1280" width="12.5703125" style="59"/>
    <col min="1281" max="1281" width="15.140625" style="59" customWidth="1"/>
    <col min="1282" max="1536" width="12.5703125" style="59"/>
    <col min="1537" max="1537" width="15.140625" style="59" customWidth="1"/>
    <col min="1538" max="1792" width="12.5703125" style="59"/>
    <col min="1793" max="1793" width="15.140625" style="59" customWidth="1"/>
    <col min="1794" max="2048" width="12.5703125" style="59"/>
    <col min="2049" max="2049" width="15.140625" style="59" customWidth="1"/>
    <col min="2050" max="2304" width="12.5703125" style="59"/>
    <col min="2305" max="2305" width="15.140625" style="59" customWidth="1"/>
    <col min="2306" max="2560" width="12.5703125" style="59"/>
    <col min="2561" max="2561" width="15.140625" style="59" customWidth="1"/>
    <col min="2562" max="2816" width="12.5703125" style="59"/>
    <col min="2817" max="2817" width="15.140625" style="59" customWidth="1"/>
    <col min="2818" max="3072" width="12.5703125" style="59"/>
    <col min="3073" max="3073" width="15.140625" style="59" customWidth="1"/>
    <col min="3074" max="3328" width="12.5703125" style="59"/>
    <col min="3329" max="3329" width="15.140625" style="59" customWidth="1"/>
    <col min="3330" max="3584" width="12.5703125" style="59"/>
    <col min="3585" max="3585" width="15.140625" style="59" customWidth="1"/>
    <col min="3586" max="3840" width="12.5703125" style="59"/>
    <col min="3841" max="3841" width="15.140625" style="59" customWidth="1"/>
    <col min="3842" max="4096" width="12.5703125" style="59"/>
    <col min="4097" max="4097" width="15.140625" style="59" customWidth="1"/>
    <col min="4098" max="4352" width="12.5703125" style="59"/>
    <col min="4353" max="4353" width="15.140625" style="59" customWidth="1"/>
    <col min="4354" max="4608" width="12.5703125" style="59"/>
    <col min="4609" max="4609" width="15.140625" style="59" customWidth="1"/>
    <col min="4610" max="4864" width="12.5703125" style="59"/>
    <col min="4865" max="4865" width="15.140625" style="59" customWidth="1"/>
    <col min="4866" max="5120" width="12.5703125" style="59"/>
    <col min="5121" max="5121" width="15.140625" style="59" customWidth="1"/>
    <col min="5122" max="5376" width="12.5703125" style="59"/>
    <col min="5377" max="5377" width="15.140625" style="59" customWidth="1"/>
    <col min="5378" max="5632" width="12.5703125" style="59"/>
    <col min="5633" max="5633" width="15.140625" style="59" customWidth="1"/>
    <col min="5634" max="5888" width="12.5703125" style="59"/>
    <col min="5889" max="5889" width="15.140625" style="59" customWidth="1"/>
    <col min="5890" max="6144" width="12.5703125" style="59"/>
    <col min="6145" max="6145" width="15.140625" style="59" customWidth="1"/>
    <col min="6146" max="6400" width="12.5703125" style="59"/>
    <col min="6401" max="6401" width="15.140625" style="59" customWidth="1"/>
    <col min="6402" max="6656" width="12.5703125" style="59"/>
    <col min="6657" max="6657" width="15.140625" style="59" customWidth="1"/>
    <col min="6658" max="6912" width="12.5703125" style="59"/>
    <col min="6913" max="6913" width="15.140625" style="59" customWidth="1"/>
    <col min="6914" max="7168" width="12.5703125" style="59"/>
    <col min="7169" max="7169" width="15.140625" style="59" customWidth="1"/>
    <col min="7170" max="7424" width="12.5703125" style="59"/>
    <col min="7425" max="7425" width="15.140625" style="59" customWidth="1"/>
    <col min="7426" max="7680" width="12.5703125" style="59"/>
    <col min="7681" max="7681" width="15.140625" style="59" customWidth="1"/>
    <col min="7682" max="7936" width="12.5703125" style="59"/>
    <col min="7937" max="7937" width="15.140625" style="59" customWidth="1"/>
    <col min="7938" max="8192" width="12.5703125" style="59"/>
    <col min="8193" max="8193" width="15.140625" style="59" customWidth="1"/>
    <col min="8194" max="8448" width="12.5703125" style="59"/>
    <col min="8449" max="8449" width="15.140625" style="59" customWidth="1"/>
    <col min="8450" max="8704" width="12.5703125" style="59"/>
    <col min="8705" max="8705" width="15.140625" style="59" customWidth="1"/>
    <col min="8706" max="8960" width="12.5703125" style="59"/>
    <col min="8961" max="8961" width="15.140625" style="59" customWidth="1"/>
    <col min="8962" max="9216" width="12.5703125" style="59"/>
    <col min="9217" max="9217" width="15.140625" style="59" customWidth="1"/>
    <col min="9218" max="9472" width="12.5703125" style="59"/>
    <col min="9473" max="9473" width="15.140625" style="59" customWidth="1"/>
    <col min="9474" max="9728" width="12.5703125" style="59"/>
    <col min="9729" max="9729" width="15.140625" style="59" customWidth="1"/>
    <col min="9730" max="9984" width="12.5703125" style="59"/>
    <col min="9985" max="9985" width="15.140625" style="59" customWidth="1"/>
    <col min="9986" max="10240" width="12.5703125" style="59"/>
    <col min="10241" max="10241" width="15.140625" style="59" customWidth="1"/>
    <col min="10242" max="10496" width="12.5703125" style="59"/>
    <col min="10497" max="10497" width="15.140625" style="59" customWidth="1"/>
    <col min="10498" max="10752" width="12.5703125" style="59"/>
    <col min="10753" max="10753" width="15.140625" style="59" customWidth="1"/>
    <col min="10754" max="11008" width="12.5703125" style="59"/>
    <col min="11009" max="11009" width="15.140625" style="59" customWidth="1"/>
    <col min="11010" max="11264" width="12.5703125" style="59"/>
    <col min="11265" max="11265" width="15.140625" style="59" customWidth="1"/>
    <col min="11266" max="11520" width="12.5703125" style="59"/>
    <col min="11521" max="11521" width="15.140625" style="59" customWidth="1"/>
    <col min="11522" max="11776" width="12.5703125" style="59"/>
    <col min="11777" max="11777" width="15.140625" style="59" customWidth="1"/>
    <col min="11778" max="12032" width="12.5703125" style="59"/>
    <col min="12033" max="12033" width="15.140625" style="59" customWidth="1"/>
    <col min="12034" max="12288" width="12.5703125" style="59"/>
    <col min="12289" max="12289" width="15.140625" style="59" customWidth="1"/>
    <col min="12290" max="12544" width="12.5703125" style="59"/>
    <col min="12545" max="12545" width="15.140625" style="59" customWidth="1"/>
    <col min="12546" max="12800" width="12.5703125" style="59"/>
    <col min="12801" max="12801" width="15.140625" style="59" customWidth="1"/>
    <col min="12802" max="13056" width="12.5703125" style="59"/>
    <col min="13057" max="13057" width="15.140625" style="59" customWidth="1"/>
    <col min="13058" max="13312" width="12.5703125" style="59"/>
    <col min="13313" max="13313" width="15.140625" style="59" customWidth="1"/>
    <col min="13314" max="13568" width="12.5703125" style="59"/>
    <col min="13569" max="13569" width="15.140625" style="59" customWidth="1"/>
    <col min="13570" max="13824" width="12.5703125" style="59"/>
    <col min="13825" max="13825" width="15.140625" style="59" customWidth="1"/>
    <col min="13826" max="14080" width="12.5703125" style="59"/>
    <col min="14081" max="14081" width="15.140625" style="59" customWidth="1"/>
    <col min="14082" max="14336" width="12.5703125" style="59"/>
    <col min="14337" max="14337" width="15.140625" style="59" customWidth="1"/>
    <col min="14338" max="14592" width="12.5703125" style="59"/>
    <col min="14593" max="14593" width="15.140625" style="59" customWidth="1"/>
    <col min="14594" max="14848" width="12.5703125" style="59"/>
    <col min="14849" max="14849" width="15.140625" style="59" customWidth="1"/>
    <col min="14850" max="15104" width="12.5703125" style="59"/>
    <col min="15105" max="15105" width="15.140625" style="59" customWidth="1"/>
    <col min="15106" max="15360" width="12.5703125" style="59"/>
    <col min="15361" max="15361" width="15.140625" style="59" customWidth="1"/>
    <col min="15362" max="15616" width="12.5703125" style="59"/>
    <col min="15617" max="15617" width="15.140625" style="59" customWidth="1"/>
    <col min="15618" max="15872" width="12.5703125" style="59"/>
    <col min="15873" max="15873" width="15.140625" style="59" customWidth="1"/>
    <col min="15874" max="16128" width="12.5703125" style="59"/>
    <col min="16129" max="16129" width="15.140625" style="59" customWidth="1"/>
    <col min="16130" max="16384" width="12.5703125" style="59"/>
  </cols>
  <sheetData>
    <row r="1" spans="1:11" x14ac:dyDescent="0.2">
      <c r="B1" s="60" t="s">
        <v>296</v>
      </c>
      <c r="C1" s="60" t="s">
        <v>296</v>
      </c>
      <c r="D1" s="60" t="s">
        <v>296</v>
      </c>
      <c r="E1" s="60" t="s">
        <v>296</v>
      </c>
    </row>
    <row r="2" spans="1:11" x14ac:dyDescent="0.2">
      <c r="B2" s="60" t="s">
        <v>297</v>
      </c>
      <c r="C2" s="60" t="s">
        <v>298</v>
      </c>
      <c r="D2" s="60" t="s">
        <v>299</v>
      </c>
      <c r="E2" s="60" t="s">
        <v>300</v>
      </c>
      <c r="F2" s="60" t="s">
        <v>301</v>
      </c>
      <c r="G2" s="60" t="s">
        <v>302</v>
      </c>
      <c r="H2" s="60" t="s">
        <v>303</v>
      </c>
      <c r="I2" s="60" t="s">
        <v>304</v>
      </c>
      <c r="J2" s="60" t="s">
        <v>305</v>
      </c>
      <c r="K2" s="60" t="s">
        <v>306</v>
      </c>
    </row>
    <row r="3" spans="1:11" x14ac:dyDescent="0.2">
      <c r="A3" s="61" t="s">
        <v>307</v>
      </c>
      <c r="B3" s="62">
        <v>25</v>
      </c>
      <c r="C3" s="62">
        <v>9900</v>
      </c>
      <c r="D3" s="62">
        <v>2536</v>
      </c>
      <c r="E3" s="63">
        <v>6957.2662337662341</v>
      </c>
      <c r="F3" s="62">
        <f>B3/C3</f>
        <v>2.5252525252525255E-3</v>
      </c>
      <c r="G3" s="62">
        <f>1/F3</f>
        <v>395.99999999999994</v>
      </c>
      <c r="H3" s="62">
        <f>D3*G3</f>
        <v>1004255.9999999999</v>
      </c>
      <c r="I3" s="62">
        <f>(C3*C3)*E3*(1-F3)/B3</f>
        <v>27206389607.14286</v>
      </c>
      <c r="J3" s="62">
        <f>I3/$I$8</f>
        <v>1</v>
      </c>
      <c r="K3" s="62">
        <f>J3*J3/($B$3-1)</f>
        <v>4.1666666666666664E-2</v>
      </c>
    </row>
    <row r="4" spans="1:11" x14ac:dyDescent="0.2">
      <c r="A4" s="61" t="s">
        <v>308</v>
      </c>
      <c r="B4" s="62"/>
      <c r="C4" s="62"/>
      <c r="D4" s="62"/>
      <c r="E4" s="63"/>
      <c r="F4" s="62"/>
      <c r="G4" s="62"/>
      <c r="H4" s="62"/>
      <c r="I4" s="62"/>
      <c r="J4" s="62"/>
      <c r="K4" s="62"/>
    </row>
    <row r="5" spans="1:11" x14ac:dyDescent="0.2">
      <c r="A5" s="61" t="s">
        <v>309</v>
      </c>
      <c r="B5" s="62"/>
      <c r="C5" s="62"/>
      <c r="D5" s="62"/>
      <c r="E5" s="63"/>
      <c r="F5" s="62"/>
      <c r="G5" s="62"/>
      <c r="H5" s="62"/>
      <c r="I5" s="62"/>
      <c r="J5" s="62"/>
      <c r="K5" s="62"/>
    </row>
    <row r="6" spans="1:11" x14ac:dyDescent="0.2">
      <c r="A6" s="61" t="s">
        <v>310</v>
      </c>
      <c r="B6" s="62"/>
      <c r="C6" s="62"/>
      <c r="D6" s="62"/>
      <c r="E6" s="63"/>
      <c r="F6" s="62"/>
      <c r="G6" s="62"/>
      <c r="H6" s="62"/>
      <c r="I6" s="62"/>
      <c r="J6" s="62"/>
      <c r="K6" s="62"/>
    </row>
    <row r="7" spans="1:11" x14ac:dyDescent="0.2">
      <c r="D7" s="59" t="s">
        <v>311</v>
      </c>
    </row>
    <row r="8" spans="1:11" x14ac:dyDescent="0.2">
      <c r="A8" s="61" t="s">
        <v>101</v>
      </c>
      <c r="F8" s="62">
        <f t="shared" ref="F8:K8" si="0">SUM(F3:F6)</f>
        <v>2.5252525252525255E-3</v>
      </c>
      <c r="G8" s="62">
        <f t="shared" si="0"/>
        <v>395.99999999999994</v>
      </c>
      <c r="H8" s="62">
        <f t="shared" si="0"/>
        <v>1004255.9999999999</v>
      </c>
      <c r="I8" s="62">
        <f t="shared" si="0"/>
        <v>27206389607.14286</v>
      </c>
      <c r="J8" s="62">
        <f t="shared" si="0"/>
        <v>1</v>
      </c>
      <c r="K8" s="62">
        <f t="shared" si="0"/>
        <v>4.1666666666666664E-2</v>
      </c>
    </row>
    <row r="10" spans="1:11" x14ac:dyDescent="0.2">
      <c r="A10" s="61" t="s">
        <v>312</v>
      </c>
      <c r="C10" s="60" t="s">
        <v>313</v>
      </c>
      <c r="D10" s="63">
        <f>$H$8</f>
        <v>1004255.9999999999</v>
      </c>
      <c r="F10" s="61" t="s">
        <v>314</v>
      </c>
    </row>
    <row r="11" spans="1:11" x14ac:dyDescent="0.2">
      <c r="A11" s="61" t="s">
        <v>315</v>
      </c>
      <c r="C11" s="60" t="s">
        <v>316</v>
      </c>
      <c r="D11" s="62">
        <f>1/$K$8</f>
        <v>24</v>
      </c>
      <c r="F11" s="61" t="s">
        <v>317</v>
      </c>
    </row>
    <row r="12" spans="1:11" x14ac:dyDescent="0.2">
      <c r="A12" s="61" t="s">
        <v>318</v>
      </c>
      <c r="F12" s="61" t="s">
        <v>319</v>
      </c>
    </row>
    <row r="13" spans="1:11" x14ac:dyDescent="0.2">
      <c r="A13" s="61"/>
      <c r="F13" s="61" t="s">
        <v>320</v>
      </c>
    </row>
    <row r="14" spans="1:11" x14ac:dyDescent="0.2">
      <c r="A14" s="60" t="s">
        <v>321</v>
      </c>
      <c r="B14" s="59">
        <f>(TDIST(0.95,D11,1))*10</f>
        <v>1.7579078750503192</v>
      </c>
      <c r="F14" s="61" t="s">
        <v>322</v>
      </c>
    </row>
    <row r="15" spans="1:11" ht="15.75" x14ac:dyDescent="0.25">
      <c r="A15" s="61" t="s">
        <v>323</v>
      </c>
      <c r="D15" s="64"/>
      <c r="E15" s="65"/>
      <c r="F15" s="65"/>
    </row>
    <row r="16" spans="1:11" x14ac:dyDescent="0.2">
      <c r="A16" s="60" t="s">
        <v>324</v>
      </c>
      <c r="B16" s="63">
        <f>$D$10+(B14)*SQRT($I$8)</f>
        <v>1294211.644992569</v>
      </c>
      <c r="D16" s="60" t="s">
        <v>325</v>
      </c>
      <c r="E16" s="66">
        <f>$D$10</f>
        <v>1004255.9999999999</v>
      </c>
    </row>
    <row r="17" spans="1:35" x14ac:dyDescent="0.2">
      <c r="A17" s="60" t="s">
        <v>326</v>
      </c>
      <c r="B17" s="63">
        <f>$D$10-(B14)*SQRT($I$8)</f>
        <v>714300.35500743065</v>
      </c>
      <c r="D17" s="67" t="s">
        <v>327</v>
      </c>
      <c r="E17" s="66">
        <f>(B14)*SQRT($I$8)</f>
        <v>289955.64499256923</v>
      </c>
    </row>
    <row r="19" spans="1:35" ht="13.5" thickBot="1" x14ac:dyDescent="0.25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</row>
    <row r="20" spans="1:35" ht="13.5" thickTop="1" x14ac:dyDescent="0.2">
      <c r="A20" s="69" t="s">
        <v>328</v>
      </c>
      <c r="L20" s="70"/>
    </row>
    <row r="21" spans="1:35" x14ac:dyDescent="0.2">
      <c r="A21" s="71" t="s">
        <v>331</v>
      </c>
      <c r="E21" s="71"/>
      <c r="I21" s="71"/>
      <c r="L21" s="70"/>
      <c r="M21" s="71"/>
      <c r="Q21" s="71"/>
    </row>
    <row r="22" spans="1:35" x14ac:dyDescent="0.2">
      <c r="A22" s="71" t="s">
        <v>61</v>
      </c>
      <c r="E22" s="71"/>
      <c r="I22" s="71"/>
      <c r="L22" s="70"/>
      <c r="M22" s="71"/>
      <c r="Q22" s="71"/>
    </row>
    <row r="23" spans="1:35" x14ac:dyDescent="0.2">
      <c r="A23" s="59" t="s">
        <v>323</v>
      </c>
      <c r="E23" s="59" t="s">
        <v>323</v>
      </c>
      <c r="I23" s="59" t="s">
        <v>323</v>
      </c>
      <c r="L23" s="70"/>
      <c r="M23" s="59" t="s">
        <v>323</v>
      </c>
      <c r="Q23" s="59" t="s">
        <v>323</v>
      </c>
    </row>
    <row r="24" spans="1:35" x14ac:dyDescent="0.2">
      <c r="A24" s="59" t="s">
        <v>325</v>
      </c>
      <c r="E24" s="59" t="s">
        <v>325</v>
      </c>
      <c r="I24" s="59" t="s">
        <v>325</v>
      </c>
      <c r="J24" s="72"/>
      <c r="L24" s="70"/>
      <c r="M24" s="59" t="s">
        <v>325</v>
      </c>
      <c r="Q24" s="59" t="s">
        <v>325</v>
      </c>
      <c r="R24" s="72"/>
    </row>
    <row r="25" spans="1:35" x14ac:dyDescent="0.2">
      <c r="A25" s="59" t="s">
        <v>327</v>
      </c>
      <c r="E25" s="59" t="s">
        <v>327</v>
      </c>
      <c r="I25" s="59" t="s">
        <v>327</v>
      </c>
      <c r="J25" s="72"/>
      <c r="L25" s="70"/>
      <c r="M25" s="59" t="s">
        <v>327</v>
      </c>
      <c r="Q25" s="59" t="s">
        <v>327</v>
      </c>
      <c r="R25" s="72"/>
    </row>
    <row r="26" spans="1:35" x14ac:dyDescent="0.2">
      <c r="L26" s="70"/>
    </row>
    <row r="27" spans="1:35" x14ac:dyDescent="0.2">
      <c r="L27" s="70"/>
    </row>
    <row r="28" spans="1:35" x14ac:dyDescent="0.2">
      <c r="A28" s="73" t="s">
        <v>329</v>
      </c>
      <c r="E28" s="73" t="s">
        <v>329</v>
      </c>
      <c r="I28" s="73" t="s">
        <v>329</v>
      </c>
      <c r="L28" s="70"/>
      <c r="M28" s="73" t="s">
        <v>329</v>
      </c>
      <c r="Q28" s="73" t="s">
        <v>329</v>
      </c>
    </row>
    <row r="29" spans="1:35" x14ac:dyDescent="0.2">
      <c r="A29" s="59" t="s">
        <v>323</v>
      </c>
      <c r="E29" s="59" t="s">
        <v>323</v>
      </c>
      <c r="I29" s="59" t="s">
        <v>323</v>
      </c>
      <c r="L29" s="70"/>
      <c r="M29" s="59" t="s">
        <v>323</v>
      </c>
      <c r="Q29" s="59" t="s">
        <v>323</v>
      </c>
    </row>
    <row r="30" spans="1:35" x14ac:dyDescent="0.2">
      <c r="A30" s="59" t="s">
        <v>325</v>
      </c>
      <c r="E30" s="59" t="s">
        <v>325</v>
      </c>
      <c r="I30" s="59" t="s">
        <v>325</v>
      </c>
      <c r="J30" s="72"/>
      <c r="L30" s="70"/>
      <c r="M30" s="59" t="s">
        <v>325</v>
      </c>
      <c r="Q30" s="59" t="s">
        <v>325</v>
      </c>
    </row>
    <row r="31" spans="1:35" x14ac:dyDescent="0.2">
      <c r="A31" s="59" t="s">
        <v>327</v>
      </c>
      <c r="E31" s="59" t="s">
        <v>327</v>
      </c>
      <c r="I31" s="59" t="s">
        <v>327</v>
      </c>
      <c r="J31" s="72"/>
      <c r="L31" s="70"/>
      <c r="M31" s="59" t="s">
        <v>327</v>
      </c>
      <c r="Q31" s="59" t="s">
        <v>327</v>
      </c>
    </row>
    <row r="32" spans="1:35" x14ac:dyDescent="0.2">
      <c r="L32" s="70"/>
    </row>
    <row r="33" spans="1:19" x14ac:dyDescent="0.2">
      <c r="A33" s="73" t="s">
        <v>330</v>
      </c>
      <c r="E33" s="73" t="s">
        <v>330</v>
      </c>
      <c r="I33" s="73" t="s">
        <v>330</v>
      </c>
      <c r="L33" s="70"/>
      <c r="M33" s="73" t="s">
        <v>330</v>
      </c>
      <c r="Q33" s="73" t="s">
        <v>330</v>
      </c>
    </row>
    <row r="34" spans="1:19" x14ac:dyDescent="0.2">
      <c r="A34" s="59" t="s">
        <v>323</v>
      </c>
      <c r="E34" s="59" t="s">
        <v>323</v>
      </c>
      <c r="I34" s="59" t="s">
        <v>323</v>
      </c>
      <c r="L34" s="70"/>
      <c r="M34" s="59" t="s">
        <v>323</v>
      </c>
      <c r="Q34" s="59" t="s">
        <v>323</v>
      </c>
    </row>
    <row r="35" spans="1:19" x14ac:dyDescent="0.2">
      <c r="A35" s="59" t="s">
        <v>325</v>
      </c>
      <c r="E35" s="59" t="s">
        <v>325</v>
      </c>
      <c r="I35" s="59" t="s">
        <v>325</v>
      </c>
      <c r="J35" s="66"/>
      <c r="L35" s="70"/>
      <c r="M35" s="59" t="s">
        <v>325</v>
      </c>
      <c r="Q35" s="59" t="s">
        <v>325</v>
      </c>
    </row>
    <row r="36" spans="1:19" x14ac:dyDescent="0.2">
      <c r="A36" s="59" t="s">
        <v>327</v>
      </c>
      <c r="E36" s="59" t="s">
        <v>327</v>
      </c>
      <c r="I36" s="59" t="s">
        <v>327</v>
      </c>
      <c r="J36" s="66"/>
      <c r="L36" s="70"/>
      <c r="M36" s="59" t="s">
        <v>327</v>
      </c>
      <c r="Q36" s="59" t="s">
        <v>327</v>
      </c>
    </row>
    <row r="37" spans="1:19" ht="13.5" thickBot="1" x14ac:dyDescent="0.25">
      <c r="A37" s="74"/>
      <c r="B37" s="75"/>
      <c r="E37" s="74"/>
      <c r="F37" s="75"/>
      <c r="G37" s="75"/>
      <c r="I37" s="74"/>
      <c r="J37" s="75"/>
      <c r="K37" s="75"/>
      <c r="L37" s="70"/>
      <c r="M37" s="74"/>
      <c r="N37" s="75"/>
      <c r="O37" s="75"/>
      <c r="Q37" s="75"/>
      <c r="R37" s="75"/>
      <c r="S37" s="75"/>
    </row>
    <row r="38" spans="1:19" x14ac:dyDescent="0.2">
      <c r="A38" s="69"/>
      <c r="L38" s="70"/>
    </row>
    <row r="39" spans="1:19" x14ac:dyDescent="0.2">
      <c r="A39" s="69"/>
      <c r="L39" s="70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"/>
  <sheetViews>
    <sheetView topLeftCell="J19" workbookViewId="0"/>
  </sheetViews>
  <sheetFormatPr defaultRowHeight="15" x14ac:dyDescent="0.25"/>
  <cols>
    <col min="1" max="1" width="23.42578125" bestFit="1" customWidth="1"/>
  </cols>
  <sheetData>
    <row r="1" spans="1:28" x14ac:dyDescent="0.25">
      <c r="A1" s="19" t="s">
        <v>98</v>
      </c>
      <c r="B1" s="22">
        <v>1</v>
      </c>
      <c r="C1" s="22">
        <v>2</v>
      </c>
      <c r="D1" s="22">
        <v>3</v>
      </c>
      <c r="E1" s="22">
        <v>4</v>
      </c>
      <c r="F1" s="22">
        <v>5</v>
      </c>
      <c r="G1" s="22">
        <v>6</v>
      </c>
      <c r="H1" s="22">
        <v>7</v>
      </c>
      <c r="I1" s="22">
        <v>8</v>
      </c>
      <c r="J1" s="22">
        <v>9</v>
      </c>
      <c r="K1" s="22">
        <v>10</v>
      </c>
      <c r="L1" s="22">
        <v>11</v>
      </c>
      <c r="M1" s="22">
        <v>12</v>
      </c>
      <c r="N1" s="22">
        <v>13</v>
      </c>
      <c r="O1" s="22">
        <v>14</v>
      </c>
      <c r="P1" s="22">
        <v>15</v>
      </c>
      <c r="Q1" s="22">
        <v>16</v>
      </c>
      <c r="R1" s="22">
        <v>17</v>
      </c>
      <c r="S1" s="22">
        <v>18</v>
      </c>
      <c r="T1" s="22">
        <v>19</v>
      </c>
      <c r="U1" s="22">
        <v>20</v>
      </c>
      <c r="V1" s="22">
        <v>21</v>
      </c>
      <c r="W1" s="22">
        <v>22</v>
      </c>
      <c r="X1" s="22">
        <v>23</v>
      </c>
      <c r="Y1" s="22">
        <v>24</v>
      </c>
      <c r="Z1" s="83">
        <v>25</v>
      </c>
    </row>
    <row r="2" spans="1:28" s="43" customFormat="1" ht="12.75" x14ac:dyDescent="0.2">
      <c r="A2" s="47" t="s">
        <v>97</v>
      </c>
      <c r="B2" s="23" t="s">
        <v>505</v>
      </c>
      <c r="C2" s="23" t="s">
        <v>506</v>
      </c>
      <c r="D2" s="23" t="s">
        <v>507</v>
      </c>
      <c r="E2" s="23" t="s">
        <v>508</v>
      </c>
      <c r="F2" s="23" t="s">
        <v>509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 t="s">
        <v>73</v>
      </c>
      <c r="AB2" s="23" t="s">
        <v>72</v>
      </c>
    </row>
    <row r="3" spans="1:28" x14ac:dyDescent="0.25">
      <c r="A3" s="12" t="s">
        <v>1</v>
      </c>
      <c r="AA3">
        <f t="shared" ref="AA3:AA37" si="0">SUM(B3:Z3)</f>
        <v>0</v>
      </c>
      <c r="AB3">
        <f>(AA3/AA38)*100</f>
        <v>0</v>
      </c>
    </row>
    <row r="4" spans="1:28" x14ac:dyDescent="0.25">
      <c r="A4" s="12" t="s">
        <v>2</v>
      </c>
      <c r="B4">
        <v>8</v>
      </c>
      <c r="C4">
        <v>3</v>
      </c>
      <c r="D4">
        <v>2</v>
      </c>
      <c r="E4">
        <v>3</v>
      </c>
      <c r="F4">
        <v>11</v>
      </c>
      <c r="AA4">
        <f t="shared" si="0"/>
        <v>27</v>
      </c>
      <c r="AB4">
        <f>(AA4/AA38)*100</f>
        <v>19.852941176470587</v>
      </c>
    </row>
    <row r="5" spans="1:28" x14ac:dyDescent="0.25">
      <c r="A5" s="12" t="s">
        <v>3</v>
      </c>
      <c r="AA5">
        <f t="shared" si="0"/>
        <v>0</v>
      </c>
      <c r="AB5">
        <f>(AA5/AA38)*100</f>
        <v>0</v>
      </c>
    </row>
    <row r="6" spans="1:28" x14ac:dyDescent="0.25">
      <c r="A6" s="12" t="s">
        <v>4</v>
      </c>
      <c r="AA6">
        <f t="shared" si="0"/>
        <v>0</v>
      </c>
      <c r="AB6">
        <f>(AA6/AA38)*100</f>
        <v>0</v>
      </c>
    </row>
    <row r="7" spans="1:28" x14ac:dyDescent="0.25">
      <c r="A7" s="12" t="s">
        <v>5</v>
      </c>
      <c r="B7">
        <v>1</v>
      </c>
      <c r="AA7">
        <f t="shared" si="0"/>
        <v>1</v>
      </c>
      <c r="AB7">
        <f>(AA7/AA38)*100</f>
        <v>0.73529411764705876</v>
      </c>
    </row>
    <row r="8" spans="1:28" x14ac:dyDescent="0.25">
      <c r="A8" s="12" t="s">
        <v>6</v>
      </c>
      <c r="AA8">
        <f t="shared" si="0"/>
        <v>0</v>
      </c>
      <c r="AB8">
        <f>(AA8/AA38)*100</f>
        <v>0</v>
      </c>
    </row>
    <row r="9" spans="1:28" x14ac:dyDescent="0.25">
      <c r="A9" s="12" t="s">
        <v>7</v>
      </c>
      <c r="AA9">
        <f t="shared" si="0"/>
        <v>0</v>
      </c>
      <c r="AB9">
        <f>(AA9/AA38)*100</f>
        <v>0</v>
      </c>
    </row>
    <row r="10" spans="1:28" x14ac:dyDescent="0.25">
      <c r="A10" s="12" t="s">
        <v>8</v>
      </c>
      <c r="AA10">
        <f t="shared" si="0"/>
        <v>0</v>
      </c>
      <c r="AB10">
        <f>(AA10/AA38)*100</f>
        <v>0</v>
      </c>
    </row>
    <row r="11" spans="1:28" x14ac:dyDescent="0.25">
      <c r="A11" s="12" t="s">
        <v>9</v>
      </c>
      <c r="AA11">
        <f t="shared" si="0"/>
        <v>0</v>
      </c>
      <c r="AB11">
        <f>(AA11/AA38)*100</f>
        <v>0</v>
      </c>
    </row>
    <row r="12" spans="1:28" x14ac:dyDescent="0.25">
      <c r="A12" s="12" t="s">
        <v>10</v>
      </c>
      <c r="AA12">
        <f t="shared" si="0"/>
        <v>0</v>
      </c>
      <c r="AB12">
        <f>(AA12/AA38)*100</f>
        <v>0</v>
      </c>
    </row>
    <row r="13" spans="1:28" x14ac:dyDescent="0.25">
      <c r="A13" s="12" t="s">
        <v>11</v>
      </c>
      <c r="AA13">
        <f t="shared" si="0"/>
        <v>0</v>
      </c>
      <c r="AB13">
        <f>(AA13/AA38)*100</f>
        <v>0</v>
      </c>
    </row>
    <row r="14" spans="1:28" x14ac:dyDescent="0.25">
      <c r="A14" s="12" t="s">
        <v>12</v>
      </c>
      <c r="AA14">
        <f t="shared" si="0"/>
        <v>0</v>
      </c>
      <c r="AB14">
        <f>(AA14/AA38)*100</f>
        <v>0</v>
      </c>
    </row>
    <row r="15" spans="1:28" x14ac:dyDescent="0.25">
      <c r="A15" s="12" t="s">
        <v>13</v>
      </c>
      <c r="AA15">
        <f t="shared" si="0"/>
        <v>0</v>
      </c>
      <c r="AB15">
        <f>(AA15/AA38)*100</f>
        <v>0</v>
      </c>
    </row>
    <row r="16" spans="1:28" x14ac:dyDescent="0.25">
      <c r="A16" s="12" t="s">
        <v>14</v>
      </c>
      <c r="AA16">
        <f t="shared" si="0"/>
        <v>0</v>
      </c>
      <c r="AB16">
        <f>(AA16/AA38)*100</f>
        <v>0</v>
      </c>
    </row>
    <row r="17" spans="1:28" x14ac:dyDescent="0.25">
      <c r="A17" s="12" t="s">
        <v>15</v>
      </c>
      <c r="B17">
        <v>1</v>
      </c>
      <c r="C17">
        <v>3</v>
      </c>
      <c r="F17">
        <v>4</v>
      </c>
      <c r="AA17">
        <f t="shared" si="0"/>
        <v>8</v>
      </c>
      <c r="AB17">
        <f>(AA17/AA38)*100</f>
        <v>5.8823529411764701</v>
      </c>
    </row>
    <row r="18" spans="1:28" x14ac:dyDescent="0.25">
      <c r="A18" s="12" t="s">
        <v>16</v>
      </c>
      <c r="AA18">
        <f t="shared" si="0"/>
        <v>0</v>
      </c>
      <c r="AB18">
        <f>(AA18/AA38)*100</f>
        <v>0</v>
      </c>
    </row>
    <row r="19" spans="1:28" x14ac:dyDescent="0.25">
      <c r="A19" s="12" t="s">
        <v>17</v>
      </c>
      <c r="D19">
        <v>1</v>
      </c>
      <c r="F19">
        <v>1</v>
      </c>
      <c r="AA19">
        <f t="shared" si="0"/>
        <v>2</v>
      </c>
      <c r="AB19">
        <f>(AA19/AA38)*100</f>
        <v>1.4705882352941175</v>
      </c>
    </row>
    <row r="20" spans="1:28" x14ac:dyDescent="0.25">
      <c r="A20" s="12" t="s">
        <v>18</v>
      </c>
      <c r="C20">
        <v>1</v>
      </c>
      <c r="AA20">
        <f t="shared" si="0"/>
        <v>1</v>
      </c>
      <c r="AB20">
        <f>(AA20/AA38)*100</f>
        <v>0.73529411764705876</v>
      </c>
    </row>
    <row r="21" spans="1:28" x14ac:dyDescent="0.25">
      <c r="A21" s="12" t="s">
        <v>19</v>
      </c>
      <c r="AA21">
        <f t="shared" si="0"/>
        <v>0</v>
      </c>
      <c r="AB21">
        <f>(AA21/AA38)*100</f>
        <v>0</v>
      </c>
    </row>
    <row r="22" spans="1:28" x14ac:dyDescent="0.25">
      <c r="A22" s="12" t="s">
        <v>20</v>
      </c>
      <c r="AA22">
        <f t="shared" si="0"/>
        <v>0</v>
      </c>
      <c r="AB22">
        <f>(AA22/AA38)*100</f>
        <v>0</v>
      </c>
    </row>
    <row r="23" spans="1:28" x14ac:dyDescent="0.25">
      <c r="A23" s="12" t="s">
        <v>21</v>
      </c>
      <c r="AA23">
        <f t="shared" si="0"/>
        <v>0</v>
      </c>
      <c r="AB23">
        <f>(AA23/AA38)*100</f>
        <v>0</v>
      </c>
    </row>
    <row r="24" spans="1:28" x14ac:dyDescent="0.25">
      <c r="A24" s="12" t="s">
        <v>22</v>
      </c>
      <c r="AA24">
        <f t="shared" si="0"/>
        <v>0</v>
      </c>
      <c r="AB24">
        <f>(AA24/AA38)*100</f>
        <v>0</v>
      </c>
    </row>
    <row r="25" spans="1:28" x14ac:dyDescent="0.25">
      <c r="A25" s="12" t="s">
        <v>23</v>
      </c>
      <c r="AA25">
        <f t="shared" si="0"/>
        <v>0</v>
      </c>
      <c r="AB25">
        <f>(AA25/AA38)*100</f>
        <v>0</v>
      </c>
    </row>
    <row r="26" spans="1:28" x14ac:dyDescent="0.25">
      <c r="A26" s="12" t="s">
        <v>24</v>
      </c>
      <c r="AA26">
        <f t="shared" si="0"/>
        <v>0</v>
      </c>
      <c r="AB26">
        <f>(AA26/AA38)*100</f>
        <v>0</v>
      </c>
    </row>
    <row r="27" spans="1:28" x14ac:dyDescent="0.25">
      <c r="A27" s="12" t="s">
        <v>25</v>
      </c>
      <c r="AA27">
        <f t="shared" si="0"/>
        <v>0</v>
      </c>
      <c r="AB27">
        <f>(AA27/AA38)*100</f>
        <v>0</v>
      </c>
    </row>
    <row r="28" spans="1:28" x14ac:dyDescent="0.25">
      <c r="A28" s="12" t="s">
        <v>26</v>
      </c>
      <c r="AA28">
        <f t="shared" si="0"/>
        <v>0</v>
      </c>
      <c r="AB28">
        <f>(AA28/AA38)*100</f>
        <v>0</v>
      </c>
    </row>
    <row r="29" spans="1:28" x14ac:dyDescent="0.25">
      <c r="A29" s="12" t="s">
        <v>27</v>
      </c>
      <c r="B29">
        <v>2</v>
      </c>
      <c r="C29">
        <v>11</v>
      </c>
      <c r="E29">
        <v>6</v>
      </c>
      <c r="AA29">
        <f t="shared" si="0"/>
        <v>19</v>
      </c>
      <c r="AB29">
        <f>(AA29/AA38)*100</f>
        <v>13.970588235294118</v>
      </c>
    </row>
    <row r="30" spans="1:28" x14ac:dyDescent="0.25">
      <c r="A30" s="12" t="s">
        <v>28</v>
      </c>
      <c r="B30">
        <v>23</v>
      </c>
      <c r="C30">
        <v>9</v>
      </c>
      <c r="D30">
        <v>14</v>
      </c>
      <c r="E30">
        <v>17</v>
      </c>
      <c r="F30">
        <v>15</v>
      </c>
      <c r="AA30">
        <f t="shared" si="0"/>
        <v>78</v>
      </c>
      <c r="AB30">
        <f>(AA30/AA38)*100</f>
        <v>57.352941176470587</v>
      </c>
    </row>
    <row r="31" spans="1:28" x14ac:dyDescent="0.25">
      <c r="A31" s="12" t="s">
        <v>29</v>
      </c>
      <c r="AA31">
        <f t="shared" si="0"/>
        <v>0</v>
      </c>
      <c r="AB31">
        <f>(AA31/AA38)*100</f>
        <v>0</v>
      </c>
    </row>
    <row r="32" spans="1:28" x14ac:dyDescent="0.25">
      <c r="A32" s="12" t="s">
        <v>30</v>
      </c>
      <c r="AA32">
        <f t="shared" si="0"/>
        <v>0</v>
      </c>
      <c r="AB32">
        <f>(AA32/AA38)*100</f>
        <v>0</v>
      </c>
    </row>
    <row r="33" spans="1:28" x14ac:dyDescent="0.25">
      <c r="A33" s="12" t="s">
        <v>31</v>
      </c>
      <c r="AA33">
        <f t="shared" si="0"/>
        <v>0</v>
      </c>
      <c r="AB33">
        <f>(AA33/AA38)*100</f>
        <v>0</v>
      </c>
    </row>
    <row r="34" spans="1:28" x14ac:dyDescent="0.25">
      <c r="A34" s="12" t="s">
        <v>68</v>
      </c>
      <c r="AA34">
        <f t="shared" si="0"/>
        <v>0</v>
      </c>
      <c r="AB34">
        <f>(AA34/AA38)*100</f>
        <v>0</v>
      </c>
    </row>
    <row r="35" spans="1:28" x14ac:dyDescent="0.25">
      <c r="A35" s="12" t="s">
        <v>32</v>
      </c>
      <c r="AA35">
        <f t="shared" si="0"/>
        <v>0</v>
      </c>
      <c r="AB35">
        <f>(AA35/AA38)*100</f>
        <v>0</v>
      </c>
    </row>
    <row r="36" spans="1:28" x14ac:dyDescent="0.25">
      <c r="A36" s="12" t="s">
        <v>33</v>
      </c>
      <c r="AA36">
        <f t="shared" si="0"/>
        <v>0</v>
      </c>
      <c r="AB36">
        <f>(AA36/AA38)*100</f>
        <v>0</v>
      </c>
    </row>
    <row r="37" spans="1:28" x14ac:dyDescent="0.25">
      <c r="A37" s="12" t="s">
        <v>34</v>
      </c>
      <c r="AA37">
        <f t="shared" si="0"/>
        <v>0</v>
      </c>
      <c r="AB37">
        <f>(AA37/AA38)*100</f>
        <v>0</v>
      </c>
    </row>
    <row r="38" spans="1:28" s="19" customFormat="1" ht="12.75" x14ac:dyDescent="0.2">
      <c r="A38" s="19" t="s">
        <v>71</v>
      </c>
      <c r="B38" s="22">
        <f t="shared" ref="B38:Z38" si="1">SUM(B3:B37)</f>
        <v>35</v>
      </c>
      <c r="C38" s="22">
        <f t="shared" si="1"/>
        <v>27</v>
      </c>
      <c r="D38" s="22">
        <f t="shared" si="1"/>
        <v>17</v>
      </c>
      <c r="E38" s="22">
        <f t="shared" si="1"/>
        <v>26</v>
      </c>
      <c r="F38" s="22">
        <f t="shared" si="1"/>
        <v>31</v>
      </c>
      <c r="G38" s="22">
        <f t="shared" si="1"/>
        <v>0</v>
      </c>
      <c r="H38" s="22">
        <f t="shared" si="1"/>
        <v>0</v>
      </c>
      <c r="I38" s="22">
        <f t="shared" si="1"/>
        <v>0</v>
      </c>
      <c r="J38" s="22">
        <f t="shared" si="1"/>
        <v>0</v>
      </c>
      <c r="K38" s="22">
        <f t="shared" si="1"/>
        <v>0</v>
      </c>
      <c r="L38" s="22">
        <f t="shared" si="1"/>
        <v>0</v>
      </c>
      <c r="M38" s="22">
        <f t="shared" si="1"/>
        <v>0</v>
      </c>
      <c r="N38" s="22">
        <f t="shared" si="1"/>
        <v>0</v>
      </c>
      <c r="O38" s="22">
        <f t="shared" si="1"/>
        <v>0</v>
      </c>
      <c r="P38" s="22">
        <f t="shared" si="1"/>
        <v>0</v>
      </c>
      <c r="Q38" s="22">
        <f t="shared" si="1"/>
        <v>0</v>
      </c>
      <c r="R38" s="22">
        <f t="shared" si="1"/>
        <v>0</v>
      </c>
      <c r="S38" s="22">
        <f t="shared" si="1"/>
        <v>0</v>
      </c>
      <c r="T38" s="22">
        <f t="shared" si="1"/>
        <v>0</v>
      </c>
      <c r="U38" s="22">
        <f t="shared" si="1"/>
        <v>0</v>
      </c>
      <c r="V38" s="22">
        <f t="shared" si="1"/>
        <v>0</v>
      </c>
      <c r="W38" s="22">
        <f t="shared" si="1"/>
        <v>0</v>
      </c>
      <c r="X38" s="22">
        <f t="shared" si="1"/>
        <v>0</v>
      </c>
      <c r="Y38" s="22">
        <f t="shared" si="1"/>
        <v>0</v>
      </c>
      <c r="Z38" s="22">
        <f t="shared" si="1"/>
        <v>0</v>
      </c>
      <c r="AA38" s="22">
        <f>SUM(AA3:AA37)</f>
        <v>136</v>
      </c>
      <c r="AB38" s="21">
        <f>SUM(AB3:AB37)</f>
        <v>100</v>
      </c>
    </row>
    <row r="40" spans="1:28" x14ac:dyDescent="0.25">
      <c r="F40">
        <f>SUM(B38:F38)</f>
        <v>136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topLeftCell="J13" workbookViewId="0"/>
  </sheetViews>
  <sheetFormatPr defaultRowHeight="15" x14ac:dyDescent="0.25"/>
  <cols>
    <col min="1" max="1" width="23.42578125" bestFit="1" customWidth="1"/>
  </cols>
  <sheetData>
    <row r="1" spans="1:28" x14ac:dyDescent="0.25">
      <c r="A1" s="19" t="s">
        <v>98</v>
      </c>
      <c r="B1" s="22">
        <v>1</v>
      </c>
      <c r="C1" s="22">
        <v>2</v>
      </c>
      <c r="D1" s="22">
        <v>3</v>
      </c>
      <c r="E1" s="22">
        <v>4</v>
      </c>
      <c r="F1" s="22">
        <v>5</v>
      </c>
      <c r="G1" s="22">
        <v>6</v>
      </c>
      <c r="H1" s="22">
        <v>7</v>
      </c>
      <c r="I1" s="22">
        <v>8</v>
      </c>
      <c r="J1" s="22">
        <v>9</v>
      </c>
      <c r="K1" s="22">
        <v>10</v>
      </c>
      <c r="L1" s="22">
        <v>11</v>
      </c>
      <c r="M1" s="22">
        <v>12</v>
      </c>
      <c r="N1" s="22">
        <v>13</v>
      </c>
      <c r="O1" s="22">
        <v>14</v>
      </c>
      <c r="P1" s="22">
        <v>15</v>
      </c>
      <c r="Q1" s="22">
        <v>16</v>
      </c>
      <c r="R1" s="22">
        <v>17</v>
      </c>
      <c r="S1" s="22">
        <v>18</v>
      </c>
      <c r="T1" s="22">
        <v>19</v>
      </c>
      <c r="U1" s="22">
        <v>20</v>
      </c>
      <c r="V1" s="22">
        <v>21</v>
      </c>
      <c r="W1" s="22">
        <v>22</v>
      </c>
      <c r="X1" s="22">
        <v>23</v>
      </c>
      <c r="Y1" s="22">
        <v>24</v>
      </c>
      <c r="Z1" s="83">
        <v>25</v>
      </c>
    </row>
    <row r="2" spans="1:28" s="43" customFormat="1" ht="12.75" x14ac:dyDescent="0.2">
      <c r="A2" s="47" t="s">
        <v>97</v>
      </c>
      <c r="B2" s="23" t="s">
        <v>394</v>
      </c>
      <c r="C2" s="23" t="s">
        <v>485</v>
      </c>
      <c r="D2" s="23" t="s">
        <v>486</v>
      </c>
      <c r="E2" s="23" t="s">
        <v>487</v>
      </c>
      <c r="F2" s="23" t="s">
        <v>488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 t="s">
        <v>73</v>
      </c>
      <c r="AB2" s="23" t="s">
        <v>72</v>
      </c>
    </row>
    <row r="3" spans="1:28" x14ac:dyDescent="0.25">
      <c r="A3" s="12" t="s">
        <v>1</v>
      </c>
      <c r="AA3">
        <f t="shared" ref="AA3:AA37" si="0">SUM(B3:Z3)</f>
        <v>0</v>
      </c>
      <c r="AB3">
        <f>(AA3/AA38)*100</f>
        <v>0</v>
      </c>
    </row>
    <row r="4" spans="1:28" x14ac:dyDescent="0.25">
      <c r="A4" s="12" t="s">
        <v>2</v>
      </c>
      <c r="B4">
        <v>15</v>
      </c>
      <c r="C4">
        <v>4</v>
      </c>
      <c r="D4">
        <v>6</v>
      </c>
      <c r="E4">
        <v>30</v>
      </c>
      <c r="F4">
        <v>4</v>
      </c>
      <c r="AA4">
        <f t="shared" si="0"/>
        <v>59</v>
      </c>
      <c r="AB4">
        <f>(AA4/AA38)*100</f>
        <v>33.146067415730336</v>
      </c>
    </row>
    <row r="5" spans="1:28" x14ac:dyDescent="0.25">
      <c r="A5" s="12" t="s">
        <v>3</v>
      </c>
      <c r="AA5">
        <f t="shared" si="0"/>
        <v>0</v>
      </c>
      <c r="AB5">
        <f>(AA5/AA38)*100</f>
        <v>0</v>
      </c>
    </row>
    <row r="6" spans="1:28" x14ac:dyDescent="0.25">
      <c r="A6" s="12" t="s">
        <v>4</v>
      </c>
      <c r="AA6">
        <f t="shared" si="0"/>
        <v>0</v>
      </c>
      <c r="AB6">
        <f>(AA6/AA38)*100</f>
        <v>0</v>
      </c>
    </row>
    <row r="7" spans="1:28" x14ac:dyDescent="0.25">
      <c r="A7" s="12" t="s">
        <v>5</v>
      </c>
      <c r="D7">
        <v>1</v>
      </c>
      <c r="E7">
        <v>1</v>
      </c>
      <c r="AA7">
        <f t="shared" si="0"/>
        <v>2</v>
      </c>
      <c r="AB7">
        <f>(AA7/AA38)*100</f>
        <v>1.1235955056179776</v>
      </c>
    </row>
    <row r="8" spans="1:28" x14ac:dyDescent="0.25">
      <c r="A8" s="12" t="s">
        <v>6</v>
      </c>
      <c r="E8">
        <v>3</v>
      </c>
      <c r="AA8">
        <f t="shared" si="0"/>
        <v>3</v>
      </c>
      <c r="AB8">
        <f>(AA8/AA38)*100</f>
        <v>1.6853932584269662</v>
      </c>
    </row>
    <row r="9" spans="1:28" x14ac:dyDescent="0.25">
      <c r="A9" s="12" t="s">
        <v>7</v>
      </c>
      <c r="AA9">
        <f t="shared" si="0"/>
        <v>0</v>
      </c>
      <c r="AB9">
        <f>(AA9/AA38)*100</f>
        <v>0</v>
      </c>
    </row>
    <row r="10" spans="1:28" x14ac:dyDescent="0.25">
      <c r="A10" s="12" t="s">
        <v>8</v>
      </c>
      <c r="B10">
        <v>1</v>
      </c>
      <c r="AA10">
        <f t="shared" si="0"/>
        <v>1</v>
      </c>
      <c r="AB10">
        <f>(AA10/AA38)*100</f>
        <v>0.5617977528089888</v>
      </c>
    </row>
    <row r="11" spans="1:28" x14ac:dyDescent="0.25">
      <c r="A11" s="12" t="s">
        <v>9</v>
      </c>
      <c r="D11">
        <v>1</v>
      </c>
      <c r="AA11">
        <f t="shared" si="0"/>
        <v>1</v>
      </c>
      <c r="AB11">
        <f>(AA11/AA38)*100</f>
        <v>0.5617977528089888</v>
      </c>
    </row>
    <row r="12" spans="1:28" x14ac:dyDescent="0.25">
      <c r="A12" s="12" t="s">
        <v>10</v>
      </c>
      <c r="AA12">
        <f t="shared" si="0"/>
        <v>0</v>
      </c>
      <c r="AB12">
        <f>(AA12/AA38)*100</f>
        <v>0</v>
      </c>
    </row>
    <row r="13" spans="1:28" x14ac:dyDescent="0.25">
      <c r="A13" s="12" t="s">
        <v>11</v>
      </c>
      <c r="AA13">
        <f t="shared" si="0"/>
        <v>0</v>
      </c>
      <c r="AB13">
        <f>(AA13/AA38)*100</f>
        <v>0</v>
      </c>
    </row>
    <row r="14" spans="1:28" x14ac:dyDescent="0.25">
      <c r="A14" s="12" t="s">
        <v>12</v>
      </c>
      <c r="AA14">
        <f t="shared" si="0"/>
        <v>0</v>
      </c>
      <c r="AB14">
        <f>(AA14/AA38)*100</f>
        <v>0</v>
      </c>
    </row>
    <row r="15" spans="1:28" x14ac:dyDescent="0.25">
      <c r="A15" s="12" t="s">
        <v>13</v>
      </c>
      <c r="AA15">
        <f t="shared" si="0"/>
        <v>0</v>
      </c>
      <c r="AB15">
        <f>(AA15/AA38)*100</f>
        <v>0</v>
      </c>
    </row>
    <row r="16" spans="1:28" x14ac:dyDescent="0.25">
      <c r="A16" s="12" t="s">
        <v>14</v>
      </c>
      <c r="AA16">
        <f t="shared" si="0"/>
        <v>0</v>
      </c>
      <c r="AB16">
        <f>(AA16/AA38)*100</f>
        <v>0</v>
      </c>
    </row>
    <row r="17" spans="1:28" x14ac:dyDescent="0.25">
      <c r="A17" s="12" t="s">
        <v>15</v>
      </c>
      <c r="B17">
        <v>2</v>
      </c>
      <c r="C17">
        <v>3</v>
      </c>
      <c r="D17">
        <v>6</v>
      </c>
      <c r="AA17">
        <f t="shared" si="0"/>
        <v>11</v>
      </c>
      <c r="AB17">
        <f>(AA17/AA38)*100</f>
        <v>6.179775280898876</v>
      </c>
    </row>
    <row r="18" spans="1:28" x14ac:dyDescent="0.25">
      <c r="A18" s="12" t="s">
        <v>16</v>
      </c>
      <c r="C18">
        <v>1</v>
      </c>
      <c r="F18">
        <v>2</v>
      </c>
      <c r="AA18">
        <f t="shared" si="0"/>
        <v>3</v>
      </c>
      <c r="AB18">
        <f>(AA18/AA38)*100</f>
        <v>1.6853932584269662</v>
      </c>
    </row>
    <row r="19" spans="1:28" x14ac:dyDescent="0.25">
      <c r="A19" s="12" t="s">
        <v>17</v>
      </c>
      <c r="B19">
        <v>1</v>
      </c>
      <c r="E19">
        <v>9</v>
      </c>
      <c r="F19">
        <v>8</v>
      </c>
      <c r="AA19">
        <f t="shared" si="0"/>
        <v>18</v>
      </c>
      <c r="AB19">
        <f>(AA19/AA38)*100</f>
        <v>10.112359550561797</v>
      </c>
    </row>
    <row r="20" spans="1:28" x14ac:dyDescent="0.25">
      <c r="A20" s="12" t="s">
        <v>18</v>
      </c>
      <c r="B20">
        <v>1</v>
      </c>
      <c r="E20">
        <v>12</v>
      </c>
      <c r="F20">
        <v>7</v>
      </c>
      <c r="AA20">
        <f t="shared" si="0"/>
        <v>20</v>
      </c>
      <c r="AB20">
        <f>(AA20/AA38)*100</f>
        <v>11.235955056179774</v>
      </c>
    </row>
    <row r="21" spans="1:28" x14ac:dyDescent="0.25">
      <c r="A21" s="12" t="s">
        <v>19</v>
      </c>
      <c r="AA21">
        <f t="shared" si="0"/>
        <v>0</v>
      </c>
      <c r="AB21">
        <f>(AA21/AA38)*100</f>
        <v>0</v>
      </c>
    </row>
    <row r="22" spans="1:28" x14ac:dyDescent="0.25">
      <c r="A22" s="12" t="s">
        <v>20</v>
      </c>
      <c r="AA22">
        <f t="shared" si="0"/>
        <v>0</v>
      </c>
      <c r="AB22">
        <f>(AA22/AA38)*100</f>
        <v>0</v>
      </c>
    </row>
    <row r="23" spans="1:28" x14ac:dyDescent="0.25">
      <c r="A23" s="12" t="s">
        <v>21</v>
      </c>
      <c r="B23">
        <v>1</v>
      </c>
      <c r="F23">
        <v>1</v>
      </c>
      <c r="AA23">
        <f t="shared" si="0"/>
        <v>2</v>
      </c>
      <c r="AB23">
        <f>(AA23/AA38)*100</f>
        <v>1.1235955056179776</v>
      </c>
    </row>
    <row r="24" spans="1:28" x14ac:dyDescent="0.25">
      <c r="A24" s="12" t="s">
        <v>22</v>
      </c>
      <c r="AA24">
        <f t="shared" si="0"/>
        <v>0</v>
      </c>
      <c r="AB24">
        <f>(AA24/AA38)*100</f>
        <v>0</v>
      </c>
    </row>
    <row r="25" spans="1:28" x14ac:dyDescent="0.25">
      <c r="A25" s="12" t="s">
        <v>23</v>
      </c>
      <c r="AA25">
        <f t="shared" si="0"/>
        <v>0</v>
      </c>
      <c r="AB25">
        <f>(AA25/AA38)*100</f>
        <v>0</v>
      </c>
    </row>
    <row r="26" spans="1:28" x14ac:dyDescent="0.25">
      <c r="A26" s="12" t="s">
        <v>24</v>
      </c>
      <c r="D26">
        <v>1</v>
      </c>
      <c r="E26">
        <v>1</v>
      </c>
      <c r="AA26">
        <f t="shared" si="0"/>
        <v>2</v>
      </c>
      <c r="AB26">
        <f>(AA26/AA38)*100</f>
        <v>1.1235955056179776</v>
      </c>
    </row>
    <row r="27" spans="1:28" x14ac:dyDescent="0.25">
      <c r="A27" s="12" t="s">
        <v>25</v>
      </c>
      <c r="AA27">
        <f t="shared" si="0"/>
        <v>0</v>
      </c>
      <c r="AB27">
        <f>(AA27/AA38)*100</f>
        <v>0</v>
      </c>
    </row>
    <row r="28" spans="1:28" x14ac:dyDescent="0.25">
      <c r="A28" s="12" t="s">
        <v>26</v>
      </c>
      <c r="AA28">
        <f t="shared" si="0"/>
        <v>0</v>
      </c>
      <c r="AB28">
        <f>(AA28/AA38)*100</f>
        <v>0</v>
      </c>
    </row>
    <row r="29" spans="1:28" x14ac:dyDescent="0.25">
      <c r="A29" s="12" t="s">
        <v>27</v>
      </c>
      <c r="C29">
        <v>2</v>
      </c>
      <c r="D29">
        <v>5</v>
      </c>
      <c r="E29">
        <v>1</v>
      </c>
      <c r="AA29">
        <f t="shared" si="0"/>
        <v>8</v>
      </c>
      <c r="AB29">
        <f>(AA29/AA38)*100</f>
        <v>4.4943820224719104</v>
      </c>
    </row>
    <row r="30" spans="1:28" x14ac:dyDescent="0.25">
      <c r="A30" s="12" t="s">
        <v>28</v>
      </c>
      <c r="AA30">
        <f t="shared" si="0"/>
        <v>0</v>
      </c>
      <c r="AB30">
        <f>(AA30/AA38)*100</f>
        <v>0</v>
      </c>
    </row>
    <row r="31" spans="1:28" x14ac:dyDescent="0.25">
      <c r="A31" s="12" t="s">
        <v>29</v>
      </c>
      <c r="B31">
        <v>7</v>
      </c>
      <c r="C31">
        <v>8</v>
      </c>
      <c r="D31">
        <v>8</v>
      </c>
      <c r="E31">
        <v>15</v>
      </c>
      <c r="F31">
        <v>8</v>
      </c>
      <c r="AA31">
        <f t="shared" si="0"/>
        <v>46</v>
      </c>
      <c r="AB31">
        <f>(AA31/AA38)*100</f>
        <v>25.842696629213485</v>
      </c>
    </row>
    <row r="32" spans="1:28" x14ac:dyDescent="0.25">
      <c r="A32" s="12" t="s">
        <v>30</v>
      </c>
      <c r="B32">
        <v>1</v>
      </c>
      <c r="E32">
        <v>1</v>
      </c>
      <c r="AA32">
        <f t="shared" si="0"/>
        <v>2</v>
      </c>
      <c r="AB32">
        <f>(AA32/AA38)*100</f>
        <v>1.1235955056179776</v>
      </c>
    </row>
    <row r="33" spans="1:28" x14ac:dyDescent="0.25">
      <c r="A33" s="12" t="s">
        <v>31</v>
      </c>
      <c r="AA33">
        <f t="shared" si="0"/>
        <v>0</v>
      </c>
      <c r="AB33">
        <f>(AA33/AA38)*100</f>
        <v>0</v>
      </c>
    </row>
    <row r="34" spans="1:28" x14ac:dyDescent="0.25">
      <c r="A34" s="12" t="s">
        <v>68</v>
      </c>
      <c r="AA34">
        <f t="shared" si="0"/>
        <v>0</v>
      </c>
      <c r="AB34">
        <f>(AA34/AA38)*100</f>
        <v>0</v>
      </c>
    </row>
    <row r="35" spans="1:28" x14ac:dyDescent="0.25">
      <c r="A35" s="12" t="s">
        <v>32</v>
      </c>
      <c r="AA35">
        <f t="shared" si="0"/>
        <v>0</v>
      </c>
      <c r="AB35">
        <f>(AA35/AA38)*100</f>
        <v>0</v>
      </c>
    </row>
    <row r="36" spans="1:28" x14ac:dyDescent="0.25">
      <c r="A36" s="12" t="s">
        <v>33</v>
      </c>
      <c r="AA36">
        <f t="shared" si="0"/>
        <v>0</v>
      </c>
      <c r="AB36">
        <f>(AA36/AA38)*100</f>
        <v>0</v>
      </c>
    </row>
    <row r="37" spans="1:28" x14ac:dyDescent="0.25">
      <c r="A37" s="12" t="s">
        <v>34</v>
      </c>
      <c r="AA37">
        <f t="shared" si="0"/>
        <v>0</v>
      </c>
      <c r="AB37">
        <f>(AA37/AA38)*100</f>
        <v>0</v>
      </c>
    </row>
    <row r="38" spans="1:28" s="19" customFormat="1" ht="12.75" x14ac:dyDescent="0.2">
      <c r="A38" s="19" t="s">
        <v>71</v>
      </c>
      <c r="B38" s="22">
        <f t="shared" ref="B38:Z38" si="1">SUM(B3:B37)</f>
        <v>29</v>
      </c>
      <c r="C38" s="22">
        <f t="shared" si="1"/>
        <v>18</v>
      </c>
      <c r="D38" s="22">
        <f t="shared" si="1"/>
        <v>28</v>
      </c>
      <c r="E38" s="22">
        <f t="shared" si="1"/>
        <v>73</v>
      </c>
      <c r="F38" s="22">
        <f t="shared" si="1"/>
        <v>30</v>
      </c>
      <c r="G38" s="22">
        <f t="shared" si="1"/>
        <v>0</v>
      </c>
      <c r="H38" s="22">
        <f t="shared" si="1"/>
        <v>0</v>
      </c>
      <c r="I38" s="22">
        <f t="shared" si="1"/>
        <v>0</v>
      </c>
      <c r="J38" s="22">
        <f t="shared" si="1"/>
        <v>0</v>
      </c>
      <c r="K38" s="22">
        <f t="shared" si="1"/>
        <v>0</v>
      </c>
      <c r="L38" s="22">
        <f t="shared" si="1"/>
        <v>0</v>
      </c>
      <c r="M38" s="22">
        <f t="shared" si="1"/>
        <v>0</v>
      </c>
      <c r="N38" s="22">
        <f t="shared" si="1"/>
        <v>0</v>
      </c>
      <c r="O38" s="22">
        <f t="shared" si="1"/>
        <v>0</v>
      </c>
      <c r="P38" s="22">
        <f t="shared" si="1"/>
        <v>0</v>
      </c>
      <c r="Q38" s="22">
        <f t="shared" si="1"/>
        <v>0</v>
      </c>
      <c r="R38" s="22">
        <f t="shared" si="1"/>
        <v>0</v>
      </c>
      <c r="S38" s="22">
        <f t="shared" si="1"/>
        <v>0</v>
      </c>
      <c r="T38" s="22">
        <f t="shared" si="1"/>
        <v>0</v>
      </c>
      <c r="U38" s="22">
        <f t="shared" si="1"/>
        <v>0</v>
      </c>
      <c r="V38" s="22">
        <f t="shared" si="1"/>
        <v>0</v>
      </c>
      <c r="W38" s="22">
        <f t="shared" si="1"/>
        <v>0</v>
      </c>
      <c r="X38" s="22">
        <f t="shared" si="1"/>
        <v>0</v>
      </c>
      <c r="Y38" s="22">
        <f t="shared" si="1"/>
        <v>0</v>
      </c>
      <c r="Z38" s="22">
        <f t="shared" si="1"/>
        <v>0</v>
      </c>
      <c r="AA38" s="22">
        <f>SUM(AA3:AA37)</f>
        <v>178</v>
      </c>
      <c r="AB38" s="21">
        <f>SUM(AB3:AB37)</f>
        <v>99.999999999999972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topLeftCell="J19" workbookViewId="0"/>
  </sheetViews>
  <sheetFormatPr defaultRowHeight="15" x14ac:dyDescent="0.25"/>
  <cols>
    <col min="1" max="1" width="21.140625" customWidth="1"/>
  </cols>
  <sheetData>
    <row r="1" spans="1:28" x14ac:dyDescent="0.25">
      <c r="A1" s="19" t="s">
        <v>98</v>
      </c>
      <c r="B1" s="22">
        <v>1</v>
      </c>
      <c r="C1" s="22">
        <v>2</v>
      </c>
      <c r="D1" s="22">
        <v>3</v>
      </c>
      <c r="E1" s="22">
        <v>4</v>
      </c>
      <c r="F1" s="22">
        <v>5</v>
      </c>
      <c r="G1" s="22">
        <v>6</v>
      </c>
      <c r="H1" s="22">
        <v>7</v>
      </c>
      <c r="I1" s="22">
        <v>8</v>
      </c>
      <c r="J1" s="22">
        <v>9</v>
      </c>
      <c r="K1" s="22">
        <v>10</v>
      </c>
      <c r="L1" s="22">
        <v>11</v>
      </c>
      <c r="M1" s="22">
        <v>12</v>
      </c>
      <c r="N1" s="22">
        <v>13</v>
      </c>
      <c r="O1" s="22">
        <v>14</v>
      </c>
      <c r="P1" s="22">
        <v>15</v>
      </c>
      <c r="Q1" s="22">
        <v>16</v>
      </c>
      <c r="R1" s="22">
        <v>17</v>
      </c>
      <c r="S1" s="22">
        <v>18</v>
      </c>
      <c r="T1" s="22">
        <v>19</v>
      </c>
      <c r="U1" s="22">
        <v>20</v>
      </c>
      <c r="V1" s="22">
        <v>21</v>
      </c>
      <c r="W1" s="22">
        <v>22</v>
      </c>
      <c r="X1" s="22">
        <v>23</v>
      </c>
      <c r="Y1" s="22">
        <v>24</v>
      </c>
      <c r="Z1" s="83">
        <v>25</v>
      </c>
    </row>
    <row r="2" spans="1:28" s="43" customFormat="1" ht="12.75" x14ac:dyDescent="0.2">
      <c r="A2" s="47" t="s">
        <v>97</v>
      </c>
      <c r="B2" s="23" t="s">
        <v>489</v>
      </c>
      <c r="C2" s="23" t="s">
        <v>490</v>
      </c>
      <c r="D2" s="23" t="s">
        <v>491</v>
      </c>
      <c r="E2" s="23" t="s">
        <v>492</v>
      </c>
      <c r="F2" s="23" t="s">
        <v>493</v>
      </c>
      <c r="G2" s="23" t="s">
        <v>494</v>
      </c>
      <c r="H2" s="23" t="s">
        <v>495</v>
      </c>
      <c r="I2" s="23" t="s">
        <v>496</v>
      </c>
      <c r="J2" s="23" t="s">
        <v>389</v>
      </c>
      <c r="K2" s="23" t="s">
        <v>497</v>
      </c>
      <c r="L2" s="23" t="s">
        <v>498</v>
      </c>
      <c r="M2" s="23" t="s">
        <v>499</v>
      </c>
      <c r="N2" s="23" t="s">
        <v>500</v>
      </c>
      <c r="O2" s="23" t="s">
        <v>501</v>
      </c>
      <c r="P2" s="23" t="s">
        <v>502</v>
      </c>
      <c r="Q2" s="23" t="s">
        <v>350</v>
      </c>
      <c r="R2" s="23" t="s">
        <v>503</v>
      </c>
      <c r="S2" s="23" t="s">
        <v>504</v>
      </c>
      <c r="Y2" s="23"/>
      <c r="Z2" s="23"/>
      <c r="AA2" s="23" t="s">
        <v>73</v>
      </c>
      <c r="AB2" s="23" t="s">
        <v>72</v>
      </c>
    </row>
    <row r="3" spans="1:28" x14ac:dyDescent="0.25">
      <c r="A3" s="12" t="s">
        <v>1</v>
      </c>
      <c r="AA3">
        <f t="shared" ref="AA3:AA37" si="0">SUM(B3:Z3)</f>
        <v>0</v>
      </c>
      <c r="AB3">
        <f>(AA3/AA38)*100</f>
        <v>0</v>
      </c>
    </row>
    <row r="4" spans="1:28" x14ac:dyDescent="0.25">
      <c r="A4" s="12" t="s">
        <v>2</v>
      </c>
      <c r="B4">
        <v>10</v>
      </c>
      <c r="C4">
        <v>25</v>
      </c>
      <c r="D4">
        <v>19</v>
      </c>
      <c r="E4">
        <v>6</v>
      </c>
      <c r="F4">
        <v>25</v>
      </c>
      <c r="G4">
        <v>5</v>
      </c>
      <c r="H4">
        <v>2</v>
      </c>
      <c r="I4">
        <v>9</v>
      </c>
      <c r="J4">
        <v>17</v>
      </c>
      <c r="L4">
        <v>5</v>
      </c>
      <c r="M4">
        <v>7</v>
      </c>
      <c r="N4">
        <v>1</v>
      </c>
      <c r="O4">
        <v>6</v>
      </c>
      <c r="P4">
        <v>9</v>
      </c>
      <c r="Q4">
        <v>6</v>
      </c>
      <c r="R4">
        <v>9</v>
      </c>
      <c r="S4">
        <v>9</v>
      </c>
      <c r="AA4">
        <f t="shared" si="0"/>
        <v>170</v>
      </c>
      <c r="AB4">
        <f>(AA4/AA38)*100</f>
        <v>35.714285714285715</v>
      </c>
    </row>
    <row r="5" spans="1:28" x14ac:dyDescent="0.25">
      <c r="A5" s="12" t="s">
        <v>3</v>
      </c>
      <c r="H5">
        <v>1</v>
      </c>
      <c r="AA5">
        <f t="shared" si="0"/>
        <v>1</v>
      </c>
      <c r="AB5">
        <f>(AA5/AA38)*100</f>
        <v>0.21008403361344538</v>
      </c>
    </row>
    <row r="6" spans="1:28" x14ac:dyDescent="0.25">
      <c r="A6" s="12" t="s">
        <v>4</v>
      </c>
      <c r="AA6">
        <f t="shared" si="0"/>
        <v>0</v>
      </c>
      <c r="AB6">
        <f>(AA6/AA38)*100</f>
        <v>0</v>
      </c>
    </row>
    <row r="7" spans="1:28" x14ac:dyDescent="0.25">
      <c r="A7" s="12" t="s">
        <v>5</v>
      </c>
      <c r="D7">
        <v>2</v>
      </c>
      <c r="E7">
        <v>3</v>
      </c>
      <c r="I7">
        <v>1</v>
      </c>
      <c r="K7">
        <v>1</v>
      </c>
      <c r="S7">
        <v>1</v>
      </c>
      <c r="AA7">
        <f t="shared" si="0"/>
        <v>8</v>
      </c>
      <c r="AB7">
        <f>(AA7/AA38)*100</f>
        <v>1.680672268907563</v>
      </c>
    </row>
    <row r="8" spans="1:28" x14ac:dyDescent="0.25">
      <c r="A8" s="12" t="s">
        <v>6</v>
      </c>
      <c r="B8">
        <v>7</v>
      </c>
      <c r="C8">
        <v>2</v>
      </c>
      <c r="D8">
        <v>2</v>
      </c>
      <c r="E8">
        <v>1</v>
      </c>
      <c r="F8">
        <v>2</v>
      </c>
      <c r="I8">
        <v>2</v>
      </c>
      <c r="K8">
        <v>1</v>
      </c>
      <c r="S8">
        <v>2</v>
      </c>
      <c r="AA8">
        <f t="shared" si="0"/>
        <v>19</v>
      </c>
      <c r="AB8">
        <f>(AA8/AA38)*100</f>
        <v>3.9915966386554618</v>
      </c>
    </row>
    <row r="9" spans="1:28" x14ac:dyDescent="0.25">
      <c r="A9" s="12" t="s">
        <v>7</v>
      </c>
      <c r="AA9">
        <f t="shared" si="0"/>
        <v>0</v>
      </c>
      <c r="AB9">
        <f>(AA9/AA38)*100</f>
        <v>0</v>
      </c>
    </row>
    <row r="10" spans="1:28" x14ac:dyDescent="0.25">
      <c r="A10" s="12" t="s">
        <v>8</v>
      </c>
      <c r="E10">
        <v>2</v>
      </c>
      <c r="F10">
        <v>1</v>
      </c>
      <c r="P10">
        <v>1</v>
      </c>
      <c r="AA10">
        <f t="shared" si="0"/>
        <v>4</v>
      </c>
      <c r="AB10">
        <f>(AA10/AA38)*100</f>
        <v>0.84033613445378152</v>
      </c>
    </row>
    <row r="11" spans="1:28" x14ac:dyDescent="0.25">
      <c r="A11" s="12" t="s">
        <v>9</v>
      </c>
      <c r="O11">
        <v>1</v>
      </c>
      <c r="AA11">
        <f t="shared" si="0"/>
        <v>1</v>
      </c>
      <c r="AB11">
        <f>(AA11/AA38)*100</f>
        <v>0.21008403361344538</v>
      </c>
    </row>
    <row r="12" spans="1:28" x14ac:dyDescent="0.25">
      <c r="A12" s="12" t="s">
        <v>10</v>
      </c>
      <c r="AA12">
        <f t="shared" si="0"/>
        <v>0</v>
      </c>
      <c r="AB12">
        <f>(AA12/AA38)*100</f>
        <v>0</v>
      </c>
    </row>
    <row r="13" spans="1:28" ht="14.25" customHeight="1" x14ac:dyDescent="0.25">
      <c r="A13" s="12" t="s">
        <v>11</v>
      </c>
      <c r="E13">
        <v>1</v>
      </c>
      <c r="O13">
        <v>1</v>
      </c>
      <c r="AA13">
        <f t="shared" si="0"/>
        <v>2</v>
      </c>
      <c r="AB13">
        <f>(AA13/AA38)*100</f>
        <v>0.42016806722689076</v>
      </c>
    </row>
    <row r="14" spans="1:28" x14ac:dyDescent="0.25">
      <c r="A14" s="12" t="s">
        <v>12</v>
      </c>
      <c r="AA14">
        <f t="shared" si="0"/>
        <v>0</v>
      </c>
      <c r="AB14">
        <f>(AA14/AA38)*100</f>
        <v>0</v>
      </c>
    </row>
    <row r="15" spans="1:28" x14ac:dyDescent="0.25">
      <c r="A15" s="12" t="s">
        <v>13</v>
      </c>
      <c r="D15">
        <v>1</v>
      </c>
      <c r="AA15">
        <f t="shared" si="0"/>
        <v>1</v>
      </c>
      <c r="AB15">
        <f>(AA15/AA38)*100</f>
        <v>0.21008403361344538</v>
      </c>
    </row>
    <row r="16" spans="1:28" x14ac:dyDescent="0.25">
      <c r="A16" s="12" t="s">
        <v>14</v>
      </c>
      <c r="AA16">
        <f t="shared" si="0"/>
        <v>0</v>
      </c>
      <c r="AB16">
        <f>(AA16/AA38)*100</f>
        <v>0</v>
      </c>
    </row>
    <row r="17" spans="1:28" x14ac:dyDescent="0.25">
      <c r="A17" s="12" t="s">
        <v>15</v>
      </c>
      <c r="B17">
        <v>2</v>
      </c>
      <c r="C17">
        <v>3</v>
      </c>
      <c r="D17">
        <v>3</v>
      </c>
      <c r="E17">
        <v>3</v>
      </c>
      <c r="F17">
        <v>1</v>
      </c>
      <c r="J17">
        <v>3</v>
      </c>
      <c r="N17">
        <v>1</v>
      </c>
      <c r="P17">
        <v>1</v>
      </c>
      <c r="AA17">
        <f t="shared" si="0"/>
        <v>17</v>
      </c>
      <c r="AB17">
        <f>(AA17/AA38)*100</f>
        <v>3.5714285714285712</v>
      </c>
    </row>
    <row r="18" spans="1:28" x14ac:dyDescent="0.25">
      <c r="A18" s="12" t="s">
        <v>16</v>
      </c>
      <c r="G18">
        <v>1</v>
      </c>
      <c r="L18">
        <v>1</v>
      </c>
      <c r="AA18">
        <f t="shared" si="0"/>
        <v>2</v>
      </c>
      <c r="AB18">
        <f>(AA18/AA38)*100</f>
        <v>0.42016806722689076</v>
      </c>
    </row>
    <row r="19" spans="1:28" x14ac:dyDescent="0.25">
      <c r="A19" s="12" t="s">
        <v>17</v>
      </c>
      <c r="B19">
        <v>14</v>
      </c>
      <c r="C19">
        <v>6</v>
      </c>
      <c r="D19">
        <v>3</v>
      </c>
      <c r="E19">
        <v>8</v>
      </c>
      <c r="F19">
        <v>5</v>
      </c>
      <c r="G19">
        <v>1</v>
      </c>
      <c r="H19">
        <v>3</v>
      </c>
      <c r="J19">
        <v>3</v>
      </c>
      <c r="K19">
        <v>1</v>
      </c>
      <c r="L19">
        <v>6</v>
      </c>
      <c r="M19">
        <v>1</v>
      </c>
      <c r="N19">
        <v>2</v>
      </c>
      <c r="P19">
        <v>1</v>
      </c>
      <c r="Q19">
        <v>1</v>
      </c>
      <c r="R19">
        <v>1</v>
      </c>
      <c r="AA19">
        <f t="shared" si="0"/>
        <v>56</v>
      </c>
      <c r="AB19">
        <f>(AA19/AA38)*100</f>
        <v>11.76470588235294</v>
      </c>
    </row>
    <row r="20" spans="1:28" x14ac:dyDescent="0.25">
      <c r="A20" s="12" t="s">
        <v>18</v>
      </c>
      <c r="B20">
        <v>2</v>
      </c>
      <c r="C20">
        <v>2</v>
      </c>
      <c r="N20">
        <v>1</v>
      </c>
      <c r="O20">
        <v>1</v>
      </c>
      <c r="R20">
        <v>1</v>
      </c>
      <c r="S20">
        <v>1</v>
      </c>
      <c r="AA20">
        <f t="shared" si="0"/>
        <v>8</v>
      </c>
      <c r="AB20">
        <f>(AA20/AA38)*100</f>
        <v>1.680672268907563</v>
      </c>
    </row>
    <row r="21" spans="1:28" x14ac:dyDescent="0.25">
      <c r="A21" s="12" t="s">
        <v>19</v>
      </c>
      <c r="AA21">
        <f t="shared" si="0"/>
        <v>0</v>
      </c>
      <c r="AB21">
        <f>(AA21/AA38)*100</f>
        <v>0</v>
      </c>
    </row>
    <row r="22" spans="1:28" x14ac:dyDescent="0.25">
      <c r="A22" s="12" t="s">
        <v>20</v>
      </c>
      <c r="B22">
        <v>3</v>
      </c>
      <c r="AA22">
        <f t="shared" si="0"/>
        <v>3</v>
      </c>
      <c r="AB22">
        <f>(AA22/AA38)*100</f>
        <v>0.63025210084033612</v>
      </c>
    </row>
    <row r="23" spans="1:28" x14ac:dyDescent="0.25">
      <c r="A23" s="12" t="s">
        <v>21</v>
      </c>
      <c r="B23">
        <v>1</v>
      </c>
      <c r="C23">
        <v>2</v>
      </c>
      <c r="D23">
        <v>4</v>
      </c>
      <c r="F23">
        <v>2</v>
      </c>
      <c r="G23">
        <v>1</v>
      </c>
      <c r="J23">
        <v>3</v>
      </c>
      <c r="AA23">
        <f t="shared" si="0"/>
        <v>13</v>
      </c>
      <c r="AB23">
        <f>(AA23/AA38)*100</f>
        <v>2.73109243697479</v>
      </c>
    </row>
    <row r="24" spans="1:28" x14ac:dyDescent="0.25">
      <c r="A24" s="12" t="s">
        <v>22</v>
      </c>
      <c r="N24">
        <v>1</v>
      </c>
      <c r="AA24">
        <f t="shared" si="0"/>
        <v>1</v>
      </c>
      <c r="AB24">
        <f>(AA24/AA38)*100</f>
        <v>0.21008403361344538</v>
      </c>
    </row>
    <row r="25" spans="1:28" x14ac:dyDescent="0.25">
      <c r="A25" s="12" t="s">
        <v>23</v>
      </c>
      <c r="AA25">
        <f t="shared" si="0"/>
        <v>0</v>
      </c>
      <c r="AB25">
        <f>(AA25/AA38)*100</f>
        <v>0</v>
      </c>
    </row>
    <row r="26" spans="1:28" x14ac:dyDescent="0.25">
      <c r="A26" s="12" t="s">
        <v>24</v>
      </c>
      <c r="B26">
        <v>1</v>
      </c>
      <c r="P26">
        <v>1</v>
      </c>
      <c r="Q26">
        <v>1</v>
      </c>
      <c r="AA26">
        <f t="shared" si="0"/>
        <v>3</v>
      </c>
      <c r="AB26">
        <f>(AA26/AA38)*100</f>
        <v>0.63025210084033612</v>
      </c>
    </row>
    <row r="27" spans="1:28" x14ac:dyDescent="0.25">
      <c r="A27" s="12" t="s">
        <v>25</v>
      </c>
      <c r="AA27">
        <f t="shared" si="0"/>
        <v>0</v>
      </c>
      <c r="AB27">
        <f>(AA27/AA38)*100</f>
        <v>0</v>
      </c>
    </row>
    <row r="28" spans="1:28" x14ac:dyDescent="0.25">
      <c r="A28" s="12" t="s">
        <v>26</v>
      </c>
      <c r="AA28">
        <f t="shared" si="0"/>
        <v>0</v>
      </c>
      <c r="AB28">
        <f>(AA28/AA38)*100</f>
        <v>0</v>
      </c>
    </row>
    <row r="29" spans="1:28" x14ac:dyDescent="0.25">
      <c r="A29" s="12" t="s">
        <v>27</v>
      </c>
      <c r="D29">
        <v>2</v>
      </c>
      <c r="F29">
        <v>4</v>
      </c>
      <c r="G29">
        <v>3</v>
      </c>
      <c r="H29">
        <v>2</v>
      </c>
      <c r="I29">
        <v>2</v>
      </c>
      <c r="J29">
        <v>1</v>
      </c>
      <c r="M29">
        <v>2</v>
      </c>
      <c r="O29">
        <v>2</v>
      </c>
      <c r="P29">
        <v>2</v>
      </c>
      <c r="Q29">
        <v>1</v>
      </c>
      <c r="R29">
        <v>1</v>
      </c>
      <c r="S29">
        <v>1</v>
      </c>
      <c r="AA29">
        <f t="shared" si="0"/>
        <v>23</v>
      </c>
      <c r="AB29">
        <f>(AA29/AA38)*100</f>
        <v>4.8319327731092443</v>
      </c>
    </row>
    <row r="30" spans="1:28" x14ac:dyDescent="0.25">
      <c r="A30" s="12" t="s">
        <v>28</v>
      </c>
      <c r="I30">
        <v>1</v>
      </c>
      <c r="AA30">
        <f t="shared" si="0"/>
        <v>1</v>
      </c>
      <c r="AB30">
        <f>(AA30/AA38)*100</f>
        <v>0.21008403361344538</v>
      </c>
    </row>
    <row r="31" spans="1:28" x14ac:dyDescent="0.25">
      <c r="A31" s="12" t="s">
        <v>29</v>
      </c>
      <c r="B31">
        <v>17</v>
      </c>
      <c r="C31">
        <v>11</v>
      </c>
      <c r="D31">
        <v>11</v>
      </c>
      <c r="E31">
        <v>8</v>
      </c>
      <c r="F31">
        <v>18</v>
      </c>
      <c r="G31">
        <v>6</v>
      </c>
      <c r="H31">
        <v>6</v>
      </c>
      <c r="I31">
        <v>6</v>
      </c>
      <c r="J31">
        <v>8</v>
      </c>
      <c r="K31">
        <v>2</v>
      </c>
      <c r="L31">
        <v>7</v>
      </c>
      <c r="M31">
        <v>2</v>
      </c>
      <c r="N31">
        <v>3</v>
      </c>
      <c r="O31">
        <v>5</v>
      </c>
      <c r="P31">
        <v>3</v>
      </c>
      <c r="Q31">
        <v>10</v>
      </c>
      <c r="R31">
        <v>10</v>
      </c>
      <c r="S31">
        <v>7</v>
      </c>
      <c r="AA31">
        <f t="shared" si="0"/>
        <v>140</v>
      </c>
      <c r="AB31">
        <f>(AA31/AA38)*100</f>
        <v>29.411764705882355</v>
      </c>
    </row>
    <row r="32" spans="1:28" x14ac:dyDescent="0.25">
      <c r="A32" s="12" t="s">
        <v>30</v>
      </c>
      <c r="B32">
        <v>1</v>
      </c>
      <c r="D32">
        <v>2</v>
      </c>
      <c r="AA32">
        <f t="shared" si="0"/>
        <v>3</v>
      </c>
      <c r="AB32">
        <f>(AA32/AA38)*100</f>
        <v>0.63025210084033612</v>
      </c>
    </row>
    <row r="33" spans="1:28" x14ac:dyDescent="0.25">
      <c r="A33" s="12" t="s">
        <v>31</v>
      </c>
      <c r="AA33">
        <f t="shared" si="0"/>
        <v>0</v>
      </c>
      <c r="AB33">
        <f>(AA33/AA38)*100</f>
        <v>0</v>
      </c>
    </row>
    <row r="34" spans="1:28" x14ac:dyDescent="0.25">
      <c r="A34" s="12" t="s">
        <v>68</v>
      </c>
      <c r="AA34">
        <f t="shared" si="0"/>
        <v>0</v>
      </c>
      <c r="AB34">
        <f>(AA34/AA38)*100</f>
        <v>0</v>
      </c>
    </row>
    <row r="35" spans="1:28" x14ac:dyDescent="0.25">
      <c r="A35" s="12" t="s">
        <v>32</v>
      </c>
      <c r="AA35">
        <f t="shared" si="0"/>
        <v>0</v>
      </c>
      <c r="AB35">
        <f>(AA35/AA38)*100</f>
        <v>0</v>
      </c>
    </row>
    <row r="36" spans="1:28" x14ac:dyDescent="0.25">
      <c r="A36" s="12" t="s">
        <v>33</v>
      </c>
      <c r="AA36">
        <f t="shared" si="0"/>
        <v>0</v>
      </c>
      <c r="AB36">
        <f>(AA36/AA38)*100</f>
        <v>0</v>
      </c>
    </row>
    <row r="37" spans="1:28" x14ac:dyDescent="0.25">
      <c r="A37" s="12" t="s">
        <v>34</v>
      </c>
      <c r="AA37">
        <f t="shared" si="0"/>
        <v>0</v>
      </c>
      <c r="AB37">
        <f>(AA37/AA38)*100</f>
        <v>0</v>
      </c>
    </row>
    <row r="38" spans="1:28" s="19" customFormat="1" ht="12.75" x14ac:dyDescent="0.2">
      <c r="A38" s="19" t="s">
        <v>71</v>
      </c>
      <c r="B38" s="22">
        <f>SUM(B3:B37)</f>
        <v>58</v>
      </c>
      <c r="C38" s="22">
        <f t="shared" ref="C38:F38" si="1">SUM(C3:C37)</f>
        <v>51</v>
      </c>
      <c r="D38" s="22">
        <f t="shared" si="1"/>
        <v>49</v>
      </c>
      <c r="E38" s="22">
        <f t="shared" si="1"/>
        <v>32</v>
      </c>
      <c r="F38" s="22">
        <f t="shared" si="1"/>
        <v>58</v>
      </c>
      <c r="G38" s="22">
        <f t="shared" ref="G38:Z38" si="2">SUM(G3:G37)</f>
        <v>17</v>
      </c>
      <c r="H38" s="22">
        <f t="shared" si="2"/>
        <v>14</v>
      </c>
      <c r="I38" s="22">
        <f t="shared" si="2"/>
        <v>21</v>
      </c>
      <c r="J38" s="22">
        <f t="shared" si="2"/>
        <v>35</v>
      </c>
      <c r="K38" s="22">
        <f t="shared" si="2"/>
        <v>5</v>
      </c>
      <c r="L38" s="22">
        <f t="shared" si="2"/>
        <v>19</v>
      </c>
      <c r="M38" s="22">
        <f t="shared" si="2"/>
        <v>12</v>
      </c>
      <c r="N38" s="22">
        <f t="shared" si="2"/>
        <v>9</v>
      </c>
      <c r="O38" s="22">
        <f t="shared" si="2"/>
        <v>16</v>
      </c>
      <c r="P38" s="22">
        <f t="shared" si="2"/>
        <v>18</v>
      </c>
      <c r="Q38" s="22">
        <f t="shared" si="2"/>
        <v>19</v>
      </c>
      <c r="R38" s="22">
        <f t="shared" si="2"/>
        <v>22</v>
      </c>
      <c r="S38" s="22">
        <f t="shared" si="2"/>
        <v>21</v>
      </c>
      <c r="T38" s="22">
        <f t="shared" si="2"/>
        <v>0</v>
      </c>
      <c r="U38" s="22">
        <f t="shared" si="2"/>
        <v>0</v>
      </c>
      <c r="V38" s="22">
        <f t="shared" si="2"/>
        <v>0</v>
      </c>
      <c r="W38" s="22">
        <f t="shared" si="2"/>
        <v>0</v>
      </c>
      <c r="X38" s="22">
        <f t="shared" si="2"/>
        <v>0</v>
      </c>
      <c r="Y38" s="22">
        <f t="shared" si="2"/>
        <v>0</v>
      </c>
      <c r="Z38" s="22">
        <f t="shared" si="2"/>
        <v>0</v>
      </c>
      <c r="AA38" s="22">
        <f>SUM(AA3:AA37)</f>
        <v>476</v>
      </c>
      <c r="AB38" s="21">
        <f>SUM(AB3:AB37)</f>
        <v>99.999999999999986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workbookViewId="0"/>
  </sheetViews>
  <sheetFormatPr defaultRowHeight="15" x14ac:dyDescent="0.25"/>
  <cols>
    <col min="1" max="1" width="23.42578125" bestFit="1" customWidth="1"/>
  </cols>
  <sheetData>
    <row r="1" spans="1:28" x14ac:dyDescent="0.25">
      <c r="A1" s="19" t="s">
        <v>98</v>
      </c>
      <c r="B1" s="22">
        <v>1</v>
      </c>
      <c r="C1" s="22">
        <v>2</v>
      </c>
      <c r="D1" s="22">
        <v>3</v>
      </c>
      <c r="E1" s="22">
        <v>4</v>
      </c>
      <c r="F1" s="22">
        <v>5</v>
      </c>
      <c r="G1" s="22">
        <v>6</v>
      </c>
      <c r="H1" s="22">
        <v>7</v>
      </c>
      <c r="I1" s="22">
        <v>8</v>
      </c>
      <c r="J1" s="22">
        <v>9</v>
      </c>
      <c r="K1" s="22">
        <v>10</v>
      </c>
      <c r="L1" s="22">
        <v>11</v>
      </c>
      <c r="M1" s="22">
        <v>12</v>
      </c>
      <c r="N1" s="22">
        <v>13</v>
      </c>
      <c r="O1" s="22">
        <v>14</v>
      </c>
      <c r="P1" s="22">
        <v>15</v>
      </c>
      <c r="Q1" s="22">
        <v>16</v>
      </c>
      <c r="R1" s="22">
        <v>17</v>
      </c>
      <c r="S1" s="22">
        <v>18</v>
      </c>
      <c r="T1" s="22">
        <v>19</v>
      </c>
      <c r="U1" s="22">
        <v>20</v>
      </c>
      <c r="V1" s="22">
        <v>21</v>
      </c>
      <c r="W1" s="22">
        <v>22</v>
      </c>
      <c r="X1" s="22">
        <v>23</v>
      </c>
      <c r="Y1" s="22">
        <v>24</v>
      </c>
      <c r="Z1" s="83">
        <v>25</v>
      </c>
    </row>
    <row r="2" spans="1:28" s="43" customFormat="1" ht="12.75" x14ac:dyDescent="0.2">
      <c r="A2" s="47" t="s">
        <v>97</v>
      </c>
      <c r="B2" s="23" t="s">
        <v>476</v>
      </c>
      <c r="C2" s="23" t="s">
        <v>477</v>
      </c>
      <c r="D2" s="23" t="s">
        <v>478</v>
      </c>
      <c r="E2" s="23" t="s">
        <v>479</v>
      </c>
      <c r="F2" s="23" t="s">
        <v>480</v>
      </c>
      <c r="G2" s="23" t="s">
        <v>481</v>
      </c>
      <c r="H2" s="23" t="s">
        <v>262</v>
      </c>
      <c r="I2" s="23" t="s">
        <v>482</v>
      </c>
      <c r="J2" s="23" t="s">
        <v>483</v>
      </c>
      <c r="K2" s="23" t="s">
        <v>484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 t="s">
        <v>73</v>
      </c>
      <c r="AB2" s="23" t="s">
        <v>72</v>
      </c>
    </row>
    <row r="3" spans="1:28" x14ac:dyDescent="0.25">
      <c r="A3" s="12" t="s">
        <v>1</v>
      </c>
      <c r="AA3">
        <f t="shared" ref="AA3:AA37" si="0">SUM(B3:Z3)</f>
        <v>0</v>
      </c>
      <c r="AB3">
        <f>(AA3/AA38)*100</f>
        <v>0</v>
      </c>
    </row>
    <row r="4" spans="1:28" x14ac:dyDescent="0.25">
      <c r="A4" s="12" t="s">
        <v>2</v>
      </c>
      <c r="B4">
        <v>2</v>
      </c>
      <c r="C4">
        <v>2</v>
      </c>
      <c r="D4">
        <v>3</v>
      </c>
      <c r="E4">
        <v>3</v>
      </c>
      <c r="F4">
        <v>2</v>
      </c>
      <c r="G4">
        <v>6</v>
      </c>
      <c r="H4">
        <v>1</v>
      </c>
      <c r="I4">
        <v>8</v>
      </c>
      <c r="J4">
        <v>3</v>
      </c>
      <c r="K4">
        <v>6</v>
      </c>
      <c r="AA4">
        <f t="shared" si="0"/>
        <v>36</v>
      </c>
      <c r="AB4">
        <f>(AA4/AA38)*100</f>
        <v>25.899280575539567</v>
      </c>
    </row>
    <row r="5" spans="1:28" x14ac:dyDescent="0.25">
      <c r="A5" s="12" t="s">
        <v>3</v>
      </c>
      <c r="AA5">
        <f t="shared" si="0"/>
        <v>0</v>
      </c>
      <c r="AB5">
        <f>(AA5/AA38)*100</f>
        <v>0</v>
      </c>
    </row>
    <row r="6" spans="1:28" x14ac:dyDescent="0.25">
      <c r="A6" s="12" t="s">
        <v>4</v>
      </c>
      <c r="AA6">
        <f t="shared" si="0"/>
        <v>0</v>
      </c>
      <c r="AB6">
        <f>(AA6/AA38)*100</f>
        <v>0</v>
      </c>
    </row>
    <row r="7" spans="1:28" x14ac:dyDescent="0.25">
      <c r="A7" s="12" t="s">
        <v>5</v>
      </c>
      <c r="K7">
        <v>1</v>
      </c>
      <c r="AA7">
        <f t="shared" si="0"/>
        <v>1</v>
      </c>
      <c r="AB7">
        <f>(AA7/AA38)*100</f>
        <v>0.71942446043165476</v>
      </c>
    </row>
    <row r="8" spans="1:28" x14ac:dyDescent="0.25">
      <c r="A8" s="12" t="s">
        <v>6</v>
      </c>
      <c r="I8">
        <v>1</v>
      </c>
      <c r="AA8">
        <f t="shared" si="0"/>
        <v>1</v>
      </c>
      <c r="AB8">
        <f>(AA8/AA38)*100</f>
        <v>0.71942446043165476</v>
      </c>
    </row>
    <row r="9" spans="1:28" x14ac:dyDescent="0.25">
      <c r="A9" s="12" t="s">
        <v>7</v>
      </c>
      <c r="AA9">
        <f t="shared" si="0"/>
        <v>0</v>
      </c>
      <c r="AB9">
        <f>(AA9/AA38)*100</f>
        <v>0</v>
      </c>
    </row>
    <row r="10" spans="1:28" x14ac:dyDescent="0.25">
      <c r="A10" s="12" t="s">
        <v>8</v>
      </c>
      <c r="AA10">
        <f t="shared" si="0"/>
        <v>0</v>
      </c>
      <c r="AB10">
        <f>(AA10/AA38)*100</f>
        <v>0</v>
      </c>
    </row>
    <row r="11" spans="1:28" x14ac:dyDescent="0.25">
      <c r="A11" s="12" t="s">
        <v>9</v>
      </c>
      <c r="AA11">
        <f t="shared" si="0"/>
        <v>0</v>
      </c>
      <c r="AB11">
        <f>(AA11/AA38)*100</f>
        <v>0</v>
      </c>
    </row>
    <row r="12" spans="1:28" x14ac:dyDescent="0.25">
      <c r="A12" s="12" t="s">
        <v>10</v>
      </c>
      <c r="AA12">
        <f t="shared" si="0"/>
        <v>0</v>
      </c>
      <c r="AB12">
        <f>(AA12/AA38)*100</f>
        <v>0</v>
      </c>
    </row>
    <row r="13" spans="1:28" x14ac:dyDescent="0.25">
      <c r="A13" s="12" t="s">
        <v>11</v>
      </c>
      <c r="AA13">
        <f t="shared" si="0"/>
        <v>0</v>
      </c>
      <c r="AB13">
        <f>(AA13/AA38)*100</f>
        <v>0</v>
      </c>
    </row>
    <row r="14" spans="1:28" x14ac:dyDescent="0.25">
      <c r="A14" s="12" t="s">
        <v>12</v>
      </c>
      <c r="AA14">
        <f t="shared" si="0"/>
        <v>0</v>
      </c>
      <c r="AB14">
        <f>(AA14/AA38)*100</f>
        <v>0</v>
      </c>
    </row>
    <row r="15" spans="1:28" x14ac:dyDescent="0.25">
      <c r="A15" s="12" t="s">
        <v>13</v>
      </c>
      <c r="AA15">
        <f t="shared" si="0"/>
        <v>0</v>
      </c>
      <c r="AB15">
        <f>(AA15/AA38)*100</f>
        <v>0</v>
      </c>
    </row>
    <row r="16" spans="1:28" x14ac:dyDescent="0.25">
      <c r="A16" s="12" t="s">
        <v>14</v>
      </c>
      <c r="AA16">
        <f t="shared" si="0"/>
        <v>0</v>
      </c>
      <c r="AB16">
        <f>(AA16/AA38)*100</f>
        <v>0</v>
      </c>
    </row>
    <row r="17" spans="1:28" x14ac:dyDescent="0.25">
      <c r="A17" s="12" t="s">
        <v>15</v>
      </c>
      <c r="B17">
        <v>2</v>
      </c>
      <c r="C17">
        <v>1</v>
      </c>
      <c r="E17">
        <v>3</v>
      </c>
      <c r="F17">
        <v>3</v>
      </c>
      <c r="G17">
        <v>1</v>
      </c>
      <c r="J17">
        <v>2</v>
      </c>
      <c r="AA17">
        <f t="shared" si="0"/>
        <v>12</v>
      </c>
      <c r="AB17">
        <f>(AA17/AA38)*100</f>
        <v>8.6330935251798557</v>
      </c>
    </row>
    <row r="18" spans="1:28" x14ac:dyDescent="0.25">
      <c r="A18" s="12" t="s">
        <v>16</v>
      </c>
      <c r="H18">
        <v>1</v>
      </c>
      <c r="AA18">
        <f t="shared" si="0"/>
        <v>1</v>
      </c>
      <c r="AB18">
        <f>(AA18/AA38)*100</f>
        <v>0.71942446043165476</v>
      </c>
    </row>
    <row r="19" spans="1:28" x14ac:dyDescent="0.25">
      <c r="A19" s="12" t="s">
        <v>17</v>
      </c>
      <c r="AA19">
        <f t="shared" si="0"/>
        <v>0</v>
      </c>
      <c r="AB19">
        <f>(AA19/AA38)*100</f>
        <v>0</v>
      </c>
    </row>
    <row r="20" spans="1:28" x14ac:dyDescent="0.25">
      <c r="A20" s="12" t="s">
        <v>18</v>
      </c>
      <c r="G20">
        <v>1</v>
      </c>
      <c r="AA20">
        <f t="shared" si="0"/>
        <v>1</v>
      </c>
      <c r="AB20">
        <f>(AA20/AA38)*100</f>
        <v>0.71942446043165476</v>
      </c>
    </row>
    <row r="21" spans="1:28" x14ac:dyDescent="0.25">
      <c r="A21" s="12" t="s">
        <v>19</v>
      </c>
      <c r="AA21">
        <f t="shared" si="0"/>
        <v>0</v>
      </c>
      <c r="AB21">
        <f>(AA21/AA38)*100</f>
        <v>0</v>
      </c>
    </row>
    <row r="22" spans="1:28" x14ac:dyDescent="0.25">
      <c r="A22" s="12" t="s">
        <v>20</v>
      </c>
      <c r="AA22">
        <f t="shared" si="0"/>
        <v>0</v>
      </c>
      <c r="AB22">
        <f>(AA22/AA38)*100</f>
        <v>0</v>
      </c>
    </row>
    <row r="23" spans="1:28" x14ac:dyDescent="0.25">
      <c r="A23" s="12" t="s">
        <v>21</v>
      </c>
      <c r="AA23">
        <f t="shared" si="0"/>
        <v>0</v>
      </c>
      <c r="AB23">
        <f>(AA23/AA38)*100</f>
        <v>0</v>
      </c>
    </row>
    <row r="24" spans="1:28" x14ac:dyDescent="0.25">
      <c r="A24" s="12" t="s">
        <v>22</v>
      </c>
      <c r="AA24">
        <f t="shared" si="0"/>
        <v>0</v>
      </c>
      <c r="AB24">
        <f>(AA24/AA38)*100</f>
        <v>0</v>
      </c>
    </row>
    <row r="25" spans="1:28" x14ac:dyDescent="0.25">
      <c r="A25" s="12" t="s">
        <v>23</v>
      </c>
      <c r="AA25">
        <f t="shared" si="0"/>
        <v>0</v>
      </c>
      <c r="AB25">
        <f>(AA25/AA38)*100</f>
        <v>0</v>
      </c>
    </row>
    <row r="26" spans="1:28" x14ac:dyDescent="0.25">
      <c r="A26" s="12" t="s">
        <v>24</v>
      </c>
      <c r="I26">
        <v>1</v>
      </c>
      <c r="AA26">
        <f t="shared" si="0"/>
        <v>1</v>
      </c>
      <c r="AB26">
        <f>(AA26/AA38)*100</f>
        <v>0.71942446043165476</v>
      </c>
    </row>
    <row r="27" spans="1:28" x14ac:dyDescent="0.25">
      <c r="A27" s="12" t="s">
        <v>25</v>
      </c>
      <c r="AA27">
        <f t="shared" si="0"/>
        <v>0</v>
      </c>
      <c r="AB27">
        <f>(AA27/AA38)*100</f>
        <v>0</v>
      </c>
    </row>
    <row r="28" spans="1:28" x14ac:dyDescent="0.25">
      <c r="A28" s="12" t="s">
        <v>26</v>
      </c>
      <c r="AA28">
        <f t="shared" si="0"/>
        <v>0</v>
      </c>
      <c r="AB28">
        <f>(AA28/AA38)*100</f>
        <v>0</v>
      </c>
    </row>
    <row r="29" spans="1:28" x14ac:dyDescent="0.25">
      <c r="A29" s="12" t="s">
        <v>27</v>
      </c>
      <c r="B29">
        <v>1</v>
      </c>
      <c r="C29">
        <v>3</v>
      </c>
      <c r="D29">
        <v>4</v>
      </c>
      <c r="F29">
        <v>1</v>
      </c>
      <c r="G29">
        <v>2</v>
      </c>
      <c r="H29">
        <v>1</v>
      </c>
      <c r="I29">
        <v>3</v>
      </c>
      <c r="AA29">
        <f t="shared" si="0"/>
        <v>15</v>
      </c>
      <c r="AB29">
        <f>(AA29/AA38)*100</f>
        <v>10.791366906474821</v>
      </c>
    </row>
    <row r="30" spans="1:28" x14ac:dyDescent="0.25">
      <c r="A30" s="12" t="s">
        <v>28</v>
      </c>
      <c r="C30">
        <v>1</v>
      </c>
      <c r="H30">
        <v>6</v>
      </c>
      <c r="I30">
        <v>5</v>
      </c>
      <c r="J30">
        <v>9</v>
      </c>
      <c r="K30">
        <v>12</v>
      </c>
      <c r="AA30">
        <f t="shared" si="0"/>
        <v>33</v>
      </c>
      <c r="AB30">
        <f>(AA30/AA38)*100</f>
        <v>23.741007194244602</v>
      </c>
    </row>
    <row r="31" spans="1:28" x14ac:dyDescent="0.25">
      <c r="A31" s="12" t="s">
        <v>29</v>
      </c>
      <c r="B31">
        <v>1</v>
      </c>
      <c r="C31">
        <v>7</v>
      </c>
      <c r="D31">
        <v>4</v>
      </c>
      <c r="E31">
        <v>12</v>
      </c>
      <c r="F31">
        <v>8</v>
      </c>
      <c r="G31">
        <v>6</v>
      </c>
      <c r="AA31">
        <f t="shared" si="0"/>
        <v>38</v>
      </c>
      <c r="AB31">
        <f>(AA31/AA38)*100</f>
        <v>27.338129496402878</v>
      </c>
    </row>
    <row r="32" spans="1:28" x14ac:dyDescent="0.25">
      <c r="A32" s="12" t="s">
        <v>30</v>
      </c>
      <c r="AA32">
        <f t="shared" si="0"/>
        <v>0</v>
      </c>
      <c r="AB32">
        <f>(AA32/AA38)*100</f>
        <v>0</v>
      </c>
    </row>
    <row r="33" spans="1:28" x14ac:dyDescent="0.25">
      <c r="A33" s="12" t="s">
        <v>31</v>
      </c>
      <c r="AA33">
        <f t="shared" si="0"/>
        <v>0</v>
      </c>
      <c r="AB33">
        <f>(AA33/AA38)*100</f>
        <v>0</v>
      </c>
    </row>
    <row r="34" spans="1:28" x14ac:dyDescent="0.25">
      <c r="A34" s="12" t="s">
        <v>68</v>
      </c>
      <c r="AA34">
        <f t="shared" si="0"/>
        <v>0</v>
      </c>
      <c r="AB34">
        <f>(AA34/AA38)*100</f>
        <v>0</v>
      </c>
    </row>
    <row r="35" spans="1:28" x14ac:dyDescent="0.25">
      <c r="A35" s="12" t="s">
        <v>32</v>
      </c>
      <c r="AA35">
        <f t="shared" si="0"/>
        <v>0</v>
      </c>
      <c r="AB35">
        <f>(AA35/AA38)*100</f>
        <v>0</v>
      </c>
    </row>
    <row r="36" spans="1:28" x14ac:dyDescent="0.25">
      <c r="A36" s="12" t="s">
        <v>33</v>
      </c>
      <c r="AA36">
        <f t="shared" si="0"/>
        <v>0</v>
      </c>
      <c r="AB36">
        <f>(AA36/AA38)*100</f>
        <v>0</v>
      </c>
    </row>
    <row r="37" spans="1:28" x14ac:dyDescent="0.25">
      <c r="A37" s="12" t="s">
        <v>34</v>
      </c>
      <c r="AA37">
        <f t="shared" si="0"/>
        <v>0</v>
      </c>
      <c r="AB37">
        <f>(AA37/AA38)*100</f>
        <v>0</v>
      </c>
    </row>
    <row r="38" spans="1:28" s="19" customFormat="1" ht="12.75" x14ac:dyDescent="0.2">
      <c r="A38" s="19" t="s">
        <v>71</v>
      </c>
      <c r="B38" s="22">
        <f t="shared" ref="B38:Z38" si="1">SUM(B3:B37)</f>
        <v>6</v>
      </c>
      <c r="C38" s="22">
        <f t="shared" si="1"/>
        <v>14</v>
      </c>
      <c r="D38" s="22">
        <f t="shared" si="1"/>
        <v>11</v>
      </c>
      <c r="E38" s="22">
        <f t="shared" si="1"/>
        <v>18</v>
      </c>
      <c r="F38" s="22">
        <f t="shared" si="1"/>
        <v>14</v>
      </c>
      <c r="G38" s="22">
        <f t="shared" si="1"/>
        <v>16</v>
      </c>
      <c r="H38" s="22">
        <f t="shared" si="1"/>
        <v>9</v>
      </c>
      <c r="I38" s="22">
        <f t="shared" si="1"/>
        <v>18</v>
      </c>
      <c r="J38" s="22">
        <f t="shared" si="1"/>
        <v>14</v>
      </c>
      <c r="K38" s="22">
        <f t="shared" si="1"/>
        <v>19</v>
      </c>
      <c r="L38" s="22">
        <f t="shared" si="1"/>
        <v>0</v>
      </c>
      <c r="M38" s="22">
        <f t="shared" si="1"/>
        <v>0</v>
      </c>
      <c r="N38" s="22">
        <f t="shared" si="1"/>
        <v>0</v>
      </c>
      <c r="O38" s="22">
        <f t="shared" si="1"/>
        <v>0</v>
      </c>
      <c r="P38" s="22">
        <f t="shared" si="1"/>
        <v>0</v>
      </c>
      <c r="Q38" s="22">
        <f t="shared" si="1"/>
        <v>0</v>
      </c>
      <c r="R38" s="22">
        <f t="shared" si="1"/>
        <v>0</v>
      </c>
      <c r="S38" s="22">
        <f t="shared" si="1"/>
        <v>0</v>
      </c>
      <c r="T38" s="22">
        <f t="shared" si="1"/>
        <v>0</v>
      </c>
      <c r="U38" s="22">
        <f t="shared" si="1"/>
        <v>0</v>
      </c>
      <c r="V38" s="22">
        <f t="shared" si="1"/>
        <v>0</v>
      </c>
      <c r="W38" s="22">
        <f t="shared" si="1"/>
        <v>0</v>
      </c>
      <c r="X38" s="22">
        <f t="shared" si="1"/>
        <v>0</v>
      </c>
      <c r="Y38" s="22">
        <f t="shared" si="1"/>
        <v>0</v>
      </c>
      <c r="Z38" s="22">
        <f t="shared" si="1"/>
        <v>0</v>
      </c>
      <c r="AA38" s="22">
        <f>SUM(AA3:AA37)</f>
        <v>139</v>
      </c>
      <c r="AB38" s="21">
        <f>SUM(AB3:AB37)</f>
        <v>100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topLeftCell="J22" workbookViewId="0"/>
  </sheetViews>
  <sheetFormatPr defaultRowHeight="15" x14ac:dyDescent="0.25"/>
  <cols>
    <col min="1" max="1" width="23.42578125" bestFit="1" customWidth="1"/>
  </cols>
  <sheetData>
    <row r="1" spans="1:28" x14ac:dyDescent="0.25">
      <c r="A1" s="19" t="s">
        <v>98</v>
      </c>
      <c r="B1" s="22">
        <v>1</v>
      </c>
      <c r="C1" s="22">
        <v>2</v>
      </c>
      <c r="D1" s="22">
        <v>3</v>
      </c>
      <c r="E1" s="22">
        <v>4</v>
      </c>
      <c r="F1" s="22">
        <v>5</v>
      </c>
      <c r="G1" s="22">
        <v>6</v>
      </c>
      <c r="H1" s="22">
        <v>7</v>
      </c>
      <c r="I1" s="22">
        <v>8</v>
      </c>
      <c r="J1" s="22">
        <v>9</v>
      </c>
      <c r="K1" s="22">
        <v>10</v>
      </c>
      <c r="L1" s="22">
        <v>11</v>
      </c>
      <c r="M1" s="22">
        <v>12</v>
      </c>
      <c r="N1" s="22">
        <v>13</v>
      </c>
      <c r="O1" s="22">
        <v>14</v>
      </c>
      <c r="P1" s="22">
        <v>15</v>
      </c>
      <c r="Q1" s="22">
        <v>16</v>
      </c>
      <c r="R1" s="22">
        <v>17</v>
      </c>
      <c r="S1" s="22">
        <v>18</v>
      </c>
      <c r="T1" s="22">
        <v>19</v>
      </c>
      <c r="U1" s="22">
        <v>20</v>
      </c>
      <c r="V1" s="22">
        <v>21</v>
      </c>
      <c r="W1" s="22">
        <v>22</v>
      </c>
      <c r="X1" s="22">
        <v>23</v>
      </c>
      <c r="Y1" s="22">
        <v>24</v>
      </c>
      <c r="Z1" s="83">
        <v>25</v>
      </c>
    </row>
    <row r="2" spans="1:28" s="43" customFormat="1" ht="12.75" x14ac:dyDescent="0.2">
      <c r="A2" s="47" t="s">
        <v>97</v>
      </c>
      <c r="B2" s="23" t="s">
        <v>453</v>
      </c>
      <c r="C2" s="23" t="s">
        <v>454</v>
      </c>
      <c r="D2" s="23" t="s">
        <v>455</v>
      </c>
      <c r="E2" s="23" t="s">
        <v>456</v>
      </c>
      <c r="F2" s="23" t="s">
        <v>259</v>
      </c>
      <c r="G2" s="23" t="s">
        <v>457</v>
      </c>
      <c r="H2" s="23" t="s">
        <v>458</v>
      </c>
      <c r="I2" s="23" t="s">
        <v>459</v>
      </c>
      <c r="J2" s="23" t="s">
        <v>460</v>
      </c>
      <c r="K2" s="23" t="s">
        <v>461</v>
      </c>
      <c r="L2" s="23" t="s">
        <v>462</v>
      </c>
      <c r="M2" s="23" t="s">
        <v>463</v>
      </c>
      <c r="N2" s="23" t="s">
        <v>464</v>
      </c>
      <c r="O2" s="23" t="s">
        <v>465</v>
      </c>
      <c r="P2" s="23" t="s">
        <v>466</v>
      </c>
      <c r="Q2" s="23" t="s">
        <v>467</v>
      </c>
      <c r="R2" s="23" t="s">
        <v>468</v>
      </c>
      <c r="S2" s="23" t="s">
        <v>469</v>
      </c>
      <c r="T2" s="23" t="s">
        <v>470</v>
      </c>
      <c r="U2" s="23" t="s">
        <v>471</v>
      </c>
      <c r="V2" s="23" t="s">
        <v>472</v>
      </c>
      <c r="W2" s="23" t="s">
        <v>362</v>
      </c>
      <c r="X2" s="23" t="s">
        <v>473</v>
      </c>
      <c r="Y2" s="23" t="s">
        <v>474</v>
      </c>
      <c r="Z2" s="23" t="s">
        <v>475</v>
      </c>
      <c r="AA2" s="23" t="s">
        <v>73</v>
      </c>
      <c r="AB2" s="23" t="s">
        <v>72</v>
      </c>
    </row>
    <row r="3" spans="1:28" x14ac:dyDescent="0.25">
      <c r="A3" s="12" t="s">
        <v>1</v>
      </c>
      <c r="AA3">
        <f t="shared" ref="AA3:AA37" si="0">SUM(B3:Z3)</f>
        <v>0</v>
      </c>
      <c r="AB3">
        <f>(AA3/AA38)*100</f>
        <v>0</v>
      </c>
    </row>
    <row r="4" spans="1:28" x14ac:dyDescent="0.25">
      <c r="A4" s="12" t="s">
        <v>2</v>
      </c>
      <c r="B4">
        <v>7</v>
      </c>
      <c r="C4">
        <v>1</v>
      </c>
      <c r="D4">
        <v>23</v>
      </c>
      <c r="E4">
        <v>22</v>
      </c>
      <c r="F4">
        <v>15</v>
      </c>
      <c r="G4">
        <v>8</v>
      </c>
      <c r="H4">
        <v>22</v>
      </c>
      <c r="I4">
        <v>9</v>
      </c>
      <c r="J4">
        <v>14</v>
      </c>
      <c r="K4">
        <v>17</v>
      </c>
      <c r="L4">
        <v>30</v>
      </c>
      <c r="M4">
        <v>13</v>
      </c>
      <c r="N4">
        <v>8</v>
      </c>
      <c r="O4">
        <v>10</v>
      </c>
      <c r="P4">
        <v>4</v>
      </c>
      <c r="Q4">
        <v>14</v>
      </c>
      <c r="R4">
        <v>10</v>
      </c>
      <c r="S4">
        <v>4</v>
      </c>
      <c r="T4">
        <v>3</v>
      </c>
      <c r="U4">
        <v>8</v>
      </c>
      <c r="V4">
        <v>8</v>
      </c>
      <c r="W4">
        <v>7</v>
      </c>
      <c r="X4">
        <v>7</v>
      </c>
      <c r="Y4">
        <v>10</v>
      </c>
      <c r="Z4">
        <v>20</v>
      </c>
      <c r="AA4">
        <f t="shared" si="0"/>
        <v>294</v>
      </c>
      <c r="AB4">
        <f>(AA4/AA38)*100</f>
        <v>22.038980509745127</v>
      </c>
    </row>
    <row r="5" spans="1:28" x14ac:dyDescent="0.25">
      <c r="A5" s="12" t="s">
        <v>3</v>
      </c>
      <c r="I5">
        <v>1</v>
      </c>
      <c r="J5">
        <v>1</v>
      </c>
      <c r="K5">
        <v>3</v>
      </c>
      <c r="L5">
        <v>3</v>
      </c>
      <c r="O5">
        <v>1</v>
      </c>
      <c r="R5">
        <v>2</v>
      </c>
      <c r="S5">
        <v>3</v>
      </c>
      <c r="T5">
        <v>1</v>
      </c>
      <c r="W5">
        <v>1</v>
      </c>
      <c r="X5">
        <v>1</v>
      </c>
      <c r="Z5">
        <v>1</v>
      </c>
      <c r="AA5">
        <f t="shared" si="0"/>
        <v>18</v>
      </c>
      <c r="AB5">
        <f>(AA5/AA38)*100</f>
        <v>1.3493253373313343</v>
      </c>
    </row>
    <row r="6" spans="1:28" x14ac:dyDescent="0.25">
      <c r="A6" s="12" t="s">
        <v>4</v>
      </c>
      <c r="Z6">
        <v>1</v>
      </c>
      <c r="AA6">
        <f t="shared" si="0"/>
        <v>1</v>
      </c>
      <c r="AB6">
        <f>(AA6/AA38)*100</f>
        <v>7.4962518740629688E-2</v>
      </c>
    </row>
    <row r="7" spans="1:28" x14ac:dyDescent="0.25">
      <c r="A7" s="12" t="s">
        <v>5</v>
      </c>
      <c r="B7">
        <v>6</v>
      </c>
      <c r="C7">
        <v>4</v>
      </c>
      <c r="E7">
        <v>2</v>
      </c>
      <c r="F7">
        <v>1</v>
      </c>
      <c r="G7">
        <v>1</v>
      </c>
      <c r="I7">
        <v>2</v>
      </c>
      <c r="J7">
        <v>2</v>
      </c>
      <c r="L7">
        <v>2</v>
      </c>
      <c r="M7">
        <v>1</v>
      </c>
      <c r="N7">
        <v>2</v>
      </c>
      <c r="O7">
        <v>1</v>
      </c>
      <c r="Q7">
        <v>3</v>
      </c>
      <c r="R7">
        <v>3</v>
      </c>
      <c r="S7">
        <v>1</v>
      </c>
      <c r="T7">
        <v>1</v>
      </c>
      <c r="V7">
        <v>4</v>
      </c>
      <c r="Y7">
        <v>1</v>
      </c>
      <c r="Z7">
        <v>1</v>
      </c>
      <c r="AA7">
        <f t="shared" si="0"/>
        <v>38</v>
      </c>
      <c r="AB7">
        <f>(AA7/AA38)*100</f>
        <v>2.8485757121439281</v>
      </c>
    </row>
    <row r="8" spans="1:28" x14ac:dyDescent="0.25">
      <c r="A8" s="12" t="s">
        <v>6</v>
      </c>
      <c r="D8">
        <v>2</v>
      </c>
      <c r="E8">
        <v>3</v>
      </c>
      <c r="F8">
        <v>5</v>
      </c>
      <c r="G8">
        <v>3</v>
      </c>
      <c r="H8">
        <v>11</v>
      </c>
      <c r="I8">
        <v>6</v>
      </c>
      <c r="J8">
        <v>4</v>
      </c>
      <c r="K8">
        <v>3</v>
      </c>
      <c r="L8">
        <v>6</v>
      </c>
      <c r="M8">
        <v>6</v>
      </c>
      <c r="N8">
        <v>2</v>
      </c>
      <c r="O8">
        <v>4</v>
      </c>
      <c r="P8">
        <v>1</v>
      </c>
      <c r="Q8">
        <v>4</v>
      </c>
      <c r="S8">
        <v>2</v>
      </c>
      <c r="T8">
        <v>1</v>
      </c>
      <c r="U8">
        <v>1</v>
      </c>
      <c r="W8">
        <v>2</v>
      </c>
      <c r="X8">
        <v>6</v>
      </c>
      <c r="Y8">
        <v>2</v>
      </c>
      <c r="Z8">
        <v>1</v>
      </c>
      <c r="AA8">
        <f t="shared" si="0"/>
        <v>75</v>
      </c>
      <c r="AB8">
        <f>(AA8/AA38)*100</f>
        <v>5.6221889055472261</v>
      </c>
    </row>
    <row r="9" spans="1:28" x14ac:dyDescent="0.25">
      <c r="A9" s="12" t="s">
        <v>7</v>
      </c>
      <c r="AA9">
        <f t="shared" si="0"/>
        <v>0</v>
      </c>
      <c r="AB9">
        <f>(AA9/AA38)*100</f>
        <v>0</v>
      </c>
    </row>
    <row r="10" spans="1:28" x14ac:dyDescent="0.25">
      <c r="A10" s="12" t="s">
        <v>8</v>
      </c>
      <c r="D10">
        <v>1</v>
      </c>
      <c r="J10">
        <v>1</v>
      </c>
      <c r="K10">
        <v>1</v>
      </c>
      <c r="M10">
        <v>1</v>
      </c>
      <c r="P10">
        <v>1</v>
      </c>
      <c r="R10">
        <v>1</v>
      </c>
      <c r="AA10">
        <f t="shared" si="0"/>
        <v>6</v>
      </c>
      <c r="AB10">
        <f>(AA10/AA38)*100</f>
        <v>0.4497751124437781</v>
      </c>
    </row>
    <row r="11" spans="1:28" x14ac:dyDescent="0.25">
      <c r="A11" s="12" t="s">
        <v>9</v>
      </c>
      <c r="R11">
        <v>1</v>
      </c>
      <c r="AA11">
        <f t="shared" si="0"/>
        <v>1</v>
      </c>
      <c r="AB11">
        <f>(AA11/AA38)*100</f>
        <v>7.4962518740629688E-2</v>
      </c>
    </row>
    <row r="12" spans="1:28" x14ac:dyDescent="0.25">
      <c r="A12" s="12" t="s">
        <v>10</v>
      </c>
      <c r="AA12">
        <f t="shared" si="0"/>
        <v>0</v>
      </c>
      <c r="AB12">
        <f>(AA12/AA38)*100</f>
        <v>0</v>
      </c>
    </row>
    <row r="13" spans="1:28" x14ac:dyDescent="0.25">
      <c r="A13" s="12" t="s">
        <v>11</v>
      </c>
      <c r="D13">
        <v>1</v>
      </c>
      <c r="AA13">
        <f t="shared" si="0"/>
        <v>1</v>
      </c>
      <c r="AB13">
        <f>(AA13/AA38)*100</f>
        <v>7.4962518740629688E-2</v>
      </c>
    </row>
    <row r="14" spans="1:28" x14ac:dyDescent="0.25">
      <c r="A14" s="12" t="s">
        <v>12</v>
      </c>
      <c r="AA14">
        <f t="shared" si="0"/>
        <v>0</v>
      </c>
      <c r="AB14">
        <f>(AA14/AA38)*100</f>
        <v>0</v>
      </c>
    </row>
    <row r="15" spans="1:28" x14ac:dyDescent="0.25">
      <c r="A15" s="12" t="s">
        <v>13</v>
      </c>
      <c r="V15">
        <v>1</v>
      </c>
      <c r="W15">
        <v>1</v>
      </c>
      <c r="AA15">
        <f t="shared" si="0"/>
        <v>2</v>
      </c>
      <c r="AB15">
        <f>(AA15/AA38)*100</f>
        <v>0.14992503748125938</v>
      </c>
    </row>
    <row r="16" spans="1:28" x14ac:dyDescent="0.25">
      <c r="A16" s="12" t="s">
        <v>14</v>
      </c>
      <c r="W16">
        <v>1</v>
      </c>
      <c r="AA16">
        <f t="shared" si="0"/>
        <v>1</v>
      </c>
      <c r="AB16">
        <f>(AA16/AA38)*100</f>
        <v>7.4962518740629688E-2</v>
      </c>
    </row>
    <row r="17" spans="1:28" x14ac:dyDescent="0.25">
      <c r="A17" s="12" t="s">
        <v>15</v>
      </c>
      <c r="D17">
        <v>1</v>
      </c>
      <c r="E17">
        <v>1</v>
      </c>
      <c r="F17">
        <v>2</v>
      </c>
      <c r="G17">
        <v>2</v>
      </c>
      <c r="H17">
        <v>1</v>
      </c>
      <c r="I17">
        <v>2</v>
      </c>
      <c r="J17">
        <v>2</v>
      </c>
      <c r="K17">
        <v>3</v>
      </c>
      <c r="L17">
        <v>1</v>
      </c>
      <c r="N17">
        <v>3</v>
      </c>
      <c r="O17">
        <v>1</v>
      </c>
      <c r="Q17">
        <v>1</v>
      </c>
      <c r="R17">
        <v>1</v>
      </c>
      <c r="T17">
        <v>4</v>
      </c>
      <c r="W17">
        <v>2</v>
      </c>
      <c r="X17">
        <v>2</v>
      </c>
      <c r="Y17">
        <v>3</v>
      </c>
      <c r="Z17">
        <v>4</v>
      </c>
      <c r="AA17">
        <f t="shared" si="0"/>
        <v>36</v>
      </c>
      <c r="AB17">
        <f>(AA17/AA38)*100</f>
        <v>2.6986506746626686</v>
      </c>
    </row>
    <row r="18" spans="1:28" x14ac:dyDescent="0.25">
      <c r="A18" s="12" t="s">
        <v>16</v>
      </c>
      <c r="D18">
        <v>3</v>
      </c>
      <c r="E18">
        <v>1</v>
      </c>
      <c r="F18">
        <v>1</v>
      </c>
      <c r="G18">
        <v>1</v>
      </c>
      <c r="H18">
        <v>1</v>
      </c>
      <c r="I18">
        <v>1</v>
      </c>
      <c r="J18">
        <v>2</v>
      </c>
      <c r="K18">
        <v>2</v>
      </c>
      <c r="L18">
        <v>4</v>
      </c>
      <c r="Q18">
        <v>3</v>
      </c>
      <c r="S18">
        <v>1</v>
      </c>
      <c r="U18">
        <v>2</v>
      </c>
      <c r="V18">
        <v>1</v>
      </c>
      <c r="Z18">
        <v>2</v>
      </c>
      <c r="AA18">
        <f t="shared" si="0"/>
        <v>25</v>
      </c>
      <c r="AB18">
        <f>(AA18/AA38)*100</f>
        <v>1.8740629685157422</v>
      </c>
    </row>
    <row r="19" spans="1:28" x14ac:dyDescent="0.25">
      <c r="A19" s="12" t="s">
        <v>17</v>
      </c>
      <c r="B19">
        <v>1</v>
      </c>
      <c r="C19">
        <v>1</v>
      </c>
      <c r="D19">
        <v>57</v>
      </c>
      <c r="E19">
        <v>18</v>
      </c>
      <c r="F19">
        <v>11</v>
      </c>
      <c r="G19">
        <v>6</v>
      </c>
      <c r="H19">
        <v>18</v>
      </c>
      <c r="I19">
        <v>4</v>
      </c>
      <c r="J19">
        <v>23</v>
      </c>
      <c r="K19">
        <v>34</v>
      </c>
      <c r="L19">
        <v>28</v>
      </c>
      <c r="M19">
        <v>13</v>
      </c>
      <c r="N19">
        <v>10</v>
      </c>
      <c r="O19">
        <v>19</v>
      </c>
      <c r="P19">
        <v>4</v>
      </c>
      <c r="Q19">
        <v>15</v>
      </c>
      <c r="R19">
        <v>15</v>
      </c>
      <c r="S19">
        <v>12</v>
      </c>
      <c r="T19">
        <v>2</v>
      </c>
      <c r="U19">
        <v>8</v>
      </c>
      <c r="V19">
        <v>12</v>
      </c>
      <c r="W19">
        <v>14</v>
      </c>
      <c r="X19">
        <v>2</v>
      </c>
      <c r="Y19">
        <v>5</v>
      </c>
      <c r="Z19">
        <v>28</v>
      </c>
      <c r="AA19">
        <f t="shared" si="0"/>
        <v>360</v>
      </c>
      <c r="AB19">
        <f>(AA19/AA38)*100</f>
        <v>26.986506746626688</v>
      </c>
    </row>
    <row r="20" spans="1:28" x14ac:dyDescent="0.25">
      <c r="A20" s="12" t="s">
        <v>18</v>
      </c>
      <c r="D20">
        <v>17</v>
      </c>
      <c r="H20">
        <v>4</v>
      </c>
      <c r="I20">
        <v>1</v>
      </c>
      <c r="J20">
        <v>3</v>
      </c>
      <c r="K20">
        <v>4</v>
      </c>
      <c r="L20">
        <v>2</v>
      </c>
      <c r="M20">
        <v>1</v>
      </c>
      <c r="Q20">
        <v>1</v>
      </c>
      <c r="R20">
        <v>2</v>
      </c>
      <c r="V20">
        <v>1</v>
      </c>
      <c r="W20">
        <v>2</v>
      </c>
      <c r="AA20">
        <f t="shared" si="0"/>
        <v>38</v>
      </c>
      <c r="AB20">
        <f>(AA20/AA38)*100</f>
        <v>2.8485757121439281</v>
      </c>
    </row>
    <row r="21" spans="1:28" x14ac:dyDescent="0.25">
      <c r="A21" s="12" t="s">
        <v>19</v>
      </c>
      <c r="D21">
        <v>1</v>
      </c>
      <c r="E21">
        <v>7</v>
      </c>
      <c r="F21">
        <v>1</v>
      </c>
      <c r="H21">
        <v>2</v>
      </c>
      <c r="J21">
        <v>2</v>
      </c>
      <c r="L21">
        <v>2</v>
      </c>
      <c r="M21">
        <v>1</v>
      </c>
      <c r="R21">
        <v>1</v>
      </c>
      <c r="W21">
        <v>1</v>
      </c>
      <c r="AA21">
        <f t="shared" si="0"/>
        <v>18</v>
      </c>
      <c r="AB21">
        <f>(AA21/AA38)*100</f>
        <v>1.3493253373313343</v>
      </c>
    </row>
    <row r="22" spans="1:28" x14ac:dyDescent="0.25">
      <c r="A22" s="12" t="s">
        <v>20</v>
      </c>
      <c r="E22">
        <v>2</v>
      </c>
      <c r="F22">
        <v>1</v>
      </c>
      <c r="G22">
        <v>1</v>
      </c>
      <c r="K22">
        <v>2</v>
      </c>
      <c r="L22">
        <v>1</v>
      </c>
      <c r="M22">
        <v>1</v>
      </c>
      <c r="U22">
        <v>2</v>
      </c>
      <c r="W22">
        <v>2</v>
      </c>
      <c r="Y22">
        <v>1</v>
      </c>
      <c r="AA22">
        <f t="shared" si="0"/>
        <v>13</v>
      </c>
      <c r="AB22">
        <f>(AA22/AA38)*100</f>
        <v>0.97451274362818585</v>
      </c>
    </row>
    <row r="23" spans="1:28" x14ac:dyDescent="0.25">
      <c r="A23" s="12" t="s">
        <v>21</v>
      </c>
      <c r="B23">
        <v>1</v>
      </c>
      <c r="D23">
        <v>3</v>
      </c>
      <c r="E23">
        <v>5</v>
      </c>
      <c r="F23">
        <v>2</v>
      </c>
      <c r="H23">
        <v>5</v>
      </c>
      <c r="I23">
        <v>5</v>
      </c>
      <c r="J23">
        <v>1</v>
      </c>
      <c r="K23">
        <v>8</v>
      </c>
      <c r="L23">
        <v>8</v>
      </c>
      <c r="M23">
        <v>2</v>
      </c>
      <c r="N23">
        <v>2</v>
      </c>
      <c r="O23">
        <v>4</v>
      </c>
      <c r="P23">
        <v>6</v>
      </c>
      <c r="Q23">
        <v>3</v>
      </c>
      <c r="R23">
        <v>9</v>
      </c>
      <c r="S23">
        <v>3</v>
      </c>
      <c r="T23">
        <v>3</v>
      </c>
      <c r="U23">
        <v>5</v>
      </c>
      <c r="V23">
        <v>1</v>
      </c>
      <c r="W23">
        <v>2</v>
      </c>
      <c r="Z23">
        <v>4</v>
      </c>
      <c r="AA23">
        <f t="shared" si="0"/>
        <v>82</v>
      </c>
      <c r="AB23">
        <f>(AA23/AA38)*100</f>
        <v>6.1469265367316339</v>
      </c>
    </row>
    <row r="24" spans="1:28" x14ac:dyDescent="0.25">
      <c r="A24" s="12" t="s">
        <v>22</v>
      </c>
      <c r="E24">
        <v>1</v>
      </c>
      <c r="O24">
        <v>1</v>
      </c>
      <c r="AA24">
        <f t="shared" si="0"/>
        <v>2</v>
      </c>
      <c r="AB24">
        <f>(AA24/AA38)*100</f>
        <v>0.14992503748125938</v>
      </c>
    </row>
    <row r="25" spans="1:28" x14ac:dyDescent="0.25">
      <c r="A25" s="12" t="s">
        <v>23</v>
      </c>
      <c r="AA25">
        <f t="shared" si="0"/>
        <v>0</v>
      </c>
      <c r="AB25">
        <f>(AA25/AA38)*100</f>
        <v>0</v>
      </c>
    </row>
    <row r="26" spans="1:28" x14ac:dyDescent="0.25">
      <c r="A26" s="12" t="s">
        <v>24</v>
      </c>
      <c r="H26">
        <v>1</v>
      </c>
      <c r="AA26">
        <f t="shared" si="0"/>
        <v>1</v>
      </c>
      <c r="AB26">
        <f>(AA26/AA38)*100</f>
        <v>7.4962518740629688E-2</v>
      </c>
    </row>
    <row r="27" spans="1:28" x14ac:dyDescent="0.25">
      <c r="A27" s="12" t="s">
        <v>25</v>
      </c>
      <c r="AA27">
        <f t="shared" si="0"/>
        <v>0</v>
      </c>
      <c r="AB27">
        <f>(AA27/AA38)*100</f>
        <v>0</v>
      </c>
    </row>
    <row r="28" spans="1:28" x14ac:dyDescent="0.25">
      <c r="A28" s="12" t="s">
        <v>26</v>
      </c>
      <c r="AA28">
        <f t="shared" si="0"/>
        <v>0</v>
      </c>
      <c r="AB28">
        <f>(AA28/AA38)*100</f>
        <v>0</v>
      </c>
    </row>
    <row r="29" spans="1:28" x14ac:dyDescent="0.25">
      <c r="A29" s="12" t="s">
        <v>27</v>
      </c>
      <c r="E29">
        <v>1</v>
      </c>
      <c r="G29">
        <v>2</v>
      </c>
      <c r="H29">
        <v>6</v>
      </c>
      <c r="I29">
        <v>3</v>
      </c>
      <c r="J29">
        <v>3</v>
      </c>
      <c r="K29">
        <v>2</v>
      </c>
      <c r="N29">
        <v>3</v>
      </c>
      <c r="O29">
        <v>2</v>
      </c>
      <c r="P29">
        <v>1</v>
      </c>
      <c r="Q29">
        <v>1</v>
      </c>
      <c r="R29">
        <v>2</v>
      </c>
      <c r="S29">
        <v>2</v>
      </c>
      <c r="U29">
        <v>2</v>
      </c>
      <c r="V29">
        <v>1</v>
      </c>
      <c r="W29">
        <v>1</v>
      </c>
      <c r="Y29">
        <v>1</v>
      </c>
      <c r="Z29">
        <v>1</v>
      </c>
      <c r="AA29">
        <f t="shared" si="0"/>
        <v>34</v>
      </c>
      <c r="AB29">
        <f>(AA29/AA38)*100</f>
        <v>2.5487256371814091</v>
      </c>
    </row>
    <row r="30" spans="1:28" x14ac:dyDescent="0.25">
      <c r="A30" s="12" t="s">
        <v>28</v>
      </c>
      <c r="H30">
        <v>1</v>
      </c>
      <c r="L30">
        <v>1</v>
      </c>
      <c r="Y30">
        <v>1</v>
      </c>
      <c r="AA30">
        <f t="shared" si="0"/>
        <v>3</v>
      </c>
      <c r="AB30">
        <f>(AA30/AA38)*100</f>
        <v>0.22488755622188905</v>
      </c>
    </row>
    <row r="31" spans="1:28" x14ac:dyDescent="0.25">
      <c r="A31" s="12" t="s">
        <v>29</v>
      </c>
      <c r="B31">
        <v>18</v>
      </c>
      <c r="C31">
        <v>6</v>
      </c>
      <c r="D31">
        <v>7</v>
      </c>
      <c r="E31">
        <v>17</v>
      </c>
      <c r="F31">
        <v>9</v>
      </c>
      <c r="G31">
        <v>15</v>
      </c>
      <c r="H31">
        <v>14</v>
      </c>
      <c r="I31">
        <v>11</v>
      </c>
      <c r="J31">
        <v>6</v>
      </c>
      <c r="K31">
        <v>9</v>
      </c>
      <c r="L31">
        <v>17</v>
      </c>
      <c r="M31">
        <v>16</v>
      </c>
      <c r="N31">
        <v>9</v>
      </c>
      <c r="O31">
        <v>10</v>
      </c>
      <c r="P31">
        <v>10</v>
      </c>
      <c r="Q31">
        <v>14</v>
      </c>
      <c r="R31">
        <v>13</v>
      </c>
      <c r="S31">
        <v>12</v>
      </c>
      <c r="T31">
        <v>10</v>
      </c>
      <c r="U31">
        <v>7</v>
      </c>
      <c r="V31">
        <v>8</v>
      </c>
      <c r="W31">
        <v>8</v>
      </c>
      <c r="X31">
        <v>9</v>
      </c>
      <c r="Y31">
        <v>13</v>
      </c>
      <c r="Z31">
        <v>11</v>
      </c>
      <c r="AA31">
        <f t="shared" si="0"/>
        <v>279</v>
      </c>
      <c r="AB31">
        <f>(AA31/AA38)*100</f>
        <v>20.914542728635681</v>
      </c>
    </row>
    <row r="32" spans="1:28" x14ac:dyDescent="0.25">
      <c r="A32" s="12" t="s">
        <v>30</v>
      </c>
      <c r="G32">
        <v>1</v>
      </c>
      <c r="X32">
        <v>1</v>
      </c>
      <c r="Y32">
        <v>1</v>
      </c>
      <c r="AA32">
        <f t="shared" si="0"/>
        <v>3</v>
      </c>
      <c r="AB32">
        <f>(AA32/AA38)*100</f>
        <v>0.22488755622188905</v>
      </c>
    </row>
    <row r="33" spans="1:28" x14ac:dyDescent="0.25">
      <c r="A33" s="12" t="s">
        <v>31</v>
      </c>
      <c r="AA33">
        <f t="shared" si="0"/>
        <v>0</v>
      </c>
      <c r="AB33">
        <f>(AA33/AA38)*100</f>
        <v>0</v>
      </c>
    </row>
    <row r="34" spans="1:28" x14ac:dyDescent="0.25">
      <c r="A34" s="12" t="s">
        <v>68</v>
      </c>
      <c r="AA34">
        <f t="shared" si="0"/>
        <v>0</v>
      </c>
      <c r="AB34">
        <f>(AA34/AA38)*100</f>
        <v>0</v>
      </c>
    </row>
    <row r="35" spans="1:28" x14ac:dyDescent="0.25">
      <c r="A35" s="12" t="s">
        <v>32</v>
      </c>
      <c r="AA35">
        <f t="shared" si="0"/>
        <v>0</v>
      </c>
      <c r="AB35">
        <f>(AA35/AA38)*100</f>
        <v>0</v>
      </c>
    </row>
    <row r="36" spans="1:28" x14ac:dyDescent="0.25">
      <c r="A36" s="12" t="s">
        <v>33</v>
      </c>
      <c r="L36">
        <v>3</v>
      </c>
      <c r="AA36">
        <f t="shared" si="0"/>
        <v>3</v>
      </c>
      <c r="AB36">
        <f>(AA36/AA38)*100</f>
        <v>0.22488755622188905</v>
      </c>
    </row>
    <row r="37" spans="1:28" x14ac:dyDescent="0.25">
      <c r="A37" s="12" t="s">
        <v>34</v>
      </c>
      <c r="AA37">
        <f t="shared" si="0"/>
        <v>0</v>
      </c>
      <c r="AB37">
        <f>(AA37/AA38)*100</f>
        <v>0</v>
      </c>
    </row>
    <row r="38" spans="1:28" s="19" customFormat="1" ht="12.75" x14ac:dyDescent="0.2">
      <c r="A38" s="19" t="s">
        <v>71</v>
      </c>
      <c r="B38" s="22">
        <f t="shared" ref="B38:Z38" si="1">SUM(B3:B37)</f>
        <v>33</v>
      </c>
      <c r="C38" s="22">
        <f t="shared" si="1"/>
        <v>12</v>
      </c>
      <c r="D38" s="22">
        <f t="shared" si="1"/>
        <v>116</v>
      </c>
      <c r="E38" s="22">
        <f t="shared" si="1"/>
        <v>80</v>
      </c>
      <c r="F38" s="22">
        <f t="shared" si="1"/>
        <v>48</v>
      </c>
      <c r="G38" s="22">
        <f t="shared" si="1"/>
        <v>40</v>
      </c>
      <c r="H38" s="22">
        <f t="shared" si="1"/>
        <v>86</v>
      </c>
      <c r="I38" s="22">
        <f t="shared" si="1"/>
        <v>45</v>
      </c>
      <c r="J38" s="22">
        <f t="shared" si="1"/>
        <v>64</v>
      </c>
      <c r="K38" s="22">
        <f t="shared" si="1"/>
        <v>88</v>
      </c>
      <c r="L38" s="22">
        <f t="shared" si="1"/>
        <v>108</v>
      </c>
      <c r="M38" s="22">
        <f t="shared" si="1"/>
        <v>55</v>
      </c>
      <c r="N38" s="22">
        <f t="shared" si="1"/>
        <v>39</v>
      </c>
      <c r="O38" s="22">
        <f t="shared" si="1"/>
        <v>53</v>
      </c>
      <c r="P38" s="22">
        <f t="shared" si="1"/>
        <v>27</v>
      </c>
      <c r="Q38" s="22">
        <f t="shared" si="1"/>
        <v>59</v>
      </c>
      <c r="R38" s="22">
        <f t="shared" si="1"/>
        <v>60</v>
      </c>
      <c r="S38" s="22">
        <f t="shared" si="1"/>
        <v>40</v>
      </c>
      <c r="T38" s="22">
        <f t="shared" si="1"/>
        <v>25</v>
      </c>
      <c r="U38" s="22">
        <f t="shared" si="1"/>
        <v>35</v>
      </c>
      <c r="V38" s="22">
        <f t="shared" si="1"/>
        <v>37</v>
      </c>
      <c r="W38" s="22">
        <f t="shared" si="1"/>
        <v>44</v>
      </c>
      <c r="X38" s="22">
        <f t="shared" si="1"/>
        <v>28</v>
      </c>
      <c r="Y38" s="22">
        <f t="shared" si="1"/>
        <v>38</v>
      </c>
      <c r="Z38" s="22">
        <f t="shared" si="1"/>
        <v>74</v>
      </c>
      <c r="AA38" s="22">
        <f>SUM(AA3:AA37)</f>
        <v>1334</v>
      </c>
      <c r="AB38" s="21">
        <f>SUM(AB3:AB37)</f>
        <v>99.999999999999986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topLeftCell="J19" workbookViewId="0"/>
  </sheetViews>
  <sheetFormatPr defaultRowHeight="15" x14ac:dyDescent="0.25"/>
  <cols>
    <col min="1" max="1" width="23.42578125" bestFit="1" customWidth="1"/>
  </cols>
  <sheetData>
    <row r="1" spans="1:28" x14ac:dyDescent="0.25">
      <c r="A1" s="19" t="s">
        <v>98</v>
      </c>
      <c r="B1" s="22">
        <v>1</v>
      </c>
      <c r="C1" s="22">
        <v>2</v>
      </c>
      <c r="D1" s="22">
        <v>3</v>
      </c>
      <c r="E1" s="22">
        <v>4</v>
      </c>
      <c r="F1" s="22">
        <v>5</v>
      </c>
      <c r="G1" s="22">
        <v>6</v>
      </c>
      <c r="H1" s="22">
        <v>7</v>
      </c>
      <c r="I1" s="22">
        <v>8</v>
      </c>
      <c r="J1" s="22">
        <v>9</v>
      </c>
      <c r="K1" s="22">
        <v>10</v>
      </c>
      <c r="L1" s="22">
        <v>11</v>
      </c>
      <c r="M1" s="22">
        <v>12</v>
      </c>
      <c r="N1" s="22">
        <v>13</v>
      </c>
      <c r="O1" s="22">
        <v>14</v>
      </c>
      <c r="P1" s="22">
        <v>15</v>
      </c>
      <c r="Q1" s="22">
        <v>16</v>
      </c>
      <c r="R1" s="22">
        <v>17</v>
      </c>
      <c r="S1" s="22">
        <v>18</v>
      </c>
      <c r="T1" s="22">
        <v>19</v>
      </c>
      <c r="U1" s="22">
        <v>20</v>
      </c>
      <c r="V1" s="22">
        <v>21</v>
      </c>
      <c r="W1" s="22">
        <v>22</v>
      </c>
      <c r="X1" s="22">
        <v>23</v>
      </c>
      <c r="Y1" s="22">
        <v>24</v>
      </c>
    </row>
    <row r="2" spans="1:28" s="43" customFormat="1" ht="12.75" x14ac:dyDescent="0.2">
      <c r="A2" s="47" t="s">
        <v>97</v>
      </c>
      <c r="B2" s="23" t="s">
        <v>332</v>
      </c>
      <c r="C2" s="23" t="s">
        <v>333</v>
      </c>
      <c r="D2" s="23" t="s">
        <v>334</v>
      </c>
      <c r="E2" s="23" t="s">
        <v>335</v>
      </c>
      <c r="F2" s="23" t="s">
        <v>336</v>
      </c>
      <c r="G2" s="23" t="s">
        <v>172</v>
      </c>
      <c r="H2" s="23" t="s">
        <v>337</v>
      </c>
      <c r="I2" s="23" t="s">
        <v>338</v>
      </c>
      <c r="J2" s="23" t="s">
        <v>339</v>
      </c>
      <c r="K2" s="23" t="s">
        <v>340</v>
      </c>
      <c r="L2" s="23" t="s">
        <v>77</v>
      </c>
      <c r="M2" s="23" t="s">
        <v>341</v>
      </c>
      <c r="N2" s="23" t="s">
        <v>342</v>
      </c>
      <c r="O2" s="23" t="s">
        <v>343</v>
      </c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 t="s">
        <v>73</v>
      </c>
      <c r="AB2" s="23" t="s">
        <v>72</v>
      </c>
    </row>
    <row r="3" spans="1:28" x14ac:dyDescent="0.25">
      <c r="A3" s="12" t="s">
        <v>1</v>
      </c>
      <c r="AA3">
        <f>SUM(B3:P3)</f>
        <v>0</v>
      </c>
      <c r="AB3">
        <f>(AA3/AA38)*100</f>
        <v>0</v>
      </c>
    </row>
    <row r="4" spans="1:28" x14ac:dyDescent="0.25">
      <c r="A4" s="12" t="s">
        <v>2</v>
      </c>
      <c r="B4">
        <v>6</v>
      </c>
      <c r="C4">
        <v>3</v>
      </c>
      <c r="D4">
        <v>10</v>
      </c>
      <c r="E4">
        <v>6</v>
      </c>
      <c r="F4">
        <v>5</v>
      </c>
      <c r="G4">
        <v>6</v>
      </c>
      <c r="H4">
        <v>5</v>
      </c>
      <c r="I4">
        <v>6</v>
      </c>
      <c r="J4">
        <v>11</v>
      </c>
      <c r="K4">
        <v>38</v>
      </c>
      <c r="L4">
        <v>18</v>
      </c>
      <c r="M4">
        <v>19</v>
      </c>
      <c r="N4">
        <v>6</v>
      </c>
      <c r="O4">
        <v>3</v>
      </c>
      <c r="AA4">
        <f t="shared" ref="AA4:AA37" si="0">SUM(B4:P4)</f>
        <v>142</v>
      </c>
      <c r="AB4">
        <f>(AA4/AA38)*100</f>
        <v>39.664804469273747</v>
      </c>
    </row>
    <row r="5" spans="1:28" x14ac:dyDescent="0.25">
      <c r="A5" s="12" t="s">
        <v>3</v>
      </c>
      <c r="K5">
        <v>1</v>
      </c>
      <c r="AA5">
        <f t="shared" si="0"/>
        <v>1</v>
      </c>
      <c r="AB5">
        <f>(AA5/AA38)*100</f>
        <v>0.27932960893854747</v>
      </c>
    </row>
    <row r="6" spans="1:28" x14ac:dyDescent="0.25">
      <c r="A6" s="12" t="s">
        <v>4</v>
      </c>
      <c r="AA6">
        <f t="shared" si="0"/>
        <v>0</v>
      </c>
      <c r="AB6">
        <f>(AA6/AA38)*100</f>
        <v>0</v>
      </c>
    </row>
    <row r="7" spans="1:28" x14ac:dyDescent="0.25">
      <c r="A7" s="12" t="s">
        <v>5</v>
      </c>
      <c r="C7">
        <v>3</v>
      </c>
      <c r="E7">
        <v>1</v>
      </c>
      <c r="J7">
        <v>3</v>
      </c>
      <c r="K7">
        <v>4</v>
      </c>
      <c r="L7">
        <v>3</v>
      </c>
      <c r="N7">
        <v>1</v>
      </c>
      <c r="AA7">
        <f t="shared" si="0"/>
        <v>15</v>
      </c>
      <c r="AB7">
        <f>(AA7/AA38)*100</f>
        <v>4.1899441340782122</v>
      </c>
    </row>
    <row r="8" spans="1:28" x14ac:dyDescent="0.25">
      <c r="A8" s="12" t="s">
        <v>6</v>
      </c>
      <c r="D8">
        <v>1</v>
      </c>
      <c r="K8">
        <v>5</v>
      </c>
      <c r="L8">
        <v>6</v>
      </c>
      <c r="M8">
        <v>1</v>
      </c>
      <c r="AA8">
        <f t="shared" si="0"/>
        <v>13</v>
      </c>
      <c r="AB8">
        <f>(AA8/AA38)*100</f>
        <v>3.6312849162011176</v>
      </c>
    </row>
    <row r="9" spans="1:28" x14ac:dyDescent="0.25">
      <c r="A9" s="12" t="s">
        <v>7</v>
      </c>
      <c r="AA9">
        <f t="shared" si="0"/>
        <v>0</v>
      </c>
      <c r="AB9">
        <f>(AA9/AA38)*100</f>
        <v>0</v>
      </c>
    </row>
    <row r="10" spans="1:28" x14ac:dyDescent="0.25">
      <c r="A10" s="12" t="s">
        <v>8</v>
      </c>
      <c r="K10">
        <v>1</v>
      </c>
      <c r="L10">
        <v>1</v>
      </c>
      <c r="M10">
        <v>1</v>
      </c>
      <c r="AA10">
        <f t="shared" si="0"/>
        <v>3</v>
      </c>
      <c r="AB10">
        <f>(AA10/AA38)*100</f>
        <v>0.83798882681564246</v>
      </c>
    </row>
    <row r="11" spans="1:28" x14ac:dyDescent="0.25">
      <c r="A11" s="12" t="s">
        <v>9</v>
      </c>
      <c r="AA11">
        <f t="shared" si="0"/>
        <v>0</v>
      </c>
      <c r="AB11">
        <f>(AA11/AA38)*100</f>
        <v>0</v>
      </c>
    </row>
    <row r="12" spans="1:28" x14ac:dyDescent="0.25">
      <c r="A12" s="12" t="s">
        <v>10</v>
      </c>
      <c r="AA12">
        <f t="shared" si="0"/>
        <v>0</v>
      </c>
      <c r="AB12">
        <f>(AA12/AA38)*100</f>
        <v>0</v>
      </c>
    </row>
    <row r="13" spans="1:28" x14ac:dyDescent="0.25">
      <c r="A13" s="12" t="s">
        <v>11</v>
      </c>
      <c r="AA13">
        <f t="shared" si="0"/>
        <v>0</v>
      </c>
      <c r="AB13">
        <f>(AA13/AA38)*100</f>
        <v>0</v>
      </c>
    </row>
    <row r="14" spans="1:28" x14ac:dyDescent="0.25">
      <c r="A14" s="12" t="s">
        <v>12</v>
      </c>
      <c r="AA14">
        <f t="shared" si="0"/>
        <v>0</v>
      </c>
      <c r="AB14">
        <f>(AA14/AA38)*100</f>
        <v>0</v>
      </c>
    </row>
    <row r="15" spans="1:28" x14ac:dyDescent="0.25">
      <c r="A15" s="12" t="s">
        <v>13</v>
      </c>
      <c r="AA15">
        <f t="shared" si="0"/>
        <v>0</v>
      </c>
      <c r="AB15">
        <f>(AA15/AA38)*100</f>
        <v>0</v>
      </c>
    </row>
    <row r="16" spans="1:28" x14ac:dyDescent="0.25">
      <c r="A16" s="12" t="s">
        <v>14</v>
      </c>
      <c r="AA16">
        <f t="shared" si="0"/>
        <v>0</v>
      </c>
      <c r="AB16">
        <f>(AA16/AA38)*100</f>
        <v>0</v>
      </c>
    </row>
    <row r="17" spans="1:28" x14ac:dyDescent="0.25">
      <c r="A17" s="12" t="s">
        <v>15</v>
      </c>
      <c r="D17">
        <v>2</v>
      </c>
      <c r="G17">
        <v>1</v>
      </c>
      <c r="L17">
        <v>1</v>
      </c>
      <c r="M17">
        <v>2</v>
      </c>
      <c r="AA17">
        <f t="shared" si="0"/>
        <v>6</v>
      </c>
      <c r="AB17">
        <f>(AA17/AA38)*100</f>
        <v>1.6759776536312849</v>
      </c>
    </row>
    <row r="18" spans="1:28" x14ac:dyDescent="0.25">
      <c r="A18" s="12" t="s">
        <v>16</v>
      </c>
      <c r="J18">
        <v>1</v>
      </c>
      <c r="AA18">
        <f t="shared" si="0"/>
        <v>1</v>
      </c>
      <c r="AB18">
        <f>(AA18/AA38)*100</f>
        <v>0.27932960893854747</v>
      </c>
    </row>
    <row r="19" spans="1:28" x14ac:dyDescent="0.25">
      <c r="A19" s="12" t="s">
        <v>17</v>
      </c>
      <c r="K19">
        <v>18</v>
      </c>
      <c r="L19">
        <v>3</v>
      </c>
      <c r="M19">
        <v>16</v>
      </c>
      <c r="O19">
        <v>1</v>
      </c>
      <c r="AA19">
        <f t="shared" si="0"/>
        <v>38</v>
      </c>
      <c r="AB19">
        <f>(AA19/AA38)*100</f>
        <v>10.614525139664805</v>
      </c>
    </row>
    <row r="20" spans="1:28" x14ac:dyDescent="0.25">
      <c r="A20" s="12" t="s">
        <v>18</v>
      </c>
      <c r="K20">
        <v>3</v>
      </c>
      <c r="M20">
        <v>8</v>
      </c>
      <c r="AA20">
        <f t="shared" si="0"/>
        <v>11</v>
      </c>
      <c r="AB20">
        <f>(AA20/AA38)*100</f>
        <v>3.0726256983240221</v>
      </c>
    </row>
    <row r="21" spans="1:28" x14ac:dyDescent="0.25">
      <c r="A21" s="12" t="s">
        <v>19</v>
      </c>
      <c r="AA21">
        <f t="shared" si="0"/>
        <v>0</v>
      </c>
      <c r="AB21">
        <f>(AA21/AA38)*100</f>
        <v>0</v>
      </c>
    </row>
    <row r="22" spans="1:28" x14ac:dyDescent="0.25">
      <c r="A22" s="12" t="s">
        <v>20</v>
      </c>
      <c r="AA22">
        <f t="shared" si="0"/>
        <v>0</v>
      </c>
      <c r="AB22">
        <f>(AA22/AA38)*100</f>
        <v>0</v>
      </c>
    </row>
    <row r="23" spans="1:28" x14ac:dyDescent="0.25">
      <c r="A23" s="12" t="s">
        <v>21</v>
      </c>
      <c r="K23">
        <v>3</v>
      </c>
      <c r="L23">
        <v>1</v>
      </c>
      <c r="AA23">
        <f t="shared" si="0"/>
        <v>4</v>
      </c>
      <c r="AB23">
        <f>(AA23/AA38)*100</f>
        <v>1.1173184357541899</v>
      </c>
    </row>
    <row r="24" spans="1:28" x14ac:dyDescent="0.25">
      <c r="A24" s="12" t="s">
        <v>22</v>
      </c>
      <c r="C24">
        <v>1</v>
      </c>
      <c r="K24">
        <v>1</v>
      </c>
      <c r="M24">
        <v>1</v>
      </c>
      <c r="AA24">
        <f t="shared" si="0"/>
        <v>3</v>
      </c>
      <c r="AB24">
        <f>(AA24/AA38)*100</f>
        <v>0.83798882681564246</v>
      </c>
    </row>
    <row r="25" spans="1:28" x14ac:dyDescent="0.25">
      <c r="A25" s="12" t="s">
        <v>23</v>
      </c>
      <c r="AA25">
        <f t="shared" si="0"/>
        <v>0</v>
      </c>
      <c r="AB25">
        <f>(AA25/AA38)*100</f>
        <v>0</v>
      </c>
    </row>
    <row r="26" spans="1:28" x14ac:dyDescent="0.25">
      <c r="A26" s="12" t="s">
        <v>24</v>
      </c>
      <c r="AA26">
        <f t="shared" si="0"/>
        <v>0</v>
      </c>
      <c r="AB26">
        <f>(AA26/AA38)*100</f>
        <v>0</v>
      </c>
    </row>
    <row r="27" spans="1:28" x14ac:dyDescent="0.25">
      <c r="A27" s="12" t="s">
        <v>25</v>
      </c>
      <c r="AA27">
        <f t="shared" si="0"/>
        <v>0</v>
      </c>
      <c r="AB27">
        <f>(AA27/AA38)*100</f>
        <v>0</v>
      </c>
    </row>
    <row r="28" spans="1:28" x14ac:dyDescent="0.25">
      <c r="A28" s="12" t="s">
        <v>26</v>
      </c>
      <c r="AA28">
        <f t="shared" si="0"/>
        <v>0</v>
      </c>
      <c r="AB28">
        <f>(AA28/AA38)*100</f>
        <v>0</v>
      </c>
    </row>
    <row r="29" spans="1:28" x14ac:dyDescent="0.25">
      <c r="A29" s="12" t="s">
        <v>27</v>
      </c>
      <c r="B29">
        <v>2</v>
      </c>
      <c r="C29">
        <v>1</v>
      </c>
      <c r="D29">
        <v>1</v>
      </c>
      <c r="E29">
        <v>3</v>
      </c>
      <c r="F29">
        <v>2</v>
      </c>
      <c r="H29">
        <v>3</v>
      </c>
      <c r="I29">
        <v>1</v>
      </c>
      <c r="J29">
        <v>2</v>
      </c>
      <c r="K29">
        <v>2</v>
      </c>
      <c r="L29">
        <v>3</v>
      </c>
      <c r="N29">
        <v>2</v>
      </c>
      <c r="O29">
        <v>4</v>
      </c>
      <c r="AA29">
        <f>SUM(B29:P29)</f>
        <v>26</v>
      </c>
      <c r="AB29">
        <f>(AA29/AA38)*100</f>
        <v>7.2625698324022352</v>
      </c>
    </row>
    <row r="30" spans="1:28" x14ac:dyDescent="0.25">
      <c r="A30" s="12" t="s">
        <v>28</v>
      </c>
      <c r="B30">
        <v>1</v>
      </c>
      <c r="AA30">
        <f>SUM(B30:P30)</f>
        <v>1</v>
      </c>
      <c r="AB30">
        <f>(AA30/AA38)*100</f>
        <v>0.27932960893854747</v>
      </c>
    </row>
    <row r="31" spans="1:28" x14ac:dyDescent="0.25">
      <c r="A31" s="12" t="s">
        <v>29</v>
      </c>
      <c r="B31">
        <v>3</v>
      </c>
      <c r="C31">
        <v>5</v>
      </c>
      <c r="D31">
        <v>6</v>
      </c>
      <c r="E31">
        <v>8</v>
      </c>
      <c r="F31">
        <v>4</v>
      </c>
      <c r="G31">
        <v>4</v>
      </c>
      <c r="H31">
        <v>3</v>
      </c>
      <c r="I31">
        <v>5</v>
      </c>
      <c r="J31">
        <v>10</v>
      </c>
      <c r="K31">
        <v>8</v>
      </c>
      <c r="L31">
        <v>9</v>
      </c>
      <c r="M31">
        <v>6</v>
      </c>
      <c r="N31">
        <v>8</v>
      </c>
      <c r="O31">
        <v>15</v>
      </c>
      <c r="AA31">
        <f t="shared" si="0"/>
        <v>94</v>
      </c>
      <c r="AB31">
        <f>(AA31/AA38)*100</f>
        <v>26.256983240223462</v>
      </c>
    </row>
    <row r="32" spans="1:28" x14ac:dyDescent="0.25">
      <c r="A32" s="12" t="s">
        <v>30</v>
      </c>
      <c r="AA32">
        <f t="shared" si="0"/>
        <v>0</v>
      </c>
      <c r="AB32">
        <f>(AA32/AA38)*100</f>
        <v>0</v>
      </c>
    </row>
    <row r="33" spans="1:28" x14ac:dyDescent="0.25">
      <c r="A33" s="12" t="s">
        <v>31</v>
      </c>
      <c r="AA33">
        <f t="shared" si="0"/>
        <v>0</v>
      </c>
      <c r="AB33">
        <f>(AA33/AA38)*100</f>
        <v>0</v>
      </c>
    </row>
    <row r="34" spans="1:28" x14ac:dyDescent="0.25">
      <c r="A34" s="12" t="s">
        <v>68</v>
      </c>
      <c r="AA34">
        <f t="shared" si="0"/>
        <v>0</v>
      </c>
      <c r="AB34">
        <f>(AA34/AA38)*100</f>
        <v>0</v>
      </c>
    </row>
    <row r="35" spans="1:28" x14ac:dyDescent="0.25">
      <c r="A35" s="12" t="s">
        <v>32</v>
      </c>
      <c r="AA35">
        <f t="shared" si="0"/>
        <v>0</v>
      </c>
      <c r="AB35">
        <f>(AA35/AA38)*100</f>
        <v>0</v>
      </c>
    </row>
    <row r="36" spans="1:28" x14ac:dyDescent="0.25">
      <c r="A36" s="12" t="s">
        <v>33</v>
      </c>
      <c r="AA36">
        <f t="shared" si="0"/>
        <v>0</v>
      </c>
      <c r="AB36">
        <f>(AA36/AA38)*100</f>
        <v>0</v>
      </c>
    </row>
    <row r="37" spans="1:28" x14ac:dyDescent="0.25">
      <c r="A37" s="12" t="s">
        <v>34</v>
      </c>
      <c r="AA37">
        <f t="shared" si="0"/>
        <v>0</v>
      </c>
      <c r="AB37">
        <f>(AA37/AA38)*100</f>
        <v>0</v>
      </c>
    </row>
    <row r="38" spans="1:28" s="19" customFormat="1" x14ac:dyDescent="0.25">
      <c r="A38" s="19" t="s">
        <v>71</v>
      </c>
      <c r="B38" s="22">
        <f t="shared" ref="B38:X38" si="1">SUM(B3:B37)</f>
        <v>12</v>
      </c>
      <c r="C38" s="22">
        <f t="shared" si="1"/>
        <v>13</v>
      </c>
      <c r="D38" s="22">
        <f t="shared" si="1"/>
        <v>20</v>
      </c>
      <c r="E38" s="22">
        <f t="shared" si="1"/>
        <v>18</v>
      </c>
      <c r="F38" s="22">
        <f t="shared" si="1"/>
        <v>11</v>
      </c>
      <c r="G38" s="22">
        <f t="shared" si="1"/>
        <v>11</v>
      </c>
      <c r="H38" s="22">
        <f t="shared" si="1"/>
        <v>11</v>
      </c>
      <c r="I38" s="22">
        <f t="shared" si="1"/>
        <v>12</v>
      </c>
      <c r="J38" s="22">
        <f t="shared" si="1"/>
        <v>27</v>
      </c>
      <c r="K38" s="22">
        <f t="shared" si="1"/>
        <v>84</v>
      </c>
      <c r="L38" s="22">
        <f t="shared" si="1"/>
        <v>45</v>
      </c>
      <c r="M38" s="22">
        <f t="shared" si="1"/>
        <v>54</v>
      </c>
      <c r="N38" s="22">
        <f t="shared" si="1"/>
        <v>17</v>
      </c>
      <c r="O38" s="22">
        <f t="shared" si="1"/>
        <v>23</v>
      </c>
      <c r="P38" s="22">
        <f t="shared" si="1"/>
        <v>0</v>
      </c>
      <c r="Q38" s="22">
        <f t="shared" si="1"/>
        <v>0</v>
      </c>
      <c r="R38" s="22">
        <f t="shared" si="1"/>
        <v>0</v>
      </c>
      <c r="S38" s="22">
        <f t="shared" si="1"/>
        <v>0</v>
      </c>
      <c r="T38" s="22">
        <f t="shared" si="1"/>
        <v>0</v>
      </c>
      <c r="U38" s="22">
        <f t="shared" si="1"/>
        <v>0</v>
      </c>
      <c r="V38" s="22">
        <f t="shared" si="1"/>
        <v>0</v>
      </c>
      <c r="W38" s="22">
        <f t="shared" si="1"/>
        <v>0</v>
      </c>
      <c r="X38" s="22">
        <f t="shared" si="1"/>
        <v>0</v>
      </c>
      <c r="Y38" s="22"/>
      <c r="Z38" s="22"/>
      <c r="AA38">
        <f>SUM(B38:P38)</f>
        <v>358</v>
      </c>
      <c r="AB38" s="21">
        <f t="shared" ref="AB38" si="2">(AA38/$AA$38)*100</f>
        <v>100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topLeftCell="J19" workbookViewId="0"/>
  </sheetViews>
  <sheetFormatPr defaultRowHeight="15" x14ac:dyDescent="0.25"/>
  <cols>
    <col min="1" max="1" width="23.42578125" bestFit="1" customWidth="1"/>
  </cols>
  <sheetData>
    <row r="1" spans="1:28" x14ac:dyDescent="0.25">
      <c r="A1" s="19" t="s">
        <v>98</v>
      </c>
      <c r="B1" s="22">
        <v>1</v>
      </c>
      <c r="C1" s="22">
        <v>2</v>
      </c>
      <c r="D1" s="22">
        <v>3</v>
      </c>
      <c r="E1" s="22">
        <v>4</v>
      </c>
      <c r="F1" s="22">
        <v>5</v>
      </c>
      <c r="G1" s="22">
        <v>6</v>
      </c>
      <c r="H1" s="22">
        <v>7</v>
      </c>
      <c r="I1" s="22">
        <v>8</v>
      </c>
      <c r="J1" s="22">
        <v>9</v>
      </c>
      <c r="K1" s="22">
        <v>10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8" s="43" customFormat="1" ht="12.75" x14ac:dyDescent="0.2">
      <c r="A2" s="47" t="s">
        <v>97</v>
      </c>
      <c r="B2" s="23" t="s">
        <v>344</v>
      </c>
      <c r="C2" s="23" t="s">
        <v>345</v>
      </c>
      <c r="D2" s="23" t="s">
        <v>262</v>
      </c>
      <c r="E2" s="23" t="s">
        <v>346</v>
      </c>
      <c r="F2" s="23" t="s">
        <v>347</v>
      </c>
      <c r="G2" s="23" t="s">
        <v>348</v>
      </c>
      <c r="H2" s="23" t="s">
        <v>349</v>
      </c>
      <c r="I2" s="23" t="s">
        <v>350</v>
      </c>
      <c r="J2" s="23" t="s">
        <v>351</v>
      </c>
      <c r="K2" s="23" t="s">
        <v>352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 t="s">
        <v>73</v>
      </c>
      <c r="AB2" s="23" t="s">
        <v>72</v>
      </c>
    </row>
    <row r="3" spans="1:28" x14ac:dyDescent="0.25">
      <c r="A3" s="12" t="s">
        <v>1</v>
      </c>
      <c r="AA3">
        <f t="shared" ref="AA3:AA26" si="0">SUM(B3:P3)</f>
        <v>0</v>
      </c>
      <c r="AB3">
        <f>(AA3/AA38)*100</f>
        <v>0</v>
      </c>
    </row>
    <row r="4" spans="1:28" x14ac:dyDescent="0.25">
      <c r="A4" s="12" t="s">
        <v>2</v>
      </c>
      <c r="B4">
        <v>9</v>
      </c>
      <c r="C4">
        <v>13</v>
      </c>
      <c r="D4">
        <v>5</v>
      </c>
      <c r="E4">
        <v>7</v>
      </c>
      <c r="F4">
        <v>5</v>
      </c>
      <c r="I4">
        <v>1</v>
      </c>
      <c r="K4">
        <v>9</v>
      </c>
      <c r="AA4">
        <f t="shared" si="0"/>
        <v>49</v>
      </c>
      <c r="AB4">
        <f>(AA4/AA38)*100</f>
        <v>25.520833333333332</v>
      </c>
    </row>
    <row r="5" spans="1:28" x14ac:dyDescent="0.25">
      <c r="A5" s="12" t="s">
        <v>3</v>
      </c>
      <c r="C5">
        <v>2</v>
      </c>
      <c r="AA5">
        <f t="shared" si="0"/>
        <v>2</v>
      </c>
      <c r="AB5">
        <f>(AA5/AA38)*100</f>
        <v>1.0416666666666665</v>
      </c>
    </row>
    <row r="6" spans="1:28" x14ac:dyDescent="0.25">
      <c r="A6" s="12" t="s">
        <v>4</v>
      </c>
      <c r="AA6">
        <f t="shared" si="0"/>
        <v>0</v>
      </c>
      <c r="AB6">
        <f>(AA6/AA38)*100</f>
        <v>0</v>
      </c>
    </row>
    <row r="7" spans="1:28" x14ac:dyDescent="0.25">
      <c r="A7" s="12" t="s">
        <v>5</v>
      </c>
      <c r="D7">
        <v>2</v>
      </c>
      <c r="AA7">
        <f t="shared" si="0"/>
        <v>2</v>
      </c>
      <c r="AB7">
        <f>(AA7/AA38)*100</f>
        <v>1.0416666666666665</v>
      </c>
    </row>
    <row r="8" spans="1:28" x14ac:dyDescent="0.25">
      <c r="A8" s="12" t="s">
        <v>6</v>
      </c>
      <c r="C8">
        <v>3</v>
      </c>
      <c r="AA8">
        <f t="shared" si="0"/>
        <v>3</v>
      </c>
      <c r="AB8">
        <f>(AA8/AA38)*100</f>
        <v>1.5625</v>
      </c>
    </row>
    <row r="9" spans="1:28" x14ac:dyDescent="0.25">
      <c r="A9" s="12" t="s">
        <v>7</v>
      </c>
      <c r="AA9">
        <f t="shared" si="0"/>
        <v>0</v>
      </c>
      <c r="AB9">
        <f>(AA9/AA38)*100</f>
        <v>0</v>
      </c>
    </row>
    <row r="10" spans="1:28" x14ac:dyDescent="0.25">
      <c r="A10" s="12" t="s">
        <v>8</v>
      </c>
      <c r="AA10">
        <f t="shared" si="0"/>
        <v>0</v>
      </c>
      <c r="AB10">
        <f>(AA10/AA38)*100</f>
        <v>0</v>
      </c>
    </row>
    <row r="11" spans="1:28" x14ac:dyDescent="0.25">
      <c r="A11" s="12" t="s">
        <v>9</v>
      </c>
      <c r="AA11">
        <f t="shared" si="0"/>
        <v>0</v>
      </c>
      <c r="AB11">
        <f>(AA11/AA38)*100</f>
        <v>0</v>
      </c>
    </row>
    <row r="12" spans="1:28" x14ac:dyDescent="0.25">
      <c r="A12" s="12" t="s">
        <v>10</v>
      </c>
      <c r="AA12">
        <f t="shared" si="0"/>
        <v>0</v>
      </c>
      <c r="AB12">
        <f>(AA12/AA38)*100</f>
        <v>0</v>
      </c>
    </row>
    <row r="13" spans="1:28" x14ac:dyDescent="0.25">
      <c r="A13" s="12" t="s">
        <v>11</v>
      </c>
      <c r="AA13">
        <f t="shared" si="0"/>
        <v>0</v>
      </c>
      <c r="AB13">
        <f>(AA13/AA38)*100</f>
        <v>0</v>
      </c>
    </row>
    <row r="14" spans="1:28" x14ac:dyDescent="0.25">
      <c r="A14" s="12" t="s">
        <v>12</v>
      </c>
      <c r="AA14">
        <f t="shared" si="0"/>
        <v>0</v>
      </c>
      <c r="AB14">
        <f>(AA14/AA38)*100</f>
        <v>0</v>
      </c>
    </row>
    <row r="15" spans="1:28" x14ac:dyDescent="0.25">
      <c r="A15" s="12" t="s">
        <v>13</v>
      </c>
      <c r="AA15">
        <f t="shared" si="0"/>
        <v>0</v>
      </c>
      <c r="AB15">
        <f>(AA15/AA38)*100</f>
        <v>0</v>
      </c>
    </row>
    <row r="16" spans="1:28" x14ac:dyDescent="0.25">
      <c r="A16" s="12" t="s">
        <v>14</v>
      </c>
      <c r="AA16">
        <f t="shared" si="0"/>
        <v>0</v>
      </c>
      <c r="AB16">
        <f>(AA16/AA38)*100</f>
        <v>0</v>
      </c>
    </row>
    <row r="17" spans="1:28" x14ac:dyDescent="0.25">
      <c r="A17" s="12" t="s">
        <v>15</v>
      </c>
      <c r="D17">
        <v>2</v>
      </c>
      <c r="K17">
        <v>1</v>
      </c>
      <c r="AA17">
        <f t="shared" si="0"/>
        <v>3</v>
      </c>
      <c r="AB17">
        <f>(AA17/AA38)*100</f>
        <v>1.5625</v>
      </c>
    </row>
    <row r="18" spans="1:28" x14ac:dyDescent="0.25">
      <c r="A18" s="12" t="s">
        <v>16</v>
      </c>
      <c r="AA18">
        <f t="shared" si="0"/>
        <v>0</v>
      </c>
      <c r="AB18">
        <f>(AA18/AA38)*100</f>
        <v>0</v>
      </c>
    </row>
    <row r="19" spans="1:28" x14ac:dyDescent="0.25">
      <c r="A19" s="12" t="s">
        <v>17</v>
      </c>
      <c r="B19">
        <v>34</v>
      </c>
      <c r="C19">
        <v>10</v>
      </c>
      <c r="D19">
        <v>1</v>
      </c>
      <c r="J19">
        <v>1</v>
      </c>
      <c r="AA19">
        <f t="shared" si="0"/>
        <v>46</v>
      </c>
      <c r="AB19">
        <f>(AA19/AA38)*100</f>
        <v>23.958333333333336</v>
      </c>
    </row>
    <row r="20" spans="1:28" x14ac:dyDescent="0.25">
      <c r="A20" s="12" t="s">
        <v>18</v>
      </c>
      <c r="B20">
        <v>8</v>
      </c>
      <c r="C20">
        <v>1</v>
      </c>
      <c r="AA20">
        <f t="shared" si="0"/>
        <v>9</v>
      </c>
      <c r="AB20">
        <f>(AA20/AA38)*100</f>
        <v>4.6875</v>
      </c>
    </row>
    <row r="21" spans="1:28" x14ac:dyDescent="0.25">
      <c r="A21" s="12" t="s">
        <v>19</v>
      </c>
      <c r="B21">
        <v>1</v>
      </c>
      <c r="C21">
        <v>2</v>
      </c>
      <c r="AA21">
        <f t="shared" si="0"/>
        <v>3</v>
      </c>
      <c r="AB21">
        <f>(AA21/AA38)*100</f>
        <v>1.5625</v>
      </c>
    </row>
    <row r="22" spans="1:28" x14ac:dyDescent="0.25">
      <c r="A22" s="12" t="s">
        <v>20</v>
      </c>
      <c r="AA22">
        <f t="shared" si="0"/>
        <v>0</v>
      </c>
      <c r="AB22">
        <f>(AA22/AA38)*100</f>
        <v>0</v>
      </c>
    </row>
    <row r="23" spans="1:28" x14ac:dyDescent="0.25">
      <c r="A23" s="12" t="s">
        <v>21</v>
      </c>
      <c r="D23">
        <v>1</v>
      </c>
      <c r="AA23">
        <f t="shared" si="0"/>
        <v>1</v>
      </c>
      <c r="AB23">
        <f>(AA23/AA38)*100</f>
        <v>0.52083333333333326</v>
      </c>
    </row>
    <row r="24" spans="1:28" x14ac:dyDescent="0.25">
      <c r="A24" s="12" t="s">
        <v>22</v>
      </c>
      <c r="B24">
        <v>3</v>
      </c>
      <c r="AA24">
        <f t="shared" si="0"/>
        <v>3</v>
      </c>
      <c r="AB24">
        <f>(AA24/AA38)*100</f>
        <v>1.5625</v>
      </c>
    </row>
    <row r="25" spans="1:28" x14ac:dyDescent="0.25">
      <c r="A25" s="12" t="s">
        <v>23</v>
      </c>
      <c r="AA25">
        <f t="shared" si="0"/>
        <v>0</v>
      </c>
      <c r="AB25">
        <f>(AA25/AA38)*100</f>
        <v>0</v>
      </c>
    </row>
    <row r="26" spans="1:28" x14ac:dyDescent="0.25">
      <c r="A26" s="12" t="s">
        <v>24</v>
      </c>
      <c r="AA26">
        <f t="shared" si="0"/>
        <v>0</v>
      </c>
      <c r="AB26">
        <f>(AA26/AA38)*100</f>
        <v>0</v>
      </c>
    </row>
    <row r="27" spans="1:28" x14ac:dyDescent="0.25">
      <c r="A27" s="12" t="s">
        <v>25</v>
      </c>
      <c r="AA27">
        <f>SUM(B27:M27)</f>
        <v>0</v>
      </c>
      <c r="AB27">
        <f>(AA27/AA38)*100</f>
        <v>0</v>
      </c>
    </row>
    <row r="28" spans="1:28" x14ac:dyDescent="0.25">
      <c r="A28" s="12" t="s">
        <v>26</v>
      </c>
      <c r="AA28">
        <f t="shared" ref="AA28:AA37" si="1">SUM(B28:P28)</f>
        <v>0</v>
      </c>
      <c r="AB28">
        <f>(AA28/AA38)*100</f>
        <v>0</v>
      </c>
    </row>
    <row r="29" spans="1:28" x14ac:dyDescent="0.25">
      <c r="A29" s="12" t="s">
        <v>27</v>
      </c>
      <c r="B29">
        <v>2</v>
      </c>
      <c r="D29">
        <v>4</v>
      </c>
      <c r="E29">
        <v>1</v>
      </c>
      <c r="F29">
        <v>3</v>
      </c>
      <c r="G29">
        <v>1</v>
      </c>
      <c r="H29">
        <v>2</v>
      </c>
      <c r="J29">
        <v>4</v>
      </c>
      <c r="AA29">
        <f t="shared" si="1"/>
        <v>17</v>
      </c>
      <c r="AB29">
        <f>(AA29/AA38)*100</f>
        <v>8.8541666666666679</v>
      </c>
    </row>
    <row r="30" spans="1:28" x14ac:dyDescent="0.25">
      <c r="A30" s="12" t="s">
        <v>28</v>
      </c>
      <c r="AA30">
        <f t="shared" si="1"/>
        <v>0</v>
      </c>
      <c r="AB30">
        <f>(AA30/AA38)*100</f>
        <v>0</v>
      </c>
    </row>
    <row r="31" spans="1:28" x14ac:dyDescent="0.25">
      <c r="A31" s="12" t="s">
        <v>29</v>
      </c>
      <c r="B31">
        <v>4</v>
      </c>
      <c r="C31">
        <v>8</v>
      </c>
      <c r="D31">
        <v>7</v>
      </c>
      <c r="E31">
        <v>5</v>
      </c>
      <c r="F31">
        <v>3</v>
      </c>
      <c r="G31">
        <v>3</v>
      </c>
      <c r="H31">
        <v>2</v>
      </c>
      <c r="I31">
        <v>11</v>
      </c>
      <c r="J31">
        <v>5</v>
      </c>
      <c r="K31">
        <v>5</v>
      </c>
      <c r="AA31">
        <f t="shared" si="1"/>
        <v>53</v>
      </c>
      <c r="AB31">
        <f>(AA31/AA38)*100</f>
        <v>27.604166666666668</v>
      </c>
    </row>
    <row r="32" spans="1:28" x14ac:dyDescent="0.25">
      <c r="A32" s="12" t="s">
        <v>30</v>
      </c>
      <c r="AA32">
        <f t="shared" si="1"/>
        <v>0</v>
      </c>
      <c r="AB32">
        <f>(AA32/AA38)*100</f>
        <v>0</v>
      </c>
    </row>
    <row r="33" spans="1:28" x14ac:dyDescent="0.25">
      <c r="A33" s="12" t="s">
        <v>31</v>
      </c>
      <c r="AA33">
        <f t="shared" si="1"/>
        <v>0</v>
      </c>
      <c r="AB33">
        <f>(AA33/AA38)*100</f>
        <v>0</v>
      </c>
    </row>
    <row r="34" spans="1:28" x14ac:dyDescent="0.25">
      <c r="A34" s="12" t="s">
        <v>68</v>
      </c>
      <c r="AA34">
        <f t="shared" si="1"/>
        <v>0</v>
      </c>
      <c r="AB34">
        <f>(AA34/AA38)*100</f>
        <v>0</v>
      </c>
    </row>
    <row r="35" spans="1:28" x14ac:dyDescent="0.25">
      <c r="A35" s="12" t="s">
        <v>32</v>
      </c>
      <c r="AA35">
        <f t="shared" si="1"/>
        <v>0</v>
      </c>
      <c r="AB35">
        <f>(AA35/AA38)*100</f>
        <v>0</v>
      </c>
    </row>
    <row r="36" spans="1:28" x14ac:dyDescent="0.25">
      <c r="A36" s="12" t="s">
        <v>33</v>
      </c>
      <c r="B36">
        <v>1</v>
      </c>
      <c r="AA36">
        <f t="shared" si="1"/>
        <v>1</v>
      </c>
      <c r="AB36">
        <f>(AA36/AA38)*100</f>
        <v>0.52083333333333326</v>
      </c>
    </row>
    <row r="37" spans="1:28" x14ac:dyDescent="0.25">
      <c r="A37" s="12" t="s">
        <v>34</v>
      </c>
      <c r="AA37">
        <f t="shared" si="1"/>
        <v>0</v>
      </c>
      <c r="AB37">
        <f>(AA37/AA38)*100</f>
        <v>0</v>
      </c>
    </row>
    <row r="38" spans="1:28" s="19" customFormat="1" ht="12.75" x14ac:dyDescent="0.2">
      <c r="A38" s="19" t="s">
        <v>71</v>
      </c>
      <c r="B38" s="22">
        <f t="shared" ref="B38:K38" si="2">SUM(B3:B37)</f>
        <v>62</v>
      </c>
      <c r="C38" s="22">
        <f t="shared" si="2"/>
        <v>39</v>
      </c>
      <c r="D38" s="22">
        <f t="shared" si="2"/>
        <v>22</v>
      </c>
      <c r="E38" s="22">
        <f t="shared" si="2"/>
        <v>13</v>
      </c>
      <c r="F38" s="22">
        <f t="shared" si="2"/>
        <v>11</v>
      </c>
      <c r="G38" s="22">
        <f t="shared" si="2"/>
        <v>4</v>
      </c>
      <c r="H38" s="22">
        <f t="shared" si="2"/>
        <v>4</v>
      </c>
      <c r="I38" s="22">
        <f t="shared" si="2"/>
        <v>12</v>
      </c>
      <c r="J38" s="22">
        <f t="shared" si="2"/>
        <v>10</v>
      </c>
      <c r="K38" s="22">
        <f t="shared" si="2"/>
        <v>15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>
        <f>SUM(AA3:AA37)</f>
        <v>192</v>
      </c>
      <c r="AB38" s="21">
        <f t="shared" ref="AB38" si="3">(AA38/$AA$38)*100</f>
        <v>100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topLeftCell="J16" workbookViewId="0"/>
  </sheetViews>
  <sheetFormatPr defaultRowHeight="15" x14ac:dyDescent="0.25"/>
  <cols>
    <col min="1" max="1" width="23.42578125" bestFit="1" customWidth="1"/>
  </cols>
  <sheetData>
    <row r="1" spans="1:28" x14ac:dyDescent="0.25">
      <c r="A1" s="19" t="s">
        <v>98</v>
      </c>
      <c r="B1" s="22">
        <v>1</v>
      </c>
      <c r="C1" s="22">
        <v>2</v>
      </c>
      <c r="D1" s="22">
        <v>3</v>
      </c>
      <c r="E1" s="22">
        <v>4</v>
      </c>
      <c r="F1" s="22">
        <v>5</v>
      </c>
      <c r="G1" s="22">
        <v>6</v>
      </c>
      <c r="H1" s="22">
        <v>7</v>
      </c>
      <c r="I1" s="22">
        <v>8</v>
      </c>
      <c r="J1" s="22">
        <v>9</v>
      </c>
      <c r="K1" s="22">
        <v>10</v>
      </c>
      <c r="L1" s="22">
        <v>11</v>
      </c>
      <c r="M1" s="22">
        <v>12</v>
      </c>
      <c r="N1" s="22">
        <v>13</v>
      </c>
      <c r="O1" s="22">
        <v>14</v>
      </c>
      <c r="P1" s="22">
        <v>15</v>
      </c>
      <c r="Q1" s="22">
        <v>16</v>
      </c>
      <c r="R1" s="22">
        <v>17</v>
      </c>
      <c r="S1" s="22">
        <v>18</v>
      </c>
      <c r="T1" s="22">
        <v>19</v>
      </c>
      <c r="U1" s="22">
        <v>20</v>
      </c>
      <c r="V1" s="22">
        <v>21</v>
      </c>
      <c r="W1" s="22">
        <v>22</v>
      </c>
      <c r="X1" s="22">
        <v>23</v>
      </c>
      <c r="Y1" s="22">
        <v>24</v>
      </c>
    </row>
    <row r="2" spans="1:28" s="43" customFormat="1" ht="12.75" x14ac:dyDescent="0.2">
      <c r="A2" s="47" t="s">
        <v>97</v>
      </c>
      <c r="B2" s="23" t="s">
        <v>353</v>
      </c>
      <c r="C2" s="23" t="s">
        <v>354</v>
      </c>
      <c r="D2" s="23" t="s">
        <v>216</v>
      </c>
      <c r="E2" s="23" t="s">
        <v>355</v>
      </c>
      <c r="F2" s="23" t="s">
        <v>356</v>
      </c>
      <c r="G2" s="23" t="s">
        <v>357</v>
      </c>
      <c r="H2" s="23" t="s">
        <v>358</v>
      </c>
      <c r="I2" s="23" t="s">
        <v>359</v>
      </c>
      <c r="J2" s="23" t="s">
        <v>360</v>
      </c>
      <c r="K2" s="23" t="s">
        <v>361</v>
      </c>
      <c r="L2" s="23" t="s">
        <v>362</v>
      </c>
      <c r="M2" s="23" t="s">
        <v>363</v>
      </c>
      <c r="N2" s="23" t="s">
        <v>364</v>
      </c>
      <c r="O2" s="23" t="s">
        <v>365</v>
      </c>
      <c r="P2" s="23" t="s">
        <v>366</v>
      </c>
      <c r="Q2" s="23" t="s">
        <v>367</v>
      </c>
      <c r="R2" s="23"/>
      <c r="S2" s="23"/>
      <c r="T2" s="23"/>
      <c r="U2" s="23"/>
      <c r="V2" s="23"/>
      <c r="W2" s="23"/>
      <c r="X2" s="23"/>
      <c r="Y2" s="23"/>
      <c r="Z2" s="23"/>
      <c r="AA2" s="23" t="s">
        <v>73</v>
      </c>
      <c r="AB2" s="23" t="s">
        <v>72</v>
      </c>
    </row>
    <row r="3" spans="1:28" x14ac:dyDescent="0.25">
      <c r="A3" s="12" t="s">
        <v>1</v>
      </c>
      <c r="AA3">
        <f>SUM(B3:Q3)</f>
        <v>0</v>
      </c>
      <c r="AB3">
        <f>(AA3/AA38)*100</f>
        <v>0</v>
      </c>
    </row>
    <row r="4" spans="1:28" x14ac:dyDescent="0.25">
      <c r="A4" s="12" t="s">
        <v>2</v>
      </c>
      <c r="B4">
        <v>6</v>
      </c>
      <c r="C4">
        <v>5</v>
      </c>
      <c r="D4">
        <v>7</v>
      </c>
      <c r="E4">
        <v>13</v>
      </c>
      <c r="F4">
        <v>10</v>
      </c>
      <c r="G4">
        <v>3</v>
      </c>
      <c r="H4">
        <v>5</v>
      </c>
      <c r="I4">
        <v>11</v>
      </c>
      <c r="J4">
        <v>5</v>
      </c>
      <c r="K4">
        <v>5</v>
      </c>
      <c r="L4">
        <v>1</v>
      </c>
      <c r="M4">
        <v>7</v>
      </c>
      <c r="N4">
        <v>10</v>
      </c>
      <c r="O4">
        <v>7</v>
      </c>
      <c r="P4">
        <v>3</v>
      </c>
      <c r="Q4">
        <v>2</v>
      </c>
      <c r="AA4">
        <f t="shared" ref="AA4:AA37" si="0">SUM(B4:Q4)</f>
        <v>100</v>
      </c>
      <c r="AB4">
        <f>(AA4/AA38)*100</f>
        <v>33.112582781456958</v>
      </c>
    </row>
    <row r="5" spans="1:28" x14ac:dyDescent="0.25">
      <c r="A5" s="12" t="s">
        <v>3</v>
      </c>
      <c r="F5">
        <v>1</v>
      </c>
      <c r="J5">
        <v>1</v>
      </c>
      <c r="AA5">
        <f t="shared" si="0"/>
        <v>2</v>
      </c>
      <c r="AB5">
        <f>(AA5/AA38)*100</f>
        <v>0.66225165562913912</v>
      </c>
    </row>
    <row r="6" spans="1:28" x14ac:dyDescent="0.25">
      <c r="A6" s="12" t="s">
        <v>4</v>
      </c>
      <c r="AA6">
        <f t="shared" si="0"/>
        <v>0</v>
      </c>
      <c r="AB6">
        <f>(AA6/AA38)*100</f>
        <v>0</v>
      </c>
    </row>
    <row r="7" spans="1:28" x14ac:dyDescent="0.25">
      <c r="A7" s="12" t="s">
        <v>5</v>
      </c>
      <c r="B7">
        <v>4</v>
      </c>
      <c r="C7">
        <v>2</v>
      </c>
      <c r="I7">
        <v>1</v>
      </c>
      <c r="Q7">
        <v>1</v>
      </c>
      <c r="AA7">
        <f t="shared" si="0"/>
        <v>8</v>
      </c>
      <c r="AB7">
        <f>(AA7/AA38)*100</f>
        <v>2.6490066225165565</v>
      </c>
    </row>
    <row r="8" spans="1:28" x14ac:dyDescent="0.25">
      <c r="A8" s="12" t="s">
        <v>6</v>
      </c>
      <c r="J8">
        <v>1</v>
      </c>
      <c r="AA8">
        <f t="shared" si="0"/>
        <v>1</v>
      </c>
      <c r="AB8">
        <f>(AA8/AA38)*100</f>
        <v>0.33112582781456956</v>
      </c>
    </row>
    <row r="9" spans="1:28" x14ac:dyDescent="0.25">
      <c r="A9" s="12" t="s">
        <v>7</v>
      </c>
      <c r="AA9">
        <f t="shared" si="0"/>
        <v>0</v>
      </c>
      <c r="AB9">
        <f>(AA9/AA38)*100</f>
        <v>0</v>
      </c>
    </row>
    <row r="10" spans="1:28" x14ac:dyDescent="0.25">
      <c r="A10" s="12" t="s">
        <v>8</v>
      </c>
      <c r="AA10">
        <f t="shared" si="0"/>
        <v>0</v>
      </c>
      <c r="AB10">
        <f>(AA10/AA38)*100</f>
        <v>0</v>
      </c>
    </row>
    <row r="11" spans="1:28" x14ac:dyDescent="0.25">
      <c r="A11" s="12" t="s">
        <v>9</v>
      </c>
      <c r="AA11">
        <f t="shared" si="0"/>
        <v>0</v>
      </c>
      <c r="AB11">
        <f>(AA11/AA38)*100</f>
        <v>0</v>
      </c>
    </row>
    <row r="12" spans="1:28" x14ac:dyDescent="0.25">
      <c r="A12" s="12" t="s">
        <v>10</v>
      </c>
      <c r="AA12">
        <f t="shared" si="0"/>
        <v>0</v>
      </c>
      <c r="AB12">
        <f>(AA12/AA38)*100</f>
        <v>0</v>
      </c>
    </row>
    <row r="13" spans="1:28" x14ac:dyDescent="0.25">
      <c r="A13" s="12" t="s">
        <v>11</v>
      </c>
      <c r="AA13">
        <f t="shared" si="0"/>
        <v>0</v>
      </c>
      <c r="AB13">
        <f>(AA13/AA38)*100</f>
        <v>0</v>
      </c>
    </row>
    <row r="14" spans="1:28" x14ac:dyDescent="0.25">
      <c r="A14" s="12" t="s">
        <v>12</v>
      </c>
      <c r="AA14">
        <f t="shared" si="0"/>
        <v>0</v>
      </c>
      <c r="AB14">
        <f>(AA14/AA38)*100</f>
        <v>0</v>
      </c>
    </row>
    <row r="15" spans="1:28" x14ac:dyDescent="0.25">
      <c r="A15" s="12" t="s">
        <v>13</v>
      </c>
      <c r="AA15">
        <f t="shared" si="0"/>
        <v>0</v>
      </c>
      <c r="AB15">
        <f>(AA15/AA38)*100</f>
        <v>0</v>
      </c>
    </row>
    <row r="16" spans="1:28" x14ac:dyDescent="0.25">
      <c r="A16" s="12" t="s">
        <v>14</v>
      </c>
      <c r="AA16">
        <f t="shared" si="0"/>
        <v>0</v>
      </c>
      <c r="AB16">
        <f>(AA16/AA38)*100</f>
        <v>0</v>
      </c>
    </row>
    <row r="17" spans="1:28" x14ac:dyDescent="0.25">
      <c r="A17" s="12" t="s">
        <v>15</v>
      </c>
      <c r="B17">
        <v>2</v>
      </c>
      <c r="E17">
        <v>3</v>
      </c>
      <c r="F17">
        <v>2</v>
      </c>
      <c r="G17">
        <v>2</v>
      </c>
      <c r="H17">
        <v>1</v>
      </c>
      <c r="K17">
        <v>2</v>
      </c>
      <c r="L17">
        <v>1</v>
      </c>
      <c r="M17">
        <v>2</v>
      </c>
      <c r="O17">
        <v>1</v>
      </c>
      <c r="P17">
        <v>1</v>
      </c>
      <c r="AA17">
        <f t="shared" si="0"/>
        <v>17</v>
      </c>
      <c r="AB17">
        <f>(AA17/AA38)*100</f>
        <v>5.629139072847682</v>
      </c>
    </row>
    <row r="18" spans="1:28" x14ac:dyDescent="0.25">
      <c r="A18" s="12" t="s">
        <v>16</v>
      </c>
      <c r="AA18">
        <f t="shared" si="0"/>
        <v>0</v>
      </c>
      <c r="AB18">
        <f>(AA18/AA38)*100</f>
        <v>0</v>
      </c>
    </row>
    <row r="19" spans="1:28" x14ac:dyDescent="0.25">
      <c r="A19" s="12" t="s">
        <v>17</v>
      </c>
      <c r="E19">
        <v>1</v>
      </c>
      <c r="P19">
        <v>1</v>
      </c>
      <c r="AA19">
        <f t="shared" si="0"/>
        <v>2</v>
      </c>
      <c r="AB19">
        <f>(AA19/AA38)*100</f>
        <v>0.66225165562913912</v>
      </c>
    </row>
    <row r="20" spans="1:28" x14ac:dyDescent="0.25">
      <c r="A20" s="12" t="s">
        <v>18</v>
      </c>
      <c r="E20">
        <v>1</v>
      </c>
      <c r="L20">
        <v>1</v>
      </c>
      <c r="N20">
        <v>1</v>
      </c>
      <c r="O20">
        <v>1</v>
      </c>
      <c r="Q20">
        <v>1</v>
      </c>
      <c r="AA20">
        <f t="shared" si="0"/>
        <v>5</v>
      </c>
      <c r="AB20">
        <f>(AA20/AA38)*100</f>
        <v>1.6556291390728477</v>
      </c>
    </row>
    <row r="21" spans="1:28" x14ac:dyDescent="0.25">
      <c r="A21" s="12" t="s">
        <v>19</v>
      </c>
      <c r="AA21">
        <f t="shared" si="0"/>
        <v>0</v>
      </c>
      <c r="AB21">
        <f>(AA21/AA38)*100</f>
        <v>0</v>
      </c>
    </row>
    <row r="22" spans="1:28" x14ac:dyDescent="0.25">
      <c r="A22" s="12" t="s">
        <v>20</v>
      </c>
      <c r="AA22">
        <f t="shared" si="0"/>
        <v>0</v>
      </c>
      <c r="AB22">
        <f>(AA22/AA38)*100</f>
        <v>0</v>
      </c>
    </row>
    <row r="23" spans="1:28" x14ac:dyDescent="0.25">
      <c r="A23" s="12" t="s">
        <v>21</v>
      </c>
      <c r="AA23">
        <f t="shared" si="0"/>
        <v>0</v>
      </c>
      <c r="AB23">
        <f>(AA23/AA38)*100</f>
        <v>0</v>
      </c>
    </row>
    <row r="24" spans="1:28" x14ac:dyDescent="0.25">
      <c r="A24" s="12" t="s">
        <v>22</v>
      </c>
      <c r="AA24">
        <f t="shared" si="0"/>
        <v>0</v>
      </c>
      <c r="AB24">
        <f>(AA24/AA38)*100</f>
        <v>0</v>
      </c>
    </row>
    <row r="25" spans="1:28" x14ac:dyDescent="0.25">
      <c r="A25" s="12" t="s">
        <v>23</v>
      </c>
      <c r="AA25">
        <f t="shared" si="0"/>
        <v>0</v>
      </c>
      <c r="AB25">
        <f>(AA25/AA38)*100</f>
        <v>0</v>
      </c>
    </row>
    <row r="26" spans="1:28" x14ac:dyDescent="0.25">
      <c r="A26" s="12" t="s">
        <v>24</v>
      </c>
      <c r="E26">
        <v>1</v>
      </c>
      <c r="M26">
        <v>1</v>
      </c>
      <c r="AA26">
        <f t="shared" si="0"/>
        <v>2</v>
      </c>
      <c r="AB26">
        <f>(AA26/AA38)*100</f>
        <v>0.66225165562913912</v>
      </c>
    </row>
    <row r="27" spans="1:28" x14ac:dyDescent="0.25">
      <c r="A27" s="12" t="s">
        <v>25</v>
      </c>
      <c r="AA27">
        <f t="shared" si="0"/>
        <v>0</v>
      </c>
      <c r="AB27">
        <f>(AA27/AA38)*100</f>
        <v>0</v>
      </c>
    </row>
    <row r="28" spans="1:28" x14ac:dyDescent="0.25">
      <c r="A28" s="12" t="s">
        <v>26</v>
      </c>
      <c r="AA28">
        <f t="shared" si="0"/>
        <v>0</v>
      </c>
      <c r="AB28">
        <f>(AA28/AA38)*100</f>
        <v>0</v>
      </c>
    </row>
    <row r="29" spans="1:28" x14ac:dyDescent="0.25">
      <c r="A29" s="12" t="s">
        <v>27</v>
      </c>
      <c r="B29">
        <v>3</v>
      </c>
      <c r="D29">
        <v>1</v>
      </c>
      <c r="E29">
        <v>2</v>
      </c>
      <c r="F29">
        <v>2</v>
      </c>
      <c r="G29">
        <v>2</v>
      </c>
      <c r="H29">
        <v>2</v>
      </c>
      <c r="I29">
        <v>4</v>
      </c>
      <c r="J29">
        <v>3</v>
      </c>
      <c r="K29">
        <v>3</v>
      </c>
      <c r="L29">
        <v>2</v>
      </c>
      <c r="M29">
        <v>1</v>
      </c>
      <c r="O29">
        <v>1</v>
      </c>
      <c r="P29">
        <v>2</v>
      </c>
      <c r="AA29">
        <f>SUM(B29:Q29)</f>
        <v>28</v>
      </c>
      <c r="AB29">
        <f>(AA29/AA38)*100</f>
        <v>9.2715231788079464</v>
      </c>
    </row>
    <row r="30" spans="1:28" x14ac:dyDescent="0.25">
      <c r="A30" s="12" t="s">
        <v>28</v>
      </c>
      <c r="M30">
        <v>1</v>
      </c>
      <c r="Q30">
        <v>1</v>
      </c>
      <c r="AA30">
        <f>SUM(B30:Q30)</f>
        <v>2</v>
      </c>
      <c r="AB30">
        <f>(AA30/AA38)*100</f>
        <v>0.66225165562913912</v>
      </c>
    </row>
    <row r="31" spans="1:28" x14ac:dyDescent="0.25">
      <c r="A31" s="12" t="s">
        <v>29</v>
      </c>
      <c r="B31">
        <v>17</v>
      </c>
      <c r="C31">
        <v>7</v>
      </c>
      <c r="D31">
        <v>6</v>
      </c>
      <c r="E31">
        <v>4</v>
      </c>
      <c r="F31">
        <v>8</v>
      </c>
      <c r="G31">
        <v>3</v>
      </c>
      <c r="H31">
        <v>1</v>
      </c>
      <c r="I31">
        <v>5</v>
      </c>
      <c r="J31">
        <v>11</v>
      </c>
      <c r="K31">
        <v>11</v>
      </c>
      <c r="L31">
        <v>6</v>
      </c>
      <c r="M31">
        <v>12</v>
      </c>
      <c r="N31">
        <v>14</v>
      </c>
      <c r="O31">
        <v>9</v>
      </c>
      <c r="P31">
        <v>8</v>
      </c>
      <c r="Q31">
        <v>11</v>
      </c>
      <c r="AA31">
        <f t="shared" si="0"/>
        <v>133</v>
      </c>
      <c r="AB31">
        <f>(AA31/AA38)*100</f>
        <v>44.039735099337747</v>
      </c>
    </row>
    <row r="32" spans="1:28" x14ac:dyDescent="0.25">
      <c r="A32" s="12" t="s">
        <v>30</v>
      </c>
      <c r="B32">
        <v>1</v>
      </c>
      <c r="E32">
        <v>1</v>
      </c>
      <c r="AA32">
        <f t="shared" si="0"/>
        <v>2</v>
      </c>
      <c r="AB32">
        <f>(AA32/AA38)*100</f>
        <v>0.66225165562913912</v>
      </c>
    </row>
    <row r="33" spans="1:28" x14ac:dyDescent="0.25">
      <c r="A33" s="12" t="s">
        <v>31</v>
      </c>
      <c r="AA33">
        <f t="shared" si="0"/>
        <v>0</v>
      </c>
      <c r="AB33">
        <f>(AA33/AA38)*100</f>
        <v>0</v>
      </c>
    </row>
    <row r="34" spans="1:28" x14ac:dyDescent="0.25">
      <c r="A34" s="12" t="s">
        <v>68</v>
      </c>
      <c r="AA34">
        <f t="shared" si="0"/>
        <v>0</v>
      </c>
      <c r="AB34">
        <f>(AA34/AA38)*100</f>
        <v>0</v>
      </c>
    </row>
    <row r="35" spans="1:28" x14ac:dyDescent="0.25">
      <c r="A35" s="12" t="s">
        <v>32</v>
      </c>
      <c r="AA35">
        <f t="shared" si="0"/>
        <v>0</v>
      </c>
      <c r="AB35">
        <f>(AA35/AA38)*100</f>
        <v>0</v>
      </c>
    </row>
    <row r="36" spans="1:28" x14ac:dyDescent="0.25">
      <c r="A36" s="12" t="s">
        <v>33</v>
      </c>
      <c r="AA36">
        <f t="shared" si="0"/>
        <v>0</v>
      </c>
      <c r="AB36">
        <f>(AA36/AA38)*100</f>
        <v>0</v>
      </c>
    </row>
    <row r="37" spans="1:28" x14ac:dyDescent="0.25">
      <c r="A37" s="12" t="s">
        <v>34</v>
      </c>
      <c r="AA37">
        <f t="shared" si="0"/>
        <v>0</v>
      </c>
      <c r="AB37">
        <f>(AA37/AA38)*100</f>
        <v>0</v>
      </c>
    </row>
    <row r="38" spans="1:28" s="19" customFormat="1" ht="12.75" x14ac:dyDescent="0.2">
      <c r="A38" s="19" t="s">
        <v>71</v>
      </c>
      <c r="B38" s="22">
        <f t="shared" ref="B38:X38" si="1">SUM(B3:B37)</f>
        <v>33</v>
      </c>
      <c r="C38" s="22">
        <f t="shared" si="1"/>
        <v>14</v>
      </c>
      <c r="D38" s="22">
        <f t="shared" si="1"/>
        <v>14</v>
      </c>
      <c r="E38" s="22">
        <f t="shared" si="1"/>
        <v>26</v>
      </c>
      <c r="F38" s="22">
        <f t="shared" si="1"/>
        <v>23</v>
      </c>
      <c r="G38" s="22">
        <f t="shared" si="1"/>
        <v>10</v>
      </c>
      <c r="H38" s="22">
        <f t="shared" si="1"/>
        <v>9</v>
      </c>
      <c r="I38" s="22">
        <f t="shared" si="1"/>
        <v>21</v>
      </c>
      <c r="J38" s="22">
        <f t="shared" si="1"/>
        <v>21</v>
      </c>
      <c r="K38" s="22">
        <f t="shared" si="1"/>
        <v>21</v>
      </c>
      <c r="L38" s="22">
        <f t="shared" si="1"/>
        <v>11</v>
      </c>
      <c r="M38" s="22">
        <f t="shared" si="1"/>
        <v>24</v>
      </c>
      <c r="N38" s="22">
        <f t="shared" si="1"/>
        <v>25</v>
      </c>
      <c r="O38" s="22">
        <f t="shared" si="1"/>
        <v>19</v>
      </c>
      <c r="P38" s="22">
        <f t="shared" si="1"/>
        <v>15</v>
      </c>
      <c r="Q38" s="22">
        <f t="shared" si="1"/>
        <v>16</v>
      </c>
      <c r="R38" s="22">
        <f t="shared" si="1"/>
        <v>0</v>
      </c>
      <c r="S38" s="22">
        <f t="shared" si="1"/>
        <v>0</v>
      </c>
      <c r="T38" s="22">
        <f t="shared" si="1"/>
        <v>0</v>
      </c>
      <c r="U38" s="22">
        <f t="shared" si="1"/>
        <v>0</v>
      </c>
      <c r="V38" s="22">
        <f t="shared" si="1"/>
        <v>0</v>
      </c>
      <c r="W38" s="22">
        <f t="shared" si="1"/>
        <v>0</v>
      </c>
      <c r="X38" s="22">
        <f t="shared" si="1"/>
        <v>0</v>
      </c>
      <c r="Y38" s="22"/>
      <c r="Z38" s="22"/>
      <c r="AA38" s="22">
        <f>SUM(AA3:AA37)</f>
        <v>302</v>
      </c>
      <c r="AB38" s="21">
        <f>SUM(AB3:AB37)</f>
        <v>100.00000000000001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workbookViewId="0">
      <pane xSplit="1" ySplit="2" topLeftCell="AA24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cols>
    <col min="1" max="1" width="23.42578125" bestFit="1" customWidth="1"/>
  </cols>
  <sheetData>
    <row r="1" spans="1:28" x14ac:dyDescent="0.25">
      <c r="A1" s="19" t="s">
        <v>98</v>
      </c>
      <c r="B1" s="22">
        <v>1</v>
      </c>
      <c r="C1" s="22">
        <v>2</v>
      </c>
      <c r="D1" s="22">
        <v>3</v>
      </c>
      <c r="E1" s="22">
        <v>4</v>
      </c>
      <c r="F1" s="22">
        <v>5</v>
      </c>
      <c r="G1" s="22">
        <v>6</v>
      </c>
      <c r="H1" s="22">
        <v>7</v>
      </c>
      <c r="I1" s="22">
        <v>8</v>
      </c>
      <c r="J1" s="22">
        <v>9</v>
      </c>
      <c r="K1" s="22">
        <v>10</v>
      </c>
      <c r="L1" s="22">
        <v>11</v>
      </c>
      <c r="M1" s="22">
        <v>12</v>
      </c>
      <c r="N1" s="22">
        <v>13</v>
      </c>
      <c r="O1" s="22">
        <v>14</v>
      </c>
      <c r="P1" s="22">
        <v>15</v>
      </c>
      <c r="Q1" s="22">
        <v>16</v>
      </c>
      <c r="R1" s="22">
        <v>17</v>
      </c>
      <c r="S1" s="22">
        <v>18</v>
      </c>
      <c r="T1" s="22">
        <v>19</v>
      </c>
      <c r="U1" s="22">
        <v>20</v>
      </c>
      <c r="V1" s="22">
        <v>21</v>
      </c>
      <c r="W1" s="22">
        <v>22</v>
      </c>
      <c r="X1" s="22">
        <v>23</v>
      </c>
      <c r="Y1" s="22">
        <v>24</v>
      </c>
    </row>
    <row r="2" spans="1:28" s="43" customFormat="1" ht="12.75" x14ac:dyDescent="0.2">
      <c r="A2" s="47" t="s">
        <v>97</v>
      </c>
      <c r="B2" s="23" t="s">
        <v>368</v>
      </c>
      <c r="C2" s="23" t="s">
        <v>369</v>
      </c>
      <c r="D2" s="23" t="s">
        <v>370</v>
      </c>
      <c r="E2" s="23" t="s">
        <v>215</v>
      </c>
      <c r="F2" s="23" t="s">
        <v>371</v>
      </c>
      <c r="G2" s="23" t="s">
        <v>372</v>
      </c>
      <c r="H2" s="23" t="s">
        <v>373</v>
      </c>
      <c r="I2" s="23" t="s">
        <v>374</v>
      </c>
      <c r="J2" s="23" t="s">
        <v>375</v>
      </c>
      <c r="K2" s="23" t="s">
        <v>376</v>
      </c>
      <c r="L2" s="23" t="s">
        <v>377</v>
      </c>
      <c r="M2" s="23" t="s">
        <v>378</v>
      </c>
      <c r="N2" s="23" t="s">
        <v>379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 t="s">
        <v>73</v>
      </c>
      <c r="AB2" s="23" t="s">
        <v>72</v>
      </c>
    </row>
    <row r="3" spans="1:28" x14ac:dyDescent="0.25">
      <c r="A3" s="12" t="s">
        <v>1</v>
      </c>
      <c r="AA3">
        <f>SUM(B3:P3)</f>
        <v>0</v>
      </c>
      <c r="AB3">
        <f>(AA3/AA38)*100</f>
        <v>0</v>
      </c>
    </row>
    <row r="4" spans="1:28" x14ac:dyDescent="0.25">
      <c r="A4" s="12" t="s">
        <v>2</v>
      </c>
      <c r="B4">
        <v>18</v>
      </c>
      <c r="C4">
        <v>17</v>
      </c>
      <c r="D4">
        <v>2</v>
      </c>
      <c r="E4">
        <v>5</v>
      </c>
      <c r="F4">
        <v>16</v>
      </c>
      <c r="G4">
        <v>10</v>
      </c>
      <c r="H4">
        <v>22</v>
      </c>
      <c r="I4">
        <v>16</v>
      </c>
      <c r="J4">
        <v>1</v>
      </c>
      <c r="K4">
        <v>2</v>
      </c>
      <c r="L4">
        <v>17</v>
      </c>
      <c r="N4">
        <v>5</v>
      </c>
      <c r="AA4">
        <f t="shared" ref="AA4:AA37" si="0">SUM(B4:P4)</f>
        <v>131</v>
      </c>
      <c r="AB4">
        <f>(AA4/AA38)*100</f>
        <v>35.890410958904113</v>
      </c>
    </row>
    <row r="5" spans="1:28" x14ac:dyDescent="0.25">
      <c r="A5" s="12" t="s">
        <v>3</v>
      </c>
      <c r="AA5">
        <f t="shared" si="0"/>
        <v>0</v>
      </c>
      <c r="AB5">
        <f>(AA5/AA38)*100</f>
        <v>0</v>
      </c>
    </row>
    <row r="6" spans="1:28" x14ac:dyDescent="0.25">
      <c r="A6" s="12" t="s">
        <v>4</v>
      </c>
      <c r="E6">
        <v>1</v>
      </c>
      <c r="AA6">
        <f t="shared" si="0"/>
        <v>1</v>
      </c>
      <c r="AB6">
        <f>(AA6/AA38)*100</f>
        <v>0.27397260273972601</v>
      </c>
    </row>
    <row r="7" spans="1:28" x14ac:dyDescent="0.25">
      <c r="A7" s="12" t="s">
        <v>5</v>
      </c>
      <c r="B7">
        <v>5</v>
      </c>
      <c r="C7">
        <v>2</v>
      </c>
      <c r="E7">
        <v>1</v>
      </c>
      <c r="H7">
        <v>1</v>
      </c>
      <c r="I7">
        <v>2</v>
      </c>
      <c r="J7">
        <v>2</v>
      </c>
      <c r="L7">
        <v>1</v>
      </c>
      <c r="M7">
        <v>1</v>
      </c>
      <c r="AA7">
        <f t="shared" si="0"/>
        <v>15</v>
      </c>
      <c r="AB7">
        <f>(AA7/AA38)*100</f>
        <v>4.10958904109589</v>
      </c>
    </row>
    <row r="8" spans="1:28" x14ac:dyDescent="0.25">
      <c r="A8" s="12" t="s">
        <v>6</v>
      </c>
      <c r="F8">
        <v>2</v>
      </c>
      <c r="G8">
        <v>1</v>
      </c>
      <c r="H8">
        <v>1</v>
      </c>
      <c r="I8">
        <v>1</v>
      </c>
      <c r="AA8">
        <f t="shared" si="0"/>
        <v>5</v>
      </c>
      <c r="AB8">
        <f>(AA8/AA38)*100</f>
        <v>1.3698630136986301</v>
      </c>
    </row>
    <row r="9" spans="1:28" x14ac:dyDescent="0.25">
      <c r="A9" s="12" t="s">
        <v>7</v>
      </c>
      <c r="AA9">
        <f t="shared" si="0"/>
        <v>0</v>
      </c>
      <c r="AB9">
        <f>(AA9/AA38)*100</f>
        <v>0</v>
      </c>
    </row>
    <row r="10" spans="1:28" x14ac:dyDescent="0.25">
      <c r="A10" s="12" t="s">
        <v>8</v>
      </c>
      <c r="AA10">
        <f t="shared" si="0"/>
        <v>0</v>
      </c>
      <c r="AB10">
        <f>(AA10/AA38)*100</f>
        <v>0</v>
      </c>
    </row>
    <row r="11" spans="1:28" x14ac:dyDescent="0.25">
      <c r="A11" s="12" t="s">
        <v>9</v>
      </c>
      <c r="AA11">
        <f t="shared" si="0"/>
        <v>0</v>
      </c>
      <c r="AB11">
        <f>(AA11/AA38)*100</f>
        <v>0</v>
      </c>
    </row>
    <row r="12" spans="1:28" x14ac:dyDescent="0.25">
      <c r="A12" s="12" t="s">
        <v>10</v>
      </c>
      <c r="AA12">
        <f t="shared" si="0"/>
        <v>0</v>
      </c>
      <c r="AB12">
        <f>(AA12/AA38)*100</f>
        <v>0</v>
      </c>
    </row>
    <row r="13" spans="1:28" x14ac:dyDescent="0.25">
      <c r="A13" s="12" t="s">
        <v>11</v>
      </c>
      <c r="AA13">
        <f t="shared" si="0"/>
        <v>0</v>
      </c>
      <c r="AB13">
        <f>(AA13/AA38)*100</f>
        <v>0</v>
      </c>
    </row>
    <row r="14" spans="1:28" x14ac:dyDescent="0.25">
      <c r="A14" s="12" t="s">
        <v>12</v>
      </c>
      <c r="AA14">
        <f t="shared" si="0"/>
        <v>0</v>
      </c>
      <c r="AB14">
        <f>(AA14/AA38)*100</f>
        <v>0</v>
      </c>
    </row>
    <row r="15" spans="1:28" x14ac:dyDescent="0.25">
      <c r="A15" s="12" t="s">
        <v>13</v>
      </c>
      <c r="AA15">
        <f t="shared" si="0"/>
        <v>0</v>
      </c>
      <c r="AB15">
        <f>(AA15/AA38)*100</f>
        <v>0</v>
      </c>
    </row>
    <row r="16" spans="1:28" x14ac:dyDescent="0.25">
      <c r="A16" s="12" t="s">
        <v>14</v>
      </c>
      <c r="AA16">
        <f t="shared" si="0"/>
        <v>0</v>
      </c>
      <c r="AB16">
        <f>(AA16/AA38)*100</f>
        <v>0</v>
      </c>
    </row>
    <row r="17" spans="1:28" x14ac:dyDescent="0.25">
      <c r="A17" s="12" t="s">
        <v>15</v>
      </c>
      <c r="B17">
        <v>2</v>
      </c>
      <c r="G17">
        <v>1</v>
      </c>
      <c r="H17">
        <v>3</v>
      </c>
      <c r="I17">
        <v>3</v>
      </c>
      <c r="L17">
        <v>1</v>
      </c>
      <c r="N17">
        <v>2</v>
      </c>
      <c r="AA17">
        <f t="shared" si="0"/>
        <v>12</v>
      </c>
      <c r="AB17">
        <f>(AA17/AA38)*100</f>
        <v>3.2876712328767121</v>
      </c>
    </row>
    <row r="18" spans="1:28" x14ac:dyDescent="0.25">
      <c r="A18" s="12" t="s">
        <v>16</v>
      </c>
      <c r="G18">
        <v>3</v>
      </c>
      <c r="H18">
        <v>1</v>
      </c>
      <c r="L18">
        <v>1</v>
      </c>
      <c r="AA18">
        <f t="shared" si="0"/>
        <v>5</v>
      </c>
      <c r="AB18">
        <f>(AA18/AA38)*100</f>
        <v>1.3698630136986301</v>
      </c>
    </row>
    <row r="19" spans="1:28" x14ac:dyDescent="0.25">
      <c r="A19" s="12" t="s">
        <v>17</v>
      </c>
      <c r="G19">
        <v>1</v>
      </c>
      <c r="H19">
        <v>1</v>
      </c>
      <c r="AA19">
        <f t="shared" si="0"/>
        <v>2</v>
      </c>
      <c r="AB19">
        <f>(AA19/AA38)*100</f>
        <v>0.54794520547945202</v>
      </c>
    </row>
    <row r="20" spans="1:28" x14ac:dyDescent="0.25">
      <c r="A20" s="12" t="s">
        <v>18</v>
      </c>
      <c r="H20">
        <v>1</v>
      </c>
      <c r="AA20">
        <f t="shared" si="0"/>
        <v>1</v>
      </c>
      <c r="AB20">
        <f>(AA20/AA38)*100</f>
        <v>0.27397260273972601</v>
      </c>
    </row>
    <row r="21" spans="1:28" x14ac:dyDescent="0.25">
      <c r="A21" s="12" t="s">
        <v>19</v>
      </c>
      <c r="AA21">
        <f t="shared" si="0"/>
        <v>0</v>
      </c>
      <c r="AB21">
        <f>(AA21/AA38)*100</f>
        <v>0</v>
      </c>
    </row>
    <row r="22" spans="1:28" x14ac:dyDescent="0.25">
      <c r="A22" s="12" t="s">
        <v>20</v>
      </c>
      <c r="AA22">
        <f t="shared" si="0"/>
        <v>0</v>
      </c>
      <c r="AB22">
        <f>(AA22/AA38)*100</f>
        <v>0</v>
      </c>
    </row>
    <row r="23" spans="1:28" x14ac:dyDescent="0.25">
      <c r="A23" s="12" t="s">
        <v>21</v>
      </c>
      <c r="AA23">
        <f t="shared" si="0"/>
        <v>0</v>
      </c>
      <c r="AB23">
        <f>(AA23/AA38)*100</f>
        <v>0</v>
      </c>
    </row>
    <row r="24" spans="1:28" x14ac:dyDescent="0.25">
      <c r="A24" s="12" t="s">
        <v>22</v>
      </c>
      <c r="AA24">
        <f t="shared" si="0"/>
        <v>0</v>
      </c>
      <c r="AB24">
        <f>(AA24/AA38)*100</f>
        <v>0</v>
      </c>
    </row>
    <row r="25" spans="1:28" x14ac:dyDescent="0.25">
      <c r="A25" s="12" t="s">
        <v>23</v>
      </c>
      <c r="AA25">
        <f t="shared" si="0"/>
        <v>0</v>
      </c>
      <c r="AB25">
        <f>(AA25/AA38)*100</f>
        <v>0</v>
      </c>
    </row>
    <row r="26" spans="1:28" x14ac:dyDescent="0.25">
      <c r="A26" s="12" t="s">
        <v>24</v>
      </c>
      <c r="B26">
        <v>1</v>
      </c>
      <c r="D26">
        <v>1</v>
      </c>
      <c r="G26">
        <v>1</v>
      </c>
      <c r="H26">
        <v>1</v>
      </c>
      <c r="I26">
        <v>1</v>
      </c>
      <c r="N26">
        <v>1</v>
      </c>
      <c r="AA26">
        <f t="shared" si="0"/>
        <v>6</v>
      </c>
      <c r="AB26">
        <f>(AA26/AA38)*100</f>
        <v>1.6438356164383561</v>
      </c>
    </row>
    <row r="27" spans="1:28" x14ac:dyDescent="0.25">
      <c r="A27" s="12" t="s">
        <v>25</v>
      </c>
      <c r="AA27">
        <f t="shared" si="0"/>
        <v>0</v>
      </c>
      <c r="AB27">
        <f>(AA27/AA38)*100</f>
        <v>0</v>
      </c>
    </row>
    <row r="28" spans="1:28" x14ac:dyDescent="0.25">
      <c r="A28" s="12" t="s">
        <v>26</v>
      </c>
      <c r="AA28">
        <f t="shared" si="0"/>
        <v>0</v>
      </c>
      <c r="AB28">
        <f>(AA28/AA38)*100</f>
        <v>0</v>
      </c>
    </row>
    <row r="29" spans="1:28" x14ac:dyDescent="0.25">
      <c r="A29" s="12" t="s">
        <v>27</v>
      </c>
      <c r="B29">
        <v>11</v>
      </c>
      <c r="C29">
        <v>3</v>
      </c>
      <c r="D29">
        <v>1</v>
      </c>
      <c r="E29">
        <v>6</v>
      </c>
      <c r="F29">
        <v>6</v>
      </c>
      <c r="G29">
        <v>5</v>
      </c>
      <c r="H29">
        <v>3</v>
      </c>
      <c r="I29">
        <v>2</v>
      </c>
      <c r="J29">
        <v>6</v>
      </c>
      <c r="K29">
        <v>1</v>
      </c>
      <c r="L29">
        <v>5</v>
      </c>
      <c r="M29">
        <v>3</v>
      </c>
      <c r="N29">
        <v>1</v>
      </c>
      <c r="AA29">
        <f>SUM(B29:P29)</f>
        <v>53</v>
      </c>
      <c r="AB29">
        <f>(AA29/AA38)*100</f>
        <v>14.520547945205479</v>
      </c>
    </row>
    <row r="30" spans="1:28" x14ac:dyDescent="0.25">
      <c r="A30" s="12" t="s">
        <v>28</v>
      </c>
      <c r="H30">
        <v>3</v>
      </c>
      <c r="I30">
        <v>1</v>
      </c>
      <c r="L30">
        <v>1</v>
      </c>
      <c r="AA30">
        <f>SUM(B30:P30)</f>
        <v>5</v>
      </c>
      <c r="AB30">
        <f>(AA30/AA38)*100</f>
        <v>1.3698630136986301</v>
      </c>
    </row>
    <row r="31" spans="1:28" x14ac:dyDescent="0.25">
      <c r="A31" s="12" t="s">
        <v>29</v>
      </c>
      <c r="B31">
        <v>9</v>
      </c>
      <c r="C31">
        <v>13</v>
      </c>
      <c r="D31">
        <v>20</v>
      </c>
      <c r="E31">
        <v>9</v>
      </c>
      <c r="F31">
        <v>9</v>
      </c>
      <c r="G31">
        <v>6</v>
      </c>
      <c r="H31">
        <v>10</v>
      </c>
      <c r="I31">
        <v>13</v>
      </c>
      <c r="J31">
        <v>11</v>
      </c>
      <c r="K31">
        <v>9</v>
      </c>
      <c r="L31">
        <v>4</v>
      </c>
      <c r="M31">
        <v>7</v>
      </c>
      <c r="N31">
        <v>8</v>
      </c>
      <c r="AA31">
        <f t="shared" si="0"/>
        <v>128</v>
      </c>
      <c r="AB31">
        <f>(AA31/AA38)*100</f>
        <v>35.06849315068493</v>
      </c>
    </row>
    <row r="32" spans="1:28" x14ac:dyDescent="0.25">
      <c r="A32" s="12" t="s">
        <v>30</v>
      </c>
      <c r="L32">
        <v>1</v>
      </c>
      <c r="AA32">
        <f t="shared" si="0"/>
        <v>1</v>
      </c>
      <c r="AB32">
        <f>(AA32/AA38)*100</f>
        <v>0.27397260273972601</v>
      </c>
    </row>
    <row r="33" spans="1:28" x14ac:dyDescent="0.25">
      <c r="A33" s="12" t="s">
        <v>31</v>
      </c>
      <c r="AA33">
        <f t="shared" si="0"/>
        <v>0</v>
      </c>
      <c r="AB33">
        <f>(AA33/AA38)*100</f>
        <v>0</v>
      </c>
    </row>
    <row r="34" spans="1:28" x14ac:dyDescent="0.25">
      <c r="A34" s="12" t="s">
        <v>68</v>
      </c>
      <c r="AA34">
        <f t="shared" si="0"/>
        <v>0</v>
      </c>
      <c r="AB34">
        <f>(AA34/AA38)*100</f>
        <v>0</v>
      </c>
    </row>
    <row r="35" spans="1:28" x14ac:dyDescent="0.25">
      <c r="A35" s="12" t="s">
        <v>32</v>
      </c>
      <c r="AA35">
        <f t="shared" si="0"/>
        <v>0</v>
      </c>
      <c r="AB35">
        <f>(AA35/AA38)*100</f>
        <v>0</v>
      </c>
    </row>
    <row r="36" spans="1:28" x14ac:dyDescent="0.25">
      <c r="A36" s="12" t="s">
        <v>33</v>
      </c>
      <c r="AA36">
        <f t="shared" si="0"/>
        <v>0</v>
      </c>
      <c r="AB36">
        <f>(AA36/AA38)*100</f>
        <v>0</v>
      </c>
    </row>
    <row r="37" spans="1:28" x14ac:dyDescent="0.25">
      <c r="A37" s="12" t="s">
        <v>34</v>
      </c>
      <c r="AA37">
        <f t="shared" si="0"/>
        <v>0</v>
      </c>
      <c r="AB37">
        <f>(AA37/AA38)*100</f>
        <v>0</v>
      </c>
    </row>
    <row r="38" spans="1:28" s="19" customFormat="1" ht="12.75" x14ac:dyDescent="0.2">
      <c r="A38" s="19" t="s">
        <v>71</v>
      </c>
      <c r="B38" s="22">
        <f t="shared" ref="B38:X38" si="1">SUM(B3:B37)</f>
        <v>46</v>
      </c>
      <c r="C38" s="22">
        <f t="shared" si="1"/>
        <v>35</v>
      </c>
      <c r="D38" s="22">
        <f t="shared" si="1"/>
        <v>24</v>
      </c>
      <c r="E38" s="22">
        <f t="shared" si="1"/>
        <v>22</v>
      </c>
      <c r="F38" s="22">
        <f t="shared" si="1"/>
        <v>33</v>
      </c>
      <c r="G38" s="22">
        <f t="shared" si="1"/>
        <v>28</v>
      </c>
      <c r="H38" s="22">
        <f t="shared" si="1"/>
        <v>47</v>
      </c>
      <c r="I38" s="22">
        <f t="shared" si="1"/>
        <v>39</v>
      </c>
      <c r="J38" s="22">
        <f t="shared" si="1"/>
        <v>20</v>
      </c>
      <c r="K38" s="22">
        <f t="shared" si="1"/>
        <v>12</v>
      </c>
      <c r="L38" s="22">
        <f t="shared" si="1"/>
        <v>31</v>
      </c>
      <c r="M38" s="22">
        <f t="shared" si="1"/>
        <v>11</v>
      </c>
      <c r="N38" s="22">
        <f t="shared" si="1"/>
        <v>17</v>
      </c>
      <c r="O38" s="22">
        <f t="shared" si="1"/>
        <v>0</v>
      </c>
      <c r="P38" s="22">
        <f t="shared" si="1"/>
        <v>0</v>
      </c>
      <c r="Q38" s="22">
        <f t="shared" si="1"/>
        <v>0</v>
      </c>
      <c r="R38" s="22">
        <f t="shared" si="1"/>
        <v>0</v>
      </c>
      <c r="S38" s="22">
        <f t="shared" si="1"/>
        <v>0</v>
      </c>
      <c r="T38" s="22">
        <f t="shared" si="1"/>
        <v>0</v>
      </c>
      <c r="U38" s="22">
        <f t="shared" si="1"/>
        <v>0</v>
      </c>
      <c r="V38" s="22">
        <f t="shared" si="1"/>
        <v>0</v>
      </c>
      <c r="W38" s="22">
        <f t="shared" si="1"/>
        <v>0</v>
      </c>
      <c r="X38" s="22">
        <f t="shared" si="1"/>
        <v>0</v>
      </c>
      <c r="Y38" s="22"/>
      <c r="Z38" s="22"/>
      <c r="AA38" s="22">
        <f>SUM(B38:Z38)</f>
        <v>365</v>
      </c>
      <c r="AB38" s="21">
        <f>SUM(AB3:AB37)</f>
        <v>100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topLeftCell="J19" workbookViewId="0"/>
  </sheetViews>
  <sheetFormatPr defaultRowHeight="15" x14ac:dyDescent="0.25"/>
  <cols>
    <col min="1" max="1" width="23.42578125" bestFit="1" customWidth="1"/>
  </cols>
  <sheetData>
    <row r="1" spans="1:28" x14ac:dyDescent="0.25">
      <c r="A1" s="19" t="s">
        <v>98</v>
      </c>
      <c r="B1" s="22">
        <v>1</v>
      </c>
      <c r="C1" s="22">
        <v>2</v>
      </c>
      <c r="D1" s="22">
        <v>3</v>
      </c>
      <c r="E1" s="22">
        <v>4</v>
      </c>
      <c r="F1" s="22">
        <v>5</v>
      </c>
      <c r="G1" s="22">
        <v>6</v>
      </c>
      <c r="H1" s="22">
        <v>7</v>
      </c>
      <c r="I1" s="22">
        <v>8</v>
      </c>
      <c r="J1" s="22">
        <v>9</v>
      </c>
      <c r="K1" s="22">
        <v>10</v>
      </c>
      <c r="L1" s="22">
        <v>11</v>
      </c>
      <c r="M1" s="22">
        <v>12</v>
      </c>
      <c r="N1" s="22">
        <v>13</v>
      </c>
      <c r="O1" s="22">
        <v>14</v>
      </c>
      <c r="P1" s="22">
        <v>15</v>
      </c>
      <c r="Q1" s="22">
        <v>16</v>
      </c>
      <c r="R1" s="22">
        <v>17</v>
      </c>
      <c r="S1" s="22">
        <v>18</v>
      </c>
      <c r="T1" s="22">
        <v>19</v>
      </c>
      <c r="U1" s="22">
        <v>20</v>
      </c>
      <c r="V1" s="22">
        <v>21</v>
      </c>
      <c r="W1" s="22">
        <v>22</v>
      </c>
      <c r="X1" s="22">
        <v>23</v>
      </c>
      <c r="Y1" s="22">
        <v>24</v>
      </c>
    </row>
    <row r="2" spans="1:28" s="43" customFormat="1" ht="12.75" x14ac:dyDescent="0.2">
      <c r="A2" s="47" t="s">
        <v>97</v>
      </c>
      <c r="B2" s="23" t="s">
        <v>380</v>
      </c>
      <c r="C2" s="23" t="s">
        <v>381</v>
      </c>
      <c r="D2" s="23" t="s">
        <v>382</v>
      </c>
      <c r="E2" s="23" t="s">
        <v>383</v>
      </c>
      <c r="F2" s="23" t="s">
        <v>384</v>
      </c>
      <c r="G2" s="23" t="s">
        <v>385</v>
      </c>
      <c r="H2" s="23" t="s">
        <v>386</v>
      </c>
      <c r="I2" s="23" t="s">
        <v>387</v>
      </c>
      <c r="J2" s="23" t="s">
        <v>139</v>
      </c>
      <c r="K2" s="23" t="s">
        <v>156</v>
      </c>
      <c r="L2" s="23" t="s">
        <v>388</v>
      </c>
      <c r="M2" s="23" t="s">
        <v>389</v>
      </c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 t="s">
        <v>73</v>
      </c>
      <c r="AB2" s="23" t="s">
        <v>72</v>
      </c>
    </row>
    <row r="3" spans="1:28" x14ac:dyDescent="0.25">
      <c r="A3" s="12" t="s">
        <v>1</v>
      </c>
      <c r="AA3">
        <f>SUM(B3:P3)</f>
        <v>0</v>
      </c>
      <c r="AB3">
        <f>(AA3/AA38)*100</f>
        <v>0</v>
      </c>
    </row>
    <row r="4" spans="1:28" x14ac:dyDescent="0.25">
      <c r="A4" s="12" t="s">
        <v>2</v>
      </c>
      <c r="B4">
        <v>9</v>
      </c>
      <c r="C4">
        <v>26</v>
      </c>
      <c r="D4">
        <v>9</v>
      </c>
      <c r="E4">
        <v>9</v>
      </c>
      <c r="F4">
        <v>13</v>
      </c>
      <c r="G4">
        <v>6</v>
      </c>
      <c r="H4">
        <v>3</v>
      </c>
      <c r="I4">
        <v>7</v>
      </c>
      <c r="J4">
        <v>8</v>
      </c>
      <c r="K4">
        <v>6</v>
      </c>
      <c r="L4">
        <v>13</v>
      </c>
      <c r="AA4">
        <f t="shared" ref="AA4:AA37" si="0">SUM(B4:P4)</f>
        <v>109</v>
      </c>
      <c r="AB4">
        <f>(AA4/AA38)*100</f>
        <v>20.722433460076044</v>
      </c>
    </row>
    <row r="5" spans="1:28" x14ac:dyDescent="0.25">
      <c r="A5" s="12" t="s">
        <v>3</v>
      </c>
      <c r="B5">
        <v>1</v>
      </c>
      <c r="C5">
        <v>1</v>
      </c>
      <c r="D5">
        <v>2</v>
      </c>
      <c r="E5">
        <v>1</v>
      </c>
      <c r="K5">
        <v>2</v>
      </c>
      <c r="M5">
        <v>2</v>
      </c>
      <c r="AA5">
        <f t="shared" si="0"/>
        <v>9</v>
      </c>
      <c r="AB5">
        <f>(AA5/AA38)*100</f>
        <v>1.7110266159695817</v>
      </c>
    </row>
    <row r="6" spans="1:28" x14ac:dyDescent="0.25">
      <c r="A6" s="12" t="s">
        <v>4</v>
      </c>
      <c r="AA6">
        <f t="shared" si="0"/>
        <v>0</v>
      </c>
      <c r="AB6">
        <f>(AA6/AA38)*100</f>
        <v>0</v>
      </c>
    </row>
    <row r="7" spans="1:28" x14ac:dyDescent="0.25">
      <c r="A7" s="12" t="s">
        <v>5</v>
      </c>
      <c r="B7">
        <v>1</v>
      </c>
      <c r="C7">
        <v>11</v>
      </c>
      <c r="D7">
        <v>2</v>
      </c>
      <c r="F7">
        <v>2</v>
      </c>
      <c r="H7">
        <v>3</v>
      </c>
      <c r="I7">
        <v>7</v>
      </c>
      <c r="J7">
        <v>11</v>
      </c>
      <c r="K7">
        <v>2</v>
      </c>
      <c r="M7">
        <v>1</v>
      </c>
      <c r="AA7">
        <f t="shared" si="0"/>
        <v>40</v>
      </c>
      <c r="AB7">
        <f>(AA7/AA38)*100</f>
        <v>7.6045627376425857</v>
      </c>
    </row>
    <row r="8" spans="1:28" x14ac:dyDescent="0.25">
      <c r="A8" s="12" t="s">
        <v>6</v>
      </c>
      <c r="B8">
        <v>1</v>
      </c>
      <c r="C8">
        <v>6</v>
      </c>
      <c r="D8">
        <v>12</v>
      </c>
      <c r="E8">
        <v>4</v>
      </c>
      <c r="F8">
        <v>6</v>
      </c>
      <c r="I8">
        <v>1</v>
      </c>
      <c r="J8">
        <v>7</v>
      </c>
      <c r="K8">
        <v>1</v>
      </c>
      <c r="L8">
        <v>7</v>
      </c>
      <c r="M8">
        <v>11</v>
      </c>
      <c r="AA8">
        <f t="shared" si="0"/>
        <v>56</v>
      </c>
      <c r="AB8">
        <f>(AA8/AA38)*100</f>
        <v>10.646387832699618</v>
      </c>
    </row>
    <row r="9" spans="1:28" x14ac:dyDescent="0.25">
      <c r="A9" s="12" t="s">
        <v>7</v>
      </c>
      <c r="AA9">
        <f t="shared" si="0"/>
        <v>0</v>
      </c>
      <c r="AB9">
        <f>(AA9/AA38)*100</f>
        <v>0</v>
      </c>
    </row>
    <row r="10" spans="1:28" x14ac:dyDescent="0.25">
      <c r="A10" s="12" t="s">
        <v>8</v>
      </c>
      <c r="B10">
        <v>1</v>
      </c>
      <c r="E10">
        <v>2</v>
      </c>
      <c r="K10">
        <v>1</v>
      </c>
      <c r="L10">
        <v>1</v>
      </c>
      <c r="M10">
        <v>1</v>
      </c>
      <c r="AA10">
        <f t="shared" si="0"/>
        <v>6</v>
      </c>
      <c r="AB10">
        <f>(AA10/AA38)*100</f>
        <v>1.1406844106463878</v>
      </c>
    </row>
    <row r="11" spans="1:28" x14ac:dyDescent="0.25">
      <c r="A11" s="12" t="s">
        <v>9</v>
      </c>
      <c r="AA11">
        <f t="shared" si="0"/>
        <v>0</v>
      </c>
      <c r="AB11">
        <f>(AA11/AA38)*100</f>
        <v>0</v>
      </c>
    </row>
    <row r="12" spans="1:28" x14ac:dyDescent="0.25">
      <c r="A12" s="12" t="s">
        <v>10</v>
      </c>
      <c r="AA12">
        <f t="shared" si="0"/>
        <v>0</v>
      </c>
      <c r="AB12">
        <f>(AA12/AA38)*100</f>
        <v>0</v>
      </c>
    </row>
    <row r="13" spans="1:28" x14ac:dyDescent="0.25">
      <c r="A13" s="12" t="s">
        <v>11</v>
      </c>
      <c r="AA13">
        <f t="shared" si="0"/>
        <v>0</v>
      </c>
      <c r="AB13">
        <f>(AA13/AA38)*100</f>
        <v>0</v>
      </c>
    </row>
    <row r="14" spans="1:28" x14ac:dyDescent="0.25">
      <c r="A14" s="12" t="s">
        <v>12</v>
      </c>
      <c r="AA14">
        <f t="shared" si="0"/>
        <v>0</v>
      </c>
      <c r="AB14">
        <f>(AA14/AA38)*100</f>
        <v>0</v>
      </c>
    </row>
    <row r="15" spans="1:28" x14ac:dyDescent="0.25">
      <c r="A15" s="12" t="s">
        <v>13</v>
      </c>
      <c r="AA15">
        <f t="shared" si="0"/>
        <v>0</v>
      </c>
      <c r="AB15">
        <f>(AA15/AA38)*100</f>
        <v>0</v>
      </c>
    </row>
    <row r="16" spans="1:28" x14ac:dyDescent="0.25">
      <c r="A16" s="12" t="s">
        <v>14</v>
      </c>
      <c r="AA16">
        <f t="shared" si="0"/>
        <v>0</v>
      </c>
      <c r="AB16">
        <f>(AA16/AA38)*100</f>
        <v>0</v>
      </c>
    </row>
    <row r="17" spans="1:28" x14ac:dyDescent="0.25">
      <c r="A17" s="12" t="s">
        <v>15</v>
      </c>
      <c r="C17">
        <v>1</v>
      </c>
      <c r="D17">
        <v>2</v>
      </c>
      <c r="E17">
        <v>2</v>
      </c>
      <c r="G17">
        <v>1</v>
      </c>
      <c r="M17">
        <v>3</v>
      </c>
      <c r="AA17">
        <f t="shared" si="0"/>
        <v>9</v>
      </c>
      <c r="AB17">
        <f>(AA17/AA38)*100</f>
        <v>1.7110266159695817</v>
      </c>
    </row>
    <row r="18" spans="1:28" x14ac:dyDescent="0.25">
      <c r="A18" s="12" t="s">
        <v>16</v>
      </c>
      <c r="C18">
        <v>1</v>
      </c>
      <c r="D18">
        <v>1</v>
      </c>
      <c r="E18">
        <v>3</v>
      </c>
      <c r="F18">
        <v>1</v>
      </c>
      <c r="J18">
        <v>1</v>
      </c>
      <c r="K18">
        <v>2</v>
      </c>
      <c r="AA18">
        <f t="shared" si="0"/>
        <v>9</v>
      </c>
      <c r="AB18">
        <f>(AA18/AA38)*100</f>
        <v>1.7110266159695817</v>
      </c>
    </row>
    <row r="19" spans="1:28" x14ac:dyDescent="0.25">
      <c r="A19" s="12" t="s">
        <v>17</v>
      </c>
      <c r="B19">
        <v>2</v>
      </c>
      <c r="C19">
        <v>1</v>
      </c>
      <c r="D19">
        <v>11</v>
      </c>
      <c r="E19">
        <v>6</v>
      </c>
      <c r="F19">
        <v>2</v>
      </c>
      <c r="J19">
        <v>1</v>
      </c>
      <c r="K19">
        <v>2</v>
      </c>
      <c r="L19">
        <v>4</v>
      </c>
      <c r="M19">
        <v>6</v>
      </c>
      <c r="AA19">
        <f t="shared" si="0"/>
        <v>35</v>
      </c>
      <c r="AB19">
        <f>(AA19/AA38)*100</f>
        <v>6.6539923954372622</v>
      </c>
    </row>
    <row r="20" spans="1:28" x14ac:dyDescent="0.25">
      <c r="A20" s="12" t="s">
        <v>18</v>
      </c>
      <c r="B20">
        <v>1</v>
      </c>
      <c r="F20">
        <v>1</v>
      </c>
      <c r="L20">
        <v>3</v>
      </c>
      <c r="AA20">
        <f t="shared" si="0"/>
        <v>5</v>
      </c>
      <c r="AB20">
        <f>(AA20/AA38)*100</f>
        <v>0.95057034220532322</v>
      </c>
    </row>
    <row r="21" spans="1:28" x14ac:dyDescent="0.25">
      <c r="A21" s="12" t="s">
        <v>19</v>
      </c>
      <c r="B21">
        <v>1</v>
      </c>
      <c r="C21">
        <v>2</v>
      </c>
      <c r="E21">
        <v>1</v>
      </c>
      <c r="F21">
        <v>4</v>
      </c>
      <c r="G21">
        <v>1</v>
      </c>
      <c r="AA21">
        <f t="shared" si="0"/>
        <v>9</v>
      </c>
      <c r="AB21">
        <f>(AA21/AA38)*100</f>
        <v>1.7110266159695817</v>
      </c>
    </row>
    <row r="22" spans="1:28" x14ac:dyDescent="0.25">
      <c r="A22" s="12" t="s">
        <v>20</v>
      </c>
      <c r="J22">
        <v>1</v>
      </c>
      <c r="M22">
        <v>1</v>
      </c>
      <c r="AA22">
        <f t="shared" si="0"/>
        <v>2</v>
      </c>
      <c r="AB22">
        <f>(AA22/AA38)*100</f>
        <v>0.38022813688212925</v>
      </c>
    </row>
    <row r="23" spans="1:28" x14ac:dyDescent="0.25">
      <c r="A23" s="12" t="s">
        <v>21</v>
      </c>
      <c r="B23">
        <v>2</v>
      </c>
      <c r="C23">
        <v>5</v>
      </c>
      <c r="E23">
        <v>2</v>
      </c>
      <c r="J23">
        <v>2</v>
      </c>
      <c r="K23">
        <v>1</v>
      </c>
      <c r="M23">
        <v>2</v>
      </c>
      <c r="AA23">
        <f t="shared" si="0"/>
        <v>14</v>
      </c>
      <c r="AB23">
        <f>(AA23/AA38)*100</f>
        <v>2.6615969581749046</v>
      </c>
    </row>
    <row r="24" spans="1:28" x14ac:dyDescent="0.25">
      <c r="A24" s="12" t="s">
        <v>22</v>
      </c>
      <c r="AA24">
        <f t="shared" si="0"/>
        <v>0</v>
      </c>
      <c r="AB24">
        <f>(AA24/AA38)*100</f>
        <v>0</v>
      </c>
    </row>
    <row r="25" spans="1:28" x14ac:dyDescent="0.25">
      <c r="A25" s="12" t="s">
        <v>23</v>
      </c>
      <c r="AA25">
        <f t="shared" si="0"/>
        <v>0</v>
      </c>
      <c r="AB25">
        <f>(AA25/AA38)*100</f>
        <v>0</v>
      </c>
    </row>
    <row r="26" spans="1:28" x14ac:dyDescent="0.25">
      <c r="A26" s="12" t="s">
        <v>24</v>
      </c>
      <c r="J26">
        <v>1</v>
      </c>
      <c r="AA26">
        <f t="shared" si="0"/>
        <v>1</v>
      </c>
      <c r="AB26">
        <f>(AA26/AA38)*100</f>
        <v>0.19011406844106463</v>
      </c>
    </row>
    <row r="27" spans="1:28" x14ac:dyDescent="0.25">
      <c r="A27" s="12" t="s">
        <v>25</v>
      </c>
      <c r="AA27">
        <f t="shared" si="0"/>
        <v>0</v>
      </c>
      <c r="AB27">
        <f>(AA27/AA38)*100</f>
        <v>0</v>
      </c>
    </row>
    <row r="28" spans="1:28" x14ac:dyDescent="0.25">
      <c r="A28" s="12" t="s">
        <v>26</v>
      </c>
      <c r="AA28">
        <f t="shared" si="0"/>
        <v>0</v>
      </c>
      <c r="AB28">
        <f>(AA28/AA38)*100</f>
        <v>0</v>
      </c>
    </row>
    <row r="29" spans="1:28" x14ac:dyDescent="0.25">
      <c r="A29" s="12" t="s">
        <v>27</v>
      </c>
      <c r="B29">
        <v>3</v>
      </c>
      <c r="C29">
        <v>3</v>
      </c>
      <c r="F29">
        <v>1</v>
      </c>
      <c r="G29">
        <v>1</v>
      </c>
      <c r="H29">
        <v>2</v>
      </c>
      <c r="I29">
        <v>7</v>
      </c>
      <c r="J29">
        <v>2</v>
      </c>
      <c r="L29">
        <v>2</v>
      </c>
      <c r="M29">
        <v>1</v>
      </c>
      <c r="AA29">
        <f>SUM(B29:P29)</f>
        <v>22</v>
      </c>
      <c r="AB29">
        <f>(AA29/AA38)*100</f>
        <v>4.1825095057034218</v>
      </c>
    </row>
    <row r="30" spans="1:28" x14ac:dyDescent="0.25">
      <c r="A30" s="12" t="s">
        <v>28</v>
      </c>
      <c r="AA30">
        <f>SUM(B30:P30)</f>
        <v>0</v>
      </c>
      <c r="AB30">
        <f>(AA30/AA38)*100</f>
        <v>0</v>
      </c>
    </row>
    <row r="31" spans="1:28" x14ac:dyDescent="0.25">
      <c r="A31" s="12" t="s">
        <v>29</v>
      </c>
      <c r="B31">
        <v>11</v>
      </c>
      <c r="C31">
        <v>27</v>
      </c>
      <c r="D31">
        <v>26</v>
      </c>
      <c r="E31">
        <v>16</v>
      </c>
      <c r="F31">
        <v>14</v>
      </c>
      <c r="G31">
        <v>8</v>
      </c>
      <c r="H31">
        <v>8</v>
      </c>
      <c r="I31">
        <v>13</v>
      </c>
      <c r="J31">
        <v>23</v>
      </c>
      <c r="K31">
        <v>11</v>
      </c>
      <c r="L31">
        <v>20</v>
      </c>
      <c r="M31">
        <v>20</v>
      </c>
      <c r="AA31">
        <f t="shared" si="0"/>
        <v>197</v>
      </c>
      <c r="AB31">
        <f>(AA31/AA38)*100</f>
        <v>37.452471482889734</v>
      </c>
    </row>
    <row r="32" spans="1:28" x14ac:dyDescent="0.25">
      <c r="A32" s="12" t="s">
        <v>30</v>
      </c>
      <c r="D32">
        <v>1</v>
      </c>
      <c r="E32">
        <v>1</v>
      </c>
      <c r="M32">
        <v>1</v>
      </c>
      <c r="AA32">
        <f t="shared" si="0"/>
        <v>3</v>
      </c>
      <c r="AB32">
        <f>(AA32/AA38)*100</f>
        <v>0.57034220532319391</v>
      </c>
    </row>
    <row r="33" spans="1:28" x14ac:dyDescent="0.25">
      <c r="A33" s="12" t="s">
        <v>31</v>
      </c>
      <c r="AA33">
        <f t="shared" si="0"/>
        <v>0</v>
      </c>
      <c r="AB33">
        <f>(AA33/AA38)*100</f>
        <v>0</v>
      </c>
    </row>
    <row r="34" spans="1:28" x14ac:dyDescent="0.25">
      <c r="A34" s="12" t="s">
        <v>68</v>
      </c>
      <c r="AA34">
        <f t="shared" si="0"/>
        <v>0</v>
      </c>
      <c r="AB34">
        <f>(AA34/AA38)*100</f>
        <v>0</v>
      </c>
    </row>
    <row r="35" spans="1:28" x14ac:dyDescent="0.25">
      <c r="A35" s="12" t="s">
        <v>32</v>
      </c>
      <c r="AA35">
        <f t="shared" si="0"/>
        <v>0</v>
      </c>
      <c r="AB35">
        <f>(AA35/AA38)*100</f>
        <v>0</v>
      </c>
    </row>
    <row r="36" spans="1:28" x14ac:dyDescent="0.25">
      <c r="A36" s="12" t="s">
        <v>33</v>
      </c>
      <c r="AA36">
        <f t="shared" si="0"/>
        <v>0</v>
      </c>
      <c r="AB36">
        <f>(AA36/AA38)*100</f>
        <v>0</v>
      </c>
    </row>
    <row r="37" spans="1:28" x14ac:dyDescent="0.25">
      <c r="A37" s="12" t="s">
        <v>34</v>
      </c>
      <c r="AA37">
        <f t="shared" si="0"/>
        <v>0</v>
      </c>
      <c r="AB37">
        <f>(AA37/AA38)*100</f>
        <v>0</v>
      </c>
    </row>
    <row r="38" spans="1:28" s="19" customFormat="1" ht="12.75" x14ac:dyDescent="0.2">
      <c r="A38" s="19" t="s">
        <v>71</v>
      </c>
      <c r="B38" s="22">
        <f t="shared" ref="B38:X38" si="1">SUM(B3:B37)</f>
        <v>33</v>
      </c>
      <c r="C38" s="22">
        <f t="shared" si="1"/>
        <v>84</v>
      </c>
      <c r="D38" s="22">
        <f t="shared" si="1"/>
        <v>66</v>
      </c>
      <c r="E38" s="22">
        <f t="shared" si="1"/>
        <v>47</v>
      </c>
      <c r="F38" s="22">
        <f t="shared" si="1"/>
        <v>44</v>
      </c>
      <c r="G38" s="22">
        <f t="shared" si="1"/>
        <v>17</v>
      </c>
      <c r="H38" s="22">
        <f t="shared" si="1"/>
        <v>16</v>
      </c>
      <c r="I38" s="22">
        <f t="shared" si="1"/>
        <v>35</v>
      </c>
      <c r="J38" s="22">
        <f t="shared" si="1"/>
        <v>57</v>
      </c>
      <c r="K38" s="22">
        <f t="shared" si="1"/>
        <v>28</v>
      </c>
      <c r="L38" s="22">
        <f t="shared" si="1"/>
        <v>50</v>
      </c>
      <c r="M38" s="22">
        <f t="shared" si="1"/>
        <v>49</v>
      </c>
      <c r="N38" s="22">
        <f t="shared" si="1"/>
        <v>0</v>
      </c>
      <c r="O38" s="22">
        <f t="shared" si="1"/>
        <v>0</v>
      </c>
      <c r="P38" s="22">
        <f t="shared" si="1"/>
        <v>0</v>
      </c>
      <c r="Q38" s="22">
        <f t="shared" si="1"/>
        <v>0</v>
      </c>
      <c r="R38" s="22">
        <f t="shared" si="1"/>
        <v>0</v>
      </c>
      <c r="S38" s="22">
        <f t="shared" si="1"/>
        <v>0</v>
      </c>
      <c r="T38" s="22">
        <f t="shared" si="1"/>
        <v>0</v>
      </c>
      <c r="U38" s="22">
        <f t="shared" si="1"/>
        <v>0</v>
      </c>
      <c r="V38" s="22">
        <f t="shared" si="1"/>
        <v>0</v>
      </c>
      <c r="W38" s="22">
        <f t="shared" si="1"/>
        <v>0</v>
      </c>
      <c r="X38" s="22">
        <f t="shared" si="1"/>
        <v>0</v>
      </c>
      <c r="Y38" s="22"/>
      <c r="Z38" s="22"/>
      <c r="AA38" s="22">
        <f>SUM(AA3:AA37)</f>
        <v>526</v>
      </c>
      <c r="AB38" s="21">
        <f>SUM(AB3:AB37)</f>
        <v>100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topLeftCell="J16" workbookViewId="0"/>
  </sheetViews>
  <sheetFormatPr defaultRowHeight="15" x14ac:dyDescent="0.25"/>
  <cols>
    <col min="1" max="1" width="23.42578125" bestFit="1" customWidth="1"/>
  </cols>
  <sheetData>
    <row r="1" spans="1:28" x14ac:dyDescent="0.25">
      <c r="A1" s="19" t="s">
        <v>98</v>
      </c>
      <c r="B1" s="22">
        <v>1</v>
      </c>
      <c r="C1" s="22">
        <v>2</v>
      </c>
      <c r="D1" s="22">
        <v>3</v>
      </c>
      <c r="E1" s="22">
        <v>4</v>
      </c>
      <c r="F1" s="22">
        <v>5</v>
      </c>
      <c r="G1" s="22">
        <v>6</v>
      </c>
      <c r="H1" s="22">
        <v>7</v>
      </c>
      <c r="I1" s="22">
        <v>8</v>
      </c>
      <c r="J1" s="22">
        <v>9</v>
      </c>
      <c r="K1" s="22">
        <v>10</v>
      </c>
      <c r="L1" s="22">
        <v>11</v>
      </c>
      <c r="M1" s="22">
        <v>12</v>
      </c>
      <c r="N1" s="22">
        <v>13</v>
      </c>
      <c r="O1" s="22">
        <v>14</v>
      </c>
      <c r="P1" s="22">
        <v>15</v>
      </c>
      <c r="Q1" s="22">
        <v>16</v>
      </c>
      <c r="R1" s="22">
        <v>17</v>
      </c>
      <c r="S1" s="22">
        <v>18</v>
      </c>
      <c r="T1" s="22">
        <v>19</v>
      </c>
      <c r="U1" s="22">
        <v>20</v>
      </c>
      <c r="V1" s="22">
        <v>21</v>
      </c>
      <c r="W1" s="22">
        <v>22</v>
      </c>
      <c r="X1" s="22">
        <v>23</v>
      </c>
      <c r="Y1" s="22">
        <v>24</v>
      </c>
    </row>
    <row r="2" spans="1:28" s="43" customFormat="1" ht="12.75" x14ac:dyDescent="0.2">
      <c r="A2" s="47" t="s">
        <v>97</v>
      </c>
      <c r="B2" s="23" t="s">
        <v>390</v>
      </c>
      <c r="C2" s="23" t="s">
        <v>391</v>
      </c>
      <c r="D2" s="23" t="s">
        <v>392</v>
      </c>
      <c r="E2" s="23" t="s">
        <v>393</v>
      </c>
      <c r="F2" s="23" t="s">
        <v>394</v>
      </c>
      <c r="G2" s="23" t="s">
        <v>395</v>
      </c>
      <c r="H2" s="23" t="s">
        <v>396</v>
      </c>
      <c r="I2" s="23" t="s">
        <v>397</v>
      </c>
      <c r="J2" s="23" t="s">
        <v>398</v>
      </c>
      <c r="K2" s="23" t="s">
        <v>399</v>
      </c>
      <c r="L2" s="23" t="s">
        <v>214</v>
      </c>
      <c r="M2" s="23" t="s">
        <v>400</v>
      </c>
      <c r="N2" s="23" t="s">
        <v>401</v>
      </c>
      <c r="O2" s="23" t="s">
        <v>402</v>
      </c>
      <c r="P2" s="23" t="s">
        <v>403</v>
      </c>
      <c r="Q2" s="23" t="s">
        <v>404</v>
      </c>
      <c r="R2" s="23" t="s">
        <v>405</v>
      </c>
      <c r="S2" s="23" t="s">
        <v>406</v>
      </c>
      <c r="T2" s="23" t="s">
        <v>407</v>
      </c>
      <c r="U2" s="23"/>
      <c r="V2" s="23"/>
      <c r="W2" s="23"/>
      <c r="X2" s="23"/>
      <c r="Y2" s="23"/>
      <c r="Z2" s="23"/>
      <c r="AA2" s="23" t="s">
        <v>73</v>
      </c>
      <c r="AB2" s="23" t="s">
        <v>72</v>
      </c>
    </row>
    <row r="3" spans="1:28" x14ac:dyDescent="0.25">
      <c r="A3" s="12" t="s">
        <v>1</v>
      </c>
      <c r="AA3">
        <f>SUM(B3:T3)</f>
        <v>0</v>
      </c>
      <c r="AB3">
        <f>(AA3/AA38)*100</f>
        <v>0</v>
      </c>
    </row>
    <row r="4" spans="1:28" x14ac:dyDescent="0.25">
      <c r="A4" s="12" t="s">
        <v>2</v>
      </c>
      <c r="B4">
        <v>6</v>
      </c>
      <c r="C4">
        <v>1</v>
      </c>
      <c r="D4">
        <v>6</v>
      </c>
      <c r="E4">
        <v>2</v>
      </c>
      <c r="F4">
        <v>5</v>
      </c>
      <c r="G4">
        <v>4</v>
      </c>
      <c r="H4">
        <v>4</v>
      </c>
      <c r="I4">
        <v>4</v>
      </c>
      <c r="J4">
        <v>5</v>
      </c>
      <c r="K4">
        <v>19</v>
      </c>
      <c r="L4">
        <v>8</v>
      </c>
      <c r="M4">
        <v>24</v>
      </c>
      <c r="N4">
        <v>26</v>
      </c>
      <c r="O4">
        <v>11</v>
      </c>
      <c r="P4">
        <v>11</v>
      </c>
      <c r="Q4">
        <v>12</v>
      </c>
      <c r="R4">
        <v>11</v>
      </c>
      <c r="S4">
        <v>11</v>
      </c>
      <c r="T4">
        <v>14</v>
      </c>
      <c r="AA4">
        <f t="shared" ref="AA4:AA37" si="0">SUM(B4:T4)</f>
        <v>184</v>
      </c>
      <c r="AB4">
        <f>(AA4/AA38)*100</f>
        <v>27.752639517345401</v>
      </c>
    </row>
    <row r="5" spans="1:28" x14ac:dyDescent="0.25">
      <c r="A5" s="12" t="s">
        <v>3</v>
      </c>
      <c r="J5">
        <v>1</v>
      </c>
      <c r="L5">
        <v>2</v>
      </c>
      <c r="N5">
        <v>1</v>
      </c>
      <c r="P5">
        <v>3</v>
      </c>
      <c r="AA5">
        <f t="shared" si="0"/>
        <v>7</v>
      </c>
      <c r="AB5">
        <f>(AA5/AA38)*100</f>
        <v>1.0558069381598794</v>
      </c>
    </row>
    <row r="6" spans="1:28" x14ac:dyDescent="0.25">
      <c r="A6" s="12" t="s">
        <v>4</v>
      </c>
      <c r="AA6">
        <f t="shared" si="0"/>
        <v>0</v>
      </c>
      <c r="AB6">
        <f>(AA6/AA38)*100</f>
        <v>0</v>
      </c>
    </row>
    <row r="7" spans="1:28" x14ac:dyDescent="0.25">
      <c r="A7" s="12" t="s">
        <v>5</v>
      </c>
      <c r="K7">
        <v>1</v>
      </c>
      <c r="N7">
        <v>3</v>
      </c>
      <c r="O7">
        <v>1</v>
      </c>
      <c r="P7">
        <v>1</v>
      </c>
      <c r="Q7">
        <v>2</v>
      </c>
      <c r="T7">
        <v>1</v>
      </c>
      <c r="AA7">
        <f t="shared" si="0"/>
        <v>9</v>
      </c>
      <c r="AB7">
        <f>(AA7/AA38)*100</f>
        <v>1.3574660633484164</v>
      </c>
    </row>
    <row r="8" spans="1:28" x14ac:dyDescent="0.25">
      <c r="A8" s="12" t="s">
        <v>6</v>
      </c>
      <c r="J8">
        <v>3</v>
      </c>
      <c r="K8">
        <v>4</v>
      </c>
      <c r="L8">
        <v>1</v>
      </c>
      <c r="M8">
        <v>3</v>
      </c>
      <c r="N8">
        <v>3</v>
      </c>
      <c r="O8">
        <v>2</v>
      </c>
      <c r="P8">
        <v>4</v>
      </c>
      <c r="Q8">
        <v>4</v>
      </c>
      <c r="R8">
        <v>1</v>
      </c>
      <c r="S8">
        <v>5</v>
      </c>
      <c r="T8">
        <v>2</v>
      </c>
      <c r="AA8">
        <f t="shared" si="0"/>
        <v>32</v>
      </c>
      <c r="AB8">
        <f>(AA8/AA38)*100</f>
        <v>4.8265460030165919</v>
      </c>
    </row>
    <row r="9" spans="1:28" x14ac:dyDescent="0.25">
      <c r="A9" s="12" t="s">
        <v>7</v>
      </c>
      <c r="J9">
        <v>1</v>
      </c>
      <c r="AA9">
        <f t="shared" si="0"/>
        <v>1</v>
      </c>
      <c r="AB9">
        <f>(AA9/AA38)*100</f>
        <v>0.1508295625942685</v>
      </c>
    </row>
    <row r="10" spans="1:28" x14ac:dyDescent="0.25">
      <c r="A10" s="12" t="s">
        <v>8</v>
      </c>
      <c r="M10">
        <v>2</v>
      </c>
      <c r="AA10">
        <f t="shared" si="0"/>
        <v>2</v>
      </c>
      <c r="AB10">
        <f>(AA10/AA38)*100</f>
        <v>0.30165912518853699</v>
      </c>
    </row>
    <row r="11" spans="1:28" x14ac:dyDescent="0.25">
      <c r="A11" s="12" t="s">
        <v>9</v>
      </c>
      <c r="AA11">
        <f t="shared" si="0"/>
        <v>0</v>
      </c>
      <c r="AB11">
        <f>(AA11/AA38)*100</f>
        <v>0</v>
      </c>
    </row>
    <row r="12" spans="1:28" x14ac:dyDescent="0.25">
      <c r="A12" s="12" t="s">
        <v>10</v>
      </c>
      <c r="AA12">
        <f t="shared" si="0"/>
        <v>0</v>
      </c>
      <c r="AB12">
        <f>(AA12/AA38)*100</f>
        <v>0</v>
      </c>
    </row>
    <row r="13" spans="1:28" x14ac:dyDescent="0.25">
      <c r="A13" s="12" t="s">
        <v>11</v>
      </c>
      <c r="AA13">
        <f t="shared" si="0"/>
        <v>0</v>
      </c>
      <c r="AB13">
        <f>(AA13/AA38)*100</f>
        <v>0</v>
      </c>
    </row>
    <row r="14" spans="1:28" x14ac:dyDescent="0.25">
      <c r="A14" s="12" t="s">
        <v>12</v>
      </c>
      <c r="AA14">
        <f t="shared" si="0"/>
        <v>0</v>
      </c>
      <c r="AB14">
        <f>(AA14/AA38)*100</f>
        <v>0</v>
      </c>
    </row>
    <row r="15" spans="1:28" x14ac:dyDescent="0.25">
      <c r="A15" s="12" t="s">
        <v>13</v>
      </c>
      <c r="AA15">
        <f t="shared" si="0"/>
        <v>0</v>
      </c>
      <c r="AB15">
        <f>(AA15/AA38)*100</f>
        <v>0</v>
      </c>
    </row>
    <row r="16" spans="1:28" x14ac:dyDescent="0.25">
      <c r="A16" s="12" t="s">
        <v>14</v>
      </c>
      <c r="AA16">
        <f t="shared" si="0"/>
        <v>0</v>
      </c>
      <c r="AB16">
        <f>(AA16/AA38)*100</f>
        <v>0</v>
      </c>
    </row>
    <row r="17" spans="1:28" x14ac:dyDescent="0.25">
      <c r="A17" s="12" t="s">
        <v>15</v>
      </c>
      <c r="B17">
        <v>1</v>
      </c>
      <c r="C17">
        <v>1</v>
      </c>
      <c r="D17">
        <v>1</v>
      </c>
      <c r="E17">
        <v>1</v>
      </c>
      <c r="F17">
        <v>2</v>
      </c>
      <c r="J17">
        <v>1</v>
      </c>
      <c r="K17">
        <v>4</v>
      </c>
      <c r="L17">
        <v>1</v>
      </c>
      <c r="N17">
        <v>3</v>
      </c>
      <c r="P17">
        <v>2</v>
      </c>
      <c r="Q17">
        <v>1</v>
      </c>
      <c r="R17">
        <v>1</v>
      </c>
      <c r="S17">
        <v>4</v>
      </c>
      <c r="T17">
        <v>5</v>
      </c>
      <c r="AA17">
        <f t="shared" si="0"/>
        <v>28</v>
      </c>
      <c r="AB17">
        <f>(AA17/AA38)*100</f>
        <v>4.2232277526395174</v>
      </c>
    </row>
    <row r="18" spans="1:28" x14ac:dyDescent="0.25">
      <c r="A18" s="12" t="s">
        <v>16</v>
      </c>
      <c r="B18">
        <v>2</v>
      </c>
      <c r="J18">
        <v>1</v>
      </c>
      <c r="M18">
        <v>1</v>
      </c>
      <c r="N18">
        <v>1</v>
      </c>
      <c r="R18">
        <v>1</v>
      </c>
      <c r="S18">
        <v>1</v>
      </c>
      <c r="AA18">
        <f t="shared" si="0"/>
        <v>7</v>
      </c>
      <c r="AB18">
        <f>(AA18/AA38)*100</f>
        <v>1.0558069381598794</v>
      </c>
    </row>
    <row r="19" spans="1:28" x14ac:dyDescent="0.25">
      <c r="A19" s="12" t="s">
        <v>17</v>
      </c>
      <c r="H19">
        <v>1</v>
      </c>
      <c r="I19">
        <v>5</v>
      </c>
      <c r="J19">
        <v>6</v>
      </c>
      <c r="K19">
        <v>17</v>
      </c>
      <c r="L19">
        <v>7</v>
      </c>
      <c r="M19">
        <v>11</v>
      </c>
      <c r="N19">
        <v>5</v>
      </c>
      <c r="O19">
        <v>21</v>
      </c>
      <c r="P19">
        <v>18</v>
      </c>
      <c r="Q19">
        <v>13</v>
      </c>
      <c r="R19">
        <v>4</v>
      </c>
      <c r="S19">
        <v>2</v>
      </c>
      <c r="T19">
        <v>7</v>
      </c>
      <c r="AA19">
        <f t="shared" si="0"/>
        <v>117</v>
      </c>
      <c r="AB19">
        <f>(AA19/AA38)*100</f>
        <v>17.647058823529413</v>
      </c>
    </row>
    <row r="20" spans="1:28" x14ac:dyDescent="0.25">
      <c r="A20" s="12" t="s">
        <v>18</v>
      </c>
      <c r="I20">
        <v>1</v>
      </c>
      <c r="J20">
        <v>1</v>
      </c>
      <c r="K20">
        <v>1</v>
      </c>
      <c r="S20">
        <v>1</v>
      </c>
      <c r="AA20">
        <f t="shared" si="0"/>
        <v>4</v>
      </c>
      <c r="AB20">
        <f>(AA20/AA38)*100</f>
        <v>0.60331825037707398</v>
      </c>
    </row>
    <row r="21" spans="1:28" x14ac:dyDescent="0.25">
      <c r="A21" s="12" t="s">
        <v>19</v>
      </c>
      <c r="AA21">
        <f t="shared" si="0"/>
        <v>0</v>
      </c>
      <c r="AB21">
        <f>(AA21/AA38)*100</f>
        <v>0</v>
      </c>
    </row>
    <row r="22" spans="1:28" x14ac:dyDescent="0.25">
      <c r="A22" s="12" t="s">
        <v>20</v>
      </c>
      <c r="AA22">
        <f t="shared" si="0"/>
        <v>0</v>
      </c>
      <c r="AB22">
        <f>(AA22/AA38)*100</f>
        <v>0</v>
      </c>
    </row>
    <row r="23" spans="1:28" x14ac:dyDescent="0.25">
      <c r="A23" s="12" t="s">
        <v>21</v>
      </c>
      <c r="J23">
        <v>1</v>
      </c>
      <c r="AA23">
        <f t="shared" si="0"/>
        <v>1</v>
      </c>
      <c r="AB23">
        <f>(AA23/AA38)*100</f>
        <v>0.1508295625942685</v>
      </c>
    </row>
    <row r="24" spans="1:28" x14ac:dyDescent="0.25">
      <c r="A24" s="12" t="s">
        <v>22</v>
      </c>
      <c r="AA24">
        <f t="shared" si="0"/>
        <v>0</v>
      </c>
      <c r="AB24">
        <f>(AA24/AA38)*100</f>
        <v>0</v>
      </c>
    </row>
    <row r="25" spans="1:28" x14ac:dyDescent="0.25">
      <c r="A25" s="12" t="s">
        <v>23</v>
      </c>
      <c r="AA25">
        <f t="shared" si="0"/>
        <v>0</v>
      </c>
      <c r="AB25">
        <f>(AA25/AA38)*100</f>
        <v>0</v>
      </c>
    </row>
    <row r="26" spans="1:28" x14ac:dyDescent="0.25">
      <c r="A26" s="12" t="s">
        <v>24</v>
      </c>
      <c r="AA26">
        <f t="shared" si="0"/>
        <v>0</v>
      </c>
      <c r="AB26">
        <f>(AA26/AA38)*100</f>
        <v>0</v>
      </c>
    </row>
    <row r="27" spans="1:28" x14ac:dyDescent="0.25">
      <c r="A27" s="12" t="s">
        <v>25</v>
      </c>
      <c r="R27">
        <v>1</v>
      </c>
      <c r="AA27">
        <f t="shared" si="0"/>
        <v>1</v>
      </c>
      <c r="AB27">
        <f>(AA27/AA38)*100</f>
        <v>0.1508295625942685</v>
      </c>
    </row>
    <row r="28" spans="1:28" x14ac:dyDescent="0.25">
      <c r="A28" s="12" t="s">
        <v>26</v>
      </c>
      <c r="AA28">
        <f t="shared" si="0"/>
        <v>0</v>
      </c>
      <c r="AB28">
        <f>(AA28/AA38)*100</f>
        <v>0</v>
      </c>
    </row>
    <row r="29" spans="1:28" x14ac:dyDescent="0.25">
      <c r="A29" s="12" t="s">
        <v>27</v>
      </c>
      <c r="B29">
        <v>1</v>
      </c>
      <c r="C29">
        <v>1</v>
      </c>
      <c r="E29">
        <v>3</v>
      </c>
      <c r="F29">
        <v>1</v>
      </c>
      <c r="G29">
        <v>4</v>
      </c>
      <c r="I29">
        <v>1</v>
      </c>
      <c r="L29">
        <v>1</v>
      </c>
      <c r="M29">
        <v>4</v>
      </c>
      <c r="N29">
        <v>2</v>
      </c>
      <c r="O29">
        <v>1</v>
      </c>
      <c r="P29">
        <v>2</v>
      </c>
      <c r="Q29">
        <v>1</v>
      </c>
      <c r="S29">
        <v>1</v>
      </c>
      <c r="AA29">
        <f t="shared" si="0"/>
        <v>23</v>
      </c>
      <c r="AB29">
        <f>(AA29/AA38)*100</f>
        <v>3.4690799396681751</v>
      </c>
    </row>
    <row r="30" spans="1:28" x14ac:dyDescent="0.25">
      <c r="A30" s="12" t="s">
        <v>28</v>
      </c>
      <c r="K30">
        <v>1</v>
      </c>
      <c r="N30">
        <v>1</v>
      </c>
      <c r="Q30">
        <v>1</v>
      </c>
      <c r="AA30">
        <f t="shared" si="0"/>
        <v>3</v>
      </c>
      <c r="AB30">
        <f>(AA30/AA38)*100</f>
        <v>0.45248868778280549</v>
      </c>
    </row>
    <row r="31" spans="1:28" x14ac:dyDescent="0.25">
      <c r="A31" s="12" t="s">
        <v>29</v>
      </c>
      <c r="B31">
        <v>11</v>
      </c>
      <c r="C31">
        <v>7</v>
      </c>
      <c r="D31">
        <v>11</v>
      </c>
      <c r="E31">
        <v>9</v>
      </c>
      <c r="F31">
        <v>7</v>
      </c>
      <c r="G31">
        <v>7</v>
      </c>
      <c r="H31">
        <v>7</v>
      </c>
      <c r="I31">
        <v>2</v>
      </c>
      <c r="J31">
        <v>15</v>
      </c>
      <c r="K31">
        <v>21</v>
      </c>
      <c r="L31">
        <v>16</v>
      </c>
      <c r="M31">
        <v>21</v>
      </c>
      <c r="N31">
        <v>25</v>
      </c>
      <c r="O31">
        <v>15</v>
      </c>
      <c r="P31">
        <v>15</v>
      </c>
      <c r="Q31">
        <v>13</v>
      </c>
      <c r="R31">
        <v>6</v>
      </c>
      <c r="S31">
        <v>14</v>
      </c>
      <c r="T31">
        <v>21</v>
      </c>
      <c r="AA31">
        <f t="shared" si="0"/>
        <v>243</v>
      </c>
      <c r="AB31">
        <f>(AA31/AA38)*100</f>
        <v>36.651583710407238</v>
      </c>
    </row>
    <row r="32" spans="1:28" x14ac:dyDescent="0.25">
      <c r="A32" s="12" t="s">
        <v>30</v>
      </c>
      <c r="S32">
        <v>1</v>
      </c>
      <c r="AA32">
        <f t="shared" si="0"/>
        <v>1</v>
      </c>
      <c r="AB32">
        <f>(AA32/AA38)*100</f>
        <v>0.1508295625942685</v>
      </c>
    </row>
    <row r="33" spans="1:28" x14ac:dyDescent="0.25">
      <c r="A33" s="12" t="s">
        <v>31</v>
      </c>
      <c r="AA33">
        <f t="shared" si="0"/>
        <v>0</v>
      </c>
      <c r="AB33">
        <f>(AA33/AA38)*100</f>
        <v>0</v>
      </c>
    </row>
    <row r="34" spans="1:28" x14ac:dyDescent="0.25">
      <c r="A34" s="12" t="s">
        <v>68</v>
      </c>
      <c r="AA34">
        <f t="shared" si="0"/>
        <v>0</v>
      </c>
      <c r="AB34">
        <f>(AA34/AA38)*100</f>
        <v>0</v>
      </c>
    </row>
    <row r="35" spans="1:28" x14ac:dyDescent="0.25">
      <c r="A35" s="12" t="s">
        <v>32</v>
      </c>
      <c r="AA35">
        <f t="shared" si="0"/>
        <v>0</v>
      </c>
      <c r="AB35">
        <f>(AA35/AA38)*100</f>
        <v>0</v>
      </c>
    </row>
    <row r="36" spans="1:28" x14ac:dyDescent="0.25">
      <c r="A36" s="12" t="s">
        <v>33</v>
      </c>
      <c r="AA36">
        <f t="shared" si="0"/>
        <v>0</v>
      </c>
      <c r="AB36">
        <f>(AA36/AA38)*100</f>
        <v>0</v>
      </c>
    </row>
    <row r="37" spans="1:28" x14ac:dyDescent="0.25">
      <c r="A37" s="12" t="s">
        <v>34</v>
      </c>
      <c r="AA37">
        <f t="shared" si="0"/>
        <v>0</v>
      </c>
      <c r="AB37">
        <f>(AA37/AA38)*100</f>
        <v>0</v>
      </c>
    </row>
    <row r="38" spans="1:28" s="19" customFormat="1" ht="12.75" x14ac:dyDescent="0.2">
      <c r="A38" s="19" t="s">
        <v>71</v>
      </c>
      <c r="B38" s="22">
        <f t="shared" ref="B38:X38" si="1">SUM(B3:B37)</f>
        <v>21</v>
      </c>
      <c r="C38" s="22">
        <f t="shared" si="1"/>
        <v>10</v>
      </c>
      <c r="D38" s="22">
        <f t="shared" si="1"/>
        <v>18</v>
      </c>
      <c r="E38" s="22">
        <f t="shared" si="1"/>
        <v>15</v>
      </c>
      <c r="F38" s="22">
        <f t="shared" si="1"/>
        <v>15</v>
      </c>
      <c r="G38" s="22">
        <f t="shared" si="1"/>
        <v>15</v>
      </c>
      <c r="H38" s="22">
        <f t="shared" si="1"/>
        <v>12</v>
      </c>
      <c r="I38" s="22">
        <f t="shared" si="1"/>
        <v>13</v>
      </c>
      <c r="J38" s="22">
        <f t="shared" si="1"/>
        <v>35</v>
      </c>
      <c r="K38" s="22">
        <f t="shared" si="1"/>
        <v>68</v>
      </c>
      <c r="L38" s="22">
        <f t="shared" si="1"/>
        <v>36</v>
      </c>
      <c r="M38" s="22">
        <f t="shared" si="1"/>
        <v>66</v>
      </c>
      <c r="N38" s="22">
        <f t="shared" si="1"/>
        <v>70</v>
      </c>
      <c r="O38" s="22">
        <f t="shared" si="1"/>
        <v>51</v>
      </c>
      <c r="P38" s="22">
        <f t="shared" si="1"/>
        <v>56</v>
      </c>
      <c r="Q38" s="22">
        <f t="shared" si="1"/>
        <v>47</v>
      </c>
      <c r="R38" s="22">
        <f t="shared" si="1"/>
        <v>25</v>
      </c>
      <c r="S38" s="22">
        <f t="shared" si="1"/>
        <v>40</v>
      </c>
      <c r="T38" s="22">
        <f t="shared" si="1"/>
        <v>50</v>
      </c>
      <c r="U38" s="22">
        <f t="shared" si="1"/>
        <v>0</v>
      </c>
      <c r="V38" s="22">
        <f t="shared" si="1"/>
        <v>0</v>
      </c>
      <c r="W38" s="22">
        <f t="shared" si="1"/>
        <v>0</v>
      </c>
      <c r="X38" s="22">
        <f t="shared" si="1"/>
        <v>0</v>
      </c>
      <c r="Y38" s="22"/>
      <c r="Z38" s="22"/>
      <c r="AA38" s="22">
        <f>SUM(AA3:AA37)</f>
        <v>663</v>
      </c>
      <c r="AB38" s="21">
        <f>SUM(AB3:AB37)</f>
        <v>100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topLeftCell="J25" workbookViewId="0"/>
  </sheetViews>
  <sheetFormatPr defaultRowHeight="15" x14ac:dyDescent="0.25"/>
  <cols>
    <col min="1" max="1" width="23.42578125" bestFit="1" customWidth="1"/>
  </cols>
  <sheetData>
    <row r="1" spans="1:28" x14ac:dyDescent="0.25">
      <c r="A1" s="19" t="s">
        <v>98</v>
      </c>
      <c r="B1" s="22">
        <v>1</v>
      </c>
      <c r="C1" s="22">
        <v>2</v>
      </c>
      <c r="D1" s="22">
        <v>3</v>
      </c>
      <c r="E1" s="22">
        <v>4</v>
      </c>
      <c r="F1" s="22">
        <v>5</v>
      </c>
      <c r="G1" s="22">
        <v>6</v>
      </c>
      <c r="H1" s="22">
        <v>7</v>
      </c>
      <c r="I1" s="22">
        <v>8</v>
      </c>
      <c r="J1" s="22">
        <v>9</v>
      </c>
      <c r="K1" s="22">
        <v>10</v>
      </c>
      <c r="L1" s="22">
        <v>11</v>
      </c>
      <c r="M1" s="22">
        <v>12</v>
      </c>
      <c r="N1" s="22">
        <v>13</v>
      </c>
      <c r="O1" s="22">
        <v>14</v>
      </c>
      <c r="P1" s="22">
        <v>15</v>
      </c>
      <c r="Q1" s="22">
        <v>16</v>
      </c>
      <c r="R1" s="22">
        <v>17</v>
      </c>
      <c r="S1" s="22">
        <v>18</v>
      </c>
      <c r="T1" s="22">
        <v>19</v>
      </c>
      <c r="U1" s="22">
        <v>20</v>
      </c>
      <c r="V1" s="22">
        <v>21</v>
      </c>
      <c r="W1" s="22">
        <v>22</v>
      </c>
      <c r="X1" s="22">
        <v>23</v>
      </c>
      <c r="Y1" s="22">
        <v>24</v>
      </c>
    </row>
    <row r="2" spans="1:28" s="43" customFormat="1" ht="12.75" x14ac:dyDescent="0.2">
      <c r="A2" s="47" t="s">
        <v>97</v>
      </c>
      <c r="B2" s="23" t="s">
        <v>233</v>
      </c>
      <c r="C2" s="23" t="s">
        <v>408</v>
      </c>
      <c r="D2" s="23" t="s">
        <v>409</v>
      </c>
      <c r="E2" s="23" t="s">
        <v>137</v>
      </c>
      <c r="F2" s="23" t="s">
        <v>410</v>
      </c>
      <c r="G2" s="23" t="s">
        <v>411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 t="s">
        <v>73</v>
      </c>
      <c r="AB2" s="23" t="s">
        <v>72</v>
      </c>
    </row>
    <row r="3" spans="1:28" x14ac:dyDescent="0.25">
      <c r="A3" s="12" t="s">
        <v>1</v>
      </c>
      <c r="E3">
        <v>1</v>
      </c>
      <c r="AA3">
        <f>SUM(B3:P3)</f>
        <v>1</v>
      </c>
      <c r="AB3">
        <f>(AA3/AA38)*100</f>
        <v>0.23255813953488372</v>
      </c>
    </row>
    <row r="4" spans="1:28" x14ac:dyDescent="0.25">
      <c r="A4" s="12" t="s">
        <v>2</v>
      </c>
      <c r="B4">
        <v>2</v>
      </c>
      <c r="D4">
        <v>26</v>
      </c>
      <c r="E4">
        <v>23</v>
      </c>
      <c r="F4">
        <v>14</v>
      </c>
      <c r="G4">
        <v>4</v>
      </c>
      <c r="AA4">
        <f t="shared" ref="AA4:AA37" si="0">SUM(B4:P4)</f>
        <v>69</v>
      </c>
      <c r="AB4">
        <f>(AA4/AA38)*100</f>
        <v>16.046511627906977</v>
      </c>
    </row>
    <row r="5" spans="1:28" x14ac:dyDescent="0.25">
      <c r="A5" s="12" t="s">
        <v>3</v>
      </c>
      <c r="B5">
        <v>1</v>
      </c>
      <c r="E5">
        <v>1</v>
      </c>
      <c r="F5">
        <v>1</v>
      </c>
      <c r="G5">
        <v>1</v>
      </c>
      <c r="AA5">
        <f t="shared" si="0"/>
        <v>4</v>
      </c>
      <c r="AB5">
        <f>(AA5/AA38)*100</f>
        <v>0.93023255813953487</v>
      </c>
    </row>
    <row r="6" spans="1:28" x14ac:dyDescent="0.25">
      <c r="A6" s="12" t="s">
        <v>4</v>
      </c>
      <c r="AA6">
        <f t="shared" si="0"/>
        <v>0</v>
      </c>
      <c r="AB6">
        <f>(AA6/AA38)*100</f>
        <v>0</v>
      </c>
    </row>
    <row r="7" spans="1:28" x14ac:dyDescent="0.25">
      <c r="A7" s="12" t="s">
        <v>5</v>
      </c>
      <c r="AA7">
        <f t="shared" si="0"/>
        <v>0</v>
      </c>
      <c r="AB7">
        <f>(AA7/AA38)*100</f>
        <v>0</v>
      </c>
    </row>
    <row r="8" spans="1:28" x14ac:dyDescent="0.25">
      <c r="A8" s="12" t="s">
        <v>6</v>
      </c>
      <c r="D8">
        <v>5</v>
      </c>
      <c r="E8">
        <v>10</v>
      </c>
      <c r="AA8">
        <f t="shared" si="0"/>
        <v>15</v>
      </c>
      <c r="AB8">
        <f>(AA8/AA38)*100</f>
        <v>3.4883720930232558</v>
      </c>
    </row>
    <row r="9" spans="1:28" x14ac:dyDescent="0.25">
      <c r="A9" s="12" t="s">
        <v>7</v>
      </c>
      <c r="AA9">
        <f t="shared" si="0"/>
        <v>0</v>
      </c>
      <c r="AB9">
        <f>(AA9/AA38)*100</f>
        <v>0</v>
      </c>
    </row>
    <row r="10" spans="1:28" x14ac:dyDescent="0.25">
      <c r="A10" s="12" t="s">
        <v>8</v>
      </c>
      <c r="D10">
        <v>1</v>
      </c>
      <c r="AA10">
        <f t="shared" si="0"/>
        <v>1</v>
      </c>
      <c r="AB10">
        <f>(AA10/AA38)*100</f>
        <v>0.23255813953488372</v>
      </c>
    </row>
    <row r="11" spans="1:28" x14ac:dyDescent="0.25">
      <c r="A11" s="12" t="s">
        <v>9</v>
      </c>
      <c r="AA11">
        <f t="shared" si="0"/>
        <v>0</v>
      </c>
      <c r="AB11">
        <f>(AA11/AA38)*100</f>
        <v>0</v>
      </c>
    </row>
    <row r="12" spans="1:28" x14ac:dyDescent="0.25">
      <c r="A12" s="12" t="s">
        <v>10</v>
      </c>
      <c r="AA12">
        <f t="shared" si="0"/>
        <v>0</v>
      </c>
      <c r="AB12">
        <f>(AA12/AA38)*100</f>
        <v>0</v>
      </c>
    </row>
    <row r="13" spans="1:28" x14ac:dyDescent="0.25">
      <c r="A13" s="12" t="s">
        <v>11</v>
      </c>
      <c r="AA13">
        <f t="shared" si="0"/>
        <v>0</v>
      </c>
      <c r="AB13">
        <f>(AA13/AA38)*100</f>
        <v>0</v>
      </c>
    </row>
    <row r="14" spans="1:28" x14ac:dyDescent="0.25">
      <c r="A14" s="12" t="s">
        <v>12</v>
      </c>
      <c r="AA14">
        <f t="shared" si="0"/>
        <v>0</v>
      </c>
      <c r="AB14">
        <f>(AA14/AA38)*100</f>
        <v>0</v>
      </c>
    </row>
    <row r="15" spans="1:28" x14ac:dyDescent="0.25">
      <c r="A15" s="12" t="s">
        <v>13</v>
      </c>
      <c r="AA15">
        <f t="shared" si="0"/>
        <v>0</v>
      </c>
      <c r="AB15">
        <f>(AA15/AA38)*100</f>
        <v>0</v>
      </c>
    </row>
    <row r="16" spans="1:28" x14ac:dyDescent="0.25">
      <c r="A16" s="12" t="s">
        <v>14</v>
      </c>
      <c r="AA16">
        <f t="shared" si="0"/>
        <v>0</v>
      </c>
      <c r="AB16">
        <f>(AA16/AA38)*100</f>
        <v>0</v>
      </c>
    </row>
    <row r="17" spans="1:28" x14ac:dyDescent="0.25">
      <c r="A17" s="12" t="s">
        <v>15</v>
      </c>
      <c r="E17">
        <v>2</v>
      </c>
      <c r="AA17">
        <f t="shared" si="0"/>
        <v>2</v>
      </c>
      <c r="AB17">
        <f>(AA17/AA38)*100</f>
        <v>0.46511627906976744</v>
      </c>
    </row>
    <row r="18" spans="1:28" x14ac:dyDescent="0.25">
      <c r="A18" s="12" t="s">
        <v>16</v>
      </c>
      <c r="C18">
        <v>1</v>
      </c>
      <c r="D18">
        <v>2</v>
      </c>
      <c r="E18">
        <v>1</v>
      </c>
      <c r="F18">
        <v>1</v>
      </c>
      <c r="AA18">
        <f t="shared" si="0"/>
        <v>5</v>
      </c>
      <c r="AB18">
        <f>(AA18/AA38)*100</f>
        <v>1.1627906976744187</v>
      </c>
    </row>
    <row r="19" spans="1:28" x14ac:dyDescent="0.25">
      <c r="A19" s="12" t="s">
        <v>17</v>
      </c>
      <c r="B19">
        <v>11</v>
      </c>
      <c r="C19">
        <v>9</v>
      </c>
      <c r="D19">
        <v>25</v>
      </c>
      <c r="E19">
        <v>23</v>
      </c>
      <c r="F19">
        <v>67</v>
      </c>
      <c r="G19">
        <v>32</v>
      </c>
      <c r="AA19">
        <f t="shared" si="0"/>
        <v>167</v>
      </c>
      <c r="AB19">
        <f>(AA19/AA38)*100</f>
        <v>38.837209302325583</v>
      </c>
    </row>
    <row r="20" spans="1:28" x14ac:dyDescent="0.25">
      <c r="A20" s="12" t="s">
        <v>18</v>
      </c>
      <c r="B20">
        <v>1</v>
      </c>
      <c r="E20">
        <v>2</v>
      </c>
      <c r="AA20">
        <f t="shared" si="0"/>
        <v>3</v>
      </c>
      <c r="AB20">
        <f>(AA20/AA38)*100</f>
        <v>0.69767441860465118</v>
      </c>
    </row>
    <row r="21" spans="1:28" x14ac:dyDescent="0.25">
      <c r="A21" s="12" t="s">
        <v>19</v>
      </c>
      <c r="D21">
        <v>6</v>
      </c>
      <c r="E21">
        <v>3</v>
      </c>
      <c r="AA21">
        <f t="shared" si="0"/>
        <v>9</v>
      </c>
      <c r="AB21">
        <f>(AA21/AA38)*100</f>
        <v>2.0930232558139537</v>
      </c>
    </row>
    <row r="22" spans="1:28" x14ac:dyDescent="0.25">
      <c r="A22" s="12" t="s">
        <v>20</v>
      </c>
      <c r="E22">
        <v>1</v>
      </c>
      <c r="AA22">
        <f t="shared" si="0"/>
        <v>1</v>
      </c>
      <c r="AB22">
        <f>(AA22/AA38)*100</f>
        <v>0.23255813953488372</v>
      </c>
    </row>
    <row r="23" spans="1:28" x14ac:dyDescent="0.25">
      <c r="A23" s="12" t="s">
        <v>21</v>
      </c>
      <c r="D23">
        <v>1</v>
      </c>
      <c r="E23">
        <v>4</v>
      </c>
      <c r="F23">
        <v>1</v>
      </c>
      <c r="AA23">
        <f t="shared" si="0"/>
        <v>6</v>
      </c>
      <c r="AB23">
        <f>(AA23/AA38)*100</f>
        <v>1.3953488372093024</v>
      </c>
    </row>
    <row r="24" spans="1:28" x14ac:dyDescent="0.25">
      <c r="A24" s="12" t="s">
        <v>22</v>
      </c>
      <c r="AA24">
        <f t="shared" si="0"/>
        <v>0</v>
      </c>
      <c r="AB24">
        <f>(AA24/AA38)*100</f>
        <v>0</v>
      </c>
    </row>
    <row r="25" spans="1:28" x14ac:dyDescent="0.25">
      <c r="A25" s="12" t="s">
        <v>23</v>
      </c>
      <c r="AA25">
        <f t="shared" si="0"/>
        <v>0</v>
      </c>
      <c r="AB25">
        <f>(AA25/AA38)*100</f>
        <v>0</v>
      </c>
    </row>
    <row r="26" spans="1:28" x14ac:dyDescent="0.25">
      <c r="A26" s="12" t="s">
        <v>24</v>
      </c>
      <c r="D26">
        <v>2</v>
      </c>
      <c r="AA26">
        <f t="shared" si="0"/>
        <v>2</v>
      </c>
      <c r="AB26">
        <f>(AA26/AA38)*100</f>
        <v>0.46511627906976744</v>
      </c>
    </row>
    <row r="27" spans="1:28" x14ac:dyDescent="0.25">
      <c r="A27" s="12" t="s">
        <v>25</v>
      </c>
      <c r="E27">
        <v>1</v>
      </c>
      <c r="AA27">
        <f t="shared" si="0"/>
        <v>1</v>
      </c>
      <c r="AB27">
        <f>(AA27/AA38)*100</f>
        <v>0.23255813953488372</v>
      </c>
    </row>
    <row r="28" spans="1:28" x14ac:dyDescent="0.25">
      <c r="A28" s="12" t="s">
        <v>26</v>
      </c>
      <c r="AA28">
        <f t="shared" si="0"/>
        <v>0</v>
      </c>
      <c r="AB28">
        <f>(AA28/AA38)*100</f>
        <v>0</v>
      </c>
    </row>
    <row r="29" spans="1:28" x14ac:dyDescent="0.25">
      <c r="A29" s="12" t="s">
        <v>27</v>
      </c>
      <c r="D29">
        <v>5</v>
      </c>
      <c r="E29">
        <v>6</v>
      </c>
      <c r="F29">
        <v>2</v>
      </c>
      <c r="AA29">
        <f>SUM(B29:P29)</f>
        <v>13</v>
      </c>
      <c r="AB29">
        <f>(AA29/AA38)*100</f>
        <v>3.0232558139534884</v>
      </c>
    </row>
    <row r="30" spans="1:28" x14ac:dyDescent="0.25">
      <c r="A30" s="12" t="s">
        <v>28</v>
      </c>
      <c r="AA30">
        <f>SUM(B30:P30)</f>
        <v>0</v>
      </c>
      <c r="AB30">
        <f>(AA30/AA38)*100</f>
        <v>0</v>
      </c>
    </row>
    <row r="31" spans="1:28" x14ac:dyDescent="0.25">
      <c r="A31" s="12" t="s">
        <v>29</v>
      </c>
      <c r="B31">
        <v>20</v>
      </c>
      <c r="C31">
        <v>1</v>
      </c>
      <c r="D31">
        <v>36</v>
      </c>
      <c r="E31">
        <v>37</v>
      </c>
      <c r="F31">
        <v>26</v>
      </c>
      <c r="G31">
        <v>11</v>
      </c>
      <c r="AA31">
        <f t="shared" si="0"/>
        <v>131</v>
      </c>
      <c r="AB31">
        <f>(AA31/AA38)*100</f>
        <v>30.465116279069765</v>
      </c>
    </row>
    <row r="32" spans="1:28" x14ac:dyDescent="0.25">
      <c r="A32" s="12" t="s">
        <v>30</v>
      </c>
      <c r="AA32">
        <f t="shared" si="0"/>
        <v>0</v>
      </c>
      <c r="AB32">
        <f>(AA32/AA38)*100</f>
        <v>0</v>
      </c>
    </row>
    <row r="33" spans="1:28" x14ac:dyDescent="0.25">
      <c r="A33" s="12" t="s">
        <v>31</v>
      </c>
      <c r="AA33">
        <f t="shared" si="0"/>
        <v>0</v>
      </c>
      <c r="AB33">
        <f>(AA33/AA38)*100</f>
        <v>0</v>
      </c>
    </row>
    <row r="34" spans="1:28" x14ac:dyDescent="0.25">
      <c r="A34" s="12" t="s">
        <v>68</v>
      </c>
      <c r="AA34">
        <f t="shared" si="0"/>
        <v>0</v>
      </c>
      <c r="AB34">
        <f>(AA34/AA38)*100</f>
        <v>0</v>
      </c>
    </row>
    <row r="35" spans="1:28" x14ac:dyDescent="0.25">
      <c r="A35" s="12" t="s">
        <v>32</v>
      </c>
      <c r="AA35">
        <f t="shared" si="0"/>
        <v>0</v>
      </c>
      <c r="AB35">
        <f>(AA35/AA38)*100</f>
        <v>0</v>
      </c>
    </row>
    <row r="36" spans="1:28" x14ac:dyDescent="0.25">
      <c r="A36" s="12" t="s">
        <v>33</v>
      </c>
      <c r="AA36">
        <f t="shared" si="0"/>
        <v>0</v>
      </c>
      <c r="AB36">
        <f>(AA36/AA38)*100</f>
        <v>0</v>
      </c>
    </row>
    <row r="37" spans="1:28" x14ac:dyDescent="0.25">
      <c r="A37" s="12" t="s">
        <v>34</v>
      </c>
      <c r="AA37">
        <f t="shared" si="0"/>
        <v>0</v>
      </c>
      <c r="AB37">
        <f>(AA37/AA38)*100</f>
        <v>0</v>
      </c>
    </row>
    <row r="38" spans="1:28" s="19" customFormat="1" ht="12.75" x14ac:dyDescent="0.2">
      <c r="A38" s="19" t="s">
        <v>71</v>
      </c>
      <c r="B38" s="22">
        <f t="shared" ref="B38:X38" si="1">SUM(B3:B37)</f>
        <v>35</v>
      </c>
      <c r="C38" s="22">
        <f t="shared" si="1"/>
        <v>11</v>
      </c>
      <c r="D38" s="22">
        <f t="shared" si="1"/>
        <v>109</v>
      </c>
      <c r="E38" s="22">
        <f t="shared" si="1"/>
        <v>115</v>
      </c>
      <c r="F38" s="22">
        <f t="shared" si="1"/>
        <v>112</v>
      </c>
      <c r="G38" s="22">
        <f t="shared" si="1"/>
        <v>48</v>
      </c>
      <c r="H38" s="22">
        <f t="shared" si="1"/>
        <v>0</v>
      </c>
      <c r="I38" s="22">
        <f t="shared" si="1"/>
        <v>0</v>
      </c>
      <c r="J38" s="22">
        <f t="shared" si="1"/>
        <v>0</v>
      </c>
      <c r="K38" s="22">
        <f t="shared" si="1"/>
        <v>0</v>
      </c>
      <c r="L38" s="22">
        <f t="shared" si="1"/>
        <v>0</v>
      </c>
      <c r="M38" s="22">
        <f t="shared" si="1"/>
        <v>0</v>
      </c>
      <c r="N38" s="22">
        <f t="shared" si="1"/>
        <v>0</v>
      </c>
      <c r="O38" s="22">
        <f t="shared" si="1"/>
        <v>0</v>
      </c>
      <c r="P38" s="22">
        <f t="shared" si="1"/>
        <v>0</v>
      </c>
      <c r="Q38" s="22">
        <f t="shared" si="1"/>
        <v>0</v>
      </c>
      <c r="R38" s="22">
        <f t="shared" si="1"/>
        <v>0</v>
      </c>
      <c r="S38" s="22">
        <f t="shared" si="1"/>
        <v>0</v>
      </c>
      <c r="T38" s="22">
        <f t="shared" si="1"/>
        <v>0</v>
      </c>
      <c r="U38" s="22">
        <f t="shared" si="1"/>
        <v>0</v>
      </c>
      <c r="V38" s="22">
        <f t="shared" si="1"/>
        <v>0</v>
      </c>
      <c r="W38" s="22">
        <f t="shared" si="1"/>
        <v>0</v>
      </c>
      <c r="X38" s="22">
        <f t="shared" si="1"/>
        <v>0</v>
      </c>
      <c r="Y38" s="22"/>
      <c r="Z38" s="22"/>
      <c r="AA38" s="22">
        <f>SUM(AA3:AA37)</f>
        <v>430</v>
      </c>
      <c r="AB38" s="21">
        <f t="shared" ref="AB38" si="2">(AA38/$AA$38)*100</f>
        <v>100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topLeftCell="J13" workbookViewId="0"/>
  </sheetViews>
  <sheetFormatPr defaultRowHeight="12.75" x14ac:dyDescent="0.2"/>
  <cols>
    <col min="1" max="1" width="26" style="19" bestFit="1" customWidth="1"/>
    <col min="2" max="2" width="9.140625" style="19"/>
    <col min="3" max="14" width="9.140625" style="19" customWidth="1"/>
    <col min="15" max="15" width="9.7109375" style="19" customWidth="1"/>
    <col min="16" max="26" width="9.140625" style="19" customWidth="1"/>
    <col min="27" max="27" width="9.140625" style="19"/>
    <col min="28" max="28" width="9.140625" style="20"/>
    <col min="29" max="16384" width="9.140625" style="19"/>
  </cols>
  <sheetData>
    <row r="1" spans="1:28" x14ac:dyDescent="0.2">
      <c r="A1" s="19" t="s">
        <v>98</v>
      </c>
      <c r="B1" s="22">
        <v>1</v>
      </c>
      <c r="C1" s="22">
        <v>2</v>
      </c>
      <c r="D1" s="22">
        <v>3</v>
      </c>
      <c r="E1" s="22">
        <v>4</v>
      </c>
      <c r="F1" s="22">
        <v>5</v>
      </c>
      <c r="G1" s="22">
        <v>6</v>
      </c>
      <c r="H1" s="22">
        <v>7</v>
      </c>
      <c r="I1" s="22">
        <v>8</v>
      </c>
      <c r="J1" s="22">
        <v>9</v>
      </c>
      <c r="K1" s="22">
        <v>10</v>
      </c>
      <c r="L1" s="22">
        <v>11</v>
      </c>
      <c r="M1" s="22">
        <v>12</v>
      </c>
      <c r="N1" s="22">
        <v>13</v>
      </c>
      <c r="O1" s="22">
        <v>14</v>
      </c>
      <c r="P1" s="22">
        <v>15</v>
      </c>
      <c r="Q1" s="22">
        <v>16</v>
      </c>
      <c r="R1" s="22">
        <v>17</v>
      </c>
      <c r="S1" s="22">
        <v>18</v>
      </c>
      <c r="T1" s="22">
        <v>19</v>
      </c>
      <c r="U1" s="22">
        <v>20</v>
      </c>
      <c r="V1" s="22">
        <v>21</v>
      </c>
      <c r="W1" s="22">
        <v>22</v>
      </c>
      <c r="X1" s="22">
        <v>23</v>
      </c>
      <c r="Y1" s="22">
        <v>24</v>
      </c>
      <c r="Z1" s="22">
        <v>25</v>
      </c>
      <c r="AA1" s="22" t="s">
        <v>99</v>
      </c>
      <c r="AB1" s="21"/>
    </row>
    <row r="2" spans="1:28" x14ac:dyDescent="0.2">
      <c r="A2" s="24" t="s">
        <v>97</v>
      </c>
      <c r="B2" s="23" t="s">
        <v>412</v>
      </c>
      <c r="C2" s="22" t="s">
        <v>244</v>
      </c>
      <c r="D2" s="22" t="s">
        <v>119</v>
      </c>
      <c r="E2" s="22" t="s">
        <v>413</v>
      </c>
      <c r="F2" s="22" t="s">
        <v>414</v>
      </c>
      <c r="G2" s="22" t="s">
        <v>415</v>
      </c>
      <c r="H2" s="22" t="s">
        <v>416</v>
      </c>
      <c r="I2" s="22" t="s">
        <v>417</v>
      </c>
      <c r="J2" s="22" t="s">
        <v>418</v>
      </c>
      <c r="K2" s="22" t="s">
        <v>419</v>
      </c>
      <c r="L2" s="22" t="s">
        <v>420</v>
      </c>
      <c r="M2" s="22" t="s">
        <v>421</v>
      </c>
      <c r="N2" s="22" t="s">
        <v>422</v>
      </c>
      <c r="O2" s="23" t="s">
        <v>423</v>
      </c>
      <c r="P2" s="22" t="s">
        <v>424</v>
      </c>
      <c r="Q2" s="23" t="s">
        <v>425</v>
      </c>
      <c r="R2" s="23" t="s">
        <v>426</v>
      </c>
      <c r="S2" s="23" t="s">
        <v>427</v>
      </c>
      <c r="T2" s="23" t="s">
        <v>428</v>
      </c>
      <c r="U2" s="23" t="s">
        <v>429</v>
      </c>
      <c r="V2" s="23" t="s">
        <v>430</v>
      </c>
      <c r="W2" s="23" t="s">
        <v>431</v>
      </c>
      <c r="X2" s="23" t="s">
        <v>432</v>
      </c>
      <c r="Y2" s="23" t="s">
        <v>433</v>
      </c>
      <c r="Z2" s="23" t="s">
        <v>434</v>
      </c>
      <c r="AA2" s="22" t="s">
        <v>73</v>
      </c>
      <c r="AB2" s="21" t="s">
        <v>72</v>
      </c>
    </row>
    <row r="3" spans="1:28" x14ac:dyDescent="0.2">
      <c r="A3" s="12" t="s">
        <v>1</v>
      </c>
      <c r="B3" s="22"/>
      <c r="C3" s="22"/>
      <c r="D3" s="22"/>
      <c r="E3" s="22"/>
      <c r="F3" s="22"/>
      <c r="G3" s="22"/>
      <c r="H3" s="22"/>
      <c r="I3" s="22">
        <v>1</v>
      </c>
      <c r="J3" s="22">
        <v>1</v>
      </c>
      <c r="K3" s="22"/>
      <c r="L3" s="22">
        <v>2</v>
      </c>
      <c r="M3" s="22">
        <v>3</v>
      </c>
      <c r="N3" s="22">
        <v>1</v>
      </c>
      <c r="O3" s="22">
        <v>1</v>
      </c>
      <c r="P3" s="22">
        <v>2</v>
      </c>
      <c r="Q3" s="22">
        <v>4</v>
      </c>
      <c r="R3" s="22">
        <v>1</v>
      </c>
      <c r="S3" s="22">
        <v>1</v>
      </c>
      <c r="T3" s="22"/>
      <c r="U3" s="22">
        <v>1</v>
      </c>
      <c r="V3" s="22">
        <v>1</v>
      </c>
      <c r="W3" s="22"/>
      <c r="X3" s="22"/>
      <c r="Y3" s="22"/>
      <c r="Z3" s="22"/>
      <c r="AA3" s="22">
        <f>SUM(B3:Z3)</f>
        <v>19</v>
      </c>
      <c r="AB3" s="21">
        <f t="shared" ref="AB3:AB38" si="0">(AA3/$AA$38)*100</f>
        <v>0.74921135646687698</v>
      </c>
    </row>
    <row r="4" spans="1:28" x14ac:dyDescent="0.2">
      <c r="A4" s="12" t="s">
        <v>2</v>
      </c>
      <c r="B4" s="22">
        <v>17</v>
      </c>
      <c r="C4" s="22">
        <v>6</v>
      </c>
      <c r="D4" s="22">
        <v>1</v>
      </c>
      <c r="E4" s="22">
        <v>1</v>
      </c>
      <c r="F4" s="22">
        <v>9</v>
      </c>
      <c r="G4" s="22">
        <v>4</v>
      </c>
      <c r="H4" s="22">
        <v>3</v>
      </c>
      <c r="I4" s="22">
        <v>2</v>
      </c>
      <c r="J4" s="22">
        <v>7</v>
      </c>
      <c r="K4" s="22">
        <v>21</v>
      </c>
      <c r="L4" s="22">
        <v>93</v>
      </c>
      <c r="M4" s="22">
        <v>12</v>
      </c>
      <c r="N4" s="22">
        <v>11</v>
      </c>
      <c r="O4" s="22">
        <v>15</v>
      </c>
      <c r="P4" s="22">
        <v>14</v>
      </c>
      <c r="Q4" s="22">
        <v>47</v>
      </c>
      <c r="R4" s="22">
        <v>21</v>
      </c>
      <c r="S4" s="22">
        <v>3</v>
      </c>
      <c r="T4" s="22">
        <v>3</v>
      </c>
      <c r="U4" s="22">
        <v>22</v>
      </c>
      <c r="V4" s="22">
        <v>28</v>
      </c>
      <c r="W4" s="22">
        <v>17</v>
      </c>
      <c r="X4" s="22">
        <v>20</v>
      </c>
      <c r="Y4" s="22">
        <v>31</v>
      </c>
      <c r="Z4" s="22">
        <v>38</v>
      </c>
      <c r="AA4" s="22">
        <f>SUM(B4:Z4)</f>
        <v>446</v>
      </c>
      <c r="AB4" s="21">
        <f t="shared" si="0"/>
        <v>17.586750788643531</v>
      </c>
    </row>
    <row r="5" spans="1:28" x14ac:dyDescent="0.2">
      <c r="A5" s="12" t="s">
        <v>3</v>
      </c>
      <c r="B5" s="22">
        <v>1</v>
      </c>
      <c r="C5" s="22"/>
      <c r="D5" s="22"/>
      <c r="E5" s="22"/>
      <c r="F5" s="22">
        <v>1</v>
      </c>
      <c r="G5" s="22"/>
      <c r="H5" s="22">
        <v>3</v>
      </c>
      <c r="I5" s="22"/>
      <c r="J5" s="22">
        <v>2</v>
      </c>
      <c r="K5" s="22">
        <v>1</v>
      </c>
      <c r="L5" s="22"/>
      <c r="M5" s="22">
        <v>3</v>
      </c>
      <c r="N5" s="22"/>
      <c r="O5" s="22">
        <v>2</v>
      </c>
      <c r="P5" s="22"/>
      <c r="Q5" s="22">
        <v>3</v>
      </c>
      <c r="R5" s="22">
        <v>1</v>
      </c>
      <c r="S5" s="22">
        <v>2</v>
      </c>
      <c r="T5" s="22"/>
      <c r="U5" s="22">
        <v>1</v>
      </c>
      <c r="V5" s="22">
        <v>1</v>
      </c>
      <c r="W5" s="22"/>
      <c r="X5" s="22"/>
      <c r="Y5" s="22">
        <v>1</v>
      </c>
      <c r="Z5" s="22"/>
      <c r="AA5" s="22">
        <f t="shared" ref="AA5:AA37" si="1">SUM(B5:Z5)</f>
        <v>22</v>
      </c>
      <c r="AB5" s="21">
        <f t="shared" si="0"/>
        <v>0.86750788643533117</v>
      </c>
    </row>
    <row r="6" spans="1:28" x14ac:dyDescent="0.2">
      <c r="A6" s="12" t="s">
        <v>4</v>
      </c>
      <c r="B6" s="22">
        <v>1</v>
      </c>
      <c r="C6" s="22"/>
      <c r="D6" s="22"/>
      <c r="E6" s="22"/>
      <c r="F6" s="22"/>
      <c r="G6" s="22">
        <v>3</v>
      </c>
      <c r="H6" s="22"/>
      <c r="I6" s="22">
        <v>3</v>
      </c>
      <c r="J6" s="22">
        <v>6</v>
      </c>
      <c r="K6" s="22">
        <v>5</v>
      </c>
      <c r="L6" s="22">
        <v>12</v>
      </c>
      <c r="M6" s="22">
        <v>8</v>
      </c>
      <c r="N6" s="22">
        <v>7</v>
      </c>
      <c r="O6" s="22">
        <v>5</v>
      </c>
      <c r="P6" s="22">
        <v>2</v>
      </c>
      <c r="Q6" s="22">
        <v>4</v>
      </c>
      <c r="R6" s="22">
        <v>1</v>
      </c>
      <c r="S6" s="22">
        <v>2</v>
      </c>
      <c r="T6" s="22">
        <v>1</v>
      </c>
      <c r="U6" s="22">
        <v>1</v>
      </c>
      <c r="V6" s="22">
        <v>13</v>
      </c>
      <c r="W6" s="22">
        <v>3</v>
      </c>
      <c r="X6" s="22">
        <v>2</v>
      </c>
      <c r="Y6" s="22">
        <v>1</v>
      </c>
      <c r="Z6" s="22">
        <v>4</v>
      </c>
      <c r="AA6" s="22">
        <f t="shared" si="1"/>
        <v>84</v>
      </c>
      <c r="AB6" s="21">
        <f t="shared" si="0"/>
        <v>3.3123028391167195</v>
      </c>
    </row>
    <row r="7" spans="1:28" x14ac:dyDescent="0.2">
      <c r="A7" s="12" t="s">
        <v>5</v>
      </c>
      <c r="B7" s="22">
        <v>4</v>
      </c>
      <c r="C7" s="22">
        <v>5</v>
      </c>
      <c r="D7" s="22"/>
      <c r="E7" s="22"/>
      <c r="F7" s="22">
        <v>1</v>
      </c>
      <c r="G7" s="22">
        <v>3</v>
      </c>
      <c r="H7" s="22">
        <v>1</v>
      </c>
      <c r="I7" s="22">
        <v>8</v>
      </c>
      <c r="J7" s="22">
        <v>4</v>
      </c>
      <c r="K7" s="22">
        <v>1</v>
      </c>
      <c r="L7" s="22">
        <v>15</v>
      </c>
      <c r="M7" s="22">
        <v>7</v>
      </c>
      <c r="N7" s="22">
        <v>1</v>
      </c>
      <c r="O7" s="22">
        <v>4</v>
      </c>
      <c r="P7" s="22">
        <v>2</v>
      </c>
      <c r="Q7" s="22">
        <v>10</v>
      </c>
      <c r="R7" s="22"/>
      <c r="S7" s="22">
        <v>2</v>
      </c>
      <c r="T7" s="22">
        <v>1</v>
      </c>
      <c r="U7" s="22">
        <v>1</v>
      </c>
      <c r="V7" s="22">
        <v>3</v>
      </c>
      <c r="W7" s="22"/>
      <c r="X7" s="22"/>
      <c r="Y7" s="22"/>
      <c r="Z7" s="22"/>
      <c r="AA7" s="22">
        <f t="shared" si="1"/>
        <v>73</v>
      </c>
      <c r="AB7" s="21">
        <f t="shared" si="0"/>
        <v>2.8785488958990539</v>
      </c>
    </row>
    <row r="8" spans="1:28" x14ac:dyDescent="0.2">
      <c r="A8" s="12" t="s">
        <v>6</v>
      </c>
      <c r="B8" s="22">
        <v>9</v>
      </c>
      <c r="C8" s="22">
        <v>10</v>
      </c>
      <c r="D8" s="22"/>
      <c r="E8" s="22"/>
      <c r="F8" s="22">
        <v>2</v>
      </c>
      <c r="G8" s="22">
        <v>4</v>
      </c>
      <c r="H8" s="22">
        <v>1</v>
      </c>
      <c r="I8" s="22">
        <v>3</v>
      </c>
      <c r="J8" s="22">
        <v>16</v>
      </c>
      <c r="K8" s="22">
        <v>14</v>
      </c>
      <c r="L8" s="22">
        <v>41</v>
      </c>
      <c r="M8" s="22">
        <v>30</v>
      </c>
      <c r="N8" s="22">
        <v>19</v>
      </c>
      <c r="O8" s="22">
        <v>19</v>
      </c>
      <c r="P8" s="22">
        <v>5</v>
      </c>
      <c r="Q8" s="22">
        <v>13</v>
      </c>
      <c r="R8" s="22">
        <v>6</v>
      </c>
      <c r="S8" s="22"/>
      <c r="T8" s="22">
        <v>1</v>
      </c>
      <c r="U8" s="22">
        <v>4</v>
      </c>
      <c r="V8" s="22">
        <v>11</v>
      </c>
      <c r="W8" s="22">
        <v>7</v>
      </c>
      <c r="X8" s="22">
        <v>7</v>
      </c>
      <c r="Y8" s="22"/>
      <c r="Z8" s="22">
        <v>7</v>
      </c>
      <c r="AA8" s="22">
        <f t="shared" si="1"/>
        <v>229</v>
      </c>
      <c r="AB8" s="21">
        <f t="shared" si="0"/>
        <v>9.0299684542586753</v>
      </c>
    </row>
    <row r="9" spans="1:28" x14ac:dyDescent="0.2">
      <c r="A9" s="12" t="s">
        <v>7</v>
      </c>
      <c r="B9" s="22"/>
      <c r="C9" s="22">
        <v>1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>
        <f t="shared" si="1"/>
        <v>1</v>
      </c>
      <c r="AB9" s="21">
        <f t="shared" si="0"/>
        <v>3.9432176656151417E-2</v>
      </c>
    </row>
    <row r="10" spans="1:28" x14ac:dyDescent="0.2">
      <c r="A10" s="12" t="s">
        <v>8</v>
      </c>
      <c r="B10" s="22">
        <v>3</v>
      </c>
      <c r="C10" s="22"/>
      <c r="D10" s="22">
        <v>1</v>
      </c>
      <c r="E10" s="22"/>
      <c r="F10" s="22">
        <v>1</v>
      </c>
      <c r="G10" s="22"/>
      <c r="H10" s="22"/>
      <c r="I10" s="22">
        <v>1</v>
      </c>
      <c r="J10" s="22">
        <v>2</v>
      </c>
      <c r="K10" s="22"/>
      <c r="L10" s="22"/>
      <c r="M10" s="22"/>
      <c r="N10" s="22">
        <v>2</v>
      </c>
      <c r="O10" s="22">
        <v>1</v>
      </c>
      <c r="P10" s="22">
        <v>2</v>
      </c>
      <c r="Q10" s="22"/>
      <c r="R10" s="22"/>
      <c r="S10" s="22">
        <v>1</v>
      </c>
      <c r="T10" s="22">
        <v>2</v>
      </c>
      <c r="U10" s="22"/>
      <c r="V10" s="22">
        <v>1</v>
      </c>
      <c r="W10" s="22"/>
      <c r="X10" s="22"/>
      <c r="Y10" s="22">
        <v>1</v>
      </c>
      <c r="Z10" s="22"/>
      <c r="AA10" s="22">
        <f t="shared" si="1"/>
        <v>18</v>
      </c>
      <c r="AB10" s="21">
        <f t="shared" si="0"/>
        <v>0.70977917981072558</v>
      </c>
    </row>
    <row r="11" spans="1:28" x14ac:dyDescent="0.2">
      <c r="A11" s="12" t="s">
        <v>9</v>
      </c>
      <c r="B11" s="22"/>
      <c r="C11" s="22"/>
      <c r="D11" s="22"/>
      <c r="E11" s="22"/>
      <c r="F11" s="22"/>
      <c r="G11" s="22"/>
      <c r="H11" s="22"/>
      <c r="I11" s="22"/>
      <c r="J11" s="22">
        <v>2</v>
      </c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>
        <f t="shared" si="1"/>
        <v>2</v>
      </c>
      <c r="AB11" s="21">
        <f t="shared" si="0"/>
        <v>7.8864353312302835E-2</v>
      </c>
    </row>
    <row r="12" spans="1:28" x14ac:dyDescent="0.2">
      <c r="A12" s="12" t="s">
        <v>10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>
        <f t="shared" si="1"/>
        <v>0</v>
      </c>
      <c r="AB12" s="21">
        <f t="shared" si="0"/>
        <v>0</v>
      </c>
    </row>
    <row r="13" spans="1:28" x14ac:dyDescent="0.2">
      <c r="A13" s="12" t="s">
        <v>11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>
        <v>1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>
        <f t="shared" si="1"/>
        <v>1</v>
      </c>
      <c r="AB13" s="21">
        <f t="shared" si="0"/>
        <v>3.9432176656151417E-2</v>
      </c>
    </row>
    <row r="14" spans="1:28" x14ac:dyDescent="0.2">
      <c r="A14" s="12" t="s">
        <v>12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>
        <f t="shared" si="1"/>
        <v>0</v>
      </c>
      <c r="AB14" s="21">
        <f t="shared" si="0"/>
        <v>0</v>
      </c>
    </row>
    <row r="15" spans="1:28" x14ac:dyDescent="0.2">
      <c r="A15" s="12" t="s">
        <v>13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>
        <f t="shared" si="1"/>
        <v>0</v>
      </c>
      <c r="AB15" s="21">
        <f t="shared" si="0"/>
        <v>0</v>
      </c>
    </row>
    <row r="16" spans="1:28" x14ac:dyDescent="0.2">
      <c r="A16" s="12" t="s">
        <v>14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>
        <f t="shared" si="1"/>
        <v>0</v>
      </c>
      <c r="AB16" s="21">
        <f t="shared" si="0"/>
        <v>0</v>
      </c>
    </row>
    <row r="17" spans="1:28" x14ac:dyDescent="0.2">
      <c r="A17" s="12" t="s">
        <v>15</v>
      </c>
      <c r="B17" s="22"/>
      <c r="C17" s="22">
        <v>1</v>
      </c>
      <c r="D17" s="22"/>
      <c r="E17" s="22"/>
      <c r="F17" s="22">
        <v>1</v>
      </c>
      <c r="G17" s="22">
        <v>3</v>
      </c>
      <c r="H17" s="22"/>
      <c r="I17" s="22"/>
      <c r="J17" s="22">
        <v>2</v>
      </c>
      <c r="K17" s="22">
        <v>3</v>
      </c>
      <c r="L17" s="22">
        <v>20</v>
      </c>
      <c r="M17" s="22">
        <v>4</v>
      </c>
      <c r="N17" s="22">
        <v>2</v>
      </c>
      <c r="O17" s="22"/>
      <c r="P17" s="22"/>
      <c r="Q17" s="22">
        <v>3</v>
      </c>
      <c r="R17" s="22">
        <v>1</v>
      </c>
      <c r="S17" s="22"/>
      <c r="T17" s="22"/>
      <c r="U17" s="22">
        <v>1</v>
      </c>
      <c r="V17" s="22">
        <v>2</v>
      </c>
      <c r="W17" s="22">
        <v>2</v>
      </c>
      <c r="X17" s="22">
        <v>3</v>
      </c>
      <c r="Y17" s="22"/>
      <c r="Z17" s="22"/>
      <c r="AA17" s="22">
        <f t="shared" si="1"/>
        <v>48</v>
      </c>
      <c r="AB17" s="21">
        <f t="shared" si="0"/>
        <v>1.8927444794952681</v>
      </c>
    </row>
    <row r="18" spans="1:28" x14ac:dyDescent="0.2">
      <c r="A18" s="12" t="s">
        <v>16</v>
      </c>
      <c r="B18" s="22">
        <v>1</v>
      </c>
      <c r="C18" s="22"/>
      <c r="D18" s="22"/>
      <c r="E18" s="22"/>
      <c r="F18" s="22"/>
      <c r="G18" s="22"/>
      <c r="H18" s="22"/>
      <c r="I18" s="22">
        <v>1</v>
      </c>
      <c r="J18" s="22"/>
      <c r="K18" s="22">
        <v>2</v>
      </c>
      <c r="L18" s="22"/>
      <c r="M18" s="22">
        <v>1</v>
      </c>
      <c r="N18" s="22">
        <v>1</v>
      </c>
      <c r="O18" s="22">
        <v>1</v>
      </c>
      <c r="P18" s="22"/>
      <c r="Q18" s="22"/>
      <c r="R18" s="22"/>
      <c r="S18" s="22"/>
      <c r="T18" s="22">
        <v>1</v>
      </c>
      <c r="U18" s="22">
        <v>1</v>
      </c>
      <c r="V18" s="22">
        <v>1</v>
      </c>
      <c r="W18" s="22"/>
      <c r="X18" s="22">
        <v>1</v>
      </c>
      <c r="Y18" s="22"/>
      <c r="Z18" s="22"/>
      <c r="AA18" s="22">
        <f t="shared" si="1"/>
        <v>11</v>
      </c>
      <c r="AB18" s="21">
        <f t="shared" si="0"/>
        <v>0.43375394321766558</v>
      </c>
    </row>
    <row r="19" spans="1:28" x14ac:dyDescent="0.2">
      <c r="A19" s="12" t="s">
        <v>17</v>
      </c>
      <c r="B19" s="22">
        <v>22</v>
      </c>
      <c r="C19" s="22">
        <v>5</v>
      </c>
      <c r="D19" s="22">
        <v>13</v>
      </c>
      <c r="E19" s="22">
        <v>1</v>
      </c>
      <c r="F19" s="22">
        <v>8</v>
      </c>
      <c r="G19" s="22">
        <v>14</v>
      </c>
      <c r="H19" s="22">
        <v>8</v>
      </c>
      <c r="I19" s="22">
        <v>29</v>
      </c>
      <c r="J19" s="22">
        <v>32</v>
      </c>
      <c r="K19" s="22">
        <v>54</v>
      </c>
      <c r="L19" s="22">
        <v>63</v>
      </c>
      <c r="M19" s="22">
        <v>38</v>
      </c>
      <c r="N19" s="22">
        <v>55</v>
      </c>
      <c r="O19" s="22">
        <v>42</v>
      </c>
      <c r="P19" s="22">
        <v>28</v>
      </c>
      <c r="Q19" s="22">
        <v>31</v>
      </c>
      <c r="R19" s="22">
        <v>26</v>
      </c>
      <c r="S19" s="22">
        <v>2</v>
      </c>
      <c r="T19" s="22">
        <v>8</v>
      </c>
      <c r="U19" s="22">
        <v>32</v>
      </c>
      <c r="V19" s="22">
        <v>9</v>
      </c>
      <c r="W19" s="22">
        <v>21</v>
      </c>
      <c r="X19" s="22">
        <v>20</v>
      </c>
      <c r="Y19" s="22">
        <v>25</v>
      </c>
      <c r="Z19" s="22">
        <v>14</v>
      </c>
      <c r="AA19" s="22">
        <f t="shared" si="1"/>
        <v>600</v>
      </c>
      <c r="AB19" s="21">
        <f t="shared" si="0"/>
        <v>23.65930599369085</v>
      </c>
    </row>
    <row r="20" spans="1:28" x14ac:dyDescent="0.2">
      <c r="A20" s="12" t="s">
        <v>18</v>
      </c>
      <c r="B20" s="22">
        <v>4</v>
      </c>
      <c r="C20" s="22">
        <v>1</v>
      </c>
      <c r="D20" s="22"/>
      <c r="E20" s="22"/>
      <c r="F20" s="22">
        <v>1</v>
      </c>
      <c r="G20" s="22"/>
      <c r="H20" s="22">
        <v>1</v>
      </c>
      <c r="I20" s="22"/>
      <c r="J20" s="22">
        <v>11</v>
      </c>
      <c r="K20" s="22">
        <v>8</v>
      </c>
      <c r="L20" s="22">
        <v>7</v>
      </c>
      <c r="M20" s="22">
        <v>13</v>
      </c>
      <c r="N20" s="22">
        <v>10</v>
      </c>
      <c r="O20" s="22">
        <v>10</v>
      </c>
      <c r="P20" s="22">
        <v>4</v>
      </c>
      <c r="Q20" s="22">
        <v>5</v>
      </c>
      <c r="R20" s="22">
        <v>4</v>
      </c>
      <c r="S20" s="22"/>
      <c r="T20" s="22"/>
      <c r="U20" s="22">
        <v>3</v>
      </c>
      <c r="V20" s="22">
        <v>5</v>
      </c>
      <c r="W20" s="22">
        <v>5</v>
      </c>
      <c r="X20" s="22">
        <v>10</v>
      </c>
      <c r="Y20" s="22">
        <v>5</v>
      </c>
      <c r="Z20" s="22">
        <v>2</v>
      </c>
      <c r="AA20" s="22">
        <f t="shared" si="1"/>
        <v>109</v>
      </c>
      <c r="AB20" s="21">
        <f t="shared" si="0"/>
        <v>4.2981072555205051</v>
      </c>
    </row>
    <row r="21" spans="1:28" x14ac:dyDescent="0.2">
      <c r="A21" s="12" t="s">
        <v>19</v>
      </c>
      <c r="B21" s="22">
        <v>9</v>
      </c>
      <c r="C21" s="22">
        <v>3</v>
      </c>
      <c r="D21" s="22"/>
      <c r="E21" s="22"/>
      <c r="F21" s="22"/>
      <c r="G21" s="22">
        <v>2</v>
      </c>
      <c r="H21" s="22">
        <v>6</v>
      </c>
      <c r="I21" s="22">
        <v>3</v>
      </c>
      <c r="J21" s="22">
        <v>10</v>
      </c>
      <c r="K21" s="22">
        <v>8</v>
      </c>
      <c r="L21" s="22">
        <v>55</v>
      </c>
      <c r="M21" s="22">
        <v>22</v>
      </c>
      <c r="N21" s="22">
        <v>12</v>
      </c>
      <c r="O21" s="22">
        <v>11</v>
      </c>
      <c r="P21" s="22">
        <v>9</v>
      </c>
      <c r="Q21" s="22">
        <v>24</v>
      </c>
      <c r="R21" s="22">
        <v>3</v>
      </c>
      <c r="S21" s="22"/>
      <c r="T21" s="22"/>
      <c r="U21" s="22">
        <v>2</v>
      </c>
      <c r="V21" s="22">
        <v>6</v>
      </c>
      <c r="W21" s="22"/>
      <c r="X21" s="22">
        <v>1</v>
      </c>
      <c r="Y21" s="22">
        <v>1</v>
      </c>
      <c r="Z21" s="22">
        <v>3</v>
      </c>
      <c r="AA21" s="22">
        <f t="shared" si="1"/>
        <v>190</v>
      </c>
      <c r="AB21" s="21">
        <f t="shared" si="0"/>
        <v>7.4921135646687702</v>
      </c>
    </row>
    <row r="22" spans="1:28" x14ac:dyDescent="0.2">
      <c r="A22" s="12" t="s">
        <v>20</v>
      </c>
      <c r="B22" s="22">
        <v>4</v>
      </c>
      <c r="C22" s="22"/>
      <c r="D22" s="22"/>
      <c r="E22" s="22"/>
      <c r="F22" s="22"/>
      <c r="G22" s="22">
        <v>5</v>
      </c>
      <c r="H22" s="22">
        <v>1</v>
      </c>
      <c r="I22" s="22"/>
      <c r="J22" s="22">
        <v>3</v>
      </c>
      <c r="K22" s="22">
        <v>8</v>
      </c>
      <c r="L22" s="22">
        <v>15</v>
      </c>
      <c r="M22" s="22">
        <v>7</v>
      </c>
      <c r="N22" s="22">
        <v>5</v>
      </c>
      <c r="O22" s="22">
        <v>8</v>
      </c>
      <c r="P22" s="22">
        <v>3</v>
      </c>
      <c r="Q22" s="22">
        <v>8</v>
      </c>
      <c r="R22" s="22">
        <v>4</v>
      </c>
      <c r="S22" s="22">
        <v>2</v>
      </c>
      <c r="T22" s="22">
        <v>4</v>
      </c>
      <c r="U22" s="22"/>
      <c r="V22" s="22">
        <v>4</v>
      </c>
      <c r="W22" s="22">
        <v>3</v>
      </c>
      <c r="X22" s="22">
        <v>4</v>
      </c>
      <c r="Y22" s="22">
        <v>1</v>
      </c>
      <c r="Z22" s="22">
        <v>2</v>
      </c>
      <c r="AA22" s="22">
        <f t="shared" si="1"/>
        <v>91</v>
      </c>
      <c r="AB22" s="21">
        <f t="shared" si="0"/>
        <v>3.5883280757097791</v>
      </c>
    </row>
    <row r="23" spans="1:28" x14ac:dyDescent="0.2">
      <c r="A23" s="12" t="s">
        <v>21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>
        <v>11</v>
      </c>
      <c r="Q23" s="22">
        <v>15</v>
      </c>
      <c r="R23" s="22">
        <v>8</v>
      </c>
      <c r="S23" s="22"/>
      <c r="T23" s="22">
        <v>1</v>
      </c>
      <c r="U23" s="22">
        <v>3</v>
      </c>
      <c r="V23" s="22">
        <v>8</v>
      </c>
      <c r="W23" s="22">
        <v>8</v>
      </c>
      <c r="X23" s="22">
        <v>5</v>
      </c>
      <c r="Y23" s="22"/>
      <c r="Z23" s="22">
        <v>6</v>
      </c>
      <c r="AA23" s="22">
        <f t="shared" si="1"/>
        <v>65</v>
      </c>
      <c r="AB23" s="21">
        <f t="shared" si="0"/>
        <v>2.5630914826498423</v>
      </c>
    </row>
    <row r="24" spans="1:28" x14ac:dyDescent="0.2">
      <c r="A24" s="12" t="s">
        <v>22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>
        <v>1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>
        <f t="shared" si="1"/>
        <v>1</v>
      </c>
      <c r="AB24" s="21">
        <f t="shared" si="0"/>
        <v>3.9432176656151417E-2</v>
      </c>
    </row>
    <row r="25" spans="1:28" ht="15" customHeight="1" x14ac:dyDescent="0.2">
      <c r="A25" s="12" t="s">
        <v>23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>
        <v>1</v>
      </c>
      <c r="Y25" s="22"/>
      <c r="Z25" s="22"/>
      <c r="AA25" s="22">
        <f t="shared" si="1"/>
        <v>1</v>
      </c>
      <c r="AB25" s="21">
        <f t="shared" si="0"/>
        <v>3.9432176656151417E-2</v>
      </c>
    </row>
    <row r="26" spans="1:28" x14ac:dyDescent="0.2">
      <c r="A26" s="12" t="s">
        <v>24</v>
      </c>
      <c r="B26" s="22"/>
      <c r="C26" s="22"/>
      <c r="D26" s="22"/>
      <c r="E26" s="22"/>
      <c r="F26" s="22">
        <v>1</v>
      </c>
      <c r="G26" s="22"/>
      <c r="H26" s="22">
        <v>1</v>
      </c>
      <c r="I26" s="22"/>
      <c r="J26" s="22"/>
      <c r="K26" s="22"/>
      <c r="L26" s="22">
        <v>1</v>
      </c>
      <c r="M26" s="22">
        <v>1</v>
      </c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>
        <v>2</v>
      </c>
      <c r="AA26" s="22">
        <f t="shared" si="1"/>
        <v>6</v>
      </c>
      <c r="AB26" s="21">
        <f t="shared" si="0"/>
        <v>0.23659305993690852</v>
      </c>
    </row>
    <row r="27" spans="1:28" x14ac:dyDescent="0.2">
      <c r="A27" s="12" t="s">
        <v>25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>
        <v>1</v>
      </c>
      <c r="M27" s="22"/>
      <c r="N27" s="22"/>
      <c r="O27" s="22">
        <v>1</v>
      </c>
      <c r="P27" s="22"/>
      <c r="Q27" s="22"/>
      <c r="R27" s="22"/>
      <c r="S27" s="22"/>
      <c r="T27" s="22"/>
      <c r="U27" s="22"/>
      <c r="V27" s="22">
        <v>1</v>
      </c>
      <c r="W27" s="22"/>
      <c r="X27" s="22"/>
      <c r="Y27" s="22"/>
      <c r="Z27" s="22"/>
      <c r="AA27" s="22">
        <f t="shared" si="1"/>
        <v>3</v>
      </c>
      <c r="AB27" s="21">
        <f t="shared" si="0"/>
        <v>0.11829652996845426</v>
      </c>
    </row>
    <row r="28" spans="1:28" x14ac:dyDescent="0.2">
      <c r="A28" s="12" t="s">
        <v>26</v>
      </c>
      <c r="B28" s="22">
        <v>1</v>
      </c>
      <c r="C28" s="22"/>
      <c r="D28" s="22"/>
      <c r="E28" s="22"/>
      <c r="F28" s="22"/>
      <c r="G28" s="22"/>
      <c r="H28" s="22"/>
      <c r="I28" s="22"/>
      <c r="J28" s="22"/>
      <c r="K28" s="22"/>
      <c r="L28" s="22">
        <v>1</v>
      </c>
      <c r="M28" s="22">
        <v>2</v>
      </c>
      <c r="N28" s="22"/>
      <c r="O28" s="22">
        <v>1</v>
      </c>
      <c r="P28" s="22"/>
      <c r="Q28" s="22"/>
      <c r="R28" s="22"/>
      <c r="S28" s="22"/>
      <c r="T28" s="22">
        <v>1</v>
      </c>
      <c r="U28" s="22"/>
      <c r="V28" s="22"/>
      <c r="W28" s="22"/>
      <c r="X28" s="22"/>
      <c r="Y28" s="22"/>
      <c r="Z28" s="22"/>
      <c r="AA28" s="22">
        <f t="shared" si="1"/>
        <v>6</v>
      </c>
      <c r="AB28" s="21">
        <f t="shared" si="0"/>
        <v>0.23659305993690852</v>
      </c>
    </row>
    <row r="29" spans="1:28" x14ac:dyDescent="0.2">
      <c r="A29" s="12" t="s">
        <v>27</v>
      </c>
      <c r="B29" s="22"/>
      <c r="C29" s="22"/>
      <c r="D29" s="22"/>
      <c r="E29" s="22"/>
      <c r="F29" s="22">
        <v>2</v>
      </c>
      <c r="G29" s="22"/>
      <c r="H29" s="22"/>
      <c r="I29" s="22"/>
      <c r="J29" s="22">
        <v>1</v>
      </c>
      <c r="K29" s="22"/>
      <c r="L29" s="22">
        <v>3</v>
      </c>
      <c r="M29" s="22"/>
      <c r="N29" s="22">
        <v>1</v>
      </c>
      <c r="O29" s="22"/>
      <c r="P29" s="22">
        <v>1</v>
      </c>
      <c r="Q29" s="22">
        <v>4</v>
      </c>
      <c r="R29" s="22"/>
      <c r="S29" s="22"/>
      <c r="T29" s="22">
        <v>1</v>
      </c>
      <c r="U29" s="22"/>
      <c r="V29" s="22"/>
      <c r="W29" s="22"/>
      <c r="X29" s="22"/>
      <c r="Y29" s="22"/>
      <c r="Z29" s="22"/>
      <c r="AA29" s="22">
        <f t="shared" si="1"/>
        <v>13</v>
      </c>
      <c r="AB29" s="21">
        <f t="shared" si="0"/>
        <v>0.51261829652996849</v>
      </c>
    </row>
    <row r="30" spans="1:28" x14ac:dyDescent="0.2">
      <c r="A30" s="12" t="s">
        <v>28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>
        <f t="shared" si="1"/>
        <v>0</v>
      </c>
      <c r="AB30" s="21">
        <f t="shared" si="0"/>
        <v>0</v>
      </c>
    </row>
    <row r="31" spans="1:28" x14ac:dyDescent="0.2">
      <c r="A31" s="12" t="s">
        <v>29</v>
      </c>
      <c r="B31" s="22">
        <v>13</v>
      </c>
      <c r="C31" s="22">
        <v>23</v>
      </c>
      <c r="D31" s="22">
        <v>4</v>
      </c>
      <c r="E31" s="22">
        <v>6</v>
      </c>
      <c r="F31" s="22">
        <v>10</v>
      </c>
      <c r="G31" s="22">
        <v>18</v>
      </c>
      <c r="H31" s="22">
        <v>10</v>
      </c>
      <c r="I31" s="22">
        <v>10</v>
      </c>
      <c r="J31" s="22">
        <v>15</v>
      </c>
      <c r="K31" s="22">
        <v>44</v>
      </c>
      <c r="L31" s="22">
        <v>57</v>
      </c>
      <c r="M31" s="22">
        <v>39</v>
      </c>
      <c r="N31" s="22">
        <v>12</v>
      </c>
      <c r="O31" s="22">
        <v>17</v>
      </c>
      <c r="P31" s="22">
        <v>19</v>
      </c>
      <c r="Q31" s="22">
        <v>21</v>
      </c>
      <c r="R31" s="22">
        <v>28</v>
      </c>
      <c r="S31" s="22">
        <v>8</v>
      </c>
      <c r="T31" s="22">
        <v>13</v>
      </c>
      <c r="U31" s="22">
        <v>15</v>
      </c>
      <c r="V31" s="22">
        <v>15</v>
      </c>
      <c r="W31" s="22">
        <v>26</v>
      </c>
      <c r="X31" s="22">
        <v>19</v>
      </c>
      <c r="Y31" s="22">
        <v>14</v>
      </c>
      <c r="Z31" s="22">
        <v>13</v>
      </c>
      <c r="AA31" s="22">
        <f t="shared" si="1"/>
        <v>469</v>
      </c>
      <c r="AB31" s="21">
        <f t="shared" si="0"/>
        <v>18.493690851735014</v>
      </c>
    </row>
    <row r="32" spans="1:28" x14ac:dyDescent="0.2">
      <c r="A32" s="12" t="s">
        <v>30</v>
      </c>
      <c r="B32" s="22">
        <v>1</v>
      </c>
      <c r="C32" s="22"/>
      <c r="D32" s="22"/>
      <c r="E32" s="22"/>
      <c r="F32" s="22">
        <v>1</v>
      </c>
      <c r="G32" s="22"/>
      <c r="H32" s="22">
        <v>2</v>
      </c>
      <c r="I32" s="22"/>
      <c r="J32" s="22">
        <v>3</v>
      </c>
      <c r="K32" s="22">
        <v>3</v>
      </c>
      <c r="L32" s="22"/>
      <c r="M32" s="22">
        <v>1</v>
      </c>
      <c r="N32" s="22">
        <v>2</v>
      </c>
      <c r="O32" s="22">
        <v>1</v>
      </c>
      <c r="P32" s="22"/>
      <c r="Q32" s="22"/>
      <c r="R32" s="22"/>
      <c r="S32" s="22"/>
      <c r="T32" s="22">
        <v>1</v>
      </c>
      <c r="U32" s="22">
        <v>1</v>
      </c>
      <c r="V32" s="22"/>
      <c r="W32" s="22"/>
      <c r="X32" s="22"/>
      <c r="Y32" s="22"/>
      <c r="Z32" s="22"/>
      <c r="AA32" s="22">
        <f t="shared" si="1"/>
        <v>16</v>
      </c>
      <c r="AB32" s="21">
        <f t="shared" si="0"/>
        <v>0.63091482649842268</v>
      </c>
    </row>
    <row r="33" spans="1:28" x14ac:dyDescent="0.2">
      <c r="A33" s="12" t="s">
        <v>31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>
        <v>1</v>
      </c>
      <c r="N33" s="22"/>
      <c r="O33" s="22"/>
      <c r="P33" s="22"/>
      <c r="Q33" s="22"/>
      <c r="R33" s="22"/>
      <c r="S33" s="22"/>
      <c r="T33" s="22"/>
      <c r="U33" s="22"/>
      <c r="V33" s="22">
        <v>1</v>
      </c>
      <c r="W33" s="22"/>
      <c r="X33" s="22"/>
      <c r="Y33" s="22"/>
      <c r="Z33" s="22">
        <v>1</v>
      </c>
      <c r="AA33" s="22">
        <f t="shared" si="1"/>
        <v>3</v>
      </c>
      <c r="AB33" s="21">
        <f t="shared" si="0"/>
        <v>0.11829652996845426</v>
      </c>
    </row>
    <row r="34" spans="1:28" x14ac:dyDescent="0.2">
      <c r="A34" s="12" t="s">
        <v>68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>
        <v>1</v>
      </c>
      <c r="Z34" s="22"/>
      <c r="AA34" s="22">
        <f t="shared" si="1"/>
        <v>1</v>
      </c>
      <c r="AB34" s="21">
        <f t="shared" si="0"/>
        <v>3.9432176656151417E-2</v>
      </c>
    </row>
    <row r="35" spans="1:28" x14ac:dyDescent="0.2">
      <c r="A35" s="12" t="s">
        <v>32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>
        <f t="shared" si="1"/>
        <v>0</v>
      </c>
      <c r="AB35" s="21">
        <f t="shared" si="0"/>
        <v>0</v>
      </c>
    </row>
    <row r="36" spans="1:28" x14ac:dyDescent="0.2">
      <c r="A36" s="12" t="s">
        <v>33</v>
      </c>
      <c r="B36" s="22"/>
      <c r="C36" s="22"/>
      <c r="D36" s="22"/>
      <c r="E36" s="22"/>
      <c r="F36" s="22"/>
      <c r="G36" s="22">
        <v>1</v>
      </c>
      <c r="H36" s="22"/>
      <c r="I36" s="22"/>
      <c r="J36" s="22">
        <v>1</v>
      </c>
      <c r="K36" s="22"/>
      <c r="L36" s="22"/>
      <c r="M36" s="22">
        <v>2</v>
      </c>
      <c r="N36" s="22">
        <v>1</v>
      </c>
      <c r="O36" s="22"/>
      <c r="P36" s="22"/>
      <c r="Q36" s="22"/>
      <c r="R36" s="22"/>
      <c r="S36" s="22">
        <v>1</v>
      </c>
      <c r="T36" s="22"/>
      <c r="U36" s="22"/>
      <c r="V36" s="22"/>
      <c r="W36" s="22">
        <v>1</v>
      </c>
      <c r="X36" s="22"/>
      <c r="Y36" s="22">
        <v>1</v>
      </c>
      <c r="Z36" s="22"/>
      <c r="AA36" s="22">
        <f t="shared" si="1"/>
        <v>8</v>
      </c>
      <c r="AB36" s="21">
        <f t="shared" si="0"/>
        <v>0.31545741324921134</v>
      </c>
    </row>
    <row r="37" spans="1:28" x14ac:dyDescent="0.2">
      <c r="A37" s="12" t="s">
        <v>34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>
        <f t="shared" si="1"/>
        <v>0</v>
      </c>
      <c r="AB37" s="21">
        <f t="shared" si="0"/>
        <v>0</v>
      </c>
    </row>
    <row r="38" spans="1:28" x14ac:dyDescent="0.2">
      <c r="A38" s="19" t="s">
        <v>71</v>
      </c>
      <c r="B38" s="22">
        <f t="shared" ref="B38:W38" si="2">SUM(B3:B37)</f>
        <v>90</v>
      </c>
      <c r="C38" s="22">
        <f t="shared" si="2"/>
        <v>55</v>
      </c>
      <c r="D38" s="22">
        <f t="shared" si="2"/>
        <v>19</v>
      </c>
      <c r="E38" s="22">
        <f t="shared" si="2"/>
        <v>8</v>
      </c>
      <c r="F38" s="22">
        <f t="shared" si="2"/>
        <v>38</v>
      </c>
      <c r="G38" s="22">
        <f t="shared" si="2"/>
        <v>57</v>
      </c>
      <c r="H38" s="22">
        <f t="shared" si="2"/>
        <v>37</v>
      </c>
      <c r="I38" s="22">
        <f t="shared" si="2"/>
        <v>61</v>
      </c>
      <c r="J38" s="22">
        <f t="shared" si="2"/>
        <v>118</v>
      </c>
      <c r="K38" s="22">
        <f t="shared" si="2"/>
        <v>172</v>
      </c>
      <c r="L38" s="22">
        <f t="shared" si="2"/>
        <v>386</v>
      </c>
      <c r="M38" s="22">
        <f t="shared" si="2"/>
        <v>194</v>
      </c>
      <c r="N38" s="22">
        <f t="shared" si="2"/>
        <v>143</v>
      </c>
      <c r="O38" s="22">
        <f t="shared" si="2"/>
        <v>140</v>
      </c>
      <c r="P38" s="22">
        <f t="shared" si="2"/>
        <v>102</v>
      </c>
      <c r="Q38" s="22">
        <f t="shared" si="2"/>
        <v>192</v>
      </c>
      <c r="R38" s="22">
        <f t="shared" si="2"/>
        <v>104</v>
      </c>
      <c r="S38" s="22">
        <f t="shared" si="2"/>
        <v>24</v>
      </c>
      <c r="T38" s="22">
        <f t="shared" si="2"/>
        <v>38</v>
      </c>
      <c r="U38" s="22">
        <f t="shared" si="2"/>
        <v>88</v>
      </c>
      <c r="V38" s="22">
        <f t="shared" si="2"/>
        <v>110</v>
      </c>
      <c r="W38" s="22">
        <f t="shared" si="2"/>
        <v>93</v>
      </c>
      <c r="X38" s="22">
        <f t="shared" ref="X38" si="3">SUM(X3:X37)</f>
        <v>93</v>
      </c>
      <c r="Y38" s="22">
        <f t="shared" ref="Y38" si="4">SUM(Y3:Y37)</f>
        <v>82</v>
      </c>
      <c r="Z38" s="22">
        <f t="shared" ref="Z38" si="5">SUM(Z3:Z37)</f>
        <v>92</v>
      </c>
      <c r="AA38" s="22">
        <f>SUM(AA3:AA37)</f>
        <v>2536</v>
      </c>
      <c r="AB38" s="21">
        <f t="shared" si="0"/>
        <v>100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9"/>
  <sheetViews>
    <sheetView workbookViewId="0">
      <selection activeCell="E6" sqref="E6"/>
    </sheetView>
  </sheetViews>
  <sheetFormatPr defaultColWidth="12.5703125" defaultRowHeight="12.75" x14ac:dyDescent="0.2"/>
  <cols>
    <col min="1" max="1" width="15.140625" style="59" customWidth="1"/>
    <col min="2" max="256" width="12.5703125" style="59"/>
    <col min="257" max="257" width="15.140625" style="59" customWidth="1"/>
    <col min="258" max="512" width="12.5703125" style="59"/>
    <col min="513" max="513" width="15.140625" style="59" customWidth="1"/>
    <col min="514" max="768" width="12.5703125" style="59"/>
    <col min="769" max="769" width="15.140625" style="59" customWidth="1"/>
    <col min="770" max="1024" width="12.5703125" style="59"/>
    <col min="1025" max="1025" width="15.140625" style="59" customWidth="1"/>
    <col min="1026" max="1280" width="12.5703125" style="59"/>
    <col min="1281" max="1281" width="15.140625" style="59" customWidth="1"/>
    <col min="1282" max="1536" width="12.5703125" style="59"/>
    <col min="1537" max="1537" width="15.140625" style="59" customWidth="1"/>
    <col min="1538" max="1792" width="12.5703125" style="59"/>
    <col min="1793" max="1793" width="15.140625" style="59" customWidth="1"/>
    <col min="1794" max="2048" width="12.5703125" style="59"/>
    <col min="2049" max="2049" width="15.140625" style="59" customWidth="1"/>
    <col min="2050" max="2304" width="12.5703125" style="59"/>
    <col min="2305" max="2305" width="15.140625" style="59" customWidth="1"/>
    <col min="2306" max="2560" width="12.5703125" style="59"/>
    <col min="2561" max="2561" width="15.140625" style="59" customWidth="1"/>
    <col min="2562" max="2816" width="12.5703125" style="59"/>
    <col min="2817" max="2817" width="15.140625" style="59" customWidth="1"/>
    <col min="2818" max="3072" width="12.5703125" style="59"/>
    <col min="3073" max="3073" width="15.140625" style="59" customWidth="1"/>
    <col min="3074" max="3328" width="12.5703125" style="59"/>
    <col min="3329" max="3329" width="15.140625" style="59" customWidth="1"/>
    <col min="3330" max="3584" width="12.5703125" style="59"/>
    <col min="3585" max="3585" width="15.140625" style="59" customWidth="1"/>
    <col min="3586" max="3840" width="12.5703125" style="59"/>
    <col min="3841" max="3841" width="15.140625" style="59" customWidth="1"/>
    <col min="3842" max="4096" width="12.5703125" style="59"/>
    <col min="4097" max="4097" width="15.140625" style="59" customWidth="1"/>
    <col min="4098" max="4352" width="12.5703125" style="59"/>
    <col min="4353" max="4353" width="15.140625" style="59" customWidth="1"/>
    <col min="4354" max="4608" width="12.5703125" style="59"/>
    <col min="4609" max="4609" width="15.140625" style="59" customWidth="1"/>
    <col min="4610" max="4864" width="12.5703125" style="59"/>
    <col min="4865" max="4865" width="15.140625" style="59" customWidth="1"/>
    <col min="4866" max="5120" width="12.5703125" style="59"/>
    <col min="5121" max="5121" width="15.140625" style="59" customWidth="1"/>
    <col min="5122" max="5376" width="12.5703125" style="59"/>
    <col min="5377" max="5377" width="15.140625" style="59" customWidth="1"/>
    <col min="5378" max="5632" width="12.5703125" style="59"/>
    <col min="5633" max="5633" width="15.140625" style="59" customWidth="1"/>
    <col min="5634" max="5888" width="12.5703125" style="59"/>
    <col min="5889" max="5889" width="15.140625" style="59" customWidth="1"/>
    <col min="5890" max="6144" width="12.5703125" style="59"/>
    <col min="6145" max="6145" width="15.140625" style="59" customWidth="1"/>
    <col min="6146" max="6400" width="12.5703125" style="59"/>
    <col min="6401" max="6401" width="15.140625" style="59" customWidth="1"/>
    <col min="6402" max="6656" width="12.5703125" style="59"/>
    <col min="6657" max="6657" width="15.140625" style="59" customWidth="1"/>
    <col min="6658" max="6912" width="12.5703125" style="59"/>
    <col min="6913" max="6913" width="15.140625" style="59" customWidth="1"/>
    <col min="6914" max="7168" width="12.5703125" style="59"/>
    <col min="7169" max="7169" width="15.140625" style="59" customWidth="1"/>
    <col min="7170" max="7424" width="12.5703125" style="59"/>
    <col min="7425" max="7425" width="15.140625" style="59" customWidth="1"/>
    <col min="7426" max="7680" width="12.5703125" style="59"/>
    <col min="7681" max="7681" width="15.140625" style="59" customWidth="1"/>
    <col min="7682" max="7936" width="12.5703125" style="59"/>
    <col min="7937" max="7937" width="15.140625" style="59" customWidth="1"/>
    <col min="7938" max="8192" width="12.5703125" style="59"/>
    <col min="8193" max="8193" width="15.140625" style="59" customWidth="1"/>
    <col min="8194" max="8448" width="12.5703125" style="59"/>
    <col min="8449" max="8449" width="15.140625" style="59" customWidth="1"/>
    <col min="8450" max="8704" width="12.5703125" style="59"/>
    <col min="8705" max="8705" width="15.140625" style="59" customWidth="1"/>
    <col min="8706" max="8960" width="12.5703125" style="59"/>
    <col min="8961" max="8961" width="15.140625" style="59" customWidth="1"/>
    <col min="8962" max="9216" width="12.5703125" style="59"/>
    <col min="9217" max="9217" width="15.140625" style="59" customWidth="1"/>
    <col min="9218" max="9472" width="12.5703125" style="59"/>
    <col min="9473" max="9473" width="15.140625" style="59" customWidth="1"/>
    <col min="9474" max="9728" width="12.5703125" style="59"/>
    <col min="9729" max="9729" width="15.140625" style="59" customWidth="1"/>
    <col min="9730" max="9984" width="12.5703125" style="59"/>
    <col min="9985" max="9985" width="15.140625" style="59" customWidth="1"/>
    <col min="9986" max="10240" width="12.5703125" style="59"/>
    <col min="10241" max="10241" width="15.140625" style="59" customWidth="1"/>
    <col min="10242" max="10496" width="12.5703125" style="59"/>
    <col min="10497" max="10497" width="15.140625" style="59" customWidth="1"/>
    <col min="10498" max="10752" width="12.5703125" style="59"/>
    <col min="10753" max="10753" width="15.140625" style="59" customWidth="1"/>
    <col min="10754" max="11008" width="12.5703125" style="59"/>
    <col min="11009" max="11009" width="15.140625" style="59" customWidth="1"/>
    <col min="11010" max="11264" width="12.5703125" style="59"/>
    <col min="11265" max="11265" width="15.140625" style="59" customWidth="1"/>
    <col min="11266" max="11520" width="12.5703125" style="59"/>
    <col min="11521" max="11521" width="15.140625" style="59" customWidth="1"/>
    <col min="11522" max="11776" width="12.5703125" style="59"/>
    <col min="11777" max="11777" width="15.140625" style="59" customWidth="1"/>
    <col min="11778" max="12032" width="12.5703125" style="59"/>
    <col min="12033" max="12033" width="15.140625" style="59" customWidth="1"/>
    <col min="12034" max="12288" width="12.5703125" style="59"/>
    <col min="12289" max="12289" width="15.140625" style="59" customWidth="1"/>
    <col min="12290" max="12544" width="12.5703125" style="59"/>
    <col min="12545" max="12545" width="15.140625" style="59" customWidth="1"/>
    <col min="12546" max="12800" width="12.5703125" style="59"/>
    <col min="12801" max="12801" width="15.140625" style="59" customWidth="1"/>
    <col min="12802" max="13056" width="12.5703125" style="59"/>
    <col min="13057" max="13057" width="15.140625" style="59" customWidth="1"/>
    <col min="13058" max="13312" width="12.5703125" style="59"/>
    <col min="13313" max="13313" width="15.140625" style="59" customWidth="1"/>
    <col min="13314" max="13568" width="12.5703125" style="59"/>
    <col min="13569" max="13569" width="15.140625" style="59" customWidth="1"/>
    <col min="13570" max="13824" width="12.5703125" style="59"/>
    <col min="13825" max="13825" width="15.140625" style="59" customWidth="1"/>
    <col min="13826" max="14080" width="12.5703125" style="59"/>
    <col min="14081" max="14081" width="15.140625" style="59" customWidth="1"/>
    <col min="14082" max="14336" width="12.5703125" style="59"/>
    <col min="14337" max="14337" width="15.140625" style="59" customWidth="1"/>
    <col min="14338" max="14592" width="12.5703125" style="59"/>
    <col min="14593" max="14593" width="15.140625" style="59" customWidth="1"/>
    <col min="14594" max="14848" width="12.5703125" style="59"/>
    <col min="14849" max="14849" width="15.140625" style="59" customWidth="1"/>
    <col min="14850" max="15104" width="12.5703125" style="59"/>
    <col min="15105" max="15105" width="15.140625" style="59" customWidth="1"/>
    <col min="15106" max="15360" width="12.5703125" style="59"/>
    <col min="15361" max="15361" width="15.140625" style="59" customWidth="1"/>
    <col min="15362" max="15616" width="12.5703125" style="59"/>
    <col min="15617" max="15617" width="15.140625" style="59" customWidth="1"/>
    <col min="15618" max="15872" width="12.5703125" style="59"/>
    <col min="15873" max="15873" width="15.140625" style="59" customWidth="1"/>
    <col min="15874" max="16128" width="12.5703125" style="59"/>
    <col min="16129" max="16129" width="15.140625" style="59" customWidth="1"/>
    <col min="16130" max="16384" width="12.5703125" style="59"/>
  </cols>
  <sheetData>
    <row r="1" spans="1:11" x14ac:dyDescent="0.2">
      <c r="B1" s="60" t="s">
        <v>296</v>
      </c>
      <c r="C1" s="60" t="s">
        <v>296</v>
      </c>
      <c r="D1" s="60" t="s">
        <v>296</v>
      </c>
      <c r="E1" s="60" t="s">
        <v>296</v>
      </c>
    </row>
    <row r="2" spans="1:11" x14ac:dyDescent="0.2">
      <c r="B2" s="60" t="s">
        <v>297</v>
      </c>
      <c r="C2" s="60" t="s">
        <v>298</v>
      </c>
      <c r="D2" s="60" t="s">
        <v>299</v>
      </c>
      <c r="E2" s="60" t="s">
        <v>300</v>
      </c>
      <c r="F2" s="60" t="s">
        <v>301</v>
      </c>
      <c r="G2" s="60" t="s">
        <v>302</v>
      </c>
      <c r="H2" s="60" t="s">
        <v>303</v>
      </c>
      <c r="I2" s="60" t="s">
        <v>304</v>
      </c>
      <c r="J2" s="60" t="s">
        <v>305</v>
      </c>
      <c r="K2" s="60" t="s">
        <v>306</v>
      </c>
    </row>
    <row r="3" spans="1:11" x14ac:dyDescent="0.2">
      <c r="A3" s="61" t="s">
        <v>307</v>
      </c>
      <c r="B3" s="62">
        <v>5</v>
      </c>
      <c r="C3" s="62">
        <v>475</v>
      </c>
      <c r="D3" s="62">
        <v>3</v>
      </c>
      <c r="E3" s="63">
        <v>1.8</v>
      </c>
      <c r="F3" s="62">
        <f>B3/C3</f>
        <v>1.0526315789473684E-2</v>
      </c>
      <c r="G3" s="62">
        <f>1/F3</f>
        <v>95</v>
      </c>
      <c r="H3" s="62">
        <f>D3*G3</f>
        <v>285</v>
      </c>
      <c r="I3" s="62">
        <f>(C3*C3)*E3*(1-F3)/B3</f>
        <v>80370</v>
      </c>
      <c r="J3" s="62">
        <f>I3/$I$8</f>
        <v>0.12467791886668433</v>
      </c>
      <c r="K3" s="62">
        <f>J3*J3/($B$3-1)</f>
        <v>3.8861458632318802E-3</v>
      </c>
    </row>
    <row r="4" spans="1:11" x14ac:dyDescent="0.2">
      <c r="A4" s="61" t="s">
        <v>308</v>
      </c>
      <c r="B4" s="62">
        <v>18</v>
      </c>
      <c r="C4" s="62">
        <v>1850</v>
      </c>
      <c r="D4" s="62">
        <v>19</v>
      </c>
      <c r="E4" s="63">
        <v>2.9967299999999999</v>
      </c>
      <c r="F4" s="62">
        <f>B4/C4</f>
        <v>9.7297297297297292E-3</v>
      </c>
      <c r="G4" s="62">
        <f>1/F4</f>
        <v>102.77777777777779</v>
      </c>
      <c r="H4" s="62">
        <f>D4*G4</f>
        <v>1952.7777777777778</v>
      </c>
      <c r="I4" s="62">
        <f>(C4*C4)*E4*(1-F4)/B4</f>
        <v>564250.96199999994</v>
      </c>
      <c r="J4" s="62">
        <f>I4/$I$8</f>
        <v>0.87532208113331567</v>
      </c>
      <c r="K4" s="62">
        <f>J4*J4/($B$3-1)</f>
        <v>0.19154718642988972</v>
      </c>
    </row>
    <row r="5" spans="1:11" x14ac:dyDescent="0.2">
      <c r="A5" s="61" t="s">
        <v>309</v>
      </c>
      <c r="B5" s="62"/>
      <c r="C5" s="62"/>
      <c r="D5" s="62"/>
      <c r="E5" s="63"/>
      <c r="F5" s="62"/>
      <c r="G5" s="62"/>
      <c r="H5" s="62"/>
      <c r="I5" s="62"/>
      <c r="J5" s="62"/>
      <c r="K5" s="62"/>
    </row>
    <row r="6" spans="1:11" x14ac:dyDescent="0.2">
      <c r="A6" s="61" t="s">
        <v>310</v>
      </c>
      <c r="B6" s="62"/>
      <c r="C6" s="62"/>
      <c r="D6" s="62"/>
      <c r="E6" s="63"/>
      <c r="F6" s="62"/>
      <c r="G6" s="62"/>
      <c r="H6" s="62"/>
      <c r="I6" s="62"/>
      <c r="J6" s="62"/>
      <c r="K6" s="62"/>
    </row>
    <row r="7" spans="1:11" x14ac:dyDescent="0.2">
      <c r="D7" s="59" t="s">
        <v>311</v>
      </c>
    </row>
    <row r="8" spans="1:11" x14ac:dyDescent="0.2">
      <c r="A8" s="61" t="s">
        <v>101</v>
      </c>
      <c r="F8" s="62">
        <f t="shared" ref="F8:K8" si="0">SUM(F3:F6)</f>
        <v>2.0256045519203413E-2</v>
      </c>
      <c r="G8" s="62">
        <f t="shared" si="0"/>
        <v>197.77777777777777</v>
      </c>
      <c r="H8" s="62">
        <f t="shared" si="0"/>
        <v>2237.7777777777778</v>
      </c>
      <c r="I8" s="62">
        <f t="shared" si="0"/>
        <v>644620.96199999994</v>
      </c>
      <c r="J8" s="62">
        <f t="shared" si="0"/>
        <v>1</v>
      </c>
      <c r="K8" s="62">
        <f t="shared" si="0"/>
        <v>0.1954333322931216</v>
      </c>
    </row>
    <row r="10" spans="1:11" x14ac:dyDescent="0.2">
      <c r="A10" s="61" t="s">
        <v>312</v>
      </c>
      <c r="C10" s="60" t="s">
        <v>313</v>
      </c>
      <c r="D10" s="63">
        <f>$H$8</f>
        <v>2237.7777777777778</v>
      </c>
      <c r="F10" s="61" t="s">
        <v>314</v>
      </c>
    </row>
    <row r="11" spans="1:11" x14ac:dyDescent="0.2">
      <c r="A11" s="61" t="s">
        <v>315</v>
      </c>
      <c r="C11" s="60" t="s">
        <v>316</v>
      </c>
      <c r="D11" s="62">
        <f>1/$K$8</f>
        <v>5.1168344123618859</v>
      </c>
      <c r="F11" s="61" t="s">
        <v>317</v>
      </c>
    </row>
    <row r="12" spans="1:11" x14ac:dyDescent="0.2">
      <c r="A12" s="61" t="s">
        <v>318</v>
      </c>
      <c r="F12" s="61" t="s">
        <v>319</v>
      </c>
    </row>
    <row r="13" spans="1:11" x14ac:dyDescent="0.2">
      <c r="A13" s="61"/>
      <c r="F13" s="61" t="s">
        <v>320</v>
      </c>
    </row>
    <row r="14" spans="1:11" x14ac:dyDescent="0.2">
      <c r="A14" s="60" t="s">
        <v>321</v>
      </c>
      <c r="B14" s="59">
        <f>(TDIST(0.95,D11,1))*10</f>
        <v>1.9286874449030322</v>
      </c>
      <c r="F14" s="61" t="s">
        <v>322</v>
      </c>
    </row>
    <row r="15" spans="1:11" ht="15.75" x14ac:dyDescent="0.25">
      <c r="A15" s="61" t="s">
        <v>323</v>
      </c>
      <c r="D15" s="64"/>
      <c r="E15" s="65"/>
      <c r="F15" s="65"/>
    </row>
    <row r="16" spans="1:11" x14ac:dyDescent="0.2">
      <c r="A16" s="60" t="s">
        <v>324</v>
      </c>
      <c r="B16" s="63">
        <f>$D$10+(B14)*SQRT($I$8)</f>
        <v>3786.2879598122136</v>
      </c>
      <c r="D16" s="60" t="s">
        <v>325</v>
      </c>
      <c r="E16" s="66">
        <f>$D$10</f>
        <v>2237.7777777777778</v>
      </c>
    </row>
    <row r="17" spans="1:35" x14ac:dyDescent="0.2">
      <c r="A17" s="60" t="s">
        <v>326</v>
      </c>
      <c r="B17" s="63">
        <f>$D$10-(B14)*SQRT($I$8)</f>
        <v>689.26759574334233</v>
      </c>
      <c r="D17" s="67" t="s">
        <v>327</v>
      </c>
      <c r="E17" s="66">
        <f>(B14)*SQRT($I$8)</f>
        <v>1548.5101820344355</v>
      </c>
    </row>
    <row r="19" spans="1:35" ht="13.5" thickBot="1" x14ac:dyDescent="0.25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</row>
    <row r="20" spans="1:35" ht="13.5" thickTop="1" x14ac:dyDescent="0.2">
      <c r="A20" s="69" t="s">
        <v>328</v>
      </c>
      <c r="L20" s="70"/>
    </row>
    <row r="21" spans="1:35" x14ac:dyDescent="0.2">
      <c r="A21" s="71" t="s">
        <v>331</v>
      </c>
      <c r="E21" s="71"/>
      <c r="I21" s="71"/>
      <c r="L21" s="70"/>
      <c r="M21" s="71"/>
      <c r="Q21" s="71"/>
    </row>
    <row r="22" spans="1:35" x14ac:dyDescent="0.2">
      <c r="A22" s="71" t="s">
        <v>61</v>
      </c>
      <c r="E22" s="71"/>
      <c r="I22" s="71"/>
      <c r="L22" s="70"/>
      <c r="M22" s="71"/>
      <c r="Q22" s="71"/>
    </row>
    <row r="23" spans="1:35" x14ac:dyDescent="0.2">
      <c r="A23" s="59" t="s">
        <v>323</v>
      </c>
      <c r="E23" s="59" t="s">
        <v>323</v>
      </c>
      <c r="I23" s="59" t="s">
        <v>323</v>
      </c>
      <c r="L23" s="70"/>
      <c r="M23" s="59" t="s">
        <v>323</v>
      </c>
      <c r="Q23" s="59" t="s">
        <v>323</v>
      </c>
    </row>
    <row r="24" spans="1:35" x14ac:dyDescent="0.2">
      <c r="A24" s="59" t="s">
        <v>325</v>
      </c>
      <c r="E24" s="59" t="s">
        <v>325</v>
      </c>
      <c r="I24" s="59" t="s">
        <v>325</v>
      </c>
      <c r="J24" s="72"/>
      <c r="L24" s="70"/>
      <c r="M24" s="59" t="s">
        <v>325</v>
      </c>
      <c r="Q24" s="59" t="s">
        <v>325</v>
      </c>
      <c r="R24" s="72"/>
    </row>
    <row r="25" spans="1:35" x14ac:dyDescent="0.2">
      <c r="A25" s="59" t="s">
        <v>327</v>
      </c>
      <c r="E25" s="59" t="s">
        <v>327</v>
      </c>
      <c r="I25" s="59" t="s">
        <v>327</v>
      </c>
      <c r="J25" s="72"/>
      <c r="L25" s="70"/>
      <c r="M25" s="59" t="s">
        <v>327</v>
      </c>
      <c r="Q25" s="59" t="s">
        <v>327</v>
      </c>
      <c r="R25" s="72"/>
    </row>
    <row r="26" spans="1:35" x14ac:dyDescent="0.2">
      <c r="L26" s="70"/>
    </row>
    <row r="27" spans="1:35" x14ac:dyDescent="0.2">
      <c r="L27" s="70"/>
    </row>
    <row r="28" spans="1:35" x14ac:dyDescent="0.2">
      <c r="A28" s="73" t="s">
        <v>329</v>
      </c>
      <c r="E28" s="73" t="s">
        <v>329</v>
      </c>
      <c r="I28" s="73" t="s">
        <v>329</v>
      </c>
      <c r="L28" s="70"/>
      <c r="M28" s="73" t="s">
        <v>329</v>
      </c>
      <c r="Q28" s="73" t="s">
        <v>329</v>
      </c>
    </row>
    <row r="29" spans="1:35" x14ac:dyDescent="0.2">
      <c r="A29" s="59" t="s">
        <v>323</v>
      </c>
      <c r="E29" s="59" t="s">
        <v>323</v>
      </c>
      <c r="I29" s="59" t="s">
        <v>323</v>
      </c>
      <c r="L29" s="70"/>
      <c r="M29" s="59" t="s">
        <v>323</v>
      </c>
      <c r="Q29" s="59" t="s">
        <v>323</v>
      </c>
    </row>
    <row r="30" spans="1:35" x14ac:dyDescent="0.2">
      <c r="A30" s="59" t="s">
        <v>325</v>
      </c>
      <c r="E30" s="59" t="s">
        <v>325</v>
      </c>
      <c r="I30" s="59" t="s">
        <v>325</v>
      </c>
      <c r="J30" s="72"/>
      <c r="L30" s="70"/>
      <c r="M30" s="59" t="s">
        <v>325</v>
      </c>
      <c r="Q30" s="59" t="s">
        <v>325</v>
      </c>
    </row>
    <row r="31" spans="1:35" x14ac:dyDescent="0.2">
      <c r="A31" s="59" t="s">
        <v>327</v>
      </c>
      <c r="E31" s="59" t="s">
        <v>327</v>
      </c>
      <c r="I31" s="59" t="s">
        <v>327</v>
      </c>
      <c r="J31" s="72"/>
      <c r="L31" s="70"/>
      <c r="M31" s="59" t="s">
        <v>327</v>
      </c>
      <c r="Q31" s="59" t="s">
        <v>327</v>
      </c>
    </row>
    <row r="32" spans="1:35" x14ac:dyDescent="0.2">
      <c r="L32" s="70"/>
    </row>
    <row r="33" spans="1:19" x14ac:dyDescent="0.2">
      <c r="A33" s="73" t="s">
        <v>330</v>
      </c>
      <c r="E33" s="73" t="s">
        <v>330</v>
      </c>
      <c r="I33" s="73" t="s">
        <v>330</v>
      </c>
      <c r="L33" s="70"/>
      <c r="M33" s="73" t="s">
        <v>330</v>
      </c>
      <c r="Q33" s="73" t="s">
        <v>330</v>
      </c>
    </row>
    <row r="34" spans="1:19" x14ac:dyDescent="0.2">
      <c r="A34" s="59" t="s">
        <v>323</v>
      </c>
      <c r="E34" s="59" t="s">
        <v>323</v>
      </c>
      <c r="I34" s="59" t="s">
        <v>323</v>
      </c>
      <c r="L34" s="70"/>
      <c r="M34" s="59" t="s">
        <v>323</v>
      </c>
      <c r="Q34" s="59" t="s">
        <v>323</v>
      </c>
    </row>
    <row r="35" spans="1:19" x14ac:dyDescent="0.2">
      <c r="A35" s="59" t="s">
        <v>325</v>
      </c>
      <c r="E35" s="59" t="s">
        <v>325</v>
      </c>
      <c r="I35" s="59" t="s">
        <v>325</v>
      </c>
      <c r="J35" s="66"/>
      <c r="L35" s="70"/>
      <c r="M35" s="59" t="s">
        <v>325</v>
      </c>
      <c r="Q35" s="59" t="s">
        <v>325</v>
      </c>
    </row>
    <row r="36" spans="1:19" x14ac:dyDescent="0.2">
      <c r="A36" s="59" t="s">
        <v>327</v>
      </c>
      <c r="E36" s="59" t="s">
        <v>327</v>
      </c>
      <c r="I36" s="59" t="s">
        <v>327</v>
      </c>
      <c r="J36" s="66"/>
      <c r="L36" s="70"/>
      <c r="M36" s="59" t="s">
        <v>327</v>
      </c>
      <c r="Q36" s="59" t="s">
        <v>327</v>
      </c>
    </row>
    <row r="37" spans="1:19" ht="13.5" thickBot="1" x14ac:dyDescent="0.25">
      <c r="A37" s="74"/>
      <c r="B37" s="75"/>
      <c r="E37" s="74"/>
      <c r="F37" s="75"/>
      <c r="G37" s="75"/>
      <c r="I37" s="74"/>
      <c r="J37" s="75"/>
      <c r="K37" s="75"/>
      <c r="L37" s="70"/>
      <c r="M37" s="74"/>
      <c r="N37" s="75"/>
      <c r="O37" s="75"/>
      <c r="Q37" s="75"/>
      <c r="R37" s="75"/>
      <c r="S37" s="75"/>
    </row>
    <row r="38" spans="1:19" x14ac:dyDescent="0.2">
      <c r="A38" s="69"/>
      <c r="L38" s="70"/>
    </row>
    <row r="39" spans="1:19" x14ac:dyDescent="0.2">
      <c r="A39" s="69"/>
      <c r="L39" s="70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937"/>
  <sheetViews>
    <sheetView topLeftCell="H19" zoomScale="80" zoomScaleNormal="80" workbookViewId="0">
      <selection activeCell="CD6" sqref="CD6"/>
    </sheetView>
  </sheetViews>
  <sheetFormatPr defaultRowHeight="12.75" x14ac:dyDescent="0.2"/>
  <cols>
    <col min="1" max="1" width="9.140625" style="19"/>
    <col min="2" max="2" width="16.28515625" style="19" customWidth="1"/>
    <col min="3" max="5" width="9.140625" style="19"/>
    <col min="6" max="6" width="9.140625" style="28"/>
    <col min="7" max="11" width="9.140625" style="24"/>
    <col min="12" max="12" width="9.140625" style="28"/>
    <col min="13" max="17" width="9.140625" style="19"/>
    <col min="18" max="18" width="9.140625" style="28"/>
    <col min="19" max="23" width="9.140625" style="19"/>
    <col min="24" max="24" width="9.140625" style="28"/>
    <col min="25" max="29" width="9.140625" style="19"/>
    <col min="30" max="30" width="9.140625" style="28"/>
    <col min="31" max="34" width="9.140625" style="19"/>
    <col min="35" max="36" width="9.140625" style="24"/>
    <col min="37" max="41" width="9.140625" style="19"/>
    <col min="42" max="42" width="9.140625" style="34"/>
    <col min="43" max="47" width="9.140625" style="19"/>
    <col min="48" max="48" width="9.140625" style="34"/>
    <col min="49" max="49" width="8.5703125" style="19" bestFit="1" customWidth="1"/>
    <col min="50" max="53" width="9.140625" style="19"/>
    <col min="54" max="54" width="9.140625" style="34"/>
    <col min="55" max="59" width="9.140625" style="19"/>
    <col min="60" max="60" width="9.140625" style="24"/>
    <col min="61" max="61" width="10.28515625" style="19" customWidth="1"/>
    <col min="62" max="66" width="9.140625" style="19"/>
    <col min="67" max="67" width="10.7109375" style="19" customWidth="1"/>
    <col min="68" max="72" width="9.140625" style="19"/>
    <col min="73" max="73" width="11.7109375" style="19" customWidth="1"/>
    <col min="74" max="16384" width="9.140625" style="19"/>
  </cols>
  <sheetData>
    <row r="1" spans="1:96" x14ac:dyDescent="0.2">
      <c r="A1" s="25" t="s">
        <v>100</v>
      </c>
      <c r="B1" s="26" t="s">
        <v>522</v>
      </c>
      <c r="C1" s="27">
        <v>2014</v>
      </c>
      <c r="D1" s="27"/>
      <c r="E1" s="27"/>
      <c r="G1" s="25" t="s">
        <v>100</v>
      </c>
      <c r="H1" s="26" t="s">
        <v>523</v>
      </c>
      <c r="I1" s="25"/>
      <c r="J1" s="25">
        <v>2014</v>
      </c>
      <c r="K1" s="25"/>
      <c r="L1" s="29"/>
      <c r="M1" s="27" t="s">
        <v>100</v>
      </c>
      <c r="N1" s="30" t="s">
        <v>525</v>
      </c>
      <c r="O1" s="27"/>
      <c r="P1" s="27"/>
      <c r="Q1" s="27"/>
      <c r="R1" s="29"/>
      <c r="S1" s="27" t="s">
        <v>100</v>
      </c>
      <c r="T1" s="30" t="s">
        <v>524</v>
      </c>
      <c r="U1" s="27"/>
      <c r="V1" s="27">
        <v>2014</v>
      </c>
      <c r="W1" s="27"/>
      <c r="Y1" s="27" t="s">
        <v>100</v>
      </c>
      <c r="Z1" s="30" t="s">
        <v>535</v>
      </c>
      <c r="AA1" s="27"/>
      <c r="AB1" s="27"/>
      <c r="AC1" s="27"/>
      <c r="AE1" s="31" t="s">
        <v>100</v>
      </c>
      <c r="AF1" s="32" t="s">
        <v>67</v>
      </c>
      <c r="AG1" s="31"/>
      <c r="AH1" s="31"/>
      <c r="AI1" s="33"/>
      <c r="AJ1" s="34"/>
      <c r="AK1" s="19" t="s">
        <v>100</v>
      </c>
      <c r="AL1" s="32" t="s">
        <v>443</v>
      </c>
      <c r="AQ1" s="19" t="s">
        <v>100</v>
      </c>
      <c r="AR1" s="32" t="s">
        <v>444</v>
      </c>
      <c r="AU1" s="24"/>
      <c r="AW1" s="19" t="s">
        <v>100</v>
      </c>
      <c r="AX1" s="35" t="s">
        <v>66</v>
      </c>
      <c r="AZ1" s="19">
        <v>2014</v>
      </c>
      <c r="BC1" s="19" t="s">
        <v>100</v>
      </c>
      <c r="BD1" s="35" t="s">
        <v>65</v>
      </c>
      <c r="BH1" s="34"/>
      <c r="BI1" s="19" t="s">
        <v>100</v>
      </c>
      <c r="BJ1" s="35" t="s">
        <v>64</v>
      </c>
      <c r="BN1" s="34"/>
      <c r="BO1" s="19" t="s">
        <v>100</v>
      </c>
      <c r="BP1" s="35" t="s">
        <v>540</v>
      </c>
      <c r="BR1" s="19">
        <v>2014</v>
      </c>
      <c r="BT1" s="34"/>
      <c r="BU1" s="19" t="s">
        <v>100</v>
      </c>
      <c r="BV1" s="35" t="s">
        <v>61</v>
      </c>
      <c r="BZ1" s="34"/>
      <c r="CB1" s="35"/>
      <c r="CF1" s="36"/>
      <c r="CH1" s="35"/>
      <c r="CL1" s="36"/>
      <c r="CN1" s="35"/>
      <c r="CR1" s="36"/>
    </row>
    <row r="2" spans="1:96" x14ac:dyDescent="0.2">
      <c r="A2" s="25" t="s">
        <v>101</v>
      </c>
      <c r="B2" s="12" t="s">
        <v>2</v>
      </c>
      <c r="C2" s="27"/>
      <c r="D2" s="27"/>
      <c r="E2" s="27"/>
      <c r="G2" s="25" t="s">
        <v>101</v>
      </c>
      <c r="H2" s="103" t="s">
        <v>2</v>
      </c>
      <c r="I2" s="25"/>
      <c r="J2" s="25"/>
      <c r="K2" s="25"/>
      <c r="L2" s="29"/>
      <c r="M2" s="27" t="s">
        <v>101</v>
      </c>
      <c r="N2" s="12" t="s">
        <v>2</v>
      </c>
      <c r="O2" s="27"/>
      <c r="P2" s="27"/>
      <c r="Q2" s="27"/>
      <c r="R2" s="29"/>
      <c r="S2" s="27" t="s">
        <v>101</v>
      </c>
      <c r="T2" s="12" t="s">
        <v>2</v>
      </c>
      <c r="U2" s="27"/>
      <c r="V2" s="27"/>
      <c r="W2" s="27"/>
      <c r="Y2" s="27" t="s">
        <v>101</v>
      </c>
      <c r="Z2" s="12" t="s">
        <v>2</v>
      </c>
      <c r="AA2" s="27"/>
      <c r="AB2" s="27"/>
      <c r="AC2" s="27"/>
      <c r="AE2" s="31" t="s">
        <v>101</v>
      </c>
      <c r="AF2" s="12" t="s">
        <v>2</v>
      </c>
      <c r="AG2" s="31"/>
      <c r="AH2" s="31"/>
      <c r="AI2" s="33"/>
      <c r="AJ2" s="34"/>
      <c r="AL2" s="12" t="s">
        <v>2</v>
      </c>
      <c r="AR2" s="12" t="s">
        <v>2</v>
      </c>
      <c r="AU2" s="24"/>
      <c r="AX2" s="12" t="s">
        <v>2</v>
      </c>
      <c r="BD2" s="12" t="s">
        <v>2</v>
      </c>
      <c r="BH2" s="34"/>
      <c r="BJ2" s="12" t="s">
        <v>2</v>
      </c>
      <c r="BN2" s="34"/>
      <c r="BP2" s="12" t="s">
        <v>2</v>
      </c>
      <c r="BT2" s="34"/>
      <c r="BV2" s="12" t="s">
        <v>1</v>
      </c>
      <c r="BZ2" s="34"/>
      <c r="CF2" s="36"/>
      <c r="CL2" s="36"/>
      <c r="CR2" s="36"/>
    </row>
    <row r="3" spans="1:96" x14ac:dyDescent="0.2">
      <c r="A3" s="25" t="s">
        <v>102</v>
      </c>
      <c r="B3" s="25" t="s">
        <v>71</v>
      </c>
      <c r="C3" s="27" t="s">
        <v>103</v>
      </c>
      <c r="D3" s="27" t="s">
        <v>104</v>
      </c>
      <c r="E3" s="27"/>
      <c r="G3" s="25" t="s">
        <v>102</v>
      </c>
      <c r="H3" s="25" t="s">
        <v>71</v>
      </c>
      <c r="I3" s="25" t="s">
        <v>103</v>
      </c>
      <c r="J3" s="25" t="s">
        <v>104</v>
      </c>
      <c r="K3" s="25"/>
      <c r="L3" s="29"/>
      <c r="M3" s="27" t="s">
        <v>102</v>
      </c>
      <c r="N3" s="27" t="s">
        <v>71</v>
      </c>
      <c r="O3" s="27" t="s">
        <v>103</v>
      </c>
      <c r="P3" s="27" t="s">
        <v>104</v>
      </c>
      <c r="Q3" s="27"/>
      <c r="R3" s="29"/>
      <c r="S3" s="27" t="s">
        <v>102</v>
      </c>
      <c r="T3" s="27" t="s">
        <v>71</v>
      </c>
      <c r="U3" s="27" t="s">
        <v>103</v>
      </c>
      <c r="V3" s="27" t="s">
        <v>104</v>
      </c>
      <c r="W3" s="27"/>
      <c r="Y3" s="27" t="s">
        <v>105</v>
      </c>
      <c r="Z3" s="27" t="s">
        <v>71</v>
      </c>
      <c r="AA3" s="27" t="s">
        <v>103</v>
      </c>
      <c r="AB3" s="27" t="s">
        <v>104</v>
      </c>
      <c r="AC3" s="27"/>
      <c r="AE3" s="31" t="s">
        <v>102</v>
      </c>
      <c r="AF3" s="31" t="s">
        <v>71</v>
      </c>
      <c r="AG3" s="31" t="s">
        <v>103</v>
      </c>
      <c r="AH3" s="31" t="s">
        <v>104</v>
      </c>
      <c r="AI3" s="33"/>
      <c r="AJ3" s="34"/>
      <c r="AK3" s="31" t="s">
        <v>102</v>
      </c>
      <c r="AL3" s="31" t="s">
        <v>71</v>
      </c>
      <c r="AM3" s="31" t="s">
        <v>103</v>
      </c>
      <c r="AN3" s="31" t="s">
        <v>104</v>
      </c>
      <c r="AO3" s="31"/>
      <c r="AQ3" s="31" t="s">
        <v>102</v>
      </c>
      <c r="AR3" s="31" t="s">
        <v>71</v>
      </c>
      <c r="AS3" s="31" t="s">
        <v>103</v>
      </c>
      <c r="AT3" s="31" t="s">
        <v>104</v>
      </c>
      <c r="AU3" s="33"/>
      <c r="AW3" s="31" t="s">
        <v>102</v>
      </c>
      <c r="AX3" s="31" t="s">
        <v>71</v>
      </c>
      <c r="AY3" s="31" t="s">
        <v>103</v>
      </c>
      <c r="AZ3" s="31" t="s">
        <v>104</v>
      </c>
      <c r="BC3" s="31" t="s">
        <v>102</v>
      </c>
      <c r="BD3" s="31" t="s">
        <v>71</v>
      </c>
      <c r="BE3" s="31" t="s">
        <v>103</v>
      </c>
      <c r="BF3" s="31" t="s">
        <v>104</v>
      </c>
      <c r="BH3" s="34"/>
      <c r="BI3" s="31" t="s">
        <v>102</v>
      </c>
      <c r="BJ3" s="31" t="s">
        <v>71</v>
      </c>
      <c r="BK3" s="31" t="s">
        <v>103</v>
      </c>
      <c r="BL3" s="31" t="s">
        <v>104</v>
      </c>
      <c r="BN3" s="34"/>
      <c r="BO3" s="31" t="s">
        <v>102</v>
      </c>
      <c r="BP3" s="31" t="s">
        <v>71</v>
      </c>
      <c r="BQ3" s="31" t="s">
        <v>103</v>
      </c>
      <c r="BR3" s="31" t="s">
        <v>104</v>
      </c>
      <c r="BT3" s="34"/>
      <c r="BU3" s="31" t="s">
        <v>102</v>
      </c>
      <c r="BV3" s="31" t="s">
        <v>71</v>
      </c>
      <c r="BW3" s="31" t="s">
        <v>103</v>
      </c>
      <c r="BX3" s="31" t="s">
        <v>104</v>
      </c>
      <c r="BZ3" s="34"/>
      <c r="CA3" s="31"/>
      <c r="CB3" s="31"/>
      <c r="CC3" s="31"/>
      <c r="CD3" s="31"/>
      <c r="CF3" s="36"/>
      <c r="CG3" s="31"/>
      <c r="CH3" s="31"/>
      <c r="CI3" s="31"/>
      <c r="CJ3" s="31"/>
      <c r="CL3" s="36"/>
      <c r="CM3" s="31"/>
      <c r="CN3" s="31"/>
      <c r="CO3" s="31"/>
      <c r="CP3" s="31"/>
      <c r="CR3" s="36"/>
    </row>
    <row r="4" spans="1:96" ht="15" x14ac:dyDescent="0.25">
      <c r="A4" s="23" t="s">
        <v>510</v>
      </c>
      <c r="B4">
        <v>2</v>
      </c>
      <c r="C4" s="27" t="s">
        <v>106</v>
      </c>
      <c r="D4" s="19">
        <f>SUM(B4:B6)</f>
        <v>20</v>
      </c>
      <c r="G4" s="104" t="s">
        <v>513</v>
      </c>
      <c r="H4" s="105">
        <v>43</v>
      </c>
      <c r="I4" s="25" t="s">
        <v>106</v>
      </c>
      <c r="J4" s="25">
        <f>SUM(H4:H13)</f>
        <v>256</v>
      </c>
      <c r="K4" s="25"/>
      <c r="L4" s="29"/>
      <c r="M4" s="23" t="s">
        <v>394</v>
      </c>
      <c r="N4">
        <v>15</v>
      </c>
      <c r="O4" s="27" t="s">
        <v>106</v>
      </c>
      <c r="P4" s="27">
        <f>SUM(N4:N8)</f>
        <v>59</v>
      </c>
      <c r="Q4" s="27"/>
      <c r="R4" s="29"/>
      <c r="S4" s="23" t="s">
        <v>489</v>
      </c>
      <c r="T4">
        <v>10</v>
      </c>
      <c r="U4" s="31" t="s">
        <v>106</v>
      </c>
      <c r="V4" s="27">
        <f>SUM(T4:T21)</f>
        <v>170</v>
      </c>
      <c r="W4" s="27"/>
      <c r="Y4" s="23" t="s">
        <v>476</v>
      </c>
      <c r="Z4">
        <v>2</v>
      </c>
      <c r="AA4" s="27" t="s">
        <v>106</v>
      </c>
      <c r="AB4" s="27">
        <f>SUM(Z4:Z13)</f>
        <v>36</v>
      </c>
      <c r="AC4" s="27"/>
      <c r="AE4" s="23" t="s">
        <v>453</v>
      </c>
      <c r="AF4">
        <v>7</v>
      </c>
      <c r="AG4" s="31" t="s">
        <v>106</v>
      </c>
      <c r="AH4" s="31">
        <f>SUM(AF4:AF28)</f>
        <v>294</v>
      </c>
      <c r="AI4" s="33"/>
      <c r="AJ4" s="34"/>
      <c r="AK4" s="23" t="s">
        <v>332</v>
      </c>
      <c r="AL4">
        <v>6</v>
      </c>
      <c r="AM4" s="31" t="s">
        <v>106</v>
      </c>
      <c r="AN4" s="31">
        <f>SUM(AL4:AL17)</f>
        <v>142</v>
      </c>
      <c r="AO4" s="31"/>
      <c r="AQ4" s="23" t="s">
        <v>344</v>
      </c>
      <c r="AR4">
        <v>9</v>
      </c>
      <c r="AS4" s="31" t="s">
        <v>106</v>
      </c>
      <c r="AT4" s="31">
        <f>SUM(AR4:AR13)</f>
        <v>49</v>
      </c>
      <c r="AU4" s="33"/>
      <c r="AW4" s="23" t="s">
        <v>353</v>
      </c>
      <c r="AX4">
        <v>6</v>
      </c>
      <c r="AY4" s="31" t="s">
        <v>106</v>
      </c>
      <c r="AZ4" s="31">
        <f>SUM(AX4:AX19)</f>
        <v>100</v>
      </c>
      <c r="BC4" s="23" t="s">
        <v>368</v>
      </c>
      <c r="BD4">
        <v>18</v>
      </c>
      <c r="BE4" s="31" t="s">
        <v>106</v>
      </c>
      <c r="BF4" s="31">
        <f>SUM(BD4:BD16)</f>
        <v>131</v>
      </c>
      <c r="BH4" s="34"/>
      <c r="BI4" s="23" t="s">
        <v>380</v>
      </c>
      <c r="BJ4">
        <v>9</v>
      </c>
      <c r="BK4" s="31" t="s">
        <v>106</v>
      </c>
      <c r="BL4" s="31">
        <f>SUM(BJ4:BJ15)</f>
        <v>109</v>
      </c>
      <c r="BN4" s="34"/>
      <c r="BO4" s="23" t="s">
        <v>390</v>
      </c>
      <c r="BP4">
        <v>6</v>
      </c>
      <c r="BQ4" s="31" t="s">
        <v>106</v>
      </c>
      <c r="BR4" s="31">
        <f>SUM(BP4:BP22)</f>
        <v>184</v>
      </c>
      <c r="BT4" s="34"/>
      <c r="BU4" s="23" t="s">
        <v>412</v>
      </c>
      <c r="BV4" s="22">
        <v>0</v>
      </c>
      <c r="BW4" s="31" t="s">
        <v>106</v>
      </c>
      <c r="BX4" s="31">
        <f>SUM(BV4:BV28)</f>
        <v>19</v>
      </c>
      <c r="BZ4" s="34"/>
      <c r="CA4" s="38"/>
      <c r="CC4" s="31"/>
      <c r="CD4" s="31"/>
      <c r="CF4" s="36"/>
      <c r="CG4" s="44"/>
      <c r="CI4" s="31"/>
      <c r="CJ4" s="31"/>
      <c r="CL4" s="36"/>
      <c r="CM4" s="44"/>
      <c r="CO4" s="31"/>
      <c r="CP4" s="31"/>
      <c r="CR4" s="36"/>
    </row>
    <row r="5" spans="1:96" ht="15" x14ac:dyDescent="0.25">
      <c r="A5" s="23" t="s">
        <v>511</v>
      </c>
      <c r="B5">
        <v>5</v>
      </c>
      <c r="C5" s="27" t="s">
        <v>115</v>
      </c>
      <c r="D5" s="19">
        <f>MIN(B4:B6)</f>
        <v>2</v>
      </c>
      <c r="G5" s="104" t="s">
        <v>514</v>
      </c>
      <c r="H5" s="105">
        <v>22</v>
      </c>
      <c r="I5" s="25" t="s">
        <v>115</v>
      </c>
      <c r="J5" s="25">
        <f>MIN(H4:H13)</f>
        <v>7</v>
      </c>
      <c r="K5" s="25"/>
      <c r="L5" s="29"/>
      <c r="M5" s="23" t="s">
        <v>485</v>
      </c>
      <c r="N5">
        <v>4</v>
      </c>
      <c r="O5" s="27" t="s">
        <v>115</v>
      </c>
      <c r="P5" s="27">
        <f>MIN(N4:N8)</f>
        <v>4</v>
      </c>
      <c r="Q5" s="27"/>
      <c r="R5" s="29"/>
      <c r="S5" s="23" t="s">
        <v>490</v>
      </c>
      <c r="T5">
        <v>25</v>
      </c>
      <c r="U5" s="31" t="s">
        <v>115</v>
      </c>
      <c r="V5" s="27">
        <f>MIN(T4:T21)</f>
        <v>0</v>
      </c>
      <c r="W5" s="27"/>
      <c r="Y5" s="23" t="s">
        <v>477</v>
      </c>
      <c r="Z5">
        <v>2</v>
      </c>
      <c r="AA5" s="27" t="s">
        <v>115</v>
      </c>
      <c r="AB5" s="27">
        <f>MIN(Z4:Z13)</f>
        <v>1</v>
      </c>
      <c r="AC5" s="27"/>
      <c r="AE5" s="23" t="s">
        <v>454</v>
      </c>
      <c r="AF5">
        <v>1</v>
      </c>
      <c r="AG5" s="31" t="s">
        <v>115</v>
      </c>
      <c r="AH5" s="31">
        <f>MIN(AF4:AF28)</f>
        <v>1</v>
      </c>
      <c r="AI5" s="33"/>
      <c r="AJ5" s="34"/>
      <c r="AK5" s="23" t="s">
        <v>333</v>
      </c>
      <c r="AL5">
        <v>3</v>
      </c>
      <c r="AM5" s="31" t="s">
        <v>115</v>
      </c>
      <c r="AN5" s="31">
        <f>MIN(AL4:AL17)</f>
        <v>3</v>
      </c>
      <c r="AO5" s="31"/>
      <c r="AQ5" s="23" t="s">
        <v>345</v>
      </c>
      <c r="AR5">
        <v>13</v>
      </c>
      <c r="AS5" s="31" t="s">
        <v>115</v>
      </c>
      <c r="AT5" s="31">
        <f>MIN(AR4:AR13)</f>
        <v>0</v>
      </c>
      <c r="AU5" s="33"/>
      <c r="AW5" s="23" t="s">
        <v>354</v>
      </c>
      <c r="AX5">
        <v>5</v>
      </c>
      <c r="AY5" s="31" t="s">
        <v>115</v>
      </c>
      <c r="AZ5" s="31">
        <f>MIN(AX4:AX19)</f>
        <v>1</v>
      </c>
      <c r="BC5" s="23" t="s">
        <v>369</v>
      </c>
      <c r="BD5">
        <v>17</v>
      </c>
      <c r="BE5" s="31" t="s">
        <v>115</v>
      </c>
      <c r="BF5" s="31">
        <f>MIN(BD4:BD16)</f>
        <v>0</v>
      </c>
      <c r="BH5" s="34"/>
      <c r="BI5" s="23" t="s">
        <v>381</v>
      </c>
      <c r="BJ5">
        <v>26</v>
      </c>
      <c r="BK5" s="31" t="s">
        <v>115</v>
      </c>
      <c r="BL5" s="31">
        <f>MIN(BJ4:BJ15)</f>
        <v>0</v>
      </c>
      <c r="BN5" s="34"/>
      <c r="BO5" s="23" t="s">
        <v>391</v>
      </c>
      <c r="BP5">
        <v>1</v>
      </c>
      <c r="BQ5" s="31" t="s">
        <v>115</v>
      </c>
      <c r="BR5" s="31">
        <f>MIN(BP4:BP22)</f>
        <v>1</v>
      </c>
      <c r="BT5" s="34"/>
      <c r="BU5" s="22" t="s">
        <v>244</v>
      </c>
      <c r="BV5" s="22">
        <v>0</v>
      </c>
      <c r="BW5" s="31" t="s">
        <v>115</v>
      </c>
      <c r="BX5" s="31">
        <f>MIN(BV4:BV28)</f>
        <v>0</v>
      </c>
      <c r="BZ5" s="34"/>
      <c r="CA5" s="38"/>
      <c r="CC5" s="31"/>
      <c r="CD5" s="31"/>
      <c r="CF5" s="36"/>
      <c r="CG5" s="44"/>
      <c r="CI5" s="31"/>
      <c r="CJ5" s="31"/>
      <c r="CL5" s="36"/>
      <c r="CM5" s="44"/>
      <c r="CO5" s="31"/>
      <c r="CP5" s="31"/>
      <c r="CR5" s="36"/>
    </row>
    <row r="6" spans="1:96" ht="15" x14ac:dyDescent="0.25">
      <c r="A6" s="23" t="s">
        <v>512</v>
      </c>
      <c r="B6">
        <v>13</v>
      </c>
      <c r="C6" s="27" t="s">
        <v>122</v>
      </c>
      <c r="D6" s="19">
        <f>MAX(B4:B6)</f>
        <v>13</v>
      </c>
      <c r="G6" s="104" t="s">
        <v>515</v>
      </c>
      <c r="H6" s="105">
        <v>31</v>
      </c>
      <c r="I6" s="25" t="s">
        <v>122</v>
      </c>
      <c r="J6" s="25">
        <f>MAX(H4:H13)</f>
        <v>43</v>
      </c>
      <c r="K6" s="25"/>
      <c r="L6" s="29"/>
      <c r="M6" s="23" t="s">
        <v>486</v>
      </c>
      <c r="N6">
        <v>6</v>
      </c>
      <c r="O6" s="27" t="s">
        <v>122</v>
      </c>
      <c r="P6" s="27">
        <f>MAX(N4:N8)</f>
        <v>30</v>
      </c>
      <c r="Q6" s="27"/>
      <c r="R6" s="29"/>
      <c r="S6" s="23" t="s">
        <v>491</v>
      </c>
      <c r="T6">
        <v>19</v>
      </c>
      <c r="U6" s="31" t="s">
        <v>122</v>
      </c>
      <c r="V6" s="27">
        <f>MAX(T4:T21)</f>
        <v>25</v>
      </c>
      <c r="W6" s="27"/>
      <c r="Y6" s="23" t="s">
        <v>478</v>
      </c>
      <c r="Z6">
        <v>3</v>
      </c>
      <c r="AA6" s="27" t="s">
        <v>122</v>
      </c>
      <c r="AB6" s="27">
        <f>MAX(Z4:Z13)</f>
        <v>8</v>
      </c>
      <c r="AC6" s="27"/>
      <c r="AE6" s="23" t="s">
        <v>455</v>
      </c>
      <c r="AF6">
        <v>23</v>
      </c>
      <c r="AG6" s="31" t="s">
        <v>122</v>
      </c>
      <c r="AH6" s="31">
        <f>MAX(AF4:AF28)</f>
        <v>30</v>
      </c>
      <c r="AI6" s="33"/>
      <c r="AJ6" s="34"/>
      <c r="AK6" s="23" t="s">
        <v>334</v>
      </c>
      <c r="AL6">
        <v>10</v>
      </c>
      <c r="AM6" s="31" t="s">
        <v>122</v>
      </c>
      <c r="AN6" s="31">
        <f>MAX(AL4:AL17)</f>
        <v>38</v>
      </c>
      <c r="AO6" s="31"/>
      <c r="AQ6" s="23" t="s">
        <v>262</v>
      </c>
      <c r="AR6">
        <v>5</v>
      </c>
      <c r="AS6" s="31" t="s">
        <v>122</v>
      </c>
      <c r="AT6" s="31">
        <f>MAX(AR4:AR13)</f>
        <v>13</v>
      </c>
      <c r="AU6" s="33"/>
      <c r="AW6" s="23" t="s">
        <v>216</v>
      </c>
      <c r="AX6">
        <v>7</v>
      </c>
      <c r="AY6" s="31" t="s">
        <v>122</v>
      </c>
      <c r="AZ6" s="31">
        <f>MAX(AX4:AX19)</f>
        <v>13</v>
      </c>
      <c r="BC6" s="23" t="s">
        <v>370</v>
      </c>
      <c r="BD6">
        <v>2</v>
      </c>
      <c r="BE6" s="31" t="s">
        <v>122</v>
      </c>
      <c r="BF6" s="31">
        <f>MAX(BD4:BD16)</f>
        <v>22</v>
      </c>
      <c r="BH6" s="34"/>
      <c r="BI6" s="23" t="s">
        <v>382</v>
      </c>
      <c r="BJ6">
        <v>9</v>
      </c>
      <c r="BK6" s="31" t="s">
        <v>122</v>
      </c>
      <c r="BL6" s="31">
        <f>MAX(BJ4:BJ15)</f>
        <v>26</v>
      </c>
      <c r="BN6" s="34"/>
      <c r="BO6" s="23" t="s">
        <v>392</v>
      </c>
      <c r="BP6">
        <v>6</v>
      </c>
      <c r="BQ6" s="31" t="s">
        <v>122</v>
      </c>
      <c r="BR6" s="31">
        <f>MAX(BP4:BP22)</f>
        <v>26</v>
      </c>
      <c r="BT6" s="34"/>
      <c r="BU6" s="22" t="s">
        <v>119</v>
      </c>
      <c r="BV6" s="22">
        <v>0</v>
      </c>
      <c r="BW6" s="31" t="s">
        <v>122</v>
      </c>
      <c r="BX6" s="31">
        <f>MAX(BV4:BV28)</f>
        <v>4</v>
      </c>
      <c r="BZ6" s="34"/>
      <c r="CA6" s="38"/>
      <c r="CC6" s="31"/>
      <c r="CD6" s="31"/>
      <c r="CF6" s="36"/>
      <c r="CG6" s="44"/>
      <c r="CI6" s="31"/>
      <c r="CJ6" s="31"/>
      <c r="CL6" s="36"/>
      <c r="CM6" s="44"/>
      <c r="CO6" s="31"/>
      <c r="CP6" s="31"/>
      <c r="CR6" s="36"/>
    </row>
    <row r="7" spans="1:96" ht="15" x14ac:dyDescent="0.25">
      <c r="A7" s="23"/>
      <c r="B7" s="40"/>
      <c r="C7" s="27" t="s">
        <v>129</v>
      </c>
      <c r="D7" s="19">
        <f>VAR(B4:B6)</f>
        <v>32.333333333333329</v>
      </c>
      <c r="G7" s="104" t="s">
        <v>516</v>
      </c>
      <c r="H7" s="105">
        <v>19</v>
      </c>
      <c r="I7" s="25" t="s">
        <v>129</v>
      </c>
      <c r="J7" s="25">
        <f>VAR(H4:H13)</f>
        <v>121.82222222222218</v>
      </c>
      <c r="K7" s="25"/>
      <c r="L7" s="29"/>
      <c r="M7" s="23" t="s">
        <v>487</v>
      </c>
      <c r="N7">
        <v>30</v>
      </c>
      <c r="O7" s="27" t="s">
        <v>129</v>
      </c>
      <c r="P7" s="27">
        <f>VAR(N4:N8)</f>
        <v>124.19999999999999</v>
      </c>
      <c r="Q7" s="27"/>
      <c r="R7" s="29"/>
      <c r="S7" s="23" t="s">
        <v>492</v>
      </c>
      <c r="T7">
        <v>6</v>
      </c>
      <c r="U7" s="31" t="s">
        <v>129</v>
      </c>
      <c r="V7" s="27">
        <f>VAR(T4:T21)</f>
        <v>54.732026143790847</v>
      </c>
      <c r="W7" s="27"/>
      <c r="Y7" s="23" t="s">
        <v>479</v>
      </c>
      <c r="Z7">
        <v>3</v>
      </c>
      <c r="AA7" s="27" t="s">
        <v>129</v>
      </c>
      <c r="AB7" s="27">
        <f>VAR(Z4:Z13)</f>
        <v>5.1555555555555559</v>
      </c>
      <c r="AC7" s="27"/>
      <c r="AE7" s="23" t="s">
        <v>456</v>
      </c>
      <c r="AF7">
        <v>22</v>
      </c>
      <c r="AG7" s="31" t="s">
        <v>129</v>
      </c>
      <c r="AH7" s="31">
        <f>VAR(AF4:AF28)</f>
        <v>51.69</v>
      </c>
      <c r="AI7" s="33"/>
      <c r="AJ7" s="34"/>
      <c r="AK7" s="23" t="s">
        <v>335</v>
      </c>
      <c r="AL7">
        <v>6</v>
      </c>
      <c r="AM7" s="31" t="s">
        <v>129</v>
      </c>
      <c r="AN7" s="31">
        <f>VAR(AL4:AL17)</f>
        <v>89.054945054945065</v>
      </c>
      <c r="AO7" s="31"/>
      <c r="AQ7" s="23" t="s">
        <v>346</v>
      </c>
      <c r="AR7">
        <v>7</v>
      </c>
      <c r="AS7" s="31" t="s">
        <v>129</v>
      </c>
      <c r="AT7" s="31">
        <f>VAR(AR4:AR13)</f>
        <v>21.211111111111112</v>
      </c>
      <c r="AU7" s="33"/>
      <c r="AW7" s="23" t="s">
        <v>355</v>
      </c>
      <c r="AX7">
        <v>13</v>
      </c>
      <c r="AY7" s="31" t="s">
        <v>129</v>
      </c>
      <c r="AZ7" s="31">
        <f>VAR(AX4:AX19)</f>
        <v>11.4</v>
      </c>
      <c r="BC7" s="23" t="s">
        <v>215</v>
      </c>
      <c r="BD7">
        <v>5</v>
      </c>
      <c r="BE7" s="31" t="s">
        <v>129</v>
      </c>
      <c r="BF7" s="31">
        <f>VAR(BD4:BD16)</f>
        <v>61.410256410256409</v>
      </c>
      <c r="BH7" s="34"/>
      <c r="BI7" s="23" t="s">
        <v>383</v>
      </c>
      <c r="BJ7">
        <v>9</v>
      </c>
      <c r="BK7" s="31" t="s">
        <v>129</v>
      </c>
      <c r="BL7" s="31">
        <f>VAR(BJ4:BJ15)</f>
        <v>41.901515151515149</v>
      </c>
      <c r="BN7" s="34"/>
      <c r="BO7" s="23" t="s">
        <v>393</v>
      </c>
      <c r="BP7">
        <v>2</v>
      </c>
      <c r="BQ7" s="31" t="s">
        <v>129</v>
      </c>
      <c r="BR7" s="31">
        <f>VAR(BP4:BP22)</f>
        <v>49.672514619883046</v>
      </c>
      <c r="BT7" s="34"/>
      <c r="BU7" s="22" t="s">
        <v>413</v>
      </c>
      <c r="BV7" s="22">
        <v>0</v>
      </c>
      <c r="BW7" s="31" t="s">
        <v>129</v>
      </c>
      <c r="BX7" s="31">
        <f>VAR(BV4:BV28)</f>
        <v>1.1066666666666667</v>
      </c>
      <c r="BZ7" s="34"/>
      <c r="CA7" s="38"/>
      <c r="CC7" s="31"/>
      <c r="CD7" s="31"/>
      <c r="CF7" s="36"/>
      <c r="CG7" s="44"/>
      <c r="CI7" s="31"/>
      <c r="CJ7" s="31"/>
      <c r="CL7" s="36"/>
      <c r="CM7" s="44"/>
      <c r="CO7" s="31"/>
      <c r="CP7" s="31"/>
      <c r="CR7" s="36"/>
    </row>
    <row r="8" spans="1:96" ht="15" x14ac:dyDescent="0.25">
      <c r="A8" s="23"/>
      <c r="B8" s="40"/>
      <c r="C8" s="27" t="s">
        <v>138</v>
      </c>
      <c r="D8" s="19">
        <f>AVERAGE(B4:B6)</f>
        <v>6.666666666666667</v>
      </c>
      <c r="G8" s="104" t="s">
        <v>517</v>
      </c>
      <c r="H8" s="105">
        <v>7</v>
      </c>
      <c r="I8" s="25" t="s">
        <v>138</v>
      </c>
      <c r="J8" s="25">
        <f>AVERAGE(H4:H13)</f>
        <v>25.6</v>
      </c>
      <c r="K8" s="25"/>
      <c r="L8" s="29"/>
      <c r="M8" s="23" t="s">
        <v>488</v>
      </c>
      <c r="N8">
        <v>4</v>
      </c>
      <c r="O8" s="27" t="s">
        <v>138</v>
      </c>
      <c r="P8" s="27">
        <f>AVERAGE(N4:N8)</f>
        <v>11.8</v>
      </c>
      <c r="Q8" s="27"/>
      <c r="R8" s="29"/>
      <c r="S8" s="23" t="s">
        <v>493</v>
      </c>
      <c r="T8">
        <v>25</v>
      </c>
      <c r="U8" s="31" t="s">
        <v>138</v>
      </c>
      <c r="V8" s="27">
        <f>AVERAGE(T4:T21)</f>
        <v>9.4444444444444446</v>
      </c>
      <c r="W8" s="27"/>
      <c r="Y8" s="23" t="s">
        <v>480</v>
      </c>
      <c r="Z8">
        <v>2</v>
      </c>
      <c r="AA8" s="27" t="s">
        <v>138</v>
      </c>
      <c r="AB8" s="27">
        <f>AVERAGE(Z4:Z13)</f>
        <v>3.6</v>
      </c>
      <c r="AC8" s="27"/>
      <c r="AE8" s="23" t="s">
        <v>259</v>
      </c>
      <c r="AF8">
        <v>15</v>
      </c>
      <c r="AG8" s="31" t="s">
        <v>138</v>
      </c>
      <c r="AH8" s="31">
        <f>AVERAGE(AF4:AF28)</f>
        <v>11.76</v>
      </c>
      <c r="AI8" s="33"/>
      <c r="AJ8" s="34"/>
      <c r="AK8" s="23" t="s">
        <v>336</v>
      </c>
      <c r="AL8">
        <v>5</v>
      </c>
      <c r="AM8" s="31" t="s">
        <v>138</v>
      </c>
      <c r="AN8" s="31">
        <f>AVERAGE(AL4:AL17)</f>
        <v>10.142857142857142</v>
      </c>
      <c r="AO8" s="31"/>
      <c r="AQ8" s="23" t="s">
        <v>347</v>
      </c>
      <c r="AR8">
        <v>5</v>
      </c>
      <c r="AS8" s="31" t="s">
        <v>138</v>
      </c>
      <c r="AT8" s="31">
        <f>AVERAGE(AR4:AR13)</f>
        <v>4.9000000000000004</v>
      </c>
      <c r="AU8" s="33"/>
      <c r="AW8" s="23" t="s">
        <v>356</v>
      </c>
      <c r="AX8">
        <v>10</v>
      </c>
      <c r="AY8" s="31" t="s">
        <v>138</v>
      </c>
      <c r="AZ8" s="31">
        <f>AVERAGE(AX4:AX19)</f>
        <v>6.25</v>
      </c>
      <c r="BC8" s="23" t="s">
        <v>371</v>
      </c>
      <c r="BD8">
        <v>16</v>
      </c>
      <c r="BE8" s="31" t="s">
        <v>138</v>
      </c>
      <c r="BF8" s="31">
        <f>AVERAGE(BD4:BD16)</f>
        <v>10.076923076923077</v>
      </c>
      <c r="BH8" s="34"/>
      <c r="BI8" s="23" t="s">
        <v>384</v>
      </c>
      <c r="BJ8">
        <v>13</v>
      </c>
      <c r="BK8" s="31" t="s">
        <v>138</v>
      </c>
      <c r="BL8" s="31">
        <f>AVERAGE(BJ4:BJ15)</f>
        <v>9.0833333333333339</v>
      </c>
      <c r="BN8" s="34"/>
      <c r="BO8" s="23" t="s">
        <v>394</v>
      </c>
      <c r="BP8">
        <v>5</v>
      </c>
      <c r="BQ8" s="31" t="s">
        <v>138</v>
      </c>
      <c r="BR8" s="31">
        <f>AVERAGE(BP4:BP22)</f>
        <v>9.6842105263157894</v>
      </c>
      <c r="BT8" s="34"/>
      <c r="BU8" s="22" t="s">
        <v>414</v>
      </c>
      <c r="BV8" s="22">
        <v>0</v>
      </c>
      <c r="BW8" s="31" t="s">
        <v>138</v>
      </c>
      <c r="BX8" s="31">
        <f>AVERAGE(BV4:BV28)</f>
        <v>0.76</v>
      </c>
      <c r="BZ8" s="34"/>
      <c r="CA8" s="38"/>
      <c r="CC8" s="31"/>
      <c r="CD8" s="31"/>
      <c r="CF8" s="36"/>
      <c r="CG8" s="44"/>
      <c r="CI8" s="31"/>
      <c r="CJ8" s="31"/>
      <c r="CL8" s="36"/>
      <c r="CM8" s="44"/>
      <c r="CO8" s="31"/>
      <c r="CP8" s="31"/>
      <c r="CR8" s="36"/>
    </row>
    <row r="9" spans="1:96" ht="15" x14ac:dyDescent="0.25">
      <c r="A9" s="23"/>
      <c r="B9" s="40"/>
      <c r="C9" s="27" t="s">
        <v>144</v>
      </c>
      <c r="D9" s="19">
        <f>STDEV(B4:B6)</f>
        <v>5.6862407030773268</v>
      </c>
      <c r="G9" s="104" t="s">
        <v>518</v>
      </c>
      <c r="H9" s="105">
        <v>23</v>
      </c>
      <c r="I9" s="25" t="s">
        <v>144</v>
      </c>
      <c r="J9" s="25">
        <f>STDEV(H4:H13)</f>
        <v>11.037310461440422</v>
      </c>
      <c r="K9" s="25"/>
      <c r="L9" s="29"/>
      <c r="M9" s="23"/>
      <c r="N9" s="40"/>
      <c r="O9" s="27" t="s">
        <v>144</v>
      </c>
      <c r="P9" s="27">
        <f>STDEV(N4:N8)</f>
        <v>11.144505372604025</v>
      </c>
      <c r="Q9" s="27"/>
      <c r="R9" s="29"/>
      <c r="S9" s="23" t="s">
        <v>494</v>
      </c>
      <c r="T9">
        <v>5</v>
      </c>
      <c r="U9" s="31" t="s">
        <v>144</v>
      </c>
      <c r="V9" s="27">
        <f>STDEV(T4:T21)</f>
        <v>7.3981096331286444</v>
      </c>
      <c r="W9" s="27"/>
      <c r="Y9" s="23" t="s">
        <v>481</v>
      </c>
      <c r="Z9">
        <v>6</v>
      </c>
      <c r="AA9" s="27" t="s">
        <v>144</v>
      </c>
      <c r="AB9" s="27">
        <f>STDEV(Z4:Z13)</f>
        <v>2.270584848790187</v>
      </c>
      <c r="AC9" s="27"/>
      <c r="AE9" s="23" t="s">
        <v>457</v>
      </c>
      <c r="AF9">
        <v>8</v>
      </c>
      <c r="AG9" s="31" t="s">
        <v>144</v>
      </c>
      <c r="AH9" s="31">
        <f>STDEV(AF4:AF28)</f>
        <v>7.1895757872074757</v>
      </c>
      <c r="AI9" s="33"/>
      <c r="AJ9" s="34"/>
      <c r="AK9" s="23" t="s">
        <v>172</v>
      </c>
      <c r="AL9">
        <v>6</v>
      </c>
      <c r="AM9" s="31" t="s">
        <v>144</v>
      </c>
      <c r="AN9" s="31">
        <f>STDEV(AL4:AL17)</f>
        <v>9.4368927648323453</v>
      </c>
      <c r="AO9" s="31"/>
      <c r="AQ9" s="23" t="s">
        <v>348</v>
      </c>
      <c r="AR9">
        <v>0</v>
      </c>
      <c r="AS9" s="31" t="s">
        <v>144</v>
      </c>
      <c r="AT9" s="31">
        <f>STDEV(AR4:AR13)</f>
        <v>4.6055522047970658</v>
      </c>
      <c r="AU9" s="33"/>
      <c r="AW9" s="23" t="s">
        <v>357</v>
      </c>
      <c r="AX9">
        <v>3</v>
      </c>
      <c r="AY9" s="31" t="s">
        <v>144</v>
      </c>
      <c r="AZ9" s="31">
        <f>STDEV(AX4:AX19)</f>
        <v>3.3763886032268267</v>
      </c>
      <c r="BC9" s="23" t="s">
        <v>372</v>
      </c>
      <c r="BD9">
        <v>10</v>
      </c>
      <c r="BE9" s="31" t="s">
        <v>144</v>
      </c>
      <c r="BF9" s="31">
        <f>STDEV(BD4:BD16)</f>
        <v>7.8364696394649807</v>
      </c>
      <c r="BH9" s="34"/>
      <c r="BI9" s="23" t="s">
        <v>385</v>
      </c>
      <c r="BJ9">
        <v>6</v>
      </c>
      <c r="BK9" s="31" t="s">
        <v>144</v>
      </c>
      <c r="BL9" s="31">
        <f>STDEV(BJ4:BJ15)</f>
        <v>6.4731379679036003</v>
      </c>
      <c r="BN9" s="34"/>
      <c r="BO9" s="23" t="s">
        <v>395</v>
      </c>
      <c r="BP9">
        <v>4</v>
      </c>
      <c r="BQ9" s="31" t="s">
        <v>144</v>
      </c>
      <c r="BR9" s="31">
        <f>STDEV(BP4:BP22)</f>
        <v>7.047873056453489</v>
      </c>
      <c r="BT9" s="34"/>
      <c r="BU9" s="22" t="s">
        <v>415</v>
      </c>
      <c r="BV9" s="22">
        <v>0</v>
      </c>
      <c r="BW9" s="31" t="s">
        <v>144</v>
      </c>
      <c r="BX9" s="31">
        <f>STDEV(BV4:BV28)</f>
        <v>1.0519822558706333</v>
      </c>
      <c r="BZ9" s="34"/>
      <c r="CA9" s="38"/>
      <c r="CC9" s="31"/>
      <c r="CD9" s="31"/>
      <c r="CF9" s="36"/>
      <c r="CG9" s="44"/>
      <c r="CI9" s="31"/>
      <c r="CJ9" s="31"/>
      <c r="CL9" s="36"/>
      <c r="CM9" s="44"/>
      <c r="CO9" s="31"/>
      <c r="CP9" s="31"/>
      <c r="CR9" s="36"/>
    </row>
    <row r="10" spans="1:96" ht="15" x14ac:dyDescent="0.25">
      <c r="A10" s="100"/>
      <c r="B10" s="91"/>
      <c r="C10" s="34"/>
      <c r="D10" s="34"/>
      <c r="E10" s="34"/>
      <c r="G10" s="104" t="s">
        <v>519</v>
      </c>
      <c r="H10" s="105">
        <v>39</v>
      </c>
      <c r="I10" s="25"/>
      <c r="J10" s="25"/>
      <c r="K10" s="25"/>
      <c r="L10" s="90"/>
      <c r="M10" s="100"/>
      <c r="N10" s="91"/>
      <c r="O10" s="90"/>
      <c r="P10" s="90"/>
      <c r="Q10" s="90"/>
      <c r="R10" s="90"/>
      <c r="S10" s="23" t="s">
        <v>495</v>
      </c>
      <c r="T10">
        <v>2</v>
      </c>
      <c r="U10" s="27"/>
      <c r="V10" s="27"/>
      <c r="W10" s="27"/>
      <c r="Y10" s="23" t="s">
        <v>262</v>
      </c>
      <c r="Z10">
        <v>1</v>
      </c>
      <c r="AA10" s="27"/>
      <c r="AB10" s="27"/>
      <c r="AC10" s="27"/>
      <c r="AE10" s="23" t="s">
        <v>458</v>
      </c>
      <c r="AF10">
        <v>22</v>
      </c>
      <c r="AG10" s="31"/>
      <c r="AH10" s="31"/>
      <c r="AI10" s="33"/>
      <c r="AJ10" s="34"/>
      <c r="AK10" s="23" t="s">
        <v>337</v>
      </c>
      <c r="AL10">
        <v>5</v>
      </c>
      <c r="AM10" s="31"/>
      <c r="AN10" s="31"/>
      <c r="AO10" s="31"/>
      <c r="AQ10" s="23" t="s">
        <v>349</v>
      </c>
      <c r="AR10">
        <v>0</v>
      </c>
      <c r="AS10" s="31"/>
      <c r="AT10" s="31"/>
      <c r="AU10" s="33"/>
      <c r="AW10" s="23" t="s">
        <v>358</v>
      </c>
      <c r="AX10">
        <v>5</v>
      </c>
      <c r="AY10" s="31"/>
      <c r="AZ10" s="31"/>
      <c r="BC10" s="23" t="s">
        <v>373</v>
      </c>
      <c r="BD10">
        <v>22</v>
      </c>
      <c r="BE10" s="31"/>
      <c r="BF10" s="31"/>
      <c r="BH10" s="34"/>
      <c r="BI10" s="23" t="s">
        <v>386</v>
      </c>
      <c r="BJ10">
        <v>3</v>
      </c>
      <c r="BK10" s="31"/>
      <c r="BL10" s="31"/>
      <c r="BN10" s="34"/>
      <c r="BO10" s="23" t="s">
        <v>396</v>
      </c>
      <c r="BP10">
        <v>4</v>
      </c>
      <c r="BQ10" s="31"/>
      <c r="BR10" s="31"/>
      <c r="BT10" s="34"/>
      <c r="BU10" s="22" t="s">
        <v>416</v>
      </c>
      <c r="BV10" s="22">
        <v>0</v>
      </c>
      <c r="BW10" s="31"/>
      <c r="BX10" s="31"/>
      <c r="BZ10" s="34"/>
      <c r="CA10" s="38"/>
      <c r="CC10" s="31"/>
      <c r="CD10" s="31"/>
      <c r="CF10" s="36"/>
      <c r="CG10" s="44"/>
      <c r="CL10" s="36"/>
      <c r="CM10" s="44"/>
      <c r="CR10" s="36"/>
    </row>
    <row r="11" spans="1:96" ht="15" x14ac:dyDescent="0.25">
      <c r="A11" s="25" t="s">
        <v>100</v>
      </c>
      <c r="B11" s="26" t="s">
        <v>522</v>
      </c>
      <c r="C11" s="27">
        <v>2014</v>
      </c>
      <c r="D11" s="27"/>
      <c r="E11" s="27"/>
      <c r="G11" s="104" t="s">
        <v>520</v>
      </c>
      <c r="H11" s="105">
        <v>16</v>
      </c>
      <c r="I11" s="25"/>
      <c r="J11" s="25"/>
      <c r="K11" s="25"/>
      <c r="L11" s="29"/>
      <c r="M11" s="27" t="s">
        <v>100</v>
      </c>
      <c r="N11" s="30" t="s">
        <v>525</v>
      </c>
      <c r="O11" s="27"/>
      <c r="P11" s="27"/>
      <c r="Q11" s="27"/>
      <c r="R11" s="29"/>
      <c r="S11" s="23" t="s">
        <v>496</v>
      </c>
      <c r="T11">
        <v>9</v>
      </c>
      <c r="U11" s="27"/>
      <c r="V11" s="27"/>
      <c r="W11" s="27"/>
      <c r="Y11" s="23" t="s">
        <v>482</v>
      </c>
      <c r="Z11">
        <v>8</v>
      </c>
      <c r="AA11" s="27"/>
      <c r="AB11" s="27"/>
      <c r="AC11" s="27"/>
      <c r="AE11" s="23" t="s">
        <v>459</v>
      </c>
      <c r="AF11">
        <v>9</v>
      </c>
      <c r="AG11" s="31"/>
      <c r="AH11" s="31"/>
      <c r="AI11" s="33"/>
      <c r="AJ11" s="34"/>
      <c r="AK11" s="23" t="s">
        <v>338</v>
      </c>
      <c r="AL11">
        <v>6</v>
      </c>
      <c r="AM11" s="31"/>
      <c r="AN11" s="31"/>
      <c r="AO11" s="31"/>
      <c r="AQ11" s="23" t="s">
        <v>350</v>
      </c>
      <c r="AR11">
        <v>1</v>
      </c>
      <c r="AS11" s="31"/>
      <c r="AT11" s="31"/>
      <c r="AU11" s="33"/>
      <c r="AW11" s="23" t="s">
        <v>359</v>
      </c>
      <c r="AX11">
        <v>11</v>
      </c>
      <c r="AY11" s="31"/>
      <c r="AZ11" s="31"/>
      <c r="BC11" s="23" t="s">
        <v>374</v>
      </c>
      <c r="BD11">
        <v>16</v>
      </c>
      <c r="BE11" s="33"/>
      <c r="BF11" s="33"/>
      <c r="BG11" s="24"/>
      <c r="BH11" s="34"/>
      <c r="BI11" s="23" t="s">
        <v>387</v>
      </c>
      <c r="BJ11">
        <v>7</v>
      </c>
      <c r="BK11" s="33"/>
      <c r="BL11" s="33"/>
      <c r="BN11" s="34"/>
      <c r="BO11" s="23" t="s">
        <v>397</v>
      </c>
      <c r="BP11">
        <v>4</v>
      </c>
      <c r="BQ11" s="31"/>
      <c r="BR11" s="31"/>
      <c r="BT11" s="34"/>
      <c r="BU11" s="22" t="s">
        <v>417</v>
      </c>
      <c r="BV11" s="22">
        <v>1</v>
      </c>
      <c r="BW11" s="31"/>
      <c r="BX11" s="31"/>
      <c r="BZ11" s="34"/>
      <c r="CA11" s="38"/>
      <c r="CC11" s="31"/>
      <c r="CD11" s="31"/>
      <c r="CF11" s="36"/>
      <c r="CG11" s="44"/>
      <c r="CL11" s="36"/>
      <c r="CM11" s="44"/>
      <c r="CR11" s="36"/>
    </row>
    <row r="12" spans="1:96" ht="15" x14ac:dyDescent="0.25">
      <c r="A12" s="25" t="s">
        <v>101</v>
      </c>
      <c r="B12" s="12" t="s">
        <v>22</v>
      </c>
      <c r="C12" s="27"/>
      <c r="D12" s="27"/>
      <c r="E12" s="27"/>
      <c r="G12" s="104" t="s">
        <v>521</v>
      </c>
      <c r="H12" s="105">
        <v>34</v>
      </c>
      <c r="I12" s="25"/>
      <c r="J12" s="25"/>
      <c r="K12" s="25"/>
      <c r="L12" s="29"/>
      <c r="M12" s="27" t="s">
        <v>101</v>
      </c>
      <c r="N12" s="12" t="s">
        <v>5</v>
      </c>
      <c r="O12" s="27"/>
      <c r="P12" s="27"/>
      <c r="Q12" s="27"/>
      <c r="R12" s="29"/>
      <c r="S12" s="23" t="s">
        <v>389</v>
      </c>
      <c r="T12">
        <v>17</v>
      </c>
      <c r="U12" s="27"/>
      <c r="V12" s="27"/>
      <c r="W12" s="27"/>
      <c r="Y12" s="23" t="s">
        <v>483</v>
      </c>
      <c r="Z12">
        <v>3</v>
      </c>
      <c r="AA12" s="27"/>
      <c r="AB12" s="27"/>
      <c r="AC12" s="27"/>
      <c r="AD12" s="34"/>
      <c r="AE12" s="23" t="s">
        <v>460</v>
      </c>
      <c r="AF12">
        <v>14</v>
      </c>
      <c r="AG12" s="33"/>
      <c r="AH12" s="33"/>
      <c r="AI12" s="33"/>
      <c r="AJ12" s="34"/>
      <c r="AK12" s="23" t="s">
        <v>339</v>
      </c>
      <c r="AL12">
        <v>11</v>
      </c>
      <c r="AM12" s="31"/>
      <c r="AN12" s="31"/>
      <c r="AO12" s="31"/>
      <c r="AQ12" s="23" t="s">
        <v>351</v>
      </c>
      <c r="AR12">
        <v>0</v>
      </c>
      <c r="AS12" s="31"/>
      <c r="AT12" s="31"/>
      <c r="AU12" s="33"/>
      <c r="AW12" s="23" t="s">
        <v>360</v>
      </c>
      <c r="AX12">
        <v>5</v>
      </c>
      <c r="AY12" s="31"/>
      <c r="AZ12" s="31"/>
      <c r="BC12" s="23" t="s">
        <v>375</v>
      </c>
      <c r="BD12">
        <v>1</v>
      </c>
      <c r="BE12" s="33"/>
      <c r="BF12" s="33"/>
      <c r="BG12" s="24"/>
      <c r="BH12" s="34"/>
      <c r="BI12" s="23" t="s">
        <v>139</v>
      </c>
      <c r="BJ12">
        <v>8</v>
      </c>
      <c r="BK12" s="33"/>
      <c r="BL12" s="33"/>
      <c r="BN12" s="34"/>
      <c r="BO12" s="23" t="s">
        <v>398</v>
      </c>
      <c r="BP12">
        <v>5</v>
      </c>
      <c r="BQ12" s="31"/>
      <c r="BR12" s="31"/>
      <c r="BT12" s="34"/>
      <c r="BU12" s="22" t="s">
        <v>418</v>
      </c>
      <c r="BV12" s="22">
        <v>1</v>
      </c>
      <c r="BW12" s="31"/>
      <c r="BX12" s="31"/>
      <c r="BZ12" s="34"/>
      <c r="CA12" s="38"/>
      <c r="CC12" s="31"/>
      <c r="CD12" s="31"/>
      <c r="CF12" s="36"/>
      <c r="CG12" s="44"/>
      <c r="CL12" s="36"/>
      <c r="CM12" s="44"/>
      <c r="CR12" s="36"/>
    </row>
    <row r="13" spans="1:96" ht="15" x14ac:dyDescent="0.25">
      <c r="A13" s="25" t="s">
        <v>102</v>
      </c>
      <c r="B13" s="25" t="s">
        <v>71</v>
      </c>
      <c r="C13" s="27" t="s">
        <v>103</v>
      </c>
      <c r="D13" s="27" t="s">
        <v>104</v>
      </c>
      <c r="E13" s="27"/>
      <c r="G13" s="104" t="s">
        <v>175</v>
      </c>
      <c r="H13" s="105">
        <v>22</v>
      </c>
      <c r="L13" s="29"/>
      <c r="M13" s="27" t="s">
        <v>102</v>
      </c>
      <c r="N13" s="27" t="s">
        <v>71</v>
      </c>
      <c r="O13" s="27" t="s">
        <v>103</v>
      </c>
      <c r="P13" s="27" t="s">
        <v>104</v>
      </c>
      <c r="Q13" s="27"/>
      <c r="R13" s="29"/>
      <c r="S13" s="23" t="s">
        <v>497</v>
      </c>
      <c r="T13">
        <v>0</v>
      </c>
      <c r="U13" s="27"/>
      <c r="V13" s="27"/>
      <c r="W13" s="27"/>
      <c r="Y13" s="23" t="s">
        <v>484</v>
      </c>
      <c r="Z13">
        <v>6</v>
      </c>
      <c r="AA13" s="27"/>
      <c r="AB13" s="27"/>
      <c r="AC13" s="27"/>
      <c r="AE13" s="23" t="s">
        <v>461</v>
      </c>
      <c r="AF13">
        <v>17</v>
      </c>
      <c r="AG13" s="31"/>
      <c r="AH13" s="31"/>
      <c r="AI13" s="33"/>
      <c r="AJ13" s="34"/>
      <c r="AK13" s="23" t="s">
        <v>340</v>
      </c>
      <c r="AL13">
        <v>38</v>
      </c>
      <c r="AM13" s="31"/>
      <c r="AN13" s="31"/>
      <c r="AO13" s="31"/>
      <c r="AQ13" s="23" t="s">
        <v>352</v>
      </c>
      <c r="AR13">
        <v>9</v>
      </c>
      <c r="AS13" s="31"/>
      <c r="AT13" s="31"/>
      <c r="AU13" s="33"/>
      <c r="AW13" s="23" t="s">
        <v>361</v>
      </c>
      <c r="AX13">
        <v>5</v>
      </c>
      <c r="AY13" s="31"/>
      <c r="AZ13" s="31"/>
      <c r="BC13" s="23" t="s">
        <v>376</v>
      </c>
      <c r="BD13">
        <v>2</v>
      </c>
      <c r="BE13" s="31"/>
      <c r="BF13" s="31"/>
      <c r="BH13" s="34"/>
      <c r="BI13" s="23" t="s">
        <v>156</v>
      </c>
      <c r="BJ13">
        <v>6</v>
      </c>
      <c r="BK13" s="31"/>
      <c r="BL13" s="31"/>
      <c r="BN13" s="34"/>
      <c r="BO13" s="23" t="s">
        <v>399</v>
      </c>
      <c r="BP13">
        <v>19</v>
      </c>
      <c r="BQ13" s="31"/>
      <c r="BR13" s="31"/>
      <c r="BT13" s="34"/>
      <c r="BU13" s="22" t="s">
        <v>419</v>
      </c>
      <c r="BV13" s="22">
        <v>0</v>
      </c>
      <c r="BW13" s="31"/>
      <c r="BX13" s="31"/>
      <c r="BZ13" s="34"/>
      <c r="CA13" s="38"/>
      <c r="CC13" s="31"/>
      <c r="CD13" s="31"/>
      <c r="CF13" s="36"/>
      <c r="CG13" s="44"/>
      <c r="CL13" s="36"/>
      <c r="CM13" s="44"/>
      <c r="CR13" s="36"/>
    </row>
    <row r="14" spans="1:96" ht="15" x14ac:dyDescent="0.25">
      <c r="A14" s="23" t="s">
        <v>510</v>
      </c>
      <c r="B14" s="19">
        <v>0</v>
      </c>
      <c r="C14" s="27" t="s">
        <v>106</v>
      </c>
      <c r="D14" s="19">
        <f>SUM(B15:B16)</f>
        <v>1</v>
      </c>
      <c r="G14" s="100"/>
      <c r="H14" s="91"/>
      <c r="I14" s="34"/>
      <c r="J14" s="34"/>
      <c r="K14" s="34"/>
      <c r="L14" s="29"/>
      <c r="M14" s="23" t="s">
        <v>394</v>
      </c>
      <c r="N14">
        <v>0</v>
      </c>
      <c r="O14" s="27" t="s">
        <v>106</v>
      </c>
      <c r="P14" s="27">
        <f>SUM(N14:N18)</f>
        <v>2</v>
      </c>
      <c r="Q14" s="27"/>
      <c r="R14" s="29"/>
      <c r="S14" s="23" t="s">
        <v>498</v>
      </c>
      <c r="T14">
        <v>5</v>
      </c>
      <c r="U14" s="27"/>
      <c r="V14" s="27"/>
      <c r="W14" s="27"/>
      <c r="Y14" s="100"/>
      <c r="Z14" s="91"/>
      <c r="AA14" s="90"/>
      <c r="AB14" s="90"/>
      <c r="AC14" s="90"/>
      <c r="AE14" s="23" t="s">
        <v>462</v>
      </c>
      <c r="AF14">
        <v>30</v>
      </c>
      <c r="AG14" s="24"/>
      <c r="AH14" s="24"/>
      <c r="AI14" s="33"/>
      <c r="AJ14" s="34"/>
      <c r="AK14" s="23" t="s">
        <v>77</v>
      </c>
      <c r="AL14">
        <v>18</v>
      </c>
      <c r="AM14" s="31"/>
      <c r="AN14" s="31"/>
      <c r="AO14" s="31"/>
      <c r="AQ14" s="100"/>
      <c r="AR14" s="101"/>
      <c r="AS14" s="94"/>
      <c r="AT14" s="94"/>
      <c r="AU14" s="94"/>
      <c r="AW14" s="23" t="s">
        <v>362</v>
      </c>
      <c r="AX14">
        <v>1</v>
      </c>
      <c r="AY14" s="31"/>
      <c r="AZ14" s="31"/>
      <c r="BC14" s="23" t="s">
        <v>377</v>
      </c>
      <c r="BD14">
        <v>17</v>
      </c>
      <c r="BE14" s="31"/>
      <c r="BF14" s="31"/>
      <c r="BH14" s="34"/>
      <c r="BI14" s="23" t="s">
        <v>388</v>
      </c>
      <c r="BJ14">
        <v>13</v>
      </c>
      <c r="BK14" s="31"/>
      <c r="BL14" s="31"/>
      <c r="BN14" s="34"/>
      <c r="BO14" s="23" t="s">
        <v>214</v>
      </c>
      <c r="BP14">
        <v>8</v>
      </c>
      <c r="BQ14" s="31"/>
      <c r="BR14" s="31"/>
      <c r="BT14" s="34"/>
      <c r="BU14" s="22" t="s">
        <v>420</v>
      </c>
      <c r="BV14" s="22">
        <v>2</v>
      </c>
      <c r="BW14" s="31"/>
      <c r="BX14" s="31"/>
      <c r="BZ14" s="34"/>
      <c r="CA14" s="38"/>
      <c r="CC14" s="31"/>
      <c r="CD14" s="31"/>
      <c r="CF14" s="36"/>
      <c r="CG14" s="44"/>
      <c r="CL14" s="36"/>
      <c r="CM14" s="44"/>
      <c r="CR14" s="36"/>
    </row>
    <row r="15" spans="1:96" ht="15" x14ac:dyDescent="0.25">
      <c r="A15" s="23" t="s">
        <v>511</v>
      </c>
      <c r="B15">
        <v>1</v>
      </c>
      <c r="C15" s="27" t="s">
        <v>115</v>
      </c>
      <c r="D15" s="19">
        <f>MIN(B15:B16)</f>
        <v>0</v>
      </c>
      <c r="G15" s="25" t="s">
        <v>100</v>
      </c>
      <c r="H15" s="26" t="s">
        <v>523</v>
      </c>
      <c r="I15" s="25"/>
      <c r="J15" s="25">
        <v>2014</v>
      </c>
      <c r="L15" s="29"/>
      <c r="M15" s="23" t="s">
        <v>485</v>
      </c>
      <c r="N15">
        <v>0</v>
      </c>
      <c r="O15" s="27" t="s">
        <v>115</v>
      </c>
      <c r="P15" s="27">
        <f>MIN(N14:N18)</f>
        <v>0</v>
      </c>
      <c r="Q15" s="27"/>
      <c r="R15" s="29"/>
      <c r="S15" s="23" t="s">
        <v>499</v>
      </c>
      <c r="T15">
        <v>7</v>
      </c>
      <c r="U15" s="27"/>
      <c r="V15" s="27"/>
      <c r="W15" s="27"/>
      <c r="Y15" s="27" t="s">
        <v>100</v>
      </c>
      <c r="Z15" s="30" t="s">
        <v>535</v>
      </c>
      <c r="AA15" s="27"/>
      <c r="AB15" s="27"/>
      <c r="AC15" s="27"/>
      <c r="AE15" s="23" t="s">
        <v>463</v>
      </c>
      <c r="AF15">
        <v>13</v>
      </c>
      <c r="AG15" s="31"/>
      <c r="AH15" s="31"/>
      <c r="AI15" s="33"/>
      <c r="AJ15" s="34"/>
      <c r="AK15" s="23" t="s">
        <v>341</v>
      </c>
      <c r="AL15">
        <v>19</v>
      </c>
      <c r="AM15" s="31"/>
      <c r="AN15" s="31"/>
      <c r="AO15" s="31"/>
      <c r="AQ15" s="19" t="s">
        <v>100</v>
      </c>
      <c r="AR15" s="32" t="s">
        <v>444</v>
      </c>
      <c r="AU15" s="33"/>
      <c r="AW15" s="23" t="s">
        <v>363</v>
      </c>
      <c r="AX15">
        <v>7</v>
      </c>
      <c r="AY15" s="31"/>
      <c r="AZ15" s="31"/>
      <c r="BC15" s="23" t="s">
        <v>378</v>
      </c>
      <c r="BD15">
        <v>0</v>
      </c>
      <c r="BE15" s="31"/>
      <c r="BF15" s="31"/>
      <c r="BH15" s="34"/>
      <c r="BI15" s="23" t="s">
        <v>389</v>
      </c>
      <c r="BJ15">
        <v>0</v>
      </c>
      <c r="BK15" s="31"/>
      <c r="BL15" s="31"/>
      <c r="BN15" s="34"/>
      <c r="BO15" s="23" t="s">
        <v>400</v>
      </c>
      <c r="BP15">
        <v>24</v>
      </c>
      <c r="BQ15" s="31"/>
      <c r="BR15" s="31"/>
      <c r="BT15" s="34"/>
      <c r="BU15" s="22" t="s">
        <v>421</v>
      </c>
      <c r="BV15" s="22">
        <v>3</v>
      </c>
      <c r="BW15" s="31"/>
      <c r="BX15" s="31"/>
      <c r="BZ15" s="34"/>
      <c r="CA15" s="38"/>
      <c r="CC15" s="31"/>
      <c r="CD15" s="31"/>
      <c r="CF15" s="36"/>
      <c r="CG15" s="44"/>
      <c r="CL15" s="36"/>
      <c r="CM15" s="44"/>
      <c r="CR15" s="36"/>
    </row>
    <row r="16" spans="1:96" ht="15" x14ac:dyDescent="0.25">
      <c r="A16" s="23" t="s">
        <v>512</v>
      </c>
      <c r="B16">
        <v>0</v>
      </c>
      <c r="C16" s="27" t="s">
        <v>122</v>
      </c>
      <c r="D16" s="19">
        <f>MAX(B15:B16)</f>
        <v>1</v>
      </c>
      <c r="G16" s="25" t="s">
        <v>101</v>
      </c>
      <c r="H16" s="103" t="s">
        <v>3</v>
      </c>
      <c r="I16" s="25"/>
      <c r="J16" s="25"/>
      <c r="K16" s="25"/>
      <c r="L16" s="29"/>
      <c r="M16" s="23" t="s">
        <v>486</v>
      </c>
      <c r="N16">
        <v>1</v>
      </c>
      <c r="O16" s="27" t="s">
        <v>122</v>
      </c>
      <c r="P16" s="27">
        <f>MAX(N14:N18)</f>
        <v>1</v>
      </c>
      <c r="Q16" s="27"/>
      <c r="R16" s="29"/>
      <c r="S16" s="23" t="s">
        <v>500</v>
      </c>
      <c r="T16">
        <v>1</v>
      </c>
      <c r="U16" s="27"/>
      <c r="V16" s="27"/>
      <c r="W16" s="27"/>
      <c r="Y16" s="27" t="s">
        <v>101</v>
      </c>
      <c r="Z16" s="12" t="s">
        <v>5</v>
      </c>
      <c r="AA16" s="27"/>
      <c r="AB16" s="27"/>
      <c r="AC16" s="27"/>
      <c r="AE16" s="23" t="s">
        <v>464</v>
      </c>
      <c r="AF16">
        <v>8</v>
      </c>
      <c r="AG16" s="31"/>
      <c r="AH16" s="31"/>
      <c r="AJ16" s="34"/>
      <c r="AK16" s="23" t="s">
        <v>342</v>
      </c>
      <c r="AL16">
        <v>6</v>
      </c>
      <c r="AM16" s="31"/>
      <c r="AN16" s="31"/>
      <c r="AO16" s="31"/>
      <c r="AR16" s="12" t="s">
        <v>3</v>
      </c>
      <c r="AW16" s="23" t="s">
        <v>364</v>
      </c>
      <c r="AX16">
        <v>10</v>
      </c>
      <c r="AY16" s="31"/>
      <c r="AZ16" s="31"/>
      <c r="BC16" s="23" t="s">
        <v>379</v>
      </c>
      <c r="BD16">
        <v>5</v>
      </c>
      <c r="BE16" s="31"/>
      <c r="BF16" s="31"/>
      <c r="BH16" s="34"/>
      <c r="BI16" s="100"/>
      <c r="BJ16" s="101"/>
      <c r="BK16" s="94"/>
      <c r="BL16" s="94"/>
      <c r="BM16" s="34"/>
      <c r="BN16" s="34"/>
      <c r="BO16" s="23" t="s">
        <v>401</v>
      </c>
      <c r="BP16">
        <v>26</v>
      </c>
      <c r="BQ16" s="33"/>
      <c r="BR16" s="33"/>
      <c r="BS16" s="24"/>
      <c r="BT16" s="34"/>
      <c r="BU16" s="22" t="s">
        <v>422</v>
      </c>
      <c r="BV16" s="22">
        <v>1</v>
      </c>
      <c r="BW16" s="31"/>
      <c r="BX16" s="31"/>
      <c r="BZ16" s="34"/>
      <c r="CA16" s="38"/>
      <c r="CC16" s="31"/>
      <c r="CD16" s="31"/>
      <c r="CF16" s="36"/>
      <c r="CG16" s="44"/>
      <c r="CL16" s="36"/>
      <c r="CM16" s="44"/>
      <c r="CR16" s="36"/>
    </row>
    <row r="17" spans="1:96" ht="15" x14ac:dyDescent="0.25">
      <c r="A17" s="23"/>
      <c r="B17" s="40"/>
      <c r="C17" s="27" t="s">
        <v>129</v>
      </c>
      <c r="D17" s="19">
        <f>VAR(B15:B16)</f>
        <v>0.5</v>
      </c>
      <c r="F17" s="78"/>
      <c r="G17" s="25" t="s">
        <v>102</v>
      </c>
      <c r="H17" s="25" t="s">
        <v>71</v>
      </c>
      <c r="I17" s="25" t="s">
        <v>103</v>
      </c>
      <c r="J17" s="25" t="s">
        <v>104</v>
      </c>
      <c r="K17" s="25"/>
      <c r="L17" s="29"/>
      <c r="M17" s="23" t="s">
        <v>487</v>
      </c>
      <c r="N17">
        <v>1</v>
      </c>
      <c r="O17" s="27" t="s">
        <v>129</v>
      </c>
      <c r="P17" s="27">
        <f>VAR(N14:N18)</f>
        <v>0.3</v>
      </c>
      <c r="Q17" s="27"/>
      <c r="R17" s="29"/>
      <c r="S17" s="23" t="s">
        <v>501</v>
      </c>
      <c r="T17">
        <v>6</v>
      </c>
      <c r="U17" s="27"/>
      <c r="V17" s="27"/>
      <c r="W17" s="27"/>
      <c r="Y17" s="27" t="s">
        <v>105</v>
      </c>
      <c r="Z17" s="27" t="s">
        <v>71</v>
      </c>
      <c r="AA17" s="27" t="s">
        <v>103</v>
      </c>
      <c r="AB17" s="27" t="s">
        <v>104</v>
      </c>
      <c r="AC17" s="27"/>
      <c r="AE17" s="23" t="s">
        <v>465</v>
      </c>
      <c r="AF17">
        <v>10</v>
      </c>
      <c r="AG17" s="31"/>
      <c r="AH17" s="31"/>
      <c r="AJ17" s="34"/>
      <c r="AK17" s="23" t="s">
        <v>343</v>
      </c>
      <c r="AL17">
        <v>3</v>
      </c>
      <c r="AM17" s="31"/>
      <c r="AN17" s="31"/>
      <c r="AO17" s="31"/>
      <c r="AQ17" s="31" t="s">
        <v>102</v>
      </c>
      <c r="AR17" s="31" t="s">
        <v>71</v>
      </c>
      <c r="AS17" s="31" t="s">
        <v>103</v>
      </c>
      <c r="AT17" s="31" t="s">
        <v>104</v>
      </c>
      <c r="AW17" s="23" t="s">
        <v>365</v>
      </c>
      <c r="AX17">
        <v>7</v>
      </c>
      <c r="AY17" s="31"/>
      <c r="AZ17" s="31"/>
      <c r="BC17" s="97"/>
      <c r="BD17" s="34"/>
      <c r="BE17" s="94"/>
      <c r="BF17" s="94"/>
      <c r="BG17" s="34"/>
      <c r="BH17" s="34"/>
      <c r="BI17" s="19" t="s">
        <v>100</v>
      </c>
      <c r="BJ17" s="35" t="s">
        <v>64</v>
      </c>
      <c r="BN17" s="34"/>
      <c r="BO17" s="23" t="s">
        <v>402</v>
      </c>
      <c r="BP17">
        <v>11</v>
      </c>
      <c r="BQ17" s="31"/>
      <c r="BR17" s="31"/>
      <c r="BT17" s="34"/>
      <c r="BU17" s="23" t="s">
        <v>423</v>
      </c>
      <c r="BV17" s="22">
        <v>1</v>
      </c>
      <c r="BW17" s="31"/>
      <c r="BX17" s="31"/>
      <c r="BZ17" s="34"/>
      <c r="CA17" s="38"/>
      <c r="CC17" s="31"/>
      <c r="CD17" s="31"/>
      <c r="CF17" s="36"/>
      <c r="CG17" s="44"/>
      <c r="CL17" s="36"/>
      <c r="CM17" s="44"/>
      <c r="CR17" s="36"/>
    </row>
    <row r="18" spans="1:96" ht="15" x14ac:dyDescent="0.25">
      <c r="A18" s="23"/>
      <c r="B18" s="40"/>
      <c r="C18" s="27" t="s">
        <v>138</v>
      </c>
      <c r="D18" s="19">
        <f>AVERAGE(B15:B16)</f>
        <v>0.5</v>
      </c>
      <c r="G18" s="104" t="s">
        <v>513</v>
      </c>
      <c r="H18">
        <v>0</v>
      </c>
      <c r="I18" s="25" t="s">
        <v>106</v>
      </c>
      <c r="J18" s="25">
        <f>SUM(H18:H27)</f>
        <v>2</v>
      </c>
      <c r="K18" s="25"/>
      <c r="L18" s="29"/>
      <c r="M18" s="23" t="s">
        <v>488</v>
      </c>
      <c r="N18">
        <v>0</v>
      </c>
      <c r="O18" s="27" t="s">
        <v>138</v>
      </c>
      <c r="P18" s="27">
        <f>AVERAGE(N14:N18)</f>
        <v>0.4</v>
      </c>
      <c r="Q18" s="27"/>
      <c r="R18" s="29"/>
      <c r="S18" s="23" t="s">
        <v>502</v>
      </c>
      <c r="T18">
        <v>9</v>
      </c>
      <c r="U18" s="27"/>
      <c r="V18" s="27"/>
      <c r="W18" s="27"/>
      <c r="Y18" s="23" t="s">
        <v>476</v>
      </c>
      <c r="Z18">
        <v>0</v>
      </c>
      <c r="AA18" s="27" t="s">
        <v>106</v>
      </c>
      <c r="AB18" s="27">
        <f>SUM(Z18:Z27)</f>
        <v>1</v>
      </c>
      <c r="AC18" s="27"/>
      <c r="AE18" s="23" t="s">
        <v>466</v>
      </c>
      <c r="AF18">
        <v>4</v>
      </c>
      <c r="AG18" s="31"/>
      <c r="AH18" s="31"/>
      <c r="AI18" s="33"/>
      <c r="AJ18" s="34"/>
      <c r="AK18" s="109"/>
      <c r="AL18" s="110"/>
      <c r="AM18" s="94"/>
      <c r="AN18" s="94"/>
      <c r="AO18" s="94"/>
      <c r="AQ18" s="23" t="s">
        <v>344</v>
      </c>
      <c r="AR18">
        <v>0</v>
      </c>
      <c r="AS18" s="31" t="s">
        <v>106</v>
      </c>
      <c r="AT18" s="31">
        <f>SUM(AR18:AR27)</f>
        <v>2</v>
      </c>
      <c r="AU18" s="33"/>
      <c r="AW18" s="23" t="s">
        <v>366</v>
      </c>
      <c r="AX18">
        <v>3</v>
      </c>
      <c r="AY18" s="31"/>
      <c r="AZ18" s="31"/>
      <c r="BC18" s="19" t="s">
        <v>100</v>
      </c>
      <c r="BD18" s="35" t="s">
        <v>65</v>
      </c>
      <c r="BH18" s="34"/>
      <c r="BJ18" s="12" t="s">
        <v>3</v>
      </c>
      <c r="BN18" s="34"/>
      <c r="BO18" s="23" t="s">
        <v>403</v>
      </c>
      <c r="BP18">
        <v>11</v>
      </c>
      <c r="BQ18" s="31"/>
      <c r="BR18" s="31"/>
      <c r="BT18" s="34"/>
      <c r="BU18" s="22" t="s">
        <v>424</v>
      </c>
      <c r="BV18" s="22">
        <v>2</v>
      </c>
      <c r="BW18" s="31"/>
      <c r="BX18" s="31"/>
      <c r="BZ18" s="34"/>
      <c r="CA18" s="38"/>
      <c r="CC18" s="31"/>
      <c r="CD18" s="31"/>
      <c r="CF18" s="36"/>
      <c r="CG18" s="44"/>
      <c r="CL18" s="36"/>
      <c r="CM18" s="44"/>
      <c r="CR18" s="36"/>
    </row>
    <row r="19" spans="1:96" ht="15" x14ac:dyDescent="0.25">
      <c r="A19" s="23"/>
      <c r="B19" s="40"/>
      <c r="C19" s="27" t="s">
        <v>144</v>
      </c>
      <c r="D19" s="19">
        <f>STDEV(B15:B16)</f>
        <v>0.70710678118654757</v>
      </c>
      <c r="G19" s="104" t="s">
        <v>514</v>
      </c>
      <c r="H19">
        <v>0</v>
      </c>
      <c r="I19" s="25" t="s">
        <v>115</v>
      </c>
      <c r="J19" s="25">
        <f>MIN(H18:H27)</f>
        <v>0</v>
      </c>
      <c r="K19" s="25"/>
      <c r="L19" s="29"/>
      <c r="M19" s="23"/>
      <c r="N19" s="40"/>
      <c r="O19" s="27" t="s">
        <v>144</v>
      </c>
      <c r="P19" s="27">
        <f>STDEV(N14:N18)</f>
        <v>0.54772255750516607</v>
      </c>
      <c r="Q19" s="27"/>
      <c r="R19" s="29"/>
      <c r="S19" s="23" t="s">
        <v>350</v>
      </c>
      <c r="T19">
        <v>6</v>
      </c>
      <c r="U19" s="27"/>
      <c r="V19" s="27"/>
      <c r="W19" s="27"/>
      <c r="Y19" s="23" t="s">
        <v>477</v>
      </c>
      <c r="Z19">
        <v>0</v>
      </c>
      <c r="AA19" s="27" t="s">
        <v>115</v>
      </c>
      <c r="AB19" s="27">
        <f>MIN(Z18:Z27)</f>
        <v>0</v>
      </c>
      <c r="AC19" s="27"/>
      <c r="AE19" s="23" t="s">
        <v>467</v>
      </c>
      <c r="AF19">
        <v>14</v>
      </c>
      <c r="AG19" s="31"/>
      <c r="AH19" s="31"/>
      <c r="AI19" s="33"/>
      <c r="AJ19" s="34"/>
      <c r="AK19" s="19" t="s">
        <v>100</v>
      </c>
      <c r="AL19" s="32" t="s">
        <v>443</v>
      </c>
      <c r="AO19" s="31"/>
      <c r="AQ19" s="23" t="s">
        <v>345</v>
      </c>
      <c r="AR19">
        <v>2</v>
      </c>
      <c r="AS19" s="31" t="s">
        <v>115</v>
      </c>
      <c r="AT19" s="31">
        <f>MIN(AR18:AR27)</f>
        <v>0</v>
      </c>
      <c r="AU19" s="33"/>
      <c r="AW19" s="23" t="s">
        <v>367</v>
      </c>
      <c r="AX19">
        <v>2</v>
      </c>
      <c r="AY19" s="31"/>
      <c r="AZ19" s="31"/>
      <c r="BD19" s="12" t="s">
        <v>4</v>
      </c>
      <c r="BH19" s="34"/>
      <c r="BI19" s="31" t="s">
        <v>102</v>
      </c>
      <c r="BJ19" s="31" t="s">
        <v>71</v>
      </c>
      <c r="BK19" s="31" t="s">
        <v>103</v>
      </c>
      <c r="BL19" s="31" t="s">
        <v>104</v>
      </c>
      <c r="BN19" s="34"/>
      <c r="BO19" s="23" t="s">
        <v>404</v>
      </c>
      <c r="BP19">
        <v>12</v>
      </c>
      <c r="BQ19" s="31"/>
      <c r="BR19" s="31"/>
      <c r="BT19" s="34"/>
      <c r="BU19" s="23" t="s">
        <v>425</v>
      </c>
      <c r="BV19" s="22">
        <v>4</v>
      </c>
      <c r="BW19" s="31"/>
      <c r="BX19" s="31"/>
      <c r="BZ19" s="34"/>
      <c r="CA19" s="38"/>
      <c r="CC19" s="31"/>
      <c r="CD19" s="31"/>
      <c r="CF19" s="36"/>
      <c r="CG19" s="44"/>
      <c r="CL19" s="36"/>
      <c r="CM19" s="44"/>
      <c r="CR19" s="36"/>
    </row>
    <row r="20" spans="1:96" ht="15" x14ac:dyDescent="0.25">
      <c r="A20" s="86"/>
      <c r="B20" s="34"/>
      <c r="C20" s="34"/>
      <c r="D20" s="34"/>
      <c r="E20" s="34"/>
      <c r="G20" s="104" t="s">
        <v>515</v>
      </c>
      <c r="H20">
        <v>0</v>
      </c>
      <c r="I20" s="25" t="s">
        <v>122</v>
      </c>
      <c r="J20" s="25">
        <f>MAX(H18:H27)</f>
        <v>2</v>
      </c>
      <c r="K20" s="25"/>
      <c r="L20" s="90"/>
      <c r="M20" s="92"/>
      <c r="N20" s="91"/>
      <c r="O20" s="90"/>
      <c r="P20" s="90"/>
      <c r="Q20" s="90"/>
      <c r="R20" s="90"/>
      <c r="S20" s="23" t="s">
        <v>503</v>
      </c>
      <c r="T20">
        <v>9</v>
      </c>
      <c r="U20" s="27"/>
      <c r="V20" s="27"/>
      <c r="W20" s="27"/>
      <c r="Y20" s="23" t="s">
        <v>478</v>
      </c>
      <c r="Z20">
        <v>0</v>
      </c>
      <c r="AA20" s="27" t="s">
        <v>122</v>
      </c>
      <c r="AB20" s="27">
        <f>MAX(Z18:Z27)</f>
        <v>1</v>
      </c>
      <c r="AC20" s="27"/>
      <c r="AE20" s="23" t="s">
        <v>468</v>
      </c>
      <c r="AF20">
        <v>10</v>
      </c>
      <c r="AG20" s="31"/>
      <c r="AH20" s="31"/>
      <c r="AI20" s="33"/>
      <c r="AJ20" s="34"/>
      <c r="AL20" s="12" t="s">
        <v>3</v>
      </c>
      <c r="AO20" s="31"/>
      <c r="AQ20" s="23" t="s">
        <v>262</v>
      </c>
      <c r="AR20">
        <v>0</v>
      </c>
      <c r="AS20" s="31" t="s">
        <v>122</v>
      </c>
      <c r="AT20" s="31">
        <f>MAX(AR18:AR27)</f>
        <v>2</v>
      </c>
      <c r="AU20" s="33"/>
      <c r="AW20" s="90"/>
      <c r="AX20" s="34"/>
      <c r="AY20" s="94"/>
      <c r="AZ20" s="94"/>
      <c r="BA20" s="34"/>
      <c r="BC20" s="31" t="s">
        <v>102</v>
      </c>
      <c r="BD20" s="31" t="s">
        <v>71</v>
      </c>
      <c r="BE20" s="31" t="s">
        <v>103</v>
      </c>
      <c r="BF20" s="31" t="s">
        <v>104</v>
      </c>
      <c r="BH20" s="34"/>
      <c r="BI20" s="23" t="s">
        <v>380</v>
      </c>
      <c r="BJ20">
        <v>1</v>
      </c>
      <c r="BK20" s="31" t="s">
        <v>106</v>
      </c>
      <c r="BL20" s="31">
        <f>SUM(BJ20:BJ31)</f>
        <v>9</v>
      </c>
      <c r="BN20" s="34"/>
      <c r="BO20" s="23" t="s">
        <v>405</v>
      </c>
      <c r="BP20">
        <v>11</v>
      </c>
      <c r="BQ20" s="31"/>
      <c r="BR20" s="31"/>
      <c r="BT20" s="34"/>
      <c r="BU20" s="23" t="s">
        <v>426</v>
      </c>
      <c r="BV20" s="22">
        <v>1</v>
      </c>
      <c r="BW20" s="31"/>
      <c r="BX20" s="31"/>
      <c r="BZ20" s="34"/>
      <c r="CA20" s="38"/>
      <c r="CC20" s="31"/>
      <c r="CD20" s="31"/>
      <c r="CF20" s="36"/>
      <c r="CG20" s="44"/>
      <c r="CL20" s="36"/>
      <c r="CM20" s="44"/>
      <c r="CR20" s="36"/>
    </row>
    <row r="21" spans="1:96" ht="15" x14ac:dyDescent="0.25">
      <c r="A21" s="25" t="s">
        <v>100</v>
      </c>
      <c r="B21" s="26" t="s">
        <v>522</v>
      </c>
      <c r="C21" s="27">
        <v>2014</v>
      </c>
      <c r="D21" s="27"/>
      <c r="G21" s="104" t="s">
        <v>516</v>
      </c>
      <c r="H21">
        <v>0</v>
      </c>
      <c r="I21" s="25" t="s">
        <v>129</v>
      </c>
      <c r="J21" s="25">
        <f>VAR(H18:H27)</f>
        <v>0.4</v>
      </c>
      <c r="K21" s="25"/>
      <c r="L21" s="90"/>
      <c r="M21" s="27" t="s">
        <v>100</v>
      </c>
      <c r="N21" s="30" t="s">
        <v>525</v>
      </c>
      <c r="O21" s="27"/>
      <c r="P21" s="27"/>
      <c r="Q21" s="25"/>
      <c r="R21" s="90"/>
      <c r="S21" s="23" t="s">
        <v>504</v>
      </c>
      <c r="T21">
        <v>9</v>
      </c>
      <c r="U21" s="25"/>
      <c r="V21" s="25"/>
      <c r="W21" s="25"/>
      <c r="Y21" s="23" t="s">
        <v>479</v>
      </c>
      <c r="Z21">
        <v>0</v>
      </c>
      <c r="AA21" s="27" t="s">
        <v>129</v>
      </c>
      <c r="AB21" s="27">
        <f>VAR(Z18:Z27)</f>
        <v>0.1</v>
      </c>
      <c r="AC21" s="27"/>
      <c r="AE21" s="23" t="s">
        <v>469</v>
      </c>
      <c r="AF21">
        <v>4</v>
      </c>
      <c r="AG21" s="31"/>
      <c r="AH21" s="31"/>
      <c r="AI21" s="33"/>
      <c r="AJ21" s="34"/>
      <c r="AK21" s="31" t="s">
        <v>102</v>
      </c>
      <c r="AL21" s="31" t="s">
        <v>71</v>
      </c>
      <c r="AM21" s="31" t="s">
        <v>103</v>
      </c>
      <c r="AN21" s="31" t="s">
        <v>104</v>
      </c>
      <c r="AO21" s="31"/>
      <c r="AQ21" s="23" t="s">
        <v>346</v>
      </c>
      <c r="AR21">
        <v>0</v>
      </c>
      <c r="AS21" s="31" t="s">
        <v>129</v>
      </c>
      <c r="AT21" s="31">
        <f>VAR(AR18:AR27)</f>
        <v>0.4</v>
      </c>
      <c r="AU21" s="33"/>
      <c r="AW21" s="19" t="s">
        <v>100</v>
      </c>
      <c r="AX21" s="35" t="s">
        <v>66</v>
      </c>
      <c r="AZ21" s="19">
        <v>2014</v>
      </c>
      <c r="BC21" s="23" t="s">
        <v>368</v>
      </c>
      <c r="BD21">
        <v>0</v>
      </c>
      <c r="BE21" s="31" t="s">
        <v>106</v>
      </c>
      <c r="BF21" s="31">
        <f>SUM(BD21:BD33)</f>
        <v>1</v>
      </c>
      <c r="BH21" s="34"/>
      <c r="BI21" s="23" t="s">
        <v>381</v>
      </c>
      <c r="BJ21">
        <v>1</v>
      </c>
      <c r="BK21" s="31" t="s">
        <v>115</v>
      </c>
      <c r="BL21" s="31">
        <f>MIN(BJ20:BJ31)</f>
        <v>0</v>
      </c>
      <c r="BN21" s="34"/>
      <c r="BO21" s="23" t="s">
        <v>406</v>
      </c>
      <c r="BP21">
        <v>11</v>
      </c>
      <c r="BQ21" s="31"/>
      <c r="BR21" s="31"/>
      <c r="BT21" s="34"/>
      <c r="BU21" s="23" t="s">
        <v>427</v>
      </c>
      <c r="BV21" s="22">
        <v>1</v>
      </c>
      <c r="BW21" s="31"/>
      <c r="BX21" s="31"/>
      <c r="BZ21" s="34"/>
      <c r="CA21" s="38"/>
      <c r="CC21" s="31"/>
      <c r="CD21" s="31"/>
      <c r="CF21" s="36"/>
      <c r="CG21" s="44"/>
      <c r="CL21" s="36"/>
      <c r="CM21" s="44"/>
      <c r="CR21" s="36"/>
    </row>
    <row r="22" spans="1:96" ht="15" x14ac:dyDescent="0.25">
      <c r="A22" s="25" t="s">
        <v>101</v>
      </c>
      <c r="B22" s="12" t="s">
        <v>27</v>
      </c>
      <c r="C22" s="27"/>
      <c r="D22" s="27"/>
      <c r="E22" s="24"/>
      <c r="G22" s="104" t="s">
        <v>517</v>
      </c>
      <c r="H22">
        <v>2</v>
      </c>
      <c r="I22" s="25" t="s">
        <v>138</v>
      </c>
      <c r="J22" s="25">
        <f>AVERAGE(H18:H27)</f>
        <v>0.2</v>
      </c>
      <c r="K22" s="25"/>
      <c r="L22" s="29"/>
      <c r="M22" s="27" t="s">
        <v>101</v>
      </c>
      <c r="N22" s="12" t="s">
        <v>6</v>
      </c>
      <c r="O22" s="27"/>
      <c r="P22" s="27"/>
      <c r="Q22" s="27"/>
      <c r="R22" s="90"/>
      <c r="S22" s="92"/>
      <c r="T22" s="91"/>
      <c r="U22" s="90"/>
      <c r="V22" s="90"/>
      <c r="W22" s="90"/>
      <c r="X22" s="34"/>
      <c r="Y22" s="23" t="s">
        <v>480</v>
      </c>
      <c r="Z22">
        <v>0</v>
      </c>
      <c r="AA22" s="27" t="s">
        <v>138</v>
      </c>
      <c r="AB22" s="27">
        <f>AVERAGE(Z18:Z27)</f>
        <v>0.1</v>
      </c>
      <c r="AC22" s="27"/>
      <c r="AE22" s="23" t="s">
        <v>470</v>
      </c>
      <c r="AF22">
        <v>3</v>
      </c>
      <c r="AG22" s="31"/>
      <c r="AH22" s="31"/>
      <c r="AI22" s="33"/>
      <c r="AJ22" s="34"/>
      <c r="AK22" s="23" t="s">
        <v>332</v>
      </c>
      <c r="AL22">
        <v>0</v>
      </c>
      <c r="AM22" s="31" t="s">
        <v>106</v>
      </c>
      <c r="AN22" s="31">
        <f>SUM(AL22:AL35)</f>
        <v>1</v>
      </c>
      <c r="AO22" s="31"/>
      <c r="AQ22" s="23" t="s">
        <v>347</v>
      </c>
      <c r="AR22">
        <v>0</v>
      </c>
      <c r="AS22" s="31" t="s">
        <v>138</v>
      </c>
      <c r="AT22" s="31">
        <f>AVERAGE(AR18:AR27)</f>
        <v>0.2</v>
      </c>
      <c r="AU22" s="33"/>
      <c r="AX22" s="12" t="s">
        <v>3</v>
      </c>
      <c r="BC22" s="23" t="s">
        <v>369</v>
      </c>
      <c r="BD22">
        <v>0</v>
      </c>
      <c r="BE22" s="31" t="s">
        <v>115</v>
      </c>
      <c r="BF22" s="31">
        <f>MIN(BD21:BD33)</f>
        <v>0</v>
      </c>
      <c r="BH22" s="34"/>
      <c r="BI22" s="23" t="s">
        <v>382</v>
      </c>
      <c r="BJ22">
        <v>2</v>
      </c>
      <c r="BK22" s="31" t="s">
        <v>122</v>
      </c>
      <c r="BL22" s="31">
        <f>MAX(BJ20:BJ31)</f>
        <v>2</v>
      </c>
      <c r="BN22" s="34"/>
      <c r="BO22" s="23" t="s">
        <v>407</v>
      </c>
      <c r="BP22">
        <v>14</v>
      </c>
      <c r="BQ22" s="31"/>
      <c r="BR22" s="31"/>
      <c r="BT22" s="34"/>
      <c r="BU22" s="23" t="s">
        <v>428</v>
      </c>
      <c r="BV22" s="22">
        <v>0</v>
      </c>
      <c r="BW22" s="31"/>
      <c r="BX22" s="31"/>
      <c r="BZ22" s="34"/>
      <c r="CA22" s="38"/>
      <c r="CC22" s="31"/>
      <c r="CD22" s="31"/>
      <c r="CF22" s="36"/>
      <c r="CG22" s="44"/>
      <c r="CL22" s="36"/>
      <c r="CM22" s="44"/>
      <c r="CR22" s="36"/>
    </row>
    <row r="23" spans="1:96" ht="15" x14ac:dyDescent="0.25">
      <c r="A23" s="25" t="s">
        <v>102</v>
      </c>
      <c r="B23" s="25" t="s">
        <v>71</v>
      </c>
      <c r="C23" s="27" t="s">
        <v>103</v>
      </c>
      <c r="D23" s="27" t="s">
        <v>104</v>
      </c>
      <c r="E23" s="24"/>
      <c r="G23" s="104" t="s">
        <v>518</v>
      </c>
      <c r="H23">
        <v>0</v>
      </c>
      <c r="I23" s="25" t="s">
        <v>144</v>
      </c>
      <c r="J23" s="25">
        <f>STDEV(H18:H27)</f>
        <v>0.63245553203367588</v>
      </c>
      <c r="K23" s="25"/>
      <c r="L23" s="29"/>
      <c r="M23" s="27" t="s">
        <v>102</v>
      </c>
      <c r="N23" s="27" t="s">
        <v>71</v>
      </c>
      <c r="O23" s="27" t="s">
        <v>103</v>
      </c>
      <c r="P23" s="27" t="s">
        <v>104</v>
      </c>
      <c r="Q23" s="27"/>
      <c r="R23" s="29"/>
      <c r="S23" s="27" t="s">
        <v>100</v>
      </c>
      <c r="T23" s="30" t="s">
        <v>524</v>
      </c>
      <c r="U23" s="27"/>
      <c r="V23" s="27">
        <v>2014</v>
      </c>
      <c r="W23" s="27"/>
      <c r="Y23" s="23" t="s">
        <v>481</v>
      </c>
      <c r="Z23">
        <v>0</v>
      </c>
      <c r="AA23" s="27" t="s">
        <v>144</v>
      </c>
      <c r="AB23" s="27">
        <f>STDEV(Z18:Z27)</f>
        <v>0.31622776601683794</v>
      </c>
      <c r="AC23" s="27"/>
      <c r="AE23" s="23" t="s">
        <v>471</v>
      </c>
      <c r="AF23">
        <v>8</v>
      </c>
      <c r="AG23" s="31"/>
      <c r="AH23" s="31"/>
      <c r="AI23" s="33"/>
      <c r="AJ23" s="34"/>
      <c r="AK23" s="23" t="s">
        <v>333</v>
      </c>
      <c r="AL23">
        <v>0</v>
      </c>
      <c r="AM23" s="31" t="s">
        <v>115</v>
      </c>
      <c r="AN23" s="31">
        <f>MIN(AL22:AL35)</f>
        <v>0</v>
      </c>
      <c r="AO23" s="31"/>
      <c r="AQ23" s="23" t="s">
        <v>348</v>
      </c>
      <c r="AR23">
        <v>0</v>
      </c>
      <c r="AS23" s="31" t="s">
        <v>144</v>
      </c>
      <c r="AT23" s="31">
        <f>STDEV(AR18:AR27)</f>
        <v>0.63245553203367588</v>
      </c>
      <c r="AU23" s="33"/>
      <c r="AW23" s="31" t="s">
        <v>102</v>
      </c>
      <c r="AX23" s="31" t="s">
        <v>71</v>
      </c>
      <c r="AY23" s="31" t="s">
        <v>103</v>
      </c>
      <c r="AZ23" s="31" t="s">
        <v>104</v>
      </c>
      <c r="BC23" s="23" t="s">
        <v>370</v>
      </c>
      <c r="BD23">
        <v>0</v>
      </c>
      <c r="BE23" s="31" t="s">
        <v>122</v>
      </c>
      <c r="BF23" s="31">
        <f>MAX(BD21:BD33)</f>
        <v>1</v>
      </c>
      <c r="BH23" s="34"/>
      <c r="BI23" s="23" t="s">
        <v>383</v>
      </c>
      <c r="BJ23">
        <v>1</v>
      </c>
      <c r="BK23" s="31" t="s">
        <v>129</v>
      </c>
      <c r="BL23" s="31">
        <f>VAR(BJ20:BJ31)</f>
        <v>0.75</v>
      </c>
      <c r="BN23" s="34"/>
      <c r="BO23" s="100"/>
      <c r="BP23" s="34"/>
      <c r="BQ23" s="94"/>
      <c r="BR23" s="94"/>
      <c r="BS23" s="34"/>
      <c r="BT23" s="34"/>
      <c r="BU23" s="23" t="s">
        <v>429</v>
      </c>
      <c r="BV23" s="22">
        <v>1</v>
      </c>
      <c r="BW23" s="31"/>
      <c r="BX23" s="31"/>
      <c r="BZ23" s="34"/>
      <c r="CA23" s="38"/>
      <c r="CC23" s="31"/>
      <c r="CD23" s="31"/>
      <c r="CF23" s="36"/>
      <c r="CG23" s="44"/>
      <c r="CL23" s="36"/>
      <c r="CM23" s="44"/>
      <c r="CR23" s="36"/>
    </row>
    <row r="24" spans="1:96" ht="15" x14ac:dyDescent="0.25">
      <c r="A24" s="23" t="s">
        <v>510</v>
      </c>
      <c r="B24">
        <v>7</v>
      </c>
      <c r="C24" s="27" t="s">
        <v>106</v>
      </c>
      <c r="D24" s="19">
        <f>SUM(B24:B26)</f>
        <v>10</v>
      </c>
      <c r="G24" s="104" t="s">
        <v>519</v>
      </c>
      <c r="H24">
        <v>0</v>
      </c>
      <c r="I24" s="25"/>
      <c r="J24" s="25"/>
      <c r="K24" s="25"/>
      <c r="L24" s="29"/>
      <c r="M24" s="23" t="s">
        <v>394</v>
      </c>
      <c r="N24">
        <v>0</v>
      </c>
      <c r="O24" s="27" t="s">
        <v>106</v>
      </c>
      <c r="P24" s="27">
        <f>SUM(N24:N28)</f>
        <v>3</v>
      </c>
      <c r="Q24" s="27"/>
      <c r="R24" s="29"/>
      <c r="S24" s="27" t="s">
        <v>101</v>
      </c>
      <c r="T24" s="12" t="s">
        <v>5</v>
      </c>
      <c r="U24" s="27"/>
      <c r="V24" s="27"/>
      <c r="W24" s="25"/>
      <c r="Y24" s="23" t="s">
        <v>262</v>
      </c>
      <c r="Z24">
        <v>0</v>
      </c>
      <c r="AA24" s="27"/>
      <c r="AB24" s="27"/>
      <c r="AC24" s="27"/>
      <c r="AE24" s="23" t="s">
        <v>472</v>
      </c>
      <c r="AF24">
        <v>8</v>
      </c>
      <c r="AI24" s="33"/>
      <c r="AJ24" s="34"/>
      <c r="AK24" s="23" t="s">
        <v>334</v>
      </c>
      <c r="AL24">
        <v>0</v>
      </c>
      <c r="AM24" s="31" t="s">
        <v>122</v>
      </c>
      <c r="AN24" s="31">
        <f>MAX(AL22:AL35)</f>
        <v>1</v>
      </c>
      <c r="AO24" s="31"/>
      <c r="AQ24" s="23" t="s">
        <v>349</v>
      </c>
      <c r="AR24">
        <v>0</v>
      </c>
      <c r="AS24" s="31"/>
      <c r="AT24" s="31"/>
      <c r="AU24" s="33"/>
      <c r="AW24" s="23" t="s">
        <v>353</v>
      </c>
      <c r="AX24">
        <v>0</v>
      </c>
      <c r="AY24" s="31" t="s">
        <v>106</v>
      </c>
      <c r="AZ24" s="31">
        <f>SUM(AX24:AX39)</f>
        <v>2</v>
      </c>
      <c r="BC24" s="23" t="s">
        <v>215</v>
      </c>
      <c r="BD24">
        <v>1</v>
      </c>
      <c r="BE24" s="31" t="s">
        <v>129</v>
      </c>
      <c r="BF24" s="31">
        <f>VAR(BD21:BD33)</f>
        <v>7.6923076923076927E-2</v>
      </c>
      <c r="BH24" s="34"/>
      <c r="BI24" s="23" t="s">
        <v>384</v>
      </c>
      <c r="BJ24">
        <v>0</v>
      </c>
      <c r="BK24" s="31" t="s">
        <v>138</v>
      </c>
      <c r="BL24" s="31">
        <f>AVERAGE(BJ20:BJ31)</f>
        <v>0.75</v>
      </c>
      <c r="BN24" s="34"/>
      <c r="BO24" s="19" t="s">
        <v>100</v>
      </c>
      <c r="BP24" s="35" t="s">
        <v>540</v>
      </c>
      <c r="BR24" s="19">
        <v>2014</v>
      </c>
      <c r="BT24" s="34"/>
      <c r="BU24" s="23" t="s">
        <v>430</v>
      </c>
      <c r="BV24" s="22">
        <v>1</v>
      </c>
      <c r="BW24" s="31"/>
      <c r="BX24" s="31"/>
      <c r="BZ24" s="34"/>
      <c r="CA24" s="38"/>
      <c r="CC24" s="31"/>
      <c r="CD24" s="31"/>
      <c r="CF24" s="36"/>
      <c r="CG24" s="44"/>
      <c r="CL24" s="36"/>
      <c r="CM24" s="44"/>
      <c r="CR24" s="36"/>
    </row>
    <row r="25" spans="1:96" ht="15" x14ac:dyDescent="0.25">
      <c r="A25" s="23" t="s">
        <v>511</v>
      </c>
      <c r="B25">
        <v>1</v>
      </c>
      <c r="C25" s="27" t="s">
        <v>115</v>
      </c>
      <c r="D25" s="19">
        <f>MIN(B24:B26)</f>
        <v>1</v>
      </c>
      <c r="G25" s="104" t="s">
        <v>520</v>
      </c>
      <c r="H25">
        <v>0</v>
      </c>
      <c r="I25" s="25"/>
      <c r="J25" s="25"/>
      <c r="K25" s="25"/>
      <c r="L25" s="29"/>
      <c r="M25" s="23" t="s">
        <v>485</v>
      </c>
      <c r="N25">
        <v>0</v>
      </c>
      <c r="O25" s="27" t="s">
        <v>115</v>
      </c>
      <c r="P25" s="27">
        <f>MIN(N24:N28)</f>
        <v>0</v>
      </c>
      <c r="Q25" s="27"/>
      <c r="R25" s="29"/>
      <c r="S25" s="27" t="s">
        <v>102</v>
      </c>
      <c r="T25" s="27" t="s">
        <v>71</v>
      </c>
      <c r="U25" s="27" t="s">
        <v>103</v>
      </c>
      <c r="V25" s="27" t="s">
        <v>104</v>
      </c>
      <c r="W25" s="27"/>
      <c r="X25" s="34"/>
      <c r="Y25" s="23" t="s">
        <v>482</v>
      </c>
      <c r="Z25">
        <v>0</v>
      </c>
      <c r="AA25" s="27"/>
      <c r="AB25" s="27"/>
      <c r="AC25" s="25"/>
      <c r="AD25" s="34"/>
      <c r="AE25" s="23" t="s">
        <v>362</v>
      </c>
      <c r="AF25">
        <v>7</v>
      </c>
      <c r="AI25" s="33"/>
      <c r="AJ25" s="34"/>
      <c r="AK25" s="23" t="s">
        <v>335</v>
      </c>
      <c r="AL25">
        <v>0</v>
      </c>
      <c r="AM25" s="31" t="s">
        <v>129</v>
      </c>
      <c r="AN25" s="31">
        <f>VAR(AL22:AL35)</f>
        <v>7.1428571428571425E-2</v>
      </c>
      <c r="AO25" s="31"/>
      <c r="AQ25" s="23" t="s">
        <v>350</v>
      </c>
      <c r="AR25">
        <v>0</v>
      </c>
      <c r="AS25" s="31"/>
      <c r="AT25" s="31"/>
      <c r="AU25" s="33"/>
      <c r="AW25" s="23" t="s">
        <v>354</v>
      </c>
      <c r="AX25">
        <v>0</v>
      </c>
      <c r="AY25" s="31" t="s">
        <v>115</v>
      </c>
      <c r="AZ25" s="31">
        <f>MIN(AX24:AX39)</f>
        <v>0</v>
      </c>
      <c r="BC25" s="23" t="s">
        <v>371</v>
      </c>
      <c r="BD25">
        <v>0</v>
      </c>
      <c r="BE25" s="31" t="s">
        <v>138</v>
      </c>
      <c r="BF25" s="31">
        <f>AVERAGE(BD21:BD33)</f>
        <v>7.6923076923076927E-2</v>
      </c>
      <c r="BH25" s="34"/>
      <c r="BI25" s="23" t="s">
        <v>385</v>
      </c>
      <c r="BJ25">
        <v>0</v>
      </c>
      <c r="BK25" s="31" t="s">
        <v>144</v>
      </c>
      <c r="BL25" s="31">
        <f>STDEV(BJ20:BJ31)</f>
        <v>0.8660254037844386</v>
      </c>
      <c r="BN25" s="34"/>
      <c r="BP25" s="12" t="s">
        <v>3</v>
      </c>
      <c r="BT25" s="34"/>
      <c r="BU25" s="23" t="s">
        <v>431</v>
      </c>
      <c r="BV25" s="22">
        <v>0</v>
      </c>
      <c r="BW25" s="31"/>
      <c r="BX25" s="31"/>
      <c r="BZ25" s="34"/>
      <c r="CA25" s="38"/>
      <c r="CC25" s="31"/>
      <c r="CD25" s="31"/>
      <c r="CF25" s="36"/>
      <c r="CG25" s="44"/>
      <c r="CL25" s="36"/>
      <c r="CR25" s="36"/>
    </row>
    <row r="26" spans="1:96" ht="15" x14ac:dyDescent="0.25">
      <c r="A26" s="23" t="s">
        <v>512</v>
      </c>
      <c r="B26">
        <v>2</v>
      </c>
      <c r="C26" s="27" t="s">
        <v>122</v>
      </c>
      <c r="D26" s="19">
        <f>MAX(B24:B26)</f>
        <v>7</v>
      </c>
      <c r="G26" s="104" t="s">
        <v>521</v>
      </c>
      <c r="H26">
        <v>0</v>
      </c>
      <c r="I26" s="25"/>
      <c r="J26" s="25"/>
      <c r="K26" s="25"/>
      <c r="L26" s="29"/>
      <c r="M26" s="23" t="s">
        <v>486</v>
      </c>
      <c r="N26">
        <v>0</v>
      </c>
      <c r="O26" s="27" t="s">
        <v>122</v>
      </c>
      <c r="P26" s="27">
        <f>MAX(N24:N28)</f>
        <v>3</v>
      </c>
      <c r="Q26" s="27"/>
      <c r="R26" s="29"/>
      <c r="S26" s="23" t="s">
        <v>489</v>
      </c>
      <c r="T26">
        <v>0</v>
      </c>
      <c r="U26" s="31" t="s">
        <v>106</v>
      </c>
      <c r="V26" s="27">
        <f>SUM(T26:T43)</f>
        <v>8</v>
      </c>
      <c r="W26" s="27"/>
      <c r="Y26" s="23" t="s">
        <v>483</v>
      </c>
      <c r="Z26">
        <v>0</v>
      </c>
      <c r="AA26" s="27"/>
      <c r="AB26" s="27"/>
      <c r="AC26" s="27"/>
      <c r="AE26" s="23" t="s">
        <v>473</v>
      </c>
      <c r="AF26">
        <v>7</v>
      </c>
      <c r="AI26" s="33"/>
      <c r="AJ26" s="34"/>
      <c r="AK26" s="23" t="s">
        <v>336</v>
      </c>
      <c r="AL26">
        <v>0</v>
      </c>
      <c r="AM26" s="31" t="s">
        <v>138</v>
      </c>
      <c r="AN26" s="31">
        <f>AVERAGE(AL22:AL35)</f>
        <v>7.1428571428571425E-2</v>
      </c>
      <c r="AO26" s="24"/>
      <c r="AQ26" s="23" t="s">
        <v>351</v>
      </c>
      <c r="AR26">
        <v>0</v>
      </c>
      <c r="AS26" s="31"/>
      <c r="AT26" s="31"/>
      <c r="AU26" s="33"/>
      <c r="AW26" s="23" t="s">
        <v>216</v>
      </c>
      <c r="AX26">
        <v>0</v>
      </c>
      <c r="AY26" s="31" t="s">
        <v>122</v>
      </c>
      <c r="AZ26" s="31">
        <f>MAX(AX24:AX39)</f>
        <v>1</v>
      </c>
      <c r="BC26" s="23" t="s">
        <v>372</v>
      </c>
      <c r="BD26">
        <v>0</v>
      </c>
      <c r="BE26" s="31" t="s">
        <v>144</v>
      </c>
      <c r="BF26" s="31">
        <f>STDEV(BD21:BD33)</f>
        <v>0.27735009811261457</v>
      </c>
      <c r="BH26" s="34"/>
      <c r="BI26" s="23" t="s">
        <v>386</v>
      </c>
      <c r="BJ26">
        <v>0</v>
      </c>
      <c r="BK26" s="31"/>
      <c r="BL26" s="31"/>
      <c r="BN26" s="34"/>
      <c r="BO26" s="31" t="s">
        <v>102</v>
      </c>
      <c r="BP26" s="31" t="s">
        <v>71</v>
      </c>
      <c r="BQ26" s="31" t="s">
        <v>103</v>
      </c>
      <c r="BR26" s="31" t="s">
        <v>104</v>
      </c>
      <c r="BT26" s="34"/>
      <c r="BU26" s="23" t="s">
        <v>432</v>
      </c>
      <c r="BV26" s="22">
        <v>0</v>
      </c>
      <c r="BW26" s="31"/>
      <c r="BX26" s="31"/>
      <c r="BZ26" s="34"/>
      <c r="CA26" s="38"/>
      <c r="CC26" s="31"/>
      <c r="CD26" s="31"/>
      <c r="CF26" s="36"/>
      <c r="CG26" s="44"/>
      <c r="CL26" s="36"/>
      <c r="CR26" s="36"/>
    </row>
    <row r="27" spans="1:96" ht="15" x14ac:dyDescent="0.25">
      <c r="A27" s="23"/>
      <c r="B27" s="40"/>
      <c r="C27" s="27" t="s">
        <v>129</v>
      </c>
      <c r="D27" s="19">
        <f>VAR(B24:B26)</f>
        <v>10.333333333333332</v>
      </c>
      <c r="G27" s="104" t="s">
        <v>175</v>
      </c>
      <c r="H27">
        <v>0</v>
      </c>
      <c r="K27" s="25"/>
      <c r="L27" s="29"/>
      <c r="M27" s="23" t="s">
        <v>487</v>
      </c>
      <c r="N27">
        <v>3</v>
      </c>
      <c r="O27" s="27" t="s">
        <v>129</v>
      </c>
      <c r="P27" s="27">
        <f>VAR(N24:N28)</f>
        <v>1.8</v>
      </c>
      <c r="Q27" s="27"/>
      <c r="R27" s="29"/>
      <c r="S27" s="23" t="s">
        <v>490</v>
      </c>
      <c r="T27">
        <v>0</v>
      </c>
      <c r="U27" s="31" t="s">
        <v>115</v>
      </c>
      <c r="V27" s="27">
        <f>MIN(T26:T43)</f>
        <v>0</v>
      </c>
      <c r="W27" s="27"/>
      <c r="Y27" s="23" t="s">
        <v>484</v>
      </c>
      <c r="Z27">
        <v>1</v>
      </c>
      <c r="AA27" s="27"/>
      <c r="AB27" s="27"/>
      <c r="AC27" s="27"/>
      <c r="AE27" s="23" t="s">
        <v>474</v>
      </c>
      <c r="AF27">
        <v>10</v>
      </c>
      <c r="AI27" s="33"/>
      <c r="AJ27" s="34"/>
      <c r="AK27" s="23" t="s">
        <v>172</v>
      </c>
      <c r="AL27">
        <v>0</v>
      </c>
      <c r="AM27" s="31" t="s">
        <v>144</v>
      </c>
      <c r="AN27" s="31">
        <f>STDEV(AL22:AL35)</f>
        <v>0.2672612419124244</v>
      </c>
      <c r="AO27" s="96"/>
      <c r="AQ27" s="23" t="s">
        <v>352</v>
      </c>
      <c r="AR27">
        <v>0</v>
      </c>
      <c r="AS27" s="31"/>
      <c r="AT27" s="31"/>
      <c r="AU27" s="33"/>
      <c r="AW27" s="23" t="s">
        <v>355</v>
      </c>
      <c r="AX27">
        <v>0</v>
      </c>
      <c r="AY27" s="31" t="s">
        <v>129</v>
      </c>
      <c r="AZ27" s="31">
        <f>VAR(AX24:AX39)</f>
        <v>0.11666666666666667</v>
      </c>
      <c r="BC27" s="23" t="s">
        <v>373</v>
      </c>
      <c r="BD27">
        <v>0</v>
      </c>
      <c r="BE27" s="31"/>
      <c r="BF27" s="31"/>
      <c r="BH27" s="34"/>
      <c r="BI27" s="23" t="s">
        <v>387</v>
      </c>
      <c r="BJ27">
        <v>0</v>
      </c>
      <c r="BK27" s="33"/>
      <c r="BL27" s="33"/>
      <c r="BN27" s="34"/>
      <c r="BO27" s="23" t="s">
        <v>390</v>
      </c>
      <c r="BP27">
        <v>0</v>
      </c>
      <c r="BQ27" s="31" t="s">
        <v>106</v>
      </c>
      <c r="BR27" s="31">
        <f>SUM(BP27:BP45)</f>
        <v>7</v>
      </c>
      <c r="BT27" s="34"/>
      <c r="BU27" s="23" t="s">
        <v>433</v>
      </c>
      <c r="BV27" s="22">
        <v>0</v>
      </c>
      <c r="BW27" s="31"/>
      <c r="BX27" s="31"/>
      <c r="BZ27" s="34"/>
      <c r="CA27" s="43"/>
      <c r="CC27" s="31"/>
      <c r="CD27" s="31"/>
      <c r="CF27" s="36"/>
      <c r="CG27" s="44"/>
      <c r="CL27" s="36"/>
      <c r="CM27" s="46"/>
      <c r="CR27" s="36"/>
    </row>
    <row r="28" spans="1:96" ht="15" x14ac:dyDescent="0.25">
      <c r="A28" s="23"/>
      <c r="B28" s="40"/>
      <c r="C28" s="27" t="s">
        <v>138</v>
      </c>
      <c r="D28" s="19">
        <f>AVERAGE(B24:B26)</f>
        <v>3.3333333333333335</v>
      </c>
      <c r="G28" s="34"/>
      <c r="H28" s="34"/>
      <c r="I28" s="34"/>
      <c r="J28" s="34"/>
      <c r="K28" s="34"/>
      <c r="L28" s="29"/>
      <c r="M28" s="23" t="s">
        <v>488</v>
      </c>
      <c r="N28">
        <v>0</v>
      </c>
      <c r="O28" s="27" t="s">
        <v>138</v>
      </c>
      <c r="P28" s="27">
        <f>AVERAGE(N24:N28)</f>
        <v>0.6</v>
      </c>
      <c r="Q28" s="27"/>
      <c r="R28" s="29"/>
      <c r="S28" s="23" t="s">
        <v>491</v>
      </c>
      <c r="T28">
        <v>2</v>
      </c>
      <c r="U28" s="31" t="s">
        <v>122</v>
      </c>
      <c r="V28" s="27">
        <f>MAX(T26:T43)</f>
        <v>3</v>
      </c>
      <c r="W28" s="27"/>
      <c r="Y28" s="107"/>
      <c r="Z28" s="90"/>
      <c r="AA28" s="90"/>
      <c r="AB28" s="90"/>
      <c r="AC28" s="90"/>
      <c r="AE28" s="23" t="s">
        <v>475</v>
      </c>
      <c r="AF28">
        <v>20</v>
      </c>
      <c r="AI28" s="33"/>
      <c r="AJ28" s="34"/>
      <c r="AK28" s="23" t="s">
        <v>337</v>
      </c>
      <c r="AL28">
        <v>0</v>
      </c>
      <c r="AM28" s="31"/>
      <c r="AN28" s="31"/>
      <c r="AO28" s="24"/>
      <c r="AQ28" s="34"/>
      <c r="AR28" s="34"/>
      <c r="AS28" s="34"/>
      <c r="AT28" s="34"/>
      <c r="AU28" s="94"/>
      <c r="AW28" s="23" t="s">
        <v>356</v>
      </c>
      <c r="AX28">
        <v>1</v>
      </c>
      <c r="AY28" s="31" t="s">
        <v>138</v>
      </c>
      <c r="AZ28" s="31">
        <f>AVERAGE(AX24:AX39)</f>
        <v>0.125</v>
      </c>
      <c r="BC28" s="23" t="s">
        <v>374</v>
      </c>
      <c r="BD28">
        <v>0</v>
      </c>
      <c r="BE28" s="33"/>
      <c r="BF28" s="33"/>
      <c r="BH28" s="34"/>
      <c r="BI28" s="23" t="s">
        <v>139</v>
      </c>
      <c r="BJ28">
        <v>0</v>
      </c>
      <c r="BK28" s="33"/>
      <c r="BL28" s="33"/>
      <c r="BN28" s="34"/>
      <c r="BO28" s="23" t="s">
        <v>391</v>
      </c>
      <c r="BP28">
        <v>0</v>
      </c>
      <c r="BQ28" s="31" t="s">
        <v>115</v>
      </c>
      <c r="BR28" s="31">
        <f>MIN(BP27:BP45)</f>
        <v>0</v>
      </c>
      <c r="BT28" s="34"/>
      <c r="BU28" s="23" t="s">
        <v>434</v>
      </c>
      <c r="BV28" s="22">
        <v>0</v>
      </c>
      <c r="BW28" s="31"/>
      <c r="BX28" s="31"/>
      <c r="BZ28" s="34"/>
      <c r="CA28" s="43"/>
      <c r="CC28" s="31"/>
      <c r="CD28" s="31"/>
      <c r="CF28" s="36"/>
      <c r="CG28" s="44"/>
      <c r="CL28" s="36"/>
      <c r="CM28" s="31"/>
      <c r="CN28" s="31"/>
      <c r="CO28" s="31"/>
      <c r="CP28" s="31"/>
      <c r="CR28" s="36"/>
    </row>
    <row r="29" spans="1:96" ht="15" x14ac:dyDescent="0.25">
      <c r="A29" s="23"/>
      <c r="B29" s="40"/>
      <c r="C29" s="27" t="s">
        <v>144</v>
      </c>
      <c r="D29" s="19">
        <f>STDEV(B24:B26)</f>
        <v>3.214550253664318</v>
      </c>
      <c r="G29" s="25" t="s">
        <v>100</v>
      </c>
      <c r="H29" s="26" t="s">
        <v>523</v>
      </c>
      <c r="I29" s="25"/>
      <c r="J29" s="25">
        <v>2014</v>
      </c>
      <c r="L29" s="29"/>
      <c r="M29" s="23"/>
      <c r="N29" s="40"/>
      <c r="O29" s="27" t="s">
        <v>144</v>
      </c>
      <c r="P29" s="27">
        <f>STDEV(N24:N28)</f>
        <v>1.3416407864998738</v>
      </c>
      <c r="Q29" s="27"/>
      <c r="R29" s="29"/>
      <c r="S29" s="23" t="s">
        <v>492</v>
      </c>
      <c r="T29">
        <v>3</v>
      </c>
      <c r="U29" s="31" t="s">
        <v>129</v>
      </c>
      <c r="V29" s="27">
        <f>VAR(T26:T43)</f>
        <v>0.73202614379084974</v>
      </c>
      <c r="W29" s="27"/>
      <c r="Y29" s="27" t="s">
        <v>100</v>
      </c>
      <c r="Z29" s="30" t="s">
        <v>535</v>
      </c>
      <c r="AA29" s="27"/>
      <c r="AB29" s="27"/>
      <c r="AC29" s="27"/>
      <c r="AE29" s="34"/>
      <c r="AF29" s="34"/>
      <c r="AG29" s="34"/>
      <c r="AH29" s="34"/>
      <c r="AI29" s="94"/>
      <c r="AJ29" s="34"/>
      <c r="AK29" s="23" t="s">
        <v>338</v>
      </c>
      <c r="AL29">
        <v>0</v>
      </c>
      <c r="AM29" s="31"/>
      <c r="AN29" s="31"/>
      <c r="AQ29" s="19" t="s">
        <v>100</v>
      </c>
      <c r="AR29" s="32" t="s">
        <v>444</v>
      </c>
      <c r="AU29" s="33"/>
      <c r="AW29" s="23" t="s">
        <v>357</v>
      </c>
      <c r="AX29">
        <v>0</v>
      </c>
      <c r="AY29" s="31" t="s">
        <v>144</v>
      </c>
      <c r="AZ29" s="31">
        <f>STDEV(AX24:AX39)</f>
        <v>0.34156502553198659</v>
      </c>
      <c r="BC29" s="23" t="s">
        <v>375</v>
      </c>
      <c r="BD29">
        <v>0</v>
      </c>
      <c r="BE29" s="33"/>
      <c r="BF29" s="33"/>
      <c r="BH29" s="34"/>
      <c r="BI29" s="23" t="s">
        <v>156</v>
      </c>
      <c r="BJ29">
        <v>2</v>
      </c>
      <c r="BK29" s="31"/>
      <c r="BL29" s="31"/>
      <c r="BN29" s="34"/>
      <c r="BO29" s="23" t="s">
        <v>392</v>
      </c>
      <c r="BP29">
        <v>0</v>
      </c>
      <c r="BQ29" s="31" t="s">
        <v>122</v>
      </c>
      <c r="BR29" s="31">
        <f>MAX(BP27:BP45)</f>
        <v>3</v>
      </c>
      <c r="BT29" s="34"/>
      <c r="BU29" s="97"/>
      <c r="BV29" s="34"/>
      <c r="BW29" s="34"/>
      <c r="BX29" s="34"/>
      <c r="BY29" s="34"/>
      <c r="BZ29" s="34"/>
      <c r="CA29" s="43"/>
      <c r="CF29" s="36"/>
      <c r="CG29" s="44"/>
      <c r="CL29" s="36"/>
      <c r="CM29" s="44"/>
      <c r="CO29" s="31"/>
      <c r="CP29" s="31"/>
      <c r="CR29" s="36"/>
    </row>
    <row r="30" spans="1:96" ht="15" x14ac:dyDescent="0.25">
      <c r="A30" s="34"/>
      <c r="B30" s="34"/>
      <c r="C30" s="34"/>
      <c r="D30" s="34"/>
      <c r="E30" s="34"/>
      <c r="G30" s="25" t="s">
        <v>101</v>
      </c>
      <c r="H30" s="103" t="s">
        <v>5</v>
      </c>
      <c r="I30" s="25"/>
      <c r="J30" s="25"/>
      <c r="L30" s="90"/>
      <c r="M30" s="90"/>
      <c r="N30" s="90"/>
      <c r="O30" s="90"/>
      <c r="P30" s="90"/>
      <c r="Q30" s="90"/>
      <c r="R30" s="90"/>
      <c r="S30" s="23" t="s">
        <v>493</v>
      </c>
      <c r="T30">
        <v>0</v>
      </c>
      <c r="U30" s="31" t="s">
        <v>138</v>
      </c>
      <c r="V30" s="27">
        <f>AVERAGE(T26:T43)</f>
        <v>0.44444444444444442</v>
      </c>
      <c r="W30" s="27"/>
      <c r="Y30" s="27" t="s">
        <v>101</v>
      </c>
      <c r="Z30" s="12" t="s">
        <v>6</v>
      </c>
      <c r="AA30" s="27"/>
      <c r="AB30" s="27"/>
      <c r="AC30" s="27"/>
      <c r="AE30" s="31" t="s">
        <v>100</v>
      </c>
      <c r="AF30" s="32" t="s">
        <v>67</v>
      </c>
      <c r="AG30" s="31"/>
      <c r="AH30" s="31"/>
      <c r="AI30" s="33"/>
      <c r="AJ30" s="34"/>
      <c r="AK30" s="23" t="s">
        <v>339</v>
      </c>
      <c r="AL30">
        <v>0</v>
      </c>
      <c r="AM30" s="31"/>
      <c r="AN30" s="31"/>
      <c r="AR30" s="12" t="s">
        <v>5</v>
      </c>
      <c r="AU30" s="33"/>
      <c r="AW30" s="23" t="s">
        <v>358</v>
      </c>
      <c r="AX30">
        <v>0</v>
      </c>
      <c r="AY30" s="31"/>
      <c r="AZ30" s="31"/>
      <c r="BC30" s="23" t="s">
        <v>376</v>
      </c>
      <c r="BD30">
        <v>0</v>
      </c>
      <c r="BE30" s="31"/>
      <c r="BF30" s="31"/>
      <c r="BH30" s="34"/>
      <c r="BI30" s="23" t="s">
        <v>388</v>
      </c>
      <c r="BJ30">
        <v>0</v>
      </c>
      <c r="BK30" s="31"/>
      <c r="BL30" s="31"/>
      <c r="BN30" s="34"/>
      <c r="BO30" s="23" t="s">
        <v>393</v>
      </c>
      <c r="BP30">
        <v>0</v>
      </c>
      <c r="BQ30" s="31" t="s">
        <v>129</v>
      </c>
      <c r="BR30" s="31">
        <f>VAR(BP27:BP45)</f>
        <v>0.6900584795321637</v>
      </c>
      <c r="BT30" s="34"/>
      <c r="BU30" s="19" t="s">
        <v>100</v>
      </c>
      <c r="BV30" s="35" t="s">
        <v>61</v>
      </c>
      <c r="BZ30" s="34"/>
      <c r="CA30" s="43"/>
      <c r="CF30" s="36"/>
      <c r="CL30" s="36"/>
      <c r="CM30" s="44"/>
      <c r="CO30" s="31"/>
      <c r="CP30" s="31"/>
      <c r="CR30" s="36"/>
    </row>
    <row r="31" spans="1:96" ht="15" x14ac:dyDescent="0.25">
      <c r="A31" s="25" t="s">
        <v>100</v>
      </c>
      <c r="B31" s="26" t="s">
        <v>522</v>
      </c>
      <c r="C31" s="27">
        <v>2014</v>
      </c>
      <c r="D31" s="27"/>
      <c r="G31" s="25" t="s">
        <v>102</v>
      </c>
      <c r="H31" s="25" t="s">
        <v>71</v>
      </c>
      <c r="I31" s="25" t="s">
        <v>103</v>
      </c>
      <c r="J31" s="25" t="s">
        <v>104</v>
      </c>
      <c r="L31" s="90"/>
      <c r="M31" s="27" t="s">
        <v>100</v>
      </c>
      <c r="N31" s="30" t="s">
        <v>525</v>
      </c>
      <c r="O31" s="27"/>
      <c r="P31" s="27"/>
      <c r="Q31" s="27"/>
      <c r="R31" s="29"/>
      <c r="S31" s="23" t="s">
        <v>494</v>
      </c>
      <c r="T31">
        <v>0</v>
      </c>
      <c r="U31" s="31" t="s">
        <v>144</v>
      </c>
      <c r="V31" s="27">
        <f>STDEV(T26:T43)</f>
        <v>0.85558526389299727</v>
      </c>
      <c r="W31" s="27"/>
      <c r="Y31" s="27" t="s">
        <v>105</v>
      </c>
      <c r="Z31" s="27" t="s">
        <v>71</v>
      </c>
      <c r="AA31" s="27" t="s">
        <v>103</v>
      </c>
      <c r="AB31" s="27" t="s">
        <v>104</v>
      </c>
      <c r="AC31" s="27"/>
      <c r="AE31" s="31" t="s">
        <v>101</v>
      </c>
      <c r="AF31" s="12" t="s">
        <v>3</v>
      </c>
      <c r="AG31" s="31"/>
      <c r="AH31" s="31"/>
      <c r="AI31" s="33"/>
      <c r="AJ31" s="34"/>
      <c r="AK31" s="23" t="s">
        <v>340</v>
      </c>
      <c r="AL31">
        <v>1</v>
      </c>
      <c r="AM31" s="31"/>
      <c r="AN31" s="31"/>
      <c r="AQ31" s="31" t="s">
        <v>102</v>
      </c>
      <c r="AR31" s="31" t="s">
        <v>71</v>
      </c>
      <c r="AS31" s="31" t="s">
        <v>103</v>
      </c>
      <c r="AT31" s="31" t="s">
        <v>104</v>
      </c>
      <c r="AU31" s="33"/>
      <c r="AW31" s="23" t="s">
        <v>359</v>
      </c>
      <c r="AX31">
        <v>0</v>
      </c>
      <c r="AY31" s="31"/>
      <c r="AZ31" s="31"/>
      <c r="BC31" s="23" t="s">
        <v>377</v>
      </c>
      <c r="BD31">
        <v>0</v>
      </c>
      <c r="BE31" s="31"/>
      <c r="BF31" s="31"/>
      <c r="BH31" s="34"/>
      <c r="BI31" s="23" t="s">
        <v>389</v>
      </c>
      <c r="BJ31">
        <v>2</v>
      </c>
      <c r="BK31" s="31"/>
      <c r="BL31" s="31"/>
      <c r="BN31" s="34"/>
      <c r="BO31" s="23" t="s">
        <v>394</v>
      </c>
      <c r="BP31">
        <v>0</v>
      </c>
      <c r="BQ31" s="31" t="s">
        <v>138</v>
      </c>
      <c r="BR31" s="31">
        <f>AVERAGE(BP27:BP45)</f>
        <v>0.36842105263157893</v>
      </c>
      <c r="BT31" s="34"/>
      <c r="BV31" s="12" t="s">
        <v>2</v>
      </c>
      <c r="BY31" s="34"/>
      <c r="BZ31" s="34"/>
      <c r="CA31" s="43"/>
      <c r="CF31" s="36"/>
      <c r="CL31" s="36"/>
      <c r="CM31" s="44"/>
      <c r="CO31" s="31"/>
      <c r="CP31" s="31"/>
      <c r="CR31" s="36"/>
    </row>
    <row r="32" spans="1:96" ht="15" x14ac:dyDescent="0.25">
      <c r="A32" s="25" t="s">
        <v>101</v>
      </c>
      <c r="B32" s="12" t="s">
        <v>29</v>
      </c>
      <c r="C32" s="27"/>
      <c r="D32" s="27"/>
      <c r="G32" s="104" t="s">
        <v>513</v>
      </c>
      <c r="H32">
        <v>0</v>
      </c>
      <c r="I32" s="25" t="s">
        <v>106</v>
      </c>
      <c r="J32" s="25">
        <f>SUM(H32:H41)</f>
        <v>6</v>
      </c>
      <c r="L32" s="90"/>
      <c r="M32" s="27" t="s">
        <v>101</v>
      </c>
      <c r="N32" s="12" t="s">
        <v>8</v>
      </c>
      <c r="O32" s="27"/>
      <c r="P32" s="27"/>
      <c r="Q32" s="27"/>
      <c r="R32" s="29"/>
      <c r="S32" s="23" t="s">
        <v>495</v>
      </c>
      <c r="T32">
        <v>0</v>
      </c>
      <c r="U32" s="27"/>
      <c r="V32" s="27"/>
      <c r="W32" s="27"/>
      <c r="Y32" s="23" t="s">
        <v>476</v>
      </c>
      <c r="Z32">
        <v>0</v>
      </c>
      <c r="AA32" s="27" t="s">
        <v>106</v>
      </c>
      <c r="AB32" s="27">
        <f>SUM(Z32:Z41)</f>
        <v>1</v>
      </c>
      <c r="AC32" s="27"/>
      <c r="AE32" s="31" t="s">
        <v>102</v>
      </c>
      <c r="AF32" s="31" t="s">
        <v>71</v>
      </c>
      <c r="AG32" s="31" t="s">
        <v>103</v>
      </c>
      <c r="AH32" s="31" t="s">
        <v>104</v>
      </c>
      <c r="AI32" s="33"/>
      <c r="AJ32" s="34"/>
      <c r="AK32" s="23" t="s">
        <v>77</v>
      </c>
      <c r="AL32">
        <v>0</v>
      </c>
      <c r="AM32" s="31"/>
      <c r="AN32" s="31"/>
      <c r="AQ32" s="23" t="s">
        <v>344</v>
      </c>
      <c r="AR32">
        <v>0</v>
      </c>
      <c r="AS32" s="31" t="s">
        <v>106</v>
      </c>
      <c r="AT32" s="31">
        <f>SUM(AR32:AR41)</f>
        <v>2</v>
      </c>
      <c r="AU32" s="33"/>
      <c r="AW32" s="23" t="s">
        <v>360</v>
      </c>
      <c r="AX32">
        <v>1</v>
      </c>
      <c r="AY32" s="31"/>
      <c r="AZ32" s="31"/>
      <c r="BC32" s="23" t="s">
        <v>378</v>
      </c>
      <c r="BD32">
        <v>0</v>
      </c>
      <c r="BE32" s="31"/>
      <c r="BF32" s="31"/>
      <c r="BH32" s="34"/>
      <c r="BI32" s="100"/>
      <c r="BJ32" s="101"/>
      <c r="BK32" s="94"/>
      <c r="BL32" s="94"/>
      <c r="BM32" s="34"/>
      <c r="BN32" s="34"/>
      <c r="BO32" s="23" t="s">
        <v>395</v>
      </c>
      <c r="BP32">
        <v>0</v>
      </c>
      <c r="BQ32" s="31" t="s">
        <v>144</v>
      </c>
      <c r="BR32" s="31">
        <f>STDEV(BP27:BP45)</f>
        <v>0.83069758608783961</v>
      </c>
      <c r="BT32" s="34"/>
      <c r="BU32" s="31" t="s">
        <v>102</v>
      </c>
      <c r="BV32" s="31" t="s">
        <v>71</v>
      </c>
      <c r="BW32" s="31" t="s">
        <v>103</v>
      </c>
      <c r="BX32" s="31" t="s">
        <v>104</v>
      </c>
      <c r="BY32" s="24"/>
      <c r="BZ32" s="34"/>
      <c r="CF32" s="36"/>
      <c r="CL32" s="36"/>
      <c r="CM32" s="44"/>
      <c r="CO32" s="31"/>
      <c r="CP32" s="31"/>
      <c r="CR32" s="36"/>
    </row>
    <row r="33" spans="1:96" ht="15" x14ac:dyDescent="0.25">
      <c r="A33" s="25" t="s">
        <v>102</v>
      </c>
      <c r="B33" s="25" t="s">
        <v>71</v>
      </c>
      <c r="C33" s="27" t="s">
        <v>103</v>
      </c>
      <c r="D33" s="27" t="s">
        <v>104</v>
      </c>
      <c r="F33" s="34"/>
      <c r="G33" s="104" t="s">
        <v>514</v>
      </c>
      <c r="H33">
        <v>0</v>
      </c>
      <c r="I33" s="25" t="s">
        <v>115</v>
      </c>
      <c r="J33" s="25">
        <f>MIN(H32:H41)</f>
        <v>0</v>
      </c>
      <c r="K33" s="25"/>
      <c r="L33" s="90"/>
      <c r="M33" s="27" t="s">
        <v>102</v>
      </c>
      <c r="N33" s="27" t="s">
        <v>71</v>
      </c>
      <c r="O33" s="27" t="s">
        <v>103</v>
      </c>
      <c r="P33" s="27" t="s">
        <v>104</v>
      </c>
      <c r="Q33" s="27"/>
      <c r="R33" s="29"/>
      <c r="S33" s="23" t="s">
        <v>496</v>
      </c>
      <c r="T33">
        <v>1</v>
      </c>
      <c r="U33" s="27"/>
      <c r="V33" s="27"/>
      <c r="W33" s="27"/>
      <c r="Y33" s="23" t="s">
        <v>477</v>
      </c>
      <c r="Z33">
        <v>0</v>
      </c>
      <c r="AA33" s="27" t="s">
        <v>115</v>
      </c>
      <c r="AB33" s="27">
        <f>MIN(Z32:Z41)</f>
        <v>0</v>
      </c>
      <c r="AC33" s="27"/>
      <c r="AE33" s="23" t="s">
        <v>453</v>
      </c>
      <c r="AF33">
        <v>0</v>
      </c>
      <c r="AG33" s="31" t="s">
        <v>106</v>
      </c>
      <c r="AH33" s="31">
        <f>SUM(AF33:AF57)</f>
        <v>18</v>
      </c>
      <c r="AI33" s="33"/>
      <c r="AJ33" s="34"/>
      <c r="AK33" s="23" t="s">
        <v>341</v>
      </c>
      <c r="AL33">
        <v>0</v>
      </c>
      <c r="AM33" s="31"/>
      <c r="AN33" s="31"/>
      <c r="AQ33" s="23" t="s">
        <v>345</v>
      </c>
      <c r="AR33">
        <v>0</v>
      </c>
      <c r="AS33" s="31" t="s">
        <v>115</v>
      </c>
      <c r="AT33" s="31">
        <f>MIN(AR32:AR41)</f>
        <v>0</v>
      </c>
      <c r="AU33" s="33"/>
      <c r="AW33" s="23" t="s">
        <v>361</v>
      </c>
      <c r="AX33">
        <v>0</v>
      </c>
      <c r="AY33" s="31"/>
      <c r="AZ33" s="31"/>
      <c r="BA33" s="24"/>
      <c r="BC33" s="23" t="s">
        <v>379</v>
      </c>
      <c r="BD33">
        <v>0</v>
      </c>
      <c r="BE33" s="31"/>
      <c r="BF33" s="31"/>
      <c r="BH33" s="34"/>
      <c r="BI33" s="19" t="s">
        <v>100</v>
      </c>
      <c r="BJ33" s="35" t="s">
        <v>64</v>
      </c>
      <c r="BN33" s="34"/>
      <c r="BO33" s="23" t="s">
        <v>396</v>
      </c>
      <c r="BP33">
        <v>0</v>
      </c>
      <c r="BQ33" s="31"/>
      <c r="BR33" s="31"/>
      <c r="BT33" s="34"/>
      <c r="BU33" s="23" t="s">
        <v>412</v>
      </c>
      <c r="BV33" s="22">
        <v>17</v>
      </c>
      <c r="BW33" s="31" t="s">
        <v>106</v>
      </c>
      <c r="BX33" s="31">
        <f>SUM(BV33:BV57)</f>
        <v>446</v>
      </c>
      <c r="BZ33" s="34"/>
      <c r="CF33" s="36"/>
      <c r="CL33" s="36"/>
      <c r="CO33" s="31"/>
      <c r="CP33" s="31"/>
      <c r="CR33" s="36"/>
    </row>
    <row r="34" spans="1:96" ht="15" x14ac:dyDescent="0.25">
      <c r="A34" s="23" t="s">
        <v>510</v>
      </c>
      <c r="B34">
        <v>9</v>
      </c>
      <c r="C34" s="27" t="s">
        <v>106</v>
      </c>
      <c r="D34" s="19">
        <f>SUM(B34:B36)</f>
        <v>21</v>
      </c>
      <c r="G34" s="104" t="s">
        <v>515</v>
      </c>
      <c r="H34">
        <v>0</v>
      </c>
      <c r="I34" s="25" t="s">
        <v>122</v>
      </c>
      <c r="J34" s="25">
        <f>MAX(H32:H41)</f>
        <v>4</v>
      </c>
      <c r="K34" s="25"/>
      <c r="L34" s="90"/>
      <c r="M34" s="23" t="s">
        <v>394</v>
      </c>
      <c r="N34">
        <v>1</v>
      </c>
      <c r="O34" s="27" t="s">
        <v>106</v>
      </c>
      <c r="P34" s="27">
        <f>SUM(N34:N38)</f>
        <v>1</v>
      </c>
      <c r="Q34" s="27"/>
      <c r="R34" s="29"/>
      <c r="S34" s="23" t="s">
        <v>389</v>
      </c>
      <c r="T34">
        <v>0</v>
      </c>
      <c r="U34" s="27"/>
      <c r="V34" s="27"/>
      <c r="W34" s="27"/>
      <c r="Y34" s="23" t="s">
        <v>478</v>
      </c>
      <c r="Z34">
        <v>0</v>
      </c>
      <c r="AA34" s="27" t="s">
        <v>122</v>
      </c>
      <c r="AB34" s="27">
        <f>MAX(Z32:Z41)</f>
        <v>1</v>
      </c>
      <c r="AC34" s="27"/>
      <c r="AE34" s="23" t="s">
        <v>454</v>
      </c>
      <c r="AF34">
        <v>0</v>
      </c>
      <c r="AG34" s="31" t="s">
        <v>115</v>
      </c>
      <c r="AH34" s="31">
        <f>MIN(AF33:AF57)</f>
        <v>0</v>
      </c>
      <c r="AI34" s="33"/>
      <c r="AJ34" s="34"/>
      <c r="AK34" s="23" t="s">
        <v>342</v>
      </c>
      <c r="AL34">
        <v>0</v>
      </c>
      <c r="AM34" s="31"/>
      <c r="AN34" s="31"/>
      <c r="AQ34" s="23" t="s">
        <v>262</v>
      </c>
      <c r="AR34">
        <v>2</v>
      </c>
      <c r="AS34" s="31" t="s">
        <v>122</v>
      </c>
      <c r="AT34" s="31">
        <f>MAX(AR32:AR41)</f>
        <v>2</v>
      </c>
      <c r="AU34" s="33"/>
      <c r="AW34" s="23" t="s">
        <v>362</v>
      </c>
      <c r="AX34">
        <v>0</v>
      </c>
      <c r="AY34" s="31"/>
      <c r="AZ34" s="31"/>
      <c r="BC34" s="97"/>
      <c r="BD34" s="34"/>
      <c r="BE34" s="34"/>
      <c r="BF34" s="34"/>
      <c r="BG34" s="34"/>
      <c r="BH34" s="34"/>
      <c r="BJ34" s="12" t="s">
        <v>5</v>
      </c>
      <c r="BN34" s="34"/>
      <c r="BO34" s="23" t="s">
        <v>397</v>
      </c>
      <c r="BP34">
        <v>0</v>
      </c>
      <c r="BQ34" s="31"/>
      <c r="BR34" s="31"/>
      <c r="BT34" s="34"/>
      <c r="BU34" s="22" t="s">
        <v>244</v>
      </c>
      <c r="BV34" s="22">
        <v>6</v>
      </c>
      <c r="BW34" s="31" t="s">
        <v>115</v>
      </c>
      <c r="BX34" s="31">
        <f>MIN(BV33:BV57)</f>
        <v>1</v>
      </c>
      <c r="BZ34" s="34"/>
      <c r="CF34" s="36"/>
      <c r="CL34" s="36"/>
      <c r="CO34" s="31"/>
      <c r="CP34" s="31"/>
      <c r="CR34" s="36"/>
    </row>
    <row r="35" spans="1:96" ht="15" x14ac:dyDescent="0.25">
      <c r="A35" s="23" t="s">
        <v>511</v>
      </c>
      <c r="B35">
        <v>3</v>
      </c>
      <c r="C35" s="27" t="s">
        <v>115</v>
      </c>
      <c r="D35" s="19">
        <f>MIN(B34:B36)</f>
        <v>3</v>
      </c>
      <c r="G35" s="104" t="s">
        <v>516</v>
      </c>
      <c r="H35">
        <v>0</v>
      </c>
      <c r="I35" s="25" t="s">
        <v>129</v>
      </c>
      <c r="J35" s="25">
        <f>VAR(H32:H41)</f>
        <v>1.822222222222222</v>
      </c>
      <c r="K35" s="25"/>
      <c r="L35" s="29"/>
      <c r="M35" s="23" t="s">
        <v>485</v>
      </c>
      <c r="N35">
        <v>0</v>
      </c>
      <c r="O35" s="27" t="s">
        <v>115</v>
      </c>
      <c r="P35" s="27">
        <f>MIN(N34:N38)</f>
        <v>0</v>
      </c>
      <c r="Q35" s="27"/>
      <c r="R35" s="29"/>
      <c r="S35" s="23" t="s">
        <v>497</v>
      </c>
      <c r="T35">
        <v>1</v>
      </c>
      <c r="U35" s="27"/>
      <c r="V35" s="27"/>
      <c r="W35" s="27"/>
      <c r="Y35" s="23" t="s">
        <v>479</v>
      </c>
      <c r="Z35">
        <v>0</v>
      </c>
      <c r="AA35" s="27" t="s">
        <v>129</v>
      </c>
      <c r="AB35" s="27">
        <f>VAR(Z32:Z41)</f>
        <v>0.1</v>
      </c>
      <c r="AC35" s="27"/>
      <c r="AE35" s="23" t="s">
        <v>455</v>
      </c>
      <c r="AF35">
        <v>0</v>
      </c>
      <c r="AG35" s="31" t="s">
        <v>122</v>
      </c>
      <c r="AH35" s="31">
        <f>MAX(AF33:AF57)</f>
        <v>3</v>
      </c>
      <c r="AI35" s="33"/>
      <c r="AJ35" s="34"/>
      <c r="AK35" s="23" t="s">
        <v>343</v>
      </c>
      <c r="AL35">
        <v>0</v>
      </c>
      <c r="AM35" s="31"/>
      <c r="AN35" s="31"/>
      <c r="AQ35" s="23" t="s">
        <v>346</v>
      </c>
      <c r="AR35">
        <v>0</v>
      </c>
      <c r="AS35" s="31" t="s">
        <v>129</v>
      </c>
      <c r="AT35" s="31">
        <f>VAR(AR32:AR41)</f>
        <v>0.4</v>
      </c>
      <c r="AU35" s="33"/>
      <c r="AW35" s="23" t="s">
        <v>363</v>
      </c>
      <c r="AX35">
        <v>0</v>
      </c>
      <c r="AY35" s="31"/>
      <c r="AZ35" s="31"/>
      <c r="BC35" s="19" t="s">
        <v>100</v>
      </c>
      <c r="BD35" s="35" t="s">
        <v>65</v>
      </c>
      <c r="BH35" s="34"/>
      <c r="BI35" s="31" t="s">
        <v>102</v>
      </c>
      <c r="BJ35" s="31" t="s">
        <v>71</v>
      </c>
      <c r="BK35" s="31" t="s">
        <v>103</v>
      </c>
      <c r="BL35" s="31" t="s">
        <v>104</v>
      </c>
      <c r="BN35" s="34"/>
      <c r="BO35" s="23" t="s">
        <v>398</v>
      </c>
      <c r="BP35">
        <v>1</v>
      </c>
      <c r="BQ35" s="31"/>
      <c r="BR35" s="31"/>
      <c r="BT35" s="34"/>
      <c r="BU35" s="22" t="s">
        <v>119</v>
      </c>
      <c r="BV35" s="22">
        <v>1</v>
      </c>
      <c r="BW35" s="31" t="s">
        <v>122</v>
      </c>
      <c r="BX35" s="31">
        <f>MAX(BV33:BV57)</f>
        <v>93</v>
      </c>
      <c r="BZ35" s="34"/>
      <c r="CF35" s="36"/>
      <c r="CL35" s="36"/>
      <c r="CR35" s="36"/>
    </row>
    <row r="36" spans="1:96" ht="15" x14ac:dyDescent="0.25">
      <c r="A36" s="23" t="s">
        <v>512</v>
      </c>
      <c r="B36">
        <v>9</v>
      </c>
      <c r="C36" s="27" t="s">
        <v>122</v>
      </c>
      <c r="D36" s="19">
        <f>MAX(B34:B36)</f>
        <v>9</v>
      </c>
      <c r="G36" s="104" t="s">
        <v>517</v>
      </c>
      <c r="H36">
        <v>4</v>
      </c>
      <c r="I36" s="25" t="s">
        <v>138</v>
      </c>
      <c r="J36" s="25">
        <f>AVERAGE(H32:H41)</f>
        <v>0.6</v>
      </c>
      <c r="K36" s="25"/>
      <c r="L36" s="29"/>
      <c r="M36" s="23" t="s">
        <v>486</v>
      </c>
      <c r="N36">
        <v>0</v>
      </c>
      <c r="O36" s="27" t="s">
        <v>122</v>
      </c>
      <c r="P36" s="27">
        <f>MAX(N34:N38)</f>
        <v>1</v>
      </c>
      <c r="Q36" s="27"/>
      <c r="R36" s="29"/>
      <c r="S36" s="23" t="s">
        <v>498</v>
      </c>
      <c r="T36">
        <v>0</v>
      </c>
      <c r="U36" s="27"/>
      <c r="V36" s="27"/>
      <c r="W36" s="27"/>
      <c r="Y36" s="23" t="s">
        <v>480</v>
      </c>
      <c r="Z36">
        <v>0</v>
      </c>
      <c r="AA36" s="27" t="s">
        <v>138</v>
      </c>
      <c r="AB36" s="27">
        <f>AVERAGE(Z32:Z41)</f>
        <v>0.1</v>
      </c>
      <c r="AC36" s="27"/>
      <c r="AE36" s="23" t="s">
        <v>456</v>
      </c>
      <c r="AF36">
        <v>0</v>
      </c>
      <c r="AG36" s="31" t="s">
        <v>129</v>
      </c>
      <c r="AH36" s="31">
        <f>VAR(AF33:AF57)</f>
        <v>1.0433333333333332</v>
      </c>
      <c r="AI36" s="33"/>
      <c r="AJ36" s="34"/>
      <c r="AK36" s="109"/>
      <c r="AL36" s="94"/>
      <c r="AM36" s="94"/>
      <c r="AN36" s="94"/>
      <c r="AO36" s="34"/>
      <c r="AQ36" s="23" t="s">
        <v>347</v>
      </c>
      <c r="AR36">
        <v>0</v>
      </c>
      <c r="AS36" s="31" t="s">
        <v>138</v>
      </c>
      <c r="AT36" s="31">
        <f>AVERAGE(AR32:AR41)</f>
        <v>0.2</v>
      </c>
      <c r="AU36" s="33"/>
      <c r="AW36" s="23" t="s">
        <v>364</v>
      </c>
      <c r="AX36">
        <v>0</v>
      </c>
      <c r="AY36" s="31"/>
      <c r="AZ36" s="31"/>
      <c r="BD36" s="12" t="s">
        <v>5</v>
      </c>
      <c r="BH36" s="34"/>
      <c r="BI36" s="23" t="s">
        <v>380</v>
      </c>
      <c r="BJ36">
        <v>1</v>
      </c>
      <c r="BK36" s="31" t="s">
        <v>106</v>
      </c>
      <c r="BL36" s="31">
        <f>SUM(BJ36:BJ47)</f>
        <v>40</v>
      </c>
      <c r="BN36" s="34"/>
      <c r="BO36" s="23" t="s">
        <v>399</v>
      </c>
      <c r="BP36">
        <v>0</v>
      </c>
      <c r="BQ36" s="31"/>
      <c r="BR36" s="31"/>
      <c r="BT36" s="34"/>
      <c r="BU36" s="22" t="s">
        <v>413</v>
      </c>
      <c r="BV36" s="22">
        <v>1</v>
      </c>
      <c r="BW36" s="31" t="s">
        <v>129</v>
      </c>
      <c r="BX36" s="31">
        <f>VAR(BV33:BV57)</f>
        <v>388.97333333333336</v>
      </c>
      <c r="BZ36" s="34"/>
      <c r="CF36" s="36"/>
      <c r="CL36" s="36"/>
      <c r="CR36" s="36"/>
    </row>
    <row r="37" spans="1:96" ht="15" x14ac:dyDescent="0.25">
      <c r="A37" s="23"/>
      <c r="B37" s="40"/>
      <c r="C37" s="27" t="s">
        <v>129</v>
      </c>
      <c r="D37" s="19">
        <f>VAR(B34:B36)</f>
        <v>12</v>
      </c>
      <c r="G37" s="104" t="s">
        <v>518</v>
      </c>
      <c r="H37">
        <v>2</v>
      </c>
      <c r="I37" s="25" t="s">
        <v>144</v>
      </c>
      <c r="J37" s="25">
        <f>STDEV(H32:H41)</f>
        <v>1.3498971154211057</v>
      </c>
      <c r="K37" s="25"/>
      <c r="L37" s="29"/>
      <c r="M37" s="23" t="s">
        <v>487</v>
      </c>
      <c r="N37">
        <v>0</v>
      </c>
      <c r="O37" s="27" t="s">
        <v>129</v>
      </c>
      <c r="P37" s="27">
        <f>VAR(N34:N38)</f>
        <v>0.2</v>
      </c>
      <c r="Q37" s="27"/>
      <c r="R37" s="29"/>
      <c r="S37" s="23" t="s">
        <v>499</v>
      </c>
      <c r="T37">
        <v>0</v>
      </c>
      <c r="U37" s="27"/>
      <c r="V37" s="27"/>
      <c r="W37" s="27"/>
      <c r="Y37" s="23" t="s">
        <v>481</v>
      </c>
      <c r="Z37">
        <v>0</v>
      </c>
      <c r="AA37" s="27" t="s">
        <v>144</v>
      </c>
      <c r="AB37" s="27">
        <f>STDEV(Z32:Z41)</f>
        <v>0.31622776601683794</v>
      </c>
      <c r="AC37" s="27"/>
      <c r="AE37" s="23" t="s">
        <v>259</v>
      </c>
      <c r="AF37">
        <v>0</v>
      </c>
      <c r="AG37" s="31" t="s">
        <v>138</v>
      </c>
      <c r="AH37" s="31">
        <f>AVERAGE(AF33:AF57)</f>
        <v>0.72</v>
      </c>
      <c r="AJ37" s="34"/>
      <c r="AK37" s="19" t="s">
        <v>100</v>
      </c>
      <c r="AL37" s="32" t="s">
        <v>443</v>
      </c>
      <c r="AQ37" s="23" t="s">
        <v>348</v>
      </c>
      <c r="AR37">
        <v>0</v>
      </c>
      <c r="AS37" s="31" t="s">
        <v>144</v>
      </c>
      <c r="AT37" s="31">
        <f>STDEV(AR32:AR41)</f>
        <v>0.63245553203367588</v>
      </c>
      <c r="AU37" s="33"/>
      <c r="AW37" s="23" t="s">
        <v>365</v>
      </c>
      <c r="AX37">
        <v>0</v>
      </c>
      <c r="AY37" s="31"/>
      <c r="AZ37" s="31"/>
      <c r="BC37" s="31" t="s">
        <v>102</v>
      </c>
      <c r="BD37" s="31" t="s">
        <v>71</v>
      </c>
      <c r="BE37" s="31" t="s">
        <v>103</v>
      </c>
      <c r="BF37" s="31" t="s">
        <v>104</v>
      </c>
      <c r="BH37" s="34"/>
      <c r="BI37" s="23" t="s">
        <v>381</v>
      </c>
      <c r="BJ37">
        <v>11</v>
      </c>
      <c r="BK37" s="31" t="s">
        <v>115</v>
      </c>
      <c r="BL37" s="31">
        <f>MIN(BJ36:BJ47)</f>
        <v>0</v>
      </c>
      <c r="BN37" s="34"/>
      <c r="BO37" s="23" t="s">
        <v>214</v>
      </c>
      <c r="BP37">
        <v>2</v>
      </c>
      <c r="BQ37" s="31"/>
      <c r="BR37" s="31"/>
      <c r="BT37" s="34"/>
      <c r="BU37" s="22" t="s">
        <v>414</v>
      </c>
      <c r="BV37" s="22">
        <v>9</v>
      </c>
      <c r="BW37" s="31" t="s">
        <v>138</v>
      </c>
      <c r="BX37" s="31">
        <f>AVERAGE(BV33:BV57)</f>
        <v>17.84</v>
      </c>
      <c r="BZ37" s="34"/>
      <c r="CF37" s="36"/>
      <c r="CL37" s="36"/>
      <c r="CR37" s="36"/>
    </row>
    <row r="38" spans="1:96" ht="15" x14ac:dyDescent="0.25">
      <c r="A38" s="23"/>
      <c r="B38" s="40"/>
      <c r="C38" s="27" t="s">
        <v>138</v>
      </c>
      <c r="D38" s="19">
        <f>AVERAGE(B34:B36)</f>
        <v>7</v>
      </c>
      <c r="G38" s="104" t="s">
        <v>519</v>
      </c>
      <c r="H38">
        <v>0</v>
      </c>
      <c r="I38" s="25"/>
      <c r="J38" s="25"/>
      <c r="K38" s="25"/>
      <c r="L38" s="29"/>
      <c r="M38" s="23" t="s">
        <v>488</v>
      </c>
      <c r="N38">
        <v>0</v>
      </c>
      <c r="O38" s="27" t="s">
        <v>138</v>
      </c>
      <c r="P38" s="27">
        <f>AVERAGE(N34:N38)</f>
        <v>0.2</v>
      </c>
      <c r="Q38" s="27"/>
      <c r="R38" s="29"/>
      <c r="S38" s="23" t="s">
        <v>500</v>
      </c>
      <c r="T38">
        <v>0</v>
      </c>
      <c r="U38" s="27"/>
      <c r="V38" s="27"/>
      <c r="W38" s="27"/>
      <c r="Y38" s="23" t="s">
        <v>262</v>
      </c>
      <c r="Z38">
        <v>0</v>
      </c>
      <c r="AA38" s="27"/>
      <c r="AB38" s="27"/>
      <c r="AC38" s="27"/>
      <c r="AE38" s="23" t="s">
        <v>457</v>
      </c>
      <c r="AF38">
        <v>0</v>
      </c>
      <c r="AG38" s="31" t="s">
        <v>144</v>
      </c>
      <c r="AH38" s="31">
        <f>STDEV(AF33:AF57)</f>
        <v>1.0214368964029708</v>
      </c>
      <c r="AJ38" s="34"/>
      <c r="AK38" s="19" t="s">
        <v>101</v>
      </c>
      <c r="AL38" s="12" t="s">
        <v>5</v>
      </c>
      <c r="AQ38" s="23" t="s">
        <v>349</v>
      </c>
      <c r="AR38">
        <v>0</v>
      </c>
      <c r="AS38" s="31"/>
      <c r="AT38" s="31"/>
      <c r="AU38" s="33"/>
      <c r="AW38" s="23" t="s">
        <v>366</v>
      </c>
      <c r="AX38">
        <v>0</v>
      </c>
      <c r="AY38" s="31"/>
      <c r="AZ38" s="31"/>
      <c r="BC38" s="23" t="s">
        <v>368</v>
      </c>
      <c r="BD38">
        <v>5</v>
      </c>
      <c r="BE38" s="31" t="s">
        <v>106</v>
      </c>
      <c r="BF38" s="31">
        <f>SUM(BD38:BD50)</f>
        <v>15</v>
      </c>
      <c r="BH38" s="34"/>
      <c r="BI38" s="23" t="s">
        <v>382</v>
      </c>
      <c r="BJ38">
        <v>2</v>
      </c>
      <c r="BK38" s="31" t="s">
        <v>122</v>
      </c>
      <c r="BL38" s="31">
        <f>MAX(BJ36:BJ47)</f>
        <v>11</v>
      </c>
      <c r="BN38" s="34"/>
      <c r="BO38" s="23" t="s">
        <v>400</v>
      </c>
      <c r="BP38">
        <v>0</v>
      </c>
      <c r="BQ38" s="31"/>
      <c r="BR38" s="31"/>
      <c r="BT38" s="34"/>
      <c r="BU38" s="22" t="s">
        <v>415</v>
      </c>
      <c r="BV38" s="22">
        <v>4</v>
      </c>
      <c r="BW38" s="31" t="s">
        <v>144</v>
      </c>
      <c r="BX38" s="31">
        <f>STDEV(BV33:BV57)</f>
        <v>19.722406884894486</v>
      </c>
      <c r="BZ38" s="34"/>
      <c r="CF38" s="36"/>
      <c r="CL38" s="36"/>
      <c r="CR38" s="36"/>
    </row>
    <row r="39" spans="1:96" ht="15" x14ac:dyDescent="0.25">
      <c r="A39" s="23"/>
      <c r="B39" s="40"/>
      <c r="C39" s="27" t="s">
        <v>144</v>
      </c>
      <c r="D39" s="19">
        <f>STDEV(B34:B36)</f>
        <v>3.4641016151377544</v>
      </c>
      <c r="G39" s="104" t="s">
        <v>520</v>
      </c>
      <c r="H39">
        <v>0</v>
      </c>
      <c r="I39" s="25"/>
      <c r="J39" s="25"/>
      <c r="K39" s="25"/>
      <c r="L39" s="29"/>
      <c r="M39" s="23"/>
      <c r="N39" s="40"/>
      <c r="O39" s="27" t="s">
        <v>144</v>
      </c>
      <c r="P39" s="27">
        <f>STDEV(N34:N38)</f>
        <v>0.44721359549995793</v>
      </c>
      <c r="Q39" s="27"/>
      <c r="R39" s="29"/>
      <c r="S39" s="23" t="s">
        <v>501</v>
      </c>
      <c r="T39">
        <v>0</v>
      </c>
      <c r="U39" s="27"/>
      <c r="V39" s="27"/>
      <c r="W39" s="27"/>
      <c r="Y39" s="23" t="s">
        <v>482</v>
      </c>
      <c r="Z39">
        <v>1</v>
      </c>
      <c r="AA39" s="27"/>
      <c r="AB39" s="27"/>
      <c r="AC39" s="27"/>
      <c r="AE39" s="23" t="s">
        <v>458</v>
      </c>
      <c r="AF39">
        <v>0</v>
      </c>
      <c r="AG39" s="31"/>
      <c r="AH39" s="31"/>
      <c r="AJ39" s="34"/>
      <c r="AK39" s="31" t="s">
        <v>102</v>
      </c>
      <c r="AL39" s="31" t="s">
        <v>71</v>
      </c>
      <c r="AM39" s="31" t="s">
        <v>103</v>
      </c>
      <c r="AN39" s="31" t="s">
        <v>104</v>
      </c>
      <c r="AQ39" s="23" t="s">
        <v>350</v>
      </c>
      <c r="AR39">
        <v>0</v>
      </c>
      <c r="AS39" s="31"/>
      <c r="AT39" s="31"/>
      <c r="AU39" s="33"/>
      <c r="AW39" s="23" t="s">
        <v>367</v>
      </c>
      <c r="AX39">
        <v>0</v>
      </c>
      <c r="AY39" s="31"/>
      <c r="AZ39" s="31"/>
      <c r="BC39" s="23" t="s">
        <v>369</v>
      </c>
      <c r="BD39">
        <v>2</v>
      </c>
      <c r="BE39" s="31" t="s">
        <v>115</v>
      </c>
      <c r="BF39" s="31">
        <f>MIN(BD38:BD50)</f>
        <v>0</v>
      </c>
      <c r="BH39" s="34"/>
      <c r="BI39" s="23" t="s">
        <v>383</v>
      </c>
      <c r="BJ39">
        <v>0</v>
      </c>
      <c r="BK39" s="31" t="s">
        <v>129</v>
      </c>
      <c r="BL39" s="31">
        <f>VAR(BJ36:BJ47)</f>
        <v>16.424242424242422</v>
      </c>
      <c r="BN39" s="34"/>
      <c r="BO39" s="23" t="s">
        <v>401</v>
      </c>
      <c r="BP39">
        <v>1</v>
      </c>
      <c r="BQ39" s="33"/>
      <c r="BR39" s="33"/>
      <c r="BT39" s="34"/>
      <c r="BU39" s="22" t="s">
        <v>416</v>
      </c>
      <c r="BV39" s="22">
        <v>3</v>
      </c>
      <c r="BW39" s="31"/>
      <c r="BX39" s="31"/>
      <c r="BZ39" s="34"/>
      <c r="CF39" s="36"/>
      <c r="CL39" s="36"/>
      <c r="CR39" s="36"/>
    </row>
    <row r="40" spans="1:96" ht="15" x14ac:dyDescent="0.25">
      <c r="A40" s="34"/>
      <c r="B40" s="34"/>
      <c r="C40" s="34"/>
      <c r="D40" s="34"/>
      <c r="E40" s="34"/>
      <c r="G40" s="104" t="s">
        <v>521</v>
      </c>
      <c r="H40">
        <v>0</v>
      </c>
      <c r="I40" s="25"/>
      <c r="J40" s="25"/>
      <c r="K40" s="25"/>
      <c r="L40" s="90"/>
      <c r="M40" s="90"/>
      <c r="N40" s="90"/>
      <c r="O40" s="90"/>
      <c r="P40" s="90"/>
      <c r="Q40" s="90"/>
      <c r="R40" s="90"/>
      <c r="S40" s="23" t="s">
        <v>502</v>
      </c>
      <c r="T40">
        <v>0</v>
      </c>
      <c r="U40" s="27"/>
      <c r="V40" s="27"/>
      <c r="W40" s="27"/>
      <c r="Y40" s="23" t="s">
        <v>483</v>
      </c>
      <c r="Z40">
        <v>0</v>
      </c>
      <c r="AA40" s="27"/>
      <c r="AB40" s="27"/>
      <c r="AC40" s="27"/>
      <c r="AE40" s="23" t="s">
        <v>459</v>
      </c>
      <c r="AF40">
        <v>1</v>
      </c>
      <c r="AG40" s="31"/>
      <c r="AH40" s="31"/>
      <c r="AJ40" s="34"/>
      <c r="AK40" s="23" t="s">
        <v>332</v>
      </c>
      <c r="AL40">
        <v>0</v>
      </c>
      <c r="AM40" s="31" t="s">
        <v>106</v>
      </c>
      <c r="AN40" s="31">
        <f>SUM(AL40:AL53)</f>
        <v>15</v>
      </c>
      <c r="AQ40" s="23" t="s">
        <v>351</v>
      </c>
      <c r="AR40">
        <v>0</v>
      </c>
      <c r="AS40" s="31"/>
      <c r="AT40" s="31"/>
      <c r="AU40" s="33"/>
      <c r="AW40" s="34"/>
      <c r="AX40" s="34"/>
      <c r="AY40" s="34"/>
      <c r="AZ40" s="34"/>
      <c r="BA40" s="34"/>
      <c r="BC40" s="23" t="s">
        <v>370</v>
      </c>
      <c r="BD40">
        <v>0</v>
      </c>
      <c r="BE40" s="31" t="s">
        <v>122</v>
      </c>
      <c r="BF40" s="31">
        <f>MAX(BD38:BD50)</f>
        <v>5</v>
      </c>
      <c r="BH40" s="34"/>
      <c r="BI40" s="23" t="s">
        <v>384</v>
      </c>
      <c r="BJ40">
        <v>2</v>
      </c>
      <c r="BK40" s="31" t="s">
        <v>138</v>
      </c>
      <c r="BL40" s="31">
        <f>AVERAGE(BJ36:BJ47)</f>
        <v>3.3333333333333335</v>
      </c>
      <c r="BN40" s="34"/>
      <c r="BO40" s="23" t="s">
        <v>402</v>
      </c>
      <c r="BP40">
        <v>0</v>
      </c>
      <c r="BQ40" s="31"/>
      <c r="BR40" s="31"/>
      <c r="BT40" s="34"/>
      <c r="BU40" s="22" t="s">
        <v>417</v>
      </c>
      <c r="BV40" s="22">
        <v>2</v>
      </c>
      <c r="BW40" s="31"/>
      <c r="BX40" s="31"/>
      <c r="BZ40" s="34"/>
      <c r="CF40" s="36"/>
      <c r="CL40" s="36"/>
      <c r="CR40" s="36"/>
    </row>
    <row r="41" spans="1:96" ht="15" x14ac:dyDescent="0.25">
      <c r="G41" s="104" t="s">
        <v>175</v>
      </c>
      <c r="H41">
        <v>0</v>
      </c>
      <c r="K41" s="25"/>
      <c r="L41" s="29"/>
      <c r="M41" s="27" t="s">
        <v>100</v>
      </c>
      <c r="N41" s="30" t="s">
        <v>525</v>
      </c>
      <c r="O41" s="27"/>
      <c r="P41" s="27"/>
      <c r="Q41" s="27"/>
      <c r="R41" s="29"/>
      <c r="S41" s="23" t="s">
        <v>350</v>
      </c>
      <c r="T41">
        <v>0</v>
      </c>
      <c r="U41" s="27"/>
      <c r="V41" s="27"/>
      <c r="W41" s="27"/>
      <c r="Y41" s="23" t="s">
        <v>484</v>
      </c>
      <c r="Z41">
        <v>0</v>
      </c>
      <c r="AA41" s="27"/>
      <c r="AB41" s="27"/>
      <c r="AC41" s="27"/>
      <c r="AE41" s="23" t="s">
        <v>460</v>
      </c>
      <c r="AF41">
        <v>1</v>
      </c>
      <c r="AG41" s="33"/>
      <c r="AH41" s="33"/>
      <c r="AJ41" s="34"/>
      <c r="AK41" s="23" t="s">
        <v>333</v>
      </c>
      <c r="AL41">
        <v>3</v>
      </c>
      <c r="AM41" s="31" t="s">
        <v>115</v>
      </c>
      <c r="AN41" s="31">
        <f>MIN(AL40:AL53)</f>
        <v>0</v>
      </c>
      <c r="AQ41" s="23" t="s">
        <v>352</v>
      </c>
      <c r="AR41">
        <v>0</v>
      </c>
      <c r="AS41" s="31"/>
      <c r="AT41" s="31"/>
      <c r="AU41" s="24"/>
      <c r="AW41" s="19" t="s">
        <v>100</v>
      </c>
      <c r="AX41" s="35" t="s">
        <v>66</v>
      </c>
      <c r="AZ41" s="19">
        <v>2014</v>
      </c>
      <c r="BC41" s="23" t="s">
        <v>215</v>
      </c>
      <c r="BD41">
        <v>1</v>
      </c>
      <c r="BE41" s="31" t="s">
        <v>129</v>
      </c>
      <c r="BF41" s="31">
        <f>VAR(BD38:BD50)</f>
        <v>1.9743589743589745</v>
      </c>
      <c r="BH41" s="34"/>
      <c r="BI41" s="23" t="s">
        <v>385</v>
      </c>
      <c r="BJ41">
        <v>0</v>
      </c>
      <c r="BK41" s="31" t="s">
        <v>144</v>
      </c>
      <c r="BL41" s="31">
        <f>STDEV(BJ36:BJ47)</f>
        <v>4.0526833609649815</v>
      </c>
      <c r="BN41" s="34"/>
      <c r="BO41" s="23" t="s">
        <v>403</v>
      </c>
      <c r="BP41">
        <v>3</v>
      </c>
      <c r="BQ41" s="31"/>
      <c r="BR41" s="31"/>
      <c r="BT41" s="34"/>
      <c r="BU41" s="22" t="s">
        <v>418</v>
      </c>
      <c r="BV41" s="22">
        <v>7</v>
      </c>
      <c r="BW41" s="31"/>
      <c r="BX41" s="31"/>
      <c r="BZ41" s="34"/>
      <c r="CF41" s="36"/>
      <c r="CL41" s="36"/>
      <c r="CR41" s="36"/>
    </row>
    <row r="42" spans="1:96" ht="15" x14ac:dyDescent="0.25">
      <c r="G42" s="34"/>
      <c r="H42" s="34"/>
      <c r="I42" s="34"/>
      <c r="J42" s="34"/>
      <c r="K42" s="90"/>
      <c r="L42" s="29"/>
      <c r="M42" s="27" t="s">
        <v>101</v>
      </c>
      <c r="N42" s="12" t="s">
        <v>9</v>
      </c>
      <c r="O42" s="27"/>
      <c r="P42" s="27"/>
      <c r="Q42" s="27"/>
      <c r="R42" s="29"/>
      <c r="S42" s="23" t="s">
        <v>503</v>
      </c>
      <c r="T42">
        <v>0</v>
      </c>
      <c r="U42" s="27"/>
      <c r="V42" s="27"/>
      <c r="W42" s="27"/>
      <c r="X42" s="34"/>
      <c r="Y42" s="100"/>
      <c r="Z42" s="101"/>
      <c r="AA42" s="90"/>
      <c r="AB42" s="90"/>
      <c r="AC42" s="90"/>
      <c r="AE42" s="23" t="s">
        <v>461</v>
      </c>
      <c r="AF42">
        <v>3</v>
      </c>
      <c r="AG42" s="31"/>
      <c r="AH42" s="31"/>
      <c r="AJ42" s="34"/>
      <c r="AK42" s="23" t="s">
        <v>334</v>
      </c>
      <c r="AL42">
        <v>0</v>
      </c>
      <c r="AM42" s="31" t="s">
        <v>122</v>
      </c>
      <c r="AN42" s="31">
        <f>MAX(AL40:AL53)</f>
        <v>4</v>
      </c>
      <c r="AQ42" s="34"/>
      <c r="AR42" s="34"/>
      <c r="AS42" s="34"/>
      <c r="AT42" s="34"/>
      <c r="AU42" s="34"/>
      <c r="AX42" s="12" t="s">
        <v>5</v>
      </c>
      <c r="BC42" s="23" t="s">
        <v>371</v>
      </c>
      <c r="BD42">
        <v>0</v>
      </c>
      <c r="BE42" s="31" t="s">
        <v>138</v>
      </c>
      <c r="BF42" s="31">
        <f>AVERAGE(BD38:BD50)</f>
        <v>1.1538461538461537</v>
      </c>
      <c r="BH42" s="34"/>
      <c r="BI42" s="23" t="s">
        <v>386</v>
      </c>
      <c r="BJ42">
        <v>3</v>
      </c>
      <c r="BK42" s="31"/>
      <c r="BL42" s="31"/>
      <c r="BN42" s="34"/>
      <c r="BO42" s="23" t="s">
        <v>404</v>
      </c>
      <c r="BP42">
        <v>0</v>
      </c>
      <c r="BQ42" s="31"/>
      <c r="BR42" s="31"/>
      <c r="BT42" s="34"/>
      <c r="BU42" s="22" t="s">
        <v>419</v>
      </c>
      <c r="BV42" s="22">
        <v>21</v>
      </c>
      <c r="BW42" s="31"/>
      <c r="BX42" s="31"/>
      <c r="BZ42" s="34"/>
      <c r="CF42" s="36"/>
      <c r="CL42" s="36"/>
      <c r="CR42" s="36"/>
    </row>
    <row r="43" spans="1:96" ht="15" x14ac:dyDescent="0.25">
      <c r="G43" s="25" t="s">
        <v>100</v>
      </c>
      <c r="H43" s="26" t="s">
        <v>523</v>
      </c>
      <c r="I43" s="25"/>
      <c r="J43" s="25">
        <v>2014</v>
      </c>
      <c r="L43" s="29"/>
      <c r="M43" s="27" t="s">
        <v>102</v>
      </c>
      <c r="N43" s="27" t="s">
        <v>71</v>
      </c>
      <c r="O43" s="27" t="s">
        <v>103</v>
      </c>
      <c r="P43" s="27" t="s">
        <v>104</v>
      </c>
      <c r="Q43" s="27"/>
      <c r="R43" s="29"/>
      <c r="S43" s="23" t="s">
        <v>504</v>
      </c>
      <c r="T43">
        <v>1</v>
      </c>
      <c r="U43" s="25"/>
      <c r="V43" s="25"/>
      <c r="W43" s="27"/>
      <c r="Y43" s="27" t="s">
        <v>100</v>
      </c>
      <c r="Z43" s="30" t="s">
        <v>535</v>
      </c>
      <c r="AA43" s="27"/>
      <c r="AB43" s="27"/>
      <c r="AC43" s="27"/>
      <c r="AE43" s="23" t="s">
        <v>462</v>
      </c>
      <c r="AF43">
        <v>3</v>
      </c>
      <c r="AG43" s="24"/>
      <c r="AH43" s="24"/>
      <c r="AI43" s="33"/>
      <c r="AJ43" s="34"/>
      <c r="AK43" s="23" t="s">
        <v>335</v>
      </c>
      <c r="AL43">
        <v>1</v>
      </c>
      <c r="AM43" s="31" t="s">
        <v>129</v>
      </c>
      <c r="AN43" s="31">
        <f>VAR(AL40:AL53)</f>
        <v>2.2252747252747254</v>
      </c>
      <c r="AQ43" s="19" t="s">
        <v>100</v>
      </c>
      <c r="AR43" s="32" t="s">
        <v>444</v>
      </c>
      <c r="AU43" s="24"/>
      <c r="AW43" s="31" t="s">
        <v>102</v>
      </c>
      <c r="AX43" s="31" t="s">
        <v>71</v>
      </c>
      <c r="AY43" s="31" t="s">
        <v>103</v>
      </c>
      <c r="AZ43" s="31" t="s">
        <v>104</v>
      </c>
      <c r="BC43" s="23" t="s">
        <v>372</v>
      </c>
      <c r="BD43">
        <v>0</v>
      </c>
      <c r="BE43" s="31" t="s">
        <v>144</v>
      </c>
      <c r="BF43" s="31">
        <f>STDEV(BD38:BD50)</f>
        <v>1.4051188470584879</v>
      </c>
      <c r="BH43" s="34"/>
      <c r="BI43" s="23" t="s">
        <v>387</v>
      </c>
      <c r="BJ43">
        <v>7</v>
      </c>
      <c r="BK43" s="33"/>
      <c r="BL43" s="33"/>
      <c r="BN43" s="34"/>
      <c r="BO43" s="23" t="s">
        <v>405</v>
      </c>
      <c r="BP43">
        <v>0</v>
      </c>
      <c r="BQ43" s="31"/>
      <c r="BR43" s="31"/>
      <c r="BT43" s="34"/>
      <c r="BU43" s="22" t="s">
        <v>420</v>
      </c>
      <c r="BV43" s="22">
        <v>93</v>
      </c>
      <c r="BW43" s="31"/>
      <c r="BX43" s="31"/>
      <c r="BZ43" s="34"/>
      <c r="CF43" s="36"/>
      <c r="CL43" s="36"/>
      <c r="CR43" s="36"/>
    </row>
    <row r="44" spans="1:96" ht="15" x14ac:dyDescent="0.25">
      <c r="G44" s="25" t="s">
        <v>101</v>
      </c>
      <c r="H44" s="103" t="s">
        <v>6</v>
      </c>
      <c r="I44" s="25"/>
      <c r="J44" s="25"/>
      <c r="L44" s="29"/>
      <c r="M44" s="23" t="s">
        <v>394</v>
      </c>
      <c r="N44">
        <v>0</v>
      </c>
      <c r="O44" s="27" t="s">
        <v>106</v>
      </c>
      <c r="P44" s="27">
        <f>SUM(N44:N48)</f>
        <v>1</v>
      </c>
      <c r="Q44" s="27"/>
      <c r="R44" s="90"/>
      <c r="S44" s="90"/>
      <c r="T44" s="90"/>
      <c r="U44" s="90"/>
      <c r="V44" s="90"/>
      <c r="W44" s="90"/>
      <c r="Y44" s="27" t="s">
        <v>101</v>
      </c>
      <c r="Z44" s="12" t="s">
        <v>15</v>
      </c>
      <c r="AA44" s="27"/>
      <c r="AB44" s="27"/>
      <c r="AC44" s="27"/>
      <c r="AE44" s="23" t="s">
        <v>463</v>
      </c>
      <c r="AF44">
        <v>0</v>
      </c>
      <c r="AG44" s="31"/>
      <c r="AH44" s="31"/>
      <c r="AI44" s="33"/>
      <c r="AJ44" s="34"/>
      <c r="AK44" s="23" t="s">
        <v>336</v>
      </c>
      <c r="AL44">
        <v>0</v>
      </c>
      <c r="AM44" s="31" t="s">
        <v>138</v>
      </c>
      <c r="AN44" s="31">
        <f>AVERAGE(AL40:AL53)</f>
        <v>1.0714285714285714</v>
      </c>
      <c r="AR44" s="12" t="s">
        <v>6</v>
      </c>
      <c r="AU44" s="24"/>
      <c r="AW44" s="23" t="s">
        <v>353</v>
      </c>
      <c r="AX44">
        <v>4</v>
      </c>
      <c r="AY44" s="31" t="s">
        <v>106</v>
      </c>
      <c r="AZ44" s="31">
        <f>SUM(AX44:AX59)</f>
        <v>8</v>
      </c>
      <c r="BC44" s="23" t="s">
        <v>373</v>
      </c>
      <c r="BD44">
        <v>1</v>
      </c>
      <c r="BE44" s="31"/>
      <c r="BF44" s="31"/>
      <c r="BH44" s="34"/>
      <c r="BI44" s="23" t="s">
        <v>139</v>
      </c>
      <c r="BJ44">
        <v>11</v>
      </c>
      <c r="BK44" s="33"/>
      <c r="BL44" s="33"/>
      <c r="BN44" s="34"/>
      <c r="BO44" s="23" t="s">
        <v>406</v>
      </c>
      <c r="BP44">
        <v>0</v>
      </c>
      <c r="BQ44" s="31"/>
      <c r="BR44" s="31"/>
      <c r="BT44" s="34"/>
      <c r="BU44" s="22" t="s">
        <v>421</v>
      </c>
      <c r="BV44" s="22">
        <v>12</v>
      </c>
      <c r="BW44" s="31"/>
      <c r="BX44" s="31"/>
      <c r="BZ44" s="34"/>
      <c r="CF44" s="36"/>
      <c r="CL44" s="36"/>
      <c r="CR44" s="36"/>
    </row>
    <row r="45" spans="1:96" ht="15" x14ac:dyDescent="0.25">
      <c r="G45" s="25" t="s">
        <v>102</v>
      </c>
      <c r="H45" s="25" t="s">
        <v>71</v>
      </c>
      <c r="I45" s="25" t="s">
        <v>103</v>
      </c>
      <c r="J45" s="25" t="s">
        <v>104</v>
      </c>
      <c r="L45" s="29"/>
      <c r="M45" s="23" t="s">
        <v>485</v>
      </c>
      <c r="N45">
        <v>0</v>
      </c>
      <c r="O45" s="27" t="s">
        <v>115</v>
      </c>
      <c r="P45" s="27">
        <f>MIN(N44:N48)</f>
        <v>0</v>
      </c>
      <c r="Q45" s="27"/>
      <c r="R45" s="29"/>
      <c r="S45" s="27" t="s">
        <v>100</v>
      </c>
      <c r="T45" s="30" t="s">
        <v>524</v>
      </c>
      <c r="U45" s="27"/>
      <c r="V45" s="27">
        <v>2014</v>
      </c>
      <c r="W45" s="27"/>
      <c r="Y45" s="27" t="s">
        <v>105</v>
      </c>
      <c r="Z45" s="27" t="s">
        <v>71</v>
      </c>
      <c r="AA45" s="27" t="s">
        <v>103</v>
      </c>
      <c r="AB45" s="27" t="s">
        <v>104</v>
      </c>
      <c r="AC45" s="27"/>
      <c r="AE45" s="23" t="s">
        <v>464</v>
      </c>
      <c r="AF45">
        <v>0</v>
      </c>
      <c r="AG45" s="31"/>
      <c r="AH45" s="31"/>
      <c r="AI45" s="33"/>
      <c r="AJ45" s="34"/>
      <c r="AK45" s="23" t="s">
        <v>172</v>
      </c>
      <c r="AL45">
        <v>0</v>
      </c>
      <c r="AM45" s="31" t="s">
        <v>144</v>
      </c>
      <c r="AN45" s="31">
        <f>STDEV(AL40:AL53)</f>
        <v>1.4917354742965407</v>
      </c>
      <c r="AQ45" s="31" t="s">
        <v>102</v>
      </c>
      <c r="AR45" s="31" t="s">
        <v>71</v>
      </c>
      <c r="AS45" s="31" t="s">
        <v>103</v>
      </c>
      <c r="AT45" s="31" t="s">
        <v>104</v>
      </c>
      <c r="AU45" s="24"/>
      <c r="AW45" s="23" t="s">
        <v>354</v>
      </c>
      <c r="AX45">
        <v>2</v>
      </c>
      <c r="AY45" s="31" t="s">
        <v>115</v>
      </c>
      <c r="AZ45" s="31">
        <f>MIN(AX44:AX59)</f>
        <v>0</v>
      </c>
      <c r="BC45" s="23" t="s">
        <v>374</v>
      </c>
      <c r="BD45">
        <v>2</v>
      </c>
      <c r="BE45" s="33"/>
      <c r="BF45" s="33"/>
      <c r="BH45" s="34"/>
      <c r="BI45" s="23" t="s">
        <v>156</v>
      </c>
      <c r="BJ45">
        <v>2</v>
      </c>
      <c r="BK45" s="31"/>
      <c r="BL45" s="31"/>
      <c r="BN45" s="34"/>
      <c r="BO45" s="23" t="s">
        <v>407</v>
      </c>
      <c r="BP45">
        <v>0</v>
      </c>
      <c r="BQ45" s="31"/>
      <c r="BR45" s="31"/>
      <c r="BT45" s="34"/>
      <c r="BU45" s="22" t="s">
        <v>422</v>
      </c>
      <c r="BV45" s="22">
        <v>11</v>
      </c>
      <c r="BW45" s="31"/>
      <c r="BX45" s="31"/>
      <c r="BZ45" s="34"/>
      <c r="CF45" s="36"/>
      <c r="CL45" s="36"/>
      <c r="CR45" s="36"/>
    </row>
    <row r="46" spans="1:96" ht="15" x14ac:dyDescent="0.25">
      <c r="G46" s="104" t="s">
        <v>513</v>
      </c>
      <c r="H46">
        <v>4</v>
      </c>
      <c r="I46" s="25" t="s">
        <v>106</v>
      </c>
      <c r="J46" s="25">
        <f>SUM(H46:H55)</f>
        <v>17</v>
      </c>
      <c r="L46" s="29"/>
      <c r="M46" s="23" t="s">
        <v>486</v>
      </c>
      <c r="N46">
        <v>1</v>
      </c>
      <c r="O46" s="27" t="s">
        <v>122</v>
      </c>
      <c r="P46" s="27">
        <f>MAX(N44:N48)</f>
        <v>1</v>
      </c>
      <c r="Q46" s="27"/>
      <c r="R46" s="29"/>
      <c r="S46" s="27" t="s">
        <v>101</v>
      </c>
      <c r="T46" s="12" t="s">
        <v>6</v>
      </c>
      <c r="U46" s="27"/>
      <c r="V46" s="27"/>
      <c r="W46" s="27"/>
      <c r="Y46" s="23" t="s">
        <v>476</v>
      </c>
      <c r="Z46">
        <v>2</v>
      </c>
      <c r="AA46" s="27" t="s">
        <v>106</v>
      </c>
      <c r="AB46" s="27">
        <f>SUM(Z46:Z55)</f>
        <v>12</v>
      </c>
      <c r="AC46" s="27"/>
      <c r="AE46" s="23" t="s">
        <v>465</v>
      </c>
      <c r="AF46">
        <v>1</v>
      </c>
      <c r="AG46" s="31"/>
      <c r="AH46" s="31"/>
      <c r="AI46" s="33"/>
      <c r="AJ46" s="34"/>
      <c r="AK46" s="23" t="s">
        <v>337</v>
      </c>
      <c r="AL46">
        <v>0</v>
      </c>
      <c r="AM46" s="31"/>
      <c r="AN46" s="31"/>
      <c r="AQ46" s="23" t="s">
        <v>344</v>
      </c>
      <c r="AR46">
        <v>0</v>
      </c>
      <c r="AS46" s="31" t="s">
        <v>106</v>
      </c>
      <c r="AT46" s="31">
        <f>SUM(AR46:AR55)</f>
        <v>3</v>
      </c>
      <c r="AU46" s="24"/>
      <c r="AW46" s="23" t="s">
        <v>216</v>
      </c>
      <c r="AX46">
        <v>0</v>
      </c>
      <c r="AY46" s="31" t="s">
        <v>122</v>
      </c>
      <c r="AZ46" s="31">
        <f>MAX(AX44:AX59)</f>
        <v>4</v>
      </c>
      <c r="BC46" s="23" t="s">
        <v>375</v>
      </c>
      <c r="BD46">
        <v>2</v>
      </c>
      <c r="BE46" s="33"/>
      <c r="BF46" s="33"/>
      <c r="BH46" s="34"/>
      <c r="BI46" s="23" t="s">
        <v>388</v>
      </c>
      <c r="BJ46">
        <v>0</v>
      </c>
      <c r="BK46" s="31"/>
      <c r="BL46" s="31"/>
      <c r="BN46" s="34"/>
      <c r="BO46" s="34"/>
      <c r="BP46" s="34"/>
      <c r="BQ46" s="34"/>
      <c r="BR46" s="34"/>
      <c r="BS46" s="34"/>
      <c r="BT46" s="34"/>
      <c r="BU46" s="23" t="s">
        <v>423</v>
      </c>
      <c r="BV46" s="22">
        <v>15</v>
      </c>
      <c r="BW46" s="31"/>
      <c r="BX46" s="31"/>
      <c r="BZ46" s="34"/>
      <c r="CF46" s="36"/>
      <c r="CL46" s="36"/>
      <c r="CR46" s="36"/>
    </row>
    <row r="47" spans="1:96" ht="15" x14ac:dyDescent="0.25">
      <c r="G47" s="104" t="s">
        <v>514</v>
      </c>
      <c r="H47">
        <v>0</v>
      </c>
      <c r="I47" s="25" t="s">
        <v>115</v>
      </c>
      <c r="J47" s="25">
        <f>MIN(H46:H55)</f>
        <v>0</v>
      </c>
      <c r="M47" s="23" t="s">
        <v>487</v>
      </c>
      <c r="N47">
        <v>0</v>
      </c>
      <c r="O47" s="27" t="s">
        <v>129</v>
      </c>
      <c r="P47" s="27">
        <f>VAR(N44:N48)</f>
        <v>0.2</v>
      </c>
      <c r="S47" s="27" t="s">
        <v>102</v>
      </c>
      <c r="T47" s="27" t="s">
        <v>71</v>
      </c>
      <c r="U47" s="27" t="s">
        <v>103</v>
      </c>
      <c r="V47" s="27" t="s">
        <v>104</v>
      </c>
      <c r="W47" s="27"/>
      <c r="Y47" s="23" t="s">
        <v>477</v>
      </c>
      <c r="Z47">
        <v>1</v>
      </c>
      <c r="AA47" s="27" t="s">
        <v>115</v>
      </c>
      <c r="AB47" s="27">
        <f>MIN(Z46:Z55)</f>
        <v>0</v>
      </c>
      <c r="AC47" s="27"/>
      <c r="AE47" s="23" t="s">
        <v>466</v>
      </c>
      <c r="AF47">
        <v>0</v>
      </c>
      <c r="AG47" s="31"/>
      <c r="AH47" s="31"/>
      <c r="AI47" s="33"/>
      <c r="AJ47" s="34"/>
      <c r="AK47" s="23" t="s">
        <v>338</v>
      </c>
      <c r="AL47">
        <v>0</v>
      </c>
      <c r="AM47" s="31"/>
      <c r="AN47" s="31"/>
      <c r="AQ47" s="23" t="s">
        <v>345</v>
      </c>
      <c r="AR47">
        <v>3</v>
      </c>
      <c r="AS47" s="31" t="s">
        <v>115</v>
      </c>
      <c r="AT47" s="31">
        <f>MIN(AR46:AR55)</f>
        <v>0</v>
      </c>
      <c r="AU47" s="24"/>
      <c r="AW47" s="23" t="s">
        <v>355</v>
      </c>
      <c r="AX47">
        <v>0</v>
      </c>
      <c r="AY47" s="31" t="s">
        <v>129</v>
      </c>
      <c r="AZ47" s="31">
        <f>VAR(AX44:AX59)</f>
        <v>1.2</v>
      </c>
      <c r="BC47" s="23" t="s">
        <v>376</v>
      </c>
      <c r="BD47">
        <v>0</v>
      </c>
      <c r="BE47" s="31"/>
      <c r="BF47" s="31"/>
      <c r="BH47" s="34"/>
      <c r="BI47" s="23" t="s">
        <v>389</v>
      </c>
      <c r="BJ47">
        <v>1</v>
      </c>
      <c r="BK47" s="31"/>
      <c r="BL47" s="31"/>
      <c r="BN47" s="34"/>
      <c r="BO47" s="19" t="s">
        <v>100</v>
      </c>
      <c r="BP47" s="35" t="s">
        <v>540</v>
      </c>
      <c r="BR47" s="19">
        <v>2014</v>
      </c>
      <c r="BT47" s="34"/>
      <c r="BU47" s="22" t="s">
        <v>424</v>
      </c>
      <c r="BV47" s="22">
        <v>14</v>
      </c>
      <c r="BW47" s="31"/>
      <c r="BX47" s="31"/>
      <c r="BZ47" s="34"/>
      <c r="CF47" s="36"/>
      <c r="CL47" s="36"/>
      <c r="CR47" s="36"/>
    </row>
    <row r="48" spans="1:96" ht="15" x14ac:dyDescent="0.25">
      <c r="G48" s="104" t="s">
        <v>515</v>
      </c>
      <c r="H48">
        <v>0</v>
      </c>
      <c r="I48" s="25" t="s">
        <v>122</v>
      </c>
      <c r="J48" s="25">
        <f>MAX(H46:H55)</f>
        <v>4</v>
      </c>
      <c r="M48" s="23" t="s">
        <v>488</v>
      </c>
      <c r="N48">
        <v>0</v>
      </c>
      <c r="O48" s="27" t="s">
        <v>138</v>
      </c>
      <c r="P48" s="27">
        <f>AVERAGE(N44:N48)</f>
        <v>0.2</v>
      </c>
      <c r="S48" s="23" t="s">
        <v>489</v>
      </c>
      <c r="T48">
        <v>7</v>
      </c>
      <c r="U48" s="31" t="s">
        <v>106</v>
      </c>
      <c r="V48" s="27">
        <f>SUM(T48:T65)</f>
        <v>19</v>
      </c>
      <c r="W48" s="27"/>
      <c r="Y48" s="23" t="s">
        <v>478</v>
      </c>
      <c r="Z48">
        <v>0</v>
      </c>
      <c r="AA48" s="27" t="s">
        <v>122</v>
      </c>
      <c r="AB48" s="27">
        <f>MAX(Z46:Z55)</f>
        <v>3</v>
      </c>
      <c r="AC48" s="27"/>
      <c r="AE48" s="23" t="s">
        <v>467</v>
      </c>
      <c r="AF48">
        <v>0</v>
      </c>
      <c r="AG48" s="31"/>
      <c r="AH48" s="31"/>
      <c r="AI48" s="33"/>
      <c r="AJ48" s="34"/>
      <c r="AK48" s="23" t="s">
        <v>339</v>
      </c>
      <c r="AL48">
        <v>3</v>
      </c>
      <c r="AM48" s="31"/>
      <c r="AN48" s="31"/>
      <c r="AQ48" s="23" t="s">
        <v>262</v>
      </c>
      <c r="AR48">
        <v>0</v>
      </c>
      <c r="AS48" s="31" t="s">
        <v>122</v>
      </c>
      <c r="AT48" s="31">
        <f>MAX(AR46:AR55)</f>
        <v>3</v>
      </c>
      <c r="AU48" s="24"/>
      <c r="AW48" s="23" t="s">
        <v>356</v>
      </c>
      <c r="AX48">
        <v>0</v>
      </c>
      <c r="AY48" s="31" t="s">
        <v>138</v>
      </c>
      <c r="AZ48" s="31">
        <f>AVERAGE(AX44:AX59)</f>
        <v>0.5</v>
      </c>
      <c r="BC48" s="23" t="s">
        <v>377</v>
      </c>
      <c r="BD48">
        <v>1</v>
      </c>
      <c r="BE48" s="31"/>
      <c r="BF48" s="31"/>
      <c r="BH48" s="34"/>
      <c r="BI48" s="97"/>
      <c r="BJ48" s="34"/>
      <c r="BK48" s="34"/>
      <c r="BL48" s="34"/>
      <c r="BM48" s="34"/>
      <c r="BN48" s="34"/>
      <c r="BP48" s="12" t="s">
        <v>5</v>
      </c>
      <c r="BT48" s="34"/>
      <c r="BU48" s="23" t="s">
        <v>425</v>
      </c>
      <c r="BV48" s="22">
        <v>47</v>
      </c>
      <c r="BW48" s="31"/>
      <c r="BX48" s="31"/>
      <c r="BZ48" s="34"/>
      <c r="CF48" s="36"/>
      <c r="CL48" s="36"/>
      <c r="CR48" s="36"/>
    </row>
    <row r="49" spans="7:96" ht="15" x14ac:dyDescent="0.25">
      <c r="G49" s="104" t="s">
        <v>516</v>
      </c>
      <c r="H49">
        <v>2</v>
      </c>
      <c r="I49" s="25" t="s">
        <v>129</v>
      </c>
      <c r="J49" s="25">
        <f>VAR(H46:H55)</f>
        <v>2.4555555555555557</v>
      </c>
      <c r="M49" s="23"/>
      <c r="N49" s="40"/>
      <c r="O49" s="27" t="s">
        <v>144</v>
      </c>
      <c r="P49" s="27">
        <f>STDEV(N44:N48)</f>
        <v>0.44721359549995793</v>
      </c>
      <c r="S49" s="23" t="s">
        <v>490</v>
      </c>
      <c r="T49">
        <v>2</v>
      </c>
      <c r="U49" s="31" t="s">
        <v>115</v>
      </c>
      <c r="V49" s="27">
        <f>MIN(T48:T65)</f>
        <v>0</v>
      </c>
      <c r="W49" s="27"/>
      <c r="Y49" s="23" t="s">
        <v>479</v>
      </c>
      <c r="Z49">
        <v>3</v>
      </c>
      <c r="AA49" s="27" t="s">
        <v>129</v>
      </c>
      <c r="AB49" s="27">
        <f>VAR(Z46:Z55)</f>
        <v>1.5111111111111111</v>
      </c>
      <c r="AC49" s="27"/>
      <c r="AE49" s="23" t="s">
        <v>468</v>
      </c>
      <c r="AF49">
        <v>2</v>
      </c>
      <c r="AG49" s="31"/>
      <c r="AH49" s="31"/>
      <c r="AI49" s="33"/>
      <c r="AJ49" s="34"/>
      <c r="AK49" s="23" t="s">
        <v>340</v>
      </c>
      <c r="AL49">
        <v>4</v>
      </c>
      <c r="AM49" s="31"/>
      <c r="AN49" s="31"/>
      <c r="AQ49" s="23" t="s">
        <v>346</v>
      </c>
      <c r="AR49">
        <v>0</v>
      </c>
      <c r="AS49" s="31" t="s">
        <v>129</v>
      </c>
      <c r="AT49" s="31">
        <f>VAR(AR46:AR55)</f>
        <v>0.89999999999999991</v>
      </c>
      <c r="AU49" s="24"/>
      <c r="AW49" s="23" t="s">
        <v>357</v>
      </c>
      <c r="AX49">
        <v>0</v>
      </c>
      <c r="AY49" s="31" t="s">
        <v>144</v>
      </c>
      <c r="AZ49" s="31">
        <f>STDEV(AX44:AX59)</f>
        <v>1.0954451150103321</v>
      </c>
      <c r="BC49" s="23" t="s">
        <v>378</v>
      </c>
      <c r="BD49">
        <v>1</v>
      </c>
      <c r="BE49" s="31"/>
      <c r="BF49" s="31"/>
      <c r="BH49" s="34"/>
      <c r="BI49" s="19" t="s">
        <v>100</v>
      </c>
      <c r="BJ49" s="35" t="s">
        <v>64</v>
      </c>
      <c r="BN49" s="34"/>
      <c r="BO49" s="31" t="s">
        <v>102</v>
      </c>
      <c r="BP49" s="31" t="s">
        <v>71</v>
      </c>
      <c r="BQ49" s="31" t="s">
        <v>103</v>
      </c>
      <c r="BR49" s="31" t="s">
        <v>104</v>
      </c>
      <c r="BT49" s="34"/>
      <c r="BU49" s="23" t="s">
        <v>426</v>
      </c>
      <c r="BV49" s="22">
        <v>21</v>
      </c>
      <c r="BW49" s="31"/>
      <c r="BX49" s="31"/>
      <c r="BZ49" s="34"/>
      <c r="CF49" s="36"/>
      <c r="CL49" s="36"/>
      <c r="CR49" s="36"/>
    </row>
    <row r="50" spans="7:96" ht="15" x14ac:dyDescent="0.25">
      <c r="G50" s="104" t="s">
        <v>517</v>
      </c>
      <c r="H50">
        <v>0</v>
      </c>
      <c r="I50" s="25" t="s">
        <v>138</v>
      </c>
      <c r="J50" s="25">
        <f>AVERAGE(H46:H55)</f>
        <v>1.7</v>
      </c>
      <c r="L50" s="34"/>
      <c r="M50" s="34"/>
      <c r="N50" s="34"/>
      <c r="O50" s="34"/>
      <c r="P50" s="34"/>
      <c r="Q50" s="34"/>
      <c r="R50" s="34"/>
      <c r="S50" s="23" t="s">
        <v>491</v>
      </c>
      <c r="T50">
        <v>2</v>
      </c>
      <c r="U50" s="31" t="s">
        <v>122</v>
      </c>
      <c r="V50" s="27">
        <f>MAX(T48:T65)</f>
        <v>7</v>
      </c>
      <c r="Y50" s="23" t="s">
        <v>480</v>
      </c>
      <c r="Z50">
        <v>3</v>
      </c>
      <c r="AA50" s="27" t="s">
        <v>138</v>
      </c>
      <c r="AB50" s="27">
        <f>AVERAGE(Z46:Z55)</f>
        <v>1.2</v>
      </c>
      <c r="AC50" s="27"/>
      <c r="AE50" s="23" t="s">
        <v>469</v>
      </c>
      <c r="AF50">
        <v>3</v>
      </c>
      <c r="AG50" s="31"/>
      <c r="AH50" s="31"/>
      <c r="AI50" s="33"/>
      <c r="AJ50" s="34"/>
      <c r="AK50" s="23" t="s">
        <v>77</v>
      </c>
      <c r="AL50">
        <v>3</v>
      </c>
      <c r="AM50" s="31"/>
      <c r="AN50" s="31"/>
      <c r="AQ50" s="23" t="s">
        <v>347</v>
      </c>
      <c r="AR50">
        <v>0</v>
      </c>
      <c r="AS50" s="31" t="s">
        <v>138</v>
      </c>
      <c r="AT50" s="31">
        <f>AVERAGE(AR46:AR55)</f>
        <v>0.3</v>
      </c>
      <c r="AU50" s="24"/>
      <c r="AW50" s="23" t="s">
        <v>358</v>
      </c>
      <c r="AX50">
        <v>0</v>
      </c>
      <c r="AY50" s="31"/>
      <c r="AZ50" s="31"/>
      <c r="BC50" s="23" t="s">
        <v>379</v>
      </c>
      <c r="BD50">
        <v>0</v>
      </c>
      <c r="BE50" s="31"/>
      <c r="BF50" s="31"/>
      <c r="BH50" s="34"/>
      <c r="BJ50" s="12" t="s">
        <v>6</v>
      </c>
      <c r="BN50" s="34"/>
      <c r="BO50" s="23" t="s">
        <v>390</v>
      </c>
      <c r="BP50">
        <v>0</v>
      </c>
      <c r="BQ50" s="31" t="s">
        <v>106</v>
      </c>
      <c r="BR50" s="31">
        <f>SUM(BP50:BP68)</f>
        <v>9</v>
      </c>
      <c r="BT50" s="34"/>
      <c r="BU50" s="23" t="s">
        <v>427</v>
      </c>
      <c r="BV50" s="22">
        <v>3</v>
      </c>
      <c r="BW50" s="31"/>
      <c r="BX50" s="31"/>
      <c r="BZ50" s="34"/>
      <c r="CF50" s="36"/>
      <c r="CL50" s="36"/>
      <c r="CR50" s="36"/>
    </row>
    <row r="51" spans="7:96" ht="15" x14ac:dyDescent="0.25">
      <c r="G51" s="104" t="s">
        <v>518</v>
      </c>
      <c r="H51">
        <v>3</v>
      </c>
      <c r="I51" s="25" t="s">
        <v>144</v>
      </c>
      <c r="J51" s="25">
        <f>STDEV(H46:H55)</f>
        <v>1.5670212364724212</v>
      </c>
      <c r="M51" s="27" t="s">
        <v>100</v>
      </c>
      <c r="N51" s="30" t="s">
        <v>525</v>
      </c>
      <c r="O51" s="27"/>
      <c r="P51" s="27"/>
      <c r="S51" s="23" t="s">
        <v>492</v>
      </c>
      <c r="T51">
        <v>1</v>
      </c>
      <c r="U51" s="31" t="s">
        <v>129</v>
      </c>
      <c r="V51" s="27">
        <f>VAR(T48:T65)</f>
        <v>2.9967320261437909</v>
      </c>
      <c r="Y51" s="23" t="s">
        <v>481</v>
      </c>
      <c r="Z51">
        <v>1</v>
      </c>
      <c r="AA51" s="27" t="s">
        <v>144</v>
      </c>
      <c r="AB51" s="27">
        <f>STDEV(Z46:Z55)</f>
        <v>1.2292725943057183</v>
      </c>
      <c r="AC51" s="27"/>
      <c r="AE51" s="23" t="s">
        <v>470</v>
      </c>
      <c r="AF51">
        <v>1</v>
      </c>
      <c r="AG51" s="31"/>
      <c r="AH51" s="31"/>
      <c r="AI51" s="33"/>
      <c r="AJ51" s="34"/>
      <c r="AK51" s="23" t="s">
        <v>341</v>
      </c>
      <c r="AL51">
        <v>0</v>
      </c>
      <c r="AM51" s="31"/>
      <c r="AN51" s="31"/>
      <c r="AQ51" s="23" t="s">
        <v>348</v>
      </c>
      <c r="AR51">
        <v>0</v>
      </c>
      <c r="AS51" s="31" t="s">
        <v>144</v>
      </c>
      <c r="AT51" s="31">
        <f>STDEV(AR46:AR55)</f>
        <v>0.94868329805051377</v>
      </c>
      <c r="AU51" s="24"/>
      <c r="AW51" s="23" t="s">
        <v>359</v>
      </c>
      <c r="AX51">
        <v>1</v>
      </c>
      <c r="AY51" s="31"/>
      <c r="AZ51" s="31"/>
      <c r="BC51" s="34"/>
      <c r="BD51" s="34"/>
      <c r="BE51" s="34"/>
      <c r="BF51" s="34"/>
      <c r="BG51" s="34"/>
      <c r="BH51" s="34"/>
      <c r="BI51" s="31" t="s">
        <v>102</v>
      </c>
      <c r="BJ51" s="31" t="s">
        <v>71</v>
      </c>
      <c r="BK51" s="31" t="s">
        <v>103</v>
      </c>
      <c r="BL51" s="31" t="s">
        <v>104</v>
      </c>
      <c r="BN51" s="34"/>
      <c r="BO51" s="23" t="s">
        <v>391</v>
      </c>
      <c r="BP51">
        <v>0</v>
      </c>
      <c r="BQ51" s="31" t="s">
        <v>115</v>
      </c>
      <c r="BR51" s="31">
        <f>MIN(BP50:BP68)</f>
        <v>0</v>
      </c>
      <c r="BT51" s="34"/>
      <c r="BU51" s="23" t="s">
        <v>428</v>
      </c>
      <c r="BV51" s="22">
        <v>3</v>
      </c>
      <c r="BW51" s="31"/>
      <c r="BX51" s="31"/>
      <c r="BZ51" s="34"/>
      <c r="CF51" s="36"/>
      <c r="CL51" s="36"/>
      <c r="CR51" s="36"/>
    </row>
    <row r="52" spans="7:96" ht="15" x14ac:dyDescent="0.25">
      <c r="G52" s="104" t="s">
        <v>519</v>
      </c>
      <c r="H52">
        <v>3</v>
      </c>
      <c r="I52" s="25"/>
      <c r="J52" s="25"/>
      <c r="M52" s="27" t="s">
        <v>101</v>
      </c>
      <c r="N52" s="12" t="s">
        <v>15</v>
      </c>
      <c r="O52" s="27"/>
      <c r="P52" s="27"/>
      <c r="S52" s="23" t="s">
        <v>493</v>
      </c>
      <c r="T52">
        <v>2</v>
      </c>
      <c r="U52" s="31" t="s">
        <v>138</v>
      </c>
      <c r="V52" s="27">
        <f>AVERAGE(T48:T65)</f>
        <v>1.0555555555555556</v>
      </c>
      <c r="Y52" s="23" t="s">
        <v>262</v>
      </c>
      <c r="Z52">
        <v>0</v>
      </c>
      <c r="AA52" s="27"/>
      <c r="AB52" s="27"/>
      <c r="AC52" s="27"/>
      <c r="AE52" s="23" t="s">
        <v>471</v>
      </c>
      <c r="AF52">
        <v>0</v>
      </c>
      <c r="AG52" s="31"/>
      <c r="AH52" s="31"/>
      <c r="AI52" s="33"/>
      <c r="AJ52" s="34"/>
      <c r="AK52" s="23" t="s">
        <v>342</v>
      </c>
      <c r="AL52">
        <v>1</v>
      </c>
      <c r="AM52" s="31"/>
      <c r="AN52" s="31"/>
      <c r="AQ52" s="23" t="s">
        <v>349</v>
      </c>
      <c r="AR52">
        <v>0</v>
      </c>
      <c r="AS52" s="31"/>
      <c r="AT52" s="31"/>
      <c r="AU52" s="24"/>
      <c r="AW52" s="23" t="s">
        <v>360</v>
      </c>
      <c r="AX52">
        <v>0</v>
      </c>
      <c r="AY52" s="31"/>
      <c r="AZ52" s="31"/>
      <c r="BC52" s="19" t="s">
        <v>100</v>
      </c>
      <c r="BD52" s="35" t="s">
        <v>65</v>
      </c>
      <c r="BH52" s="34"/>
      <c r="BI52" s="23" t="s">
        <v>380</v>
      </c>
      <c r="BJ52">
        <v>1</v>
      </c>
      <c r="BK52" s="31" t="s">
        <v>106</v>
      </c>
      <c r="BL52" s="31">
        <f>SUM(BJ52:BJ63)</f>
        <v>56</v>
      </c>
      <c r="BN52" s="34"/>
      <c r="BO52" s="23" t="s">
        <v>392</v>
      </c>
      <c r="BP52">
        <v>0</v>
      </c>
      <c r="BQ52" s="31" t="s">
        <v>122</v>
      </c>
      <c r="BR52" s="31">
        <f>MAX(BP50:BP68)</f>
        <v>3</v>
      </c>
      <c r="BT52" s="34"/>
      <c r="BU52" s="23" t="s">
        <v>429</v>
      </c>
      <c r="BV52" s="22">
        <v>22</v>
      </c>
      <c r="BW52" s="31"/>
      <c r="BX52" s="31"/>
      <c r="BZ52" s="34"/>
      <c r="CF52" s="36"/>
      <c r="CL52" s="36"/>
      <c r="CR52" s="36"/>
    </row>
    <row r="53" spans="7:96" ht="15" x14ac:dyDescent="0.25">
      <c r="G53" s="104" t="s">
        <v>520</v>
      </c>
      <c r="H53">
        <v>0</v>
      </c>
      <c r="I53" s="25"/>
      <c r="J53" s="25"/>
      <c r="M53" s="27" t="s">
        <v>102</v>
      </c>
      <c r="N53" s="27" t="s">
        <v>71</v>
      </c>
      <c r="O53" s="27" t="s">
        <v>103</v>
      </c>
      <c r="P53" s="27" t="s">
        <v>104</v>
      </c>
      <c r="S53" s="23" t="s">
        <v>494</v>
      </c>
      <c r="T53">
        <v>0</v>
      </c>
      <c r="U53" s="31" t="s">
        <v>144</v>
      </c>
      <c r="V53" s="27">
        <f>STDEV(T48:T65)</f>
        <v>1.7311071677235326</v>
      </c>
      <c r="Y53" s="23" t="s">
        <v>482</v>
      </c>
      <c r="Z53">
        <v>0</v>
      </c>
      <c r="AA53" s="27"/>
      <c r="AB53" s="27"/>
      <c r="AC53" s="27"/>
      <c r="AE53" s="23" t="s">
        <v>472</v>
      </c>
      <c r="AF53">
        <v>0</v>
      </c>
      <c r="AI53" s="33"/>
      <c r="AJ53" s="34"/>
      <c r="AK53" s="23" t="s">
        <v>343</v>
      </c>
      <c r="AL53">
        <v>0</v>
      </c>
      <c r="AM53" s="31"/>
      <c r="AN53" s="31"/>
      <c r="AQ53" s="23" t="s">
        <v>350</v>
      </c>
      <c r="AR53">
        <v>0</v>
      </c>
      <c r="AS53" s="31"/>
      <c r="AT53" s="31"/>
      <c r="AU53" s="24"/>
      <c r="AW53" s="23" t="s">
        <v>361</v>
      </c>
      <c r="AX53">
        <v>0</v>
      </c>
      <c r="AY53" s="31"/>
      <c r="AZ53" s="31"/>
      <c r="BD53" s="12" t="s">
        <v>6</v>
      </c>
      <c r="BH53" s="34"/>
      <c r="BI53" s="23" t="s">
        <v>381</v>
      </c>
      <c r="BJ53">
        <v>6</v>
      </c>
      <c r="BK53" s="31" t="s">
        <v>115</v>
      </c>
      <c r="BL53" s="31">
        <f>MIN(BJ52:BJ63)</f>
        <v>0</v>
      </c>
      <c r="BN53" s="34"/>
      <c r="BO53" s="23" t="s">
        <v>393</v>
      </c>
      <c r="BP53">
        <v>0</v>
      </c>
      <c r="BQ53" s="31" t="s">
        <v>129</v>
      </c>
      <c r="BR53" s="31">
        <f>VAR(BP50:BP68)</f>
        <v>0.70760233918128657</v>
      </c>
      <c r="BT53" s="34"/>
      <c r="BU53" s="23" t="s">
        <v>430</v>
      </c>
      <c r="BV53" s="22">
        <v>28</v>
      </c>
      <c r="BW53" s="31"/>
      <c r="BX53" s="31"/>
      <c r="BZ53" s="34"/>
      <c r="CF53" s="36"/>
      <c r="CL53" s="36"/>
      <c r="CR53" s="36"/>
    </row>
    <row r="54" spans="7:96" ht="15" x14ac:dyDescent="0.25">
      <c r="G54" s="104" t="s">
        <v>521</v>
      </c>
      <c r="H54">
        <v>3</v>
      </c>
      <c r="I54" s="25"/>
      <c r="J54" s="25"/>
      <c r="M54" s="23" t="s">
        <v>394</v>
      </c>
      <c r="N54">
        <v>2</v>
      </c>
      <c r="O54" s="27" t="s">
        <v>106</v>
      </c>
      <c r="P54" s="27">
        <f>SUM(N54:N58)</f>
        <v>11</v>
      </c>
      <c r="S54" s="23" t="s">
        <v>495</v>
      </c>
      <c r="T54">
        <v>0</v>
      </c>
      <c r="U54" s="27"/>
      <c r="V54" s="27"/>
      <c r="Y54" s="23" t="s">
        <v>483</v>
      </c>
      <c r="Z54">
        <v>2</v>
      </c>
      <c r="AA54" s="27"/>
      <c r="AB54" s="27"/>
      <c r="AC54" s="27"/>
      <c r="AE54" s="23" t="s">
        <v>362</v>
      </c>
      <c r="AF54">
        <v>1</v>
      </c>
      <c r="AI54" s="33"/>
      <c r="AJ54" s="34"/>
      <c r="AK54" s="100"/>
      <c r="AL54" s="94"/>
      <c r="AM54" s="34"/>
      <c r="AN54" s="34"/>
      <c r="AO54" s="34"/>
      <c r="AQ54" s="23" t="s">
        <v>351</v>
      </c>
      <c r="AR54">
        <v>0</v>
      </c>
      <c r="AS54" s="31"/>
      <c r="AT54" s="31"/>
      <c r="AU54" s="24"/>
      <c r="AW54" s="23" t="s">
        <v>362</v>
      </c>
      <c r="AX54">
        <v>0</v>
      </c>
      <c r="AY54" s="31"/>
      <c r="AZ54" s="31"/>
      <c r="BC54" s="31" t="s">
        <v>102</v>
      </c>
      <c r="BD54" s="31" t="s">
        <v>71</v>
      </c>
      <c r="BE54" s="31" t="s">
        <v>103</v>
      </c>
      <c r="BF54" s="31" t="s">
        <v>104</v>
      </c>
      <c r="BH54" s="34"/>
      <c r="BI54" s="23" t="s">
        <v>382</v>
      </c>
      <c r="BJ54">
        <v>12</v>
      </c>
      <c r="BK54" s="31" t="s">
        <v>122</v>
      </c>
      <c r="BL54" s="31">
        <f>MAX(BJ52:BJ63)</f>
        <v>12</v>
      </c>
      <c r="BN54" s="34"/>
      <c r="BO54" s="23" t="s">
        <v>394</v>
      </c>
      <c r="BP54">
        <v>0</v>
      </c>
      <c r="BQ54" s="31" t="s">
        <v>138</v>
      </c>
      <c r="BR54" s="31">
        <f>AVERAGE(BP50:BP68)</f>
        <v>0.47368421052631576</v>
      </c>
      <c r="BT54" s="34"/>
      <c r="BU54" s="23" t="s">
        <v>431</v>
      </c>
      <c r="BV54" s="22">
        <v>17</v>
      </c>
      <c r="BW54" s="31"/>
      <c r="BX54" s="31"/>
      <c r="BZ54" s="34"/>
      <c r="CF54" s="36"/>
      <c r="CL54" s="36"/>
      <c r="CR54" s="36"/>
    </row>
    <row r="55" spans="7:96" ht="15" x14ac:dyDescent="0.25">
      <c r="G55" s="104" t="s">
        <v>175</v>
      </c>
      <c r="H55">
        <v>2</v>
      </c>
      <c r="M55" s="23" t="s">
        <v>485</v>
      </c>
      <c r="N55">
        <v>3</v>
      </c>
      <c r="O55" s="27" t="s">
        <v>115</v>
      </c>
      <c r="P55" s="27">
        <f>MIN(N54:N58)</f>
        <v>2</v>
      </c>
      <c r="S55" s="23" t="s">
        <v>496</v>
      </c>
      <c r="T55">
        <v>2</v>
      </c>
      <c r="U55" s="27"/>
      <c r="V55" s="27"/>
      <c r="Y55" s="23" t="s">
        <v>484</v>
      </c>
      <c r="Z55">
        <v>0</v>
      </c>
      <c r="AA55" s="27"/>
      <c r="AB55" s="27"/>
      <c r="AC55" s="27"/>
      <c r="AE55" s="23" t="s">
        <v>473</v>
      </c>
      <c r="AF55">
        <v>1</v>
      </c>
      <c r="AJ55" s="34"/>
      <c r="AK55" s="19" t="s">
        <v>100</v>
      </c>
      <c r="AL55" s="32" t="s">
        <v>443</v>
      </c>
      <c r="AQ55" s="23" t="s">
        <v>352</v>
      </c>
      <c r="AR55">
        <v>0</v>
      </c>
      <c r="AS55" s="31"/>
      <c r="AT55" s="31"/>
      <c r="AW55" s="23" t="s">
        <v>363</v>
      </c>
      <c r="AX55">
        <v>0</v>
      </c>
      <c r="AY55" s="31"/>
      <c r="AZ55" s="31"/>
      <c r="BC55" s="23" t="s">
        <v>368</v>
      </c>
      <c r="BD55">
        <v>0</v>
      </c>
      <c r="BE55" s="31" t="s">
        <v>106</v>
      </c>
      <c r="BF55" s="31">
        <f>SUM(BD55:BD67)</f>
        <v>5</v>
      </c>
      <c r="BH55" s="34"/>
      <c r="BI55" s="23" t="s">
        <v>383</v>
      </c>
      <c r="BJ55">
        <v>4</v>
      </c>
      <c r="BK55" s="31" t="s">
        <v>129</v>
      </c>
      <c r="BL55" s="31">
        <f>VAR(BJ52:BJ63)</f>
        <v>17.515151515151516</v>
      </c>
      <c r="BN55" s="34"/>
      <c r="BO55" s="23" t="s">
        <v>395</v>
      </c>
      <c r="BP55">
        <v>0</v>
      </c>
      <c r="BQ55" s="31" t="s">
        <v>144</v>
      </c>
      <c r="BR55" s="31">
        <f>STDEV(BP50:BP68)</f>
        <v>0.84119102419205982</v>
      </c>
      <c r="BT55" s="34"/>
      <c r="BU55" s="23" t="s">
        <v>432</v>
      </c>
      <c r="BV55" s="22">
        <v>20</v>
      </c>
      <c r="BW55" s="31"/>
      <c r="BX55" s="31"/>
      <c r="BZ55" s="34"/>
      <c r="CF55" s="36"/>
      <c r="CL55" s="36"/>
      <c r="CR55" s="36"/>
    </row>
    <row r="56" spans="7:96" ht="15" x14ac:dyDescent="0.25">
      <c r="G56" s="34"/>
      <c r="H56" s="34"/>
      <c r="I56" s="34"/>
      <c r="J56" s="34"/>
      <c r="K56" s="34"/>
      <c r="M56" s="23" t="s">
        <v>486</v>
      </c>
      <c r="N56">
        <v>6</v>
      </c>
      <c r="O56" s="27" t="s">
        <v>122</v>
      </c>
      <c r="P56" s="27">
        <f>MAX(N54:N58)</f>
        <v>6</v>
      </c>
      <c r="S56" s="23" t="s">
        <v>389</v>
      </c>
      <c r="T56">
        <v>0</v>
      </c>
      <c r="U56" s="27"/>
      <c r="V56" s="27"/>
      <c r="Y56" s="100"/>
      <c r="Z56" s="101"/>
      <c r="AA56" s="90"/>
      <c r="AB56" s="90"/>
      <c r="AC56" s="90"/>
      <c r="AE56" s="23" t="s">
        <v>474</v>
      </c>
      <c r="AF56">
        <v>0</v>
      </c>
      <c r="AJ56" s="34"/>
      <c r="AK56" s="19" t="s">
        <v>101</v>
      </c>
      <c r="AL56" s="12" t="s">
        <v>6</v>
      </c>
      <c r="AQ56" s="34"/>
      <c r="AR56" s="34"/>
      <c r="AS56" s="34"/>
      <c r="AT56" s="34"/>
      <c r="AU56" s="34"/>
      <c r="AW56" s="23" t="s">
        <v>364</v>
      </c>
      <c r="AX56">
        <v>0</v>
      </c>
      <c r="AY56" s="31"/>
      <c r="AZ56" s="31"/>
      <c r="BC56" s="23" t="s">
        <v>369</v>
      </c>
      <c r="BD56">
        <v>0</v>
      </c>
      <c r="BE56" s="31" t="s">
        <v>115</v>
      </c>
      <c r="BF56" s="31">
        <f>MIN(BD55:BD67)</f>
        <v>0</v>
      </c>
      <c r="BH56" s="34"/>
      <c r="BI56" s="23" t="s">
        <v>384</v>
      </c>
      <c r="BJ56">
        <v>6</v>
      </c>
      <c r="BK56" s="31" t="s">
        <v>138</v>
      </c>
      <c r="BL56" s="31">
        <f>AVERAGE(BJ52:BJ63)</f>
        <v>4.666666666666667</v>
      </c>
      <c r="BN56" s="34"/>
      <c r="BO56" s="23" t="s">
        <v>396</v>
      </c>
      <c r="BP56">
        <v>0</v>
      </c>
      <c r="BQ56" s="31"/>
      <c r="BR56" s="31"/>
      <c r="BT56" s="34"/>
      <c r="BU56" s="23" t="s">
        <v>433</v>
      </c>
      <c r="BV56" s="22">
        <v>31</v>
      </c>
      <c r="BW56" s="31"/>
      <c r="BX56" s="31"/>
      <c r="BZ56" s="34"/>
      <c r="CF56" s="36"/>
      <c r="CL56" s="36"/>
      <c r="CR56" s="36"/>
    </row>
    <row r="57" spans="7:96" ht="15" x14ac:dyDescent="0.25">
      <c r="G57" s="25" t="s">
        <v>100</v>
      </c>
      <c r="H57" s="26" t="s">
        <v>523</v>
      </c>
      <c r="I57" s="25"/>
      <c r="J57" s="25">
        <v>2014</v>
      </c>
      <c r="M57" s="23" t="s">
        <v>487</v>
      </c>
      <c r="N57"/>
      <c r="O57" s="27" t="s">
        <v>129</v>
      </c>
      <c r="P57" s="27">
        <f>VAR(N54:N58)</f>
        <v>4.3333333333333321</v>
      </c>
      <c r="S57" s="23" t="s">
        <v>497</v>
      </c>
      <c r="T57">
        <v>1</v>
      </c>
      <c r="U57" s="27"/>
      <c r="V57" s="27"/>
      <c r="Y57" s="27" t="s">
        <v>100</v>
      </c>
      <c r="Z57" s="30" t="s">
        <v>535</v>
      </c>
      <c r="AA57" s="27"/>
      <c r="AB57" s="27"/>
      <c r="AC57" s="27"/>
      <c r="AE57" s="23" t="s">
        <v>475</v>
      </c>
      <c r="AF57">
        <v>1</v>
      </c>
      <c r="AJ57" s="34"/>
      <c r="AK57" s="31" t="s">
        <v>102</v>
      </c>
      <c r="AL57" s="31" t="s">
        <v>71</v>
      </c>
      <c r="AM57" s="31" t="s">
        <v>103</v>
      </c>
      <c r="AN57" s="31" t="s">
        <v>104</v>
      </c>
      <c r="AQ57" s="19" t="s">
        <v>100</v>
      </c>
      <c r="AR57" s="32" t="s">
        <v>444</v>
      </c>
      <c r="AW57" s="23" t="s">
        <v>365</v>
      </c>
      <c r="AX57">
        <v>0</v>
      </c>
      <c r="AY57" s="31"/>
      <c r="AZ57" s="31"/>
      <c r="BC57" s="23" t="s">
        <v>370</v>
      </c>
      <c r="BD57">
        <v>0</v>
      </c>
      <c r="BE57" s="31" t="s">
        <v>122</v>
      </c>
      <c r="BF57" s="31">
        <f>MAX(BD55:BD67)</f>
        <v>2</v>
      </c>
      <c r="BH57" s="34"/>
      <c r="BI57" s="23" t="s">
        <v>385</v>
      </c>
      <c r="BJ57">
        <v>0</v>
      </c>
      <c r="BK57" s="31" t="s">
        <v>144</v>
      </c>
      <c r="BL57" s="31">
        <f>STDEV(BJ52:BJ63)</f>
        <v>4.1851106932973128</v>
      </c>
      <c r="BN57" s="34"/>
      <c r="BO57" s="23" t="s">
        <v>397</v>
      </c>
      <c r="BP57">
        <v>0</v>
      </c>
      <c r="BQ57" s="31"/>
      <c r="BR57" s="31"/>
      <c r="BT57" s="34"/>
      <c r="BU57" s="23" t="s">
        <v>434</v>
      </c>
      <c r="BV57" s="22">
        <v>38</v>
      </c>
      <c r="BW57" s="31"/>
      <c r="BX57" s="31"/>
      <c r="BZ57" s="34"/>
      <c r="CF57" s="36"/>
      <c r="CL57" s="36"/>
      <c r="CR57" s="36"/>
    </row>
    <row r="58" spans="7:96" ht="15" x14ac:dyDescent="0.25">
      <c r="G58" s="25" t="s">
        <v>101</v>
      </c>
      <c r="H58" s="103" t="s">
        <v>8</v>
      </c>
      <c r="I58" s="25"/>
      <c r="J58" s="25"/>
      <c r="M58" s="23" t="s">
        <v>488</v>
      </c>
      <c r="N58"/>
      <c r="O58" s="27" t="s">
        <v>138</v>
      </c>
      <c r="P58" s="27">
        <f>AVERAGE(N54:N58)</f>
        <v>3.6666666666666665</v>
      </c>
      <c r="S58" s="23" t="s">
        <v>498</v>
      </c>
      <c r="T58">
        <v>0</v>
      </c>
      <c r="U58" s="27"/>
      <c r="V58" s="27"/>
      <c r="Y58" s="27" t="s">
        <v>101</v>
      </c>
      <c r="Z58" s="12" t="s">
        <v>16</v>
      </c>
      <c r="AA58" s="27"/>
      <c r="AB58" s="27"/>
      <c r="AC58" s="27"/>
      <c r="AE58" s="34"/>
      <c r="AF58" s="34"/>
      <c r="AG58" s="34"/>
      <c r="AH58" s="34"/>
      <c r="AI58" s="34"/>
      <c r="AJ58" s="34"/>
      <c r="AK58" s="23" t="s">
        <v>332</v>
      </c>
      <c r="AL58">
        <v>0</v>
      </c>
      <c r="AM58" s="31" t="s">
        <v>106</v>
      </c>
      <c r="AN58" s="31">
        <f>SUM(AL58:AL71)</f>
        <v>13</v>
      </c>
      <c r="AR58" s="12" t="s">
        <v>15</v>
      </c>
      <c r="AW58" s="23" t="s">
        <v>366</v>
      </c>
      <c r="AX58">
        <v>0</v>
      </c>
      <c r="AY58" s="31"/>
      <c r="AZ58" s="31"/>
      <c r="BC58" s="23" t="s">
        <v>215</v>
      </c>
      <c r="BD58">
        <v>0</v>
      </c>
      <c r="BE58" s="31" t="s">
        <v>129</v>
      </c>
      <c r="BF58" s="31">
        <f>VAR(BD55:BD67)</f>
        <v>0.42307692307692307</v>
      </c>
      <c r="BH58" s="34"/>
      <c r="BI58" s="23" t="s">
        <v>386</v>
      </c>
      <c r="BJ58">
        <v>0</v>
      </c>
      <c r="BK58" s="31"/>
      <c r="BL58" s="31"/>
      <c r="BN58" s="34"/>
      <c r="BO58" s="23" t="s">
        <v>398</v>
      </c>
      <c r="BP58">
        <v>0</v>
      </c>
      <c r="BQ58" s="31"/>
      <c r="BR58" s="31"/>
      <c r="BT58" s="34"/>
      <c r="BU58" s="34"/>
      <c r="BV58" s="34"/>
      <c r="BW58" s="34"/>
      <c r="BX58" s="34"/>
      <c r="BY58" s="34"/>
      <c r="BZ58" s="34"/>
      <c r="CF58" s="36"/>
      <c r="CL58" s="36"/>
      <c r="CR58" s="36"/>
    </row>
    <row r="59" spans="7:96" ht="15" x14ac:dyDescent="0.25">
      <c r="G59" s="25" t="s">
        <v>102</v>
      </c>
      <c r="H59" s="25" t="s">
        <v>71</v>
      </c>
      <c r="I59" s="25" t="s">
        <v>103</v>
      </c>
      <c r="J59" s="25" t="s">
        <v>104</v>
      </c>
      <c r="M59" s="23"/>
      <c r="N59" s="40"/>
      <c r="O59" s="27" t="s">
        <v>144</v>
      </c>
      <c r="P59" s="27">
        <f>STDEV(N54:N58)</f>
        <v>2.0816659994661326</v>
      </c>
      <c r="S59" s="23" t="s">
        <v>499</v>
      </c>
      <c r="T59">
        <v>0</v>
      </c>
      <c r="U59" s="27"/>
      <c r="V59" s="27"/>
      <c r="Y59" s="27" t="s">
        <v>105</v>
      </c>
      <c r="Z59" s="27" t="s">
        <v>71</v>
      </c>
      <c r="AA59" s="27" t="s">
        <v>103</v>
      </c>
      <c r="AB59" s="27" t="s">
        <v>104</v>
      </c>
      <c r="AC59" s="27"/>
      <c r="AE59" s="31" t="s">
        <v>100</v>
      </c>
      <c r="AF59" s="32" t="s">
        <v>67</v>
      </c>
      <c r="AG59" s="31"/>
      <c r="AH59" s="31"/>
      <c r="AJ59" s="34"/>
      <c r="AK59" s="23" t="s">
        <v>333</v>
      </c>
      <c r="AL59">
        <v>0</v>
      </c>
      <c r="AM59" s="31" t="s">
        <v>115</v>
      </c>
      <c r="AN59" s="31">
        <f>MIN(AL58:AL71)</f>
        <v>0</v>
      </c>
      <c r="AQ59" s="31" t="s">
        <v>102</v>
      </c>
      <c r="AR59" s="31" t="s">
        <v>71</v>
      </c>
      <c r="AS59" s="31" t="s">
        <v>103</v>
      </c>
      <c r="AT59" s="31" t="s">
        <v>104</v>
      </c>
      <c r="AW59" s="23" t="s">
        <v>367</v>
      </c>
      <c r="AX59">
        <v>1</v>
      </c>
      <c r="AY59" s="31"/>
      <c r="AZ59" s="31"/>
      <c r="BC59" s="23" t="s">
        <v>371</v>
      </c>
      <c r="BD59">
        <v>2</v>
      </c>
      <c r="BE59" s="31" t="s">
        <v>138</v>
      </c>
      <c r="BF59" s="31">
        <f>AVERAGE(BD55:BD67)</f>
        <v>0.38461538461538464</v>
      </c>
      <c r="BH59" s="34"/>
      <c r="BI59" s="23" t="s">
        <v>387</v>
      </c>
      <c r="BJ59">
        <v>1</v>
      </c>
      <c r="BK59" s="33"/>
      <c r="BL59" s="33"/>
      <c r="BN59" s="34"/>
      <c r="BO59" s="23" t="s">
        <v>399</v>
      </c>
      <c r="BP59">
        <v>1</v>
      </c>
      <c r="BQ59" s="31"/>
      <c r="BR59" s="31"/>
      <c r="BT59" s="34"/>
      <c r="BU59" s="19" t="s">
        <v>100</v>
      </c>
      <c r="BV59" s="35" t="s">
        <v>61</v>
      </c>
      <c r="BZ59" s="34"/>
      <c r="CF59" s="36"/>
      <c r="CL59" s="36"/>
      <c r="CR59" s="36"/>
    </row>
    <row r="60" spans="7:96" ht="15" x14ac:dyDescent="0.25">
      <c r="G60" s="104" t="s">
        <v>513</v>
      </c>
      <c r="H60">
        <v>0</v>
      </c>
      <c r="I60" s="25" t="s">
        <v>106</v>
      </c>
      <c r="J60" s="25">
        <f>SUM(H60:H69)</f>
        <v>1</v>
      </c>
      <c r="L60" s="34"/>
      <c r="M60" s="34"/>
      <c r="N60" s="34"/>
      <c r="O60" s="34"/>
      <c r="P60" s="34"/>
      <c r="Q60" s="34"/>
      <c r="R60" s="34"/>
      <c r="S60" s="23" t="s">
        <v>500</v>
      </c>
      <c r="T60">
        <v>0</v>
      </c>
      <c r="U60" s="27"/>
      <c r="V60" s="27"/>
      <c r="Y60" s="23" t="s">
        <v>476</v>
      </c>
      <c r="Z60">
        <v>0</v>
      </c>
      <c r="AA60" s="27" t="s">
        <v>106</v>
      </c>
      <c r="AB60" s="27">
        <f>SUM(Z60:Z69)</f>
        <v>1</v>
      </c>
      <c r="AC60" s="27"/>
      <c r="AE60" s="31" t="s">
        <v>101</v>
      </c>
      <c r="AF60" s="12" t="s">
        <v>4</v>
      </c>
      <c r="AG60" s="31"/>
      <c r="AH60" s="31"/>
      <c r="AJ60" s="34"/>
      <c r="AK60" s="23" t="s">
        <v>334</v>
      </c>
      <c r="AL60">
        <v>1</v>
      </c>
      <c r="AM60" s="31" t="s">
        <v>122</v>
      </c>
      <c r="AN60" s="31">
        <f>MAX(AL58:AL71)</f>
        <v>6</v>
      </c>
      <c r="AQ60" s="23" t="s">
        <v>344</v>
      </c>
      <c r="AR60">
        <v>0</v>
      </c>
      <c r="AS60" s="31" t="s">
        <v>106</v>
      </c>
      <c r="AT60" s="31">
        <f>SUM(AR60:AR69)</f>
        <v>3</v>
      </c>
      <c r="AU60" s="24"/>
      <c r="AW60" s="34"/>
      <c r="AX60" s="34"/>
      <c r="AY60" s="34"/>
      <c r="AZ60" s="34"/>
      <c r="BA60" s="34"/>
      <c r="BC60" s="23" t="s">
        <v>372</v>
      </c>
      <c r="BD60">
        <v>1</v>
      </c>
      <c r="BE60" s="31" t="s">
        <v>144</v>
      </c>
      <c r="BF60" s="31">
        <f>STDEV(BD55:BD67)</f>
        <v>0.6504436355879909</v>
      </c>
      <c r="BH60" s="34"/>
      <c r="BI60" s="23" t="s">
        <v>139</v>
      </c>
      <c r="BJ60">
        <v>7</v>
      </c>
      <c r="BK60" s="33"/>
      <c r="BL60" s="33"/>
      <c r="BN60" s="34"/>
      <c r="BO60" s="23" t="s">
        <v>214</v>
      </c>
      <c r="BP60">
        <v>0</v>
      </c>
      <c r="BQ60" s="31"/>
      <c r="BR60" s="31"/>
      <c r="BT60" s="34"/>
      <c r="BV60" s="12" t="s">
        <v>3</v>
      </c>
      <c r="BZ60" s="34"/>
      <c r="CF60" s="36"/>
      <c r="CL60" s="36"/>
      <c r="CR60" s="36"/>
    </row>
    <row r="61" spans="7:96" ht="15" x14ac:dyDescent="0.25">
      <c r="G61" s="104" t="s">
        <v>514</v>
      </c>
      <c r="H61">
        <v>0</v>
      </c>
      <c r="I61" s="25" t="s">
        <v>115</v>
      </c>
      <c r="J61" s="25">
        <f>MIN(H60:H69)</f>
        <v>0</v>
      </c>
      <c r="M61" s="27" t="s">
        <v>100</v>
      </c>
      <c r="N61" s="30" t="s">
        <v>525</v>
      </c>
      <c r="O61" s="27"/>
      <c r="P61" s="27"/>
      <c r="S61" s="23" t="s">
        <v>501</v>
      </c>
      <c r="T61">
        <v>0</v>
      </c>
      <c r="U61" s="27"/>
      <c r="V61" s="27"/>
      <c r="Y61" s="23" t="s">
        <v>477</v>
      </c>
      <c r="Z61">
        <v>0</v>
      </c>
      <c r="AA61" s="27" t="s">
        <v>115</v>
      </c>
      <c r="AB61" s="27">
        <f>MIN(Z60:Z69)</f>
        <v>0</v>
      </c>
      <c r="AC61" s="27"/>
      <c r="AE61" s="31" t="s">
        <v>102</v>
      </c>
      <c r="AF61" s="31" t="s">
        <v>71</v>
      </c>
      <c r="AG61" s="31" t="s">
        <v>103</v>
      </c>
      <c r="AH61" s="31" t="s">
        <v>104</v>
      </c>
      <c r="AJ61" s="34"/>
      <c r="AK61" s="23" t="s">
        <v>335</v>
      </c>
      <c r="AL61">
        <v>0</v>
      </c>
      <c r="AM61" s="31" t="s">
        <v>129</v>
      </c>
      <c r="AN61" s="31">
        <f>VAR(AL58:AL71)</f>
        <v>3.9175824175824179</v>
      </c>
      <c r="AQ61" s="23" t="s">
        <v>345</v>
      </c>
      <c r="AR61">
        <v>0</v>
      </c>
      <c r="AS61" s="31" t="s">
        <v>115</v>
      </c>
      <c r="AT61" s="31">
        <f>MIN(AR60:AR69)</f>
        <v>0</v>
      </c>
      <c r="AU61" s="24"/>
      <c r="AW61" s="19" t="s">
        <v>100</v>
      </c>
      <c r="AX61" s="35" t="s">
        <v>66</v>
      </c>
      <c r="AZ61" s="19">
        <v>2014</v>
      </c>
      <c r="BC61" s="23" t="s">
        <v>373</v>
      </c>
      <c r="BD61">
        <v>1</v>
      </c>
      <c r="BE61" s="31"/>
      <c r="BF61" s="31"/>
      <c r="BH61" s="34"/>
      <c r="BI61" s="23" t="s">
        <v>156</v>
      </c>
      <c r="BJ61">
        <v>1</v>
      </c>
      <c r="BK61" s="31"/>
      <c r="BL61" s="31"/>
      <c r="BN61" s="34"/>
      <c r="BO61" s="23" t="s">
        <v>400</v>
      </c>
      <c r="BP61">
        <v>0</v>
      </c>
      <c r="BQ61" s="31"/>
      <c r="BR61" s="31"/>
      <c r="BT61" s="34"/>
      <c r="BU61" s="31" t="s">
        <v>102</v>
      </c>
      <c r="BV61" s="31" t="s">
        <v>71</v>
      </c>
      <c r="BW61" s="31" t="s">
        <v>103</v>
      </c>
      <c r="BX61" s="31" t="s">
        <v>104</v>
      </c>
      <c r="BZ61" s="34"/>
      <c r="CF61" s="36"/>
      <c r="CL61" s="36"/>
      <c r="CR61" s="36"/>
    </row>
    <row r="62" spans="7:96" ht="15" x14ac:dyDescent="0.25">
      <c r="G62" s="104" t="s">
        <v>515</v>
      </c>
      <c r="H62">
        <v>0</v>
      </c>
      <c r="I62" s="25" t="s">
        <v>122</v>
      </c>
      <c r="J62" s="25">
        <f>MAX(H60:H69)</f>
        <v>1</v>
      </c>
      <c r="K62" s="25"/>
      <c r="M62" s="27" t="s">
        <v>101</v>
      </c>
      <c r="N62" s="12" t="s">
        <v>16</v>
      </c>
      <c r="O62" s="27"/>
      <c r="P62" s="27"/>
      <c r="S62" s="23" t="s">
        <v>502</v>
      </c>
      <c r="T62">
        <v>0</v>
      </c>
      <c r="U62" s="27"/>
      <c r="V62" s="27"/>
      <c r="Y62" s="23" t="s">
        <v>478</v>
      </c>
      <c r="Z62">
        <v>0</v>
      </c>
      <c r="AA62" s="27" t="s">
        <v>122</v>
      </c>
      <c r="AB62" s="27">
        <f>MAX(Z60:Z69)</f>
        <v>1</v>
      </c>
      <c r="AC62" s="27"/>
      <c r="AE62" s="23" t="s">
        <v>453</v>
      </c>
      <c r="AF62">
        <v>0</v>
      </c>
      <c r="AG62" s="31" t="s">
        <v>106</v>
      </c>
      <c r="AH62" s="31">
        <f>SUM(AF62:AF86)</f>
        <v>1</v>
      </c>
      <c r="AJ62" s="34"/>
      <c r="AK62" s="23" t="s">
        <v>336</v>
      </c>
      <c r="AL62">
        <v>0</v>
      </c>
      <c r="AM62" s="31" t="s">
        <v>138</v>
      </c>
      <c r="AN62" s="31">
        <f>AVERAGE(AL58:AL71)</f>
        <v>0.9285714285714286</v>
      </c>
      <c r="AQ62" s="23" t="s">
        <v>262</v>
      </c>
      <c r="AR62">
        <v>2</v>
      </c>
      <c r="AS62" s="31" t="s">
        <v>122</v>
      </c>
      <c r="AT62" s="31">
        <f>MAX(AR60:AR69)</f>
        <v>2</v>
      </c>
      <c r="AX62" s="12" t="s">
        <v>6</v>
      </c>
      <c r="BC62" s="23" t="s">
        <v>374</v>
      </c>
      <c r="BD62">
        <v>1</v>
      </c>
      <c r="BE62" s="33"/>
      <c r="BF62" s="33"/>
      <c r="BH62" s="34"/>
      <c r="BI62" s="23" t="s">
        <v>388</v>
      </c>
      <c r="BJ62">
        <v>7</v>
      </c>
      <c r="BK62" s="31"/>
      <c r="BL62" s="31"/>
      <c r="BN62" s="34"/>
      <c r="BO62" s="23" t="s">
        <v>401</v>
      </c>
      <c r="BP62">
        <v>3</v>
      </c>
      <c r="BQ62" s="33"/>
      <c r="BR62" s="33"/>
      <c r="BS62" s="24"/>
      <c r="BT62" s="34"/>
      <c r="BU62" s="23" t="s">
        <v>412</v>
      </c>
      <c r="BV62" s="22">
        <v>1</v>
      </c>
      <c r="BW62" s="31" t="s">
        <v>106</v>
      </c>
      <c r="BX62" s="31">
        <f>SUM(BV62:BV86)</f>
        <v>22</v>
      </c>
      <c r="BZ62" s="34"/>
      <c r="CF62" s="36"/>
      <c r="CL62" s="36"/>
      <c r="CR62" s="36"/>
    </row>
    <row r="63" spans="7:96" ht="15" x14ac:dyDescent="0.25">
      <c r="G63" s="104" t="s">
        <v>516</v>
      </c>
      <c r="H63">
        <v>0</v>
      </c>
      <c r="I63" s="25" t="s">
        <v>129</v>
      </c>
      <c r="J63" s="25">
        <f>VAR(H60:H69)</f>
        <v>0.1</v>
      </c>
      <c r="K63" s="25"/>
      <c r="M63" s="27" t="s">
        <v>102</v>
      </c>
      <c r="N63" s="27" t="s">
        <v>71</v>
      </c>
      <c r="O63" s="27" t="s">
        <v>103</v>
      </c>
      <c r="P63" s="27" t="s">
        <v>104</v>
      </c>
      <c r="Q63" s="24"/>
      <c r="S63" s="23" t="s">
        <v>350</v>
      </c>
      <c r="T63">
        <v>0</v>
      </c>
      <c r="U63" s="27"/>
      <c r="V63" s="27"/>
      <c r="Y63" s="23" t="s">
        <v>479</v>
      </c>
      <c r="Z63">
        <v>0</v>
      </c>
      <c r="AA63" s="27" t="s">
        <v>129</v>
      </c>
      <c r="AB63" s="27">
        <f>VAR(Z60:Z69)</f>
        <v>0.1</v>
      </c>
      <c r="AC63" s="27"/>
      <c r="AE63" s="23" t="s">
        <v>454</v>
      </c>
      <c r="AF63">
        <v>0</v>
      </c>
      <c r="AG63" s="31" t="s">
        <v>115</v>
      </c>
      <c r="AH63" s="31">
        <f>MIN(AF62:AF86)</f>
        <v>0</v>
      </c>
      <c r="AI63" s="33"/>
      <c r="AJ63" s="34"/>
      <c r="AK63" s="23" t="s">
        <v>172</v>
      </c>
      <c r="AL63">
        <v>0</v>
      </c>
      <c r="AM63" s="31" t="s">
        <v>144</v>
      </c>
      <c r="AN63" s="31">
        <f>STDEV(AL58:AL71)</f>
        <v>1.9792883614022536</v>
      </c>
      <c r="AQ63" s="23" t="s">
        <v>346</v>
      </c>
      <c r="AR63">
        <v>0</v>
      </c>
      <c r="AS63" s="31" t="s">
        <v>129</v>
      </c>
      <c r="AT63" s="31">
        <f>VAR(AR60:AR69)</f>
        <v>0.45555555555555549</v>
      </c>
      <c r="AW63" s="31" t="s">
        <v>102</v>
      </c>
      <c r="AX63" s="31" t="s">
        <v>71</v>
      </c>
      <c r="AY63" s="31" t="s">
        <v>103</v>
      </c>
      <c r="AZ63" s="31" t="s">
        <v>104</v>
      </c>
      <c r="BC63" s="23" t="s">
        <v>375</v>
      </c>
      <c r="BD63">
        <v>0</v>
      </c>
      <c r="BE63" s="33"/>
      <c r="BF63" s="33"/>
      <c r="BH63" s="34"/>
      <c r="BI63" s="23" t="s">
        <v>389</v>
      </c>
      <c r="BJ63">
        <v>11</v>
      </c>
      <c r="BK63" s="31"/>
      <c r="BL63" s="31"/>
      <c r="BM63" s="24"/>
      <c r="BN63" s="34"/>
      <c r="BO63" s="23" t="s">
        <v>402</v>
      </c>
      <c r="BP63">
        <v>1</v>
      </c>
      <c r="BQ63" s="31"/>
      <c r="BR63" s="33"/>
      <c r="BS63" s="24"/>
      <c r="BT63" s="34"/>
      <c r="BU63" s="22" t="s">
        <v>244</v>
      </c>
      <c r="BV63" s="22">
        <v>0</v>
      </c>
      <c r="BW63" s="31" t="s">
        <v>115</v>
      </c>
      <c r="BX63" s="31">
        <f>MIN(BV62:BV86)</f>
        <v>0</v>
      </c>
      <c r="BZ63" s="34"/>
      <c r="CF63" s="36"/>
      <c r="CL63" s="36"/>
      <c r="CR63" s="36"/>
    </row>
    <row r="64" spans="7:96" s="28" customFormat="1" ht="15" x14ac:dyDescent="0.25">
      <c r="G64" s="104" t="s">
        <v>517</v>
      </c>
      <c r="H64">
        <v>0</v>
      </c>
      <c r="I64" s="25" t="s">
        <v>138</v>
      </c>
      <c r="J64" s="25">
        <f>AVERAGE(H60:H69)</f>
        <v>0.1</v>
      </c>
      <c r="K64" s="25"/>
      <c r="M64" s="23" t="s">
        <v>394</v>
      </c>
      <c r="N64"/>
      <c r="O64" s="27" t="s">
        <v>106</v>
      </c>
      <c r="P64" s="27">
        <f>SUM(N64:N68)</f>
        <v>3</v>
      </c>
      <c r="Q64" s="24"/>
      <c r="S64" s="23" t="s">
        <v>503</v>
      </c>
      <c r="T64">
        <v>0</v>
      </c>
      <c r="U64" s="27"/>
      <c r="V64" s="27"/>
      <c r="W64" s="24"/>
      <c r="Y64" s="23" t="s">
        <v>480</v>
      </c>
      <c r="Z64">
        <v>0</v>
      </c>
      <c r="AA64" s="27" t="s">
        <v>138</v>
      </c>
      <c r="AB64" s="27">
        <f>AVERAGE(Z60:Z69)</f>
        <v>0.1</v>
      </c>
      <c r="AC64" s="27"/>
      <c r="AD64" s="34"/>
      <c r="AE64" s="23" t="s">
        <v>455</v>
      </c>
      <c r="AF64">
        <v>0</v>
      </c>
      <c r="AG64" s="31" t="s">
        <v>122</v>
      </c>
      <c r="AH64" s="31">
        <f>MAX(AF62:AF86)</f>
        <v>1</v>
      </c>
      <c r="AI64" s="33"/>
      <c r="AJ64" s="34"/>
      <c r="AK64" s="23" t="s">
        <v>337</v>
      </c>
      <c r="AL64">
        <v>0</v>
      </c>
      <c r="AM64" s="31"/>
      <c r="AN64" s="31"/>
      <c r="AO64" s="19"/>
      <c r="AQ64" s="23" t="s">
        <v>347</v>
      </c>
      <c r="AR64">
        <v>0</v>
      </c>
      <c r="AS64" s="31" t="s">
        <v>138</v>
      </c>
      <c r="AT64" s="31">
        <f>AVERAGE(AR60:AR69)</f>
        <v>0.3</v>
      </c>
      <c r="AU64" s="33"/>
      <c r="AW64" s="23" t="s">
        <v>353</v>
      </c>
      <c r="AX64">
        <v>0</v>
      </c>
      <c r="AY64" s="31" t="s">
        <v>106</v>
      </c>
      <c r="AZ64" s="31">
        <f>SUM(AX64:AX79)</f>
        <v>1</v>
      </c>
      <c r="BA64" s="24"/>
      <c r="BC64" s="23" t="s">
        <v>376</v>
      </c>
      <c r="BD64">
        <v>0</v>
      </c>
      <c r="BE64" s="31"/>
      <c r="BF64" s="31"/>
      <c r="BG64" s="24"/>
      <c r="BI64" s="34"/>
      <c r="BJ64" s="34"/>
      <c r="BK64" s="34"/>
      <c r="BL64" s="34"/>
      <c r="BM64" s="34"/>
      <c r="BO64" s="23" t="s">
        <v>403</v>
      </c>
      <c r="BP64">
        <v>1</v>
      </c>
      <c r="BQ64" s="31"/>
      <c r="BR64" s="33"/>
      <c r="BS64" s="24"/>
      <c r="BU64" s="22" t="s">
        <v>119</v>
      </c>
      <c r="BV64" s="22">
        <v>0</v>
      </c>
      <c r="BW64" s="31" t="s">
        <v>122</v>
      </c>
      <c r="BX64" s="31">
        <f>MAX(BV62:BV86)</f>
        <v>3</v>
      </c>
    </row>
    <row r="65" spans="1:96" s="28" customFormat="1" ht="15" x14ac:dyDescent="0.25">
      <c r="G65" s="104" t="s">
        <v>518</v>
      </c>
      <c r="H65">
        <v>0</v>
      </c>
      <c r="I65" s="25" t="s">
        <v>144</v>
      </c>
      <c r="J65" s="25">
        <f>STDEV(H60:H69)</f>
        <v>0.31622776601683794</v>
      </c>
      <c r="K65" s="25"/>
      <c r="M65" s="23" t="s">
        <v>485</v>
      </c>
      <c r="N65">
        <v>1</v>
      </c>
      <c r="O65" s="27" t="s">
        <v>115</v>
      </c>
      <c r="P65" s="27">
        <f>MIN(N64:N68)</f>
        <v>1</v>
      </c>
      <c r="Q65" s="24"/>
      <c r="S65" s="23" t="s">
        <v>504</v>
      </c>
      <c r="T65">
        <v>2</v>
      </c>
      <c r="U65" s="25"/>
      <c r="V65" s="25"/>
      <c r="W65" s="24"/>
      <c r="Y65" s="23" t="s">
        <v>481</v>
      </c>
      <c r="Z65">
        <v>0</v>
      </c>
      <c r="AA65" s="27" t="s">
        <v>144</v>
      </c>
      <c r="AB65" s="27">
        <f>STDEV(Z60:Z69)</f>
        <v>0.31622776601683794</v>
      </c>
      <c r="AC65" s="27"/>
      <c r="AD65" s="34"/>
      <c r="AE65" s="23" t="s">
        <v>456</v>
      </c>
      <c r="AF65">
        <v>0</v>
      </c>
      <c r="AG65" s="31" t="s">
        <v>129</v>
      </c>
      <c r="AH65" s="31">
        <f>VAR(AF62:AF86)</f>
        <v>0.04</v>
      </c>
      <c r="AI65" s="33"/>
      <c r="AJ65" s="34"/>
      <c r="AK65" s="23" t="s">
        <v>338</v>
      </c>
      <c r="AL65">
        <v>0</v>
      </c>
      <c r="AM65" s="31"/>
      <c r="AN65" s="31"/>
      <c r="AO65" s="19"/>
      <c r="AQ65" s="23" t="s">
        <v>348</v>
      </c>
      <c r="AR65">
        <v>0</v>
      </c>
      <c r="AS65" s="31" t="s">
        <v>144</v>
      </c>
      <c r="AT65" s="31">
        <f>STDEV(AR60:AR69)</f>
        <v>0.67494855771055284</v>
      </c>
      <c r="AU65" s="33"/>
      <c r="AW65" s="23" t="s">
        <v>354</v>
      </c>
      <c r="AX65">
        <v>0</v>
      </c>
      <c r="AY65" s="31" t="s">
        <v>115</v>
      </c>
      <c r="AZ65" s="31">
        <f>MIN(AX64:AX79)</f>
        <v>0</v>
      </c>
      <c r="BA65" s="24"/>
      <c r="BC65" s="23" t="s">
        <v>377</v>
      </c>
      <c r="BD65">
        <v>0</v>
      </c>
      <c r="BE65" s="31"/>
      <c r="BF65" s="31"/>
      <c r="BG65" s="24"/>
      <c r="BI65" s="19" t="s">
        <v>100</v>
      </c>
      <c r="BJ65" s="35" t="s">
        <v>64</v>
      </c>
      <c r="BK65" s="19"/>
      <c r="BL65" s="19"/>
      <c r="BM65" s="24"/>
      <c r="BO65" s="23" t="s">
        <v>404</v>
      </c>
      <c r="BP65">
        <v>2</v>
      </c>
      <c r="BQ65" s="31"/>
      <c r="BR65" s="33"/>
      <c r="BS65" s="24"/>
      <c r="BU65" s="22" t="s">
        <v>413</v>
      </c>
      <c r="BV65" s="22">
        <v>0</v>
      </c>
      <c r="BW65" s="31" t="s">
        <v>129</v>
      </c>
      <c r="BX65" s="31">
        <f>VAR(BV62:BV86)</f>
        <v>1.1100000000000001</v>
      </c>
    </row>
    <row r="66" spans="1:96" ht="15" x14ac:dyDescent="0.25">
      <c r="A66" s="26"/>
      <c r="B66" s="27"/>
      <c r="C66" s="27"/>
      <c r="D66" s="27"/>
      <c r="E66" s="27"/>
      <c r="G66" s="104" t="s">
        <v>519</v>
      </c>
      <c r="H66">
        <v>0</v>
      </c>
      <c r="I66" s="25"/>
      <c r="J66" s="25"/>
      <c r="K66" s="25"/>
      <c r="L66" s="29"/>
      <c r="M66" s="23" t="s">
        <v>486</v>
      </c>
      <c r="N66"/>
      <c r="O66" s="27" t="s">
        <v>122</v>
      </c>
      <c r="P66" s="27">
        <f>MAX(N64:N68)</f>
        <v>2</v>
      </c>
      <c r="Q66" s="27"/>
      <c r="R66" s="29"/>
      <c r="S66" s="102"/>
      <c r="T66" s="90"/>
      <c r="U66" s="90"/>
      <c r="V66" s="90"/>
      <c r="W66" s="90"/>
      <c r="X66" s="90"/>
      <c r="Y66" s="23" t="s">
        <v>262</v>
      </c>
      <c r="Z66">
        <v>1</v>
      </c>
      <c r="AA66" s="27"/>
      <c r="AB66" s="27"/>
      <c r="AC66" s="27"/>
      <c r="AE66" s="23" t="s">
        <v>259</v>
      </c>
      <c r="AF66">
        <v>0</v>
      </c>
      <c r="AG66" s="31" t="s">
        <v>138</v>
      </c>
      <c r="AH66" s="31">
        <f>AVERAGE(AF62:AF86)</f>
        <v>0.04</v>
      </c>
      <c r="AI66" s="33"/>
      <c r="AJ66" s="34"/>
      <c r="AK66" s="23" t="s">
        <v>339</v>
      </c>
      <c r="AL66">
        <v>0</v>
      </c>
      <c r="AM66" s="31"/>
      <c r="AN66" s="31"/>
      <c r="AQ66" s="23" t="s">
        <v>349</v>
      </c>
      <c r="AR66">
        <v>0</v>
      </c>
      <c r="AS66" s="31"/>
      <c r="AT66" s="31"/>
      <c r="AU66" s="25"/>
      <c r="AW66" s="23" t="s">
        <v>216</v>
      </c>
      <c r="AX66">
        <v>0</v>
      </c>
      <c r="AY66" s="31" t="s">
        <v>122</v>
      </c>
      <c r="AZ66" s="31">
        <f>MAX(AX64:AX79)</f>
        <v>1</v>
      </c>
      <c r="BA66" s="24"/>
      <c r="BC66" s="23" t="s">
        <v>378</v>
      </c>
      <c r="BD66">
        <v>0</v>
      </c>
      <c r="BE66" s="31"/>
      <c r="BF66" s="31"/>
      <c r="BH66" s="34"/>
      <c r="BJ66" s="12" t="s">
        <v>8</v>
      </c>
      <c r="BM66" s="24"/>
      <c r="BN66" s="34"/>
      <c r="BO66" s="23" t="s">
        <v>405</v>
      </c>
      <c r="BP66">
        <v>0</v>
      </c>
      <c r="BQ66" s="31"/>
      <c r="BR66" s="33"/>
      <c r="BS66" s="24"/>
      <c r="BT66" s="34"/>
      <c r="BU66" s="22" t="s">
        <v>414</v>
      </c>
      <c r="BV66" s="22">
        <v>1</v>
      </c>
      <c r="BW66" s="31" t="s">
        <v>138</v>
      </c>
      <c r="BX66" s="31">
        <f>AVERAGE(BV62:BV86)</f>
        <v>0.88</v>
      </c>
      <c r="BZ66" s="34"/>
      <c r="CF66" s="36"/>
      <c r="CL66" s="36"/>
      <c r="CR66" s="36"/>
    </row>
    <row r="67" spans="1:96" ht="15" x14ac:dyDescent="0.25">
      <c r="A67" s="27"/>
      <c r="B67" s="27"/>
      <c r="C67" s="27"/>
      <c r="D67" s="27"/>
      <c r="E67" s="27"/>
      <c r="G67" s="104" t="s">
        <v>520</v>
      </c>
      <c r="H67">
        <v>0</v>
      </c>
      <c r="I67" s="25"/>
      <c r="J67" s="25"/>
      <c r="K67" s="25"/>
      <c r="L67" s="29"/>
      <c r="M67" s="23" t="s">
        <v>487</v>
      </c>
      <c r="N67"/>
      <c r="O67" s="27" t="s">
        <v>129</v>
      </c>
      <c r="P67" s="27">
        <f>VAR(N64:N68)</f>
        <v>0.5</v>
      </c>
      <c r="Q67" s="27"/>
      <c r="R67" s="29"/>
      <c r="S67" s="27" t="s">
        <v>100</v>
      </c>
      <c r="T67" s="30" t="s">
        <v>524</v>
      </c>
      <c r="U67" s="27"/>
      <c r="V67" s="27">
        <v>2014</v>
      </c>
      <c r="W67" s="27"/>
      <c r="X67" s="29"/>
      <c r="Y67" s="23" t="s">
        <v>482</v>
      </c>
      <c r="Z67">
        <v>0</v>
      </c>
      <c r="AA67" s="27"/>
      <c r="AB67" s="27"/>
      <c r="AC67" s="27"/>
      <c r="AE67" s="23" t="s">
        <v>457</v>
      </c>
      <c r="AF67">
        <v>0</v>
      </c>
      <c r="AG67" s="31" t="s">
        <v>144</v>
      </c>
      <c r="AH67" s="31">
        <f>STDEV(AF62:AF86)</f>
        <v>0.2</v>
      </c>
      <c r="AI67" s="33"/>
      <c r="AJ67" s="34"/>
      <c r="AK67" s="23" t="s">
        <v>340</v>
      </c>
      <c r="AL67">
        <v>5</v>
      </c>
      <c r="AM67" s="31"/>
      <c r="AN67" s="31"/>
      <c r="AQ67" s="23" t="s">
        <v>350</v>
      </c>
      <c r="AR67">
        <v>0</v>
      </c>
      <c r="AS67" s="31"/>
      <c r="AT67" s="31"/>
      <c r="AU67" s="27"/>
      <c r="AW67" s="23" t="s">
        <v>355</v>
      </c>
      <c r="AX67">
        <v>0</v>
      </c>
      <c r="AY67" s="31" t="s">
        <v>129</v>
      </c>
      <c r="AZ67" s="31">
        <f>VAR(AX64:AX79)</f>
        <v>6.25E-2</v>
      </c>
      <c r="BC67" s="23" t="s">
        <v>379</v>
      </c>
      <c r="BD67">
        <v>0</v>
      </c>
      <c r="BE67" s="31"/>
      <c r="BF67" s="31"/>
      <c r="BH67" s="34"/>
      <c r="BI67" s="31" t="s">
        <v>102</v>
      </c>
      <c r="BJ67" s="31" t="s">
        <v>71</v>
      </c>
      <c r="BK67" s="31" t="s">
        <v>103</v>
      </c>
      <c r="BL67" s="31" t="s">
        <v>104</v>
      </c>
      <c r="BN67" s="34"/>
      <c r="BO67" s="23" t="s">
        <v>406</v>
      </c>
      <c r="BP67">
        <v>0</v>
      </c>
      <c r="BQ67" s="31"/>
      <c r="BR67" s="31"/>
      <c r="BT67" s="34"/>
      <c r="BU67" s="22" t="s">
        <v>415</v>
      </c>
      <c r="BV67" s="22">
        <v>0</v>
      </c>
      <c r="BW67" s="31" t="s">
        <v>144</v>
      </c>
      <c r="BX67" s="31">
        <f>STDEV(BV62:BV86)</f>
        <v>1.0535653752852738</v>
      </c>
      <c r="BZ67" s="34"/>
      <c r="CF67" s="36"/>
      <c r="CL67" s="36"/>
      <c r="CR67" s="36"/>
    </row>
    <row r="68" spans="1:96" ht="15" x14ac:dyDescent="0.25">
      <c r="A68" s="52"/>
      <c r="B68" s="25"/>
      <c r="C68" s="27"/>
      <c r="D68" s="27"/>
      <c r="E68" s="27"/>
      <c r="G68" s="104" t="s">
        <v>521</v>
      </c>
      <c r="H68">
        <v>1</v>
      </c>
      <c r="I68" s="25"/>
      <c r="J68" s="25"/>
      <c r="K68" s="25"/>
      <c r="L68" s="29"/>
      <c r="M68" s="23" t="s">
        <v>488</v>
      </c>
      <c r="N68">
        <v>2</v>
      </c>
      <c r="O68" s="27" t="s">
        <v>138</v>
      </c>
      <c r="P68" s="27">
        <f>AVERAGE(N64:N68)</f>
        <v>1.5</v>
      </c>
      <c r="Q68" s="27"/>
      <c r="R68" s="29"/>
      <c r="S68" s="27" t="s">
        <v>101</v>
      </c>
      <c r="T68" s="12" t="s">
        <v>8</v>
      </c>
      <c r="U68" s="27"/>
      <c r="V68" s="27"/>
      <c r="W68" s="27"/>
      <c r="X68" s="29"/>
      <c r="Y68" s="23" t="s">
        <v>483</v>
      </c>
      <c r="Z68">
        <v>0</v>
      </c>
      <c r="AA68" s="27"/>
      <c r="AB68" s="27"/>
      <c r="AC68" s="27"/>
      <c r="AE68" s="23" t="s">
        <v>458</v>
      </c>
      <c r="AF68">
        <v>0</v>
      </c>
      <c r="AG68" s="31"/>
      <c r="AH68" s="31"/>
      <c r="AI68" s="33"/>
      <c r="AJ68" s="34"/>
      <c r="AK68" s="23" t="s">
        <v>77</v>
      </c>
      <c r="AL68">
        <v>6</v>
      </c>
      <c r="AM68" s="31"/>
      <c r="AN68" s="31"/>
      <c r="AQ68" s="23" t="s">
        <v>351</v>
      </c>
      <c r="AR68">
        <v>0</v>
      </c>
      <c r="AS68" s="31"/>
      <c r="AT68" s="31"/>
      <c r="AU68" s="27"/>
      <c r="AW68" s="23" t="s">
        <v>356</v>
      </c>
      <c r="AX68">
        <v>0</v>
      </c>
      <c r="AY68" s="31" t="s">
        <v>138</v>
      </c>
      <c r="AZ68" s="31">
        <f>AVERAGE(AX64:AX79)</f>
        <v>6.25E-2</v>
      </c>
      <c r="BC68" s="34"/>
      <c r="BD68" s="34"/>
      <c r="BE68" s="34"/>
      <c r="BF68" s="34"/>
      <c r="BG68" s="34"/>
      <c r="BH68" s="34"/>
      <c r="BI68" s="23" t="s">
        <v>380</v>
      </c>
      <c r="BJ68">
        <v>1</v>
      </c>
      <c r="BK68" s="31" t="s">
        <v>106</v>
      </c>
      <c r="BL68" s="31">
        <f>SUM(BJ68:BJ79)</f>
        <v>6</v>
      </c>
      <c r="BN68" s="34"/>
      <c r="BO68" s="23" t="s">
        <v>407</v>
      </c>
      <c r="BP68">
        <v>1</v>
      </c>
      <c r="BQ68" s="31"/>
      <c r="BR68" s="31"/>
      <c r="BT68" s="34"/>
      <c r="BU68" s="22" t="s">
        <v>416</v>
      </c>
      <c r="BV68" s="22">
        <v>3</v>
      </c>
      <c r="BW68" s="31"/>
      <c r="BX68" s="31"/>
      <c r="BZ68" s="34"/>
      <c r="CF68" s="36"/>
      <c r="CL68" s="36"/>
      <c r="CR68" s="36"/>
    </row>
    <row r="69" spans="1:96" ht="15" x14ac:dyDescent="0.25">
      <c r="A69" s="27"/>
      <c r="B69" s="27"/>
      <c r="C69" s="27"/>
      <c r="D69" s="27"/>
      <c r="E69" s="27"/>
      <c r="G69" s="104" t="s">
        <v>175</v>
      </c>
      <c r="H69">
        <v>0</v>
      </c>
      <c r="K69" s="25"/>
      <c r="L69" s="29"/>
      <c r="M69" s="23"/>
      <c r="N69" s="40"/>
      <c r="O69" s="27" t="s">
        <v>144</v>
      </c>
      <c r="P69" s="27">
        <f>STDEV(N64:N68)</f>
        <v>0.70710678118654757</v>
      </c>
      <c r="Q69" s="27"/>
      <c r="R69" s="29"/>
      <c r="S69" s="27" t="s">
        <v>102</v>
      </c>
      <c r="T69" s="27" t="s">
        <v>71</v>
      </c>
      <c r="U69" s="27" t="s">
        <v>103</v>
      </c>
      <c r="V69" s="27" t="s">
        <v>104</v>
      </c>
      <c r="W69" s="27"/>
      <c r="X69" s="29"/>
      <c r="Y69" s="23" t="s">
        <v>484</v>
      </c>
      <c r="Z69">
        <v>0</v>
      </c>
      <c r="AA69" s="27"/>
      <c r="AB69" s="27"/>
      <c r="AC69" s="27"/>
      <c r="AE69" s="23" t="s">
        <v>459</v>
      </c>
      <c r="AF69">
        <v>0</v>
      </c>
      <c r="AG69" s="31"/>
      <c r="AH69" s="31"/>
      <c r="AI69" s="33"/>
      <c r="AJ69" s="34"/>
      <c r="AK69" s="23" t="s">
        <v>341</v>
      </c>
      <c r="AL69">
        <v>1</v>
      </c>
      <c r="AM69" s="31"/>
      <c r="AN69" s="31"/>
      <c r="AQ69" s="23" t="s">
        <v>352</v>
      </c>
      <c r="AR69">
        <v>1</v>
      </c>
      <c r="AS69" s="31"/>
      <c r="AT69" s="31"/>
      <c r="AU69" s="27"/>
      <c r="AW69" s="23" t="s">
        <v>357</v>
      </c>
      <c r="AX69">
        <v>0</v>
      </c>
      <c r="AY69" s="31" t="s">
        <v>144</v>
      </c>
      <c r="AZ69" s="31">
        <f>STDEV(AX64:AX79)</f>
        <v>0.25</v>
      </c>
      <c r="BC69" s="19" t="s">
        <v>100</v>
      </c>
      <c r="BD69" s="35" t="s">
        <v>65</v>
      </c>
      <c r="BH69" s="34"/>
      <c r="BI69" s="23" t="s">
        <v>381</v>
      </c>
      <c r="BJ69">
        <v>0</v>
      </c>
      <c r="BK69" s="31" t="s">
        <v>115</v>
      </c>
      <c r="BL69" s="31">
        <f>MIN(BJ68:BJ79)</f>
        <v>0</v>
      </c>
      <c r="BN69" s="34"/>
      <c r="BO69" s="94"/>
      <c r="BP69" s="34"/>
      <c r="BQ69" s="34"/>
      <c r="BR69" s="34"/>
      <c r="BS69" s="34"/>
      <c r="BT69" s="34"/>
      <c r="BU69" s="22" t="s">
        <v>417</v>
      </c>
      <c r="BV69" s="22">
        <v>0</v>
      </c>
      <c r="BW69" s="31"/>
      <c r="BX69" s="31"/>
      <c r="BZ69" s="34"/>
      <c r="CA69" s="49"/>
      <c r="CB69" s="31"/>
      <c r="CC69" s="31"/>
      <c r="CD69" s="31"/>
      <c r="CF69" s="36"/>
      <c r="CG69" s="49"/>
      <c r="CH69" s="31"/>
      <c r="CI69" s="31"/>
      <c r="CJ69" s="31"/>
      <c r="CL69" s="36"/>
      <c r="CM69" s="49"/>
      <c r="CR69" s="36"/>
    </row>
    <row r="70" spans="1:96" ht="15" x14ac:dyDescent="0.25">
      <c r="A70" s="42"/>
      <c r="B70" s="27"/>
      <c r="C70" s="27"/>
      <c r="D70" s="27"/>
      <c r="E70" s="27"/>
      <c r="G70" s="34"/>
      <c r="H70" s="34"/>
      <c r="I70" s="34"/>
      <c r="J70" s="34"/>
      <c r="K70" s="90"/>
      <c r="L70" s="90"/>
      <c r="M70" s="90"/>
      <c r="N70" s="90"/>
      <c r="O70" s="90"/>
      <c r="P70" s="90"/>
      <c r="Q70" s="90"/>
      <c r="R70" s="90"/>
      <c r="S70" s="23" t="s">
        <v>489</v>
      </c>
      <c r="T70">
        <v>0</v>
      </c>
      <c r="U70" s="31" t="s">
        <v>106</v>
      </c>
      <c r="V70" s="27">
        <f>SUM(T70:T87)</f>
        <v>4</v>
      </c>
      <c r="W70" s="27"/>
      <c r="X70" s="29"/>
      <c r="Y70" s="100"/>
      <c r="Z70" s="101"/>
      <c r="AA70" s="90"/>
      <c r="AB70" s="90"/>
      <c r="AC70" s="90"/>
      <c r="AE70" s="23" t="s">
        <v>460</v>
      </c>
      <c r="AF70">
        <v>0</v>
      </c>
      <c r="AG70" s="33"/>
      <c r="AH70" s="33"/>
      <c r="AI70" s="33"/>
      <c r="AJ70" s="34"/>
      <c r="AK70" s="23" t="s">
        <v>342</v>
      </c>
      <c r="AL70">
        <v>0</v>
      </c>
      <c r="AM70" s="31"/>
      <c r="AN70" s="31"/>
      <c r="AQ70" s="108"/>
      <c r="AR70" s="90"/>
      <c r="AS70" s="90"/>
      <c r="AT70" s="90"/>
      <c r="AU70" s="90"/>
      <c r="AW70" s="23" t="s">
        <v>358</v>
      </c>
      <c r="AX70">
        <v>0</v>
      </c>
      <c r="AY70" s="31"/>
      <c r="AZ70" s="31"/>
      <c r="BD70" s="12" t="s">
        <v>15</v>
      </c>
      <c r="BH70" s="34"/>
      <c r="BI70" s="23" t="s">
        <v>382</v>
      </c>
      <c r="BJ70">
        <v>0</v>
      </c>
      <c r="BK70" s="31" t="s">
        <v>122</v>
      </c>
      <c r="BL70" s="31">
        <f>MAX(BJ68:BJ79)</f>
        <v>2</v>
      </c>
      <c r="BN70" s="34"/>
      <c r="BO70" s="19" t="s">
        <v>100</v>
      </c>
      <c r="BP70" s="35" t="s">
        <v>540</v>
      </c>
      <c r="BR70" s="19">
        <v>2014</v>
      </c>
      <c r="BT70" s="34"/>
      <c r="BU70" s="22" t="s">
        <v>418</v>
      </c>
      <c r="BV70" s="22">
        <v>2</v>
      </c>
      <c r="BW70" s="31"/>
      <c r="BX70" s="31"/>
      <c r="BZ70" s="34"/>
      <c r="CA70" s="31"/>
      <c r="CB70" s="31"/>
      <c r="CC70" s="31"/>
      <c r="CD70" s="31"/>
      <c r="CF70" s="36"/>
      <c r="CG70" s="31"/>
      <c r="CH70" s="31"/>
      <c r="CI70" s="31"/>
      <c r="CJ70" s="31"/>
      <c r="CL70" s="36"/>
      <c r="CM70" s="31"/>
      <c r="CN70" s="31"/>
      <c r="CO70" s="31"/>
      <c r="CP70" s="31"/>
      <c r="CR70" s="36"/>
    </row>
    <row r="71" spans="1:96" ht="15" x14ac:dyDescent="0.25">
      <c r="A71" s="42"/>
      <c r="B71" s="27"/>
      <c r="C71" s="27"/>
      <c r="D71" s="27"/>
      <c r="E71" s="27"/>
      <c r="G71" s="25" t="s">
        <v>100</v>
      </c>
      <c r="H71" s="26" t="s">
        <v>523</v>
      </c>
      <c r="I71" s="25"/>
      <c r="J71" s="25">
        <v>2014</v>
      </c>
      <c r="K71" s="25"/>
      <c r="L71" s="29"/>
      <c r="M71" s="27" t="s">
        <v>100</v>
      </c>
      <c r="N71" s="30" t="s">
        <v>525</v>
      </c>
      <c r="O71" s="27"/>
      <c r="P71" s="27"/>
      <c r="Q71" s="27"/>
      <c r="R71" s="29"/>
      <c r="S71" s="23" t="s">
        <v>490</v>
      </c>
      <c r="T71">
        <v>0</v>
      </c>
      <c r="U71" s="31" t="s">
        <v>115</v>
      </c>
      <c r="V71" s="27">
        <f>MIN(T70:T87)</f>
        <v>0</v>
      </c>
      <c r="W71" s="27"/>
      <c r="X71" s="29"/>
      <c r="Y71" s="27" t="s">
        <v>100</v>
      </c>
      <c r="Z71" s="30" t="s">
        <v>535</v>
      </c>
      <c r="AA71" s="27"/>
      <c r="AB71" s="27"/>
      <c r="AC71" s="27"/>
      <c r="AE71" s="23" t="s">
        <v>461</v>
      </c>
      <c r="AF71">
        <v>0</v>
      </c>
      <c r="AG71" s="31"/>
      <c r="AH71" s="31"/>
      <c r="AI71" s="33"/>
      <c r="AJ71" s="34"/>
      <c r="AK71" s="23" t="s">
        <v>343</v>
      </c>
      <c r="AL71">
        <v>0</v>
      </c>
      <c r="AM71" s="31"/>
      <c r="AN71" s="31"/>
      <c r="AQ71" s="19" t="s">
        <v>100</v>
      </c>
      <c r="AR71" s="32" t="s">
        <v>444</v>
      </c>
      <c r="AU71" s="27"/>
      <c r="AW71" s="23" t="s">
        <v>359</v>
      </c>
      <c r="AX71">
        <v>0</v>
      </c>
      <c r="AY71" s="31"/>
      <c r="AZ71" s="31"/>
      <c r="BC71" s="31" t="s">
        <v>102</v>
      </c>
      <c r="BD71" s="31" t="s">
        <v>71</v>
      </c>
      <c r="BE71" s="31" t="s">
        <v>103</v>
      </c>
      <c r="BF71" s="31" t="s">
        <v>104</v>
      </c>
      <c r="BH71" s="34"/>
      <c r="BI71" s="23" t="s">
        <v>383</v>
      </c>
      <c r="BJ71">
        <v>2</v>
      </c>
      <c r="BK71" s="31" t="s">
        <v>129</v>
      </c>
      <c r="BL71" s="31">
        <f>VAR(BJ68:BJ79)</f>
        <v>0.45454545454545453</v>
      </c>
      <c r="BN71" s="34"/>
      <c r="BP71" s="12" t="s">
        <v>6</v>
      </c>
      <c r="BT71" s="34"/>
      <c r="BU71" s="22" t="s">
        <v>419</v>
      </c>
      <c r="BV71" s="22">
        <v>1</v>
      </c>
      <c r="BW71" s="31"/>
      <c r="BX71" s="31"/>
      <c r="BZ71" s="34"/>
      <c r="CA71" s="38"/>
      <c r="CB71" s="31"/>
      <c r="CC71" s="31"/>
      <c r="CD71" s="31"/>
      <c r="CF71" s="36"/>
      <c r="CG71" s="44"/>
      <c r="CI71" s="31"/>
      <c r="CJ71" s="31"/>
      <c r="CL71" s="36"/>
      <c r="CM71" s="44"/>
      <c r="CO71" s="31"/>
      <c r="CP71" s="31"/>
      <c r="CR71" s="36"/>
    </row>
    <row r="72" spans="1:96" ht="15" x14ac:dyDescent="0.25">
      <c r="A72" s="42"/>
      <c r="B72" s="27"/>
      <c r="C72" s="27"/>
      <c r="D72" s="27"/>
      <c r="E72" s="27"/>
      <c r="G72" s="25" t="s">
        <v>101</v>
      </c>
      <c r="H72" s="103" t="s">
        <v>15</v>
      </c>
      <c r="I72" s="25"/>
      <c r="J72" s="25"/>
      <c r="K72" s="25"/>
      <c r="L72" s="29"/>
      <c r="M72" s="27" t="s">
        <v>101</v>
      </c>
      <c r="N72" s="12" t="s">
        <v>17</v>
      </c>
      <c r="O72" s="27"/>
      <c r="P72" s="27"/>
      <c r="Q72" s="27"/>
      <c r="R72" s="29"/>
      <c r="S72" s="23" t="s">
        <v>491</v>
      </c>
      <c r="T72">
        <v>0</v>
      </c>
      <c r="U72" s="31" t="s">
        <v>122</v>
      </c>
      <c r="V72" s="27">
        <f>MAX(T70:T87)</f>
        <v>2</v>
      </c>
      <c r="W72" s="27"/>
      <c r="X72" s="29"/>
      <c r="Y72" s="27" t="s">
        <v>101</v>
      </c>
      <c r="Z72" s="12" t="s">
        <v>18</v>
      </c>
      <c r="AA72" s="27"/>
      <c r="AB72" s="27"/>
      <c r="AC72" s="27"/>
      <c r="AE72" s="23" t="s">
        <v>462</v>
      </c>
      <c r="AF72">
        <v>0</v>
      </c>
      <c r="AG72" s="24"/>
      <c r="AH72" s="24"/>
      <c r="AI72" s="33"/>
      <c r="AJ72" s="34"/>
      <c r="AK72" s="100"/>
      <c r="AL72" s="109"/>
      <c r="AM72" s="34"/>
      <c r="AN72" s="34"/>
      <c r="AO72" s="34"/>
      <c r="AR72" s="12" t="s">
        <v>17</v>
      </c>
      <c r="AU72" s="27"/>
      <c r="AW72" s="23" t="s">
        <v>360</v>
      </c>
      <c r="AX72">
        <v>1</v>
      </c>
      <c r="AY72" s="31"/>
      <c r="AZ72" s="31"/>
      <c r="BC72" s="23" t="s">
        <v>368</v>
      </c>
      <c r="BD72">
        <v>2</v>
      </c>
      <c r="BE72" s="31" t="s">
        <v>106</v>
      </c>
      <c r="BF72" s="31">
        <f>SUM(BD72:BD84)</f>
        <v>12</v>
      </c>
      <c r="BH72" s="34"/>
      <c r="BI72" s="23" t="s">
        <v>384</v>
      </c>
      <c r="BJ72">
        <v>0</v>
      </c>
      <c r="BK72" s="31" t="s">
        <v>138</v>
      </c>
      <c r="BL72" s="31">
        <f>AVERAGE(BJ68:BJ79)</f>
        <v>0.5</v>
      </c>
      <c r="BN72" s="34"/>
      <c r="BO72" s="31" t="s">
        <v>102</v>
      </c>
      <c r="BP72" s="31" t="s">
        <v>71</v>
      </c>
      <c r="BQ72" s="31" t="s">
        <v>103</v>
      </c>
      <c r="BR72" s="31" t="s">
        <v>104</v>
      </c>
      <c r="BT72" s="34"/>
      <c r="BU72" s="22" t="s">
        <v>420</v>
      </c>
      <c r="BV72" s="22">
        <v>0</v>
      </c>
      <c r="BW72" s="31"/>
      <c r="BX72" s="31"/>
      <c r="BZ72" s="34"/>
      <c r="CA72" s="38"/>
      <c r="CB72" s="31"/>
      <c r="CC72" s="31"/>
      <c r="CD72" s="31"/>
      <c r="CF72" s="36"/>
      <c r="CG72" s="44"/>
      <c r="CI72" s="31"/>
      <c r="CJ72" s="31"/>
      <c r="CL72" s="36"/>
      <c r="CM72" s="44"/>
      <c r="CO72" s="31"/>
      <c r="CP72" s="31"/>
      <c r="CR72" s="36"/>
    </row>
    <row r="73" spans="1:96" ht="15" x14ac:dyDescent="0.25">
      <c r="A73" s="42"/>
      <c r="B73" s="27"/>
      <c r="C73" s="27"/>
      <c r="D73" s="27"/>
      <c r="E73" s="27"/>
      <c r="G73" s="25" t="s">
        <v>102</v>
      </c>
      <c r="H73" s="25" t="s">
        <v>71</v>
      </c>
      <c r="I73" s="25" t="s">
        <v>103</v>
      </c>
      <c r="J73" s="25" t="s">
        <v>104</v>
      </c>
      <c r="K73" s="25"/>
      <c r="L73" s="29"/>
      <c r="M73" s="27" t="s">
        <v>102</v>
      </c>
      <c r="N73" s="27" t="s">
        <v>71</v>
      </c>
      <c r="O73" s="27" t="s">
        <v>103</v>
      </c>
      <c r="P73" s="27" t="s">
        <v>104</v>
      </c>
      <c r="Q73" s="27"/>
      <c r="R73" s="29"/>
      <c r="S73" s="23" t="s">
        <v>492</v>
      </c>
      <c r="T73">
        <v>2</v>
      </c>
      <c r="U73" s="31" t="s">
        <v>129</v>
      </c>
      <c r="V73" s="27">
        <f>VAR(T70:T87)</f>
        <v>0.30065359477124182</v>
      </c>
      <c r="W73" s="27"/>
      <c r="X73" s="90"/>
      <c r="Y73" s="27" t="s">
        <v>105</v>
      </c>
      <c r="Z73" s="27" t="s">
        <v>71</v>
      </c>
      <c r="AA73" s="27" t="s">
        <v>103</v>
      </c>
      <c r="AB73" s="27" t="s">
        <v>104</v>
      </c>
      <c r="AC73" s="25"/>
      <c r="AD73" s="34"/>
      <c r="AE73" s="23" t="s">
        <v>463</v>
      </c>
      <c r="AF73">
        <v>0</v>
      </c>
      <c r="AG73" s="31"/>
      <c r="AH73" s="31"/>
      <c r="AI73" s="33"/>
      <c r="AJ73" s="34"/>
      <c r="AK73" s="19" t="s">
        <v>100</v>
      </c>
      <c r="AL73" s="32" t="s">
        <v>443</v>
      </c>
      <c r="AQ73" s="31" t="s">
        <v>102</v>
      </c>
      <c r="AR73" s="31" t="s">
        <v>71</v>
      </c>
      <c r="AS73" s="31" t="s">
        <v>103</v>
      </c>
      <c r="AT73" s="31" t="s">
        <v>104</v>
      </c>
      <c r="AU73" s="27"/>
      <c r="AW73" s="23" t="s">
        <v>361</v>
      </c>
      <c r="AX73">
        <v>0</v>
      </c>
      <c r="AY73" s="31"/>
      <c r="AZ73" s="31"/>
      <c r="BC73" s="23" t="s">
        <v>369</v>
      </c>
      <c r="BD73">
        <v>0</v>
      </c>
      <c r="BE73" s="31" t="s">
        <v>115</v>
      </c>
      <c r="BF73" s="31">
        <f>MIN(BD72:BD84)</f>
        <v>0</v>
      </c>
      <c r="BH73" s="34"/>
      <c r="BI73" s="23" t="s">
        <v>385</v>
      </c>
      <c r="BJ73">
        <v>0</v>
      </c>
      <c r="BK73" s="31" t="s">
        <v>144</v>
      </c>
      <c r="BL73" s="31">
        <f>STDEV(BJ68:BJ79)</f>
        <v>0.67419986246324204</v>
      </c>
      <c r="BN73" s="34"/>
      <c r="BO73" s="23" t="s">
        <v>390</v>
      </c>
      <c r="BP73">
        <v>0</v>
      </c>
      <c r="BQ73" s="31" t="s">
        <v>106</v>
      </c>
      <c r="BR73" s="31">
        <f>SUM(BP73:BP91)</f>
        <v>32</v>
      </c>
      <c r="BT73" s="34"/>
      <c r="BU73" s="22" t="s">
        <v>421</v>
      </c>
      <c r="BV73" s="22">
        <v>3</v>
      </c>
      <c r="BW73" s="31"/>
      <c r="BX73" s="31"/>
      <c r="BZ73" s="34"/>
      <c r="CA73" s="38"/>
      <c r="CB73" s="31"/>
      <c r="CC73" s="31"/>
      <c r="CD73" s="31"/>
      <c r="CF73" s="36"/>
      <c r="CG73" s="44"/>
      <c r="CI73" s="31"/>
      <c r="CJ73" s="31"/>
      <c r="CL73" s="36"/>
      <c r="CM73" s="44"/>
      <c r="CO73" s="31"/>
      <c r="CP73" s="31"/>
      <c r="CR73" s="36"/>
    </row>
    <row r="74" spans="1:96" ht="15" x14ac:dyDescent="0.25">
      <c r="A74" s="42"/>
      <c r="B74" s="27"/>
      <c r="C74" s="27"/>
      <c r="D74" s="27"/>
      <c r="E74" s="27"/>
      <c r="G74" s="104" t="s">
        <v>513</v>
      </c>
      <c r="H74">
        <v>3</v>
      </c>
      <c r="I74" s="25" t="s">
        <v>106</v>
      </c>
      <c r="J74" s="25">
        <f>SUM(H74:H83)</f>
        <v>17</v>
      </c>
      <c r="K74" s="25"/>
      <c r="L74" s="29"/>
      <c r="M74" s="23" t="s">
        <v>394</v>
      </c>
      <c r="N74">
        <v>1</v>
      </c>
      <c r="O74" s="27" t="s">
        <v>106</v>
      </c>
      <c r="P74" s="27">
        <f>SUM(N74:N78)</f>
        <v>18</v>
      </c>
      <c r="Q74" s="27"/>
      <c r="R74" s="29"/>
      <c r="S74" s="23" t="s">
        <v>493</v>
      </c>
      <c r="T74">
        <v>1</v>
      </c>
      <c r="U74" s="31" t="s">
        <v>138</v>
      </c>
      <c r="V74" s="27">
        <f>AVERAGE(T70:T87)</f>
        <v>0.22222222222222221</v>
      </c>
      <c r="W74" s="27"/>
      <c r="X74" s="90"/>
      <c r="Y74" s="23" t="s">
        <v>476</v>
      </c>
      <c r="Z74">
        <v>0</v>
      </c>
      <c r="AA74" s="27" t="s">
        <v>106</v>
      </c>
      <c r="AB74" s="27">
        <f>SUM(Z74:Z83)</f>
        <v>1</v>
      </c>
      <c r="AC74" s="25"/>
      <c r="AD74" s="34"/>
      <c r="AE74" s="23" t="s">
        <v>464</v>
      </c>
      <c r="AF74">
        <v>0</v>
      </c>
      <c r="AG74" s="31"/>
      <c r="AH74" s="31"/>
      <c r="AI74" s="33"/>
      <c r="AJ74" s="34"/>
      <c r="AK74" s="19" t="s">
        <v>101</v>
      </c>
      <c r="AL74" s="12" t="s">
        <v>8</v>
      </c>
      <c r="AQ74" s="23" t="s">
        <v>344</v>
      </c>
      <c r="AR74">
        <v>34</v>
      </c>
      <c r="AS74" s="31" t="s">
        <v>106</v>
      </c>
      <c r="AT74" s="31">
        <f>SUM(AR74:AR83)</f>
        <v>46</v>
      </c>
      <c r="AU74" s="27"/>
      <c r="AW74" s="23" t="s">
        <v>362</v>
      </c>
      <c r="AX74">
        <v>0</v>
      </c>
      <c r="AY74" s="31"/>
      <c r="AZ74" s="31"/>
      <c r="BC74" s="23" t="s">
        <v>370</v>
      </c>
      <c r="BD74">
        <v>0</v>
      </c>
      <c r="BE74" s="31" t="s">
        <v>122</v>
      </c>
      <c r="BF74" s="31">
        <f>MAX(BD72:BD84)</f>
        <v>3</v>
      </c>
      <c r="BH74" s="34"/>
      <c r="BI74" s="23" t="s">
        <v>386</v>
      </c>
      <c r="BJ74">
        <v>0</v>
      </c>
      <c r="BK74" s="31"/>
      <c r="BL74" s="31"/>
      <c r="BN74" s="34"/>
      <c r="BO74" s="23" t="s">
        <v>391</v>
      </c>
      <c r="BP74">
        <v>0</v>
      </c>
      <c r="BQ74" s="31" t="s">
        <v>115</v>
      </c>
      <c r="BR74" s="31">
        <f>MIN(BP73:BP91)</f>
        <v>0</v>
      </c>
      <c r="BT74" s="34"/>
      <c r="BU74" s="22" t="s">
        <v>422</v>
      </c>
      <c r="BV74" s="22">
        <v>0</v>
      </c>
      <c r="BW74" s="31"/>
      <c r="BX74" s="31"/>
      <c r="BZ74" s="34"/>
      <c r="CA74" s="38"/>
      <c r="CB74" s="31"/>
      <c r="CC74" s="31"/>
      <c r="CD74" s="31"/>
      <c r="CF74" s="36"/>
      <c r="CG74" s="44"/>
      <c r="CI74" s="31"/>
      <c r="CJ74" s="31"/>
      <c r="CL74" s="36"/>
      <c r="CM74" s="44"/>
      <c r="CO74" s="31"/>
      <c r="CP74" s="31"/>
      <c r="CR74" s="36"/>
    </row>
    <row r="75" spans="1:96" ht="15" x14ac:dyDescent="0.25">
      <c r="A75" s="42"/>
      <c r="B75" s="27"/>
      <c r="C75" s="27"/>
      <c r="D75" s="27"/>
      <c r="E75" s="27"/>
      <c r="G75" s="104" t="s">
        <v>514</v>
      </c>
      <c r="H75">
        <v>3</v>
      </c>
      <c r="I75" s="25" t="s">
        <v>115</v>
      </c>
      <c r="J75" s="25">
        <f>MIN(H74:H83)</f>
        <v>0</v>
      </c>
      <c r="K75" s="25"/>
      <c r="L75" s="29"/>
      <c r="M75" s="23" t="s">
        <v>485</v>
      </c>
      <c r="N75">
        <v>0</v>
      </c>
      <c r="O75" s="27" t="s">
        <v>115</v>
      </c>
      <c r="P75" s="27">
        <f>MIN(N74:N78)</f>
        <v>0</v>
      </c>
      <c r="Q75" s="27"/>
      <c r="R75" s="29"/>
      <c r="S75" s="23" t="s">
        <v>494</v>
      </c>
      <c r="T75">
        <v>0</v>
      </c>
      <c r="U75" s="31" t="s">
        <v>144</v>
      </c>
      <c r="V75" s="27">
        <f>STDEV(T70:T87)</f>
        <v>0.54831888055331623</v>
      </c>
      <c r="W75" s="27"/>
      <c r="X75" s="29"/>
      <c r="Y75" s="23" t="s">
        <v>477</v>
      </c>
      <c r="Z75">
        <v>0</v>
      </c>
      <c r="AA75" s="27" t="s">
        <v>115</v>
      </c>
      <c r="AB75" s="27">
        <f>MIN(Z74:Z83)</f>
        <v>0</v>
      </c>
      <c r="AC75" s="27"/>
      <c r="AE75" s="23" t="s">
        <v>465</v>
      </c>
      <c r="AF75">
        <v>0</v>
      </c>
      <c r="AG75" s="31"/>
      <c r="AH75" s="31"/>
      <c r="AJ75" s="34"/>
      <c r="AK75" s="31" t="s">
        <v>102</v>
      </c>
      <c r="AL75" s="31" t="s">
        <v>71</v>
      </c>
      <c r="AM75" s="31" t="s">
        <v>103</v>
      </c>
      <c r="AN75" s="31" t="s">
        <v>104</v>
      </c>
      <c r="AQ75" s="23" t="s">
        <v>345</v>
      </c>
      <c r="AR75">
        <v>10</v>
      </c>
      <c r="AS75" s="31" t="s">
        <v>115</v>
      </c>
      <c r="AT75" s="31">
        <f>MIN(AR74:AR83)</f>
        <v>0</v>
      </c>
      <c r="AU75" s="27"/>
      <c r="AW75" s="23" t="s">
        <v>363</v>
      </c>
      <c r="AX75">
        <v>0</v>
      </c>
      <c r="AY75" s="31"/>
      <c r="AZ75" s="31"/>
      <c r="BC75" s="23" t="s">
        <v>215</v>
      </c>
      <c r="BD75">
        <v>0</v>
      </c>
      <c r="BE75" s="31" t="s">
        <v>129</v>
      </c>
      <c r="BF75" s="31">
        <f>VAR(BD72:BD84)</f>
        <v>1.4102564102564104</v>
      </c>
      <c r="BH75" s="34"/>
      <c r="BI75" s="23" t="s">
        <v>387</v>
      </c>
      <c r="BJ75">
        <v>0</v>
      </c>
      <c r="BK75" s="33"/>
      <c r="BL75" s="33"/>
      <c r="BN75" s="34"/>
      <c r="BO75" s="23" t="s">
        <v>392</v>
      </c>
      <c r="BP75">
        <v>0</v>
      </c>
      <c r="BQ75" s="31" t="s">
        <v>122</v>
      </c>
      <c r="BR75" s="31">
        <f>MAX(BP73:BP91)</f>
        <v>5</v>
      </c>
      <c r="BT75" s="34"/>
      <c r="BU75" s="23" t="s">
        <v>423</v>
      </c>
      <c r="BV75" s="22">
        <v>2</v>
      </c>
      <c r="BW75" s="31"/>
      <c r="BX75" s="31"/>
      <c r="BZ75" s="34"/>
      <c r="CA75" s="38"/>
      <c r="CB75" s="31"/>
      <c r="CC75" s="31"/>
      <c r="CD75" s="31"/>
      <c r="CF75" s="36"/>
      <c r="CG75" s="44"/>
      <c r="CI75" s="31"/>
      <c r="CJ75" s="31"/>
      <c r="CL75" s="36"/>
      <c r="CM75" s="44"/>
      <c r="CO75" s="31"/>
      <c r="CP75" s="31"/>
      <c r="CR75" s="36"/>
    </row>
    <row r="76" spans="1:96" ht="15" x14ac:dyDescent="0.25">
      <c r="A76" s="42"/>
      <c r="B76" s="27"/>
      <c r="C76" s="27"/>
      <c r="D76" s="27"/>
      <c r="E76" s="27"/>
      <c r="G76" s="104" t="s">
        <v>515</v>
      </c>
      <c r="H76">
        <v>0</v>
      </c>
      <c r="I76" s="25" t="s">
        <v>122</v>
      </c>
      <c r="J76" s="25">
        <f>MAX(H74:H83)</f>
        <v>3</v>
      </c>
      <c r="K76" s="25"/>
      <c r="L76" s="29"/>
      <c r="M76" s="23" t="s">
        <v>486</v>
      </c>
      <c r="N76">
        <v>0</v>
      </c>
      <c r="O76" s="27" t="s">
        <v>122</v>
      </c>
      <c r="P76" s="27">
        <f>MAX(N74:N78)</f>
        <v>9</v>
      </c>
      <c r="Q76" s="27"/>
      <c r="R76" s="29"/>
      <c r="S76" s="23" t="s">
        <v>495</v>
      </c>
      <c r="T76">
        <v>0</v>
      </c>
      <c r="U76" s="27"/>
      <c r="V76" s="27"/>
      <c r="W76" s="27"/>
      <c r="X76" s="29"/>
      <c r="Y76" s="23" t="s">
        <v>478</v>
      </c>
      <c r="Z76">
        <v>0</v>
      </c>
      <c r="AA76" s="27" t="s">
        <v>122</v>
      </c>
      <c r="AB76" s="27">
        <f>MAX(Z74:Z83)</f>
        <v>1</v>
      </c>
      <c r="AC76" s="27"/>
      <c r="AE76" s="23" t="s">
        <v>466</v>
      </c>
      <c r="AF76">
        <v>0</v>
      </c>
      <c r="AG76" s="31"/>
      <c r="AH76" s="31"/>
      <c r="AJ76" s="34"/>
      <c r="AK76" s="23" t="s">
        <v>332</v>
      </c>
      <c r="AL76">
        <v>0</v>
      </c>
      <c r="AM76" s="31" t="s">
        <v>106</v>
      </c>
      <c r="AN76" s="31">
        <f>SUM(AL76:AL89)</f>
        <v>3</v>
      </c>
      <c r="AQ76" s="23" t="s">
        <v>262</v>
      </c>
      <c r="AR76">
        <v>1</v>
      </c>
      <c r="AS76" s="31" t="s">
        <v>122</v>
      </c>
      <c r="AT76" s="31">
        <f>MAX(AR74:AR83)</f>
        <v>34</v>
      </c>
      <c r="AU76" s="27"/>
      <c r="AW76" s="23" t="s">
        <v>364</v>
      </c>
      <c r="AX76">
        <v>0</v>
      </c>
      <c r="AY76" s="31"/>
      <c r="AZ76" s="31"/>
      <c r="BC76" s="23" t="s">
        <v>371</v>
      </c>
      <c r="BD76">
        <v>0</v>
      </c>
      <c r="BE76" s="31" t="s">
        <v>138</v>
      </c>
      <c r="BF76" s="31">
        <f>AVERAGE(BD72:BD84)</f>
        <v>0.92307692307692313</v>
      </c>
      <c r="BH76" s="34"/>
      <c r="BI76" s="23" t="s">
        <v>139</v>
      </c>
      <c r="BJ76">
        <v>0</v>
      </c>
      <c r="BK76" s="33"/>
      <c r="BL76" s="33"/>
      <c r="BN76" s="34"/>
      <c r="BO76" s="23" t="s">
        <v>393</v>
      </c>
      <c r="BP76">
        <v>0</v>
      </c>
      <c r="BQ76" s="31" t="s">
        <v>129</v>
      </c>
      <c r="BR76" s="31">
        <f>VAR(BP73:BP91)</f>
        <v>3.1169590643274856</v>
      </c>
      <c r="BT76" s="34"/>
      <c r="BU76" s="22" t="s">
        <v>424</v>
      </c>
      <c r="BV76" s="22">
        <v>0</v>
      </c>
      <c r="BW76" s="31"/>
      <c r="BX76" s="31"/>
      <c r="BZ76" s="34"/>
      <c r="CA76" s="38"/>
      <c r="CB76" s="31"/>
      <c r="CC76" s="31"/>
      <c r="CD76" s="31"/>
      <c r="CF76" s="36"/>
      <c r="CG76" s="44"/>
      <c r="CI76" s="31"/>
      <c r="CJ76" s="31"/>
      <c r="CL76" s="36"/>
      <c r="CM76" s="44"/>
      <c r="CO76" s="31"/>
      <c r="CP76" s="31"/>
      <c r="CR76" s="36"/>
    </row>
    <row r="77" spans="1:96" ht="15" x14ac:dyDescent="0.25">
      <c r="A77" s="53"/>
      <c r="B77" s="27"/>
      <c r="C77" s="27"/>
      <c r="D77" s="27"/>
      <c r="E77" s="27"/>
      <c r="G77" s="104" t="s">
        <v>516</v>
      </c>
      <c r="H77">
        <v>2</v>
      </c>
      <c r="I77" s="25" t="s">
        <v>129</v>
      </c>
      <c r="J77" s="25">
        <f>VAR(H74:H83)</f>
        <v>1.3444444444444446</v>
      </c>
      <c r="K77" s="25"/>
      <c r="L77" s="29"/>
      <c r="M77" s="23" t="s">
        <v>487</v>
      </c>
      <c r="N77">
        <v>9</v>
      </c>
      <c r="O77" s="27" t="s">
        <v>129</v>
      </c>
      <c r="P77" s="27">
        <f>VAR(N74:N78)</f>
        <v>20.3</v>
      </c>
      <c r="Q77" s="27"/>
      <c r="R77" s="29"/>
      <c r="S77" s="23" t="s">
        <v>496</v>
      </c>
      <c r="T77">
        <v>0</v>
      </c>
      <c r="U77" s="27"/>
      <c r="V77" s="27"/>
      <c r="W77" s="27"/>
      <c r="X77" s="29"/>
      <c r="Y77" s="23" t="s">
        <v>479</v>
      </c>
      <c r="Z77">
        <v>0</v>
      </c>
      <c r="AA77" s="27" t="s">
        <v>129</v>
      </c>
      <c r="AB77" s="27">
        <f>VAR(Z74:Z83)</f>
        <v>0.1</v>
      </c>
      <c r="AC77" s="27"/>
      <c r="AE77" s="23" t="s">
        <v>467</v>
      </c>
      <c r="AF77">
        <v>0</v>
      </c>
      <c r="AG77" s="31"/>
      <c r="AH77" s="31"/>
      <c r="AJ77" s="34"/>
      <c r="AK77" s="23" t="s">
        <v>333</v>
      </c>
      <c r="AL77">
        <v>0</v>
      </c>
      <c r="AM77" s="31" t="s">
        <v>115</v>
      </c>
      <c r="AN77" s="31">
        <f>MIN(AL76:AL89)</f>
        <v>0</v>
      </c>
      <c r="AQ77" s="23" t="s">
        <v>346</v>
      </c>
      <c r="AR77">
        <v>0</v>
      </c>
      <c r="AS77" s="31" t="s">
        <v>129</v>
      </c>
      <c r="AT77" s="31">
        <f>VAR(AR74:AR83)</f>
        <v>116.26666666666668</v>
      </c>
      <c r="AU77" s="27"/>
      <c r="AW77" s="23" t="s">
        <v>365</v>
      </c>
      <c r="AX77">
        <v>0</v>
      </c>
      <c r="AY77" s="31"/>
      <c r="AZ77" s="31"/>
      <c r="BC77" s="23" t="s">
        <v>372</v>
      </c>
      <c r="BD77">
        <v>1</v>
      </c>
      <c r="BE77" s="31" t="s">
        <v>144</v>
      </c>
      <c r="BF77" s="31">
        <f>STDEV(BD72:BD84)</f>
        <v>1.1875421719907089</v>
      </c>
      <c r="BH77" s="34"/>
      <c r="BI77" s="23" t="s">
        <v>156</v>
      </c>
      <c r="BJ77">
        <v>1</v>
      </c>
      <c r="BK77" s="31"/>
      <c r="BL77" s="31"/>
      <c r="BN77" s="34"/>
      <c r="BO77" s="23" t="s">
        <v>394</v>
      </c>
      <c r="BP77">
        <v>0</v>
      </c>
      <c r="BQ77" s="31" t="s">
        <v>138</v>
      </c>
      <c r="BR77" s="31">
        <f>AVERAGE(BP73:BP91)</f>
        <v>1.6842105263157894</v>
      </c>
      <c r="BT77" s="34"/>
      <c r="BU77" s="23" t="s">
        <v>425</v>
      </c>
      <c r="BV77" s="22">
        <v>3</v>
      </c>
      <c r="BW77" s="31"/>
      <c r="BX77" s="31"/>
      <c r="BZ77" s="34"/>
      <c r="CA77" s="38"/>
      <c r="CB77" s="31"/>
      <c r="CC77" s="31"/>
      <c r="CD77" s="31"/>
      <c r="CF77" s="36"/>
      <c r="CG77" s="44"/>
      <c r="CL77" s="36"/>
      <c r="CM77" s="44"/>
      <c r="CR77" s="36"/>
    </row>
    <row r="78" spans="1:96" ht="15" x14ac:dyDescent="0.25">
      <c r="A78" s="27"/>
      <c r="B78" s="27"/>
      <c r="C78" s="27"/>
      <c r="D78" s="27"/>
      <c r="E78" s="27"/>
      <c r="G78" s="104" t="s">
        <v>517</v>
      </c>
      <c r="H78">
        <v>0</v>
      </c>
      <c r="I78" s="25" t="s">
        <v>138</v>
      </c>
      <c r="J78" s="25">
        <f>AVERAGE(H74:H83)</f>
        <v>1.7</v>
      </c>
      <c r="K78" s="25"/>
      <c r="L78" s="29"/>
      <c r="M78" s="23" t="s">
        <v>488</v>
      </c>
      <c r="N78">
        <v>8</v>
      </c>
      <c r="O78" s="27" t="s">
        <v>138</v>
      </c>
      <c r="P78" s="27">
        <f>AVERAGE(N74:N78)</f>
        <v>3.6</v>
      </c>
      <c r="Q78" s="27"/>
      <c r="R78" s="29"/>
      <c r="S78" s="23" t="s">
        <v>389</v>
      </c>
      <c r="T78">
        <v>0</v>
      </c>
      <c r="U78" s="27"/>
      <c r="V78" s="27"/>
      <c r="W78" s="27"/>
      <c r="X78" s="29"/>
      <c r="Y78" s="23" t="s">
        <v>480</v>
      </c>
      <c r="Z78">
        <v>0</v>
      </c>
      <c r="AA78" s="27" t="s">
        <v>138</v>
      </c>
      <c r="AB78" s="27">
        <f>AVERAGE(Z74:Z83)</f>
        <v>0.1</v>
      </c>
      <c r="AC78" s="27"/>
      <c r="AE78" s="23" t="s">
        <v>468</v>
      </c>
      <c r="AF78">
        <v>0</v>
      </c>
      <c r="AG78" s="31"/>
      <c r="AH78" s="31"/>
      <c r="AJ78" s="34"/>
      <c r="AK78" s="23" t="s">
        <v>334</v>
      </c>
      <c r="AL78">
        <v>0</v>
      </c>
      <c r="AM78" s="31" t="s">
        <v>122</v>
      </c>
      <c r="AN78" s="31">
        <f>MAX(AL76:AL89)</f>
        <v>1</v>
      </c>
      <c r="AQ78" s="23" t="s">
        <v>347</v>
      </c>
      <c r="AR78">
        <v>0</v>
      </c>
      <c r="AS78" s="31" t="s">
        <v>138</v>
      </c>
      <c r="AT78" s="31">
        <f>AVERAGE(AR74:AR83)</f>
        <v>4.5999999999999996</v>
      </c>
      <c r="AU78" s="27"/>
      <c r="AW78" s="23" t="s">
        <v>366</v>
      </c>
      <c r="AX78">
        <v>0</v>
      </c>
      <c r="AY78" s="31"/>
      <c r="AZ78" s="31"/>
      <c r="BC78" s="23" t="s">
        <v>373</v>
      </c>
      <c r="BD78">
        <v>3</v>
      </c>
      <c r="BE78" s="31"/>
      <c r="BF78" s="31"/>
      <c r="BH78" s="34"/>
      <c r="BI78" s="23" t="s">
        <v>388</v>
      </c>
      <c r="BJ78">
        <v>1</v>
      </c>
      <c r="BK78" s="31"/>
      <c r="BL78" s="31"/>
      <c r="BN78" s="34"/>
      <c r="BO78" s="23" t="s">
        <v>395</v>
      </c>
      <c r="BP78">
        <v>0</v>
      </c>
      <c r="BQ78" s="31" t="s">
        <v>144</v>
      </c>
      <c r="BR78" s="31">
        <f>STDEV(BP73:BP91)</f>
        <v>1.7654911680117478</v>
      </c>
      <c r="BT78" s="34"/>
      <c r="BU78" s="23" t="s">
        <v>426</v>
      </c>
      <c r="BV78" s="22">
        <v>1</v>
      </c>
      <c r="BW78" s="31"/>
      <c r="BX78" s="31"/>
      <c r="BZ78" s="34"/>
      <c r="CA78" s="38"/>
      <c r="CB78" s="31"/>
      <c r="CC78" s="31"/>
      <c r="CD78" s="31"/>
      <c r="CF78" s="36"/>
      <c r="CG78" s="44"/>
      <c r="CL78" s="36"/>
      <c r="CM78" s="44"/>
      <c r="CR78" s="36"/>
    </row>
    <row r="79" spans="1:96" ht="15" x14ac:dyDescent="0.25">
      <c r="A79" s="42"/>
      <c r="B79" s="27"/>
      <c r="C79" s="27"/>
      <c r="D79" s="27"/>
      <c r="E79" s="27"/>
      <c r="G79" s="104" t="s">
        <v>518</v>
      </c>
      <c r="H79">
        <v>1</v>
      </c>
      <c r="I79" s="25" t="s">
        <v>144</v>
      </c>
      <c r="J79" s="25">
        <f>STDEV(H74:H83)</f>
        <v>1.1595018087284057</v>
      </c>
      <c r="K79" s="25"/>
      <c r="L79" s="29"/>
      <c r="M79" s="23"/>
      <c r="N79" s="40"/>
      <c r="O79" s="27" t="s">
        <v>144</v>
      </c>
      <c r="P79" s="27">
        <f>STDEV(N74:N78)</f>
        <v>4.5055521304275237</v>
      </c>
      <c r="Q79" s="27"/>
      <c r="R79" s="29"/>
      <c r="S79" s="23" t="s">
        <v>497</v>
      </c>
      <c r="T79">
        <v>0</v>
      </c>
      <c r="U79" s="27"/>
      <c r="V79" s="27"/>
      <c r="W79" s="27"/>
      <c r="X79" s="29"/>
      <c r="Y79" s="23" t="s">
        <v>481</v>
      </c>
      <c r="Z79">
        <v>1</v>
      </c>
      <c r="AA79" s="27" t="s">
        <v>144</v>
      </c>
      <c r="AB79" s="27">
        <f>STDEV(Z74:Z83)</f>
        <v>0.31622776601683794</v>
      </c>
      <c r="AC79" s="27"/>
      <c r="AE79" s="23" t="s">
        <v>469</v>
      </c>
      <c r="AF79">
        <v>0</v>
      </c>
      <c r="AG79" s="31"/>
      <c r="AH79" s="31"/>
      <c r="AJ79" s="34"/>
      <c r="AK79" s="23" t="s">
        <v>335</v>
      </c>
      <c r="AL79">
        <v>0</v>
      </c>
      <c r="AM79" s="31" t="s">
        <v>129</v>
      </c>
      <c r="AN79" s="31">
        <f>VAR(AL76:AL89)</f>
        <v>0.18131868131868131</v>
      </c>
      <c r="AQ79" s="23" t="s">
        <v>348</v>
      </c>
      <c r="AR79">
        <v>0</v>
      </c>
      <c r="AS79" s="31" t="s">
        <v>144</v>
      </c>
      <c r="AT79" s="31">
        <f>STDEV(AR74:AR83)</f>
        <v>10.782702196883056</v>
      </c>
      <c r="AU79" s="27"/>
      <c r="AW79" s="23" t="s">
        <v>367</v>
      </c>
      <c r="AX79">
        <v>0</v>
      </c>
      <c r="AY79" s="31"/>
      <c r="AZ79" s="31"/>
      <c r="BA79" s="24"/>
      <c r="BC79" s="23" t="s">
        <v>374</v>
      </c>
      <c r="BD79">
        <v>3</v>
      </c>
      <c r="BE79" s="33"/>
      <c r="BF79" s="33"/>
      <c r="BH79" s="34"/>
      <c r="BI79" s="23" t="s">
        <v>389</v>
      </c>
      <c r="BJ79">
        <v>1</v>
      </c>
      <c r="BK79" s="31"/>
      <c r="BL79" s="31"/>
      <c r="BN79" s="34"/>
      <c r="BO79" s="23" t="s">
        <v>396</v>
      </c>
      <c r="BP79">
        <v>0</v>
      </c>
      <c r="BQ79" s="31"/>
      <c r="BR79" s="31"/>
      <c r="BT79" s="34"/>
      <c r="BU79" s="23" t="s">
        <v>427</v>
      </c>
      <c r="BV79" s="22">
        <v>2</v>
      </c>
      <c r="BW79" s="31"/>
      <c r="BX79" s="31"/>
      <c r="BZ79" s="34"/>
      <c r="CA79" s="38"/>
      <c r="CB79" s="31"/>
      <c r="CC79" s="31"/>
      <c r="CD79" s="31"/>
      <c r="CF79" s="36"/>
      <c r="CG79" s="44"/>
      <c r="CL79" s="36"/>
      <c r="CM79" s="44"/>
      <c r="CR79" s="36"/>
    </row>
    <row r="80" spans="1:96" ht="15" x14ac:dyDescent="0.25">
      <c r="A80" s="42"/>
      <c r="B80" s="27"/>
      <c r="C80" s="27"/>
      <c r="D80" s="27"/>
      <c r="E80" s="27"/>
      <c r="G80" s="104" t="s">
        <v>519</v>
      </c>
      <c r="H80">
        <v>2</v>
      </c>
      <c r="I80" s="25"/>
      <c r="J80" s="25"/>
      <c r="K80" s="25"/>
      <c r="L80" s="90"/>
      <c r="M80" s="90"/>
      <c r="N80" s="90"/>
      <c r="O80" s="90"/>
      <c r="P80" s="90"/>
      <c r="Q80" s="90"/>
      <c r="R80" s="90"/>
      <c r="S80" s="23" t="s">
        <v>498</v>
      </c>
      <c r="T80">
        <v>0</v>
      </c>
      <c r="U80" s="27"/>
      <c r="V80" s="27"/>
      <c r="W80" s="27"/>
      <c r="X80" s="29"/>
      <c r="Y80" s="23" t="s">
        <v>262</v>
      </c>
      <c r="Z80">
        <v>0</v>
      </c>
      <c r="AA80" s="27"/>
      <c r="AB80" s="27"/>
      <c r="AC80" s="27"/>
      <c r="AE80" s="23" t="s">
        <v>470</v>
      </c>
      <c r="AF80">
        <v>0</v>
      </c>
      <c r="AG80" s="31"/>
      <c r="AH80" s="31"/>
      <c r="AJ80" s="34"/>
      <c r="AK80" s="23" t="s">
        <v>336</v>
      </c>
      <c r="AL80">
        <v>0</v>
      </c>
      <c r="AM80" s="31" t="s">
        <v>138</v>
      </c>
      <c r="AN80" s="31">
        <f>AVERAGE(AL76:AL89)</f>
        <v>0.21428571428571427</v>
      </c>
      <c r="AQ80" s="23" t="s">
        <v>349</v>
      </c>
      <c r="AR80">
        <v>0</v>
      </c>
      <c r="AS80" s="31"/>
      <c r="AT80" s="31"/>
      <c r="AU80" s="27"/>
      <c r="AW80" s="34"/>
      <c r="AX80" s="94"/>
      <c r="AY80" s="94"/>
      <c r="AZ80" s="94"/>
      <c r="BA80" s="34"/>
      <c r="BC80" s="23" t="s">
        <v>375</v>
      </c>
      <c r="BD80">
        <v>0</v>
      </c>
      <c r="BE80" s="33"/>
      <c r="BF80" s="33"/>
      <c r="BH80" s="34"/>
      <c r="BI80" s="97"/>
      <c r="BJ80" s="34"/>
      <c r="BK80" s="94"/>
      <c r="BL80" s="94"/>
      <c r="BM80" s="34"/>
      <c r="BN80" s="34"/>
      <c r="BO80" s="23" t="s">
        <v>397</v>
      </c>
      <c r="BP80">
        <v>0</v>
      </c>
      <c r="BQ80" s="31"/>
      <c r="BR80" s="31"/>
      <c r="BT80" s="34"/>
      <c r="BU80" s="23" t="s">
        <v>428</v>
      </c>
      <c r="BV80" s="22">
        <v>0</v>
      </c>
      <c r="BW80" s="31"/>
      <c r="BX80" s="31"/>
      <c r="BZ80" s="34"/>
      <c r="CA80" s="38"/>
      <c r="CB80" s="31"/>
      <c r="CC80" s="31"/>
      <c r="CD80" s="31"/>
      <c r="CF80" s="36"/>
      <c r="CG80" s="44"/>
      <c r="CL80" s="36"/>
      <c r="CM80" s="44"/>
      <c r="CR80" s="36"/>
    </row>
    <row r="81" spans="1:96" ht="15" x14ac:dyDescent="0.25">
      <c r="A81" s="42"/>
      <c r="B81" s="27"/>
      <c r="C81" s="27"/>
      <c r="D81" s="27"/>
      <c r="E81" s="27"/>
      <c r="G81" s="104" t="s">
        <v>520</v>
      </c>
      <c r="H81">
        <v>1</v>
      </c>
      <c r="I81" s="25"/>
      <c r="J81" s="25"/>
      <c r="K81" s="25"/>
      <c r="L81" s="29"/>
      <c r="M81" s="27" t="s">
        <v>100</v>
      </c>
      <c r="N81" s="30" t="s">
        <v>525</v>
      </c>
      <c r="O81" s="27"/>
      <c r="P81" s="27"/>
      <c r="Q81" s="27"/>
      <c r="R81" s="29"/>
      <c r="S81" s="23" t="s">
        <v>499</v>
      </c>
      <c r="T81">
        <v>0</v>
      </c>
      <c r="U81" s="27"/>
      <c r="V81" s="27"/>
      <c r="W81" s="27"/>
      <c r="X81" s="29"/>
      <c r="Y81" s="23" t="s">
        <v>482</v>
      </c>
      <c r="Z81">
        <v>0</v>
      </c>
      <c r="AA81" s="27"/>
      <c r="AB81" s="27"/>
      <c r="AC81" s="27"/>
      <c r="AE81" s="23" t="s">
        <v>471</v>
      </c>
      <c r="AF81">
        <v>0</v>
      </c>
      <c r="AG81" s="31"/>
      <c r="AH81" s="31"/>
      <c r="AJ81" s="34"/>
      <c r="AK81" s="23" t="s">
        <v>172</v>
      </c>
      <c r="AL81">
        <v>0</v>
      </c>
      <c r="AM81" s="31" t="s">
        <v>144</v>
      </c>
      <c r="AN81" s="31">
        <f>STDEV(AL76:AL89)</f>
        <v>0.42581531362632008</v>
      </c>
      <c r="AQ81" s="23" t="s">
        <v>350</v>
      </c>
      <c r="AR81">
        <v>0</v>
      </c>
      <c r="AS81" s="31"/>
      <c r="AT81" s="31"/>
      <c r="AU81" s="27"/>
      <c r="AW81" s="19" t="s">
        <v>100</v>
      </c>
      <c r="AX81" s="35" t="s">
        <v>66</v>
      </c>
      <c r="AZ81" s="19">
        <v>2014</v>
      </c>
      <c r="BC81" s="23" t="s">
        <v>376</v>
      </c>
      <c r="BD81">
        <v>0</v>
      </c>
      <c r="BE81" s="31"/>
      <c r="BF81" s="31"/>
      <c r="BH81" s="34"/>
      <c r="BI81" s="19" t="s">
        <v>100</v>
      </c>
      <c r="BJ81" s="35" t="s">
        <v>64</v>
      </c>
      <c r="BN81" s="34"/>
      <c r="BO81" s="23" t="s">
        <v>398</v>
      </c>
      <c r="BP81">
        <v>3</v>
      </c>
      <c r="BQ81" s="31"/>
      <c r="BR81" s="31"/>
      <c r="BT81" s="34"/>
      <c r="BU81" s="23" t="s">
        <v>429</v>
      </c>
      <c r="BV81" s="22">
        <v>1</v>
      </c>
      <c r="BW81" s="31"/>
      <c r="BX81" s="31"/>
      <c r="BZ81" s="34"/>
      <c r="CA81" s="38"/>
      <c r="CB81" s="31"/>
      <c r="CC81" s="31"/>
      <c r="CD81" s="31"/>
      <c r="CF81" s="36"/>
      <c r="CG81" s="44"/>
      <c r="CL81" s="36"/>
      <c r="CM81" s="44"/>
      <c r="CR81" s="36"/>
    </row>
    <row r="82" spans="1:96" ht="15" x14ac:dyDescent="0.25">
      <c r="A82" s="42"/>
      <c r="B82" s="27"/>
      <c r="C82" s="27"/>
      <c r="D82" s="27"/>
      <c r="E82" s="27"/>
      <c r="G82" s="104" t="s">
        <v>521</v>
      </c>
      <c r="H82">
        <v>3</v>
      </c>
      <c r="I82" s="25"/>
      <c r="J82" s="25"/>
      <c r="K82" s="25"/>
      <c r="L82" s="29"/>
      <c r="M82" s="27" t="s">
        <v>101</v>
      </c>
      <c r="N82" s="12" t="s">
        <v>18</v>
      </c>
      <c r="O82" s="27"/>
      <c r="P82" s="27"/>
      <c r="Q82" s="27"/>
      <c r="R82" s="29"/>
      <c r="S82" s="23" t="s">
        <v>500</v>
      </c>
      <c r="T82">
        <v>0</v>
      </c>
      <c r="U82" s="27"/>
      <c r="V82" s="27"/>
      <c r="W82" s="27"/>
      <c r="X82" s="29"/>
      <c r="Y82" s="23" t="s">
        <v>483</v>
      </c>
      <c r="Z82">
        <v>0</v>
      </c>
      <c r="AA82" s="27"/>
      <c r="AB82" s="27"/>
      <c r="AC82" s="27"/>
      <c r="AE82" s="23" t="s">
        <v>472</v>
      </c>
      <c r="AF82">
        <v>0</v>
      </c>
      <c r="AJ82" s="34"/>
      <c r="AK82" s="23" t="s">
        <v>337</v>
      </c>
      <c r="AL82">
        <v>0</v>
      </c>
      <c r="AM82" s="31"/>
      <c r="AN82" s="31"/>
      <c r="AO82" s="24"/>
      <c r="AQ82" s="23" t="s">
        <v>351</v>
      </c>
      <c r="AR82">
        <v>1</v>
      </c>
      <c r="AS82" s="31"/>
      <c r="AT82" s="31"/>
      <c r="AU82" s="27"/>
      <c r="AX82" s="12" t="s">
        <v>15</v>
      </c>
      <c r="BC82" s="23" t="s">
        <v>377</v>
      </c>
      <c r="BD82">
        <v>1</v>
      </c>
      <c r="BE82" s="31"/>
      <c r="BF82" s="31"/>
      <c r="BG82" s="24"/>
      <c r="BH82" s="34"/>
      <c r="BJ82" s="12" t="s">
        <v>15</v>
      </c>
      <c r="BN82" s="34"/>
      <c r="BO82" s="23" t="s">
        <v>399</v>
      </c>
      <c r="BP82">
        <v>4</v>
      </c>
      <c r="BQ82" s="31"/>
      <c r="BR82" s="31"/>
      <c r="BT82" s="34"/>
      <c r="BU82" s="23" t="s">
        <v>430</v>
      </c>
      <c r="BV82" s="22">
        <v>1</v>
      </c>
      <c r="BW82" s="31"/>
      <c r="BX82" s="31"/>
      <c r="BZ82" s="34"/>
      <c r="CA82" s="38"/>
      <c r="CB82" s="31"/>
      <c r="CC82" s="31"/>
      <c r="CD82" s="31"/>
      <c r="CF82" s="36"/>
      <c r="CG82" s="44"/>
      <c r="CL82" s="36"/>
      <c r="CM82" s="44"/>
      <c r="CR82" s="36"/>
    </row>
    <row r="83" spans="1:96" ht="15" x14ac:dyDescent="0.25">
      <c r="A83" s="42"/>
      <c r="B83" s="27"/>
      <c r="C83" s="27"/>
      <c r="D83" s="27"/>
      <c r="E83" s="27"/>
      <c r="G83" s="104" t="s">
        <v>175</v>
      </c>
      <c r="H83">
        <v>2</v>
      </c>
      <c r="K83" s="25"/>
      <c r="L83" s="29"/>
      <c r="M83" s="27" t="s">
        <v>102</v>
      </c>
      <c r="N83" s="27" t="s">
        <v>71</v>
      </c>
      <c r="O83" s="27" t="s">
        <v>103</v>
      </c>
      <c r="P83" s="27" t="s">
        <v>104</v>
      </c>
      <c r="Q83" s="27"/>
      <c r="R83" s="29"/>
      <c r="S83" s="23" t="s">
        <v>501</v>
      </c>
      <c r="T83">
        <v>0</v>
      </c>
      <c r="U83" s="27"/>
      <c r="V83" s="27"/>
      <c r="W83" s="27"/>
      <c r="X83" s="29"/>
      <c r="Y83" s="23" t="s">
        <v>484</v>
      </c>
      <c r="Z83">
        <v>0</v>
      </c>
      <c r="AA83" s="27"/>
      <c r="AB83" s="27"/>
      <c r="AC83" s="27"/>
      <c r="AE83" s="23" t="s">
        <v>362</v>
      </c>
      <c r="AF83">
        <v>0</v>
      </c>
      <c r="AJ83" s="34"/>
      <c r="AK83" s="23" t="s">
        <v>338</v>
      </c>
      <c r="AL83">
        <v>0</v>
      </c>
      <c r="AM83" s="31"/>
      <c r="AN83" s="31"/>
      <c r="AO83" s="24"/>
      <c r="AQ83" s="23" t="s">
        <v>352</v>
      </c>
      <c r="AR83">
        <v>0</v>
      </c>
      <c r="AS83" s="31"/>
      <c r="AT83" s="31"/>
      <c r="AU83" s="27"/>
      <c r="AW83" s="31" t="s">
        <v>102</v>
      </c>
      <c r="AX83" s="31" t="s">
        <v>71</v>
      </c>
      <c r="AY83" s="31" t="s">
        <v>103</v>
      </c>
      <c r="AZ83" s="31" t="s">
        <v>104</v>
      </c>
      <c r="BC83" s="23" t="s">
        <v>378</v>
      </c>
      <c r="BD83">
        <v>0</v>
      </c>
      <c r="BE83" s="31"/>
      <c r="BF83" s="31"/>
      <c r="BG83" s="24"/>
      <c r="BH83" s="34"/>
      <c r="BI83" s="31" t="s">
        <v>102</v>
      </c>
      <c r="BJ83" s="31" t="s">
        <v>71</v>
      </c>
      <c r="BK83" s="31" t="s">
        <v>103</v>
      </c>
      <c r="BL83" s="31" t="s">
        <v>104</v>
      </c>
      <c r="BN83" s="34"/>
      <c r="BO83" s="23" t="s">
        <v>214</v>
      </c>
      <c r="BP83">
        <v>1</v>
      </c>
      <c r="BQ83" s="31"/>
      <c r="BR83" s="31"/>
      <c r="BT83" s="34"/>
      <c r="BU83" s="23" t="s">
        <v>431</v>
      </c>
      <c r="BV83" s="22">
        <v>0</v>
      </c>
      <c r="BW83" s="31"/>
      <c r="BX83" s="31"/>
      <c r="BZ83" s="34"/>
      <c r="CA83" s="38"/>
      <c r="CB83" s="33"/>
      <c r="CF83" s="36"/>
      <c r="CG83" s="44"/>
      <c r="CL83" s="36"/>
      <c r="CM83" s="44"/>
      <c r="CR83" s="36"/>
    </row>
    <row r="84" spans="1:96" ht="15" x14ac:dyDescent="0.25">
      <c r="A84" s="42"/>
      <c r="B84" s="27"/>
      <c r="C84" s="27"/>
      <c r="D84" s="27"/>
      <c r="E84" s="27"/>
      <c r="G84" s="34"/>
      <c r="H84" s="34"/>
      <c r="I84" s="34"/>
      <c r="J84" s="34"/>
      <c r="K84" s="90"/>
      <c r="L84" s="29"/>
      <c r="M84" s="23" t="s">
        <v>394</v>
      </c>
      <c r="N84">
        <v>1</v>
      </c>
      <c r="O84" s="27" t="s">
        <v>106</v>
      </c>
      <c r="P84" s="27">
        <f>SUM(N84:N88)</f>
        <v>20</v>
      </c>
      <c r="Q84" s="27"/>
      <c r="R84" s="29"/>
      <c r="S84" s="23" t="s">
        <v>502</v>
      </c>
      <c r="T84">
        <v>1</v>
      </c>
      <c r="U84" s="27"/>
      <c r="V84" s="27"/>
      <c r="W84" s="27"/>
      <c r="X84" s="29"/>
      <c r="Y84" s="107"/>
      <c r="Z84" s="90"/>
      <c r="AA84" s="90"/>
      <c r="AB84" s="90"/>
      <c r="AC84" s="90"/>
      <c r="AD84" s="34"/>
      <c r="AE84" s="23" t="s">
        <v>473</v>
      </c>
      <c r="AF84">
        <v>0</v>
      </c>
      <c r="AJ84" s="34"/>
      <c r="AK84" s="23" t="s">
        <v>339</v>
      </c>
      <c r="AL84">
        <v>0</v>
      </c>
      <c r="AM84" s="31"/>
      <c r="AN84" s="31"/>
      <c r="AO84" s="24"/>
      <c r="AQ84" s="108"/>
      <c r="AR84" s="90"/>
      <c r="AS84" s="90"/>
      <c r="AT84" s="90"/>
      <c r="AU84" s="90"/>
      <c r="AW84" s="23" t="s">
        <v>353</v>
      </c>
      <c r="AX84">
        <v>2</v>
      </c>
      <c r="AY84" s="31" t="s">
        <v>106</v>
      </c>
      <c r="AZ84" s="31">
        <f>SUM(AX84:AX99)</f>
        <v>17</v>
      </c>
      <c r="BC84" s="23" t="s">
        <v>379</v>
      </c>
      <c r="BD84">
        <v>2</v>
      </c>
      <c r="BE84" s="31"/>
      <c r="BF84" s="31"/>
      <c r="BH84" s="34"/>
      <c r="BI84" s="23" t="s">
        <v>380</v>
      </c>
      <c r="BJ84">
        <v>0</v>
      </c>
      <c r="BK84" s="31" t="s">
        <v>106</v>
      </c>
      <c r="BL84" s="31">
        <f>SUM(BJ84:BJ95)</f>
        <v>9</v>
      </c>
      <c r="BN84" s="34"/>
      <c r="BO84" s="23" t="s">
        <v>400</v>
      </c>
      <c r="BP84">
        <v>3</v>
      </c>
      <c r="BQ84" s="31"/>
      <c r="BR84" s="31"/>
      <c r="BT84" s="34"/>
      <c r="BU84" s="23" t="s">
        <v>432</v>
      </c>
      <c r="BV84" s="22">
        <v>0</v>
      </c>
      <c r="BW84" s="31"/>
      <c r="BX84" s="31"/>
      <c r="BZ84" s="34"/>
      <c r="CA84" s="38"/>
      <c r="CB84" s="33"/>
      <c r="CF84" s="36"/>
      <c r="CG84" s="44"/>
      <c r="CL84" s="36"/>
      <c r="CM84" s="44"/>
      <c r="CR84" s="36"/>
    </row>
    <row r="85" spans="1:96" ht="15" x14ac:dyDescent="0.25">
      <c r="A85" s="52"/>
      <c r="B85" s="25"/>
      <c r="C85" s="27"/>
      <c r="D85" s="27"/>
      <c r="E85" s="27"/>
      <c r="G85" s="25" t="s">
        <v>100</v>
      </c>
      <c r="H85" s="26" t="s">
        <v>523</v>
      </c>
      <c r="I85" s="25"/>
      <c r="J85" s="25">
        <v>2014</v>
      </c>
      <c r="K85" s="25"/>
      <c r="L85" s="29"/>
      <c r="M85" s="23" t="s">
        <v>485</v>
      </c>
      <c r="N85">
        <v>0</v>
      </c>
      <c r="O85" s="27" t="s">
        <v>115</v>
      </c>
      <c r="P85" s="27">
        <f>MIN(N84:N88)</f>
        <v>0</v>
      </c>
      <c r="Q85" s="27"/>
      <c r="R85" s="29"/>
      <c r="S85" s="23" t="s">
        <v>350</v>
      </c>
      <c r="T85">
        <v>0</v>
      </c>
      <c r="U85" s="27"/>
      <c r="V85" s="27"/>
      <c r="W85" s="27"/>
      <c r="X85" s="29"/>
      <c r="Y85" s="27" t="s">
        <v>100</v>
      </c>
      <c r="Z85" s="30" t="s">
        <v>535</v>
      </c>
      <c r="AA85" s="27"/>
      <c r="AB85" s="27"/>
      <c r="AC85" s="27"/>
      <c r="AE85" s="23" t="s">
        <v>474</v>
      </c>
      <c r="AF85">
        <v>0</v>
      </c>
      <c r="AJ85" s="34"/>
      <c r="AK85" s="23" t="s">
        <v>340</v>
      </c>
      <c r="AL85">
        <v>1</v>
      </c>
      <c r="AM85" s="31"/>
      <c r="AN85" s="31"/>
      <c r="AO85" s="24"/>
      <c r="AQ85" s="19" t="s">
        <v>100</v>
      </c>
      <c r="AR85" s="32" t="s">
        <v>444</v>
      </c>
      <c r="AU85" s="27"/>
      <c r="AW85" s="23" t="s">
        <v>354</v>
      </c>
      <c r="AX85">
        <v>0</v>
      </c>
      <c r="AY85" s="31" t="s">
        <v>115</v>
      </c>
      <c r="AZ85" s="31">
        <f>MIN(AX84:AX99)</f>
        <v>0</v>
      </c>
      <c r="BC85" s="97"/>
      <c r="BD85" s="34"/>
      <c r="BE85" s="94"/>
      <c r="BF85" s="94"/>
      <c r="BG85" s="34"/>
      <c r="BH85" s="34"/>
      <c r="BI85" s="23" t="s">
        <v>381</v>
      </c>
      <c r="BJ85">
        <v>1</v>
      </c>
      <c r="BK85" s="31" t="s">
        <v>115</v>
      </c>
      <c r="BL85" s="31">
        <f>MIN(BJ84:BJ95)</f>
        <v>0</v>
      </c>
      <c r="BN85" s="34"/>
      <c r="BO85" s="23" t="s">
        <v>401</v>
      </c>
      <c r="BP85">
        <v>3</v>
      </c>
      <c r="BQ85" s="33"/>
      <c r="BR85" s="33"/>
      <c r="BT85" s="34"/>
      <c r="BU85" s="23" t="s">
        <v>433</v>
      </c>
      <c r="BV85" s="22">
        <v>1</v>
      </c>
      <c r="BW85" s="31"/>
      <c r="BX85" s="31"/>
      <c r="BZ85" s="34"/>
      <c r="CA85" s="38"/>
      <c r="CB85" s="33"/>
      <c r="CF85" s="36"/>
      <c r="CG85" s="44"/>
      <c r="CL85" s="36"/>
      <c r="CM85" s="44"/>
      <c r="CR85" s="36"/>
    </row>
    <row r="86" spans="1:96" ht="15" x14ac:dyDescent="0.25">
      <c r="A86" s="27"/>
      <c r="B86" s="27"/>
      <c r="C86" s="27"/>
      <c r="D86" s="27"/>
      <c r="E86" s="27"/>
      <c r="G86" s="25" t="s">
        <v>101</v>
      </c>
      <c r="H86" s="103" t="s">
        <v>17</v>
      </c>
      <c r="I86" s="25"/>
      <c r="J86" s="25"/>
      <c r="K86" s="25"/>
      <c r="L86" s="29"/>
      <c r="M86" s="23" t="s">
        <v>486</v>
      </c>
      <c r="N86">
        <v>0</v>
      </c>
      <c r="O86" s="27" t="s">
        <v>122</v>
      </c>
      <c r="P86" s="27">
        <f>MAX(N84:N88)</f>
        <v>12</v>
      </c>
      <c r="Q86" s="25"/>
      <c r="R86" s="29"/>
      <c r="S86" s="23" t="s">
        <v>503</v>
      </c>
      <c r="T86">
        <v>0</v>
      </c>
      <c r="U86" s="27"/>
      <c r="V86" s="27"/>
      <c r="W86" s="27"/>
      <c r="X86" s="29"/>
      <c r="Y86" s="27" t="s">
        <v>101</v>
      </c>
      <c r="Z86" s="12" t="s">
        <v>24</v>
      </c>
      <c r="AA86" s="27"/>
      <c r="AB86" s="27"/>
      <c r="AC86" s="27"/>
      <c r="AE86" s="23" t="s">
        <v>475</v>
      </c>
      <c r="AF86">
        <v>1</v>
      </c>
      <c r="AJ86" s="34"/>
      <c r="AK86" s="23" t="s">
        <v>77</v>
      </c>
      <c r="AL86">
        <v>1</v>
      </c>
      <c r="AM86" s="31"/>
      <c r="AN86" s="31"/>
      <c r="AO86" s="24"/>
      <c r="AR86" s="12" t="s">
        <v>18</v>
      </c>
      <c r="AU86" s="27"/>
      <c r="AW86" s="23" t="s">
        <v>216</v>
      </c>
      <c r="AX86">
        <v>0</v>
      </c>
      <c r="AY86" s="31" t="s">
        <v>122</v>
      </c>
      <c r="AZ86" s="31">
        <f>MAX(AX84:AX99)</f>
        <v>3</v>
      </c>
      <c r="BC86" s="19" t="s">
        <v>100</v>
      </c>
      <c r="BD86" s="35" t="s">
        <v>65</v>
      </c>
      <c r="BH86" s="34"/>
      <c r="BI86" s="23" t="s">
        <v>382</v>
      </c>
      <c r="BJ86">
        <v>2</v>
      </c>
      <c r="BK86" s="31" t="s">
        <v>122</v>
      </c>
      <c r="BL86" s="31">
        <f>MAX(BJ84:BJ95)</f>
        <v>3</v>
      </c>
      <c r="BN86" s="34"/>
      <c r="BO86" s="23" t="s">
        <v>402</v>
      </c>
      <c r="BP86">
        <v>2</v>
      </c>
      <c r="BQ86" s="31"/>
      <c r="BR86" s="33"/>
      <c r="BT86" s="34"/>
      <c r="BU86" s="23" t="s">
        <v>434</v>
      </c>
      <c r="BV86" s="22">
        <v>0</v>
      </c>
      <c r="BW86" s="31"/>
      <c r="BX86" s="31"/>
      <c r="BZ86" s="34"/>
      <c r="CA86" s="38"/>
      <c r="CB86" s="33"/>
      <c r="CF86" s="36"/>
      <c r="CG86" s="44"/>
      <c r="CL86" s="36"/>
      <c r="CM86" s="44"/>
      <c r="CR86" s="36"/>
    </row>
    <row r="87" spans="1:96" ht="15" x14ac:dyDescent="0.25">
      <c r="A87" s="42"/>
      <c r="B87" s="27"/>
      <c r="C87" s="27"/>
      <c r="D87" s="27"/>
      <c r="E87" s="27"/>
      <c r="G87" s="25" t="s">
        <v>102</v>
      </c>
      <c r="H87" s="25" t="s">
        <v>71</v>
      </c>
      <c r="I87" s="25" t="s">
        <v>103</v>
      </c>
      <c r="J87" s="25" t="s">
        <v>104</v>
      </c>
      <c r="K87" s="25"/>
      <c r="L87" s="29"/>
      <c r="M87" s="23" t="s">
        <v>487</v>
      </c>
      <c r="N87">
        <v>12</v>
      </c>
      <c r="O87" s="27" t="s">
        <v>129</v>
      </c>
      <c r="P87" s="27">
        <f>VAR(N84:N88)</f>
        <v>28.5</v>
      </c>
      <c r="Q87" s="27"/>
      <c r="R87" s="29"/>
      <c r="S87" s="23" t="s">
        <v>504</v>
      </c>
      <c r="T87">
        <v>0</v>
      </c>
      <c r="U87" s="25"/>
      <c r="V87" s="25"/>
      <c r="W87" s="27"/>
      <c r="X87" s="29"/>
      <c r="Y87" s="27" t="s">
        <v>105</v>
      </c>
      <c r="Z87" s="27" t="s">
        <v>71</v>
      </c>
      <c r="AA87" s="27" t="s">
        <v>103</v>
      </c>
      <c r="AB87" s="27" t="s">
        <v>104</v>
      </c>
      <c r="AC87" s="25"/>
      <c r="AE87" s="94"/>
      <c r="AF87" s="94"/>
      <c r="AG87" s="94"/>
      <c r="AH87" s="94"/>
      <c r="AI87" s="34"/>
      <c r="AJ87" s="34"/>
      <c r="AK87" s="23" t="s">
        <v>341</v>
      </c>
      <c r="AL87">
        <v>1</v>
      </c>
      <c r="AM87" s="31"/>
      <c r="AN87" s="31"/>
      <c r="AO87" s="24"/>
      <c r="AQ87" s="31" t="s">
        <v>102</v>
      </c>
      <c r="AR87" s="31" t="s">
        <v>71</v>
      </c>
      <c r="AS87" s="31" t="s">
        <v>103</v>
      </c>
      <c r="AT87" s="31" t="s">
        <v>104</v>
      </c>
      <c r="AU87" s="27"/>
      <c r="AW87" s="23" t="s">
        <v>355</v>
      </c>
      <c r="AX87">
        <v>3</v>
      </c>
      <c r="AY87" s="31" t="s">
        <v>129</v>
      </c>
      <c r="AZ87" s="31">
        <f>VAR(AX84:AX99)</f>
        <v>0.99583333333333335</v>
      </c>
      <c r="BD87" s="12" t="s">
        <v>16</v>
      </c>
      <c r="BH87" s="34"/>
      <c r="BI87" s="23" t="s">
        <v>383</v>
      </c>
      <c r="BJ87">
        <v>2</v>
      </c>
      <c r="BK87" s="31" t="s">
        <v>129</v>
      </c>
      <c r="BL87" s="31">
        <f>VAR(BJ84:BJ95)</f>
        <v>1.1136363636363635</v>
      </c>
      <c r="BN87" s="34"/>
      <c r="BO87" s="23" t="s">
        <v>403</v>
      </c>
      <c r="BP87">
        <v>4</v>
      </c>
      <c r="BQ87" s="31"/>
      <c r="BR87" s="33"/>
      <c r="BT87" s="34"/>
      <c r="BU87" s="112"/>
      <c r="BV87" s="94"/>
      <c r="BW87" s="34"/>
      <c r="BX87" s="34"/>
      <c r="BY87" s="34"/>
      <c r="BZ87" s="34"/>
      <c r="CA87" s="38"/>
      <c r="CB87" s="33"/>
      <c r="CF87" s="36"/>
      <c r="CG87" s="44"/>
      <c r="CL87" s="36"/>
      <c r="CM87" s="44"/>
      <c r="CR87" s="36"/>
    </row>
    <row r="88" spans="1:96" ht="15" x14ac:dyDescent="0.25">
      <c r="A88" s="42"/>
      <c r="B88" s="27"/>
      <c r="C88" s="27"/>
      <c r="D88" s="27"/>
      <c r="E88" s="27"/>
      <c r="G88" s="104" t="s">
        <v>513</v>
      </c>
      <c r="H88" s="105">
        <v>1</v>
      </c>
      <c r="I88" s="25" t="s">
        <v>106</v>
      </c>
      <c r="J88" s="25">
        <f>SUM(H88:H97)</f>
        <v>42</v>
      </c>
      <c r="K88" s="25"/>
      <c r="L88" s="29"/>
      <c r="M88" s="23" t="s">
        <v>488</v>
      </c>
      <c r="N88">
        <v>7</v>
      </c>
      <c r="O88" s="27" t="s">
        <v>138</v>
      </c>
      <c r="P88" s="27">
        <f>AVERAGE(N84:N88)</f>
        <v>4</v>
      </c>
      <c r="Q88" s="27"/>
      <c r="R88" s="29"/>
      <c r="S88" s="91"/>
      <c r="T88" s="90"/>
      <c r="U88" s="90"/>
      <c r="V88" s="90"/>
      <c r="W88" s="90"/>
      <c r="X88" s="29"/>
      <c r="Y88" s="23" t="s">
        <v>476</v>
      </c>
      <c r="Z88">
        <v>0</v>
      </c>
      <c r="AA88" s="27" t="s">
        <v>106</v>
      </c>
      <c r="AB88" s="27">
        <f>SUM(Z88:Z97)</f>
        <v>1</v>
      </c>
      <c r="AC88" s="25"/>
      <c r="AE88" s="31" t="s">
        <v>100</v>
      </c>
      <c r="AF88" s="32" t="s">
        <v>67</v>
      </c>
      <c r="AG88" s="31"/>
      <c r="AH88" s="31"/>
      <c r="AI88" s="33"/>
      <c r="AJ88" s="34"/>
      <c r="AK88" s="23" t="s">
        <v>342</v>
      </c>
      <c r="AL88">
        <v>0</v>
      </c>
      <c r="AM88" s="31"/>
      <c r="AN88" s="31"/>
      <c r="AO88" s="24"/>
      <c r="AQ88" s="23" t="s">
        <v>344</v>
      </c>
      <c r="AR88">
        <v>8</v>
      </c>
      <c r="AS88" s="31" t="s">
        <v>106</v>
      </c>
      <c r="AT88" s="31">
        <f>SUM(AR88:AR97)</f>
        <v>9</v>
      </c>
      <c r="AU88" s="27"/>
      <c r="AW88" s="23" t="s">
        <v>356</v>
      </c>
      <c r="AX88">
        <v>2</v>
      </c>
      <c r="AY88" s="31" t="s">
        <v>138</v>
      </c>
      <c r="AZ88" s="31">
        <f>AVERAGE(AX84:AX99)</f>
        <v>1.0625</v>
      </c>
      <c r="BC88" s="31" t="s">
        <v>102</v>
      </c>
      <c r="BD88" s="31" t="s">
        <v>71</v>
      </c>
      <c r="BE88" s="31" t="s">
        <v>103</v>
      </c>
      <c r="BF88" s="31" t="s">
        <v>104</v>
      </c>
      <c r="BH88" s="34"/>
      <c r="BI88" s="23" t="s">
        <v>384</v>
      </c>
      <c r="BJ88">
        <v>0</v>
      </c>
      <c r="BK88" s="31" t="s">
        <v>138</v>
      </c>
      <c r="BL88" s="31">
        <f>AVERAGE(BJ84:BJ95)</f>
        <v>0.75</v>
      </c>
      <c r="BN88" s="34"/>
      <c r="BO88" s="23" t="s">
        <v>404</v>
      </c>
      <c r="BP88">
        <v>4</v>
      </c>
      <c r="BQ88" s="31"/>
      <c r="BR88" s="33"/>
      <c r="BT88" s="34"/>
      <c r="BU88" s="19" t="s">
        <v>100</v>
      </c>
      <c r="BV88" s="35" t="s">
        <v>61</v>
      </c>
      <c r="BZ88" s="34"/>
      <c r="CA88" s="38"/>
      <c r="CB88" s="33"/>
      <c r="CF88" s="36"/>
      <c r="CG88" s="44"/>
      <c r="CL88" s="36"/>
      <c r="CM88" s="44"/>
      <c r="CR88" s="36"/>
    </row>
    <row r="89" spans="1:96" ht="15" x14ac:dyDescent="0.25">
      <c r="A89" s="42"/>
      <c r="B89" s="27"/>
      <c r="C89" s="27"/>
      <c r="D89" s="27"/>
      <c r="E89" s="27"/>
      <c r="G89" s="104" t="s">
        <v>514</v>
      </c>
      <c r="H89" s="105">
        <v>4</v>
      </c>
      <c r="I89" s="25" t="s">
        <v>115</v>
      </c>
      <c r="J89" s="25">
        <f>MIN(H88:H97)</f>
        <v>1</v>
      </c>
      <c r="K89" s="25"/>
      <c r="L89" s="29"/>
      <c r="M89" s="23"/>
      <c r="N89" s="40"/>
      <c r="O89" s="27" t="s">
        <v>144</v>
      </c>
      <c r="P89" s="27">
        <f>STDEV(N84:N88)</f>
        <v>5.3385391260156556</v>
      </c>
      <c r="Q89" s="27"/>
      <c r="R89" s="29"/>
      <c r="S89" s="27" t="s">
        <v>100</v>
      </c>
      <c r="T89" s="30" t="s">
        <v>524</v>
      </c>
      <c r="U89" s="27"/>
      <c r="V89" s="27">
        <v>2014</v>
      </c>
      <c r="W89" s="27"/>
      <c r="X89" s="29"/>
      <c r="Y89" s="23" t="s">
        <v>477</v>
      </c>
      <c r="Z89">
        <v>0</v>
      </c>
      <c r="AA89" s="27" t="s">
        <v>115</v>
      </c>
      <c r="AB89" s="27">
        <f>MIN(Z88:Z97)</f>
        <v>0</v>
      </c>
      <c r="AC89" s="27"/>
      <c r="AE89" s="31" t="s">
        <v>101</v>
      </c>
      <c r="AF89" s="12" t="s">
        <v>5</v>
      </c>
      <c r="AG89" s="31"/>
      <c r="AH89" s="31"/>
      <c r="AI89" s="33"/>
      <c r="AJ89" s="34"/>
      <c r="AK89" s="23" t="s">
        <v>343</v>
      </c>
      <c r="AL89">
        <v>0</v>
      </c>
      <c r="AM89" s="31"/>
      <c r="AN89" s="31"/>
      <c r="AO89" s="24"/>
      <c r="AQ89" s="23" t="s">
        <v>345</v>
      </c>
      <c r="AR89">
        <v>1</v>
      </c>
      <c r="AS89" s="31" t="s">
        <v>115</v>
      </c>
      <c r="AT89" s="31">
        <f>MIN(AR88:AR97)</f>
        <v>0</v>
      </c>
      <c r="AU89" s="27"/>
      <c r="AW89" s="23" t="s">
        <v>357</v>
      </c>
      <c r="AX89">
        <v>2</v>
      </c>
      <c r="AY89" s="31" t="s">
        <v>144</v>
      </c>
      <c r="AZ89" s="31">
        <f>STDEV(AX84:AX99)</f>
        <v>0.99791449199484694</v>
      </c>
      <c r="BC89" s="23" t="s">
        <v>368</v>
      </c>
      <c r="BD89">
        <v>0</v>
      </c>
      <c r="BE89" s="31" t="s">
        <v>106</v>
      </c>
      <c r="BF89" s="31">
        <f>SUM(BD89:BD101)</f>
        <v>5</v>
      </c>
      <c r="BH89" s="34"/>
      <c r="BI89" s="23" t="s">
        <v>385</v>
      </c>
      <c r="BJ89">
        <v>1</v>
      </c>
      <c r="BK89" s="31" t="s">
        <v>144</v>
      </c>
      <c r="BL89" s="31">
        <f>STDEV(BJ84:BJ95)</f>
        <v>1.0552897060221726</v>
      </c>
      <c r="BN89" s="34"/>
      <c r="BO89" s="23" t="s">
        <v>405</v>
      </c>
      <c r="BP89">
        <v>1</v>
      </c>
      <c r="BQ89" s="31"/>
      <c r="BR89" s="33"/>
      <c r="BT89" s="34"/>
      <c r="BV89" s="12" t="s">
        <v>4</v>
      </c>
      <c r="BZ89" s="34"/>
      <c r="CA89" s="38"/>
      <c r="CB89" s="33"/>
      <c r="CF89" s="36"/>
      <c r="CG89" s="44"/>
      <c r="CL89" s="36"/>
      <c r="CM89" s="44"/>
      <c r="CR89" s="36"/>
    </row>
    <row r="90" spans="1:96" ht="15" x14ac:dyDescent="0.25">
      <c r="A90" s="42"/>
      <c r="B90" s="27"/>
      <c r="C90" s="27"/>
      <c r="D90" s="27"/>
      <c r="E90" s="27"/>
      <c r="G90" s="104" t="s">
        <v>515</v>
      </c>
      <c r="H90" s="105">
        <v>2</v>
      </c>
      <c r="I90" s="25" t="s">
        <v>122</v>
      </c>
      <c r="J90" s="25">
        <f>MAX(H88:H97)</f>
        <v>8</v>
      </c>
      <c r="K90" s="25"/>
      <c r="L90" s="90"/>
      <c r="M90" s="90"/>
      <c r="N90" s="90"/>
      <c r="O90" s="90"/>
      <c r="P90" s="90"/>
      <c r="Q90" s="90"/>
      <c r="R90" s="29"/>
      <c r="S90" s="27" t="s">
        <v>101</v>
      </c>
      <c r="T90" s="12" t="s">
        <v>9</v>
      </c>
      <c r="U90" s="27"/>
      <c r="V90" s="27"/>
      <c r="W90" s="25"/>
      <c r="X90" s="29"/>
      <c r="Y90" s="23" t="s">
        <v>478</v>
      </c>
      <c r="Z90">
        <v>0</v>
      </c>
      <c r="AA90" s="27" t="s">
        <v>122</v>
      </c>
      <c r="AB90" s="27">
        <f>MAX(Z88:Z97)</f>
        <v>1</v>
      </c>
      <c r="AC90" s="27"/>
      <c r="AE90" s="31" t="s">
        <v>102</v>
      </c>
      <c r="AF90" s="31" t="s">
        <v>71</v>
      </c>
      <c r="AG90" s="31" t="s">
        <v>103</v>
      </c>
      <c r="AH90" s="31" t="s">
        <v>104</v>
      </c>
      <c r="AI90" s="33"/>
      <c r="AJ90" s="34"/>
      <c r="AK90" s="100"/>
      <c r="AL90" s="94"/>
      <c r="AM90" s="34"/>
      <c r="AN90" s="34"/>
      <c r="AO90" s="34"/>
      <c r="AQ90" s="23" t="s">
        <v>262</v>
      </c>
      <c r="AR90">
        <v>0</v>
      </c>
      <c r="AS90" s="31" t="s">
        <v>122</v>
      </c>
      <c r="AT90" s="31">
        <f>MAX(AR88:AR97)</f>
        <v>8</v>
      </c>
      <c r="AU90" s="27"/>
      <c r="AW90" s="23" t="s">
        <v>358</v>
      </c>
      <c r="AX90">
        <v>1</v>
      </c>
      <c r="AY90" s="31"/>
      <c r="AZ90" s="31"/>
      <c r="BC90" s="23" t="s">
        <v>369</v>
      </c>
      <c r="BD90">
        <v>0</v>
      </c>
      <c r="BE90" s="31" t="s">
        <v>115</v>
      </c>
      <c r="BF90" s="31">
        <f>MIN(BD89:BD101)</f>
        <v>0</v>
      </c>
      <c r="BH90" s="34"/>
      <c r="BI90" s="23" t="s">
        <v>386</v>
      </c>
      <c r="BJ90">
        <v>0</v>
      </c>
      <c r="BK90" s="31"/>
      <c r="BL90" s="31"/>
      <c r="BN90" s="34"/>
      <c r="BO90" s="23" t="s">
        <v>406</v>
      </c>
      <c r="BP90">
        <v>5</v>
      </c>
      <c r="BQ90" s="31"/>
      <c r="BR90" s="31"/>
      <c r="BT90" s="34"/>
      <c r="BU90" s="31" t="s">
        <v>102</v>
      </c>
      <c r="BV90" s="31" t="s">
        <v>71</v>
      </c>
      <c r="BW90" s="31" t="s">
        <v>103</v>
      </c>
      <c r="BX90" s="31" t="s">
        <v>104</v>
      </c>
      <c r="BZ90" s="34"/>
      <c r="CA90" s="38"/>
      <c r="CB90" s="33"/>
      <c r="CF90" s="36"/>
      <c r="CG90" s="44"/>
      <c r="CL90" s="36"/>
      <c r="CM90" s="44"/>
      <c r="CR90" s="36"/>
    </row>
    <row r="91" spans="1:96" ht="15" x14ac:dyDescent="0.25">
      <c r="A91" s="42"/>
      <c r="B91" s="27"/>
      <c r="C91" s="27"/>
      <c r="D91" s="27"/>
      <c r="E91" s="27"/>
      <c r="G91" s="104" t="s">
        <v>516</v>
      </c>
      <c r="H91" s="105">
        <v>4</v>
      </c>
      <c r="I91" s="25" t="s">
        <v>129</v>
      </c>
      <c r="J91" s="25">
        <f>VAR(H88:H97)</f>
        <v>5.0666666666666664</v>
      </c>
      <c r="K91" s="25"/>
      <c r="L91" s="29"/>
      <c r="M91" s="27" t="s">
        <v>100</v>
      </c>
      <c r="N91" s="30" t="s">
        <v>525</v>
      </c>
      <c r="O91" s="27"/>
      <c r="P91" s="27"/>
      <c r="Q91" s="27"/>
      <c r="R91" s="29"/>
      <c r="S91" s="27" t="s">
        <v>102</v>
      </c>
      <c r="T91" s="27" t="s">
        <v>71</v>
      </c>
      <c r="U91" s="27" t="s">
        <v>103</v>
      </c>
      <c r="V91" s="27" t="s">
        <v>104</v>
      </c>
      <c r="W91" s="27"/>
      <c r="X91" s="29"/>
      <c r="Y91" s="23" t="s">
        <v>479</v>
      </c>
      <c r="Z91">
        <v>0</v>
      </c>
      <c r="AA91" s="27" t="s">
        <v>129</v>
      </c>
      <c r="AB91" s="27">
        <f>VAR(Z88:Z97)</f>
        <v>0.1</v>
      </c>
      <c r="AC91" s="27"/>
      <c r="AE91" s="23" t="s">
        <v>453</v>
      </c>
      <c r="AF91">
        <v>6</v>
      </c>
      <c r="AG91" s="31" t="s">
        <v>106</v>
      </c>
      <c r="AH91" s="31">
        <f>SUM(AF91:AF115)</f>
        <v>38</v>
      </c>
      <c r="AI91" s="33"/>
      <c r="AJ91" s="34"/>
      <c r="AK91" s="19" t="s">
        <v>100</v>
      </c>
      <c r="AL91" s="32" t="s">
        <v>443</v>
      </c>
      <c r="AQ91" s="23" t="s">
        <v>346</v>
      </c>
      <c r="AR91">
        <v>0</v>
      </c>
      <c r="AS91" s="31" t="s">
        <v>129</v>
      </c>
      <c r="AT91" s="31">
        <f>VAR(AR88:AR97)</f>
        <v>6.322222222222222</v>
      </c>
      <c r="AU91" s="27"/>
      <c r="AW91" s="23" t="s">
        <v>359</v>
      </c>
      <c r="AX91">
        <v>0</v>
      </c>
      <c r="AY91" s="31"/>
      <c r="AZ91" s="31"/>
      <c r="BC91" s="23" t="s">
        <v>370</v>
      </c>
      <c r="BD91">
        <v>0</v>
      </c>
      <c r="BE91" s="31" t="s">
        <v>122</v>
      </c>
      <c r="BF91" s="31">
        <f>MAX(BD89:BD101)</f>
        <v>3</v>
      </c>
      <c r="BH91" s="34"/>
      <c r="BI91" s="23" t="s">
        <v>387</v>
      </c>
      <c r="BJ91">
        <v>0</v>
      </c>
      <c r="BK91" s="33"/>
      <c r="BL91" s="33"/>
      <c r="BN91" s="34"/>
      <c r="BO91" s="23" t="s">
        <v>407</v>
      </c>
      <c r="BP91">
        <v>2</v>
      </c>
      <c r="BQ91" s="31"/>
      <c r="BR91" s="31"/>
      <c r="BT91" s="34"/>
      <c r="BU91" s="23" t="s">
        <v>412</v>
      </c>
      <c r="BV91" s="22">
        <v>1</v>
      </c>
      <c r="BW91" s="31" t="s">
        <v>106</v>
      </c>
      <c r="BX91" s="31">
        <f>SUM(BV91:BV115)</f>
        <v>84</v>
      </c>
      <c r="BZ91" s="34"/>
      <c r="CA91" s="38"/>
      <c r="CB91" s="33"/>
      <c r="CF91" s="36"/>
      <c r="CG91" s="44"/>
      <c r="CL91" s="36"/>
      <c r="CM91" s="44"/>
      <c r="CR91" s="36"/>
    </row>
    <row r="92" spans="1:96" ht="15" x14ac:dyDescent="0.25">
      <c r="A92" s="42"/>
      <c r="B92" s="27"/>
      <c r="C92" s="27"/>
      <c r="D92" s="27"/>
      <c r="E92" s="27"/>
      <c r="G92" s="104" t="s">
        <v>517</v>
      </c>
      <c r="H92" s="105">
        <v>2</v>
      </c>
      <c r="I92" s="25" t="s">
        <v>138</v>
      </c>
      <c r="J92" s="25">
        <f>AVERAGE(H88:H97)</f>
        <v>4.2</v>
      </c>
      <c r="K92" s="25"/>
      <c r="L92" s="29"/>
      <c r="M92" s="27" t="s">
        <v>101</v>
      </c>
      <c r="N92" s="12" t="s">
        <v>21</v>
      </c>
      <c r="O92" s="27"/>
      <c r="P92" s="27"/>
      <c r="Q92" s="27"/>
      <c r="R92" s="29"/>
      <c r="S92" s="23" t="s">
        <v>489</v>
      </c>
      <c r="T92">
        <v>0</v>
      </c>
      <c r="U92" s="31" t="s">
        <v>106</v>
      </c>
      <c r="V92" s="27">
        <f>SUM(T92:T109)</f>
        <v>1</v>
      </c>
      <c r="W92" s="27"/>
      <c r="X92" s="29"/>
      <c r="Y92" s="23" t="s">
        <v>480</v>
      </c>
      <c r="Z92">
        <v>0</v>
      </c>
      <c r="AA92" s="27" t="s">
        <v>138</v>
      </c>
      <c r="AB92" s="27">
        <f>AVERAGE(Z88:Z97)</f>
        <v>0.1</v>
      </c>
      <c r="AC92" s="27"/>
      <c r="AE92" s="23" t="s">
        <v>454</v>
      </c>
      <c r="AF92">
        <v>4</v>
      </c>
      <c r="AG92" s="31" t="s">
        <v>115</v>
      </c>
      <c r="AH92" s="31">
        <f>MIN(AF91:AF115)</f>
        <v>0</v>
      </c>
      <c r="AI92" s="33"/>
      <c r="AJ92" s="34"/>
      <c r="AK92" s="19" t="s">
        <v>101</v>
      </c>
      <c r="AL92" s="12" t="s">
        <v>15</v>
      </c>
      <c r="AQ92" s="23" t="s">
        <v>347</v>
      </c>
      <c r="AR92">
        <v>0</v>
      </c>
      <c r="AS92" s="31" t="s">
        <v>138</v>
      </c>
      <c r="AT92" s="31">
        <f>AVERAGE(AR88:AR97)</f>
        <v>0.9</v>
      </c>
      <c r="AU92" s="27"/>
      <c r="AW92" s="23" t="s">
        <v>360</v>
      </c>
      <c r="AX92">
        <v>0</v>
      </c>
      <c r="AY92" s="31"/>
      <c r="AZ92" s="31"/>
      <c r="BC92" s="23" t="s">
        <v>215</v>
      </c>
      <c r="BD92">
        <v>0</v>
      </c>
      <c r="BE92" s="31" t="s">
        <v>129</v>
      </c>
      <c r="BF92" s="31">
        <f>VAR(BD89:BD101)</f>
        <v>0.75641025641025639</v>
      </c>
      <c r="BH92" s="34"/>
      <c r="BI92" s="23" t="s">
        <v>139</v>
      </c>
      <c r="BJ92">
        <v>0</v>
      </c>
      <c r="BK92" s="33"/>
      <c r="BL92" s="33"/>
      <c r="BN92" s="34"/>
      <c r="BO92" s="86"/>
      <c r="BP92" s="94"/>
      <c r="BQ92" s="34"/>
      <c r="BR92" s="34"/>
      <c r="BS92" s="34"/>
      <c r="BT92" s="34"/>
      <c r="BU92" s="22" t="s">
        <v>244</v>
      </c>
      <c r="BV92" s="22">
        <v>0</v>
      </c>
      <c r="BW92" s="31" t="s">
        <v>115</v>
      </c>
      <c r="BX92" s="31">
        <f>MIN(BV91:BV115)</f>
        <v>0</v>
      </c>
      <c r="BZ92" s="34"/>
      <c r="CA92" s="38"/>
      <c r="CB92" s="33"/>
      <c r="CF92" s="36"/>
      <c r="CG92" s="44"/>
      <c r="CL92" s="36"/>
      <c r="CR92" s="36"/>
    </row>
    <row r="93" spans="1:96" ht="15" x14ac:dyDescent="0.25">
      <c r="A93" s="42"/>
      <c r="B93" s="27"/>
      <c r="C93" s="27"/>
      <c r="D93" s="27"/>
      <c r="E93" s="27"/>
      <c r="G93" s="104" t="s">
        <v>518</v>
      </c>
      <c r="H93" s="105">
        <v>6</v>
      </c>
      <c r="I93" s="25" t="s">
        <v>144</v>
      </c>
      <c r="J93" s="25">
        <f>STDEV(H88:H97)</f>
        <v>2.2509257354845511</v>
      </c>
      <c r="K93" s="25"/>
      <c r="L93" s="29"/>
      <c r="M93" s="27" t="s">
        <v>102</v>
      </c>
      <c r="N93" s="27" t="s">
        <v>71</v>
      </c>
      <c r="O93" s="27" t="s">
        <v>103</v>
      </c>
      <c r="P93" s="27" t="s">
        <v>104</v>
      </c>
      <c r="Q93" s="27"/>
      <c r="R93" s="29"/>
      <c r="S93" s="23" t="s">
        <v>490</v>
      </c>
      <c r="T93">
        <v>0</v>
      </c>
      <c r="U93" s="31" t="s">
        <v>115</v>
      </c>
      <c r="V93" s="27">
        <f>MIN(T92:T109)</f>
        <v>0</v>
      </c>
      <c r="W93" s="27"/>
      <c r="X93" s="29"/>
      <c r="Y93" s="23" t="s">
        <v>481</v>
      </c>
      <c r="Z93">
        <v>0</v>
      </c>
      <c r="AA93" s="27" t="s">
        <v>144</v>
      </c>
      <c r="AB93" s="27">
        <f>STDEV(Z88:Z97)</f>
        <v>0.31622776601683794</v>
      </c>
      <c r="AC93" s="27"/>
      <c r="AE93" s="23" t="s">
        <v>455</v>
      </c>
      <c r="AF93">
        <v>0</v>
      </c>
      <c r="AG93" s="31" t="s">
        <v>122</v>
      </c>
      <c r="AH93" s="31">
        <f>MAX(AF91:AF115)</f>
        <v>6</v>
      </c>
      <c r="AI93" s="33"/>
      <c r="AJ93" s="34"/>
      <c r="AK93" s="31" t="s">
        <v>102</v>
      </c>
      <c r="AL93" s="31" t="s">
        <v>71</v>
      </c>
      <c r="AM93" s="31" t="s">
        <v>103</v>
      </c>
      <c r="AN93" s="31" t="s">
        <v>104</v>
      </c>
      <c r="AQ93" s="23" t="s">
        <v>348</v>
      </c>
      <c r="AR93">
        <v>0</v>
      </c>
      <c r="AS93" s="31" t="s">
        <v>144</v>
      </c>
      <c r="AT93" s="31">
        <f>STDEV(AR88:AR97)</f>
        <v>2.5144029554194813</v>
      </c>
      <c r="AW93" s="23" t="s">
        <v>361</v>
      </c>
      <c r="AX93">
        <v>2</v>
      </c>
      <c r="AY93" s="31"/>
      <c r="AZ93" s="31"/>
      <c r="BC93" s="23" t="s">
        <v>371</v>
      </c>
      <c r="BD93">
        <v>0</v>
      </c>
      <c r="BE93" s="31" t="s">
        <v>138</v>
      </c>
      <c r="BF93" s="31">
        <f>AVERAGE(BD89:BD101)</f>
        <v>0.38461538461538464</v>
      </c>
      <c r="BH93" s="34"/>
      <c r="BI93" s="23" t="s">
        <v>156</v>
      </c>
      <c r="BJ93">
        <v>0</v>
      </c>
      <c r="BK93" s="31"/>
      <c r="BL93" s="31"/>
      <c r="BN93" s="34"/>
      <c r="BO93" s="19" t="s">
        <v>100</v>
      </c>
      <c r="BP93" s="35" t="s">
        <v>540</v>
      </c>
      <c r="BR93" s="19">
        <v>2014</v>
      </c>
      <c r="BT93" s="34"/>
      <c r="BU93" s="22" t="s">
        <v>119</v>
      </c>
      <c r="BV93" s="22">
        <v>0</v>
      </c>
      <c r="BW93" s="31" t="s">
        <v>122</v>
      </c>
      <c r="BX93" s="31">
        <f>MAX(BV91:BV115)</f>
        <v>13</v>
      </c>
      <c r="BZ93" s="34"/>
      <c r="CA93" s="38"/>
      <c r="CB93" s="33"/>
      <c r="CF93" s="36"/>
      <c r="CG93" s="44"/>
      <c r="CL93" s="36"/>
      <c r="CR93" s="36"/>
    </row>
    <row r="94" spans="1:96" ht="15" x14ac:dyDescent="0.25">
      <c r="A94" s="42"/>
      <c r="B94" s="27"/>
      <c r="C94" s="27"/>
      <c r="D94" s="27"/>
      <c r="E94" s="27"/>
      <c r="G94" s="104" t="s">
        <v>519</v>
      </c>
      <c r="H94" s="105">
        <v>4</v>
      </c>
      <c r="I94" s="25"/>
      <c r="J94" s="25"/>
      <c r="K94" s="25"/>
      <c r="L94" s="29"/>
      <c r="M94" s="23" t="s">
        <v>394</v>
      </c>
      <c r="N94">
        <v>1</v>
      </c>
      <c r="O94" s="27" t="s">
        <v>106</v>
      </c>
      <c r="P94" s="27">
        <f>SUM(N94:N98)</f>
        <v>2</v>
      </c>
      <c r="Q94" s="27"/>
      <c r="R94" s="29"/>
      <c r="S94" s="23" t="s">
        <v>491</v>
      </c>
      <c r="T94">
        <v>0</v>
      </c>
      <c r="U94" s="31" t="s">
        <v>122</v>
      </c>
      <c r="V94" s="27">
        <f>MAX(T92:T109)</f>
        <v>1</v>
      </c>
      <c r="W94" s="27"/>
      <c r="X94" s="29"/>
      <c r="Y94" s="23" t="s">
        <v>262</v>
      </c>
      <c r="Z94">
        <v>0</v>
      </c>
      <c r="AA94" s="27"/>
      <c r="AB94" s="27"/>
      <c r="AC94" s="27"/>
      <c r="AE94" s="23" t="s">
        <v>456</v>
      </c>
      <c r="AF94">
        <v>2</v>
      </c>
      <c r="AG94" s="31" t="s">
        <v>129</v>
      </c>
      <c r="AH94" s="31">
        <f>VAR(AF91:AF115)</f>
        <v>2.3433333333333333</v>
      </c>
      <c r="AI94" s="33"/>
      <c r="AJ94" s="34"/>
      <c r="AK94" s="23" t="s">
        <v>332</v>
      </c>
      <c r="AL94">
        <v>0</v>
      </c>
      <c r="AM94" s="31" t="s">
        <v>106</v>
      </c>
      <c r="AN94" s="31">
        <f>SUM(AL94:AL107)</f>
        <v>6</v>
      </c>
      <c r="AQ94" s="23" t="s">
        <v>349</v>
      </c>
      <c r="AR94">
        <v>0</v>
      </c>
      <c r="AS94" s="31"/>
      <c r="AT94" s="31"/>
      <c r="AW94" s="23" t="s">
        <v>362</v>
      </c>
      <c r="AX94">
        <v>1</v>
      </c>
      <c r="AY94" s="31"/>
      <c r="AZ94" s="31"/>
      <c r="BC94" s="23" t="s">
        <v>372</v>
      </c>
      <c r="BD94">
        <v>3</v>
      </c>
      <c r="BE94" s="31" t="s">
        <v>144</v>
      </c>
      <c r="BF94" s="31">
        <f>STDEV(BD89:BD101)</f>
        <v>0.86971849262290402</v>
      </c>
      <c r="BH94" s="34"/>
      <c r="BI94" s="23" t="s">
        <v>388</v>
      </c>
      <c r="BJ94">
        <v>0</v>
      </c>
      <c r="BK94" s="31"/>
      <c r="BL94" s="31"/>
      <c r="BN94" s="34"/>
      <c r="BP94" s="12" t="s">
        <v>7</v>
      </c>
      <c r="BT94" s="34"/>
      <c r="BU94" s="22" t="s">
        <v>413</v>
      </c>
      <c r="BV94" s="22">
        <v>0</v>
      </c>
      <c r="BW94" s="31" t="s">
        <v>129</v>
      </c>
      <c r="BX94" s="31">
        <f>VAR(BV91:BV115)</f>
        <v>12.74</v>
      </c>
      <c r="BZ94" s="34"/>
      <c r="CA94" s="43"/>
      <c r="CB94" s="33"/>
      <c r="CF94" s="36"/>
      <c r="CG94" s="44"/>
      <c r="CL94" s="36"/>
      <c r="CM94" s="46"/>
      <c r="CR94" s="36"/>
    </row>
    <row r="95" spans="1:96" ht="15" x14ac:dyDescent="0.25">
      <c r="A95" s="27"/>
      <c r="B95" s="27"/>
      <c r="C95" s="27"/>
      <c r="D95" s="27"/>
      <c r="E95" s="27"/>
      <c r="G95" s="104" t="s">
        <v>520</v>
      </c>
      <c r="H95" s="105">
        <v>4</v>
      </c>
      <c r="I95" s="25"/>
      <c r="J95" s="25"/>
      <c r="K95" s="25"/>
      <c r="L95" s="29"/>
      <c r="M95" s="23" t="s">
        <v>485</v>
      </c>
      <c r="N95">
        <v>0</v>
      </c>
      <c r="O95" s="27" t="s">
        <v>115</v>
      </c>
      <c r="P95" s="27">
        <f>MIN(N94:N98)</f>
        <v>0</v>
      </c>
      <c r="Q95" s="27"/>
      <c r="R95" s="29"/>
      <c r="S95" s="23" t="s">
        <v>492</v>
      </c>
      <c r="T95">
        <v>0</v>
      </c>
      <c r="U95" s="31" t="s">
        <v>129</v>
      </c>
      <c r="V95" s="27">
        <f>VAR(T92:T109)</f>
        <v>5.5555555555555552E-2</v>
      </c>
      <c r="W95" s="27"/>
      <c r="X95" s="29"/>
      <c r="Y95" s="23" t="s">
        <v>482</v>
      </c>
      <c r="Z95">
        <v>1</v>
      </c>
      <c r="AA95" s="27"/>
      <c r="AB95" s="27"/>
      <c r="AC95" s="27"/>
      <c r="AE95" s="23" t="s">
        <v>259</v>
      </c>
      <c r="AF95">
        <v>1</v>
      </c>
      <c r="AG95" s="31" t="s">
        <v>138</v>
      </c>
      <c r="AH95" s="31">
        <f>AVERAGE(AF91:AF115)</f>
        <v>1.52</v>
      </c>
      <c r="AJ95" s="34"/>
      <c r="AK95" s="23" t="s">
        <v>333</v>
      </c>
      <c r="AL95">
        <v>0</v>
      </c>
      <c r="AM95" s="31" t="s">
        <v>115</v>
      </c>
      <c r="AN95" s="31">
        <f>MIN(AL94:AL107)</f>
        <v>0</v>
      </c>
      <c r="AQ95" s="23" t="s">
        <v>350</v>
      </c>
      <c r="AR95">
        <v>0</v>
      </c>
      <c r="AS95" s="31"/>
      <c r="AT95" s="31"/>
      <c r="AW95" s="23" t="s">
        <v>363</v>
      </c>
      <c r="AX95">
        <v>2</v>
      </c>
      <c r="AY95" s="31"/>
      <c r="AZ95" s="31"/>
      <c r="BC95" s="23" t="s">
        <v>373</v>
      </c>
      <c r="BD95">
        <v>1</v>
      </c>
      <c r="BE95" s="31"/>
      <c r="BF95" s="31"/>
      <c r="BH95" s="34"/>
      <c r="BI95" s="23" t="s">
        <v>389</v>
      </c>
      <c r="BJ95">
        <v>3</v>
      </c>
      <c r="BK95" s="31"/>
      <c r="BL95" s="31"/>
      <c r="BN95" s="34"/>
      <c r="BO95" s="31" t="s">
        <v>102</v>
      </c>
      <c r="BP95" s="31" t="s">
        <v>71</v>
      </c>
      <c r="BQ95" s="31" t="s">
        <v>103</v>
      </c>
      <c r="BR95" s="31" t="s">
        <v>104</v>
      </c>
      <c r="BT95" s="34"/>
      <c r="BU95" s="22" t="s">
        <v>414</v>
      </c>
      <c r="BV95" s="22">
        <v>0</v>
      </c>
      <c r="BW95" s="31" t="s">
        <v>138</v>
      </c>
      <c r="BX95" s="31">
        <f>AVERAGE(BV91:BV115)</f>
        <v>3.36</v>
      </c>
      <c r="BZ95" s="34"/>
      <c r="CA95" s="43"/>
      <c r="CB95" s="33"/>
      <c r="CF95" s="36"/>
      <c r="CG95" s="44"/>
      <c r="CL95" s="36"/>
      <c r="CM95" s="31"/>
      <c r="CN95" s="31"/>
      <c r="CO95" s="31"/>
      <c r="CP95" s="31"/>
      <c r="CR95" s="36"/>
    </row>
    <row r="96" spans="1:96" ht="15" x14ac:dyDescent="0.25">
      <c r="E96" s="27"/>
      <c r="G96" s="104" t="s">
        <v>521</v>
      </c>
      <c r="H96" s="105">
        <v>7</v>
      </c>
      <c r="I96" s="25"/>
      <c r="J96" s="25"/>
      <c r="K96" s="25"/>
      <c r="L96" s="29"/>
      <c r="M96" s="23" t="s">
        <v>486</v>
      </c>
      <c r="N96">
        <v>0</v>
      </c>
      <c r="O96" s="27" t="s">
        <v>122</v>
      </c>
      <c r="P96" s="27">
        <f>MAX(N94:N98)</f>
        <v>1</v>
      </c>
      <c r="Q96" s="27"/>
      <c r="R96" s="29"/>
      <c r="S96" s="23" t="s">
        <v>493</v>
      </c>
      <c r="T96">
        <v>0</v>
      </c>
      <c r="U96" s="31" t="s">
        <v>138</v>
      </c>
      <c r="V96" s="27">
        <f>AVERAGE(T92:T109)</f>
        <v>5.5555555555555552E-2</v>
      </c>
      <c r="W96" s="27"/>
      <c r="X96" s="29"/>
      <c r="Y96" s="23" t="s">
        <v>483</v>
      </c>
      <c r="Z96">
        <v>0</v>
      </c>
      <c r="AA96" s="27"/>
      <c r="AB96" s="27"/>
      <c r="AC96" s="27"/>
      <c r="AE96" s="23" t="s">
        <v>457</v>
      </c>
      <c r="AF96">
        <v>1</v>
      </c>
      <c r="AG96" s="31" t="s">
        <v>144</v>
      </c>
      <c r="AH96" s="31">
        <f>STDEV(AF91:AF115)</f>
        <v>1.5307950004273378</v>
      </c>
      <c r="AJ96" s="34"/>
      <c r="AK96" s="23" t="s">
        <v>334</v>
      </c>
      <c r="AL96">
        <v>2</v>
      </c>
      <c r="AM96" s="31" t="s">
        <v>122</v>
      </c>
      <c r="AN96" s="31">
        <f>MAX(AL94:AL107)</f>
        <v>2</v>
      </c>
      <c r="AQ96" s="23" t="s">
        <v>351</v>
      </c>
      <c r="AR96">
        <v>0</v>
      </c>
      <c r="AS96" s="31"/>
      <c r="AT96" s="31"/>
      <c r="AW96" s="23" t="s">
        <v>364</v>
      </c>
      <c r="AX96">
        <v>0</v>
      </c>
      <c r="AY96" s="31"/>
      <c r="AZ96" s="31"/>
      <c r="BC96" s="23" t="s">
        <v>374</v>
      </c>
      <c r="BD96">
        <v>0</v>
      </c>
      <c r="BE96" s="33"/>
      <c r="BF96" s="33"/>
      <c r="BH96" s="34"/>
      <c r="BI96" s="34"/>
      <c r="BJ96" s="34"/>
      <c r="BK96" s="34"/>
      <c r="BL96" s="34"/>
      <c r="BM96" s="34"/>
      <c r="BN96" s="34"/>
      <c r="BO96" s="23" t="s">
        <v>390</v>
      </c>
      <c r="BP96">
        <v>0</v>
      </c>
      <c r="BQ96" s="31" t="s">
        <v>106</v>
      </c>
      <c r="BR96" s="31">
        <f>SUM(BP96:BP114)</f>
        <v>1</v>
      </c>
      <c r="BT96" s="34"/>
      <c r="BU96" s="22" t="s">
        <v>415</v>
      </c>
      <c r="BV96" s="22">
        <v>3</v>
      </c>
      <c r="BW96" s="31" t="s">
        <v>144</v>
      </c>
      <c r="BX96" s="31">
        <f>STDEV(BV91:BV115)</f>
        <v>3.5693136595149495</v>
      </c>
      <c r="BZ96" s="34"/>
      <c r="CA96" s="43"/>
      <c r="CF96" s="36"/>
      <c r="CG96" s="44"/>
      <c r="CL96" s="36"/>
      <c r="CM96" s="44"/>
      <c r="CO96" s="31"/>
      <c r="CP96" s="31"/>
      <c r="CR96" s="36"/>
    </row>
    <row r="97" spans="1:96" ht="15" x14ac:dyDescent="0.25">
      <c r="E97" s="27"/>
      <c r="G97" s="104" t="s">
        <v>175</v>
      </c>
      <c r="H97" s="105">
        <v>8</v>
      </c>
      <c r="K97" s="25"/>
      <c r="L97" s="29"/>
      <c r="M97" s="23" t="s">
        <v>487</v>
      </c>
      <c r="N97">
        <v>0</v>
      </c>
      <c r="O97" s="27" t="s">
        <v>129</v>
      </c>
      <c r="P97" s="27">
        <f>VAR(N94:N98)</f>
        <v>0.3</v>
      </c>
      <c r="Q97" s="27"/>
      <c r="R97" s="29"/>
      <c r="S97" s="23" t="s">
        <v>494</v>
      </c>
      <c r="T97">
        <v>0</v>
      </c>
      <c r="U97" s="31" t="s">
        <v>144</v>
      </c>
      <c r="V97" s="27">
        <f>STDEV(T92:T109)</f>
        <v>0.23570226039551584</v>
      </c>
      <c r="W97" s="27"/>
      <c r="X97" s="29"/>
      <c r="Y97" s="23" t="s">
        <v>484</v>
      </c>
      <c r="Z97">
        <v>0</v>
      </c>
      <c r="AA97" s="27"/>
      <c r="AB97" s="27"/>
      <c r="AC97" s="27"/>
      <c r="AE97" s="23" t="s">
        <v>458</v>
      </c>
      <c r="AF97">
        <v>0</v>
      </c>
      <c r="AG97" s="31"/>
      <c r="AH97" s="31"/>
      <c r="AJ97" s="34"/>
      <c r="AK97" s="23" t="s">
        <v>335</v>
      </c>
      <c r="AL97">
        <v>0</v>
      </c>
      <c r="AM97" s="31" t="s">
        <v>129</v>
      </c>
      <c r="AN97" s="31">
        <f>VAR(AL94:AL107)</f>
        <v>0.5714285714285714</v>
      </c>
      <c r="AQ97" s="100" t="s">
        <v>352</v>
      </c>
      <c r="AR97" s="101">
        <v>0</v>
      </c>
      <c r="AS97" s="94"/>
      <c r="AT97" s="94"/>
      <c r="AU97" s="34"/>
      <c r="AW97" s="23" t="s">
        <v>365</v>
      </c>
      <c r="AX97">
        <v>1</v>
      </c>
      <c r="AY97" s="31"/>
      <c r="AZ97" s="31"/>
      <c r="BC97" s="23" t="s">
        <v>375</v>
      </c>
      <c r="BD97">
        <v>0</v>
      </c>
      <c r="BE97" s="33"/>
      <c r="BF97" s="33"/>
      <c r="BH97" s="34"/>
      <c r="BI97" s="19" t="s">
        <v>100</v>
      </c>
      <c r="BJ97" s="35" t="s">
        <v>64</v>
      </c>
      <c r="BN97" s="34"/>
      <c r="BO97" s="23" t="s">
        <v>391</v>
      </c>
      <c r="BP97">
        <v>0</v>
      </c>
      <c r="BQ97" s="31" t="s">
        <v>115</v>
      </c>
      <c r="BR97" s="31">
        <f>MIN(BP96:BP114)</f>
        <v>0</v>
      </c>
      <c r="BT97" s="34"/>
      <c r="BU97" s="22" t="s">
        <v>416</v>
      </c>
      <c r="BV97" s="22">
        <v>0</v>
      </c>
      <c r="BW97" s="31"/>
      <c r="BX97" s="31"/>
      <c r="BZ97" s="34"/>
      <c r="CA97" s="43"/>
      <c r="CF97" s="36"/>
      <c r="CL97" s="36"/>
      <c r="CM97" s="44"/>
      <c r="CO97" s="31"/>
      <c r="CP97" s="31"/>
      <c r="CR97" s="36"/>
    </row>
    <row r="98" spans="1:96" ht="15" x14ac:dyDescent="0.25">
      <c r="E98" s="27"/>
      <c r="G98" s="34"/>
      <c r="H98" s="34"/>
      <c r="I98" s="34"/>
      <c r="J98" s="34"/>
      <c r="K98" s="90"/>
      <c r="L98" s="29"/>
      <c r="M98" s="23" t="s">
        <v>488</v>
      </c>
      <c r="N98">
        <v>1</v>
      </c>
      <c r="O98" s="27" t="s">
        <v>138</v>
      </c>
      <c r="P98" s="27">
        <f>AVERAGE(N94:N98)</f>
        <v>0.4</v>
      </c>
      <c r="Q98" s="27"/>
      <c r="R98" s="29"/>
      <c r="S98" s="23" t="s">
        <v>495</v>
      </c>
      <c r="T98">
        <v>0</v>
      </c>
      <c r="U98" s="27"/>
      <c r="V98" s="27"/>
      <c r="W98" s="27"/>
      <c r="X98" s="29"/>
      <c r="Y98" s="100"/>
      <c r="Z98" s="101"/>
      <c r="AA98" s="90"/>
      <c r="AB98" s="90"/>
      <c r="AC98" s="90"/>
      <c r="AE98" s="23" t="s">
        <v>459</v>
      </c>
      <c r="AF98">
        <v>2</v>
      </c>
      <c r="AG98" s="31"/>
      <c r="AH98" s="31"/>
      <c r="AJ98" s="34"/>
      <c r="AK98" s="23" t="s">
        <v>336</v>
      </c>
      <c r="AL98">
        <v>0</v>
      </c>
      <c r="AM98" s="31" t="s">
        <v>138</v>
      </c>
      <c r="AN98" s="31">
        <f>AVERAGE(AL94:AL107)</f>
        <v>0.42857142857142855</v>
      </c>
      <c r="AQ98" s="94"/>
      <c r="AR98" s="94"/>
      <c r="AS98" s="94"/>
      <c r="AT98" s="94"/>
      <c r="AU98" s="34"/>
      <c r="AW98" s="23" t="s">
        <v>366</v>
      </c>
      <c r="AX98">
        <v>1</v>
      </c>
      <c r="AY98" s="31"/>
      <c r="AZ98" s="31"/>
      <c r="BC98" s="23" t="s">
        <v>376</v>
      </c>
      <c r="BD98">
        <v>0</v>
      </c>
      <c r="BE98" s="31"/>
      <c r="BF98" s="31"/>
      <c r="BH98" s="34"/>
      <c r="BJ98" s="12" t="s">
        <v>16</v>
      </c>
      <c r="BN98" s="34"/>
      <c r="BO98" s="23" t="s">
        <v>392</v>
      </c>
      <c r="BP98">
        <v>0</v>
      </c>
      <c r="BQ98" s="31" t="s">
        <v>122</v>
      </c>
      <c r="BR98" s="31">
        <f>MAX(BP96:BP114)</f>
        <v>1</v>
      </c>
      <c r="BT98" s="34"/>
      <c r="BU98" s="22" t="s">
        <v>417</v>
      </c>
      <c r="BV98" s="22">
        <v>3</v>
      </c>
      <c r="BW98" s="31"/>
      <c r="BX98" s="31"/>
      <c r="BZ98" s="34"/>
      <c r="CF98" s="36"/>
      <c r="CL98" s="36"/>
      <c r="CM98" s="44"/>
      <c r="CO98" s="31"/>
      <c r="CP98" s="31"/>
      <c r="CR98" s="36"/>
    </row>
    <row r="99" spans="1:96" ht="15" x14ac:dyDescent="0.25">
      <c r="E99" s="27"/>
      <c r="G99" s="25" t="s">
        <v>100</v>
      </c>
      <c r="H99" s="26" t="s">
        <v>523</v>
      </c>
      <c r="I99" s="25"/>
      <c r="J99" s="25">
        <v>2014</v>
      </c>
      <c r="K99" s="25"/>
      <c r="L99" s="29"/>
      <c r="M99" s="23"/>
      <c r="N99" s="40"/>
      <c r="O99" s="27" t="s">
        <v>144</v>
      </c>
      <c r="P99" s="27">
        <f>STDEV(N94:N98)</f>
        <v>0.54772255750516607</v>
      </c>
      <c r="Q99" s="27"/>
      <c r="R99" s="29"/>
      <c r="S99" s="23" t="s">
        <v>496</v>
      </c>
      <c r="T99">
        <v>0</v>
      </c>
      <c r="U99" s="27"/>
      <c r="V99" s="27"/>
      <c r="W99" s="27"/>
      <c r="X99" s="29"/>
      <c r="Y99" s="27" t="s">
        <v>100</v>
      </c>
      <c r="Z99" s="30" t="s">
        <v>535</v>
      </c>
      <c r="AA99" s="27"/>
      <c r="AB99" s="27"/>
      <c r="AC99" s="27"/>
      <c r="AE99" s="23" t="s">
        <v>460</v>
      </c>
      <c r="AF99">
        <v>2</v>
      </c>
      <c r="AG99" s="33"/>
      <c r="AH99" s="33"/>
      <c r="AJ99" s="34"/>
      <c r="AK99" s="23" t="s">
        <v>172</v>
      </c>
      <c r="AL99">
        <v>1</v>
      </c>
      <c r="AM99" s="31" t="s">
        <v>144</v>
      </c>
      <c r="AN99" s="31">
        <f>STDEV(AL94:AL107)</f>
        <v>0.7559289460184544</v>
      </c>
      <c r="AQ99" s="19" t="s">
        <v>100</v>
      </c>
      <c r="AR99" s="32" t="s">
        <v>444</v>
      </c>
      <c r="AW99" s="23" t="s">
        <v>367</v>
      </c>
      <c r="AX99">
        <v>0</v>
      </c>
      <c r="AY99" s="31"/>
      <c r="AZ99" s="31"/>
      <c r="BC99" s="23" t="s">
        <v>377</v>
      </c>
      <c r="BD99">
        <v>1</v>
      </c>
      <c r="BE99" s="31"/>
      <c r="BF99" s="31"/>
      <c r="BH99" s="34"/>
      <c r="BI99" s="31" t="s">
        <v>102</v>
      </c>
      <c r="BJ99" s="31" t="s">
        <v>71</v>
      </c>
      <c r="BK99" s="31" t="s">
        <v>103</v>
      </c>
      <c r="BL99" s="31" t="s">
        <v>104</v>
      </c>
      <c r="BN99" s="34"/>
      <c r="BO99" s="23" t="s">
        <v>393</v>
      </c>
      <c r="BP99">
        <v>0</v>
      </c>
      <c r="BQ99" s="31" t="s">
        <v>129</v>
      </c>
      <c r="BR99" s="31">
        <f>VAR(BP96:BP114)</f>
        <v>5.2631578947368425E-2</v>
      </c>
      <c r="BT99" s="34"/>
      <c r="BU99" s="22" t="s">
        <v>418</v>
      </c>
      <c r="BV99" s="22">
        <v>6</v>
      </c>
      <c r="BW99" s="31"/>
      <c r="BX99" s="31"/>
      <c r="BZ99" s="34"/>
      <c r="CA99" s="33"/>
      <c r="CB99" s="31"/>
      <c r="CC99" s="31"/>
      <c r="CD99" s="31"/>
      <c r="CF99" s="36"/>
      <c r="CG99" s="33"/>
      <c r="CH99" s="31"/>
      <c r="CI99" s="31"/>
      <c r="CJ99" s="31"/>
      <c r="CL99" s="36"/>
      <c r="CM99" s="44"/>
      <c r="CO99" s="31"/>
      <c r="CP99" s="31"/>
      <c r="CR99" s="36"/>
    </row>
    <row r="100" spans="1:96" ht="15" x14ac:dyDescent="0.25">
      <c r="E100" s="27"/>
      <c r="G100" s="25" t="s">
        <v>101</v>
      </c>
      <c r="H100" s="103" t="s">
        <v>18</v>
      </c>
      <c r="I100" s="25"/>
      <c r="J100" s="25"/>
      <c r="K100" s="25"/>
      <c r="L100" s="29"/>
      <c r="M100" s="34"/>
      <c r="N100" s="34"/>
      <c r="O100" s="34"/>
      <c r="P100" s="34"/>
      <c r="Q100" s="90"/>
      <c r="R100" s="29"/>
      <c r="S100" s="23" t="s">
        <v>389</v>
      </c>
      <c r="T100">
        <v>0</v>
      </c>
      <c r="U100" s="27"/>
      <c r="V100" s="27"/>
      <c r="W100" s="27"/>
      <c r="X100" s="29"/>
      <c r="Y100" s="27" t="s">
        <v>101</v>
      </c>
      <c r="Z100" s="12" t="s">
        <v>27</v>
      </c>
      <c r="AA100" s="27"/>
      <c r="AB100" s="27"/>
      <c r="AC100" s="27"/>
      <c r="AE100" s="23" t="s">
        <v>461</v>
      </c>
      <c r="AF100">
        <v>0</v>
      </c>
      <c r="AG100" s="31"/>
      <c r="AH100" s="31"/>
      <c r="AJ100" s="34"/>
      <c r="AK100" s="23" t="s">
        <v>337</v>
      </c>
      <c r="AL100">
        <v>0</v>
      </c>
      <c r="AM100" s="31"/>
      <c r="AN100" s="31"/>
      <c r="AR100" s="12" t="s">
        <v>19</v>
      </c>
      <c r="AW100" s="34"/>
      <c r="AX100" s="34"/>
      <c r="AY100" s="34"/>
      <c r="AZ100" s="34"/>
      <c r="BA100" s="34"/>
      <c r="BC100" s="23" t="s">
        <v>378</v>
      </c>
      <c r="BD100">
        <v>0</v>
      </c>
      <c r="BE100" s="31"/>
      <c r="BF100" s="31"/>
      <c r="BH100" s="34"/>
      <c r="BI100" s="23" t="s">
        <v>380</v>
      </c>
      <c r="BJ100">
        <v>0</v>
      </c>
      <c r="BK100" s="31" t="s">
        <v>106</v>
      </c>
      <c r="BL100" s="31">
        <f>SUM(BJ100:BJ111)</f>
        <v>9</v>
      </c>
      <c r="BN100" s="34"/>
      <c r="BO100" s="23" t="s">
        <v>394</v>
      </c>
      <c r="BP100">
        <v>0</v>
      </c>
      <c r="BQ100" s="31" t="s">
        <v>138</v>
      </c>
      <c r="BR100" s="31">
        <f>AVERAGE(BP96:BP114)</f>
        <v>5.2631578947368418E-2</v>
      </c>
      <c r="BT100" s="34"/>
      <c r="BU100" s="22" t="s">
        <v>419</v>
      </c>
      <c r="BV100" s="22">
        <v>5</v>
      </c>
      <c r="BW100" s="31"/>
      <c r="BX100" s="31"/>
      <c r="BZ100" s="34"/>
      <c r="CA100" s="31"/>
      <c r="CB100" s="31"/>
      <c r="CC100" s="31"/>
      <c r="CD100" s="31"/>
      <c r="CF100" s="36"/>
      <c r="CG100" s="31"/>
      <c r="CH100" s="31"/>
      <c r="CI100" s="31"/>
      <c r="CJ100" s="31"/>
      <c r="CL100" s="36"/>
      <c r="CO100" s="31"/>
      <c r="CP100" s="31"/>
      <c r="CR100" s="36"/>
    </row>
    <row r="101" spans="1:96" ht="15" x14ac:dyDescent="0.25">
      <c r="E101" s="27"/>
      <c r="G101" s="25" t="s">
        <v>102</v>
      </c>
      <c r="H101" s="25" t="s">
        <v>71</v>
      </c>
      <c r="I101" s="25" t="s">
        <v>103</v>
      </c>
      <c r="J101" s="25" t="s">
        <v>104</v>
      </c>
      <c r="K101" s="25"/>
      <c r="L101" s="29"/>
      <c r="M101" s="27" t="s">
        <v>100</v>
      </c>
      <c r="N101" s="30" t="s">
        <v>525</v>
      </c>
      <c r="O101" s="27"/>
      <c r="P101" s="27"/>
      <c r="Q101" s="27"/>
      <c r="R101" s="29"/>
      <c r="S101" s="23" t="s">
        <v>497</v>
      </c>
      <c r="T101">
        <v>0</v>
      </c>
      <c r="U101" s="27"/>
      <c r="V101" s="27"/>
      <c r="W101" s="27"/>
      <c r="X101" s="29"/>
      <c r="Y101" s="27" t="s">
        <v>105</v>
      </c>
      <c r="Z101" s="27" t="s">
        <v>71</v>
      </c>
      <c r="AA101" s="27" t="s">
        <v>103</v>
      </c>
      <c r="AB101" s="27" t="s">
        <v>104</v>
      </c>
      <c r="AC101" s="27"/>
      <c r="AE101" s="23" t="s">
        <v>462</v>
      </c>
      <c r="AF101">
        <v>2</v>
      </c>
      <c r="AG101" s="24"/>
      <c r="AH101" s="24"/>
      <c r="AJ101" s="34"/>
      <c r="AK101" s="23" t="s">
        <v>338</v>
      </c>
      <c r="AL101">
        <v>0</v>
      </c>
      <c r="AM101" s="31"/>
      <c r="AN101" s="31"/>
      <c r="AQ101" s="31" t="s">
        <v>102</v>
      </c>
      <c r="AR101" s="31" t="s">
        <v>71</v>
      </c>
      <c r="AS101" s="31" t="s">
        <v>103</v>
      </c>
      <c r="AT101" s="31" t="s">
        <v>104</v>
      </c>
      <c r="AW101" s="19" t="s">
        <v>100</v>
      </c>
      <c r="AX101" s="35" t="s">
        <v>66</v>
      </c>
      <c r="AZ101" s="19">
        <v>2014</v>
      </c>
      <c r="BC101" s="23" t="s">
        <v>379</v>
      </c>
      <c r="BD101">
        <v>0</v>
      </c>
      <c r="BE101" s="31"/>
      <c r="BF101" s="31"/>
      <c r="BH101" s="34"/>
      <c r="BI101" s="23" t="s">
        <v>381</v>
      </c>
      <c r="BJ101">
        <v>1</v>
      </c>
      <c r="BK101" s="31" t="s">
        <v>115</v>
      </c>
      <c r="BL101" s="31">
        <f>MIN(BJ100:BJ111)</f>
        <v>0</v>
      </c>
      <c r="BN101" s="34"/>
      <c r="BO101" s="23" t="s">
        <v>395</v>
      </c>
      <c r="BP101">
        <v>0</v>
      </c>
      <c r="BQ101" s="31" t="s">
        <v>144</v>
      </c>
      <c r="BR101" s="31">
        <f>STDEV(BP96:BP114)</f>
        <v>0.22941573387056177</v>
      </c>
      <c r="BT101" s="34"/>
      <c r="BU101" s="22" t="s">
        <v>420</v>
      </c>
      <c r="BV101" s="22">
        <v>12</v>
      </c>
      <c r="BW101" s="31"/>
      <c r="BX101" s="31"/>
      <c r="BZ101" s="34"/>
      <c r="CA101" s="38"/>
      <c r="CB101" s="31"/>
      <c r="CC101" s="31"/>
      <c r="CD101" s="31"/>
      <c r="CF101" s="36"/>
      <c r="CG101" s="44"/>
      <c r="CI101" s="31"/>
      <c r="CJ101" s="31"/>
      <c r="CL101" s="36"/>
      <c r="CO101" s="31"/>
      <c r="CP101" s="31"/>
      <c r="CR101" s="36"/>
    </row>
    <row r="102" spans="1:96" ht="15" x14ac:dyDescent="0.25">
      <c r="E102" s="27"/>
      <c r="G102" s="104" t="s">
        <v>513</v>
      </c>
      <c r="H102">
        <v>0</v>
      </c>
      <c r="I102" s="25" t="s">
        <v>106</v>
      </c>
      <c r="J102" s="25">
        <f>SUM(H102:H111)</f>
        <v>6</v>
      </c>
      <c r="K102" s="25"/>
      <c r="L102" s="29"/>
      <c r="M102" s="27" t="s">
        <v>101</v>
      </c>
      <c r="N102" s="12" t="s">
        <v>24</v>
      </c>
      <c r="O102" s="27"/>
      <c r="P102" s="27"/>
      <c r="Q102" s="27"/>
      <c r="R102" s="29"/>
      <c r="S102" s="23" t="s">
        <v>498</v>
      </c>
      <c r="T102">
        <v>0</v>
      </c>
      <c r="U102" s="27"/>
      <c r="V102" s="27"/>
      <c r="W102" s="27"/>
      <c r="X102" s="29"/>
      <c r="Y102" s="23" t="s">
        <v>476</v>
      </c>
      <c r="Z102">
        <v>1</v>
      </c>
      <c r="AA102" s="27" t="s">
        <v>106</v>
      </c>
      <c r="AB102" s="27">
        <f>SUM(Z102:Z111)</f>
        <v>15</v>
      </c>
      <c r="AC102" s="27"/>
      <c r="AE102" s="23" t="s">
        <v>463</v>
      </c>
      <c r="AF102">
        <v>1</v>
      </c>
      <c r="AG102" s="31"/>
      <c r="AH102" s="31"/>
      <c r="AJ102" s="34"/>
      <c r="AK102" s="23" t="s">
        <v>339</v>
      </c>
      <c r="AL102">
        <v>0</v>
      </c>
      <c r="AM102" s="31"/>
      <c r="AN102" s="31"/>
      <c r="AQ102" s="23" t="s">
        <v>344</v>
      </c>
      <c r="AR102">
        <v>1</v>
      </c>
      <c r="AS102" s="31" t="s">
        <v>106</v>
      </c>
      <c r="AT102" s="31">
        <f>SUM(AR102:AR111)</f>
        <v>3</v>
      </c>
      <c r="AX102" s="12" t="s">
        <v>17</v>
      </c>
      <c r="BC102" s="34"/>
      <c r="BD102" s="34"/>
      <c r="BE102" s="34"/>
      <c r="BF102" s="34"/>
      <c r="BG102" s="34"/>
      <c r="BH102" s="34"/>
      <c r="BI102" s="23" t="s">
        <v>382</v>
      </c>
      <c r="BJ102">
        <v>1</v>
      </c>
      <c r="BK102" s="31" t="s">
        <v>122</v>
      </c>
      <c r="BL102" s="31">
        <f>MAX(BJ100:BJ111)</f>
        <v>3</v>
      </c>
      <c r="BN102" s="34"/>
      <c r="BO102" s="23" t="s">
        <v>396</v>
      </c>
      <c r="BP102">
        <v>0</v>
      </c>
      <c r="BQ102" s="31"/>
      <c r="BR102" s="31"/>
      <c r="BT102" s="34"/>
      <c r="BU102" s="22" t="s">
        <v>421</v>
      </c>
      <c r="BV102" s="22">
        <v>8</v>
      </c>
      <c r="BW102" s="31"/>
      <c r="BX102" s="31"/>
      <c r="BZ102" s="34"/>
      <c r="CA102" s="38"/>
      <c r="CB102" s="31"/>
      <c r="CC102" s="31"/>
      <c r="CD102" s="31"/>
      <c r="CF102" s="36"/>
      <c r="CG102" s="44"/>
      <c r="CI102" s="31"/>
      <c r="CJ102" s="31"/>
      <c r="CL102" s="36"/>
      <c r="CR102" s="36"/>
    </row>
    <row r="103" spans="1:96" ht="15" x14ac:dyDescent="0.25">
      <c r="A103" s="42"/>
      <c r="B103" s="27"/>
      <c r="C103" s="27"/>
      <c r="D103" s="27"/>
      <c r="E103" s="27"/>
      <c r="G103" s="104" t="s">
        <v>514</v>
      </c>
      <c r="H103">
        <v>1</v>
      </c>
      <c r="I103" s="25" t="s">
        <v>115</v>
      </c>
      <c r="J103" s="25">
        <f>MIN(H102:H111)</f>
        <v>0</v>
      </c>
      <c r="K103" s="25"/>
      <c r="L103" s="29"/>
      <c r="M103" s="27" t="s">
        <v>102</v>
      </c>
      <c r="N103" s="27" t="s">
        <v>71</v>
      </c>
      <c r="O103" s="27" t="s">
        <v>103</v>
      </c>
      <c r="P103" s="27" t="s">
        <v>104</v>
      </c>
      <c r="Q103" s="27"/>
      <c r="R103" s="29"/>
      <c r="S103" s="23" t="s">
        <v>499</v>
      </c>
      <c r="T103">
        <v>0</v>
      </c>
      <c r="U103" s="27"/>
      <c r="V103" s="27"/>
      <c r="W103" s="27"/>
      <c r="X103" s="29"/>
      <c r="Y103" s="23" t="s">
        <v>477</v>
      </c>
      <c r="Z103">
        <v>3</v>
      </c>
      <c r="AA103" s="27" t="s">
        <v>115</v>
      </c>
      <c r="AB103" s="27">
        <f>MIN(Z102:Z111)</f>
        <v>0</v>
      </c>
      <c r="AC103" s="27"/>
      <c r="AE103" s="23" t="s">
        <v>464</v>
      </c>
      <c r="AF103">
        <v>2</v>
      </c>
      <c r="AG103" s="31"/>
      <c r="AH103" s="31"/>
      <c r="AI103" s="33"/>
      <c r="AJ103" s="34"/>
      <c r="AK103" s="23" t="s">
        <v>340</v>
      </c>
      <c r="AL103">
        <v>0</v>
      </c>
      <c r="AM103" s="31"/>
      <c r="AN103" s="31"/>
      <c r="AQ103" s="23" t="s">
        <v>345</v>
      </c>
      <c r="AR103">
        <v>2</v>
      </c>
      <c r="AS103" s="31" t="s">
        <v>115</v>
      </c>
      <c r="AT103" s="31">
        <f>MIN(AR102:AR111)</f>
        <v>0</v>
      </c>
      <c r="AW103" s="31" t="s">
        <v>102</v>
      </c>
      <c r="AX103" s="31" t="s">
        <v>71</v>
      </c>
      <c r="AY103" s="31" t="s">
        <v>103</v>
      </c>
      <c r="AZ103" s="31" t="s">
        <v>104</v>
      </c>
      <c r="BC103" s="19" t="s">
        <v>100</v>
      </c>
      <c r="BD103" s="35" t="s">
        <v>65</v>
      </c>
      <c r="BH103" s="34"/>
      <c r="BI103" s="23" t="s">
        <v>383</v>
      </c>
      <c r="BJ103">
        <v>3</v>
      </c>
      <c r="BK103" s="31" t="s">
        <v>129</v>
      </c>
      <c r="BL103" s="31">
        <f>VAR(BJ100:BJ111)</f>
        <v>0.93181818181818177</v>
      </c>
      <c r="BN103" s="34"/>
      <c r="BO103" s="23" t="s">
        <v>397</v>
      </c>
      <c r="BP103">
        <v>0</v>
      </c>
      <c r="BQ103" s="31"/>
      <c r="BR103" s="31"/>
      <c r="BT103" s="34"/>
      <c r="BU103" s="22" t="s">
        <v>422</v>
      </c>
      <c r="BV103" s="22">
        <v>7</v>
      </c>
      <c r="BW103" s="31"/>
      <c r="BX103" s="31"/>
      <c r="BZ103" s="34"/>
      <c r="CA103" s="38"/>
      <c r="CB103" s="31"/>
      <c r="CC103" s="31"/>
      <c r="CD103" s="31"/>
      <c r="CF103" s="36"/>
      <c r="CG103" s="44"/>
      <c r="CI103" s="31"/>
      <c r="CJ103" s="31"/>
      <c r="CL103" s="36"/>
      <c r="CR103" s="36"/>
    </row>
    <row r="104" spans="1:96" ht="15" x14ac:dyDescent="0.25">
      <c r="A104" s="42"/>
      <c r="B104" s="27"/>
      <c r="C104" s="27"/>
      <c r="D104" s="27"/>
      <c r="E104" s="27"/>
      <c r="G104" s="104" t="s">
        <v>515</v>
      </c>
      <c r="H104">
        <v>1</v>
      </c>
      <c r="I104" s="25" t="s">
        <v>122</v>
      </c>
      <c r="J104" s="25">
        <f>MAX(H102:H111)</f>
        <v>3</v>
      </c>
      <c r="K104" s="25"/>
      <c r="L104" s="29"/>
      <c r="M104" s="23" t="s">
        <v>394</v>
      </c>
      <c r="N104">
        <v>0</v>
      </c>
      <c r="O104" s="27" t="s">
        <v>106</v>
      </c>
      <c r="P104" s="27">
        <f>SUM(N104:N108)</f>
        <v>2</v>
      </c>
      <c r="Q104" s="27"/>
      <c r="R104" s="29"/>
      <c r="S104" s="23" t="s">
        <v>500</v>
      </c>
      <c r="T104">
        <v>0</v>
      </c>
      <c r="U104" s="27"/>
      <c r="V104" s="27"/>
      <c r="W104" s="27"/>
      <c r="X104" s="29"/>
      <c r="Y104" s="23" t="s">
        <v>478</v>
      </c>
      <c r="Z104">
        <v>4</v>
      </c>
      <c r="AA104" s="27" t="s">
        <v>122</v>
      </c>
      <c r="AB104" s="27">
        <f>MAX(Z102:Z111)</f>
        <v>4</v>
      </c>
      <c r="AC104" s="27"/>
      <c r="AE104" s="23" t="s">
        <v>465</v>
      </c>
      <c r="AF104">
        <v>1</v>
      </c>
      <c r="AG104" s="31"/>
      <c r="AH104" s="31"/>
      <c r="AI104" s="33"/>
      <c r="AJ104" s="34"/>
      <c r="AK104" s="23" t="s">
        <v>77</v>
      </c>
      <c r="AL104">
        <v>1</v>
      </c>
      <c r="AM104" s="31"/>
      <c r="AN104" s="31"/>
      <c r="AQ104" s="23" t="s">
        <v>262</v>
      </c>
      <c r="AR104">
        <v>0</v>
      </c>
      <c r="AS104" s="31" t="s">
        <v>122</v>
      </c>
      <c r="AT104" s="31">
        <f>MAX(AR102:AR111)</f>
        <v>2</v>
      </c>
      <c r="AW104" s="23" t="s">
        <v>353</v>
      </c>
      <c r="AX104">
        <v>0</v>
      </c>
      <c r="AY104" s="31" t="s">
        <v>106</v>
      </c>
      <c r="AZ104" s="31">
        <f>SUM(AX104:AX119)</f>
        <v>2</v>
      </c>
      <c r="BD104" s="12" t="s">
        <v>17</v>
      </c>
      <c r="BH104" s="34"/>
      <c r="BI104" s="23" t="s">
        <v>384</v>
      </c>
      <c r="BJ104">
        <v>1</v>
      </c>
      <c r="BK104" s="31" t="s">
        <v>138</v>
      </c>
      <c r="BL104" s="31">
        <f>AVERAGE(BJ100:BJ111)</f>
        <v>0.75</v>
      </c>
      <c r="BN104" s="34"/>
      <c r="BO104" s="23" t="s">
        <v>398</v>
      </c>
      <c r="BP104">
        <v>1</v>
      </c>
      <c r="BQ104" s="31"/>
      <c r="BR104" s="31"/>
      <c r="BT104" s="34"/>
      <c r="BU104" s="23" t="s">
        <v>423</v>
      </c>
      <c r="BV104" s="22">
        <v>5</v>
      </c>
      <c r="BW104" s="31"/>
      <c r="BX104" s="31"/>
      <c r="BZ104" s="34"/>
      <c r="CA104" s="38"/>
      <c r="CB104" s="31"/>
      <c r="CC104" s="31"/>
      <c r="CD104" s="31"/>
      <c r="CF104" s="36"/>
      <c r="CG104" s="44"/>
      <c r="CI104" s="31"/>
      <c r="CJ104" s="31"/>
      <c r="CL104" s="36"/>
      <c r="CM104" s="33"/>
      <c r="CR104" s="36"/>
    </row>
    <row r="105" spans="1:96" ht="15" x14ac:dyDescent="0.25">
      <c r="A105" s="42"/>
      <c r="B105" s="27"/>
      <c r="C105" s="27"/>
      <c r="D105" s="27"/>
      <c r="E105" s="27"/>
      <c r="G105" s="104" t="s">
        <v>516</v>
      </c>
      <c r="H105">
        <v>0</v>
      </c>
      <c r="I105" s="25" t="s">
        <v>129</v>
      </c>
      <c r="J105" s="25">
        <f>VAR(H102:H111)</f>
        <v>0.93333333333333335</v>
      </c>
      <c r="K105" s="25"/>
      <c r="L105" s="29"/>
      <c r="M105" s="23" t="s">
        <v>485</v>
      </c>
      <c r="N105">
        <v>0</v>
      </c>
      <c r="O105" s="27" t="s">
        <v>115</v>
      </c>
      <c r="P105" s="27">
        <f>MIN(N104:N108)</f>
        <v>0</v>
      </c>
      <c r="Q105" s="27"/>
      <c r="R105" s="29"/>
      <c r="S105" s="23" t="s">
        <v>501</v>
      </c>
      <c r="T105">
        <v>1</v>
      </c>
      <c r="U105" s="27"/>
      <c r="V105" s="27"/>
      <c r="W105" s="27"/>
      <c r="X105" s="29"/>
      <c r="Y105" s="23" t="s">
        <v>479</v>
      </c>
      <c r="Z105">
        <v>0</v>
      </c>
      <c r="AA105" s="27" t="s">
        <v>129</v>
      </c>
      <c r="AB105" s="27">
        <f>VAR(Z102:Z111)</f>
        <v>2.0555555555555554</v>
      </c>
      <c r="AC105" s="27"/>
      <c r="AE105" s="23" t="s">
        <v>466</v>
      </c>
      <c r="AF105">
        <v>0</v>
      </c>
      <c r="AG105" s="31"/>
      <c r="AH105" s="31"/>
      <c r="AI105" s="33"/>
      <c r="AJ105" s="34"/>
      <c r="AK105" s="23" t="s">
        <v>341</v>
      </c>
      <c r="AL105">
        <v>2</v>
      </c>
      <c r="AM105" s="31"/>
      <c r="AN105" s="31"/>
      <c r="AQ105" s="23" t="s">
        <v>346</v>
      </c>
      <c r="AR105">
        <v>0</v>
      </c>
      <c r="AS105" s="31" t="s">
        <v>129</v>
      </c>
      <c r="AT105" s="31">
        <f>VAR(AR102:AR111)</f>
        <v>0.45555555555555549</v>
      </c>
      <c r="AW105" s="23" t="s">
        <v>354</v>
      </c>
      <c r="AX105">
        <v>0</v>
      </c>
      <c r="AY105" s="31" t="s">
        <v>115</v>
      </c>
      <c r="AZ105" s="31">
        <f>MIN(AX104:AX119)</f>
        <v>0</v>
      </c>
      <c r="BC105" s="31" t="s">
        <v>102</v>
      </c>
      <c r="BD105" s="31" t="s">
        <v>71</v>
      </c>
      <c r="BE105" s="31" t="s">
        <v>103</v>
      </c>
      <c r="BF105" s="31" t="s">
        <v>104</v>
      </c>
      <c r="BH105" s="34"/>
      <c r="BI105" s="23" t="s">
        <v>385</v>
      </c>
      <c r="BJ105">
        <v>0</v>
      </c>
      <c r="BK105" s="31" t="s">
        <v>144</v>
      </c>
      <c r="BL105" s="31">
        <f>STDEV(BJ100:BJ111)</f>
        <v>0.96530729916342273</v>
      </c>
      <c r="BN105" s="34"/>
      <c r="BO105" s="23" t="s">
        <v>399</v>
      </c>
      <c r="BP105">
        <v>0</v>
      </c>
      <c r="BQ105" s="31"/>
      <c r="BR105" s="31"/>
      <c r="BT105" s="34"/>
      <c r="BU105" s="22" t="s">
        <v>424</v>
      </c>
      <c r="BV105" s="22">
        <v>2</v>
      </c>
      <c r="BW105" s="31"/>
      <c r="BX105" s="31"/>
      <c r="BZ105" s="34"/>
      <c r="CA105" s="38"/>
      <c r="CB105" s="31"/>
      <c r="CC105" s="31"/>
      <c r="CD105" s="31"/>
      <c r="CF105" s="36"/>
      <c r="CG105" s="44"/>
      <c r="CI105" s="31"/>
      <c r="CJ105" s="31"/>
      <c r="CL105" s="36"/>
      <c r="CM105" s="31"/>
      <c r="CN105" s="31"/>
      <c r="CO105" s="31"/>
      <c r="CP105" s="31"/>
      <c r="CR105" s="36"/>
    </row>
    <row r="106" spans="1:96" ht="15" x14ac:dyDescent="0.25">
      <c r="A106" s="42"/>
      <c r="B106" s="27"/>
      <c r="C106" s="27"/>
      <c r="D106" s="27"/>
      <c r="E106" s="27"/>
      <c r="G106" s="104" t="s">
        <v>517</v>
      </c>
      <c r="H106">
        <v>1</v>
      </c>
      <c r="I106" s="25" t="s">
        <v>138</v>
      </c>
      <c r="J106" s="25">
        <f>AVERAGE(H102:H111)</f>
        <v>0.6</v>
      </c>
      <c r="K106" s="25"/>
      <c r="L106" s="29"/>
      <c r="M106" s="23" t="s">
        <v>486</v>
      </c>
      <c r="N106">
        <v>1</v>
      </c>
      <c r="O106" s="27" t="s">
        <v>122</v>
      </c>
      <c r="P106" s="27">
        <f>MAX(N104:N108)</f>
        <v>1</v>
      </c>
      <c r="Q106" s="27"/>
      <c r="R106" s="29"/>
      <c r="S106" s="23" t="s">
        <v>502</v>
      </c>
      <c r="T106">
        <v>0</v>
      </c>
      <c r="U106" s="27"/>
      <c r="V106" s="27"/>
      <c r="W106" s="27"/>
      <c r="X106" s="29"/>
      <c r="Y106" s="23" t="s">
        <v>480</v>
      </c>
      <c r="Z106">
        <v>1</v>
      </c>
      <c r="AA106" s="27" t="s">
        <v>138</v>
      </c>
      <c r="AB106" s="27">
        <f>AVERAGE(Z102:Z111)</f>
        <v>1.5</v>
      </c>
      <c r="AC106" s="27"/>
      <c r="AE106" s="23" t="s">
        <v>467</v>
      </c>
      <c r="AF106">
        <v>3</v>
      </c>
      <c r="AG106" s="31"/>
      <c r="AH106" s="31"/>
      <c r="AI106" s="33"/>
      <c r="AJ106" s="34"/>
      <c r="AK106" s="23" t="s">
        <v>342</v>
      </c>
      <c r="AL106">
        <v>0</v>
      </c>
      <c r="AM106" s="31"/>
      <c r="AN106" s="31"/>
      <c r="AQ106" s="23" t="s">
        <v>347</v>
      </c>
      <c r="AR106">
        <v>0</v>
      </c>
      <c r="AS106" s="31" t="s">
        <v>138</v>
      </c>
      <c r="AT106" s="31">
        <f>AVERAGE(AR102:AR111)</f>
        <v>0.3</v>
      </c>
      <c r="AW106" s="23" t="s">
        <v>216</v>
      </c>
      <c r="AX106">
        <v>0</v>
      </c>
      <c r="AY106" s="31" t="s">
        <v>122</v>
      </c>
      <c r="AZ106" s="31">
        <f>MAX(AX104:AX119)</f>
        <v>1</v>
      </c>
      <c r="BC106" s="23" t="s">
        <v>368</v>
      </c>
      <c r="BD106">
        <v>0</v>
      </c>
      <c r="BE106" s="31" t="s">
        <v>106</v>
      </c>
      <c r="BF106" s="31">
        <f>SUM(BD106:BD118)</f>
        <v>2</v>
      </c>
      <c r="BH106" s="34"/>
      <c r="BI106" s="23" t="s">
        <v>386</v>
      </c>
      <c r="BJ106">
        <v>0</v>
      </c>
      <c r="BK106" s="31"/>
      <c r="BL106" s="31"/>
      <c r="BN106" s="34"/>
      <c r="BO106" s="23" t="s">
        <v>214</v>
      </c>
      <c r="BP106">
        <v>0</v>
      </c>
      <c r="BQ106" s="31"/>
      <c r="BR106" s="31"/>
      <c r="BT106" s="34"/>
      <c r="BU106" s="23" t="s">
        <v>425</v>
      </c>
      <c r="BV106" s="22">
        <v>4</v>
      </c>
      <c r="BW106" s="31"/>
      <c r="BX106" s="31"/>
      <c r="BZ106" s="34"/>
      <c r="CA106" s="38"/>
      <c r="CB106" s="31"/>
      <c r="CC106" s="31"/>
      <c r="CD106" s="31"/>
      <c r="CF106" s="36"/>
      <c r="CG106" s="44"/>
      <c r="CI106" s="31"/>
      <c r="CJ106" s="31"/>
      <c r="CL106" s="36"/>
      <c r="CM106" s="44"/>
      <c r="CO106" s="31"/>
      <c r="CP106" s="31"/>
      <c r="CR106" s="36"/>
    </row>
    <row r="107" spans="1:96" ht="15" x14ac:dyDescent="0.25">
      <c r="A107" s="42"/>
      <c r="B107" s="27"/>
      <c r="C107" s="27"/>
      <c r="D107" s="27"/>
      <c r="E107" s="27"/>
      <c r="G107" s="104" t="s">
        <v>518</v>
      </c>
      <c r="H107">
        <v>0</v>
      </c>
      <c r="I107" s="25" t="s">
        <v>144</v>
      </c>
      <c r="J107" s="25">
        <f>STDEV(H102:H111)</f>
        <v>0.96609178307929588</v>
      </c>
      <c r="K107" s="25"/>
      <c r="L107" s="29"/>
      <c r="M107" s="23" t="s">
        <v>487</v>
      </c>
      <c r="N107">
        <v>1</v>
      </c>
      <c r="O107" s="27" t="s">
        <v>129</v>
      </c>
      <c r="P107" s="27">
        <f>VAR(N104:N108)</f>
        <v>0.3</v>
      </c>
      <c r="Q107" s="27"/>
      <c r="R107" s="29"/>
      <c r="S107" s="23" t="s">
        <v>350</v>
      </c>
      <c r="T107">
        <v>0</v>
      </c>
      <c r="U107" s="27"/>
      <c r="V107" s="27"/>
      <c r="W107" s="27"/>
      <c r="X107" s="29"/>
      <c r="Y107" s="23" t="s">
        <v>481</v>
      </c>
      <c r="Z107">
        <v>2</v>
      </c>
      <c r="AA107" s="27" t="s">
        <v>144</v>
      </c>
      <c r="AB107" s="27">
        <f>STDEV(Z102:Z111)</f>
        <v>1.4337208778404378</v>
      </c>
      <c r="AC107" s="27"/>
      <c r="AE107" s="23" t="s">
        <v>468</v>
      </c>
      <c r="AF107">
        <v>3</v>
      </c>
      <c r="AG107" s="31"/>
      <c r="AH107" s="31"/>
      <c r="AI107" s="33"/>
      <c r="AJ107" s="34"/>
      <c r="AK107" s="23" t="s">
        <v>343</v>
      </c>
      <c r="AL107">
        <v>0</v>
      </c>
      <c r="AM107" s="31"/>
      <c r="AN107" s="31"/>
      <c r="AQ107" s="23" t="s">
        <v>348</v>
      </c>
      <c r="AR107">
        <v>0</v>
      </c>
      <c r="AS107" s="31" t="s">
        <v>144</v>
      </c>
      <c r="AT107" s="31">
        <f>STDEV(AR102:AR111)</f>
        <v>0.67494855771055284</v>
      </c>
      <c r="AW107" s="23" t="s">
        <v>355</v>
      </c>
      <c r="AX107">
        <v>1</v>
      </c>
      <c r="AY107" s="31" t="s">
        <v>129</v>
      </c>
      <c r="AZ107" s="31">
        <f>VAR(AX104:AX119)</f>
        <v>0.11666666666666667</v>
      </c>
      <c r="BC107" s="23" t="s">
        <v>369</v>
      </c>
      <c r="BD107">
        <v>0</v>
      </c>
      <c r="BE107" s="31" t="s">
        <v>115</v>
      </c>
      <c r="BF107" s="31">
        <f>MIN(BD106:BD118)</f>
        <v>0</v>
      </c>
      <c r="BH107" s="34"/>
      <c r="BI107" s="23" t="s">
        <v>387</v>
      </c>
      <c r="BJ107">
        <v>0</v>
      </c>
      <c r="BK107" s="33"/>
      <c r="BL107" s="33"/>
      <c r="BN107" s="34"/>
      <c r="BO107" s="23" t="s">
        <v>400</v>
      </c>
      <c r="BP107">
        <v>0</v>
      </c>
      <c r="BQ107" s="31"/>
      <c r="BR107" s="31"/>
      <c r="BT107" s="34"/>
      <c r="BU107" s="23" t="s">
        <v>426</v>
      </c>
      <c r="BV107" s="22">
        <v>1</v>
      </c>
      <c r="BW107" s="31"/>
      <c r="BX107" s="31"/>
      <c r="BZ107" s="34"/>
      <c r="CA107" s="38"/>
      <c r="CB107" s="31"/>
      <c r="CC107" s="31"/>
      <c r="CD107" s="31"/>
      <c r="CF107" s="36"/>
      <c r="CG107" s="44"/>
      <c r="CL107" s="36"/>
      <c r="CM107" s="44"/>
      <c r="CO107" s="31"/>
      <c r="CP107" s="31"/>
      <c r="CR107" s="36"/>
    </row>
    <row r="108" spans="1:96" ht="15" x14ac:dyDescent="0.25">
      <c r="A108" s="42"/>
      <c r="B108" s="27"/>
      <c r="C108" s="27"/>
      <c r="D108" s="27"/>
      <c r="E108" s="27"/>
      <c r="G108" s="104" t="s">
        <v>519</v>
      </c>
      <c r="H108">
        <v>0</v>
      </c>
      <c r="I108" s="25"/>
      <c r="J108" s="25"/>
      <c r="K108" s="25"/>
      <c r="L108" s="29"/>
      <c r="M108" s="23" t="s">
        <v>488</v>
      </c>
      <c r="N108">
        <v>0</v>
      </c>
      <c r="O108" s="27" t="s">
        <v>138</v>
      </c>
      <c r="P108" s="27">
        <f>AVERAGE(N104:N108)</f>
        <v>0.4</v>
      </c>
      <c r="Q108" s="27"/>
      <c r="R108" s="29"/>
      <c r="S108" s="23" t="s">
        <v>503</v>
      </c>
      <c r="T108">
        <v>0</v>
      </c>
      <c r="U108" s="27"/>
      <c r="V108" s="27"/>
      <c r="W108" s="27"/>
      <c r="X108" s="29"/>
      <c r="Y108" s="23" t="s">
        <v>262</v>
      </c>
      <c r="Z108">
        <v>1</v>
      </c>
      <c r="AA108" s="27"/>
      <c r="AB108" s="27"/>
      <c r="AC108" s="27"/>
      <c r="AE108" s="23" t="s">
        <v>469</v>
      </c>
      <c r="AF108">
        <v>1</v>
      </c>
      <c r="AG108" s="31"/>
      <c r="AH108" s="31"/>
      <c r="AI108" s="33"/>
      <c r="AJ108" s="34"/>
      <c r="AK108" s="109"/>
      <c r="AL108" s="109"/>
      <c r="AM108" s="94"/>
      <c r="AN108" s="94"/>
      <c r="AO108" s="34"/>
      <c r="AQ108" s="23" t="s">
        <v>349</v>
      </c>
      <c r="AR108">
        <v>0</v>
      </c>
      <c r="AS108" s="31"/>
      <c r="AT108" s="31"/>
      <c r="AW108" s="23" t="s">
        <v>356</v>
      </c>
      <c r="AX108">
        <v>0</v>
      </c>
      <c r="AY108" s="31" t="s">
        <v>138</v>
      </c>
      <c r="AZ108" s="31">
        <f>AVERAGE(AX104:AX119)</f>
        <v>0.125</v>
      </c>
      <c r="BC108" s="23" t="s">
        <v>370</v>
      </c>
      <c r="BD108">
        <v>0</v>
      </c>
      <c r="BE108" s="31" t="s">
        <v>122</v>
      </c>
      <c r="BF108" s="31">
        <f>MAX(BD106:BD118)</f>
        <v>1</v>
      </c>
      <c r="BH108" s="34"/>
      <c r="BI108" s="23" t="s">
        <v>139</v>
      </c>
      <c r="BJ108">
        <v>1</v>
      </c>
      <c r="BK108" s="33"/>
      <c r="BL108" s="33"/>
      <c r="BN108" s="34"/>
      <c r="BO108" s="23" t="s">
        <v>401</v>
      </c>
      <c r="BP108">
        <v>0</v>
      </c>
      <c r="BQ108" s="33"/>
      <c r="BR108" s="33"/>
      <c r="BT108" s="34"/>
      <c r="BU108" s="23" t="s">
        <v>427</v>
      </c>
      <c r="BV108" s="22">
        <v>2</v>
      </c>
      <c r="BW108" s="31"/>
      <c r="BX108" s="31"/>
      <c r="BZ108" s="34"/>
      <c r="CA108" s="38"/>
      <c r="CB108" s="31"/>
      <c r="CC108" s="31"/>
      <c r="CD108" s="31"/>
      <c r="CF108" s="36"/>
      <c r="CG108" s="44"/>
      <c r="CL108" s="36"/>
      <c r="CM108" s="44"/>
      <c r="CO108" s="31"/>
      <c r="CP108" s="31"/>
      <c r="CR108" s="36"/>
    </row>
    <row r="109" spans="1:96" ht="15" x14ac:dyDescent="0.25">
      <c r="A109" s="42"/>
      <c r="B109" s="27"/>
      <c r="C109" s="27"/>
      <c r="D109" s="27"/>
      <c r="E109" s="27"/>
      <c r="G109" s="104" t="s">
        <v>520</v>
      </c>
      <c r="H109">
        <v>0</v>
      </c>
      <c r="I109" s="25"/>
      <c r="J109" s="25"/>
      <c r="K109" s="25"/>
      <c r="L109" s="29"/>
      <c r="M109" s="23"/>
      <c r="N109" s="40"/>
      <c r="O109" s="27" t="s">
        <v>144</v>
      </c>
      <c r="P109" s="27">
        <f>STDEV(N104:N108)</f>
        <v>0.54772255750516607</v>
      </c>
      <c r="Q109" s="27"/>
      <c r="R109" s="29"/>
      <c r="S109" s="23" t="s">
        <v>504</v>
      </c>
      <c r="T109">
        <v>0</v>
      </c>
      <c r="U109" s="25"/>
      <c r="V109" s="25"/>
      <c r="W109" s="27"/>
      <c r="X109" s="29"/>
      <c r="Y109" s="23" t="s">
        <v>482</v>
      </c>
      <c r="Z109">
        <v>3</v>
      </c>
      <c r="AA109" s="27"/>
      <c r="AB109" s="27"/>
      <c r="AC109" s="27"/>
      <c r="AE109" s="23" t="s">
        <v>470</v>
      </c>
      <c r="AF109">
        <v>1</v>
      </c>
      <c r="AG109" s="31"/>
      <c r="AH109" s="31"/>
      <c r="AI109" s="33"/>
      <c r="AJ109" s="34"/>
      <c r="AK109" s="19" t="s">
        <v>100</v>
      </c>
      <c r="AL109" s="32" t="s">
        <v>443</v>
      </c>
      <c r="AQ109" s="23" t="s">
        <v>350</v>
      </c>
      <c r="AR109">
        <v>0</v>
      </c>
      <c r="AS109" s="31"/>
      <c r="AT109" s="31"/>
      <c r="AW109" s="23" t="s">
        <v>357</v>
      </c>
      <c r="AX109">
        <v>0</v>
      </c>
      <c r="AY109" s="31" t="s">
        <v>144</v>
      </c>
      <c r="AZ109" s="31">
        <f>STDEV(AX104:AX119)</f>
        <v>0.34156502553198659</v>
      </c>
      <c r="BC109" s="23" t="s">
        <v>215</v>
      </c>
      <c r="BD109">
        <v>0</v>
      </c>
      <c r="BE109" s="31" t="s">
        <v>129</v>
      </c>
      <c r="BF109" s="31">
        <f>VAR(BD106:BD118)</f>
        <v>0.14102564102564102</v>
      </c>
      <c r="BH109" s="34"/>
      <c r="BI109" s="23" t="s">
        <v>156</v>
      </c>
      <c r="BJ109">
        <v>2</v>
      </c>
      <c r="BK109" s="31"/>
      <c r="BL109" s="31"/>
      <c r="BN109" s="34"/>
      <c r="BO109" s="23" t="s">
        <v>402</v>
      </c>
      <c r="BP109">
        <v>0</v>
      </c>
      <c r="BQ109" s="31"/>
      <c r="BR109" s="33"/>
      <c r="BT109" s="34"/>
      <c r="BU109" s="23" t="s">
        <v>428</v>
      </c>
      <c r="BV109" s="22">
        <v>1</v>
      </c>
      <c r="BW109" s="31"/>
      <c r="BX109" s="31"/>
      <c r="BZ109" s="34"/>
      <c r="CA109" s="38"/>
      <c r="CB109" s="31"/>
      <c r="CC109" s="31"/>
      <c r="CD109" s="31"/>
      <c r="CF109" s="36"/>
      <c r="CG109" s="44"/>
      <c r="CL109" s="36"/>
      <c r="CM109" s="44"/>
      <c r="CO109" s="31"/>
      <c r="CP109" s="31"/>
      <c r="CR109" s="36"/>
    </row>
    <row r="110" spans="1:96" ht="15" x14ac:dyDescent="0.25">
      <c r="A110" s="42"/>
      <c r="B110" s="27"/>
      <c r="C110" s="27"/>
      <c r="D110" s="27"/>
      <c r="E110" s="27"/>
      <c r="G110" s="104" t="s">
        <v>521</v>
      </c>
      <c r="H110">
        <v>3</v>
      </c>
      <c r="I110" s="25"/>
      <c r="J110" s="25"/>
      <c r="K110" s="25"/>
      <c r="L110" s="90"/>
      <c r="M110" s="90"/>
      <c r="N110" s="90"/>
      <c r="O110" s="90"/>
      <c r="P110" s="90"/>
      <c r="Q110" s="90"/>
      <c r="R110" s="90"/>
      <c r="S110" s="92"/>
      <c r="T110" s="90"/>
      <c r="U110" s="90"/>
      <c r="V110" s="90"/>
      <c r="W110" s="90"/>
      <c r="X110" s="29"/>
      <c r="Y110" s="23" t="s">
        <v>483</v>
      </c>
      <c r="Z110">
        <v>0</v>
      </c>
      <c r="AA110" s="27"/>
      <c r="AB110" s="27"/>
      <c r="AC110" s="27"/>
      <c r="AE110" s="23" t="s">
        <v>471</v>
      </c>
      <c r="AF110">
        <v>0</v>
      </c>
      <c r="AG110" s="31"/>
      <c r="AH110" s="31"/>
      <c r="AI110" s="33"/>
      <c r="AJ110" s="34"/>
      <c r="AK110" s="19" t="s">
        <v>101</v>
      </c>
      <c r="AL110" s="12" t="s">
        <v>16</v>
      </c>
      <c r="AQ110" s="23" t="s">
        <v>351</v>
      </c>
      <c r="AR110">
        <v>0</v>
      </c>
      <c r="AS110" s="31"/>
      <c r="AT110" s="31"/>
      <c r="AW110" s="23" t="s">
        <v>358</v>
      </c>
      <c r="AX110">
        <v>0</v>
      </c>
      <c r="AY110" s="31"/>
      <c r="AZ110" s="31"/>
      <c r="BC110" s="23" t="s">
        <v>371</v>
      </c>
      <c r="BD110">
        <v>0</v>
      </c>
      <c r="BE110" s="31" t="s">
        <v>138</v>
      </c>
      <c r="BF110" s="31">
        <f>AVERAGE(BD106:BD118)</f>
        <v>0.15384615384615385</v>
      </c>
      <c r="BH110" s="34"/>
      <c r="BI110" s="23" t="s">
        <v>388</v>
      </c>
      <c r="BJ110">
        <v>0</v>
      </c>
      <c r="BK110" s="31"/>
      <c r="BL110" s="31"/>
      <c r="BN110" s="34"/>
      <c r="BO110" s="23" t="s">
        <v>403</v>
      </c>
      <c r="BP110">
        <v>0</v>
      </c>
      <c r="BQ110" s="31"/>
      <c r="BR110" s="33"/>
      <c r="BT110" s="34"/>
      <c r="BU110" s="23" t="s">
        <v>429</v>
      </c>
      <c r="BV110" s="22">
        <v>1</v>
      </c>
      <c r="BW110" s="31"/>
      <c r="BX110" s="31"/>
      <c r="BZ110" s="34"/>
      <c r="CA110" s="38"/>
      <c r="CB110" s="31"/>
      <c r="CC110" s="31"/>
      <c r="CD110" s="31"/>
      <c r="CF110" s="36"/>
      <c r="CG110" s="44"/>
      <c r="CL110" s="36"/>
      <c r="CM110" s="44"/>
      <c r="CO110" s="31"/>
      <c r="CP110" s="31"/>
      <c r="CR110" s="36"/>
    </row>
    <row r="111" spans="1:96" ht="15" x14ac:dyDescent="0.25">
      <c r="A111" s="42"/>
      <c r="B111" s="27"/>
      <c r="C111" s="27"/>
      <c r="D111" s="27"/>
      <c r="E111" s="27"/>
      <c r="G111" s="104" t="s">
        <v>175</v>
      </c>
      <c r="H111">
        <v>0</v>
      </c>
      <c r="K111" s="25"/>
      <c r="L111" s="29"/>
      <c r="M111" s="27" t="s">
        <v>100</v>
      </c>
      <c r="N111" s="30" t="s">
        <v>525</v>
      </c>
      <c r="O111" s="27"/>
      <c r="P111" s="27"/>
      <c r="Q111" s="27"/>
      <c r="R111" s="29"/>
      <c r="S111" s="27" t="s">
        <v>100</v>
      </c>
      <c r="T111" s="30" t="s">
        <v>524</v>
      </c>
      <c r="U111" s="27"/>
      <c r="V111" s="27">
        <v>2014</v>
      </c>
      <c r="W111" s="27"/>
      <c r="X111" s="29"/>
      <c r="Y111" s="23" t="s">
        <v>484</v>
      </c>
      <c r="Z111">
        <v>0</v>
      </c>
      <c r="AA111" s="27"/>
      <c r="AB111" s="27"/>
      <c r="AC111" s="27"/>
      <c r="AE111" s="23" t="s">
        <v>472</v>
      </c>
      <c r="AF111">
        <v>4</v>
      </c>
      <c r="AI111" s="33"/>
      <c r="AJ111" s="34"/>
      <c r="AK111" s="31" t="s">
        <v>102</v>
      </c>
      <c r="AL111" s="31" t="s">
        <v>71</v>
      </c>
      <c r="AM111" s="31" t="s">
        <v>103</v>
      </c>
      <c r="AN111" s="31" t="s">
        <v>104</v>
      </c>
      <c r="AQ111" s="23" t="s">
        <v>352</v>
      </c>
      <c r="AR111">
        <v>0</v>
      </c>
      <c r="AS111" s="31"/>
      <c r="AT111" s="31"/>
      <c r="AW111" s="23" t="s">
        <v>359</v>
      </c>
      <c r="AX111">
        <v>0</v>
      </c>
      <c r="AY111" s="31"/>
      <c r="AZ111" s="31"/>
      <c r="BC111" s="23" t="s">
        <v>372</v>
      </c>
      <c r="BD111">
        <v>1</v>
      </c>
      <c r="BE111" s="31" t="s">
        <v>144</v>
      </c>
      <c r="BF111" s="31">
        <f>STDEV(BD106:BD118)</f>
        <v>0.3755338080994054</v>
      </c>
      <c r="BH111" s="34"/>
      <c r="BI111" s="23" t="s">
        <v>389</v>
      </c>
      <c r="BJ111">
        <v>0</v>
      </c>
      <c r="BK111" s="31"/>
      <c r="BL111" s="31"/>
      <c r="BN111" s="34"/>
      <c r="BO111" s="23" t="s">
        <v>404</v>
      </c>
      <c r="BP111">
        <v>0</v>
      </c>
      <c r="BQ111" s="31"/>
      <c r="BR111" s="33"/>
      <c r="BT111" s="34"/>
      <c r="BU111" s="23" t="s">
        <v>430</v>
      </c>
      <c r="BV111" s="22">
        <v>13</v>
      </c>
      <c r="BW111" s="31"/>
      <c r="BX111" s="31"/>
      <c r="BZ111" s="34"/>
      <c r="CA111" s="38"/>
      <c r="CB111" s="31"/>
      <c r="CC111" s="31"/>
      <c r="CD111" s="31"/>
      <c r="CF111" s="36"/>
      <c r="CG111" s="44"/>
      <c r="CL111" s="36"/>
      <c r="CM111" s="44"/>
      <c r="CO111" s="31"/>
      <c r="CP111" s="31"/>
      <c r="CR111" s="36"/>
    </row>
    <row r="112" spans="1:96" ht="15" x14ac:dyDescent="0.25">
      <c r="A112" s="42"/>
      <c r="B112" s="27"/>
      <c r="C112" s="27"/>
      <c r="D112" s="27"/>
      <c r="E112" s="27"/>
      <c r="G112" s="34"/>
      <c r="H112" s="34"/>
      <c r="I112" s="34"/>
      <c r="J112" s="34"/>
      <c r="K112" s="90"/>
      <c r="L112" s="29"/>
      <c r="M112" s="27" t="s">
        <v>101</v>
      </c>
      <c r="N112" s="12" t="s">
        <v>27</v>
      </c>
      <c r="O112" s="27"/>
      <c r="P112" s="27"/>
      <c r="Q112" s="27"/>
      <c r="R112" s="29"/>
      <c r="S112" s="27" t="s">
        <v>101</v>
      </c>
      <c r="T112" s="12" t="s">
        <v>11</v>
      </c>
      <c r="U112" s="27"/>
      <c r="V112" s="27"/>
      <c r="W112" s="27"/>
      <c r="X112" s="29"/>
      <c r="Y112" s="34"/>
      <c r="Z112" s="34"/>
      <c r="AA112" s="34"/>
      <c r="AB112" s="34"/>
      <c r="AC112" s="90"/>
      <c r="AE112" s="23" t="s">
        <v>362</v>
      </c>
      <c r="AF112">
        <v>0</v>
      </c>
      <c r="AI112" s="33"/>
      <c r="AJ112" s="34"/>
      <c r="AK112" s="23" t="s">
        <v>332</v>
      </c>
      <c r="AL112">
        <v>0</v>
      </c>
      <c r="AM112" s="31" t="s">
        <v>106</v>
      </c>
      <c r="AN112" s="31">
        <f>SUM(AL112:AL125)</f>
        <v>1</v>
      </c>
      <c r="AQ112" s="97"/>
      <c r="AR112" s="94"/>
      <c r="AS112" s="94"/>
      <c r="AT112" s="94"/>
      <c r="AU112" s="34"/>
      <c r="AW112" s="23" t="s">
        <v>360</v>
      </c>
      <c r="AX112">
        <v>0</v>
      </c>
      <c r="AY112" s="31"/>
      <c r="AZ112" s="31"/>
      <c r="BC112" s="23" t="s">
        <v>373</v>
      </c>
      <c r="BD112">
        <v>1</v>
      </c>
      <c r="BE112" s="31"/>
      <c r="BF112" s="31"/>
      <c r="BH112" s="34"/>
      <c r="BI112" s="97"/>
      <c r="BJ112" s="90"/>
      <c r="BK112" s="111"/>
      <c r="BL112" s="111"/>
      <c r="BM112" s="34"/>
      <c r="BN112" s="34"/>
      <c r="BO112" s="23" t="s">
        <v>405</v>
      </c>
      <c r="BP112">
        <v>0</v>
      </c>
      <c r="BQ112" s="31"/>
      <c r="BR112" s="33"/>
      <c r="BT112" s="34"/>
      <c r="BU112" s="23" t="s">
        <v>431</v>
      </c>
      <c r="BV112" s="22">
        <v>3</v>
      </c>
      <c r="BW112" s="31"/>
      <c r="BX112" s="31"/>
      <c r="BZ112" s="34"/>
      <c r="CA112" s="38"/>
      <c r="CB112" s="31"/>
      <c r="CC112" s="31"/>
      <c r="CD112" s="31"/>
      <c r="CF112" s="36"/>
      <c r="CG112" s="44"/>
      <c r="CL112" s="36"/>
      <c r="CM112" s="44"/>
      <c r="CR112" s="36"/>
    </row>
    <row r="113" spans="1:96" ht="15" x14ac:dyDescent="0.25">
      <c r="A113" s="42"/>
      <c r="B113" s="27"/>
      <c r="C113" s="27"/>
      <c r="D113" s="27"/>
      <c r="E113" s="27"/>
      <c r="G113" s="25" t="s">
        <v>100</v>
      </c>
      <c r="H113" s="26" t="s">
        <v>523</v>
      </c>
      <c r="I113" s="25"/>
      <c r="J113" s="25">
        <v>2014</v>
      </c>
      <c r="K113" s="25"/>
      <c r="L113" s="29"/>
      <c r="M113" s="27" t="s">
        <v>102</v>
      </c>
      <c r="N113" s="27" t="s">
        <v>71</v>
      </c>
      <c r="O113" s="27" t="s">
        <v>103</v>
      </c>
      <c r="P113" s="27" t="s">
        <v>104</v>
      </c>
      <c r="Q113" s="27"/>
      <c r="R113" s="29"/>
      <c r="S113" s="27" t="s">
        <v>102</v>
      </c>
      <c r="T113" s="27" t="s">
        <v>71</v>
      </c>
      <c r="U113" s="27" t="s">
        <v>103</v>
      </c>
      <c r="V113" s="27" t="s">
        <v>104</v>
      </c>
      <c r="W113" s="27"/>
      <c r="X113" s="29"/>
      <c r="Y113" s="27" t="s">
        <v>100</v>
      </c>
      <c r="Z113" s="30" t="s">
        <v>535</v>
      </c>
      <c r="AA113" s="27"/>
      <c r="AB113" s="27"/>
      <c r="AC113" s="27"/>
      <c r="AE113" s="23" t="s">
        <v>473</v>
      </c>
      <c r="AF113">
        <v>0</v>
      </c>
      <c r="AI113" s="33"/>
      <c r="AJ113" s="34"/>
      <c r="AK113" s="23" t="s">
        <v>333</v>
      </c>
      <c r="AL113">
        <v>0</v>
      </c>
      <c r="AM113" s="31" t="s">
        <v>115</v>
      </c>
      <c r="AN113" s="31">
        <f>MIN(AL112:AL125)</f>
        <v>0</v>
      </c>
      <c r="AQ113" s="19" t="s">
        <v>100</v>
      </c>
      <c r="AR113" s="32" t="s">
        <v>444</v>
      </c>
      <c r="AW113" s="23" t="s">
        <v>361</v>
      </c>
      <c r="AX113">
        <v>0</v>
      </c>
      <c r="AY113" s="31"/>
      <c r="AZ113" s="31"/>
      <c r="BC113" s="23" t="s">
        <v>374</v>
      </c>
      <c r="BD113">
        <v>0</v>
      </c>
      <c r="BE113" s="33"/>
      <c r="BF113" s="33"/>
      <c r="BH113" s="34"/>
      <c r="BI113" s="19" t="s">
        <v>100</v>
      </c>
      <c r="BJ113" s="35" t="s">
        <v>64</v>
      </c>
      <c r="BN113" s="34"/>
      <c r="BO113" s="23" t="s">
        <v>406</v>
      </c>
      <c r="BP113">
        <v>0</v>
      </c>
      <c r="BQ113" s="31"/>
      <c r="BR113" s="31"/>
      <c r="BT113" s="34"/>
      <c r="BU113" s="23" t="s">
        <v>432</v>
      </c>
      <c r="BV113" s="22">
        <v>2</v>
      </c>
      <c r="BW113" s="31"/>
      <c r="BX113" s="31"/>
      <c r="BZ113" s="34"/>
      <c r="CA113" s="38"/>
      <c r="CB113" s="33"/>
      <c r="CF113" s="36"/>
      <c r="CG113" s="44"/>
      <c r="CL113" s="36"/>
      <c r="CM113" s="44"/>
      <c r="CR113" s="36"/>
    </row>
    <row r="114" spans="1:96" ht="15" x14ac:dyDescent="0.25">
      <c r="A114" s="42"/>
      <c r="B114" s="27"/>
      <c r="C114" s="27"/>
      <c r="D114" s="27"/>
      <c r="E114" s="27"/>
      <c r="G114" s="25" t="s">
        <v>101</v>
      </c>
      <c r="H114" s="103" t="s">
        <v>21</v>
      </c>
      <c r="I114" s="25"/>
      <c r="J114" s="25"/>
      <c r="K114" s="25"/>
      <c r="L114" s="29"/>
      <c r="M114" s="23" t="s">
        <v>394</v>
      </c>
      <c r="N114">
        <v>0</v>
      </c>
      <c r="O114" s="27" t="s">
        <v>106</v>
      </c>
      <c r="P114" s="27">
        <f>SUM(N114:N118)</f>
        <v>8</v>
      </c>
      <c r="Q114" s="27"/>
      <c r="R114" s="29"/>
      <c r="S114" s="23" t="s">
        <v>489</v>
      </c>
      <c r="T114">
        <v>0</v>
      </c>
      <c r="U114" s="31" t="s">
        <v>106</v>
      </c>
      <c r="V114" s="27">
        <f>SUM(T114:T131)</f>
        <v>2</v>
      </c>
      <c r="W114" s="27"/>
      <c r="X114" s="29"/>
      <c r="Y114" s="27" t="s">
        <v>101</v>
      </c>
      <c r="Z114" s="12" t="s">
        <v>28</v>
      </c>
      <c r="AA114" s="27"/>
      <c r="AB114" s="27"/>
      <c r="AC114" s="27"/>
      <c r="AE114" s="23" t="s">
        <v>474</v>
      </c>
      <c r="AF114">
        <v>1</v>
      </c>
      <c r="AI114" s="33"/>
      <c r="AJ114" s="34"/>
      <c r="AK114" s="23" t="s">
        <v>334</v>
      </c>
      <c r="AL114">
        <v>0</v>
      </c>
      <c r="AM114" s="31" t="s">
        <v>122</v>
      </c>
      <c r="AN114" s="31">
        <f>MAX(AL112:AL125)</f>
        <v>1</v>
      </c>
      <c r="AR114" s="12" t="s">
        <v>21</v>
      </c>
      <c r="AW114" s="23" t="s">
        <v>362</v>
      </c>
      <c r="AX114">
        <v>0</v>
      </c>
      <c r="AY114" s="31"/>
      <c r="AZ114" s="31"/>
      <c r="BC114" s="23" t="s">
        <v>375</v>
      </c>
      <c r="BD114">
        <v>0</v>
      </c>
      <c r="BE114" s="33"/>
      <c r="BF114" s="33"/>
      <c r="BH114" s="34"/>
      <c r="BJ114" s="12" t="s">
        <v>17</v>
      </c>
      <c r="BN114" s="34"/>
      <c r="BO114" s="23" t="s">
        <v>407</v>
      </c>
      <c r="BP114">
        <v>0</v>
      </c>
      <c r="BQ114" s="31"/>
      <c r="BR114" s="31"/>
      <c r="BT114" s="34"/>
      <c r="BU114" s="23" t="s">
        <v>433</v>
      </c>
      <c r="BV114" s="22">
        <v>1</v>
      </c>
      <c r="BW114" s="31"/>
      <c r="BX114" s="31"/>
      <c r="BZ114" s="34"/>
      <c r="CA114" s="38"/>
      <c r="CB114" s="33"/>
      <c r="CF114" s="36"/>
      <c r="CG114" s="44"/>
      <c r="CL114" s="36"/>
      <c r="CM114" s="44"/>
      <c r="CR114" s="36"/>
    </row>
    <row r="115" spans="1:96" ht="15" x14ac:dyDescent="0.25">
      <c r="A115" s="42"/>
      <c r="B115" s="27"/>
      <c r="C115" s="27"/>
      <c r="D115" s="27"/>
      <c r="E115" s="27"/>
      <c r="G115" s="25" t="s">
        <v>102</v>
      </c>
      <c r="H115" s="25" t="s">
        <v>71</v>
      </c>
      <c r="I115" s="25" t="s">
        <v>103</v>
      </c>
      <c r="J115" s="25" t="s">
        <v>104</v>
      </c>
      <c r="K115" s="25"/>
      <c r="L115" s="29"/>
      <c r="M115" s="23" t="s">
        <v>485</v>
      </c>
      <c r="N115">
        <v>2</v>
      </c>
      <c r="O115" s="27" t="s">
        <v>115</v>
      </c>
      <c r="P115" s="27">
        <f>MIN(N114:N118)</f>
        <v>0</v>
      </c>
      <c r="Q115" s="27"/>
      <c r="R115" s="29"/>
      <c r="S115" s="23" t="s">
        <v>490</v>
      </c>
      <c r="T115">
        <v>0</v>
      </c>
      <c r="U115" s="31" t="s">
        <v>115</v>
      </c>
      <c r="V115" s="27">
        <f>MIN(T114:T131)</f>
        <v>0</v>
      </c>
      <c r="W115" s="27"/>
      <c r="X115" s="29"/>
      <c r="Y115" s="27" t="s">
        <v>105</v>
      </c>
      <c r="Z115" s="27" t="s">
        <v>71</v>
      </c>
      <c r="AA115" s="27" t="s">
        <v>103</v>
      </c>
      <c r="AB115" s="27" t="s">
        <v>104</v>
      </c>
      <c r="AC115" s="27"/>
      <c r="AE115" s="23" t="s">
        <v>475</v>
      </c>
      <c r="AF115">
        <v>1</v>
      </c>
      <c r="AJ115" s="34"/>
      <c r="AK115" s="23" t="s">
        <v>335</v>
      </c>
      <c r="AL115">
        <v>0</v>
      </c>
      <c r="AM115" s="31" t="s">
        <v>129</v>
      </c>
      <c r="AN115" s="31">
        <f>VAR(AL112:AL125)</f>
        <v>7.1428571428571425E-2</v>
      </c>
      <c r="AQ115" s="31" t="s">
        <v>102</v>
      </c>
      <c r="AR115" s="31" t="s">
        <v>71</v>
      </c>
      <c r="AS115" s="31" t="s">
        <v>103</v>
      </c>
      <c r="AT115" s="31" t="s">
        <v>104</v>
      </c>
      <c r="AW115" s="23" t="s">
        <v>363</v>
      </c>
      <c r="AX115">
        <v>0</v>
      </c>
      <c r="AY115" s="31"/>
      <c r="AZ115" s="31"/>
      <c r="BC115" s="23" t="s">
        <v>376</v>
      </c>
      <c r="BD115">
        <v>0</v>
      </c>
      <c r="BE115" s="31"/>
      <c r="BF115" s="31"/>
      <c r="BH115" s="34"/>
      <c r="BI115" s="31" t="s">
        <v>102</v>
      </c>
      <c r="BJ115" s="31" t="s">
        <v>71</v>
      </c>
      <c r="BK115" s="31" t="s">
        <v>103</v>
      </c>
      <c r="BL115" s="31" t="s">
        <v>104</v>
      </c>
      <c r="BN115" s="34"/>
      <c r="BO115" s="86"/>
      <c r="BP115" s="94"/>
      <c r="BQ115" s="94"/>
      <c r="BR115" s="94"/>
      <c r="BS115" s="34"/>
      <c r="BT115" s="34"/>
      <c r="BU115" s="23" t="s">
        <v>434</v>
      </c>
      <c r="BV115" s="22">
        <v>4</v>
      </c>
      <c r="BW115" s="31"/>
      <c r="BX115" s="31"/>
      <c r="BZ115" s="34"/>
      <c r="CA115" s="38"/>
      <c r="CB115" s="33"/>
      <c r="CF115" s="36"/>
      <c r="CG115" s="44"/>
      <c r="CL115" s="36"/>
      <c r="CM115" s="44"/>
      <c r="CR115" s="36"/>
    </row>
    <row r="116" spans="1:96" ht="15" x14ac:dyDescent="0.25">
      <c r="A116" s="42"/>
      <c r="B116" s="27"/>
      <c r="C116" s="27"/>
      <c r="D116" s="27"/>
      <c r="E116" s="27"/>
      <c r="G116" s="104" t="s">
        <v>513</v>
      </c>
      <c r="H116">
        <v>3</v>
      </c>
      <c r="I116" s="25" t="s">
        <v>106</v>
      </c>
      <c r="J116" s="25">
        <f>SUM(H116:H125)</f>
        <v>13</v>
      </c>
      <c r="K116" s="25"/>
      <c r="L116" s="29"/>
      <c r="M116" s="23" t="s">
        <v>486</v>
      </c>
      <c r="N116">
        <v>5</v>
      </c>
      <c r="O116" s="27" t="s">
        <v>122</v>
      </c>
      <c r="P116" s="27">
        <f>MAX(N114:N118)</f>
        <v>5</v>
      </c>
      <c r="Q116" s="27"/>
      <c r="R116" s="29"/>
      <c r="S116" s="23" t="s">
        <v>491</v>
      </c>
      <c r="T116">
        <v>0</v>
      </c>
      <c r="U116" s="31" t="s">
        <v>122</v>
      </c>
      <c r="V116" s="27">
        <f>MAX(T114:T131)</f>
        <v>1</v>
      </c>
      <c r="W116" s="27"/>
      <c r="X116" s="29"/>
      <c r="Y116" s="23" t="s">
        <v>476</v>
      </c>
      <c r="Z116">
        <v>0</v>
      </c>
      <c r="AA116" s="27" t="s">
        <v>106</v>
      </c>
      <c r="AB116" s="27">
        <f>SUM(Z116:Z125)</f>
        <v>33</v>
      </c>
      <c r="AC116" s="27"/>
      <c r="AE116" s="34"/>
      <c r="AF116" s="94"/>
      <c r="AG116" s="34"/>
      <c r="AH116" s="34"/>
      <c r="AI116" s="34"/>
      <c r="AJ116" s="34"/>
      <c r="AK116" s="23" t="s">
        <v>336</v>
      </c>
      <c r="AL116">
        <v>0</v>
      </c>
      <c r="AM116" s="31" t="s">
        <v>138</v>
      </c>
      <c r="AN116" s="31">
        <f>AVERAGE(AL112:AL125)</f>
        <v>7.1428571428571425E-2</v>
      </c>
      <c r="AQ116" s="23" t="s">
        <v>344</v>
      </c>
      <c r="AR116">
        <v>0</v>
      </c>
      <c r="AS116" s="31" t="s">
        <v>106</v>
      </c>
      <c r="AT116" s="31">
        <f>SUM(AR116:AR125)</f>
        <v>1</v>
      </c>
      <c r="AW116" s="23" t="s">
        <v>364</v>
      </c>
      <c r="AX116">
        <v>0</v>
      </c>
      <c r="AY116" s="31"/>
      <c r="AZ116" s="31"/>
      <c r="BC116" s="23" t="s">
        <v>377</v>
      </c>
      <c r="BD116">
        <v>0</v>
      </c>
      <c r="BE116" s="31"/>
      <c r="BF116" s="31"/>
      <c r="BH116" s="34"/>
      <c r="BI116" s="23" t="s">
        <v>380</v>
      </c>
      <c r="BJ116">
        <v>2</v>
      </c>
      <c r="BK116" s="31" t="s">
        <v>106</v>
      </c>
      <c r="BL116" s="31">
        <f>SUM(BJ116:BJ127)</f>
        <v>35</v>
      </c>
      <c r="BN116" s="34"/>
      <c r="BO116" s="19" t="s">
        <v>100</v>
      </c>
      <c r="BP116" s="35" t="s">
        <v>540</v>
      </c>
      <c r="BR116" s="19">
        <v>2014</v>
      </c>
      <c r="BT116" s="34"/>
      <c r="BU116" s="86"/>
      <c r="BV116" s="94"/>
      <c r="BW116" s="34"/>
      <c r="BX116" s="34"/>
      <c r="BY116" s="34"/>
      <c r="BZ116" s="34"/>
      <c r="CA116" s="38"/>
      <c r="CB116" s="33"/>
      <c r="CF116" s="36"/>
      <c r="CG116" s="44"/>
      <c r="CL116" s="36"/>
      <c r="CM116" s="44"/>
      <c r="CR116" s="36"/>
    </row>
    <row r="117" spans="1:96" ht="15" x14ac:dyDescent="0.25">
      <c r="A117" s="42"/>
      <c r="B117" s="27"/>
      <c r="C117" s="27"/>
      <c r="D117" s="27"/>
      <c r="E117" s="27"/>
      <c r="G117" s="104" t="s">
        <v>514</v>
      </c>
      <c r="H117">
        <v>0</v>
      </c>
      <c r="I117" s="25" t="s">
        <v>115</v>
      </c>
      <c r="J117" s="25">
        <f>MIN(H116:H125)</f>
        <v>0</v>
      </c>
      <c r="K117" s="25"/>
      <c r="L117" s="29"/>
      <c r="M117" s="23" t="s">
        <v>487</v>
      </c>
      <c r="N117">
        <v>1</v>
      </c>
      <c r="O117" s="27" t="s">
        <v>129</v>
      </c>
      <c r="P117" s="27">
        <f>VAR(N114:N118)</f>
        <v>4.3</v>
      </c>
      <c r="Q117" s="27"/>
      <c r="R117" s="29"/>
      <c r="S117" s="23" t="s">
        <v>492</v>
      </c>
      <c r="T117">
        <v>1</v>
      </c>
      <c r="U117" s="31" t="s">
        <v>129</v>
      </c>
      <c r="V117" s="27">
        <f>VAR(T114:T131)</f>
        <v>0.1045751633986928</v>
      </c>
      <c r="W117" s="27"/>
      <c r="X117" s="29"/>
      <c r="Y117" s="23" t="s">
        <v>477</v>
      </c>
      <c r="Z117">
        <v>1</v>
      </c>
      <c r="AA117" s="27" t="s">
        <v>115</v>
      </c>
      <c r="AB117" s="27">
        <f>MIN(Z116:Z125)</f>
        <v>0</v>
      </c>
      <c r="AC117" s="27"/>
      <c r="AE117" s="31" t="s">
        <v>100</v>
      </c>
      <c r="AF117" s="32" t="s">
        <v>67</v>
      </c>
      <c r="AG117" s="31"/>
      <c r="AH117" s="31"/>
      <c r="AJ117" s="34"/>
      <c r="AK117" s="23" t="s">
        <v>172</v>
      </c>
      <c r="AL117">
        <v>0</v>
      </c>
      <c r="AM117" s="31" t="s">
        <v>144</v>
      </c>
      <c r="AN117" s="31">
        <f>STDEV(AL112:AL125)</f>
        <v>0.2672612419124244</v>
      </c>
      <c r="AQ117" s="23" t="s">
        <v>345</v>
      </c>
      <c r="AR117">
        <v>0</v>
      </c>
      <c r="AS117" s="31" t="s">
        <v>115</v>
      </c>
      <c r="AT117" s="31">
        <f>MIN(AR116:AR125)</f>
        <v>0</v>
      </c>
      <c r="AW117" s="23" t="s">
        <v>365</v>
      </c>
      <c r="AX117">
        <v>0</v>
      </c>
      <c r="AY117" s="31"/>
      <c r="AZ117" s="31"/>
      <c r="BC117" s="23" t="s">
        <v>378</v>
      </c>
      <c r="BD117">
        <v>0</v>
      </c>
      <c r="BE117" s="31"/>
      <c r="BF117" s="31"/>
      <c r="BH117" s="34"/>
      <c r="BI117" s="23" t="s">
        <v>381</v>
      </c>
      <c r="BJ117">
        <v>1</v>
      </c>
      <c r="BK117" s="31" t="s">
        <v>115</v>
      </c>
      <c r="BL117" s="31">
        <f>MIN(BJ116:BJ127)</f>
        <v>0</v>
      </c>
      <c r="BN117" s="34"/>
      <c r="BP117" s="12" t="s">
        <v>8</v>
      </c>
      <c r="BT117" s="34"/>
      <c r="BU117" s="19" t="s">
        <v>100</v>
      </c>
      <c r="BV117" s="35" t="s">
        <v>61</v>
      </c>
      <c r="BZ117" s="34"/>
      <c r="CA117" s="38"/>
      <c r="CB117" s="33"/>
      <c r="CF117" s="36"/>
      <c r="CG117" s="44"/>
      <c r="CL117" s="36"/>
      <c r="CM117" s="44"/>
      <c r="CR117" s="36"/>
    </row>
    <row r="118" spans="1:96" ht="15" x14ac:dyDescent="0.25">
      <c r="A118" s="42"/>
      <c r="B118" s="27"/>
      <c r="C118" s="27"/>
      <c r="D118" s="27"/>
      <c r="E118" s="27"/>
      <c r="G118" s="104" t="s">
        <v>515</v>
      </c>
      <c r="H118">
        <v>3</v>
      </c>
      <c r="I118" s="25" t="s">
        <v>122</v>
      </c>
      <c r="J118" s="25">
        <f>MAX(H116:H125)</f>
        <v>3</v>
      </c>
      <c r="K118" s="25"/>
      <c r="L118" s="29"/>
      <c r="M118" s="23" t="s">
        <v>488</v>
      </c>
      <c r="N118">
        <v>0</v>
      </c>
      <c r="O118" s="27" t="s">
        <v>138</v>
      </c>
      <c r="P118" s="27">
        <f>AVERAGE(N114:N118)</f>
        <v>1.6</v>
      </c>
      <c r="Q118" s="27"/>
      <c r="R118" s="29"/>
      <c r="S118" s="23" t="s">
        <v>493</v>
      </c>
      <c r="T118">
        <v>0</v>
      </c>
      <c r="U118" s="31" t="s">
        <v>138</v>
      </c>
      <c r="V118" s="27">
        <f>AVERAGE(T114:T131)</f>
        <v>0.1111111111111111</v>
      </c>
      <c r="W118" s="25"/>
      <c r="X118" s="29"/>
      <c r="Y118" s="23" t="s">
        <v>478</v>
      </c>
      <c r="Z118">
        <v>0</v>
      </c>
      <c r="AA118" s="27" t="s">
        <v>122</v>
      </c>
      <c r="AB118" s="27">
        <f>MAX(Z116:Z125)</f>
        <v>12</v>
      </c>
      <c r="AC118" s="27"/>
      <c r="AE118" s="31" t="s">
        <v>101</v>
      </c>
      <c r="AF118" s="12" t="s">
        <v>6</v>
      </c>
      <c r="AG118" s="31"/>
      <c r="AH118" s="31"/>
      <c r="AJ118" s="34"/>
      <c r="AK118" s="23" t="s">
        <v>337</v>
      </c>
      <c r="AL118">
        <v>0</v>
      </c>
      <c r="AM118" s="31"/>
      <c r="AN118" s="31"/>
      <c r="AQ118" s="23" t="s">
        <v>262</v>
      </c>
      <c r="AR118">
        <v>1</v>
      </c>
      <c r="AS118" s="31" t="s">
        <v>122</v>
      </c>
      <c r="AT118" s="31">
        <f>MAX(AR116:AR125)</f>
        <v>1</v>
      </c>
      <c r="AW118" s="23" t="s">
        <v>366</v>
      </c>
      <c r="AX118">
        <v>1</v>
      </c>
      <c r="AY118" s="31"/>
      <c r="AZ118" s="31"/>
      <c r="BC118" s="23" t="s">
        <v>379</v>
      </c>
      <c r="BD118">
        <v>0</v>
      </c>
      <c r="BE118" s="31"/>
      <c r="BF118" s="31"/>
      <c r="BH118" s="34"/>
      <c r="BI118" s="23" t="s">
        <v>382</v>
      </c>
      <c r="BJ118">
        <v>11</v>
      </c>
      <c r="BK118" s="31" t="s">
        <v>122</v>
      </c>
      <c r="BL118" s="31">
        <f>MAX(BJ116:BJ127)</f>
        <v>11</v>
      </c>
      <c r="BN118" s="34"/>
      <c r="BO118" s="31" t="s">
        <v>102</v>
      </c>
      <c r="BP118" s="31" t="s">
        <v>71</v>
      </c>
      <c r="BQ118" s="31" t="s">
        <v>103</v>
      </c>
      <c r="BR118" s="31" t="s">
        <v>104</v>
      </c>
      <c r="BT118" s="34"/>
      <c r="BV118" s="12" t="s">
        <v>5</v>
      </c>
      <c r="BZ118" s="34"/>
      <c r="CA118" s="38"/>
      <c r="CB118" s="33"/>
      <c r="CF118" s="36"/>
      <c r="CG118" s="44"/>
      <c r="CL118" s="36"/>
      <c r="CM118" s="44"/>
      <c r="CR118" s="36"/>
    </row>
    <row r="119" spans="1:96" ht="15" x14ac:dyDescent="0.25">
      <c r="A119" s="42"/>
      <c r="B119" s="27"/>
      <c r="C119" s="27"/>
      <c r="D119" s="27"/>
      <c r="E119" s="27"/>
      <c r="G119" s="104" t="s">
        <v>516</v>
      </c>
      <c r="H119">
        <v>0</v>
      </c>
      <c r="I119" s="25" t="s">
        <v>129</v>
      </c>
      <c r="J119" s="25">
        <f>VAR(H116:H125)</f>
        <v>1.5666666666666669</v>
      </c>
      <c r="K119" s="25"/>
      <c r="L119" s="29"/>
      <c r="M119" s="23"/>
      <c r="N119" s="40"/>
      <c r="O119" s="27" t="s">
        <v>144</v>
      </c>
      <c r="P119" s="27">
        <f>STDEV(N114:N118)</f>
        <v>2.0736441353327719</v>
      </c>
      <c r="Q119" s="27"/>
      <c r="R119" s="29"/>
      <c r="S119" s="23" t="s">
        <v>494</v>
      </c>
      <c r="T119">
        <v>0</v>
      </c>
      <c r="U119" s="31" t="s">
        <v>144</v>
      </c>
      <c r="V119" s="27">
        <f>STDEV(T114:T131)</f>
        <v>0.32338083338177726</v>
      </c>
      <c r="W119" s="27"/>
      <c r="X119" s="29"/>
      <c r="Y119" s="23" t="s">
        <v>479</v>
      </c>
      <c r="Z119">
        <v>0</v>
      </c>
      <c r="AA119" s="27" t="s">
        <v>129</v>
      </c>
      <c r="AB119" s="27">
        <f>VAR(Z116:Z125)</f>
        <v>19.788888888888888</v>
      </c>
      <c r="AC119" s="27"/>
      <c r="AE119" s="31" t="s">
        <v>102</v>
      </c>
      <c r="AF119" s="31" t="s">
        <v>71</v>
      </c>
      <c r="AG119" s="31" t="s">
        <v>103</v>
      </c>
      <c r="AH119" s="31" t="s">
        <v>104</v>
      </c>
      <c r="AJ119" s="34"/>
      <c r="AK119" s="23" t="s">
        <v>338</v>
      </c>
      <c r="AL119">
        <v>0</v>
      </c>
      <c r="AM119" s="31"/>
      <c r="AN119" s="31"/>
      <c r="AQ119" s="23" t="s">
        <v>346</v>
      </c>
      <c r="AR119">
        <v>0</v>
      </c>
      <c r="AS119" s="31" t="s">
        <v>129</v>
      </c>
      <c r="AT119" s="31">
        <f>VAR(AR116:AR125)</f>
        <v>0.1</v>
      </c>
      <c r="AW119" s="23" t="s">
        <v>367</v>
      </c>
      <c r="AX119">
        <v>0</v>
      </c>
      <c r="AY119" s="31"/>
      <c r="AZ119" s="31"/>
      <c r="BC119" s="97"/>
      <c r="BD119" s="34"/>
      <c r="BE119" s="94"/>
      <c r="BF119" s="94"/>
      <c r="BG119" s="34"/>
      <c r="BH119" s="34"/>
      <c r="BI119" s="23" t="s">
        <v>383</v>
      </c>
      <c r="BJ119">
        <v>6</v>
      </c>
      <c r="BK119" s="31" t="s">
        <v>129</v>
      </c>
      <c r="BL119" s="31">
        <f>VAR(BJ116:BJ127)</f>
        <v>10.992424242424242</v>
      </c>
      <c r="BN119" s="34"/>
      <c r="BO119" s="23" t="s">
        <v>390</v>
      </c>
      <c r="BP119">
        <v>0</v>
      </c>
      <c r="BQ119" s="31" t="s">
        <v>106</v>
      </c>
      <c r="BR119" s="31">
        <f>SUM(BP119:BP137)</f>
        <v>2</v>
      </c>
      <c r="BT119" s="34"/>
      <c r="BU119" s="31" t="s">
        <v>102</v>
      </c>
      <c r="BV119" s="31" t="s">
        <v>71</v>
      </c>
      <c r="BW119" s="31" t="s">
        <v>103</v>
      </c>
      <c r="BX119" s="31" t="s">
        <v>104</v>
      </c>
      <c r="BZ119" s="34"/>
      <c r="CA119" s="38"/>
      <c r="CB119" s="33"/>
      <c r="CF119" s="36"/>
      <c r="CG119" s="44"/>
      <c r="CL119" s="36"/>
      <c r="CM119" s="44"/>
      <c r="CR119" s="36"/>
    </row>
    <row r="120" spans="1:96" ht="15" x14ac:dyDescent="0.25">
      <c r="A120" s="42"/>
      <c r="B120" s="27"/>
      <c r="C120" s="27"/>
      <c r="D120" s="27"/>
      <c r="E120" s="27"/>
      <c r="G120" s="104" t="s">
        <v>517</v>
      </c>
      <c r="H120">
        <v>2</v>
      </c>
      <c r="I120" s="25" t="s">
        <v>138</v>
      </c>
      <c r="J120" s="25">
        <f>AVERAGE(H116:H125)</f>
        <v>1.3</v>
      </c>
      <c r="K120" s="25"/>
      <c r="L120" s="29"/>
      <c r="M120" s="90"/>
      <c r="N120" s="90"/>
      <c r="O120" s="90"/>
      <c r="P120" s="90"/>
      <c r="Q120" s="90"/>
      <c r="R120" s="29"/>
      <c r="S120" s="23" t="s">
        <v>495</v>
      </c>
      <c r="T120">
        <v>0</v>
      </c>
      <c r="U120" s="27"/>
      <c r="V120" s="27"/>
      <c r="W120" s="27"/>
      <c r="X120" s="29"/>
      <c r="Y120" s="23" t="s">
        <v>480</v>
      </c>
      <c r="Z120">
        <v>0</v>
      </c>
      <c r="AA120" s="27" t="s">
        <v>138</v>
      </c>
      <c r="AB120" s="27">
        <f>AVERAGE(Z116:Z125)</f>
        <v>3.3</v>
      </c>
      <c r="AC120" s="27"/>
      <c r="AE120" s="23" t="s">
        <v>453</v>
      </c>
      <c r="AF120">
        <v>0</v>
      </c>
      <c r="AG120" s="31" t="s">
        <v>106</v>
      </c>
      <c r="AH120" s="31">
        <f>SUM(AF120:AF144)</f>
        <v>75</v>
      </c>
      <c r="AJ120" s="34"/>
      <c r="AK120" s="23" t="s">
        <v>339</v>
      </c>
      <c r="AL120">
        <v>1</v>
      </c>
      <c r="AM120" s="31"/>
      <c r="AN120" s="31"/>
      <c r="AQ120" s="23" t="s">
        <v>347</v>
      </c>
      <c r="AR120">
        <v>0</v>
      </c>
      <c r="AS120" s="31" t="s">
        <v>138</v>
      </c>
      <c r="AT120" s="31">
        <f>AVERAGE(AR116:AR125)</f>
        <v>0.1</v>
      </c>
      <c r="AW120" s="98"/>
      <c r="AX120" s="94"/>
      <c r="AY120" s="94"/>
      <c r="AZ120" s="94"/>
      <c r="BA120" s="34"/>
      <c r="BC120" s="19" t="s">
        <v>100</v>
      </c>
      <c r="BD120" s="35" t="s">
        <v>65</v>
      </c>
      <c r="BH120" s="34"/>
      <c r="BI120" s="23" t="s">
        <v>384</v>
      </c>
      <c r="BJ120">
        <v>2</v>
      </c>
      <c r="BK120" s="31" t="s">
        <v>138</v>
      </c>
      <c r="BL120" s="31">
        <f>AVERAGE(BJ116:BJ127)</f>
        <v>2.9166666666666665</v>
      </c>
      <c r="BN120" s="34"/>
      <c r="BO120" s="23" t="s">
        <v>391</v>
      </c>
      <c r="BP120">
        <v>0</v>
      </c>
      <c r="BQ120" s="31" t="s">
        <v>115</v>
      </c>
      <c r="BR120" s="31">
        <f>MIN(BP119:BP137)</f>
        <v>0</v>
      </c>
      <c r="BT120" s="34"/>
      <c r="BU120" s="23" t="s">
        <v>412</v>
      </c>
      <c r="BV120" s="22">
        <v>4</v>
      </c>
      <c r="BW120" s="31" t="s">
        <v>106</v>
      </c>
      <c r="BX120" s="31">
        <f>SUM(BV120:BV144)</f>
        <v>73</v>
      </c>
      <c r="BZ120" s="34"/>
      <c r="CA120" s="38"/>
      <c r="CB120" s="33"/>
      <c r="CF120" s="36"/>
      <c r="CG120" s="44"/>
      <c r="CL120" s="36"/>
      <c r="CM120" s="44"/>
      <c r="CR120" s="36"/>
    </row>
    <row r="121" spans="1:96" ht="15" x14ac:dyDescent="0.25">
      <c r="A121" s="42"/>
      <c r="B121" s="27"/>
      <c r="C121" s="27"/>
      <c r="D121" s="27"/>
      <c r="E121" s="27"/>
      <c r="G121" s="104" t="s">
        <v>518</v>
      </c>
      <c r="H121">
        <v>1</v>
      </c>
      <c r="I121" s="25" t="s">
        <v>144</v>
      </c>
      <c r="J121" s="25">
        <f>STDEV(H116:H125)</f>
        <v>1.2516655570345725</v>
      </c>
      <c r="K121" s="25"/>
      <c r="L121" s="29"/>
      <c r="M121" s="27" t="s">
        <v>100</v>
      </c>
      <c r="N121" s="30" t="s">
        <v>525</v>
      </c>
      <c r="O121" s="27"/>
      <c r="P121" s="27"/>
      <c r="Q121" s="27"/>
      <c r="R121" s="29"/>
      <c r="S121" s="23" t="s">
        <v>496</v>
      </c>
      <c r="T121">
        <v>0</v>
      </c>
      <c r="U121" s="27"/>
      <c r="V121" s="27"/>
      <c r="W121" s="27"/>
      <c r="X121" s="29"/>
      <c r="Y121" s="23" t="s">
        <v>481</v>
      </c>
      <c r="Z121">
        <v>0</v>
      </c>
      <c r="AA121" s="27" t="s">
        <v>144</v>
      </c>
      <c r="AB121" s="27">
        <f>STDEV(Z116:Z125)</f>
        <v>4.4484703987875305</v>
      </c>
      <c r="AC121" s="27"/>
      <c r="AE121" s="23" t="s">
        <v>454</v>
      </c>
      <c r="AF121">
        <v>0</v>
      </c>
      <c r="AG121" s="31" t="s">
        <v>115</v>
      </c>
      <c r="AH121" s="31">
        <f>MIN(AF120:AF144)</f>
        <v>0</v>
      </c>
      <c r="AJ121" s="34"/>
      <c r="AK121" s="23" t="s">
        <v>340</v>
      </c>
      <c r="AL121">
        <v>0</v>
      </c>
      <c r="AM121" s="31"/>
      <c r="AN121" s="31"/>
      <c r="AQ121" s="23" t="s">
        <v>348</v>
      </c>
      <c r="AR121">
        <v>0</v>
      </c>
      <c r="AS121" s="31" t="s">
        <v>144</v>
      </c>
      <c r="AT121" s="31">
        <f>STDEV(AR116:AR125)</f>
        <v>0.31622776601683794</v>
      </c>
      <c r="AW121" s="19" t="s">
        <v>100</v>
      </c>
      <c r="AX121" s="35" t="s">
        <v>66</v>
      </c>
      <c r="AZ121" s="19">
        <v>2014</v>
      </c>
      <c r="BD121" s="12" t="s">
        <v>18</v>
      </c>
      <c r="BH121" s="34"/>
      <c r="BI121" s="23" t="s">
        <v>385</v>
      </c>
      <c r="BJ121">
        <v>0</v>
      </c>
      <c r="BK121" s="31" t="s">
        <v>144</v>
      </c>
      <c r="BL121" s="31">
        <f>STDEV(BJ116:BJ127)</f>
        <v>3.3154825052206567</v>
      </c>
      <c r="BN121" s="34"/>
      <c r="BO121" s="23" t="s">
        <v>392</v>
      </c>
      <c r="BP121">
        <v>0</v>
      </c>
      <c r="BQ121" s="31" t="s">
        <v>122</v>
      </c>
      <c r="BR121" s="31">
        <f>MAX(BP119:BP137)</f>
        <v>2</v>
      </c>
      <c r="BT121" s="34"/>
      <c r="BU121" s="22" t="s">
        <v>244</v>
      </c>
      <c r="BV121" s="22">
        <v>5</v>
      </c>
      <c r="BW121" s="31" t="s">
        <v>115</v>
      </c>
      <c r="BX121" s="31">
        <f>MIN(BV120:BV144)</f>
        <v>0</v>
      </c>
      <c r="BZ121" s="34"/>
      <c r="CA121" s="38"/>
      <c r="CB121" s="33"/>
      <c r="CF121" s="36"/>
      <c r="CG121" s="44"/>
      <c r="CL121" s="36"/>
      <c r="CM121" s="44"/>
      <c r="CR121" s="36"/>
    </row>
    <row r="122" spans="1:96" ht="15" x14ac:dyDescent="0.25">
      <c r="A122" s="42"/>
      <c r="B122" s="27"/>
      <c r="C122" s="27"/>
      <c r="D122" s="27"/>
      <c r="E122" s="27"/>
      <c r="G122" s="104" t="s">
        <v>519</v>
      </c>
      <c r="H122">
        <v>2</v>
      </c>
      <c r="I122" s="25"/>
      <c r="J122" s="25"/>
      <c r="K122" s="25"/>
      <c r="L122" s="29"/>
      <c r="M122" s="27" t="s">
        <v>101</v>
      </c>
      <c r="N122" s="12" t="s">
        <v>29</v>
      </c>
      <c r="O122" s="27"/>
      <c r="P122" s="27"/>
      <c r="Q122" s="27"/>
      <c r="R122" s="29"/>
      <c r="S122" s="23" t="s">
        <v>389</v>
      </c>
      <c r="T122">
        <v>0</v>
      </c>
      <c r="U122" s="27"/>
      <c r="V122" s="27"/>
      <c r="W122" s="27"/>
      <c r="X122" s="29"/>
      <c r="Y122" s="23" t="s">
        <v>262</v>
      </c>
      <c r="Z122">
        <v>6</v>
      </c>
      <c r="AA122" s="27"/>
      <c r="AB122" s="27"/>
      <c r="AC122" s="27"/>
      <c r="AE122" s="23" t="s">
        <v>455</v>
      </c>
      <c r="AF122">
        <v>2</v>
      </c>
      <c r="AG122" s="31" t="s">
        <v>122</v>
      </c>
      <c r="AH122" s="31">
        <f>MAX(AF120:AF144)</f>
        <v>11</v>
      </c>
      <c r="AJ122" s="34"/>
      <c r="AK122" s="23" t="s">
        <v>77</v>
      </c>
      <c r="AL122">
        <v>0</v>
      </c>
      <c r="AM122" s="31"/>
      <c r="AN122" s="31"/>
      <c r="AQ122" s="23" t="s">
        <v>349</v>
      </c>
      <c r="AR122">
        <v>0</v>
      </c>
      <c r="AS122" s="31"/>
      <c r="AT122" s="31"/>
      <c r="AX122" s="12" t="s">
        <v>18</v>
      </c>
      <c r="BC122" s="31" t="s">
        <v>102</v>
      </c>
      <c r="BD122" s="31" t="s">
        <v>71</v>
      </c>
      <c r="BE122" s="31" t="s">
        <v>103</v>
      </c>
      <c r="BF122" s="31" t="s">
        <v>104</v>
      </c>
      <c r="BH122" s="34"/>
      <c r="BI122" s="23" t="s">
        <v>386</v>
      </c>
      <c r="BJ122">
        <v>0</v>
      </c>
      <c r="BK122" s="31"/>
      <c r="BL122" s="31"/>
      <c r="BN122" s="34"/>
      <c r="BO122" s="23" t="s">
        <v>393</v>
      </c>
      <c r="BP122">
        <v>0</v>
      </c>
      <c r="BQ122" s="31" t="s">
        <v>129</v>
      </c>
      <c r="BR122" s="31">
        <f>VAR(BP119:BP137)</f>
        <v>0.2105263157894737</v>
      </c>
      <c r="BT122" s="34"/>
      <c r="BU122" s="22" t="s">
        <v>119</v>
      </c>
      <c r="BV122" s="22">
        <v>0</v>
      </c>
      <c r="BW122" s="31" t="s">
        <v>122</v>
      </c>
      <c r="BX122" s="31">
        <f>MAX(BV120:BV144)</f>
        <v>15</v>
      </c>
      <c r="BZ122" s="34"/>
      <c r="CA122" s="38"/>
      <c r="CB122" s="33"/>
      <c r="CF122" s="36"/>
      <c r="CG122" s="44"/>
      <c r="CL122" s="36"/>
      <c r="CM122" s="44"/>
      <c r="CR122" s="36"/>
    </row>
    <row r="123" spans="1:96" ht="15" x14ac:dyDescent="0.25">
      <c r="A123" s="27"/>
      <c r="B123" s="27"/>
      <c r="C123" s="27"/>
      <c r="D123" s="27"/>
      <c r="E123" s="27"/>
      <c r="G123" s="104" t="s">
        <v>520</v>
      </c>
      <c r="H123">
        <v>0</v>
      </c>
      <c r="I123" s="25"/>
      <c r="J123" s="25"/>
      <c r="K123" s="25"/>
      <c r="L123" s="29"/>
      <c r="M123" s="27" t="s">
        <v>102</v>
      </c>
      <c r="N123" s="27" t="s">
        <v>71</v>
      </c>
      <c r="O123" s="27" t="s">
        <v>103</v>
      </c>
      <c r="P123" s="27" t="s">
        <v>104</v>
      </c>
      <c r="Q123" s="27"/>
      <c r="R123" s="29"/>
      <c r="S123" s="23" t="s">
        <v>497</v>
      </c>
      <c r="T123">
        <v>0</v>
      </c>
      <c r="U123" s="27"/>
      <c r="V123" s="27"/>
      <c r="W123" s="27"/>
      <c r="X123" s="29"/>
      <c r="Y123" s="23" t="s">
        <v>482</v>
      </c>
      <c r="Z123">
        <v>5</v>
      </c>
      <c r="AA123" s="27"/>
      <c r="AB123" s="27"/>
      <c r="AC123" s="27"/>
      <c r="AE123" s="23" t="s">
        <v>456</v>
      </c>
      <c r="AF123">
        <v>3</v>
      </c>
      <c r="AG123" s="31" t="s">
        <v>129</v>
      </c>
      <c r="AH123" s="31">
        <f>VAR(AF120:AF144)</f>
        <v>6.833333333333333</v>
      </c>
      <c r="AJ123" s="34"/>
      <c r="AK123" s="23" t="s">
        <v>341</v>
      </c>
      <c r="AL123">
        <v>0</v>
      </c>
      <c r="AM123" s="31"/>
      <c r="AN123" s="31"/>
      <c r="AQ123" s="23" t="s">
        <v>350</v>
      </c>
      <c r="AR123">
        <v>0</v>
      </c>
      <c r="AS123" s="31"/>
      <c r="AT123" s="31"/>
      <c r="AW123" s="31" t="s">
        <v>102</v>
      </c>
      <c r="AX123" s="31" t="s">
        <v>71</v>
      </c>
      <c r="AY123" s="31" t="s">
        <v>103</v>
      </c>
      <c r="AZ123" s="31" t="s">
        <v>104</v>
      </c>
      <c r="BC123" s="23" t="s">
        <v>368</v>
      </c>
      <c r="BD123">
        <v>0</v>
      </c>
      <c r="BE123" s="31" t="s">
        <v>106</v>
      </c>
      <c r="BF123" s="31">
        <f>SUM(BD123:BD135)</f>
        <v>1</v>
      </c>
      <c r="BH123" s="34"/>
      <c r="BI123" s="23" t="s">
        <v>387</v>
      </c>
      <c r="BJ123">
        <v>0</v>
      </c>
      <c r="BK123" s="33"/>
      <c r="BL123" s="33"/>
      <c r="BN123" s="34"/>
      <c r="BO123" s="23" t="s">
        <v>394</v>
      </c>
      <c r="BP123">
        <v>0</v>
      </c>
      <c r="BQ123" s="31" t="s">
        <v>138</v>
      </c>
      <c r="BR123" s="31">
        <f>AVERAGE(BP119:BP137)</f>
        <v>0.10526315789473684</v>
      </c>
      <c r="BT123" s="34"/>
      <c r="BU123" s="22" t="s">
        <v>413</v>
      </c>
      <c r="BV123" s="22">
        <v>0</v>
      </c>
      <c r="BW123" s="31" t="s">
        <v>129</v>
      </c>
      <c r="BX123" s="31">
        <f>VAR(BV120:BV144)</f>
        <v>13.743333333333334</v>
      </c>
      <c r="BZ123" s="34"/>
      <c r="CA123" s="38"/>
      <c r="CB123" s="33"/>
      <c r="CF123" s="36"/>
      <c r="CG123" s="44"/>
      <c r="CL123" s="36"/>
      <c r="CM123" s="44"/>
      <c r="CR123" s="36"/>
    </row>
    <row r="124" spans="1:96" ht="15" x14ac:dyDescent="0.25">
      <c r="E124" s="27"/>
      <c r="G124" s="104" t="s">
        <v>521</v>
      </c>
      <c r="H124">
        <v>2</v>
      </c>
      <c r="I124" s="25"/>
      <c r="J124" s="25"/>
      <c r="K124" s="25"/>
      <c r="L124" s="29"/>
      <c r="M124" s="23" t="s">
        <v>394</v>
      </c>
      <c r="N124">
        <v>7</v>
      </c>
      <c r="O124" s="27" t="s">
        <v>106</v>
      </c>
      <c r="P124" s="27">
        <f>SUM(N124:N128)</f>
        <v>46</v>
      </c>
      <c r="Q124" s="27"/>
      <c r="R124" s="29"/>
      <c r="S124" s="23" t="s">
        <v>498</v>
      </c>
      <c r="T124">
        <v>0</v>
      </c>
      <c r="U124" s="27"/>
      <c r="V124" s="27"/>
      <c r="W124" s="27"/>
      <c r="X124" s="29"/>
      <c r="Y124" s="23" t="s">
        <v>483</v>
      </c>
      <c r="Z124">
        <v>9</v>
      </c>
      <c r="AA124" s="27"/>
      <c r="AB124" s="27"/>
      <c r="AC124" s="27"/>
      <c r="AE124" s="23" t="s">
        <v>259</v>
      </c>
      <c r="AF124">
        <v>5</v>
      </c>
      <c r="AG124" s="31" t="s">
        <v>138</v>
      </c>
      <c r="AH124" s="31">
        <f>AVERAGE(AF120:AF144)</f>
        <v>3</v>
      </c>
      <c r="AJ124" s="34"/>
      <c r="AK124" s="23" t="s">
        <v>342</v>
      </c>
      <c r="AL124">
        <v>0</v>
      </c>
      <c r="AM124" s="31"/>
      <c r="AN124" s="31"/>
      <c r="AQ124" s="23" t="s">
        <v>351</v>
      </c>
      <c r="AR124">
        <v>0</v>
      </c>
      <c r="AS124" s="31"/>
      <c r="AT124" s="31"/>
      <c r="AW124" s="23" t="s">
        <v>353</v>
      </c>
      <c r="AX124">
        <v>0</v>
      </c>
      <c r="AY124" s="31" t="s">
        <v>106</v>
      </c>
      <c r="AZ124" s="31">
        <f>SUM(AX124:AX139)</f>
        <v>5</v>
      </c>
      <c r="BC124" s="23" t="s">
        <v>369</v>
      </c>
      <c r="BD124">
        <v>0</v>
      </c>
      <c r="BE124" s="31" t="s">
        <v>115</v>
      </c>
      <c r="BF124" s="31">
        <f>MIN(BD123:BD135)</f>
        <v>0</v>
      </c>
      <c r="BH124" s="34"/>
      <c r="BI124" s="23" t="s">
        <v>139</v>
      </c>
      <c r="BJ124">
        <v>1</v>
      </c>
      <c r="BK124" s="33"/>
      <c r="BL124" s="33"/>
      <c r="BN124" s="34"/>
      <c r="BO124" s="23" t="s">
        <v>395</v>
      </c>
      <c r="BP124">
        <v>0</v>
      </c>
      <c r="BQ124" s="31" t="s">
        <v>144</v>
      </c>
      <c r="BR124" s="31">
        <f>STDEV(BP119:BP137)</f>
        <v>0.45883146774112354</v>
      </c>
      <c r="BT124" s="34"/>
      <c r="BU124" s="22" t="s">
        <v>414</v>
      </c>
      <c r="BV124" s="22">
        <v>1</v>
      </c>
      <c r="BW124" s="31" t="s">
        <v>138</v>
      </c>
      <c r="BX124" s="31">
        <f>AVERAGE(BV120:BV144)</f>
        <v>2.92</v>
      </c>
      <c r="BZ124" s="34"/>
      <c r="CA124" s="43"/>
      <c r="CB124" s="33"/>
      <c r="CF124" s="36"/>
      <c r="CG124" s="44"/>
      <c r="CL124" s="36"/>
      <c r="CM124" s="44"/>
      <c r="CR124" s="36"/>
    </row>
    <row r="125" spans="1:96" ht="15" x14ac:dyDescent="0.25">
      <c r="E125" s="27"/>
      <c r="G125" s="104" t="s">
        <v>175</v>
      </c>
      <c r="H125">
        <v>0</v>
      </c>
      <c r="K125" s="25"/>
      <c r="L125" s="29"/>
      <c r="M125" s="23" t="s">
        <v>485</v>
      </c>
      <c r="N125">
        <v>8</v>
      </c>
      <c r="O125" s="27" t="s">
        <v>115</v>
      </c>
      <c r="P125" s="27">
        <f>MIN(N124:N128)</f>
        <v>7</v>
      </c>
      <c r="Q125" s="27"/>
      <c r="R125" s="29"/>
      <c r="S125" s="23" t="s">
        <v>499</v>
      </c>
      <c r="T125">
        <v>0</v>
      </c>
      <c r="U125" s="27"/>
      <c r="V125" s="27"/>
      <c r="W125" s="27"/>
      <c r="X125" s="29"/>
      <c r="Y125" s="23" t="s">
        <v>484</v>
      </c>
      <c r="Z125">
        <v>12</v>
      </c>
      <c r="AA125" s="27"/>
      <c r="AB125" s="27"/>
      <c r="AC125" s="27"/>
      <c r="AE125" s="23" t="s">
        <v>457</v>
      </c>
      <c r="AF125">
        <v>3</v>
      </c>
      <c r="AG125" s="31" t="s">
        <v>144</v>
      </c>
      <c r="AH125" s="31">
        <f>STDEV(AF120:AF144)</f>
        <v>2.6140645235596871</v>
      </c>
      <c r="AJ125" s="34"/>
      <c r="AK125" s="23" t="s">
        <v>343</v>
      </c>
      <c r="AL125">
        <v>0</v>
      </c>
      <c r="AM125" s="31"/>
      <c r="AN125" s="31"/>
      <c r="AQ125" s="23" t="s">
        <v>352</v>
      </c>
      <c r="AR125">
        <v>0</v>
      </c>
      <c r="AS125" s="31"/>
      <c r="AT125" s="31"/>
      <c r="AW125" s="23" t="s">
        <v>354</v>
      </c>
      <c r="AX125">
        <v>0</v>
      </c>
      <c r="AY125" s="31" t="s">
        <v>115</v>
      </c>
      <c r="AZ125" s="31">
        <f>MIN(AX124:AX139)</f>
        <v>0</v>
      </c>
      <c r="BC125" s="23" t="s">
        <v>370</v>
      </c>
      <c r="BD125">
        <v>0</v>
      </c>
      <c r="BE125" s="31" t="s">
        <v>122</v>
      </c>
      <c r="BF125" s="31">
        <f>MAX(BD123:BD135)</f>
        <v>1</v>
      </c>
      <c r="BH125" s="34"/>
      <c r="BI125" s="23" t="s">
        <v>156</v>
      </c>
      <c r="BJ125">
        <v>2</v>
      </c>
      <c r="BK125" s="31"/>
      <c r="BL125" s="31"/>
      <c r="BN125" s="34"/>
      <c r="BO125" s="23" t="s">
        <v>396</v>
      </c>
      <c r="BP125">
        <v>0</v>
      </c>
      <c r="BQ125" s="31"/>
      <c r="BR125" s="31"/>
      <c r="BT125" s="34"/>
      <c r="BU125" s="22" t="s">
        <v>415</v>
      </c>
      <c r="BV125" s="22">
        <v>3</v>
      </c>
      <c r="BW125" s="31" t="s">
        <v>144</v>
      </c>
      <c r="BX125" s="31">
        <f>STDEV(BV120:BV144)</f>
        <v>3.7072002014098637</v>
      </c>
      <c r="BY125" s="24"/>
      <c r="BZ125" s="34"/>
      <c r="CA125" s="43"/>
      <c r="CB125" s="33"/>
      <c r="CE125" s="24"/>
      <c r="CF125" s="36"/>
      <c r="CG125" s="44"/>
      <c r="CL125" s="36"/>
      <c r="CM125" s="44"/>
      <c r="CR125" s="36"/>
    </row>
    <row r="126" spans="1:96" ht="15" x14ac:dyDescent="0.25">
      <c r="E126" s="27"/>
      <c r="G126" s="34"/>
      <c r="H126" s="34"/>
      <c r="I126" s="34"/>
      <c r="J126" s="34"/>
      <c r="K126" s="90"/>
      <c r="L126" s="29"/>
      <c r="M126" s="23" t="s">
        <v>486</v>
      </c>
      <c r="N126">
        <v>8</v>
      </c>
      <c r="O126" s="27" t="s">
        <v>122</v>
      </c>
      <c r="P126" s="27">
        <f>MAX(N124:N128)</f>
        <v>15</v>
      </c>
      <c r="Q126" s="27"/>
      <c r="R126" s="29"/>
      <c r="S126" s="23" t="s">
        <v>500</v>
      </c>
      <c r="T126">
        <v>0</v>
      </c>
      <c r="U126" s="27"/>
      <c r="V126" s="27"/>
      <c r="W126" s="27"/>
      <c r="X126" s="90"/>
      <c r="Y126" s="90"/>
      <c r="Z126" s="90"/>
      <c r="AA126" s="90"/>
      <c r="AB126" s="90"/>
      <c r="AC126" s="90"/>
      <c r="AD126" s="34"/>
      <c r="AE126" s="23" t="s">
        <v>458</v>
      </c>
      <c r="AF126">
        <v>11</v>
      </c>
      <c r="AG126" s="31"/>
      <c r="AH126" s="31"/>
      <c r="AJ126" s="34"/>
      <c r="AK126" s="94"/>
      <c r="AL126" s="94"/>
      <c r="AM126" s="34"/>
      <c r="AN126" s="34"/>
      <c r="AO126" s="34"/>
      <c r="AQ126" s="97"/>
      <c r="AR126" s="94"/>
      <c r="AS126" s="94"/>
      <c r="AT126" s="94"/>
      <c r="AU126" s="34"/>
      <c r="AW126" s="23" t="s">
        <v>216</v>
      </c>
      <c r="AX126">
        <v>0</v>
      </c>
      <c r="AY126" s="31" t="s">
        <v>122</v>
      </c>
      <c r="AZ126" s="31">
        <f>MAX(AX124:AX139)</f>
        <v>1</v>
      </c>
      <c r="BC126" s="23" t="s">
        <v>215</v>
      </c>
      <c r="BD126">
        <v>0</v>
      </c>
      <c r="BE126" s="31" t="s">
        <v>129</v>
      </c>
      <c r="BF126" s="31">
        <f>VAR(BD123:BD135)</f>
        <v>7.6923076923076927E-2</v>
      </c>
      <c r="BH126" s="34"/>
      <c r="BI126" s="23" t="s">
        <v>388</v>
      </c>
      <c r="BJ126">
        <v>4</v>
      </c>
      <c r="BK126" s="31"/>
      <c r="BL126" s="31"/>
      <c r="BN126" s="34"/>
      <c r="BO126" s="23" t="s">
        <v>397</v>
      </c>
      <c r="BP126">
        <v>0</v>
      </c>
      <c r="BQ126" s="31"/>
      <c r="BR126" s="31"/>
      <c r="BT126" s="34"/>
      <c r="BU126" s="22" t="s">
        <v>416</v>
      </c>
      <c r="BV126" s="22">
        <v>1</v>
      </c>
      <c r="BW126" s="31"/>
      <c r="BX126" s="31"/>
      <c r="BY126" s="24"/>
      <c r="BZ126" s="34"/>
      <c r="CA126" s="43"/>
      <c r="CE126" s="24"/>
      <c r="CF126" s="36"/>
      <c r="CG126" s="44"/>
      <c r="CL126" s="36"/>
      <c r="CM126" s="44"/>
      <c r="CR126" s="36"/>
    </row>
    <row r="127" spans="1:96" ht="15" x14ac:dyDescent="0.25">
      <c r="E127" s="27"/>
      <c r="G127" s="25" t="s">
        <v>100</v>
      </c>
      <c r="H127" s="26" t="s">
        <v>523</v>
      </c>
      <c r="I127" s="25"/>
      <c r="J127" s="25">
        <v>2014</v>
      </c>
      <c r="K127" s="25"/>
      <c r="L127" s="29"/>
      <c r="M127" s="23" t="s">
        <v>487</v>
      </c>
      <c r="N127">
        <v>15</v>
      </c>
      <c r="O127" s="27" t="s">
        <v>129</v>
      </c>
      <c r="P127" s="27">
        <f>VAR(N124:N128)</f>
        <v>10.700000000000003</v>
      </c>
      <c r="Q127" s="27"/>
      <c r="R127" s="29"/>
      <c r="S127" s="23" t="s">
        <v>501</v>
      </c>
      <c r="T127">
        <v>1</v>
      </c>
      <c r="U127" s="27"/>
      <c r="V127" s="27"/>
      <c r="W127" s="27"/>
      <c r="X127" s="29"/>
      <c r="Y127" s="27" t="s">
        <v>100</v>
      </c>
      <c r="Z127" s="30" t="s">
        <v>535</v>
      </c>
      <c r="AA127" s="27"/>
      <c r="AB127" s="27"/>
      <c r="AC127" s="27"/>
      <c r="AE127" s="23" t="s">
        <v>459</v>
      </c>
      <c r="AF127">
        <v>6</v>
      </c>
      <c r="AG127" s="31"/>
      <c r="AH127" s="31"/>
      <c r="AJ127" s="34"/>
      <c r="AK127" s="19" t="s">
        <v>100</v>
      </c>
      <c r="AL127" s="32" t="s">
        <v>443</v>
      </c>
      <c r="AQ127" s="19" t="s">
        <v>100</v>
      </c>
      <c r="AR127" s="32" t="s">
        <v>444</v>
      </c>
      <c r="AW127" s="23" t="s">
        <v>355</v>
      </c>
      <c r="AX127">
        <v>1</v>
      </c>
      <c r="AY127" s="31" t="s">
        <v>129</v>
      </c>
      <c r="AZ127" s="31">
        <f>VAR(AX124:AX139)</f>
        <v>0.22916666666666666</v>
      </c>
      <c r="BC127" s="23" t="s">
        <v>371</v>
      </c>
      <c r="BD127">
        <v>0</v>
      </c>
      <c r="BE127" s="31" t="s">
        <v>138</v>
      </c>
      <c r="BF127" s="31">
        <f>AVERAGE(BD123:BD135)</f>
        <v>7.6923076923076927E-2</v>
      </c>
      <c r="BH127" s="34"/>
      <c r="BI127" s="23" t="s">
        <v>389</v>
      </c>
      <c r="BJ127">
        <v>6</v>
      </c>
      <c r="BK127" s="31"/>
      <c r="BL127" s="31"/>
      <c r="BN127" s="34"/>
      <c r="BO127" s="23" t="s">
        <v>398</v>
      </c>
      <c r="BP127">
        <v>0</v>
      </c>
      <c r="BQ127" s="31"/>
      <c r="BR127" s="31"/>
      <c r="BT127" s="34"/>
      <c r="BU127" s="22" t="s">
        <v>417</v>
      </c>
      <c r="BV127" s="22">
        <v>8</v>
      </c>
      <c r="BW127" s="31"/>
      <c r="BX127" s="31"/>
      <c r="BZ127" s="34"/>
      <c r="CA127" s="43"/>
      <c r="CF127" s="36"/>
      <c r="CL127" s="36"/>
      <c r="CR127" s="36"/>
    </row>
    <row r="128" spans="1:96" ht="15" x14ac:dyDescent="0.25">
      <c r="E128" s="27"/>
      <c r="G128" s="25" t="s">
        <v>101</v>
      </c>
      <c r="H128" s="103" t="s">
        <v>24</v>
      </c>
      <c r="I128" s="25"/>
      <c r="J128" s="25"/>
      <c r="K128" s="25"/>
      <c r="L128" s="29"/>
      <c r="M128" s="23" t="s">
        <v>488</v>
      </c>
      <c r="N128">
        <v>8</v>
      </c>
      <c r="O128" s="27" t="s">
        <v>138</v>
      </c>
      <c r="P128" s="27">
        <f>AVERAGE(N124:N128)</f>
        <v>9.1999999999999993</v>
      </c>
      <c r="Q128" s="27"/>
      <c r="R128" s="29"/>
      <c r="S128" s="23" t="s">
        <v>502</v>
      </c>
      <c r="T128">
        <v>0</v>
      </c>
      <c r="U128" s="27"/>
      <c r="V128" s="27"/>
      <c r="W128" s="27"/>
      <c r="X128" s="29"/>
      <c r="Y128" s="27" t="s">
        <v>101</v>
      </c>
      <c r="Z128" s="12" t="s">
        <v>29</v>
      </c>
      <c r="AA128" s="27"/>
      <c r="AB128" s="27"/>
      <c r="AC128" s="27"/>
      <c r="AE128" s="23" t="s">
        <v>460</v>
      </c>
      <c r="AF128">
        <v>4</v>
      </c>
      <c r="AG128" s="33"/>
      <c r="AH128" s="33"/>
      <c r="AJ128" s="34"/>
      <c r="AK128" s="19" t="s">
        <v>101</v>
      </c>
      <c r="AL128" s="12" t="s">
        <v>17</v>
      </c>
      <c r="AR128" s="12" t="s">
        <v>22</v>
      </c>
      <c r="AW128" s="23" t="s">
        <v>356</v>
      </c>
      <c r="AX128">
        <v>0</v>
      </c>
      <c r="AY128" s="31" t="s">
        <v>138</v>
      </c>
      <c r="AZ128" s="31">
        <f>AVERAGE(AX124:AX139)</f>
        <v>0.3125</v>
      </c>
      <c r="BC128" s="23" t="s">
        <v>372</v>
      </c>
      <c r="BD128">
        <v>0</v>
      </c>
      <c r="BE128" s="31" t="s">
        <v>144</v>
      </c>
      <c r="BF128" s="31">
        <f>STDEV(BD123:BD135)</f>
        <v>0.27735009811261457</v>
      </c>
      <c r="BH128" s="34"/>
      <c r="BI128" s="97"/>
      <c r="BJ128" s="90"/>
      <c r="BK128" s="34"/>
      <c r="BL128" s="34"/>
      <c r="BM128" s="34"/>
      <c r="BN128" s="34"/>
      <c r="BO128" s="23" t="s">
        <v>399</v>
      </c>
      <c r="BP128">
        <v>0</v>
      </c>
      <c r="BQ128" s="31"/>
      <c r="BR128" s="31"/>
      <c r="BT128" s="34"/>
      <c r="BU128" s="22" t="s">
        <v>418</v>
      </c>
      <c r="BV128" s="22">
        <v>4</v>
      </c>
      <c r="BW128" s="31"/>
      <c r="BX128" s="31"/>
      <c r="BZ128" s="34"/>
      <c r="CF128" s="36"/>
      <c r="CL128" s="36"/>
      <c r="CR128" s="36"/>
    </row>
    <row r="129" spans="1:96" ht="15" x14ac:dyDescent="0.25">
      <c r="E129" s="27"/>
      <c r="G129" s="25" t="s">
        <v>102</v>
      </c>
      <c r="H129" s="25" t="s">
        <v>71</v>
      </c>
      <c r="I129" s="25" t="s">
        <v>103</v>
      </c>
      <c r="J129" s="25" t="s">
        <v>104</v>
      </c>
      <c r="K129" s="25"/>
      <c r="L129" s="29"/>
      <c r="M129" s="23"/>
      <c r="N129" s="40"/>
      <c r="O129" s="27" t="s">
        <v>144</v>
      </c>
      <c r="P129" s="27">
        <f>STDEV(N124:N128)</f>
        <v>3.2710854467592259</v>
      </c>
      <c r="Q129" s="27"/>
      <c r="R129" s="29"/>
      <c r="S129" s="23" t="s">
        <v>350</v>
      </c>
      <c r="T129">
        <v>0</v>
      </c>
      <c r="U129" s="27"/>
      <c r="V129" s="27"/>
      <c r="W129" s="27"/>
      <c r="X129" s="29"/>
      <c r="Y129" s="27" t="s">
        <v>105</v>
      </c>
      <c r="Z129" s="27" t="s">
        <v>71</v>
      </c>
      <c r="AA129" s="27" t="s">
        <v>103</v>
      </c>
      <c r="AB129" s="27" t="s">
        <v>104</v>
      </c>
      <c r="AC129" s="27"/>
      <c r="AE129" s="23" t="s">
        <v>461</v>
      </c>
      <c r="AF129">
        <v>3</v>
      </c>
      <c r="AG129" s="31"/>
      <c r="AH129" s="31"/>
      <c r="AJ129" s="34"/>
      <c r="AK129" s="31" t="s">
        <v>102</v>
      </c>
      <c r="AL129" s="31" t="s">
        <v>71</v>
      </c>
      <c r="AM129" s="31" t="s">
        <v>103</v>
      </c>
      <c r="AN129" s="31" t="s">
        <v>104</v>
      </c>
      <c r="AQ129" s="31" t="s">
        <v>102</v>
      </c>
      <c r="AR129" s="31" t="s">
        <v>71</v>
      </c>
      <c r="AS129" s="31" t="s">
        <v>103</v>
      </c>
      <c r="AT129" s="31" t="s">
        <v>104</v>
      </c>
      <c r="AW129" s="23" t="s">
        <v>357</v>
      </c>
      <c r="AX129">
        <v>0</v>
      </c>
      <c r="AY129" s="31" t="s">
        <v>144</v>
      </c>
      <c r="AZ129" s="31">
        <f>STDEV(AX124:AX139)</f>
        <v>0.47871355387816905</v>
      </c>
      <c r="BC129" s="23" t="s">
        <v>373</v>
      </c>
      <c r="BD129">
        <v>1</v>
      </c>
      <c r="BE129" s="31"/>
      <c r="BF129" s="31"/>
      <c r="BH129" s="34"/>
      <c r="BI129" s="19" t="s">
        <v>100</v>
      </c>
      <c r="BJ129" s="35" t="s">
        <v>64</v>
      </c>
      <c r="BN129" s="34"/>
      <c r="BO129" s="23" t="s">
        <v>214</v>
      </c>
      <c r="BP129">
        <v>0</v>
      </c>
      <c r="BQ129" s="31"/>
      <c r="BR129" s="31"/>
      <c r="BT129" s="34"/>
      <c r="BU129" s="22" t="s">
        <v>419</v>
      </c>
      <c r="BV129" s="22">
        <v>1</v>
      </c>
      <c r="BW129" s="31"/>
      <c r="BX129" s="31"/>
      <c r="BZ129" s="34"/>
      <c r="CA129" s="31"/>
      <c r="CB129" s="31"/>
      <c r="CC129" s="31"/>
      <c r="CD129" s="31"/>
      <c r="CF129" s="36"/>
      <c r="CG129" s="31"/>
      <c r="CH129" s="31"/>
      <c r="CI129" s="31"/>
      <c r="CJ129" s="31"/>
      <c r="CL129" s="36"/>
      <c r="CM129" s="46"/>
      <c r="CR129" s="36"/>
    </row>
    <row r="130" spans="1:96" ht="15" x14ac:dyDescent="0.25">
      <c r="E130" s="27"/>
      <c r="G130" s="104" t="s">
        <v>513</v>
      </c>
      <c r="H130">
        <v>0</v>
      </c>
      <c r="I130" s="25" t="s">
        <v>106</v>
      </c>
      <c r="J130" s="25">
        <f>SUM(H130:H139)</f>
        <v>1</v>
      </c>
      <c r="K130" s="25"/>
      <c r="L130" s="90"/>
      <c r="M130" s="90"/>
      <c r="N130" s="90"/>
      <c r="O130" s="90"/>
      <c r="P130" s="90"/>
      <c r="Q130" s="90"/>
      <c r="R130" s="29"/>
      <c r="S130" s="23" t="s">
        <v>503</v>
      </c>
      <c r="T130">
        <v>0</v>
      </c>
      <c r="U130" s="27"/>
      <c r="V130" s="27"/>
      <c r="W130" s="27"/>
      <c r="X130" s="29"/>
      <c r="Y130" s="23" t="s">
        <v>476</v>
      </c>
      <c r="Z130">
        <v>1</v>
      </c>
      <c r="AA130" s="27" t="s">
        <v>106</v>
      </c>
      <c r="AB130" s="27">
        <f>SUM(Z130:Z139)</f>
        <v>38</v>
      </c>
      <c r="AC130" s="27"/>
      <c r="AE130" s="23" t="s">
        <v>462</v>
      </c>
      <c r="AF130">
        <v>6</v>
      </c>
      <c r="AG130" s="24"/>
      <c r="AH130" s="24"/>
      <c r="AJ130" s="34"/>
      <c r="AK130" s="23" t="s">
        <v>332</v>
      </c>
      <c r="AL130">
        <v>0</v>
      </c>
      <c r="AM130" s="31" t="s">
        <v>106</v>
      </c>
      <c r="AN130" s="31">
        <f>SUM(AL130:AL143)</f>
        <v>38</v>
      </c>
      <c r="AQ130" s="23" t="s">
        <v>344</v>
      </c>
      <c r="AR130">
        <v>3</v>
      </c>
      <c r="AS130" s="31" t="s">
        <v>106</v>
      </c>
      <c r="AT130" s="31">
        <f>SUM(AR130:AR139)</f>
        <v>3</v>
      </c>
      <c r="AW130" s="23" t="s">
        <v>358</v>
      </c>
      <c r="AX130">
        <v>0</v>
      </c>
      <c r="AY130" s="31"/>
      <c r="AZ130" s="31"/>
      <c r="BC130" s="23" t="s">
        <v>374</v>
      </c>
      <c r="BD130">
        <v>0</v>
      </c>
      <c r="BE130" s="33"/>
      <c r="BF130" s="33"/>
      <c r="BH130" s="34"/>
      <c r="BJ130" s="12" t="s">
        <v>18</v>
      </c>
      <c r="BN130" s="34"/>
      <c r="BO130" s="23" t="s">
        <v>400</v>
      </c>
      <c r="BP130">
        <v>2</v>
      </c>
      <c r="BQ130" s="31"/>
      <c r="BR130" s="31"/>
      <c r="BT130" s="34"/>
      <c r="BU130" s="22" t="s">
        <v>420</v>
      </c>
      <c r="BV130" s="22">
        <v>15</v>
      </c>
      <c r="BW130" s="31"/>
      <c r="BX130" s="31"/>
      <c r="BZ130" s="34"/>
      <c r="CA130" s="31"/>
      <c r="CB130" s="31"/>
      <c r="CC130" s="31"/>
      <c r="CD130" s="31"/>
      <c r="CF130" s="36"/>
      <c r="CG130" s="31"/>
      <c r="CH130" s="31"/>
      <c r="CI130" s="31"/>
      <c r="CJ130" s="31"/>
      <c r="CL130" s="36"/>
      <c r="CM130" s="31"/>
      <c r="CN130" s="31"/>
      <c r="CO130" s="31"/>
      <c r="CP130" s="31"/>
      <c r="CR130" s="36"/>
    </row>
    <row r="131" spans="1:96" ht="15" x14ac:dyDescent="0.25">
      <c r="A131" s="42"/>
      <c r="B131" s="27"/>
      <c r="C131" s="27"/>
      <c r="D131" s="27"/>
      <c r="E131" s="27"/>
      <c r="G131" s="104" t="s">
        <v>514</v>
      </c>
      <c r="H131">
        <v>0</v>
      </c>
      <c r="I131" s="25" t="s">
        <v>115</v>
      </c>
      <c r="J131" s="25">
        <f>MIN(H130:H139)</f>
        <v>0</v>
      </c>
      <c r="K131" s="25"/>
      <c r="L131" s="29"/>
      <c r="M131" s="27" t="s">
        <v>100</v>
      </c>
      <c r="N131" s="30" t="s">
        <v>525</v>
      </c>
      <c r="O131" s="27"/>
      <c r="P131" s="27"/>
      <c r="Q131" s="27"/>
      <c r="R131" s="29"/>
      <c r="S131" s="23" t="s">
        <v>504</v>
      </c>
      <c r="T131">
        <v>0</v>
      </c>
      <c r="U131" s="25"/>
      <c r="V131" s="25"/>
      <c r="W131" s="27"/>
      <c r="X131" s="29"/>
      <c r="Y131" s="23" t="s">
        <v>477</v>
      </c>
      <c r="Z131">
        <v>7</v>
      </c>
      <c r="AA131" s="27" t="s">
        <v>115</v>
      </c>
      <c r="AB131" s="27">
        <f>MIN(Z130:Z139)</f>
        <v>0</v>
      </c>
      <c r="AC131" s="27"/>
      <c r="AE131" s="23" t="s">
        <v>463</v>
      </c>
      <c r="AF131">
        <v>6</v>
      </c>
      <c r="AG131" s="31"/>
      <c r="AH131" s="31"/>
      <c r="AJ131" s="34"/>
      <c r="AK131" s="23" t="s">
        <v>333</v>
      </c>
      <c r="AL131">
        <v>0</v>
      </c>
      <c r="AM131" s="31" t="s">
        <v>115</v>
      </c>
      <c r="AN131" s="31">
        <f>MIN(AL130:AL143)</f>
        <v>0</v>
      </c>
      <c r="AQ131" s="23" t="s">
        <v>345</v>
      </c>
      <c r="AR131">
        <v>0</v>
      </c>
      <c r="AS131" s="31" t="s">
        <v>115</v>
      </c>
      <c r="AT131" s="31">
        <f>MIN(AR130:AR139)</f>
        <v>0</v>
      </c>
      <c r="AW131" s="23" t="s">
        <v>359</v>
      </c>
      <c r="AX131">
        <v>0</v>
      </c>
      <c r="AY131" s="31"/>
      <c r="AZ131" s="31"/>
      <c r="BC131" s="23" t="s">
        <v>375</v>
      </c>
      <c r="BD131">
        <v>0</v>
      </c>
      <c r="BE131" s="33"/>
      <c r="BF131" s="33"/>
      <c r="BH131" s="34"/>
      <c r="BI131" s="31" t="s">
        <v>102</v>
      </c>
      <c r="BJ131" s="31" t="s">
        <v>71</v>
      </c>
      <c r="BK131" s="31" t="s">
        <v>103</v>
      </c>
      <c r="BL131" s="31" t="s">
        <v>104</v>
      </c>
      <c r="BN131" s="34"/>
      <c r="BO131" s="23" t="s">
        <v>401</v>
      </c>
      <c r="BP131">
        <v>0</v>
      </c>
      <c r="BQ131" s="33"/>
      <c r="BR131" s="33"/>
      <c r="BT131" s="34"/>
      <c r="BU131" s="22" t="s">
        <v>421</v>
      </c>
      <c r="BV131" s="22">
        <v>7</v>
      </c>
      <c r="BW131" s="31"/>
      <c r="BX131" s="31"/>
      <c r="BZ131" s="34"/>
      <c r="CA131" s="38"/>
      <c r="CB131" s="31"/>
      <c r="CC131" s="31"/>
      <c r="CD131" s="31"/>
      <c r="CF131" s="36"/>
      <c r="CG131" s="44"/>
      <c r="CI131" s="31"/>
      <c r="CJ131" s="31"/>
      <c r="CL131" s="36"/>
      <c r="CM131" s="44"/>
      <c r="CO131" s="31"/>
      <c r="CP131" s="31"/>
      <c r="CR131" s="36"/>
    </row>
    <row r="132" spans="1:96" ht="15" x14ac:dyDescent="0.25">
      <c r="A132" s="42"/>
      <c r="B132" s="27"/>
      <c r="C132" s="27"/>
      <c r="D132" s="27"/>
      <c r="E132" s="27"/>
      <c r="G132" s="104" t="s">
        <v>515</v>
      </c>
      <c r="H132">
        <v>0</v>
      </c>
      <c r="I132" s="25" t="s">
        <v>122</v>
      </c>
      <c r="J132" s="25">
        <f>MAX(H130:H139)</f>
        <v>1</v>
      </c>
      <c r="K132" s="25"/>
      <c r="L132" s="29"/>
      <c r="M132" s="27" t="s">
        <v>101</v>
      </c>
      <c r="N132" s="12" t="s">
        <v>30</v>
      </c>
      <c r="O132" s="27"/>
      <c r="P132" s="27"/>
      <c r="Q132" s="27"/>
      <c r="R132" s="29"/>
      <c r="S132" s="91"/>
      <c r="T132" s="90"/>
      <c r="U132" s="90"/>
      <c r="V132" s="90"/>
      <c r="W132" s="90"/>
      <c r="X132" s="29"/>
      <c r="Y132" s="23" t="s">
        <v>478</v>
      </c>
      <c r="Z132">
        <v>4</v>
      </c>
      <c r="AA132" s="27" t="s">
        <v>122</v>
      </c>
      <c r="AB132" s="27">
        <f>MAX(Z130:Z139)</f>
        <v>12</v>
      </c>
      <c r="AC132" s="27"/>
      <c r="AE132" s="23" t="s">
        <v>464</v>
      </c>
      <c r="AF132">
        <v>2</v>
      </c>
      <c r="AG132" s="31"/>
      <c r="AH132" s="31"/>
      <c r="AJ132" s="34"/>
      <c r="AK132" s="23" t="s">
        <v>334</v>
      </c>
      <c r="AL132">
        <v>0</v>
      </c>
      <c r="AM132" s="31" t="s">
        <v>122</v>
      </c>
      <c r="AN132" s="31">
        <f>MAX(AL130:AL143)</f>
        <v>18</v>
      </c>
      <c r="AQ132" s="23" t="s">
        <v>262</v>
      </c>
      <c r="AR132">
        <v>0</v>
      </c>
      <c r="AS132" s="31" t="s">
        <v>122</v>
      </c>
      <c r="AT132" s="31">
        <f>MAX(AR130:AR139)</f>
        <v>3</v>
      </c>
      <c r="AW132" s="23" t="s">
        <v>360</v>
      </c>
      <c r="AX132">
        <v>0</v>
      </c>
      <c r="AY132" s="31"/>
      <c r="AZ132" s="31"/>
      <c r="BC132" s="23" t="s">
        <v>376</v>
      </c>
      <c r="BD132">
        <v>0</v>
      </c>
      <c r="BE132" s="31"/>
      <c r="BF132" s="31"/>
      <c r="BH132" s="34"/>
      <c r="BI132" s="23" t="s">
        <v>380</v>
      </c>
      <c r="BJ132">
        <v>1</v>
      </c>
      <c r="BK132" s="31" t="s">
        <v>106</v>
      </c>
      <c r="BL132" s="31">
        <f>SUM(BJ132:BJ143)</f>
        <v>5</v>
      </c>
      <c r="BN132" s="34"/>
      <c r="BO132" s="23" t="s">
        <v>402</v>
      </c>
      <c r="BP132">
        <v>0</v>
      </c>
      <c r="BQ132" s="31"/>
      <c r="BR132" s="33"/>
      <c r="BT132" s="34"/>
      <c r="BU132" s="22" t="s">
        <v>422</v>
      </c>
      <c r="BV132" s="22">
        <v>1</v>
      </c>
      <c r="BW132" s="31"/>
      <c r="BX132" s="31"/>
      <c r="BZ132" s="34"/>
      <c r="CA132" s="38"/>
      <c r="CB132" s="31"/>
      <c r="CC132" s="31"/>
      <c r="CD132" s="31"/>
      <c r="CF132" s="36"/>
      <c r="CG132" s="44"/>
      <c r="CI132" s="31"/>
      <c r="CJ132" s="31"/>
      <c r="CL132" s="36"/>
      <c r="CM132" s="44"/>
      <c r="CO132" s="31"/>
      <c r="CP132" s="31"/>
      <c r="CR132" s="36"/>
    </row>
    <row r="133" spans="1:96" ht="15" x14ac:dyDescent="0.25">
      <c r="A133" s="42"/>
      <c r="B133" s="27"/>
      <c r="C133" s="27"/>
      <c r="D133" s="27"/>
      <c r="E133" s="27"/>
      <c r="G133" s="104" t="s">
        <v>516</v>
      </c>
      <c r="H133">
        <v>0</v>
      </c>
      <c r="I133" s="25" t="s">
        <v>129</v>
      </c>
      <c r="J133" s="25">
        <f>VAR(H130:H139)</f>
        <v>0.1</v>
      </c>
      <c r="K133" s="25"/>
      <c r="L133" s="29"/>
      <c r="M133" s="27" t="s">
        <v>102</v>
      </c>
      <c r="N133" s="27" t="s">
        <v>71</v>
      </c>
      <c r="O133" s="27" t="s">
        <v>103</v>
      </c>
      <c r="P133" s="27" t="s">
        <v>104</v>
      </c>
      <c r="Q133" s="27"/>
      <c r="R133" s="29"/>
      <c r="S133" s="27" t="s">
        <v>100</v>
      </c>
      <c r="T133" s="30" t="s">
        <v>524</v>
      </c>
      <c r="U133" s="27"/>
      <c r="V133" s="27">
        <v>2014</v>
      </c>
      <c r="W133" s="27"/>
      <c r="X133" s="29"/>
      <c r="Y133" s="23" t="s">
        <v>479</v>
      </c>
      <c r="Z133">
        <v>12</v>
      </c>
      <c r="AA133" s="27" t="s">
        <v>129</v>
      </c>
      <c r="AB133" s="27">
        <f>VAR(Z130:Z139)</f>
        <v>18.399999999999999</v>
      </c>
      <c r="AC133" s="27"/>
      <c r="AE133" s="23" t="s">
        <v>465</v>
      </c>
      <c r="AF133">
        <v>4</v>
      </c>
      <c r="AG133" s="31"/>
      <c r="AH133" s="31"/>
      <c r="AJ133" s="34"/>
      <c r="AK133" s="23" t="s">
        <v>335</v>
      </c>
      <c r="AL133">
        <v>0</v>
      </c>
      <c r="AM133" s="31" t="s">
        <v>129</v>
      </c>
      <c r="AN133" s="31">
        <f>VAR(AL130:AL143)</f>
        <v>37.450549450549453</v>
      </c>
      <c r="AQ133" s="23" t="s">
        <v>346</v>
      </c>
      <c r="AR133">
        <v>0</v>
      </c>
      <c r="AS133" s="31" t="s">
        <v>129</v>
      </c>
      <c r="AT133" s="31">
        <f>VAR(AR130:AR139)</f>
        <v>0.89999999999999991</v>
      </c>
      <c r="AW133" s="23" t="s">
        <v>361</v>
      </c>
      <c r="AX133">
        <v>0</v>
      </c>
      <c r="AY133" s="31"/>
      <c r="AZ133" s="31"/>
      <c r="BC133" s="23" t="s">
        <v>377</v>
      </c>
      <c r="BD133">
        <v>0</v>
      </c>
      <c r="BE133" s="31"/>
      <c r="BF133" s="31"/>
      <c r="BH133" s="34"/>
      <c r="BI133" s="23" t="s">
        <v>381</v>
      </c>
      <c r="BJ133">
        <v>0</v>
      </c>
      <c r="BK133" s="31" t="s">
        <v>115</v>
      </c>
      <c r="BL133" s="31">
        <f>MIN(BJ132:BJ143)</f>
        <v>0</v>
      </c>
      <c r="BN133" s="34"/>
      <c r="BO133" s="23" t="s">
        <v>403</v>
      </c>
      <c r="BP133">
        <v>0</v>
      </c>
      <c r="BQ133" s="31"/>
      <c r="BR133" s="33"/>
      <c r="BT133" s="34"/>
      <c r="BU133" s="23" t="s">
        <v>423</v>
      </c>
      <c r="BV133" s="22">
        <v>4</v>
      </c>
      <c r="BW133" s="31"/>
      <c r="BX133" s="31"/>
      <c r="BZ133" s="34"/>
      <c r="CA133" s="38"/>
      <c r="CB133" s="31"/>
      <c r="CC133" s="31"/>
      <c r="CD133" s="31"/>
      <c r="CF133" s="36"/>
      <c r="CG133" s="44"/>
      <c r="CI133" s="31"/>
      <c r="CJ133" s="31"/>
      <c r="CL133" s="36"/>
      <c r="CM133" s="44"/>
      <c r="CO133" s="31"/>
      <c r="CP133" s="31"/>
      <c r="CR133" s="36"/>
    </row>
    <row r="134" spans="1:96" ht="15" x14ac:dyDescent="0.25">
      <c r="A134" s="42"/>
      <c r="B134" s="27"/>
      <c r="C134" s="27"/>
      <c r="D134" s="27"/>
      <c r="E134" s="27"/>
      <c r="G134" s="104" t="s">
        <v>517</v>
      </c>
      <c r="H134">
        <v>0</v>
      </c>
      <c r="I134" s="25" t="s">
        <v>138</v>
      </c>
      <c r="J134" s="25">
        <f>AVERAGE(H130:H139)</f>
        <v>0.1</v>
      </c>
      <c r="K134" s="25"/>
      <c r="L134" s="29"/>
      <c r="M134" s="23" t="s">
        <v>394</v>
      </c>
      <c r="N134">
        <v>1</v>
      </c>
      <c r="O134" s="27" t="s">
        <v>106</v>
      </c>
      <c r="P134" s="27">
        <f>SUM(N134:N138)</f>
        <v>2</v>
      </c>
      <c r="Q134" s="27"/>
      <c r="R134" s="29"/>
      <c r="S134" s="27" t="s">
        <v>101</v>
      </c>
      <c r="T134" s="12" t="s">
        <v>13</v>
      </c>
      <c r="U134" s="27"/>
      <c r="V134" s="27"/>
      <c r="W134" s="27"/>
      <c r="X134" s="29"/>
      <c r="Y134" s="23" t="s">
        <v>480</v>
      </c>
      <c r="Z134">
        <v>8</v>
      </c>
      <c r="AA134" s="27" t="s">
        <v>138</v>
      </c>
      <c r="AB134" s="27">
        <f>AVERAGE(Z130:Z139)</f>
        <v>3.8</v>
      </c>
      <c r="AC134" s="27"/>
      <c r="AE134" s="23" t="s">
        <v>466</v>
      </c>
      <c r="AF134">
        <v>1</v>
      </c>
      <c r="AG134" s="31"/>
      <c r="AH134" s="31"/>
      <c r="AJ134" s="34"/>
      <c r="AK134" s="23" t="s">
        <v>336</v>
      </c>
      <c r="AL134">
        <v>0</v>
      </c>
      <c r="AM134" s="31" t="s">
        <v>138</v>
      </c>
      <c r="AN134" s="31">
        <f>AVERAGE(AL130:AL143)</f>
        <v>2.7142857142857144</v>
      </c>
      <c r="AQ134" s="23" t="s">
        <v>347</v>
      </c>
      <c r="AR134">
        <v>0</v>
      </c>
      <c r="AS134" s="31" t="s">
        <v>138</v>
      </c>
      <c r="AT134" s="31">
        <f>AVERAGE(AR130:AR139)</f>
        <v>0.3</v>
      </c>
      <c r="AW134" s="23" t="s">
        <v>362</v>
      </c>
      <c r="AX134">
        <v>1</v>
      </c>
      <c r="AY134" s="31"/>
      <c r="AZ134" s="31"/>
      <c r="BC134" s="23" t="s">
        <v>378</v>
      </c>
      <c r="BD134">
        <v>0</v>
      </c>
      <c r="BE134" s="31"/>
      <c r="BF134" s="31"/>
      <c r="BH134" s="34"/>
      <c r="BI134" s="23" t="s">
        <v>382</v>
      </c>
      <c r="BJ134">
        <v>0</v>
      </c>
      <c r="BK134" s="31" t="s">
        <v>122</v>
      </c>
      <c r="BL134" s="31">
        <f>MAX(BJ132:BJ143)</f>
        <v>3</v>
      </c>
      <c r="BN134" s="34"/>
      <c r="BO134" s="23" t="s">
        <v>404</v>
      </c>
      <c r="BP134">
        <v>0</v>
      </c>
      <c r="BQ134" s="31"/>
      <c r="BR134" s="33"/>
      <c r="BT134" s="34"/>
      <c r="BU134" s="22" t="s">
        <v>424</v>
      </c>
      <c r="BV134" s="22">
        <v>2</v>
      </c>
      <c r="BW134" s="31"/>
      <c r="BX134" s="31"/>
      <c r="BZ134" s="34"/>
      <c r="CA134" s="38"/>
      <c r="CB134" s="31"/>
      <c r="CC134" s="31"/>
      <c r="CD134" s="31"/>
      <c r="CF134" s="36"/>
      <c r="CG134" s="44"/>
      <c r="CI134" s="31"/>
      <c r="CJ134" s="31"/>
      <c r="CL134" s="36"/>
      <c r="CM134" s="44"/>
      <c r="CO134" s="31"/>
      <c r="CP134" s="31"/>
      <c r="CR134" s="36"/>
    </row>
    <row r="135" spans="1:96" ht="15" x14ac:dyDescent="0.25">
      <c r="A135" s="42"/>
      <c r="B135" s="27"/>
      <c r="C135" s="27"/>
      <c r="D135" s="27"/>
      <c r="E135" s="27"/>
      <c r="G135" s="104" t="s">
        <v>518</v>
      </c>
      <c r="H135">
        <v>0</v>
      </c>
      <c r="I135" s="25" t="s">
        <v>144</v>
      </c>
      <c r="J135" s="25">
        <f>STDEV(H130:H139)</f>
        <v>0.31622776601683794</v>
      </c>
      <c r="K135" s="25"/>
      <c r="L135" s="29"/>
      <c r="M135" s="23" t="s">
        <v>485</v>
      </c>
      <c r="N135">
        <v>0</v>
      </c>
      <c r="O135" s="27" t="s">
        <v>115</v>
      </c>
      <c r="P135" s="27">
        <f>MIN(N134:N138)</f>
        <v>0</v>
      </c>
      <c r="Q135" s="27"/>
      <c r="R135" s="29"/>
      <c r="S135" s="27" t="s">
        <v>102</v>
      </c>
      <c r="T135" s="27" t="s">
        <v>71</v>
      </c>
      <c r="U135" s="27" t="s">
        <v>103</v>
      </c>
      <c r="V135" s="27" t="s">
        <v>104</v>
      </c>
      <c r="W135" s="27"/>
      <c r="X135" s="29"/>
      <c r="Y135" s="23" t="s">
        <v>481</v>
      </c>
      <c r="Z135">
        <v>6</v>
      </c>
      <c r="AA135" s="27" t="s">
        <v>144</v>
      </c>
      <c r="AB135" s="27">
        <f>STDEV(Z130:Z139)</f>
        <v>4.2895221179054435</v>
      </c>
      <c r="AC135" s="27"/>
      <c r="AE135" s="23" t="s">
        <v>467</v>
      </c>
      <c r="AF135">
        <v>4</v>
      </c>
      <c r="AG135" s="31"/>
      <c r="AH135" s="31"/>
      <c r="AJ135" s="34"/>
      <c r="AK135" s="23" t="s">
        <v>172</v>
      </c>
      <c r="AL135">
        <v>0</v>
      </c>
      <c r="AM135" s="31" t="s">
        <v>144</v>
      </c>
      <c r="AN135" s="31">
        <f>STDEV(AL130:AL143)</f>
        <v>6.11968540454078</v>
      </c>
      <c r="AQ135" s="23" t="s">
        <v>348</v>
      </c>
      <c r="AR135">
        <v>0</v>
      </c>
      <c r="AS135" s="31" t="s">
        <v>144</v>
      </c>
      <c r="AT135" s="31">
        <f>STDEV(AR130:AR139)</f>
        <v>0.94868329805051377</v>
      </c>
      <c r="AW135" s="23" t="s">
        <v>363</v>
      </c>
      <c r="AX135">
        <v>0</v>
      </c>
      <c r="AY135" s="31"/>
      <c r="AZ135" s="31"/>
      <c r="BC135" s="23" t="s">
        <v>379</v>
      </c>
      <c r="BD135">
        <v>0</v>
      </c>
      <c r="BE135" s="31"/>
      <c r="BF135" s="31"/>
      <c r="BH135" s="34"/>
      <c r="BI135" s="23" t="s">
        <v>383</v>
      </c>
      <c r="BJ135">
        <v>0</v>
      </c>
      <c r="BK135" s="31" t="s">
        <v>129</v>
      </c>
      <c r="BL135" s="31">
        <f>VAR(BJ132:BJ143)</f>
        <v>0.81060606060606055</v>
      </c>
      <c r="BN135" s="34"/>
      <c r="BO135" s="23" t="s">
        <v>405</v>
      </c>
      <c r="BP135">
        <v>0</v>
      </c>
      <c r="BQ135" s="31"/>
      <c r="BR135" s="33"/>
      <c r="BT135" s="34"/>
      <c r="BU135" s="23" t="s">
        <v>425</v>
      </c>
      <c r="BV135" s="22">
        <v>10</v>
      </c>
      <c r="BW135" s="31"/>
      <c r="BX135" s="31"/>
      <c r="BZ135" s="34"/>
      <c r="CA135" s="38"/>
      <c r="CB135" s="31"/>
      <c r="CC135" s="31"/>
      <c r="CD135" s="31"/>
      <c r="CF135" s="36"/>
      <c r="CG135" s="44"/>
      <c r="CI135" s="31"/>
      <c r="CJ135" s="31"/>
      <c r="CL135" s="36"/>
      <c r="CO135" s="31"/>
      <c r="CP135" s="31"/>
      <c r="CR135" s="36"/>
    </row>
    <row r="136" spans="1:96" ht="15" x14ac:dyDescent="0.25">
      <c r="A136" s="42"/>
      <c r="B136" s="27"/>
      <c r="C136" s="27"/>
      <c r="D136" s="27"/>
      <c r="E136" s="27"/>
      <c r="G136" s="104" t="s">
        <v>519</v>
      </c>
      <c r="H136">
        <v>0</v>
      </c>
      <c r="I136" s="25"/>
      <c r="J136" s="25"/>
      <c r="K136" s="25"/>
      <c r="L136" s="29"/>
      <c r="M136" s="23" t="s">
        <v>486</v>
      </c>
      <c r="N136">
        <v>0</v>
      </c>
      <c r="O136" s="27" t="s">
        <v>122</v>
      </c>
      <c r="P136" s="27">
        <f>MAX(N134:N138)</f>
        <v>1</v>
      </c>
      <c r="Q136" s="27"/>
      <c r="R136" s="29"/>
      <c r="S136" s="23" t="s">
        <v>489</v>
      </c>
      <c r="T136">
        <v>0</v>
      </c>
      <c r="U136" s="31" t="s">
        <v>106</v>
      </c>
      <c r="V136" s="27">
        <f>SUM(T136:T153)</f>
        <v>1</v>
      </c>
      <c r="W136" s="27"/>
      <c r="X136" s="29"/>
      <c r="Y136" s="23" t="s">
        <v>262</v>
      </c>
      <c r="Z136">
        <v>0</v>
      </c>
      <c r="AA136" s="27"/>
      <c r="AB136" s="27"/>
      <c r="AC136" s="27"/>
      <c r="AE136" s="23" t="s">
        <v>468</v>
      </c>
      <c r="AF136">
        <v>0</v>
      </c>
      <c r="AG136" s="31"/>
      <c r="AH136" s="31"/>
      <c r="AJ136" s="34"/>
      <c r="AK136" s="23" t="s">
        <v>337</v>
      </c>
      <c r="AL136">
        <v>0</v>
      </c>
      <c r="AM136" s="31"/>
      <c r="AN136" s="31"/>
      <c r="AQ136" s="23" t="s">
        <v>349</v>
      </c>
      <c r="AR136">
        <v>0</v>
      </c>
      <c r="AS136" s="31"/>
      <c r="AT136" s="31"/>
      <c r="AW136" s="23" t="s">
        <v>364</v>
      </c>
      <c r="AX136">
        <v>1</v>
      </c>
      <c r="AY136" s="31"/>
      <c r="AZ136" s="31"/>
      <c r="BC136" s="97"/>
      <c r="BD136" s="94"/>
      <c r="BE136" s="34"/>
      <c r="BF136" s="34"/>
      <c r="BG136" s="34"/>
      <c r="BH136" s="34"/>
      <c r="BI136" s="23" t="s">
        <v>384</v>
      </c>
      <c r="BJ136">
        <v>1</v>
      </c>
      <c r="BK136" s="31" t="s">
        <v>138</v>
      </c>
      <c r="BL136" s="31">
        <f>AVERAGE(BJ132:BJ143)</f>
        <v>0.41666666666666669</v>
      </c>
      <c r="BN136" s="34"/>
      <c r="BO136" s="23" t="s">
        <v>406</v>
      </c>
      <c r="BP136">
        <v>0</v>
      </c>
      <c r="BQ136" s="31"/>
      <c r="BR136" s="31"/>
      <c r="BT136" s="34"/>
      <c r="BU136" s="23" t="s">
        <v>426</v>
      </c>
      <c r="BV136" s="22">
        <v>0</v>
      </c>
      <c r="BW136" s="31"/>
      <c r="BX136" s="31"/>
      <c r="BZ136" s="34"/>
      <c r="CA136" s="38"/>
      <c r="CB136" s="31"/>
      <c r="CC136" s="31"/>
      <c r="CD136" s="31"/>
      <c r="CF136" s="36"/>
      <c r="CG136" s="44"/>
      <c r="CI136" s="31"/>
      <c r="CJ136" s="31"/>
      <c r="CL136" s="36"/>
      <c r="CO136" s="31"/>
      <c r="CP136" s="31"/>
      <c r="CR136" s="36"/>
    </row>
    <row r="137" spans="1:96" ht="15" x14ac:dyDescent="0.25">
      <c r="A137" s="42"/>
      <c r="B137" s="27"/>
      <c r="C137" s="27"/>
      <c r="D137" s="27"/>
      <c r="E137" s="27"/>
      <c r="G137" s="104" t="s">
        <v>520</v>
      </c>
      <c r="H137">
        <v>0</v>
      </c>
      <c r="I137" s="25"/>
      <c r="J137" s="25"/>
      <c r="K137" s="25"/>
      <c r="L137" s="29"/>
      <c r="M137" s="23" t="s">
        <v>487</v>
      </c>
      <c r="N137">
        <v>1</v>
      </c>
      <c r="O137" s="27" t="s">
        <v>129</v>
      </c>
      <c r="P137" s="27">
        <f>VAR(N134:N138)</f>
        <v>0.3</v>
      </c>
      <c r="Q137" s="27"/>
      <c r="R137" s="29"/>
      <c r="S137" s="23" t="s">
        <v>490</v>
      </c>
      <c r="T137">
        <v>0</v>
      </c>
      <c r="U137" s="31" t="s">
        <v>115</v>
      </c>
      <c r="V137" s="27">
        <f>MIN(T136:T153)</f>
        <v>0</v>
      </c>
      <c r="W137" s="27"/>
      <c r="X137" s="29"/>
      <c r="Y137" s="23" t="s">
        <v>482</v>
      </c>
      <c r="Z137">
        <v>0</v>
      </c>
      <c r="AA137" s="27"/>
      <c r="AB137" s="27"/>
      <c r="AC137" s="27"/>
      <c r="AE137" s="23" t="s">
        <v>469</v>
      </c>
      <c r="AF137">
        <v>2</v>
      </c>
      <c r="AG137" s="31"/>
      <c r="AH137" s="31"/>
      <c r="AJ137" s="34"/>
      <c r="AK137" s="23" t="s">
        <v>338</v>
      </c>
      <c r="AL137">
        <v>0</v>
      </c>
      <c r="AM137" s="31"/>
      <c r="AN137" s="31"/>
      <c r="AQ137" s="23" t="s">
        <v>350</v>
      </c>
      <c r="AR137">
        <v>0</v>
      </c>
      <c r="AS137" s="31"/>
      <c r="AT137" s="31"/>
      <c r="AW137" s="23" t="s">
        <v>365</v>
      </c>
      <c r="AX137">
        <v>1</v>
      </c>
      <c r="AY137" s="31"/>
      <c r="AZ137" s="31"/>
      <c r="BC137" s="19" t="s">
        <v>100</v>
      </c>
      <c r="BD137" s="35" t="s">
        <v>65</v>
      </c>
      <c r="BH137" s="34"/>
      <c r="BI137" s="23" t="s">
        <v>385</v>
      </c>
      <c r="BJ137">
        <v>0</v>
      </c>
      <c r="BK137" s="31" t="s">
        <v>144</v>
      </c>
      <c r="BL137" s="31">
        <f>STDEV(BJ132:BJ143)</f>
        <v>0.90033663737851999</v>
      </c>
      <c r="BN137" s="34"/>
      <c r="BO137" s="23" t="s">
        <v>407</v>
      </c>
      <c r="BP137">
        <v>0</v>
      </c>
      <c r="BQ137" s="31"/>
      <c r="BR137" s="31"/>
      <c r="BT137" s="34"/>
      <c r="BU137" s="23" t="s">
        <v>427</v>
      </c>
      <c r="BV137" s="22">
        <v>2</v>
      </c>
      <c r="BW137" s="31"/>
      <c r="BX137" s="31"/>
      <c r="BZ137" s="34"/>
      <c r="CA137" s="38"/>
      <c r="CB137" s="31"/>
      <c r="CC137" s="31"/>
      <c r="CD137" s="31"/>
      <c r="CF137" s="36"/>
      <c r="CG137" s="44"/>
      <c r="CL137" s="36"/>
      <c r="CR137" s="36"/>
    </row>
    <row r="138" spans="1:96" ht="15" x14ac:dyDescent="0.25">
      <c r="A138" s="42"/>
      <c r="B138" s="27"/>
      <c r="C138" s="27"/>
      <c r="D138" s="27"/>
      <c r="E138" s="27"/>
      <c r="G138" s="104" t="s">
        <v>521</v>
      </c>
      <c r="H138">
        <v>0</v>
      </c>
      <c r="I138" s="25"/>
      <c r="J138" s="25"/>
      <c r="K138" s="25"/>
      <c r="L138" s="29"/>
      <c r="M138" s="23" t="s">
        <v>488</v>
      </c>
      <c r="N138">
        <v>0</v>
      </c>
      <c r="O138" s="27" t="s">
        <v>138</v>
      </c>
      <c r="P138" s="27">
        <f>AVERAGE(N134:N138)</f>
        <v>0.4</v>
      </c>
      <c r="Q138" s="27"/>
      <c r="R138" s="29"/>
      <c r="S138" s="23" t="s">
        <v>491</v>
      </c>
      <c r="T138">
        <v>1</v>
      </c>
      <c r="U138" s="31" t="s">
        <v>122</v>
      </c>
      <c r="V138" s="27">
        <f>MAX(T136:T153)</f>
        <v>1</v>
      </c>
      <c r="W138" s="27"/>
      <c r="X138" s="29"/>
      <c r="Y138" s="23" t="s">
        <v>483</v>
      </c>
      <c r="Z138">
        <v>0</v>
      </c>
      <c r="AA138" s="27"/>
      <c r="AB138" s="27"/>
      <c r="AC138" s="27"/>
      <c r="AE138" s="23" t="s">
        <v>470</v>
      </c>
      <c r="AF138">
        <v>1</v>
      </c>
      <c r="AG138" s="31"/>
      <c r="AH138" s="31"/>
      <c r="AJ138" s="34"/>
      <c r="AK138" s="23" t="s">
        <v>339</v>
      </c>
      <c r="AL138">
        <v>0</v>
      </c>
      <c r="AM138" s="31"/>
      <c r="AN138" s="31"/>
      <c r="AQ138" s="23" t="s">
        <v>351</v>
      </c>
      <c r="AR138">
        <v>0</v>
      </c>
      <c r="AS138" s="31"/>
      <c r="AT138" s="31"/>
      <c r="AU138" s="24"/>
      <c r="AW138" s="23" t="s">
        <v>366</v>
      </c>
      <c r="AX138">
        <v>0</v>
      </c>
      <c r="AY138" s="31"/>
      <c r="AZ138" s="31"/>
      <c r="BA138" s="24"/>
      <c r="BD138" s="12" t="s">
        <v>24</v>
      </c>
      <c r="BH138" s="34"/>
      <c r="BI138" s="23" t="s">
        <v>386</v>
      </c>
      <c r="BJ138">
        <v>0</v>
      </c>
      <c r="BK138" s="31"/>
      <c r="BL138" s="31"/>
      <c r="BN138" s="34"/>
      <c r="BO138" s="86"/>
      <c r="BP138" s="94"/>
      <c r="BQ138" s="94"/>
      <c r="BR138" s="94"/>
      <c r="BS138" s="34"/>
      <c r="BT138" s="34"/>
      <c r="BU138" s="23" t="s">
        <v>428</v>
      </c>
      <c r="BV138" s="22">
        <v>1</v>
      </c>
      <c r="BW138" s="31"/>
      <c r="BX138" s="31"/>
      <c r="BZ138" s="34"/>
      <c r="CA138" s="38"/>
      <c r="CB138" s="31"/>
      <c r="CC138" s="31"/>
      <c r="CD138" s="31"/>
      <c r="CF138" s="36"/>
      <c r="CG138" s="44"/>
      <c r="CL138" s="36"/>
      <c r="CR138" s="36"/>
    </row>
    <row r="139" spans="1:96" ht="15" x14ac:dyDescent="0.25">
      <c r="A139" s="42"/>
      <c r="B139" s="27"/>
      <c r="C139" s="27"/>
      <c r="D139" s="27"/>
      <c r="E139" s="27"/>
      <c r="G139" s="104" t="s">
        <v>175</v>
      </c>
      <c r="H139">
        <v>1</v>
      </c>
      <c r="K139" s="25"/>
      <c r="L139" s="29"/>
      <c r="M139" s="23"/>
      <c r="N139" s="40"/>
      <c r="O139" s="27" t="s">
        <v>144</v>
      </c>
      <c r="P139" s="27">
        <f>STDEV(N134:N138)</f>
        <v>0.54772255750516607</v>
      </c>
      <c r="Q139" s="27"/>
      <c r="R139" s="29"/>
      <c r="S139" s="23" t="s">
        <v>492</v>
      </c>
      <c r="T139">
        <v>0</v>
      </c>
      <c r="U139" s="31" t="s">
        <v>129</v>
      </c>
      <c r="V139" s="27">
        <f>VAR(T136:T153)</f>
        <v>5.5555555555555552E-2</v>
      </c>
      <c r="W139" s="27"/>
      <c r="X139" s="29"/>
      <c r="Y139" s="23" t="s">
        <v>484</v>
      </c>
      <c r="Z139">
        <v>0</v>
      </c>
      <c r="AA139" s="27"/>
      <c r="AB139" s="27"/>
      <c r="AC139" s="27"/>
      <c r="AE139" s="23" t="s">
        <v>471</v>
      </c>
      <c r="AF139">
        <v>1</v>
      </c>
      <c r="AG139" s="31"/>
      <c r="AH139" s="31"/>
      <c r="AJ139" s="34"/>
      <c r="AK139" s="23" t="s">
        <v>340</v>
      </c>
      <c r="AL139">
        <v>18</v>
      </c>
      <c r="AM139" s="31"/>
      <c r="AN139" s="31"/>
      <c r="AO139" s="24"/>
      <c r="AQ139" s="23" t="s">
        <v>352</v>
      </c>
      <c r="AR139">
        <v>0</v>
      </c>
      <c r="AS139" s="31"/>
      <c r="AT139" s="31"/>
      <c r="AU139" s="24"/>
      <c r="AW139" s="23" t="s">
        <v>367</v>
      </c>
      <c r="AX139">
        <v>1</v>
      </c>
      <c r="AY139" s="31"/>
      <c r="AZ139" s="31"/>
      <c r="BA139" s="24"/>
      <c r="BC139" s="31" t="s">
        <v>102</v>
      </c>
      <c r="BD139" s="31" t="s">
        <v>71</v>
      </c>
      <c r="BE139" s="31" t="s">
        <v>103</v>
      </c>
      <c r="BF139" s="31" t="s">
        <v>104</v>
      </c>
      <c r="BG139" s="24"/>
      <c r="BH139" s="34"/>
      <c r="BI139" s="23" t="s">
        <v>387</v>
      </c>
      <c r="BJ139">
        <v>0</v>
      </c>
      <c r="BK139" s="33"/>
      <c r="BL139" s="33"/>
      <c r="BN139" s="34"/>
      <c r="BO139" s="19" t="s">
        <v>100</v>
      </c>
      <c r="BP139" s="35" t="s">
        <v>540</v>
      </c>
      <c r="BR139" s="19">
        <v>2014</v>
      </c>
      <c r="BT139" s="34"/>
      <c r="BU139" s="23" t="s">
        <v>429</v>
      </c>
      <c r="BV139" s="22">
        <v>1</v>
      </c>
      <c r="BW139" s="31"/>
      <c r="BX139" s="31"/>
      <c r="BZ139" s="34"/>
      <c r="CA139" s="38"/>
      <c r="CB139" s="31"/>
      <c r="CC139" s="31"/>
      <c r="CD139" s="31"/>
      <c r="CF139" s="36"/>
      <c r="CG139" s="44"/>
      <c r="CL139" s="36"/>
      <c r="CM139" s="31"/>
      <c r="CR139" s="36"/>
    </row>
    <row r="140" spans="1:96" ht="15" x14ac:dyDescent="0.25">
      <c r="A140" s="42"/>
      <c r="B140" s="27"/>
      <c r="C140" s="27"/>
      <c r="D140" s="27"/>
      <c r="E140" s="27"/>
      <c r="F140" s="34"/>
      <c r="G140" s="34"/>
      <c r="H140" s="34"/>
      <c r="I140" s="34"/>
      <c r="J140" s="34"/>
      <c r="K140" s="90"/>
      <c r="L140" s="90"/>
      <c r="M140" s="90"/>
      <c r="N140" s="90"/>
      <c r="O140" s="90"/>
      <c r="P140" s="90"/>
      <c r="Q140" s="90"/>
      <c r="R140" s="90"/>
      <c r="S140" s="23" t="s">
        <v>493</v>
      </c>
      <c r="T140">
        <v>0</v>
      </c>
      <c r="U140" s="31" t="s">
        <v>138</v>
      </c>
      <c r="V140" s="27">
        <f>AVERAGE(T136:T153)</f>
        <v>5.5555555555555552E-2</v>
      </c>
      <c r="W140" s="27"/>
      <c r="X140" s="90"/>
      <c r="Y140" s="90"/>
      <c r="Z140" s="90"/>
      <c r="AA140" s="90"/>
      <c r="AB140" s="90"/>
      <c r="AC140" s="90"/>
      <c r="AE140" s="23" t="s">
        <v>472</v>
      </c>
      <c r="AF140">
        <v>0</v>
      </c>
      <c r="AJ140" s="34"/>
      <c r="AK140" s="23" t="s">
        <v>77</v>
      </c>
      <c r="AL140">
        <v>3</v>
      </c>
      <c r="AM140" s="31"/>
      <c r="AN140" s="31"/>
      <c r="AO140" s="24"/>
      <c r="AQ140" s="97"/>
      <c r="AR140" s="94"/>
      <c r="AS140" s="94"/>
      <c r="AT140" s="94"/>
      <c r="AU140" s="34"/>
      <c r="AW140" s="34"/>
      <c r="AX140" s="94"/>
      <c r="AY140" s="94"/>
      <c r="AZ140" s="94"/>
      <c r="BA140" s="34"/>
      <c r="BC140" s="23" t="s">
        <v>368</v>
      </c>
      <c r="BD140">
        <v>1</v>
      </c>
      <c r="BE140" s="31" t="s">
        <v>106</v>
      </c>
      <c r="BF140" s="31">
        <f>SUM(BD140:BD152)</f>
        <v>6</v>
      </c>
      <c r="BG140" s="24"/>
      <c r="BH140" s="34"/>
      <c r="BI140" s="23" t="s">
        <v>139</v>
      </c>
      <c r="BJ140">
        <v>0</v>
      </c>
      <c r="BK140" s="33"/>
      <c r="BL140" s="33"/>
      <c r="BN140" s="34"/>
      <c r="BP140" s="12" t="s">
        <v>15</v>
      </c>
      <c r="BT140" s="34"/>
      <c r="BU140" s="23" t="s">
        <v>430</v>
      </c>
      <c r="BV140" s="22">
        <v>3</v>
      </c>
      <c r="BW140" s="31"/>
      <c r="BX140" s="31"/>
      <c r="BZ140" s="34"/>
      <c r="CA140" s="38"/>
      <c r="CB140" s="31"/>
      <c r="CC140" s="31"/>
      <c r="CD140" s="31"/>
      <c r="CF140" s="36"/>
      <c r="CG140" s="44"/>
      <c r="CL140" s="36"/>
      <c r="CM140" s="31"/>
      <c r="CN140" s="31"/>
      <c r="CO140" s="31"/>
      <c r="CP140" s="31"/>
      <c r="CR140" s="36"/>
    </row>
    <row r="141" spans="1:96" ht="15" x14ac:dyDescent="0.25">
      <c r="A141" s="42"/>
      <c r="B141" s="27"/>
      <c r="C141" s="27"/>
      <c r="D141" s="27"/>
      <c r="E141" s="27"/>
      <c r="G141" s="25" t="s">
        <v>100</v>
      </c>
      <c r="H141" s="26" t="s">
        <v>523</v>
      </c>
      <c r="I141" s="25"/>
      <c r="J141" s="25">
        <v>2014</v>
      </c>
      <c r="K141" s="25"/>
      <c r="L141" s="90"/>
      <c r="M141" s="90"/>
      <c r="N141" s="90"/>
      <c r="O141" s="90"/>
      <c r="P141" s="90"/>
      <c r="Q141" s="90"/>
      <c r="R141" s="90"/>
      <c r="S141" s="23" t="s">
        <v>494</v>
      </c>
      <c r="T141">
        <v>0</v>
      </c>
      <c r="U141" s="31" t="s">
        <v>144</v>
      </c>
      <c r="V141" s="27">
        <f>STDEV(T136:T153)</f>
        <v>0.23570226039551584</v>
      </c>
      <c r="W141" s="27"/>
      <c r="X141" s="29"/>
      <c r="Y141" s="90"/>
      <c r="Z141" s="102"/>
      <c r="AA141" s="90"/>
      <c r="AB141" s="90"/>
      <c r="AC141" s="90"/>
      <c r="AE141" s="23" t="s">
        <v>362</v>
      </c>
      <c r="AF141">
        <v>2</v>
      </c>
      <c r="AJ141" s="34"/>
      <c r="AK141" s="23" t="s">
        <v>341</v>
      </c>
      <c r="AL141">
        <v>16</v>
      </c>
      <c r="AM141" s="31"/>
      <c r="AN141" s="31"/>
      <c r="AO141" s="24"/>
      <c r="AQ141" s="19" t="s">
        <v>100</v>
      </c>
      <c r="AR141" s="32" t="s">
        <v>444</v>
      </c>
      <c r="AU141" s="24"/>
      <c r="AW141" s="19" t="s">
        <v>100</v>
      </c>
      <c r="AX141" s="35" t="s">
        <v>66</v>
      </c>
      <c r="AZ141" s="19">
        <v>2014</v>
      </c>
      <c r="BA141" s="24"/>
      <c r="BC141" s="23" t="s">
        <v>369</v>
      </c>
      <c r="BD141">
        <v>0</v>
      </c>
      <c r="BE141" s="31" t="s">
        <v>115</v>
      </c>
      <c r="BF141" s="31">
        <f>MIN(BD140:BD152)</f>
        <v>0</v>
      </c>
      <c r="BG141" s="24"/>
      <c r="BH141" s="34"/>
      <c r="BI141" s="23" t="s">
        <v>156</v>
      </c>
      <c r="BJ141">
        <v>0</v>
      </c>
      <c r="BK141" s="31"/>
      <c r="BL141" s="31"/>
      <c r="BN141" s="34"/>
      <c r="BO141" s="31" t="s">
        <v>102</v>
      </c>
      <c r="BP141" s="31" t="s">
        <v>71</v>
      </c>
      <c r="BQ141" s="31" t="s">
        <v>103</v>
      </c>
      <c r="BR141" s="31" t="s">
        <v>104</v>
      </c>
      <c r="BT141" s="34"/>
      <c r="BU141" s="23" t="s">
        <v>431</v>
      </c>
      <c r="BV141" s="22">
        <v>0</v>
      </c>
      <c r="BW141" s="31"/>
      <c r="BX141" s="31"/>
      <c r="BZ141" s="34"/>
      <c r="CA141" s="38"/>
      <c r="CB141" s="31"/>
      <c r="CC141" s="31"/>
      <c r="CD141" s="31"/>
      <c r="CF141" s="36"/>
      <c r="CG141" s="44"/>
      <c r="CL141" s="36"/>
      <c r="CM141" s="44"/>
      <c r="CO141" s="31"/>
      <c r="CP141" s="31"/>
      <c r="CR141" s="36"/>
    </row>
    <row r="142" spans="1:96" ht="15" x14ac:dyDescent="0.25">
      <c r="A142" s="42"/>
      <c r="B142" s="27"/>
      <c r="C142" s="27"/>
      <c r="D142" s="27"/>
      <c r="E142" s="27"/>
      <c r="G142" s="25" t="s">
        <v>101</v>
      </c>
      <c r="H142" s="103" t="s">
        <v>27</v>
      </c>
      <c r="I142" s="25"/>
      <c r="J142" s="25"/>
      <c r="K142" s="25"/>
      <c r="L142" s="29"/>
      <c r="M142" s="27"/>
      <c r="N142" s="27"/>
      <c r="O142" s="27"/>
      <c r="P142" s="27"/>
      <c r="Q142" s="27"/>
      <c r="R142" s="29"/>
      <c r="S142" s="23" t="s">
        <v>495</v>
      </c>
      <c r="T142">
        <v>0</v>
      </c>
      <c r="U142" s="27"/>
      <c r="V142" s="27"/>
      <c r="W142" s="27"/>
      <c r="X142" s="29"/>
      <c r="Y142" s="27"/>
      <c r="Z142" s="12"/>
      <c r="AA142" s="27"/>
      <c r="AB142" s="27"/>
      <c r="AC142" s="27"/>
      <c r="AE142" s="23" t="s">
        <v>473</v>
      </c>
      <c r="AF142">
        <v>6</v>
      </c>
      <c r="AJ142" s="34"/>
      <c r="AK142" s="23" t="s">
        <v>342</v>
      </c>
      <c r="AL142">
        <v>0</v>
      </c>
      <c r="AM142" s="31"/>
      <c r="AN142" s="31"/>
      <c r="AO142" s="24"/>
      <c r="AR142" s="12" t="s">
        <v>27</v>
      </c>
      <c r="AU142" s="24"/>
      <c r="AX142" s="12" t="s">
        <v>24</v>
      </c>
      <c r="BA142" s="24"/>
      <c r="BC142" s="23" t="s">
        <v>370</v>
      </c>
      <c r="BD142">
        <v>1</v>
      </c>
      <c r="BE142" s="31" t="s">
        <v>122</v>
      </c>
      <c r="BF142" s="31">
        <f>MAX(BD140:BD152)</f>
        <v>1</v>
      </c>
      <c r="BG142" s="24"/>
      <c r="BH142" s="34"/>
      <c r="BI142" s="23" t="s">
        <v>388</v>
      </c>
      <c r="BJ142">
        <v>3</v>
      </c>
      <c r="BK142" s="31"/>
      <c r="BL142" s="31"/>
      <c r="BN142" s="34"/>
      <c r="BO142" s="23" t="s">
        <v>390</v>
      </c>
      <c r="BP142">
        <v>1</v>
      </c>
      <c r="BQ142" s="31" t="s">
        <v>106</v>
      </c>
      <c r="BR142" s="31">
        <f>SUM(BP142:BP160)</f>
        <v>28</v>
      </c>
      <c r="BT142" s="34"/>
      <c r="BU142" s="23" t="s">
        <v>432</v>
      </c>
      <c r="BV142" s="22">
        <v>0</v>
      </c>
      <c r="BW142" s="31"/>
      <c r="BX142" s="31"/>
      <c r="BZ142" s="34"/>
      <c r="CA142" s="38"/>
      <c r="CB142" s="31"/>
      <c r="CC142" s="31"/>
      <c r="CD142" s="31"/>
      <c r="CF142" s="36"/>
      <c r="CG142" s="44"/>
      <c r="CL142" s="36"/>
      <c r="CM142" s="44"/>
      <c r="CO142" s="31"/>
      <c r="CP142" s="31"/>
      <c r="CR142" s="36"/>
    </row>
    <row r="143" spans="1:96" ht="15" x14ac:dyDescent="0.25">
      <c r="A143" s="42"/>
      <c r="B143" s="27"/>
      <c r="C143" s="27"/>
      <c r="D143" s="27"/>
      <c r="E143" s="27"/>
      <c r="G143" s="25" t="s">
        <v>102</v>
      </c>
      <c r="H143" s="25" t="s">
        <v>71</v>
      </c>
      <c r="I143" s="25" t="s">
        <v>103</v>
      </c>
      <c r="J143" s="25" t="s">
        <v>104</v>
      </c>
      <c r="K143" s="25"/>
      <c r="L143" s="29"/>
      <c r="M143" s="27"/>
      <c r="N143" s="27"/>
      <c r="O143" s="27"/>
      <c r="P143" s="27"/>
      <c r="Q143" s="27"/>
      <c r="R143" s="29"/>
      <c r="S143" s="23" t="s">
        <v>496</v>
      </c>
      <c r="T143">
        <v>0</v>
      </c>
      <c r="U143" s="27"/>
      <c r="V143" s="27"/>
      <c r="W143" s="27"/>
      <c r="X143" s="29"/>
      <c r="Y143" s="27"/>
      <c r="Z143" s="27"/>
      <c r="AA143" s="27"/>
      <c r="AB143" s="27"/>
      <c r="AC143" s="27"/>
      <c r="AE143" s="23" t="s">
        <v>474</v>
      </c>
      <c r="AF143">
        <v>2</v>
      </c>
      <c r="AJ143" s="34"/>
      <c r="AK143" s="23" t="s">
        <v>343</v>
      </c>
      <c r="AL143">
        <v>1</v>
      </c>
      <c r="AM143" s="31"/>
      <c r="AN143" s="31"/>
      <c r="AO143" s="24"/>
      <c r="AQ143" s="31" t="s">
        <v>102</v>
      </c>
      <c r="AR143" s="31" t="s">
        <v>71</v>
      </c>
      <c r="AS143" s="31" t="s">
        <v>103</v>
      </c>
      <c r="AT143" s="31" t="s">
        <v>104</v>
      </c>
      <c r="AU143" s="24"/>
      <c r="AW143" s="31" t="s">
        <v>102</v>
      </c>
      <c r="AX143" s="31" t="s">
        <v>71</v>
      </c>
      <c r="AY143" s="31" t="s">
        <v>103</v>
      </c>
      <c r="AZ143" s="31" t="s">
        <v>104</v>
      </c>
      <c r="BA143" s="24"/>
      <c r="BC143" s="23" t="s">
        <v>215</v>
      </c>
      <c r="BD143">
        <v>0</v>
      </c>
      <c r="BE143" s="31" t="s">
        <v>129</v>
      </c>
      <c r="BF143" s="31">
        <f>VAR(BD140:BD152)</f>
        <v>0.26923076923076922</v>
      </c>
      <c r="BG143" s="24"/>
      <c r="BH143" s="34"/>
      <c r="BI143" s="23" t="s">
        <v>389</v>
      </c>
      <c r="BJ143">
        <v>0</v>
      </c>
      <c r="BK143" s="31"/>
      <c r="BL143" s="31"/>
      <c r="BN143" s="34"/>
      <c r="BO143" s="23" t="s">
        <v>391</v>
      </c>
      <c r="BP143">
        <v>1</v>
      </c>
      <c r="BQ143" s="31" t="s">
        <v>115</v>
      </c>
      <c r="BR143" s="31">
        <f>MIN(BP142:BP160)</f>
        <v>0</v>
      </c>
      <c r="BT143" s="34"/>
      <c r="BU143" s="23" t="s">
        <v>433</v>
      </c>
      <c r="BV143" s="22">
        <v>0</v>
      </c>
      <c r="BW143" s="31"/>
      <c r="BX143" s="31"/>
      <c r="BZ143" s="34"/>
      <c r="CA143" s="38"/>
      <c r="CB143" s="33"/>
      <c r="CF143" s="36"/>
      <c r="CG143" s="44"/>
      <c r="CL143" s="36"/>
      <c r="CM143" s="44"/>
      <c r="CO143" s="31"/>
      <c r="CP143" s="31"/>
      <c r="CR143" s="36"/>
    </row>
    <row r="144" spans="1:96" ht="15" x14ac:dyDescent="0.25">
      <c r="A144" s="42"/>
      <c r="B144" s="27"/>
      <c r="C144" s="27"/>
      <c r="D144" s="27"/>
      <c r="E144" s="27"/>
      <c r="G144" s="104" t="s">
        <v>513</v>
      </c>
      <c r="H144">
        <v>0</v>
      </c>
      <c r="I144" s="25" t="s">
        <v>106</v>
      </c>
      <c r="J144" s="25">
        <f>SUM(H144:H153)</f>
        <v>14</v>
      </c>
      <c r="K144" s="25"/>
      <c r="L144" s="29"/>
      <c r="M144" s="27"/>
      <c r="N144" s="27"/>
      <c r="O144" s="27"/>
      <c r="P144" s="27"/>
      <c r="Q144" s="27"/>
      <c r="R144" s="29"/>
      <c r="S144" s="23" t="s">
        <v>389</v>
      </c>
      <c r="T144">
        <v>0</v>
      </c>
      <c r="U144" s="27"/>
      <c r="V144" s="27"/>
      <c r="W144" s="27"/>
      <c r="X144" s="29"/>
      <c r="Y144" s="23"/>
      <c r="Z144"/>
      <c r="AA144" s="27"/>
      <c r="AB144" s="27"/>
      <c r="AC144" s="27"/>
      <c r="AE144" s="23" t="s">
        <v>475</v>
      </c>
      <c r="AF144">
        <v>1</v>
      </c>
      <c r="AJ144" s="34"/>
      <c r="AK144" s="34"/>
      <c r="AL144" s="34"/>
      <c r="AM144" s="34"/>
      <c r="AN144" s="34"/>
      <c r="AO144" s="34"/>
      <c r="AQ144" s="23" t="s">
        <v>344</v>
      </c>
      <c r="AR144">
        <v>2</v>
      </c>
      <c r="AS144" s="31" t="s">
        <v>106</v>
      </c>
      <c r="AT144" s="31">
        <f>SUM(AR144:AR153)</f>
        <v>17</v>
      </c>
      <c r="AU144" s="24"/>
      <c r="AW144" s="23" t="s">
        <v>353</v>
      </c>
      <c r="AX144">
        <v>0</v>
      </c>
      <c r="AY144" s="31" t="s">
        <v>106</v>
      </c>
      <c r="AZ144" s="31">
        <f>SUM(AX144:AX159)</f>
        <v>2</v>
      </c>
      <c r="BA144" s="24"/>
      <c r="BC144" s="23" t="s">
        <v>371</v>
      </c>
      <c r="BD144">
        <v>0</v>
      </c>
      <c r="BE144" s="31" t="s">
        <v>138</v>
      </c>
      <c r="BF144" s="31">
        <f>AVERAGE(BD140:BD152)</f>
        <v>0.46153846153846156</v>
      </c>
      <c r="BG144" s="24"/>
      <c r="BH144" s="34"/>
      <c r="BI144" s="97"/>
      <c r="BJ144" s="34"/>
      <c r="BK144" s="94"/>
      <c r="BL144" s="94"/>
      <c r="BM144" s="34"/>
      <c r="BN144" s="34"/>
      <c r="BO144" s="23" t="s">
        <v>392</v>
      </c>
      <c r="BP144">
        <v>1</v>
      </c>
      <c r="BQ144" s="31" t="s">
        <v>122</v>
      </c>
      <c r="BR144" s="31">
        <f>MAX(BP142:BP160)</f>
        <v>5</v>
      </c>
      <c r="BT144" s="34"/>
      <c r="BU144" s="23" t="s">
        <v>434</v>
      </c>
      <c r="BV144" s="22">
        <v>0</v>
      </c>
      <c r="BW144" s="31"/>
      <c r="BX144" s="31"/>
      <c r="BZ144" s="34"/>
      <c r="CA144" s="38"/>
      <c r="CB144" s="33"/>
      <c r="CF144" s="36"/>
      <c r="CG144" s="44"/>
      <c r="CL144" s="36"/>
      <c r="CM144" s="44"/>
      <c r="CO144" s="31"/>
      <c r="CP144" s="31"/>
      <c r="CR144" s="36"/>
    </row>
    <row r="145" spans="1:96" ht="15" x14ac:dyDescent="0.25">
      <c r="A145" s="42"/>
      <c r="B145" s="27"/>
      <c r="C145" s="27"/>
      <c r="D145" s="27"/>
      <c r="E145" s="27"/>
      <c r="G145" s="104" t="s">
        <v>514</v>
      </c>
      <c r="H145">
        <v>3</v>
      </c>
      <c r="I145" s="25" t="s">
        <v>115</v>
      </c>
      <c r="J145" s="25">
        <f>MIN(H144:H153)</f>
        <v>0</v>
      </c>
      <c r="K145" s="25"/>
      <c r="L145" s="29"/>
      <c r="M145" s="27"/>
      <c r="N145" s="27"/>
      <c r="O145" s="27"/>
      <c r="P145" s="27"/>
      <c r="Q145" s="27"/>
      <c r="R145" s="29"/>
      <c r="S145" s="23" t="s">
        <v>497</v>
      </c>
      <c r="T145">
        <v>0</v>
      </c>
      <c r="U145" s="27"/>
      <c r="V145" s="27"/>
      <c r="W145" s="27"/>
      <c r="X145" s="29"/>
      <c r="Y145" s="23"/>
      <c r="Z145"/>
      <c r="AA145" s="27"/>
      <c r="AB145" s="27"/>
      <c r="AC145" s="27"/>
      <c r="AE145" s="94"/>
      <c r="AF145" s="94"/>
      <c r="AG145" s="94"/>
      <c r="AH145" s="94"/>
      <c r="AI145" s="34"/>
      <c r="AJ145" s="34"/>
      <c r="AK145" s="19" t="s">
        <v>100</v>
      </c>
      <c r="AL145" s="32" t="s">
        <v>443</v>
      </c>
      <c r="AO145" s="24"/>
      <c r="AQ145" s="23" t="s">
        <v>345</v>
      </c>
      <c r="AR145">
        <v>0</v>
      </c>
      <c r="AS145" s="31" t="s">
        <v>115</v>
      </c>
      <c r="AT145" s="31">
        <f>MIN(AR144:AR153)</f>
        <v>0</v>
      </c>
      <c r="AU145" s="24"/>
      <c r="AW145" s="23" t="s">
        <v>354</v>
      </c>
      <c r="AX145">
        <v>0</v>
      </c>
      <c r="AY145" s="31" t="s">
        <v>115</v>
      </c>
      <c r="AZ145" s="31">
        <f>MIN(AX144:AX159)</f>
        <v>0</v>
      </c>
      <c r="BA145" s="24"/>
      <c r="BC145" s="23" t="s">
        <v>372</v>
      </c>
      <c r="BD145">
        <v>1</v>
      </c>
      <c r="BE145" s="31" t="s">
        <v>144</v>
      </c>
      <c r="BF145" s="31">
        <f>STDEV(BD140:BD152)</f>
        <v>0.51887452166277082</v>
      </c>
      <c r="BG145" s="24"/>
      <c r="BH145" s="34"/>
      <c r="BI145" s="19" t="s">
        <v>100</v>
      </c>
      <c r="BJ145" s="35" t="s">
        <v>64</v>
      </c>
      <c r="BN145" s="34"/>
      <c r="BO145" s="23" t="s">
        <v>393</v>
      </c>
      <c r="BP145">
        <v>1</v>
      </c>
      <c r="BQ145" s="31" t="s">
        <v>129</v>
      </c>
      <c r="BR145" s="31">
        <f>VAR(BP142:BP160)</f>
        <v>2.263157894736842</v>
      </c>
      <c r="BT145" s="34"/>
      <c r="BU145" s="86"/>
      <c r="BV145" s="94"/>
      <c r="BW145" s="34"/>
      <c r="BX145" s="34"/>
      <c r="BY145" s="34"/>
      <c r="BZ145" s="34"/>
      <c r="CA145" s="38"/>
      <c r="CB145" s="33"/>
      <c r="CF145" s="36"/>
      <c r="CG145" s="44"/>
      <c r="CL145" s="36"/>
      <c r="CM145" s="44"/>
      <c r="CO145" s="31"/>
      <c r="CP145" s="31"/>
      <c r="CR145" s="36"/>
    </row>
    <row r="146" spans="1:96" ht="15" x14ac:dyDescent="0.25">
      <c r="A146" s="42"/>
      <c r="B146" s="27"/>
      <c r="C146" s="27"/>
      <c r="D146" s="27"/>
      <c r="E146" s="27"/>
      <c r="G146" s="104" t="s">
        <v>515</v>
      </c>
      <c r="H146">
        <v>0</v>
      </c>
      <c r="I146" s="25" t="s">
        <v>122</v>
      </c>
      <c r="J146" s="25">
        <f>MAX(H144:H153)</f>
        <v>4</v>
      </c>
      <c r="K146" s="25"/>
      <c r="L146" s="29"/>
      <c r="M146" s="27"/>
      <c r="N146" s="27"/>
      <c r="O146" s="27"/>
      <c r="P146" s="27"/>
      <c r="Q146" s="27"/>
      <c r="R146" s="29"/>
      <c r="S146" s="23" t="s">
        <v>498</v>
      </c>
      <c r="T146">
        <v>0</v>
      </c>
      <c r="U146" s="27"/>
      <c r="V146" s="27"/>
      <c r="W146" s="25"/>
      <c r="X146" s="29"/>
      <c r="Y146" s="23"/>
      <c r="Z146"/>
      <c r="AA146" s="27"/>
      <c r="AB146" s="27"/>
      <c r="AC146" s="27"/>
      <c r="AE146" s="31" t="s">
        <v>100</v>
      </c>
      <c r="AF146" s="32" t="s">
        <v>67</v>
      </c>
      <c r="AG146" s="31"/>
      <c r="AH146" s="31"/>
      <c r="AJ146" s="34"/>
      <c r="AK146" s="19" t="s">
        <v>101</v>
      </c>
      <c r="AL146" s="12" t="s">
        <v>18</v>
      </c>
      <c r="AO146" s="24"/>
      <c r="AQ146" s="23" t="s">
        <v>262</v>
      </c>
      <c r="AR146">
        <v>4</v>
      </c>
      <c r="AS146" s="31" t="s">
        <v>122</v>
      </c>
      <c r="AT146" s="31">
        <f>MAX(AR144:AR153)</f>
        <v>4</v>
      </c>
      <c r="AU146" s="24"/>
      <c r="AW146" s="23" t="s">
        <v>216</v>
      </c>
      <c r="AX146">
        <v>0</v>
      </c>
      <c r="AY146" s="31" t="s">
        <v>122</v>
      </c>
      <c r="AZ146" s="31">
        <f>MAX(AX144:AX159)</f>
        <v>1</v>
      </c>
      <c r="BA146" s="24"/>
      <c r="BC146" s="23" t="s">
        <v>373</v>
      </c>
      <c r="BD146">
        <v>1</v>
      </c>
      <c r="BE146" s="31"/>
      <c r="BF146" s="31"/>
      <c r="BG146" s="24"/>
      <c r="BH146" s="34"/>
      <c r="BJ146" s="12" t="s">
        <v>19</v>
      </c>
      <c r="BN146" s="34"/>
      <c r="BO146" s="23" t="s">
        <v>394</v>
      </c>
      <c r="BP146">
        <v>2</v>
      </c>
      <c r="BQ146" s="31" t="s">
        <v>138</v>
      </c>
      <c r="BR146" s="31">
        <f>AVERAGE(BP142:BP160)</f>
        <v>1.4736842105263157</v>
      </c>
      <c r="BT146" s="34"/>
      <c r="BU146" s="19" t="s">
        <v>100</v>
      </c>
      <c r="BV146" s="35" t="s">
        <v>61</v>
      </c>
      <c r="BZ146" s="34"/>
      <c r="CA146" s="38"/>
      <c r="CB146" s="33"/>
      <c r="CF146" s="36"/>
      <c r="CG146" s="44"/>
      <c r="CL146" s="36"/>
      <c r="CM146" s="44"/>
      <c r="CO146" s="31"/>
      <c r="CP146" s="31"/>
      <c r="CR146" s="36"/>
    </row>
    <row r="147" spans="1:96" ht="15" x14ac:dyDescent="0.25">
      <c r="A147" s="42"/>
      <c r="B147" s="27"/>
      <c r="C147" s="27"/>
      <c r="D147" s="27"/>
      <c r="E147" s="27"/>
      <c r="G147" s="104" t="s">
        <v>516</v>
      </c>
      <c r="H147">
        <v>4</v>
      </c>
      <c r="I147" s="25" t="s">
        <v>129</v>
      </c>
      <c r="J147" s="25">
        <f>VAR(H144:H153)</f>
        <v>2.4888888888888889</v>
      </c>
      <c r="K147" s="25"/>
      <c r="L147" s="29"/>
      <c r="M147" s="27"/>
      <c r="N147" s="27"/>
      <c r="O147" s="27"/>
      <c r="P147" s="27"/>
      <c r="Q147" s="27"/>
      <c r="R147" s="29"/>
      <c r="S147" s="23" t="s">
        <v>499</v>
      </c>
      <c r="T147">
        <v>0</v>
      </c>
      <c r="U147" s="27"/>
      <c r="V147" s="27"/>
      <c r="W147" s="27"/>
      <c r="X147" s="29"/>
      <c r="Y147" s="23"/>
      <c r="Z147"/>
      <c r="AA147" s="27"/>
      <c r="AB147" s="27"/>
      <c r="AC147" s="27"/>
      <c r="AE147" s="31" t="s">
        <v>101</v>
      </c>
      <c r="AF147" s="12" t="s">
        <v>8</v>
      </c>
      <c r="AG147" s="31"/>
      <c r="AH147" s="31"/>
      <c r="AJ147" s="34"/>
      <c r="AK147" s="31" t="s">
        <v>102</v>
      </c>
      <c r="AL147" s="31" t="s">
        <v>71</v>
      </c>
      <c r="AM147" s="31" t="s">
        <v>103</v>
      </c>
      <c r="AN147" s="31" t="s">
        <v>104</v>
      </c>
      <c r="AO147" s="24"/>
      <c r="AQ147" s="23" t="s">
        <v>346</v>
      </c>
      <c r="AR147">
        <v>1</v>
      </c>
      <c r="AS147" s="31" t="s">
        <v>129</v>
      </c>
      <c r="AT147" s="31">
        <f>VAR(AR144:AR153)</f>
        <v>2.4555555555555557</v>
      </c>
      <c r="AU147" s="24"/>
      <c r="AW147" s="23" t="s">
        <v>355</v>
      </c>
      <c r="AX147">
        <v>1</v>
      </c>
      <c r="AY147" s="31" t="s">
        <v>129</v>
      </c>
      <c r="AZ147" s="31">
        <f>VAR(AX144:AX159)</f>
        <v>0.11666666666666667</v>
      </c>
      <c r="BA147" s="24"/>
      <c r="BC147" s="23" t="s">
        <v>374</v>
      </c>
      <c r="BD147">
        <v>1</v>
      </c>
      <c r="BE147" s="33"/>
      <c r="BF147" s="33"/>
      <c r="BG147" s="24"/>
      <c r="BH147" s="34"/>
      <c r="BI147" s="31" t="s">
        <v>102</v>
      </c>
      <c r="BJ147" s="31" t="s">
        <v>71</v>
      </c>
      <c r="BK147" s="31" t="s">
        <v>103</v>
      </c>
      <c r="BL147" s="31" t="s">
        <v>104</v>
      </c>
      <c r="BN147" s="34"/>
      <c r="BO147" s="23" t="s">
        <v>395</v>
      </c>
      <c r="BP147">
        <v>0</v>
      </c>
      <c r="BQ147" s="31" t="s">
        <v>144</v>
      </c>
      <c r="BR147" s="31">
        <f>STDEV(BP142:BP160)</f>
        <v>1.504379571363837</v>
      </c>
      <c r="BT147" s="34"/>
      <c r="BV147" s="12" t="s">
        <v>6</v>
      </c>
      <c r="BZ147" s="34"/>
      <c r="CA147" s="38"/>
      <c r="CB147" s="33"/>
      <c r="CF147" s="36"/>
      <c r="CG147" s="44"/>
      <c r="CL147" s="36"/>
      <c r="CM147" s="44"/>
      <c r="CR147" s="36"/>
    </row>
    <row r="148" spans="1:96" ht="15" x14ac:dyDescent="0.25">
      <c r="A148" s="42"/>
      <c r="B148" s="27"/>
      <c r="C148" s="27"/>
      <c r="D148" s="27"/>
      <c r="E148" s="27"/>
      <c r="G148" s="104" t="s">
        <v>517</v>
      </c>
      <c r="H148">
        <v>0</v>
      </c>
      <c r="I148" s="25" t="s">
        <v>138</v>
      </c>
      <c r="J148" s="25">
        <f>AVERAGE(H144:H153)</f>
        <v>1.4</v>
      </c>
      <c r="K148" s="25"/>
      <c r="L148" s="29"/>
      <c r="M148" s="27"/>
      <c r="N148" s="27"/>
      <c r="O148" s="27"/>
      <c r="P148" s="27"/>
      <c r="Q148" s="27"/>
      <c r="R148" s="29"/>
      <c r="S148" s="23" t="s">
        <v>500</v>
      </c>
      <c r="T148">
        <v>0</v>
      </c>
      <c r="U148" s="27"/>
      <c r="V148" s="27"/>
      <c r="W148" s="27"/>
      <c r="X148" s="29"/>
      <c r="Y148" s="23"/>
      <c r="Z148"/>
      <c r="AA148" s="27"/>
      <c r="AB148" s="27"/>
      <c r="AC148" s="27"/>
      <c r="AE148" s="31" t="s">
        <v>102</v>
      </c>
      <c r="AF148" s="31" t="s">
        <v>71</v>
      </c>
      <c r="AG148" s="31" t="s">
        <v>103</v>
      </c>
      <c r="AH148" s="31" t="s">
        <v>104</v>
      </c>
      <c r="AJ148" s="34"/>
      <c r="AK148" s="23" t="s">
        <v>332</v>
      </c>
      <c r="AL148">
        <v>0</v>
      </c>
      <c r="AM148" s="31" t="s">
        <v>106</v>
      </c>
      <c r="AN148" s="31">
        <f>SUM(AL148:AL161)</f>
        <v>11</v>
      </c>
      <c r="AO148" s="24"/>
      <c r="AQ148" s="23" t="s">
        <v>347</v>
      </c>
      <c r="AR148">
        <v>3</v>
      </c>
      <c r="AS148" s="31" t="s">
        <v>138</v>
      </c>
      <c r="AT148" s="31">
        <f>AVERAGE(AR144:AR153)</f>
        <v>1.7</v>
      </c>
      <c r="AU148" s="24"/>
      <c r="AW148" s="23" t="s">
        <v>356</v>
      </c>
      <c r="AX148">
        <v>0</v>
      </c>
      <c r="AY148" s="31" t="s">
        <v>138</v>
      </c>
      <c r="AZ148" s="31">
        <f>AVERAGE(AX144:AX159)</f>
        <v>0.125</v>
      </c>
      <c r="BA148" s="24"/>
      <c r="BC148" s="23" t="s">
        <v>375</v>
      </c>
      <c r="BD148">
        <v>0</v>
      </c>
      <c r="BE148" s="33"/>
      <c r="BF148" s="33"/>
      <c r="BG148" s="24"/>
      <c r="BH148" s="34"/>
      <c r="BI148" s="23" t="s">
        <v>380</v>
      </c>
      <c r="BJ148">
        <v>1</v>
      </c>
      <c r="BK148" s="31" t="s">
        <v>106</v>
      </c>
      <c r="BL148" s="31">
        <f>SUM(BJ148:BJ159)</f>
        <v>9</v>
      </c>
      <c r="BN148" s="34"/>
      <c r="BO148" s="23" t="s">
        <v>396</v>
      </c>
      <c r="BP148">
        <v>0</v>
      </c>
      <c r="BQ148" s="31"/>
      <c r="BR148" s="31"/>
      <c r="BT148" s="34"/>
      <c r="BU148" s="31" t="s">
        <v>102</v>
      </c>
      <c r="BV148" s="31" t="s">
        <v>71</v>
      </c>
      <c r="BW148" s="31" t="s">
        <v>103</v>
      </c>
      <c r="BX148" s="31" t="s">
        <v>104</v>
      </c>
      <c r="BZ148" s="34"/>
      <c r="CA148" s="38"/>
      <c r="CB148" s="33"/>
      <c r="CF148" s="36"/>
      <c r="CG148" s="44"/>
      <c r="CL148" s="36"/>
      <c r="CM148" s="44"/>
      <c r="CR148" s="36"/>
    </row>
    <row r="149" spans="1:96" ht="15" x14ac:dyDescent="0.25">
      <c r="A149" s="42"/>
      <c r="B149" s="27"/>
      <c r="C149" s="27"/>
      <c r="D149" s="27"/>
      <c r="E149" s="27"/>
      <c r="G149" s="104" t="s">
        <v>518</v>
      </c>
      <c r="H149">
        <v>0</v>
      </c>
      <c r="I149" s="25" t="s">
        <v>144</v>
      </c>
      <c r="J149" s="25">
        <f>STDEV(H144:H153)</f>
        <v>1.5776212754932311</v>
      </c>
      <c r="K149" s="25"/>
      <c r="L149" s="29"/>
      <c r="M149" s="27"/>
      <c r="N149" s="27"/>
      <c r="O149" s="27"/>
      <c r="P149" s="27"/>
      <c r="Q149" s="27"/>
      <c r="R149" s="29"/>
      <c r="S149" s="23" t="s">
        <v>501</v>
      </c>
      <c r="T149">
        <v>0</v>
      </c>
      <c r="U149" s="27"/>
      <c r="V149" s="27"/>
      <c r="W149" s="27"/>
      <c r="X149" s="29"/>
      <c r="Y149" s="23"/>
      <c r="Z149"/>
      <c r="AA149" s="27"/>
      <c r="AB149" s="27"/>
      <c r="AC149" s="27"/>
      <c r="AE149" s="23" t="s">
        <v>453</v>
      </c>
      <c r="AF149">
        <v>0</v>
      </c>
      <c r="AG149" s="31" t="s">
        <v>106</v>
      </c>
      <c r="AH149" s="31">
        <f>SUM(AF149:AF173)</f>
        <v>6</v>
      </c>
      <c r="AJ149" s="34"/>
      <c r="AK149" s="23" t="s">
        <v>333</v>
      </c>
      <c r="AL149">
        <v>0</v>
      </c>
      <c r="AM149" s="31" t="s">
        <v>115</v>
      </c>
      <c r="AN149" s="31">
        <f>MIN(AL148:AL161)</f>
        <v>0</v>
      </c>
      <c r="AO149" s="24"/>
      <c r="AQ149" s="23" t="s">
        <v>348</v>
      </c>
      <c r="AR149">
        <v>1</v>
      </c>
      <c r="AS149" s="31" t="s">
        <v>144</v>
      </c>
      <c r="AT149" s="31">
        <f>STDEV(AR144:AR153)</f>
        <v>1.5670212364724212</v>
      </c>
      <c r="AU149" s="24"/>
      <c r="AW149" s="23" t="s">
        <v>357</v>
      </c>
      <c r="AX149">
        <v>0</v>
      </c>
      <c r="AY149" s="31" t="s">
        <v>144</v>
      </c>
      <c r="AZ149" s="31">
        <f>STDEV(AX144:AX159)</f>
        <v>0.34156502553198659</v>
      </c>
      <c r="BA149" s="24"/>
      <c r="BC149" s="23" t="s">
        <v>376</v>
      </c>
      <c r="BD149">
        <v>0</v>
      </c>
      <c r="BE149" s="31"/>
      <c r="BF149" s="31"/>
      <c r="BG149" s="24"/>
      <c r="BH149" s="34"/>
      <c r="BI149" s="23" t="s">
        <v>381</v>
      </c>
      <c r="BJ149">
        <v>2</v>
      </c>
      <c r="BK149" s="31" t="s">
        <v>115</v>
      </c>
      <c r="BL149" s="31">
        <f>MIN(BJ148:BJ159)</f>
        <v>0</v>
      </c>
      <c r="BN149" s="34"/>
      <c r="BO149" s="23" t="s">
        <v>397</v>
      </c>
      <c r="BP149">
        <v>0</v>
      </c>
      <c r="BQ149" s="31"/>
      <c r="BR149" s="31"/>
      <c r="BT149" s="34"/>
      <c r="BU149" s="23" t="s">
        <v>412</v>
      </c>
      <c r="BV149" s="22">
        <v>9</v>
      </c>
      <c r="BW149" s="31" t="s">
        <v>106</v>
      </c>
      <c r="BX149" s="31">
        <f>SUM(BV149:BV173)</f>
        <v>229</v>
      </c>
      <c r="BZ149" s="34"/>
      <c r="CA149" s="38"/>
      <c r="CB149" s="33"/>
      <c r="CF149" s="36"/>
      <c r="CG149" s="44"/>
      <c r="CL149" s="36"/>
      <c r="CM149" s="44"/>
      <c r="CR149" s="36"/>
    </row>
    <row r="150" spans="1:96" ht="15" x14ac:dyDescent="0.25">
      <c r="A150" s="42"/>
      <c r="B150" s="27"/>
      <c r="C150" s="27"/>
      <c r="D150" s="27"/>
      <c r="E150" s="27"/>
      <c r="G150" s="104" t="s">
        <v>519</v>
      </c>
      <c r="H150">
        <v>2</v>
      </c>
      <c r="I150" s="25"/>
      <c r="J150" s="25"/>
      <c r="K150" s="25"/>
      <c r="L150" s="29"/>
      <c r="M150" s="27"/>
      <c r="N150" s="27"/>
      <c r="O150" s="27"/>
      <c r="P150" s="27"/>
      <c r="Q150" s="27"/>
      <c r="R150" s="29"/>
      <c r="S150" s="23" t="s">
        <v>502</v>
      </c>
      <c r="T150">
        <v>0</v>
      </c>
      <c r="U150" s="27"/>
      <c r="V150" s="27"/>
      <c r="W150" s="27"/>
      <c r="X150" s="29"/>
      <c r="Y150" s="23"/>
      <c r="Z150"/>
      <c r="AA150" s="27"/>
      <c r="AB150" s="27"/>
      <c r="AC150" s="27"/>
      <c r="AE150" s="23" t="s">
        <v>454</v>
      </c>
      <c r="AF150">
        <v>0</v>
      </c>
      <c r="AG150" s="31" t="s">
        <v>115</v>
      </c>
      <c r="AH150" s="31">
        <f>MIN(AF149:AF173)</f>
        <v>0</v>
      </c>
      <c r="AJ150" s="34"/>
      <c r="AK150" s="23" t="s">
        <v>334</v>
      </c>
      <c r="AL150">
        <v>0</v>
      </c>
      <c r="AM150" s="31" t="s">
        <v>122</v>
      </c>
      <c r="AN150" s="31">
        <f>MAX(AL148:AL161)</f>
        <v>8</v>
      </c>
      <c r="AO150" s="24"/>
      <c r="AQ150" s="23" t="s">
        <v>349</v>
      </c>
      <c r="AR150">
        <v>2</v>
      </c>
      <c r="AS150" s="31"/>
      <c r="AT150" s="31"/>
      <c r="AU150" s="24"/>
      <c r="AW150" s="23" t="s">
        <v>358</v>
      </c>
      <c r="AX150">
        <v>0</v>
      </c>
      <c r="AY150" s="31"/>
      <c r="AZ150" s="31"/>
      <c r="BA150" s="24"/>
      <c r="BC150" s="23" t="s">
        <v>377</v>
      </c>
      <c r="BD150">
        <v>0</v>
      </c>
      <c r="BE150" s="31"/>
      <c r="BF150" s="31"/>
      <c r="BG150" s="24"/>
      <c r="BH150" s="34"/>
      <c r="BI150" s="23" t="s">
        <v>382</v>
      </c>
      <c r="BJ150">
        <v>0</v>
      </c>
      <c r="BK150" s="31" t="s">
        <v>122</v>
      </c>
      <c r="BL150" s="31">
        <f>MAX(BJ148:BJ159)</f>
        <v>4</v>
      </c>
      <c r="BN150" s="34"/>
      <c r="BO150" s="23" t="s">
        <v>398</v>
      </c>
      <c r="BP150">
        <v>1</v>
      </c>
      <c r="BQ150" s="31"/>
      <c r="BR150" s="31"/>
      <c r="BT150" s="34"/>
      <c r="BU150" s="22" t="s">
        <v>244</v>
      </c>
      <c r="BV150" s="22">
        <v>10</v>
      </c>
      <c r="BW150" s="31" t="s">
        <v>115</v>
      </c>
      <c r="BX150" s="31">
        <f>MIN(BV149:BV173)</f>
        <v>0</v>
      </c>
      <c r="BZ150" s="34"/>
      <c r="CA150" s="38"/>
      <c r="CB150" s="33"/>
      <c r="CF150" s="36"/>
      <c r="CG150" s="44"/>
      <c r="CL150" s="36"/>
      <c r="CM150" s="44"/>
      <c r="CR150" s="36"/>
    </row>
    <row r="151" spans="1:96" ht="15" x14ac:dyDescent="0.25">
      <c r="A151" s="27"/>
      <c r="B151" s="27"/>
      <c r="C151" s="27"/>
      <c r="D151" s="27"/>
      <c r="E151" s="27"/>
      <c r="G151" s="104" t="s">
        <v>520</v>
      </c>
      <c r="H151">
        <v>0</v>
      </c>
      <c r="I151" s="25"/>
      <c r="J151" s="25"/>
      <c r="K151" s="25"/>
      <c r="L151" s="29"/>
      <c r="M151" s="27"/>
      <c r="N151" s="27"/>
      <c r="O151" s="27"/>
      <c r="P151" s="27"/>
      <c r="Q151" s="27"/>
      <c r="R151" s="29"/>
      <c r="S151" s="23" t="s">
        <v>350</v>
      </c>
      <c r="T151">
        <v>0</v>
      </c>
      <c r="U151" s="27"/>
      <c r="V151" s="27"/>
      <c r="W151" s="27"/>
      <c r="X151" s="29"/>
      <c r="Y151" s="23"/>
      <c r="Z151"/>
      <c r="AA151" s="27"/>
      <c r="AB151" s="27"/>
      <c r="AC151" s="27"/>
      <c r="AE151" s="23" t="s">
        <v>455</v>
      </c>
      <c r="AF151">
        <v>1</v>
      </c>
      <c r="AG151" s="31" t="s">
        <v>122</v>
      </c>
      <c r="AH151" s="31">
        <f>MAX(AF149:AF173)</f>
        <v>1</v>
      </c>
      <c r="AJ151" s="34"/>
      <c r="AK151" s="23" t="s">
        <v>335</v>
      </c>
      <c r="AL151">
        <v>0</v>
      </c>
      <c r="AM151" s="31" t="s">
        <v>129</v>
      </c>
      <c r="AN151" s="31">
        <f>VAR(AL148:AL161)</f>
        <v>4.9505494505494507</v>
      </c>
      <c r="AO151" s="24"/>
      <c r="AQ151" s="23" t="s">
        <v>350</v>
      </c>
      <c r="AR151">
        <v>0</v>
      </c>
      <c r="AS151" s="31"/>
      <c r="AT151" s="31"/>
      <c r="AU151" s="24"/>
      <c r="AW151" s="23" t="s">
        <v>359</v>
      </c>
      <c r="AX151">
        <v>0</v>
      </c>
      <c r="AY151" s="31"/>
      <c r="AZ151" s="31"/>
      <c r="BA151" s="24"/>
      <c r="BC151" s="23" t="s">
        <v>378</v>
      </c>
      <c r="BD151">
        <v>0</v>
      </c>
      <c r="BE151" s="31"/>
      <c r="BF151" s="31"/>
      <c r="BG151" s="24"/>
      <c r="BH151" s="34"/>
      <c r="BI151" s="23" t="s">
        <v>383</v>
      </c>
      <c r="BJ151">
        <v>1</v>
      </c>
      <c r="BK151" s="31" t="s">
        <v>129</v>
      </c>
      <c r="BL151" s="31">
        <f>VAR(BJ148:BJ159)</f>
        <v>1.4772727272727273</v>
      </c>
      <c r="BN151" s="34"/>
      <c r="BO151" s="23" t="s">
        <v>399</v>
      </c>
      <c r="BP151">
        <v>4</v>
      </c>
      <c r="BQ151" s="31"/>
      <c r="BR151" s="31"/>
      <c r="BT151" s="34"/>
      <c r="BU151" s="22" t="s">
        <v>119</v>
      </c>
      <c r="BV151" s="22">
        <v>0</v>
      </c>
      <c r="BW151" s="31" t="s">
        <v>122</v>
      </c>
      <c r="BX151" s="31">
        <f>MAX(BV149:BV173)</f>
        <v>41</v>
      </c>
      <c r="BZ151" s="34"/>
      <c r="CA151" s="38"/>
      <c r="CB151" s="33"/>
      <c r="CF151" s="36"/>
      <c r="CG151" s="44"/>
      <c r="CL151" s="36"/>
      <c r="CM151" s="44"/>
      <c r="CR151" s="36"/>
    </row>
    <row r="152" spans="1:96" ht="15" x14ac:dyDescent="0.25">
      <c r="A152" s="27"/>
      <c r="B152" s="27"/>
      <c r="C152" s="27"/>
      <c r="D152" s="27"/>
      <c r="E152" s="27"/>
      <c r="G152" s="104" t="s">
        <v>521</v>
      </c>
      <c r="H152">
        <v>3</v>
      </c>
      <c r="I152" s="25"/>
      <c r="J152" s="25"/>
      <c r="K152" s="25"/>
      <c r="L152" s="29"/>
      <c r="M152" s="27"/>
      <c r="N152" s="27"/>
      <c r="O152" s="27"/>
      <c r="P152" s="27"/>
      <c r="Q152" s="27"/>
      <c r="R152" s="29"/>
      <c r="S152" s="23" t="s">
        <v>503</v>
      </c>
      <c r="T152">
        <v>0</v>
      </c>
      <c r="U152" s="27"/>
      <c r="V152" s="27"/>
      <c r="W152" s="27"/>
      <c r="X152" s="29"/>
      <c r="Y152" s="104"/>
      <c r="Z152" s="105"/>
      <c r="AA152" s="25"/>
      <c r="AB152" s="25"/>
      <c r="AC152" s="25"/>
      <c r="AE152" s="23" t="s">
        <v>456</v>
      </c>
      <c r="AF152">
        <v>0</v>
      </c>
      <c r="AG152" s="31" t="s">
        <v>129</v>
      </c>
      <c r="AH152" s="31">
        <f>VAR(AF149:AF173)</f>
        <v>0.19000000000000003</v>
      </c>
      <c r="AJ152" s="34"/>
      <c r="AK152" s="23" t="s">
        <v>336</v>
      </c>
      <c r="AL152">
        <v>0</v>
      </c>
      <c r="AM152" s="31" t="s">
        <v>138</v>
      </c>
      <c r="AN152" s="31">
        <f>AVERAGE(AL148:AL161)</f>
        <v>0.7857142857142857</v>
      </c>
      <c r="AO152" s="24"/>
      <c r="AQ152" s="23" t="s">
        <v>351</v>
      </c>
      <c r="AR152">
        <v>4</v>
      </c>
      <c r="AS152" s="31"/>
      <c r="AT152" s="31"/>
      <c r="AU152" s="24"/>
      <c r="AW152" s="23" t="s">
        <v>360</v>
      </c>
      <c r="AX152">
        <v>0</v>
      </c>
      <c r="AY152" s="31"/>
      <c r="AZ152" s="31"/>
      <c r="BA152" s="24"/>
      <c r="BC152" s="23" t="s">
        <v>379</v>
      </c>
      <c r="BD152">
        <v>1</v>
      </c>
      <c r="BE152" s="31"/>
      <c r="BF152" s="31"/>
      <c r="BG152" s="24"/>
      <c r="BH152" s="34"/>
      <c r="BI152" s="23" t="s">
        <v>384</v>
      </c>
      <c r="BJ152">
        <v>4</v>
      </c>
      <c r="BK152" s="31" t="s">
        <v>138</v>
      </c>
      <c r="BL152" s="31">
        <f>AVERAGE(BJ148:BJ159)</f>
        <v>0.75</v>
      </c>
      <c r="BN152" s="34"/>
      <c r="BO152" s="23" t="s">
        <v>214</v>
      </c>
      <c r="BP152">
        <v>1</v>
      </c>
      <c r="BQ152" s="31"/>
      <c r="BR152" s="31"/>
      <c r="BT152" s="34"/>
      <c r="BU152" s="22" t="s">
        <v>413</v>
      </c>
      <c r="BV152" s="22">
        <v>0</v>
      </c>
      <c r="BW152" s="31" t="s">
        <v>129</v>
      </c>
      <c r="BX152" s="31">
        <f>VAR(BV149:BV173)</f>
        <v>99.306666666666672</v>
      </c>
      <c r="BZ152" s="34"/>
      <c r="CA152" s="38"/>
      <c r="CB152" s="33"/>
      <c r="CF152" s="36"/>
      <c r="CG152" s="44"/>
      <c r="CL152" s="36"/>
      <c r="CM152" s="44"/>
      <c r="CR152" s="36"/>
    </row>
    <row r="153" spans="1:96" ht="15" x14ac:dyDescent="0.25">
      <c r="G153" s="104" t="s">
        <v>175</v>
      </c>
      <c r="H153">
        <v>2</v>
      </c>
      <c r="K153" s="25"/>
      <c r="L153" s="29"/>
      <c r="M153" s="27"/>
      <c r="N153" s="27"/>
      <c r="O153" s="27"/>
      <c r="P153" s="27"/>
      <c r="Q153" s="27"/>
      <c r="R153" s="29"/>
      <c r="S153" s="23" t="s">
        <v>504</v>
      </c>
      <c r="T153">
        <v>0</v>
      </c>
      <c r="U153" s="25"/>
      <c r="V153" s="25"/>
      <c r="W153" s="25"/>
      <c r="X153" s="29"/>
      <c r="Y153" s="104"/>
      <c r="Z153" s="105"/>
      <c r="AA153" s="25"/>
      <c r="AB153" s="25"/>
      <c r="AC153" s="25"/>
      <c r="AE153" s="23" t="s">
        <v>259</v>
      </c>
      <c r="AF153">
        <v>0</v>
      </c>
      <c r="AG153" s="31" t="s">
        <v>138</v>
      </c>
      <c r="AH153" s="31">
        <f>AVERAGE(AF149:AF173)</f>
        <v>0.24</v>
      </c>
      <c r="AJ153" s="34"/>
      <c r="AK153" s="23" t="s">
        <v>172</v>
      </c>
      <c r="AL153">
        <v>0</v>
      </c>
      <c r="AM153" s="31" t="s">
        <v>144</v>
      </c>
      <c r="AN153" s="31">
        <f>STDEV(AL148:AL161)</f>
        <v>2.2249830225306102</v>
      </c>
      <c r="AO153" s="24"/>
      <c r="AQ153" s="23" t="s">
        <v>352</v>
      </c>
      <c r="AR153">
        <v>0</v>
      </c>
      <c r="AS153" s="31"/>
      <c r="AT153" s="31"/>
      <c r="AU153" s="24"/>
      <c r="AW153" s="23" t="s">
        <v>361</v>
      </c>
      <c r="AX153">
        <v>0</v>
      </c>
      <c r="AY153" s="31"/>
      <c r="AZ153" s="31"/>
      <c r="BA153" s="24"/>
      <c r="BC153" s="97"/>
      <c r="BD153" s="34"/>
      <c r="BE153" s="94"/>
      <c r="BF153" s="94"/>
      <c r="BG153" s="34"/>
      <c r="BH153" s="34"/>
      <c r="BI153" s="23" t="s">
        <v>385</v>
      </c>
      <c r="BJ153">
        <v>1</v>
      </c>
      <c r="BK153" s="31" t="s">
        <v>144</v>
      </c>
      <c r="BL153" s="31">
        <f>STDEV(BJ148:BJ159)</f>
        <v>1.2154310870109943</v>
      </c>
      <c r="BN153" s="34"/>
      <c r="BO153" s="23" t="s">
        <v>400</v>
      </c>
      <c r="BP153">
        <v>0</v>
      </c>
      <c r="BQ153" s="31"/>
      <c r="BR153" s="31"/>
      <c r="BT153" s="34"/>
      <c r="BU153" s="22" t="s">
        <v>414</v>
      </c>
      <c r="BV153" s="22">
        <v>2</v>
      </c>
      <c r="BW153" s="31" t="s">
        <v>138</v>
      </c>
      <c r="BX153" s="31">
        <f>AVERAGE(BV149:BV173)</f>
        <v>9.16</v>
      </c>
      <c r="BZ153" s="34"/>
      <c r="CA153" s="38"/>
      <c r="CB153" s="33"/>
      <c r="CF153" s="36"/>
      <c r="CG153" s="44"/>
      <c r="CL153" s="36"/>
      <c r="CM153" s="44"/>
      <c r="CR153" s="36"/>
    </row>
    <row r="154" spans="1:96" ht="15" x14ac:dyDescent="0.25">
      <c r="G154" s="34"/>
      <c r="H154" s="34"/>
      <c r="I154" s="34"/>
      <c r="J154" s="34"/>
      <c r="K154" s="90"/>
      <c r="L154" s="29"/>
      <c r="M154" s="27"/>
      <c r="N154" s="27"/>
      <c r="O154" s="27"/>
      <c r="P154" s="27"/>
      <c r="Q154" s="27"/>
      <c r="R154" s="90"/>
      <c r="S154" s="34"/>
      <c r="T154" s="90"/>
      <c r="U154" s="90"/>
      <c r="V154" s="90"/>
      <c r="W154" s="90"/>
      <c r="X154" s="29"/>
      <c r="Y154" s="25"/>
      <c r="Z154" s="25"/>
      <c r="AA154" s="25"/>
      <c r="AB154" s="25"/>
      <c r="AC154" s="25"/>
      <c r="AE154" s="23" t="s">
        <v>457</v>
      </c>
      <c r="AF154">
        <v>0</v>
      </c>
      <c r="AG154" s="31" t="s">
        <v>144</v>
      </c>
      <c r="AH154" s="31">
        <f>STDEV(AF149:AF173)</f>
        <v>0.43588989435406739</v>
      </c>
      <c r="AJ154" s="34"/>
      <c r="AK154" s="23" t="s">
        <v>337</v>
      </c>
      <c r="AL154">
        <v>0</v>
      </c>
      <c r="AM154" s="31"/>
      <c r="AN154" s="31"/>
      <c r="AO154" s="24"/>
      <c r="AQ154" s="97"/>
      <c r="AR154" s="94"/>
      <c r="AS154" s="94"/>
      <c r="AT154" s="94"/>
      <c r="AU154" s="34"/>
      <c r="AW154" s="23" t="s">
        <v>362</v>
      </c>
      <c r="AX154">
        <v>0</v>
      </c>
      <c r="AY154" s="31"/>
      <c r="AZ154" s="31"/>
      <c r="BA154" s="24"/>
      <c r="BC154" s="19" t="s">
        <v>100</v>
      </c>
      <c r="BD154" s="35" t="s">
        <v>65</v>
      </c>
      <c r="BG154" s="24"/>
      <c r="BH154" s="34"/>
      <c r="BI154" s="23" t="s">
        <v>386</v>
      </c>
      <c r="BJ154">
        <v>0</v>
      </c>
      <c r="BK154" s="31"/>
      <c r="BL154" s="31"/>
      <c r="BN154" s="34"/>
      <c r="BO154" s="23" t="s">
        <v>401</v>
      </c>
      <c r="BP154">
        <v>3</v>
      </c>
      <c r="BQ154" s="33"/>
      <c r="BR154" s="33"/>
      <c r="BT154" s="34"/>
      <c r="BU154" s="22" t="s">
        <v>415</v>
      </c>
      <c r="BV154" s="22">
        <v>4</v>
      </c>
      <c r="BW154" s="31" t="s">
        <v>144</v>
      </c>
      <c r="BX154" s="31">
        <f>STDEV(BV149:BV173)</f>
        <v>9.9652730352292238</v>
      </c>
      <c r="BZ154" s="34"/>
      <c r="CA154" s="43"/>
      <c r="CB154" s="33"/>
      <c r="CF154" s="36"/>
      <c r="CG154" s="44"/>
      <c r="CL154" s="36"/>
      <c r="CM154" s="44"/>
      <c r="CR154" s="36"/>
    </row>
    <row r="155" spans="1:96" ht="15" x14ac:dyDescent="0.25">
      <c r="G155" s="25" t="s">
        <v>100</v>
      </c>
      <c r="H155" s="26" t="s">
        <v>523</v>
      </c>
      <c r="I155" s="25"/>
      <c r="J155" s="25">
        <v>2014</v>
      </c>
      <c r="K155" s="25"/>
      <c r="L155" s="29"/>
      <c r="M155" s="27"/>
      <c r="N155" s="27"/>
      <c r="O155" s="27"/>
      <c r="P155" s="27"/>
      <c r="Q155" s="27"/>
      <c r="R155" s="29"/>
      <c r="S155" s="27" t="s">
        <v>100</v>
      </c>
      <c r="T155" s="30" t="s">
        <v>524</v>
      </c>
      <c r="U155" s="27"/>
      <c r="V155" s="27">
        <v>2014</v>
      </c>
      <c r="W155" s="27"/>
      <c r="X155" s="29"/>
      <c r="Y155" s="25"/>
      <c r="Z155" s="25"/>
      <c r="AA155" s="25"/>
      <c r="AB155" s="25"/>
      <c r="AC155" s="25"/>
      <c r="AE155" s="23" t="s">
        <v>458</v>
      </c>
      <c r="AF155">
        <v>0</v>
      </c>
      <c r="AG155" s="31"/>
      <c r="AH155" s="31"/>
      <c r="AJ155" s="34"/>
      <c r="AK155" s="23" t="s">
        <v>338</v>
      </c>
      <c r="AL155">
        <v>0</v>
      </c>
      <c r="AM155" s="31"/>
      <c r="AN155" s="31"/>
      <c r="AO155" s="24"/>
      <c r="AQ155" s="19" t="s">
        <v>100</v>
      </c>
      <c r="AR155" s="32" t="s">
        <v>444</v>
      </c>
      <c r="AU155" s="24"/>
      <c r="AW155" s="23" t="s">
        <v>363</v>
      </c>
      <c r="AX155">
        <v>1</v>
      </c>
      <c r="AY155" s="31"/>
      <c r="AZ155" s="31"/>
      <c r="BA155" s="24"/>
      <c r="BD155" s="12" t="s">
        <v>27</v>
      </c>
      <c r="BG155" s="24"/>
      <c r="BH155" s="34"/>
      <c r="BI155" s="23" t="s">
        <v>387</v>
      </c>
      <c r="BJ155">
        <v>0</v>
      </c>
      <c r="BK155" s="33"/>
      <c r="BL155" s="33"/>
      <c r="BN155" s="34"/>
      <c r="BO155" s="23" t="s">
        <v>402</v>
      </c>
      <c r="BP155">
        <v>0</v>
      </c>
      <c r="BQ155" s="31"/>
      <c r="BR155" s="33"/>
      <c r="BT155" s="34"/>
      <c r="BU155" s="22" t="s">
        <v>416</v>
      </c>
      <c r="BV155" s="22">
        <v>1</v>
      </c>
      <c r="BW155" s="31"/>
      <c r="BX155" s="31"/>
      <c r="BZ155" s="34"/>
      <c r="CA155" s="43"/>
      <c r="CB155" s="33"/>
      <c r="CF155" s="36"/>
      <c r="CG155" s="44"/>
      <c r="CL155" s="36"/>
      <c r="CM155" s="44"/>
      <c r="CR155" s="36"/>
    </row>
    <row r="156" spans="1:96" ht="15" x14ac:dyDescent="0.25">
      <c r="G156" s="25" t="s">
        <v>101</v>
      </c>
      <c r="H156" s="103" t="s">
        <v>29</v>
      </c>
      <c r="I156" s="25"/>
      <c r="J156" s="25"/>
      <c r="K156" s="25"/>
      <c r="L156" s="29"/>
      <c r="M156" s="27"/>
      <c r="N156" s="27"/>
      <c r="O156" s="27"/>
      <c r="P156" s="27"/>
      <c r="Q156" s="27"/>
      <c r="R156" s="29"/>
      <c r="S156" s="27" t="s">
        <v>101</v>
      </c>
      <c r="T156" s="12" t="s">
        <v>15</v>
      </c>
      <c r="U156" s="27"/>
      <c r="V156" s="27"/>
      <c r="W156" s="27"/>
      <c r="X156" s="29"/>
      <c r="Y156" s="25"/>
      <c r="Z156" s="25"/>
      <c r="AA156" s="25"/>
      <c r="AB156" s="25"/>
      <c r="AC156" s="25"/>
      <c r="AE156" s="23" t="s">
        <v>459</v>
      </c>
      <c r="AF156">
        <v>0</v>
      </c>
      <c r="AG156" s="31"/>
      <c r="AH156" s="31"/>
      <c r="AJ156" s="34"/>
      <c r="AK156" s="23" t="s">
        <v>339</v>
      </c>
      <c r="AL156">
        <v>0</v>
      </c>
      <c r="AM156" s="31"/>
      <c r="AN156" s="31"/>
      <c r="AO156" s="24"/>
      <c r="AR156" s="12" t="s">
        <v>29</v>
      </c>
      <c r="AU156" s="24"/>
      <c r="AW156" s="23" t="s">
        <v>364</v>
      </c>
      <c r="AX156">
        <v>0</v>
      </c>
      <c r="AY156" s="31"/>
      <c r="AZ156" s="31"/>
      <c r="BA156" s="24"/>
      <c r="BC156" s="31" t="s">
        <v>102</v>
      </c>
      <c r="BD156" s="31" t="s">
        <v>71</v>
      </c>
      <c r="BE156" s="31" t="s">
        <v>103</v>
      </c>
      <c r="BF156" s="31" t="s">
        <v>104</v>
      </c>
      <c r="BG156" s="24"/>
      <c r="BH156" s="34"/>
      <c r="BI156" s="23" t="s">
        <v>139</v>
      </c>
      <c r="BJ156">
        <v>0</v>
      </c>
      <c r="BK156" s="33"/>
      <c r="BL156" s="33"/>
      <c r="BN156" s="34"/>
      <c r="BO156" s="23" t="s">
        <v>403</v>
      </c>
      <c r="BP156">
        <v>2</v>
      </c>
      <c r="BQ156" s="31"/>
      <c r="BR156" s="33"/>
      <c r="BT156" s="34"/>
      <c r="BU156" s="22" t="s">
        <v>417</v>
      </c>
      <c r="BV156" s="22">
        <v>3</v>
      </c>
      <c r="BW156" s="31"/>
      <c r="BX156" s="31"/>
      <c r="BZ156" s="34"/>
      <c r="CF156" s="36"/>
      <c r="CG156" s="44"/>
      <c r="CL156" s="36"/>
      <c r="CM156" s="44"/>
      <c r="CR156" s="36"/>
    </row>
    <row r="157" spans="1:96" ht="15" x14ac:dyDescent="0.25">
      <c r="G157" s="25" t="s">
        <v>102</v>
      </c>
      <c r="H157" s="25" t="s">
        <v>71</v>
      </c>
      <c r="I157" s="25" t="s">
        <v>103</v>
      </c>
      <c r="J157" s="25" t="s">
        <v>104</v>
      </c>
      <c r="K157" s="25"/>
      <c r="L157" s="29"/>
      <c r="M157" s="27"/>
      <c r="N157" s="27"/>
      <c r="O157" s="27"/>
      <c r="P157" s="27"/>
      <c r="Q157" s="27"/>
      <c r="R157" s="29"/>
      <c r="S157" s="27" t="s">
        <v>102</v>
      </c>
      <c r="T157" s="27" t="s">
        <v>71</v>
      </c>
      <c r="U157" s="27" t="s">
        <v>103</v>
      </c>
      <c r="V157" s="27" t="s">
        <v>104</v>
      </c>
      <c r="W157" s="27"/>
      <c r="X157" s="29"/>
      <c r="Y157" s="27"/>
      <c r="Z157" s="27"/>
      <c r="AA157" s="27"/>
      <c r="AB157" s="27"/>
      <c r="AC157" s="27"/>
      <c r="AE157" s="23" t="s">
        <v>460</v>
      </c>
      <c r="AF157">
        <v>1</v>
      </c>
      <c r="AG157" s="33"/>
      <c r="AH157" s="33"/>
      <c r="AJ157" s="34"/>
      <c r="AK157" s="23" t="s">
        <v>340</v>
      </c>
      <c r="AL157">
        <v>3</v>
      </c>
      <c r="AM157" s="31"/>
      <c r="AN157" s="31"/>
      <c r="AO157" s="24"/>
      <c r="AQ157" s="31" t="s">
        <v>102</v>
      </c>
      <c r="AR157" s="31" t="s">
        <v>71</v>
      </c>
      <c r="AS157" s="31" t="s">
        <v>103</v>
      </c>
      <c r="AT157" s="31" t="s">
        <v>104</v>
      </c>
      <c r="AU157" s="24"/>
      <c r="AW157" s="23" t="s">
        <v>365</v>
      </c>
      <c r="AX157">
        <v>0</v>
      </c>
      <c r="AY157" s="31"/>
      <c r="AZ157" s="31"/>
      <c r="BA157" s="24"/>
      <c r="BC157" s="23" t="s">
        <v>368</v>
      </c>
      <c r="BD157">
        <v>11</v>
      </c>
      <c r="BE157" s="31" t="s">
        <v>106</v>
      </c>
      <c r="BF157" s="31">
        <f>SUM(BD157:BD169)</f>
        <v>53</v>
      </c>
      <c r="BG157" s="24"/>
      <c r="BH157" s="34"/>
      <c r="BI157" s="23" t="s">
        <v>156</v>
      </c>
      <c r="BJ157">
        <v>0</v>
      </c>
      <c r="BK157" s="31"/>
      <c r="BL157" s="31"/>
      <c r="BN157" s="34"/>
      <c r="BO157" s="23" t="s">
        <v>404</v>
      </c>
      <c r="BP157">
        <v>1</v>
      </c>
      <c r="BQ157" s="31"/>
      <c r="BR157" s="33"/>
      <c r="BT157" s="34"/>
      <c r="BU157" s="22" t="s">
        <v>418</v>
      </c>
      <c r="BV157" s="22">
        <v>16</v>
      </c>
      <c r="BW157" s="31"/>
      <c r="BX157" s="31"/>
      <c r="BZ157" s="34"/>
      <c r="CF157" s="36"/>
      <c r="CL157" s="36"/>
      <c r="CM157" s="44"/>
      <c r="CR157" s="36"/>
    </row>
    <row r="158" spans="1:96" ht="15" x14ac:dyDescent="0.25">
      <c r="G158" s="104" t="s">
        <v>513</v>
      </c>
      <c r="H158">
        <v>16</v>
      </c>
      <c r="I158" s="25" t="s">
        <v>106</v>
      </c>
      <c r="J158" s="25">
        <f>SUM(H158:H167)</f>
        <v>151</v>
      </c>
      <c r="K158" s="25"/>
      <c r="L158" s="29"/>
      <c r="M158" s="27"/>
      <c r="N158" s="27"/>
      <c r="O158" s="27"/>
      <c r="P158" s="27"/>
      <c r="Q158" s="27"/>
      <c r="R158" s="29"/>
      <c r="S158" s="23" t="s">
        <v>489</v>
      </c>
      <c r="T158">
        <v>2</v>
      </c>
      <c r="U158" s="31" t="s">
        <v>106</v>
      </c>
      <c r="V158" s="27">
        <f>SUM(T158:T175)</f>
        <v>17</v>
      </c>
      <c r="W158" s="27"/>
      <c r="X158" s="29"/>
      <c r="Y158" s="27"/>
      <c r="Z158" s="27"/>
      <c r="AA158" s="27"/>
      <c r="AB158" s="27"/>
      <c r="AC158" s="27"/>
      <c r="AE158" s="23" t="s">
        <v>461</v>
      </c>
      <c r="AF158">
        <v>1</v>
      </c>
      <c r="AG158" s="31"/>
      <c r="AH158" s="31"/>
      <c r="AJ158" s="34"/>
      <c r="AK158" s="23" t="s">
        <v>77</v>
      </c>
      <c r="AL158">
        <v>0</v>
      </c>
      <c r="AM158" s="31"/>
      <c r="AN158" s="31"/>
      <c r="AO158" s="24"/>
      <c r="AQ158" s="23" t="s">
        <v>344</v>
      </c>
      <c r="AR158">
        <v>4</v>
      </c>
      <c r="AS158" s="31" t="s">
        <v>106</v>
      </c>
      <c r="AT158" s="31">
        <f>SUM(AR158:AR167)</f>
        <v>53</v>
      </c>
      <c r="AU158" s="24"/>
      <c r="AW158" s="23" t="s">
        <v>366</v>
      </c>
      <c r="AX158">
        <v>0</v>
      </c>
      <c r="AY158" s="31"/>
      <c r="AZ158" s="31"/>
      <c r="BA158" s="24"/>
      <c r="BC158" s="23" t="s">
        <v>369</v>
      </c>
      <c r="BD158">
        <v>3</v>
      </c>
      <c r="BE158" s="31" t="s">
        <v>115</v>
      </c>
      <c r="BF158" s="31">
        <f>MIN(BD157:BD169)</f>
        <v>1</v>
      </c>
      <c r="BG158" s="24"/>
      <c r="BH158" s="34"/>
      <c r="BI158" s="23" t="s">
        <v>388</v>
      </c>
      <c r="BJ158">
        <v>0</v>
      </c>
      <c r="BK158" s="31"/>
      <c r="BL158" s="31"/>
      <c r="BN158" s="34"/>
      <c r="BO158" s="23" t="s">
        <v>405</v>
      </c>
      <c r="BP158">
        <v>1</v>
      </c>
      <c r="BQ158" s="31"/>
      <c r="BR158" s="33"/>
      <c r="BT158" s="34"/>
      <c r="BU158" s="22" t="s">
        <v>419</v>
      </c>
      <c r="BV158" s="22">
        <v>14</v>
      </c>
      <c r="BW158" s="31"/>
      <c r="BX158" s="31"/>
      <c r="BZ158" s="34"/>
      <c r="CF158" s="36"/>
      <c r="CL158" s="36"/>
      <c r="CM158" s="44"/>
      <c r="CR158" s="36"/>
    </row>
    <row r="159" spans="1:96" ht="15" x14ac:dyDescent="0.25">
      <c r="G159" s="104" t="s">
        <v>514</v>
      </c>
      <c r="H159">
        <v>13</v>
      </c>
      <c r="I159" s="25" t="s">
        <v>115</v>
      </c>
      <c r="J159" s="25">
        <f>MIN(H158:H167)</f>
        <v>4</v>
      </c>
      <c r="K159" s="25"/>
      <c r="L159" s="29"/>
      <c r="M159" s="27"/>
      <c r="N159" s="27"/>
      <c r="O159" s="27"/>
      <c r="P159" s="27"/>
      <c r="Q159" s="27"/>
      <c r="R159" s="29"/>
      <c r="S159" s="23" t="s">
        <v>490</v>
      </c>
      <c r="T159">
        <v>3</v>
      </c>
      <c r="U159" s="31" t="s">
        <v>115</v>
      </c>
      <c r="V159" s="27">
        <f>MIN(T158:T175)</f>
        <v>0</v>
      </c>
      <c r="W159" s="27"/>
      <c r="X159" s="29"/>
      <c r="Y159" s="27"/>
      <c r="Z159" s="27"/>
      <c r="AA159" s="27"/>
      <c r="AB159" s="27"/>
      <c r="AC159" s="27"/>
      <c r="AE159" s="23" t="s">
        <v>462</v>
      </c>
      <c r="AF159">
        <v>0</v>
      </c>
      <c r="AG159" s="24"/>
      <c r="AH159" s="24"/>
      <c r="AJ159" s="34"/>
      <c r="AK159" s="23" t="s">
        <v>341</v>
      </c>
      <c r="AL159">
        <v>8</v>
      </c>
      <c r="AM159" s="31"/>
      <c r="AN159" s="31"/>
      <c r="AO159" s="24"/>
      <c r="AQ159" s="23" t="s">
        <v>345</v>
      </c>
      <c r="AR159">
        <v>8</v>
      </c>
      <c r="AS159" s="31" t="s">
        <v>115</v>
      </c>
      <c r="AT159" s="31">
        <f>MIN(AR158:AR167)</f>
        <v>2</v>
      </c>
      <c r="AU159" s="24"/>
      <c r="AW159" s="23" t="s">
        <v>367</v>
      </c>
      <c r="AX159">
        <v>0</v>
      </c>
      <c r="AY159" s="31"/>
      <c r="AZ159" s="31"/>
      <c r="BA159" s="24"/>
      <c r="BC159" s="23" t="s">
        <v>370</v>
      </c>
      <c r="BD159">
        <v>1</v>
      </c>
      <c r="BE159" s="31" t="s">
        <v>122</v>
      </c>
      <c r="BF159" s="31">
        <f>MAX(BD157:BD169)</f>
        <v>11</v>
      </c>
      <c r="BG159" s="24"/>
      <c r="BH159" s="34"/>
      <c r="BI159" s="23" t="s">
        <v>389</v>
      </c>
      <c r="BJ159">
        <v>0</v>
      </c>
      <c r="BK159" s="31"/>
      <c r="BL159" s="31"/>
      <c r="BN159" s="34"/>
      <c r="BO159" s="23" t="s">
        <v>406</v>
      </c>
      <c r="BP159">
        <v>4</v>
      </c>
      <c r="BQ159" s="31"/>
      <c r="BR159" s="31"/>
      <c r="BS159" s="24"/>
      <c r="BT159" s="34"/>
      <c r="BU159" s="22" t="s">
        <v>420</v>
      </c>
      <c r="BV159" s="22">
        <v>41</v>
      </c>
      <c r="BW159" s="31"/>
      <c r="BX159" s="31"/>
      <c r="BZ159" s="34"/>
      <c r="CF159" s="36"/>
      <c r="CL159" s="36"/>
      <c r="CM159" s="44"/>
      <c r="CR159" s="36"/>
    </row>
    <row r="160" spans="1:96" ht="15" x14ac:dyDescent="0.25">
      <c r="G160" s="104" t="s">
        <v>515</v>
      </c>
      <c r="H160">
        <v>14</v>
      </c>
      <c r="I160" s="25" t="s">
        <v>122</v>
      </c>
      <c r="J160" s="25">
        <f>MAX(H158:H167)</f>
        <v>24</v>
      </c>
      <c r="L160" s="29"/>
      <c r="M160" s="27"/>
      <c r="N160" s="27"/>
      <c r="O160" s="27"/>
      <c r="P160" s="27"/>
      <c r="Q160" s="27"/>
      <c r="R160" s="29"/>
      <c r="S160" s="23" t="s">
        <v>491</v>
      </c>
      <c r="T160">
        <v>3</v>
      </c>
      <c r="U160" s="31" t="s">
        <v>122</v>
      </c>
      <c r="V160" s="27">
        <f>MAX(T158:T175)</f>
        <v>3</v>
      </c>
      <c r="W160" s="27"/>
      <c r="X160" s="29"/>
      <c r="Y160" s="27"/>
      <c r="Z160" s="27"/>
      <c r="AA160" s="27"/>
      <c r="AB160" s="27"/>
      <c r="AC160" s="27"/>
      <c r="AE160" s="23" t="s">
        <v>463</v>
      </c>
      <c r="AF160">
        <v>1</v>
      </c>
      <c r="AG160" s="31"/>
      <c r="AH160" s="31"/>
      <c r="AJ160" s="34"/>
      <c r="AK160" s="23" t="s">
        <v>342</v>
      </c>
      <c r="AL160">
        <v>0</v>
      </c>
      <c r="AM160" s="31"/>
      <c r="AN160" s="31"/>
      <c r="AO160" s="24"/>
      <c r="AQ160" s="23" t="s">
        <v>262</v>
      </c>
      <c r="AR160">
        <v>7</v>
      </c>
      <c r="AS160" s="31" t="s">
        <v>122</v>
      </c>
      <c r="AT160" s="31">
        <f>MAX(AR158:AR167)</f>
        <v>11</v>
      </c>
      <c r="AU160" s="24"/>
      <c r="AW160" s="97"/>
      <c r="AX160" s="94"/>
      <c r="AY160" s="34"/>
      <c r="AZ160" s="34"/>
      <c r="BA160" s="34"/>
      <c r="BC160" s="23" t="s">
        <v>215</v>
      </c>
      <c r="BD160">
        <v>6</v>
      </c>
      <c r="BE160" s="31" t="s">
        <v>129</v>
      </c>
      <c r="BF160" s="31">
        <f>VAR(BD157:BD169)</f>
        <v>8.0769230769230784</v>
      </c>
      <c r="BG160" s="24"/>
      <c r="BH160" s="34"/>
      <c r="BI160" s="34"/>
      <c r="BJ160" s="34"/>
      <c r="BK160" s="34"/>
      <c r="BL160" s="34"/>
      <c r="BM160" s="34"/>
      <c r="BN160" s="34"/>
      <c r="BO160" s="23" t="s">
        <v>407</v>
      </c>
      <c r="BP160">
        <v>5</v>
      </c>
      <c r="BQ160" s="31"/>
      <c r="BR160" s="31"/>
      <c r="BS160" s="24"/>
      <c r="BT160" s="34"/>
      <c r="BU160" s="22" t="s">
        <v>421</v>
      </c>
      <c r="BV160" s="22">
        <v>30</v>
      </c>
      <c r="BW160" s="31"/>
      <c r="BX160" s="31"/>
      <c r="BZ160" s="34"/>
      <c r="CF160" s="36"/>
      <c r="CL160" s="36"/>
      <c r="CM160" s="44"/>
      <c r="CR160" s="36"/>
    </row>
    <row r="161" spans="7:96" ht="15" x14ac:dyDescent="0.25">
      <c r="G161" s="104" t="s">
        <v>516</v>
      </c>
      <c r="H161">
        <v>20</v>
      </c>
      <c r="I161" s="25" t="s">
        <v>129</v>
      </c>
      <c r="J161" s="25">
        <f>VAR(H158:H167)</f>
        <v>32.76666666666668</v>
      </c>
      <c r="L161" s="29"/>
      <c r="M161" s="27"/>
      <c r="N161" s="27"/>
      <c r="O161" s="27"/>
      <c r="P161" s="27"/>
      <c r="Q161" s="27"/>
      <c r="R161" s="29"/>
      <c r="S161" s="23" t="s">
        <v>492</v>
      </c>
      <c r="T161">
        <v>3</v>
      </c>
      <c r="U161" s="31" t="s">
        <v>129</v>
      </c>
      <c r="V161" s="27">
        <f>VAR(T158:T175)</f>
        <v>1.5849673202614378</v>
      </c>
      <c r="X161" s="29"/>
      <c r="Y161" s="27"/>
      <c r="Z161" s="27"/>
      <c r="AA161" s="27"/>
      <c r="AB161" s="27"/>
      <c r="AC161" s="27"/>
      <c r="AE161" s="23" t="s">
        <v>464</v>
      </c>
      <c r="AF161">
        <v>0</v>
      </c>
      <c r="AG161" s="31"/>
      <c r="AH161" s="31"/>
      <c r="AJ161" s="34"/>
      <c r="AK161" s="23" t="s">
        <v>343</v>
      </c>
      <c r="AL161">
        <v>0</v>
      </c>
      <c r="AM161" s="31"/>
      <c r="AN161" s="31"/>
      <c r="AO161" s="24"/>
      <c r="AQ161" s="23" t="s">
        <v>346</v>
      </c>
      <c r="AR161">
        <v>5</v>
      </c>
      <c r="AS161" s="31" t="s">
        <v>129</v>
      </c>
      <c r="AT161" s="31">
        <f>VAR(AR158:AR167)</f>
        <v>7.3444444444444468</v>
      </c>
      <c r="AU161" s="24"/>
      <c r="AW161" s="19" t="s">
        <v>100</v>
      </c>
      <c r="AX161" s="35" t="s">
        <v>66</v>
      </c>
      <c r="AZ161" s="19">
        <v>2014</v>
      </c>
      <c r="BA161" s="24"/>
      <c r="BC161" s="23" t="s">
        <v>371</v>
      </c>
      <c r="BD161">
        <v>6</v>
      </c>
      <c r="BE161" s="31" t="s">
        <v>138</v>
      </c>
      <c r="BF161" s="31">
        <f>AVERAGE(BD157:BD169)</f>
        <v>4.0769230769230766</v>
      </c>
      <c r="BG161" s="24"/>
      <c r="BH161" s="34"/>
      <c r="BI161" s="19" t="s">
        <v>100</v>
      </c>
      <c r="BJ161" s="35" t="s">
        <v>64</v>
      </c>
      <c r="BN161" s="34"/>
      <c r="BO161" s="86"/>
      <c r="BP161" s="94"/>
      <c r="BQ161" s="34"/>
      <c r="BR161" s="34"/>
      <c r="BS161" s="34"/>
      <c r="BT161" s="34"/>
      <c r="BU161" s="22" t="s">
        <v>422</v>
      </c>
      <c r="BV161" s="22">
        <v>19</v>
      </c>
      <c r="BW161" s="31"/>
      <c r="BX161" s="31"/>
      <c r="BZ161" s="34"/>
      <c r="CF161" s="36"/>
      <c r="CL161" s="36"/>
      <c r="CM161" s="44"/>
      <c r="CR161" s="36"/>
    </row>
    <row r="162" spans="7:96" ht="15" x14ac:dyDescent="0.25">
      <c r="G162" s="104" t="s">
        <v>517</v>
      </c>
      <c r="H162">
        <v>21</v>
      </c>
      <c r="I162" s="25" t="s">
        <v>138</v>
      </c>
      <c r="J162" s="25">
        <f>AVERAGE(H158:H167)</f>
        <v>15.1</v>
      </c>
      <c r="L162" s="29"/>
      <c r="M162" s="27"/>
      <c r="N162" s="27"/>
      <c r="O162" s="27"/>
      <c r="P162" s="27"/>
      <c r="Q162" s="27"/>
      <c r="R162" s="29"/>
      <c r="S162" s="23" t="s">
        <v>493</v>
      </c>
      <c r="T162">
        <v>1</v>
      </c>
      <c r="U162" s="31" t="s">
        <v>138</v>
      </c>
      <c r="V162" s="27">
        <f>AVERAGE(T158:T175)</f>
        <v>0.94444444444444442</v>
      </c>
      <c r="X162" s="29"/>
      <c r="Y162" s="27"/>
      <c r="Z162" s="27"/>
      <c r="AA162" s="27"/>
      <c r="AB162" s="27"/>
      <c r="AC162" s="27"/>
      <c r="AE162" s="23" t="s">
        <v>465</v>
      </c>
      <c r="AF162">
        <v>0</v>
      </c>
      <c r="AG162" s="31"/>
      <c r="AH162" s="31"/>
      <c r="AJ162" s="34"/>
      <c r="AK162" s="108"/>
      <c r="AL162" s="94"/>
      <c r="AM162" s="94"/>
      <c r="AN162" s="94"/>
      <c r="AO162" s="34"/>
      <c r="AQ162" s="23" t="s">
        <v>347</v>
      </c>
      <c r="AR162">
        <v>3</v>
      </c>
      <c r="AS162" s="31" t="s">
        <v>138</v>
      </c>
      <c r="AT162" s="31">
        <f>AVERAGE(AR158:AR167)</f>
        <v>5.3</v>
      </c>
      <c r="AU162" s="24"/>
      <c r="AX162" s="12" t="s">
        <v>27</v>
      </c>
      <c r="BA162" s="24"/>
      <c r="BC162" s="23" t="s">
        <v>372</v>
      </c>
      <c r="BD162">
        <v>5</v>
      </c>
      <c r="BE162" s="31" t="s">
        <v>144</v>
      </c>
      <c r="BF162" s="31">
        <f>STDEV(BD157:BD169)</f>
        <v>2.841992800294026</v>
      </c>
      <c r="BG162" s="24"/>
      <c r="BH162" s="34"/>
      <c r="BJ162" s="12" t="s">
        <v>20</v>
      </c>
      <c r="BN162" s="34"/>
      <c r="BO162" s="19" t="s">
        <v>100</v>
      </c>
      <c r="BP162" s="35" t="s">
        <v>540</v>
      </c>
      <c r="BR162" s="19">
        <v>2014</v>
      </c>
      <c r="BT162" s="34"/>
      <c r="BU162" s="23" t="s">
        <v>423</v>
      </c>
      <c r="BV162" s="22">
        <v>19</v>
      </c>
      <c r="BW162" s="31"/>
      <c r="BX162" s="31"/>
      <c r="BZ162" s="34"/>
      <c r="CF162" s="36"/>
      <c r="CL162" s="36"/>
      <c r="CR162" s="36"/>
    </row>
    <row r="163" spans="7:96" ht="15" x14ac:dyDescent="0.25">
      <c r="G163" s="104" t="s">
        <v>518</v>
      </c>
      <c r="H163">
        <v>24</v>
      </c>
      <c r="I163" s="25" t="s">
        <v>144</v>
      </c>
      <c r="J163" s="25">
        <f>STDEV(H158:H167)</f>
        <v>5.7242175593408993</v>
      </c>
      <c r="L163" s="29"/>
      <c r="N163" s="27"/>
      <c r="O163" s="27"/>
      <c r="P163" s="27"/>
      <c r="Q163" s="27"/>
      <c r="R163" s="29"/>
      <c r="S163" s="23" t="s">
        <v>494</v>
      </c>
      <c r="T163">
        <v>0</v>
      </c>
      <c r="U163" s="31" t="s">
        <v>144</v>
      </c>
      <c r="V163" s="27">
        <f>STDEV(T158:T175)</f>
        <v>1.2589548523523144</v>
      </c>
      <c r="X163" s="29"/>
      <c r="AE163" s="23" t="s">
        <v>466</v>
      </c>
      <c r="AF163">
        <v>1</v>
      </c>
      <c r="AG163" s="31"/>
      <c r="AH163" s="31"/>
      <c r="AJ163" s="34"/>
      <c r="AK163" s="19" t="s">
        <v>100</v>
      </c>
      <c r="AL163" s="32" t="s">
        <v>443</v>
      </c>
      <c r="AO163" s="24"/>
      <c r="AQ163" s="23" t="s">
        <v>348</v>
      </c>
      <c r="AR163">
        <v>3</v>
      </c>
      <c r="AS163" s="31" t="s">
        <v>144</v>
      </c>
      <c r="AT163" s="31">
        <f>STDEV(AR158:AR167)</f>
        <v>2.7100635498903798</v>
      </c>
      <c r="AU163" s="24"/>
      <c r="AW163" s="31" t="s">
        <v>102</v>
      </c>
      <c r="AX163" s="31" t="s">
        <v>71</v>
      </c>
      <c r="AY163" s="31" t="s">
        <v>103</v>
      </c>
      <c r="AZ163" s="31" t="s">
        <v>104</v>
      </c>
      <c r="BA163" s="24"/>
      <c r="BC163" s="23" t="s">
        <v>373</v>
      </c>
      <c r="BD163">
        <v>3</v>
      </c>
      <c r="BE163" s="31"/>
      <c r="BF163" s="31"/>
      <c r="BG163" s="24"/>
      <c r="BH163" s="34"/>
      <c r="BI163" s="31" t="s">
        <v>102</v>
      </c>
      <c r="BJ163" s="31" t="s">
        <v>71</v>
      </c>
      <c r="BK163" s="31" t="s">
        <v>103</v>
      </c>
      <c r="BL163" s="31" t="s">
        <v>104</v>
      </c>
      <c r="BN163" s="34"/>
      <c r="BP163" s="12" t="s">
        <v>16</v>
      </c>
      <c r="BT163" s="34"/>
      <c r="BU163" s="22" t="s">
        <v>424</v>
      </c>
      <c r="BV163" s="22">
        <v>5</v>
      </c>
      <c r="BW163" s="31"/>
      <c r="BX163" s="31"/>
      <c r="BZ163" s="34"/>
      <c r="CF163" s="36"/>
      <c r="CL163" s="36"/>
      <c r="CR163" s="36"/>
    </row>
    <row r="164" spans="7:96" ht="15" x14ac:dyDescent="0.25">
      <c r="G164" s="104" t="s">
        <v>519</v>
      </c>
      <c r="H164">
        <v>15</v>
      </c>
      <c r="I164" s="25"/>
      <c r="J164" s="25"/>
      <c r="S164" s="23" t="s">
        <v>495</v>
      </c>
      <c r="T164">
        <v>0</v>
      </c>
      <c r="U164" s="27"/>
      <c r="V164" s="27"/>
      <c r="AE164" s="23" t="s">
        <v>467</v>
      </c>
      <c r="AF164">
        <v>0</v>
      </c>
      <c r="AG164" s="31"/>
      <c r="AH164" s="31"/>
      <c r="AJ164" s="34"/>
      <c r="AK164" s="19" t="s">
        <v>101</v>
      </c>
      <c r="AL164" s="12" t="s">
        <v>21</v>
      </c>
      <c r="AO164" s="24"/>
      <c r="AQ164" s="23" t="s">
        <v>349</v>
      </c>
      <c r="AR164">
        <v>2</v>
      </c>
      <c r="AS164" s="31"/>
      <c r="AT164" s="31"/>
      <c r="AU164" s="24"/>
      <c r="AW164" s="23" t="s">
        <v>353</v>
      </c>
      <c r="AX164">
        <v>3</v>
      </c>
      <c r="AY164" s="31" t="s">
        <v>106</v>
      </c>
      <c r="AZ164" s="31">
        <f>SUM(AX164:AX179)</f>
        <v>28</v>
      </c>
      <c r="BA164" s="24"/>
      <c r="BC164" s="23" t="s">
        <v>374</v>
      </c>
      <c r="BD164">
        <v>2</v>
      </c>
      <c r="BE164" s="33"/>
      <c r="BF164" s="33"/>
      <c r="BG164" s="24"/>
      <c r="BH164" s="34"/>
      <c r="BI164" s="23" t="s">
        <v>380</v>
      </c>
      <c r="BJ164">
        <v>0</v>
      </c>
      <c r="BK164" s="31" t="s">
        <v>106</v>
      </c>
      <c r="BL164" s="31">
        <f>SUM(BJ164:BJ175)</f>
        <v>2</v>
      </c>
      <c r="BN164" s="34"/>
      <c r="BO164" s="31" t="s">
        <v>102</v>
      </c>
      <c r="BP164" s="31" t="s">
        <v>71</v>
      </c>
      <c r="BQ164" s="31" t="s">
        <v>103</v>
      </c>
      <c r="BR164" s="31" t="s">
        <v>104</v>
      </c>
      <c r="BT164" s="34"/>
      <c r="BU164" s="23" t="s">
        <v>425</v>
      </c>
      <c r="BV164" s="22">
        <v>13</v>
      </c>
      <c r="BW164" s="31"/>
      <c r="BX164" s="31"/>
      <c r="BZ164" s="34"/>
      <c r="CF164" s="36"/>
      <c r="CL164" s="36"/>
      <c r="CM164" s="46"/>
      <c r="CR164" s="36"/>
    </row>
    <row r="165" spans="7:96" ht="15" x14ac:dyDescent="0.25">
      <c r="G165" s="104" t="s">
        <v>520</v>
      </c>
      <c r="H165">
        <v>4</v>
      </c>
      <c r="I165" s="25"/>
      <c r="J165" s="25"/>
      <c r="S165" s="23" t="s">
        <v>496</v>
      </c>
      <c r="T165">
        <v>0</v>
      </c>
      <c r="U165" s="27"/>
      <c r="V165" s="27"/>
      <c r="AE165" s="23" t="s">
        <v>468</v>
      </c>
      <c r="AF165">
        <v>1</v>
      </c>
      <c r="AG165" s="31"/>
      <c r="AH165" s="31"/>
      <c r="AJ165" s="34"/>
      <c r="AK165" s="31" t="s">
        <v>102</v>
      </c>
      <c r="AL165" s="31" t="s">
        <v>71</v>
      </c>
      <c r="AM165" s="31" t="s">
        <v>103</v>
      </c>
      <c r="AN165" s="31" t="s">
        <v>104</v>
      </c>
      <c r="AO165" s="24"/>
      <c r="AQ165" s="23" t="s">
        <v>350</v>
      </c>
      <c r="AR165">
        <v>11</v>
      </c>
      <c r="AS165" s="31"/>
      <c r="AT165" s="31"/>
      <c r="AU165" s="24"/>
      <c r="AW165" s="23" t="s">
        <v>354</v>
      </c>
      <c r="AX165">
        <v>0</v>
      </c>
      <c r="AY165" s="31" t="s">
        <v>115</v>
      </c>
      <c r="AZ165" s="31">
        <f>MIN(AX164:AX179)</f>
        <v>0</v>
      </c>
      <c r="BA165" s="24"/>
      <c r="BC165" s="23" t="s">
        <v>375</v>
      </c>
      <c r="BD165">
        <v>6</v>
      </c>
      <c r="BE165" s="33"/>
      <c r="BF165" s="33"/>
      <c r="BG165" s="24"/>
      <c r="BH165" s="34"/>
      <c r="BI165" s="23" t="s">
        <v>381</v>
      </c>
      <c r="BJ165">
        <v>0</v>
      </c>
      <c r="BK165" s="31" t="s">
        <v>115</v>
      </c>
      <c r="BL165" s="31">
        <f>MIN(BJ164:BJ175)</f>
        <v>0</v>
      </c>
      <c r="BN165" s="34"/>
      <c r="BO165" s="23" t="s">
        <v>390</v>
      </c>
      <c r="BP165">
        <v>2</v>
      </c>
      <c r="BQ165" s="31" t="s">
        <v>106</v>
      </c>
      <c r="BR165" s="31">
        <f>SUM(BP165:BP183)</f>
        <v>7</v>
      </c>
      <c r="BT165" s="34"/>
      <c r="BU165" s="23" t="s">
        <v>426</v>
      </c>
      <c r="BV165" s="22">
        <v>6</v>
      </c>
      <c r="BW165" s="31"/>
      <c r="BX165" s="31"/>
      <c r="BZ165" s="34"/>
      <c r="CF165" s="36"/>
      <c r="CL165" s="36"/>
      <c r="CM165" s="31"/>
      <c r="CN165" s="31"/>
      <c r="CO165" s="31"/>
      <c r="CP165" s="31"/>
      <c r="CR165" s="36"/>
    </row>
    <row r="166" spans="7:96" ht="15" x14ac:dyDescent="0.25">
      <c r="G166" s="104" t="s">
        <v>521</v>
      </c>
      <c r="H166">
        <v>14</v>
      </c>
      <c r="I166" s="25"/>
      <c r="J166" s="25"/>
      <c r="S166" s="23" t="s">
        <v>389</v>
      </c>
      <c r="T166">
        <v>3</v>
      </c>
      <c r="U166" s="27"/>
      <c r="V166" s="27"/>
      <c r="AE166" s="23" t="s">
        <v>469</v>
      </c>
      <c r="AF166">
        <v>0</v>
      </c>
      <c r="AG166" s="31"/>
      <c r="AH166" s="31"/>
      <c r="AJ166" s="34"/>
      <c r="AK166" s="23" t="s">
        <v>332</v>
      </c>
      <c r="AL166">
        <v>0</v>
      </c>
      <c r="AM166" s="31" t="s">
        <v>106</v>
      </c>
      <c r="AN166" s="31">
        <f>SUM(AL166:AL179)</f>
        <v>4</v>
      </c>
      <c r="AO166" s="24"/>
      <c r="AQ166" s="23" t="s">
        <v>351</v>
      </c>
      <c r="AR166">
        <v>5</v>
      </c>
      <c r="AS166" s="31"/>
      <c r="AT166" s="31"/>
      <c r="AU166" s="24"/>
      <c r="AW166" s="23" t="s">
        <v>216</v>
      </c>
      <c r="AX166">
        <v>1</v>
      </c>
      <c r="AY166" s="31" t="s">
        <v>122</v>
      </c>
      <c r="AZ166" s="31">
        <f>MAX(AX164:AX179)</f>
        <v>4</v>
      </c>
      <c r="BA166" s="24"/>
      <c r="BC166" s="23" t="s">
        <v>376</v>
      </c>
      <c r="BD166">
        <v>1</v>
      </c>
      <c r="BE166" s="31"/>
      <c r="BF166" s="31"/>
      <c r="BG166" s="24"/>
      <c r="BH166" s="34"/>
      <c r="BI166" s="23" t="s">
        <v>382</v>
      </c>
      <c r="BJ166">
        <v>0</v>
      </c>
      <c r="BK166" s="31" t="s">
        <v>122</v>
      </c>
      <c r="BL166" s="31">
        <f>MAX(BJ164:BJ175)</f>
        <v>1</v>
      </c>
      <c r="BN166" s="34"/>
      <c r="BO166" s="23" t="s">
        <v>391</v>
      </c>
      <c r="BP166">
        <v>0</v>
      </c>
      <c r="BQ166" s="31" t="s">
        <v>115</v>
      </c>
      <c r="BR166" s="31">
        <f>MIN(BP165:BP183)</f>
        <v>0</v>
      </c>
      <c r="BT166" s="34"/>
      <c r="BU166" s="23" t="s">
        <v>427</v>
      </c>
      <c r="BV166" s="22">
        <v>0</v>
      </c>
      <c r="BW166" s="31"/>
      <c r="BX166" s="31"/>
      <c r="BZ166" s="34"/>
      <c r="CF166" s="36"/>
      <c r="CL166" s="36"/>
      <c r="CM166" s="44"/>
      <c r="CO166" s="31"/>
      <c r="CP166" s="31"/>
      <c r="CR166" s="36"/>
    </row>
    <row r="167" spans="7:96" ht="15" x14ac:dyDescent="0.25">
      <c r="G167" s="104" t="s">
        <v>175</v>
      </c>
      <c r="H167">
        <v>10</v>
      </c>
      <c r="S167" s="23" t="s">
        <v>497</v>
      </c>
      <c r="T167">
        <v>0</v>
      </c>
      <c r="U167" s="27"/>
      <c r="V167" s="27"/>
      <c r="AE167" s="23" t="s">
        <v>470</v>
      </c>
      <c r="AF167">
        <v>0</v>
      </c>
      <c r="AG167" s="31"/>
      <c r="AH167" s="31"/>
      <c r="AJ167" s="34"/>
      <c r="AK167" s="23" t="s">
        <v>333</v>
      </c>
      <c r="AL167">
        <v>0</v>
      </c>
      <c r="AM167" s="31" t="s">
        <v>115</v>
      </c>
      <c r="AN167" s="31">
        <f>MIN(AL166:AL179)</f>
        <v>0</v>
      </c>
      <c r="AO167" s="24"/>
      <c r="AQ167" s="23" t="s">
        <v>352</v>
      </c>
      <c r="AR167">
        <v>5</v>
      </c>
      <c r="AS167" s="31"/>
      <c r="AT167" s="31"/>
      <c r="AU167" s="24"/>
      <c r="AW167" s="23" t="s">
        <v>355</v>
      </c>
      <c r="AX167">
        <v>2</v>
      </c>
      <c r="AY167" s="31" t="s">
        <v>129</v>
      </c>
      <c r="AZ167" s="31">
        <f>VAR(AX164:AX179)</f>
        <v>1.4</v>
      </c>
      <c r="BA167" s="24"/>
      <c r="BC167" s="23" t="s">
        <v>377</v>
      </c>
      <c r="BD167">
        <v>5</v>
      </c>
      <c r="BE167" s="31"/>
      <c r="BF167" s="31"/>
      <c r="BG167" s="24"/>
      <c r="BH167" s="34"/>
      <c r="BI167" s="23" t="s">
        <v>383</v>
      </c>
      <c r="BJ167">
        <v>0</v>
      </c>
      <c r="BK167" s="31" t="s">
        <v>129</v>
      </c>
      <c r="BL167" s="31">
        <f>VAR(BJ164:BJ175)</f>
        <v>0.15151515151515152</v>
      </c>
      <c r="BN167" s="34"/>
      <c r="BO167" s="23" t="s">
        <v>392</v>
      </c>
      <c r="BP167">
        <v>0</v>
      </c>
      <c r="BQ167" s="31" t="s">
        <v>122</v>
      </c>
      <c r="BR167" s="31">
        <f>MAX(BP165:BP183)</f>
        <v>2</v>
      </c>
      <c r="BT167" s="34"/>
      <c r="BU167" s="23" t="s">
        <v>428</v>
      </c>
      <c r="BV167" s="22">
        <v>1</v>
      </c>
      <c r="BW167" s="31"/>
      <c r="BX167" s="31"/>
      <c r="BZ167" s="34"/>
      <c r="CF167" s="36"/>
      <c r="CL167" s="36"/>
      <c r="CM167" s="44"/>
      <c r="CO167" s="31"/>
      <c r="CP167" s="31"/>
      <c r="CR167" s="36"/>
    </row>
    <row r="168" spans="7:96" ht="15" x14ac:dyDescent="0.25">
      <c r="G168" s="34"/>
      <c r="H168" s="34"/>
      <c r="I168" s="34"/>
      <c r="J168" s="34"/>
      <c r="K168" s="34"/>
      <c r="S168" s="23" t="s">
        <v>498</v>
      </c>
      <c r="T168">
        <v>0</v>
      </c>
      <c r="U168" s="27"/>
      <c r="V168" s="27"/>
      <c r="AE168" s="23" t="s">
        <v>471</v>
      </c>
      <c r="AF168">
        <v>0</v>
      </c>
      <c r="AG168" s="31"/>
      <c r="AH168" s="31"/>
      <c r="AJ168" s="34"/>
      <c r="AK168" s="23" t="s">
        <v>334</v>
      </c>
      <c r="AL168">
        <v>0</v>
      </c>
      <c r="AM168" s="31" t="s">
        <v>122</v>
      </c>
      <c r="AN168" s="31">
        <f>MAX(AL166:AL179)</f>
        <v>3</v>
      </c>
      <c r="AO168" s="24"/>
      <c r="AQ168" s="97"/>
      <c r="AR168" s="94"/>
      <c r="AS168" s="94"/>
      <c r="AT168" s="94"/>
      <c r="AU168" s="34"/>
      <c r="AW168" s="23" t="s">
        <v>356</v>
      </c>
      <c r="AX168">
        <v>2</v>
      </c>
      <c r="AY168" s="31" t="s">
        <v>138</v>
      </c>
      <c r="AZ168" s="31">
        <f>AVERAGE(AX164:AX179)</f>
        <v>1.75</v>
      </c>
      <c r="BA168" s="24"/>
      <c r="BC168" s="23" t="s">
        <v>378</v>
      </c>
      <c r="BD168">
        <v>3</v>
      </c>
      <c r="BE168" s="31"/>
      <c r="BF168" s="31"/>
      <c r="BG168" s="24"/>
      <c r="BH168" s="34"/>
      <c r="BI168" s="23" t="s">
        <v>384</v>
      </c>
      <c r="BJ168">
        <v>0</v>
      </c>
      <c r="BK168" s="31" t="s">
        <v>138</v>
      </c>
      <c r="BL168" s="31">
        <f>AVERAGE(BJ164:BJ175)</f>
        <v>0.16666666666666666</v>
      </c>
      <c r="BN168" s="34"/>
      <c r="BO168" s="23" t="s">
        <v>393</v>
      </c>
      <c r="BP168">
        <v>0</v>
      </c>
      <c r="BQ168" s="31" t="s">
        <v>129</v>
      </c>
      <c r="BR168" s="31">
        <f>VAR(BP165:BP183)</f>
        <v>0.35672514619883039</v>
      </c>
      <c r="BT168" s="34"/>
      <c r="BU168" s="23" t="s">
        <v>429</v>
      </c>
      <c r="BV168" s="22">
        <v>4</v>
      </c>
      <c r="BW168" s="31"/>
      <c r="BX168" s="31"/>
      <c r="BZ168" s="34"/>
      <c r="CF168" s="36"/>
      <c r="CL168" s="36"/>
      <c r="CM168" s="44"/>
      <c r="CO168" s="31"/>
      <c r="CP168" s="31"/>
      <c r="CR168" s="36"/>
    </row>
    <row r="169" spans="7:96" ht="15" x14ac:dyDescent="0.25">
      <c r="G169" s="25" t="s">
        <v>100</v>
      </c>
      <c r="H169" s="26" t="s">
        <v>523</v>
      </c>
      <c r="I169" s="25"/>
      <c r="J169" s="25">
        <v>2014</v>
      </c>
      <c r="S169" s="23" t="s">
        <v>499</v>
      </c>
      <c r="T169">
        <v>0</v>
      </c>
      <c r="U169" s="27"/>
      <c r="V169" s="27"/>
      <c r="AE169" s="23" t="s">
        <v>472</v>
      </c>
      <c r="AF169">
        <v>0</v>
      </c>
      <c r="AJ169" s="34"/>
      <c r="AK169" s="23" t="s">
        <v>335</v>
      </c>
      <c r="AL169">
        <v>0</v>
      </c>
      <c r="AM169" s="31" t="s">
        <v>129</v>
      </c>
      <c r="AN169" s="31">
        <f>VAR(AL166:AL179)</f>
        <v>0.68131868131868134</v>
      </c>
      <c r="AO169" s="24"/>
      <c r="AQ169" s="19" t="s">
        <v>100</v>
      </c>
      <c r="AR169" s="32" t="s">
        <v>444</v>
      </c>
      <c r="AU169" s="24"/>
      <c r="AW169" s="23" t="s">
        <v>357</v>
      </c>
      <c r="AX169">
        <v>2</v>
      </c>
      <c r="AY169" s="31" t="s">
        <v>144</v>
      </c>
      <c r="AZ169" s="31">
        <f>STDEV(AX164:AX179)</f>
        <v>1.1832159566199232</v>
      </c>
      <c r="BA169" s="24"/>
      <c r="BC169" s="23" t="s">
        <v>379</v>
      </c>
      <c r="BD169">
        <v>1</v>
      </c>
      <c r="BE169" s="31"/>
      <c r="BF169" s="31"/>
      <c r="BG169" s="24"/>
      <c r="BH169" s="34"/>
      <c r="BI169" s="23" t="s">
        <v>385</v>
      </c>
      <c r="BJ169">
        <v>0</v>
      </c>
      <c r="BK169" s="31" t="s">
        <v>144</v>
      </c>
      <c r="BL169" s="31">
        <f>STDEV(BJ164:BJ175)</f>
        <v>0.38924947208076149</v>
      </c>
      <c r="BN169" s="34"/>
      <c r="BO169" s="23" t="s">
        <v>394</v>
      </c>
      <c r="BP169">
        <v>0</v>
      </c>
      <c r="BQ169" s="31" t="s">
        <v>138</v>
      </c>
      <c r="BR169" s="31">
        <f>AVERAGE(BP165:BP183)</f>
        <v>0.36842105263157893</v>
      </c>
      <c r="BT169" s="34"/>
      <c r="BU169" s="23" t="s">
        <v>430</v>
      </c>
      <c r="BV169" s="22">
        <v>11</v>
      </c>
      <c r="BW169" s="31"/>
      <c r="BX169" s="31"/>
      <c r="BZ169" s="34"/>
      <c r="CF169" s="36"/>
      <c r="CL169" s="36"/>
      <c r="CM169" s="44"/>
      <c r="CO169" s="31"/>
      <c r="CP169" s="31"/>
      <c r="CR169" s="36"/>
    </row>
    <row r="170" spans="7:96" ht="15" x14ac:dyDescent="0.25">
      <c r="G170" s="25" t="s">
        <v>101</v>
      </c>
      <c r="H170" s="103" t="s">
        <v>30</v>
      </c>
      <c r="I170" s="25"/>
      <c r="J170" s="25"/>
      <c r="S170" s="23" t="s">
        <v>500</v>
      </c>
      <c r="T170">
        <v>1</v>
      </c>
      <c r="U170" s="27"/>
      <c r="V170" s="27"/>
      <c r="AE170" s="23" t="s">
        <v>362</v>
      </c>
      <c r="AF170">
        <v>0</v>
      </c>
      <c r="AJ170" s="34"/>
      <c r="AK170" s="23" t="s">
        <v>336</v>
      </c>
      <c r="AL170">
        <v>0</v>
      </c>
      <c r="AM170" s="31" t="s">
        <v>138</v>
      </c>
      <c r="AN170" s="31">
        <f>AVERAGE(AL166:AL179)</f>
        <v>0.2857142857142857</v>
      </c>
      <c r="AO170" s="24"/>
      <c r="AR170" s="12" t="s">
        <v>33</v>
      </c>
      <c r="AU170" s="24"/>
      <c r="AW170" s="23" t="s">
        <v>358</v>
      </c>
      <c r="AX170">
        <v>2</v>
      </c>
      <c r="AY170" s="31"/>
      <c r="AZ170" s="31"/>
      <c r="BA170" s="24"/>
      <c r="BC170" s="97"/>
      <c r="BD170" s="34"/>
      <c r="BE170" s="34"/>
      <c r="BF170" s="34"/>
      <c r="BG170" s="34"/>
      <c r="BH170" s="34"/>
      <c r="BI170" s="23" t="s">
        <v>386</v>
      </c>
      <c r="BJ170">
        <v>0</v>
      </c>
      <c r="BK170" s="31"/>
      <c r="BL170" s="31"/>
      <c r="BN170" s="34"/>
      <c r="BO170" s="23" t="s">
        <v>395</v>
      </c>
      <c r="BP170">
        <v>0</v>
      </c>
      <c r="BQ170" s="31" t="s">
        <v>144</v>
      </c>
      <c r="BR170" s="31">
        <f>STDEV(BP165:BP183)</f>
        <v>0.59726472037014744</v>
      </c>
      <c r="BT170" s="34"/>
      <c r="BU170" s="23" t="s">
        <v>431</v>
      </c>
      <c r="BV170" s="22">
        <v>7</v>
      </c>
      <c r="BW170" s="31"/>
      <c r="BX170" s="31"/>
      <c r="BZ170" s="34"/>
      <c r="CF170" s="36"/>
      <c r="CL170" s="36"/>
      <c r="CO170" s="31"/>
      <c r="CP170" s="31"/>
      <c r="CR170" s="36"/>
    </row>
    <row r="171" spans="7:96" ht="15" x14ac:dyDescent="0.25">
      <c r="G171" s="25" t="s">
        <v>102</v>
      </c>
      <c r="H171" s="25" t="s">
        <v>71</v>
      </c>
      <c r="I171" s="25" t="s">
        <v>103</v>
      </c>
      <c r="J171" s="25" t="s">
        <v>104</v>
      </c>
      <c r="S171" s="23" t="s">
        <v>501</v>
      </c>
      <c r="T171">
        <v>0</v>
      </c>
      <c r="U171" s="27"/>
      <c r="V171" s="27"/>
      <c r="AE171" s="23" t="s">
        <v>473</v>
      </c>
      <c r="AF171">
        <v>0</v>
      </c>
      <c r="AJ171" s="34"/>
      <c r="AK171" s="23" t="s">
        <v>172</v>
      </c>
      <c r="AL171">
        <v>0</v>
      </c>
      <c r="AM171" s="31" t="s">
        <v>144</v>
      </c>
      <c r="AN171" s="31">
        <f>STDEV(AL166:AL179)</f>
        <v>0.82542030585555703</v>
      </c>
      <c r="AO171" s="24"/>
      <c r="AQ171" s="31" t="s">
        <v>102</v>
      </c>
      <c r="AR171" s="31" t="s">
        <v>71</v>
      </c>
      <c r="AS171" s="31" t="s">
        <v>103</v>
      </c>
      <c r="AT171" s="31" t="s">
        <v>104</v>
      </c>
      <c r="AU171" s="24"/>
      <c r="AW171" s="23" t="s">
        <v>359</v>
      </c>
      <c r="AX171">
        <v>4</v>
      </c>
      <c r="AY171" s="31"/>
      <c r="AZ171" s="31"/>
      <c r="BA171" s="24"/>
      <c r="BC171" s="19" t="s">
        <v>100</v>
      </c>
      <c r="BD171" s="35" t="s">
        <v>65</v>
      </c>
      <c r="BG171" s="24"/>
      <c r="BH171" s="34"/>
      <c r="BI171" s="23" t="s">
        <v>387</v>
      </c>
      <c r="BJ171">
        <v>0</v>
      </c>
      <c r="BK171" s="33"/>
      <c r="BL171" s="33"/>
      <c r="BN171" s="34"/>
      <c r="BO171" s="23" t="s">
        <v>396</v>
      </c>
      <c r="BP171">
        <v>0</v>
      </c>
      <c r="BQ171" s="31"/>
      <c r="BR171" s="31"/>
      <c r="BT171" s="34"/>
      <c r="BU171" s="23" t="s">
        <v>432</v>
      </c>
      <c r="BV171" s="22">
        <v>7</v>
      </c>
      <c r="BW171" s="31"/>
      <c r="BX171" s="31"/>
      <c r="BZ171" s="34"/>
      <c r="CF171" s="36"/>
      <c r="CL171" s="36"/>
      <c r="CO171" s="31"/>
      <c r="CP171" s="31"/>
      <c r="CR171" s="36"/>
    </row>
    <row r="172" spans="7:96" ht="15" x14ac:dyDescent="0.25">
      <c r="G172" s="104" t="s">
        <v>513</v>
      </c>
      <c r="H172">
        <v>2</v>
      </c>
      <c r="I172" s="25" t="s">
        <v>106</v>
      </c>
      <c r="J172" s="25">
        <f>SUM(H172:H181)</f>
        <v>6</v>
      </c>
      <c r="S172" s="23" t="s">
        <v>502</v>
      </c>
      <c r="T172">
        <v>1</v>
      </c>
      <c r="U172" s="27"/>
      <c r="V172" s="27"/>
      <c r="AE172" s="23" t="s">
        <v>474</v>
      </c>
      <c r="AF172">
        <v>0</v>
      </c>
      <c r="AJ172" s="34"/>
      <c r="AK172" s="23" t="s">
        <v>337</v>
      </c>
      <c r="AL172">
        <v>0</v>
      </c>
      <c r="AM172" s="31"/>
      <c r="AN172" s="31"/>
      <c r="AO172" s="24"/>
      <c r="AQ172" s="23" t="s">
        <v>344</v>
      </c>
      <c r="AR172">
        <v>1</v>
      </c>
      <c r="AS172" s="31" t="s">
        <v>106</v>
      </c>
      <c r="AT172" s="31">
        <f>SUM(AR172:AR181)</f>
        <v>1</v>
      </c>
      <c r="AU172" s="24"/>
      <c r="AW172" s="23" t="s">
        <v>360</v>
      </c>
      <c r="AX172">
        <v>3</v>
      </c>
      <c r="AY172" s="31"/>
      <c r="AZ172" s="31"/>
      <c r="BA172" s="24"/>
      <c r="BD172" s="12" t="s">
        <v>28</v>
      </c>
      <c r="BG172" s="24"/>
      <c r="BH172" s="34"/>
      <c r="BI172" s="23" t="s">
        <v>139</v>
      </c>
      <c r="BJ172">
        <v>1</v>
      </c>
      <c r="BK172" s="33"/>
      <c r="BL172" s="33"/>
      <c r="BN172" s="34"/>
      <c r="BO172" s="23" t="s">
        <v>397</v>
      </c>
      <c r="BP172">
        <v>0</v>
      </c>
      <c r="BQ172" s="31"/>
      <c r="BR172" s="31"/>
      <c r="BT172" s="34"/>
      <c r="BU172" s="23" t="s">
        <v>433</v>
      </c>
      <c r="BV172" s="22">
        <v>0</v>
      </c>
      <c r="BW172" s="31"/>
      <c r="BX172" s="31"/>
      <c r="BZ172" s="34"/>
      <c r="CF172" s="36"/>
      <c r="CL172" s="36"/>
      <c r="CR172" s="36"/>
    </row>
    <row r="173" spans="7:96" ht="15" x14ac:dyDescent="0.25">
      <c r="G173" s="104" t="s">
        <v>514</v>
      </c>
      <c r="H173">
        <v>0</v>
      </c>
      <c r="I173" s="25" t="s">
        <v>115</v>
      </c>
      <c r="J173" s="25">
        <f>MIN(H172:H181)</f>
        <v>0</v>
      </c>
      <c r="S173" s="23" t="s">
        <v>350</v>
      </c>
      <c r="T173">
        <v>0</v>
      </c>
      <c r="U173" s="27"/>
      <c r="V173" s="27"/>
      <c r="AE173" s="23" t="s">
        <v>475</v>
      </c>
      <c r="AF173">
        <v>0</v>
      </c>
      <c r="AJ173" s="34"/>
      <c r="AK173" s="23" t="s">
        <v>338</v>
      </c>
      <c r="AL173">
        <v>0</v>
      </c>
      <c r="AM173" s="31"/>
      <c r="AN173" s="31"/>
      <c r="AO173" s="24"/>
      <c r="AQ173" s="23" t="s">
        <v>345</v>
      </c>
      <c r="AR173">
        <v>0</v>
      </c>
      <c r="AS173" s="31" t="s">
        <v>115</v>
      </c>
      <c r="AT173" s="31">
        <f>MIN(AR172:AR181)</f>
        <v>0</v>
      </c>
      <c r="AU173" s="24"/>
      <c r="AW173" s="23" t="s">
        <v>361</v>
      </c>
      <c r="AX173">
        <v>3</v>
      </c>
      <c r="AY173" s="31"/>
      <c r="AZ173" s="31"/>
      <c r="BA173" s="24"/>
      <c r="BC173" s="31" t="s">
        <v>102</v>
      </c>
      <c r="BD173" s="31" t="s">
        <v>71</v>
      </c>
      <c r="BE173" s="31" t="s">
        <v>103</v>
      </c>
      <c r="BF173" s="31" t="s">
        <v>104</v>
      </c>
      <c r="BG173" s="24"/>
      <c r="BH173" s="34"/>
      <c r="BI173" s="23" t="s">
        <v>156</v>
      </c>
      <c r="BJ173">
        <v>0</v>
      </c>
      <c r="BK173" s="31"/>
      <c r="BL173" s="31"/>
      <c r="BN173" s="34"/>
      <c r="BO173" s="23" t="s">
        <v>398</v>
      </c>
      <c r="BP173">
        <v>1</v>
      </c>
      <c r="BQ173" s="31"/>
      <c r="BR173" s="31"/>
      <c r="BT173" s="34"/>
      <c r="BU173" s="23" t="s">
        <v>434</v>
      </c>
      <c r="BV173" s="22">
        <v>7</v>
      </c>
      <c r="BW173" s="31"/>
      <c r="BX173" s="31"/>
      <c r="BZ173" s="34"/>
      <c r="CF173" s="36"/>
      <c r="CL173" s="36"/>
      <c r="CR173" s="36"/>
    </row>
    <row r="174" spans="7:96" ht="15" x14ac:dyDescent="0.25">
      <c r="G174" s="104" t="s">
        <v>515</v>
      </c>
      <c r="H174">
        <v>0</v>
      </c>
      <c r="I174" s="25" t="s">
        <v>122</v>
      </c>
      <c r="J174" s="25">
        <f>MAX(H172:H181)</f>
        <v>2</v>
      </c>
      <c r="S174" s="23" t="s">
        <v>503</v>
      </c>
      <c r="T174">
        <v>0</v>
      </c>
      <c r="U174" s="27"/>
      <c r="V174" s="27"/>
      <c r="AE174" s="34"/>
      <c r="AF174" s="94"/>
      <c r="AG174" s="34"/>
      <c r="AH174" s="34"/>
      <c r="AI174" s="34"/>
      <c r="AJ174" s="34"/>
      <c r="AK174" s="23" t="s">
        <v>339</v>
      </c>
      <c r="AL174">
        <v>0</v>
      </c>
      <c r="AM174" s="31"/>
      <c r="AN174" s="31"/>
      <c r="AO174" s="24"/>
      <c r="AQ174" s="23" t="s">
        <v>262</v>
      </c>
      <c r="AR174">
        <v>0</v>
      </c>
      <c r="AS174" s="31" t="s">
        <v>122</v>
      </c>
      <c r="AT174" s="31">
        <f>MAX(AR172:AR181)</f>
        <v>1</v>
      </c>
      <c r="AU174" s="24"/>
      <c r="AW174" s="23" t="s">
        <v>362</v>
      </c>
      <c r="AX174">
        <v>2</v>
      </c>
      <c r="AY174" s="31"/>
      <c r="AZ174" s="31"/>
      <c r="BA174" s="24"/>
      <c r="BC174" s="23" t="s">
        <v>368</v>
      </c>
      <c r="BD174">
        <v>0</v>
      </c>
      <c r="BE174" s="31" t="s">
        <v>106</v>
      </c>
      <c r="BF174" s="31">
        <f>SUM(BD174:BD186)</f>
        <v>5</v>
      </c>
      <c r="BG174" s="24"/>
      <c r="BH174" s="34"/>
      <c r="BI174" s="23" t="s">
        <v>388</v>
      </c>
      <c r="BJ174">
        <v>0</v>
      </c>
      <c r="BK174" s="31"/>
      <c r="BL174" s="31"/>
      <c r="BN174" s="34"/>
      <c r="BO174" s="23" t="s">
        <v>399</v>
      </c>
      <c r="BP174">
        <v>0</v>
      </c>
      <c r="BQ174" s="31"/>
      <c r="BR174" s="31"/>
      <c r="BT174" s="34"/>
      <c r="BU174" s="34"/>
      <c r="BV174" s="34"/>
      <c r="BW174" s="34"/>
      <c r="BX174" s="34"/>
      <c r="BY174" s="34"/>
      <c r="BZ174" s="34"/>
      <c r="CF174" s="36"/>
      <c r="CL174" s="36"/>
      <c r="CR174" s="36"/>
    </row>
    <row r="175" spans="7:96" ht="15" x14ac:dyDescent="0.25">
      <c r="G175" s="104" t="s">
        <v>516</v>
      </c>
      <c r="H175">
        <v>1</v>
      </c>
      <c r="I175" s="25" t="s">
        <v>129</v>
      </c>
      <c r="J175" s="25">
        <f>VAR(H172:H181)</f>
        <v>0.71111111111111114</v>
      </c>
      <c r="S175" s="23" t="s">
        <v>504</v>
      </c>
      <c r="T175">
        <v>0</v>
      </c>
      <c r="U175" s="25"/>
      <c r="V175" s="25"/>
      <c r="AE175" s="31" t="s">
        <v>100</v>
      </c>
      <c r="AF175" s="32" t="s">
        <v>67</v>
      </c>
      <c r="AG175" s="31"/>
      <c r="AH175" s="31"/>
      <c r="AJ175" s="34"/>
      <c r="AK175" s="23" t="s">
        <v>340</v>
      </c>
      <c r="AL175">
        <v>3</v>
      </c>
      <c r="AM175" s="31"/>
      <c r="AN175" s="31"/>
      <c r="AO175" s="24"/>
      <c r="AQ175" s="23" t="s">
        <v>346</v>
      </c>
      <c r="AR175">
        <v>0</v>
      </c>
      <c r="AS175" s="31" t="s">
        <v>129</v>
      </c>
      <c r="AT175" s="31">
        <f>VAR(AR172:AR181)</f>
        <v>0.1</v>
      </c>
      <c r="AU175" s="24"/>
      <c r="AW175" s="23" t="s">
        <v>363</v>
      </c>
      <c r="AX175">
        <v>1</v>
      </c>
      <c r="AY175" s="31"/>
      <c r="AZ175" s="31"/>
      <c r="BA175" s="24"/>
      <c r="BC175" s="23" t="s">
        <v>369</v>
      </c>
      <c r="BD175">
        <v>0</v>
      </c>
      <c r="BE175" s="31" t="s">
        <v>115</v>
      </c>
      <c r="BF175" s="31">
        <f>MIN(BD174:BD186)</f>
        <v>0</v>
      </c>
      <c r="BG175" s="24"/>
      <c r="BH175" s="34"/>
      <c r="BI175" s="23" t="s">
        <v>389</v>
      </c>
      <c r="BJ175">
        <v>1</v>
      </c>
      <c r="BK175" s="31"/>
      <c r="BL175" s="31"/>
      <c r="BN175" s="34"/>
      <c r="BO175" s="23" t="s">
        <v>214</v>
      </c>
      <c r="BP175">
        <v>0</v>
      </c>
      <c r="BQ175" s="31"/>
      <c r="BR175" s="31"/>
      <c r="BT175" s="34"/>
      <c r="BU175" s="19" t="s">
        <v>100</v>
      </c>
      <c r="BV175" s="35" t="s">
        <v>61</v>
      </c>
      <c r="BZ175" s="34"/>
      <c r="CF175" s="36"/>
      <c r="CL175" s="36"/>
      <c r="CR175" s="36"/>
    </row>
    <row r="176" spans="7:96" ht="15" x14ac:dyDescent="0.25">
      <c r="G176" s="104" t="s">
        <v>517</v>
      </c>
      <c r="H176">
        <v>1</v>
      </c>
      <c r="I176" s="25" t="s">
        <v>138</v>
      </c>
      <c r="J176" s="25">
        <f>AVERAGE(H172:H181)</f>
        <v>0.6</v>
      </c>
      <c r="R176" s="34"/>
      <c r="S176" s="34"/>
      <c r="T176" s="34"/>
      <c r="U176" s="34"/>
      <c r="V176" s="34"/>
      <c r="W176" s="34"/>
      <c r="X176" s="34"/>
      <c r="AE176" s="31" t="s">
        <v>101</v>
      </c>
      <c r="AF176" s="12" t="s">
        <v>9</v>
      </c>
      <c r="AG176" s="31"/>
      <c r="AH176" s="31"/>
      <c r="AJ176" s="34"/>
      <c r="AK176" s="23" t="s">
        <v>77</v>
      </c>
      <c r="AL176">
        <v>1</v>
      </c>
      <c r="AM176" s="31"/>
      <c r="AN176" s="31"/>
      <c r="AO176" s="24"/>
      <c r="AQ176" s="23" t="s">
        <v>347</v>
      </c>
      <c r="AR176">
        <v>0</v>
      </c>
      <c r="AS176" s="31" t="s">
        <v>138</v>
      </c>
      <c r="AT176" s="31">
        <f>AVERAGE(AR172:AR181)</f>
        <v>0.1</v>
      </c>
      <c r="AU176" s="24"/>
      <c r="AW176" s="23" t="s">
        <v>364</v>
      </c>
      <c r="AX176">
        <v>0</v>
      </c>
      <c r="AY176" s="31"/>
      <c r="AZ176" s="31"/>
      <c r="BA176" s="24"/>
      <c r="BC176" s="23" t="s">
        <v>370</v>
      </c>
      <c r="BD176">
        <v>0</v>
      </c>
      <c r="BE176" s="31" t="s">
        <v>122</v>
      </c>
      <c r="BF176" s="31">
        <f>MAX(BD174:BD186)</f>
        <v>3</v>
      </c>
      <c r="BG176" s="24"/>
      <c r="BH176" s="34"/>
      <c r="BI176" s="97"/>
      <c r="BJ176" s="34"/>
      <c r="BK176" s="94"/>
      <c r="BL176" s="94"/>
      <c r="BM176" s="34"/>
      <c r="BN176" s="34"/>
      <c r="BO176" s="23" t="s">
        <v>400</v>
      </c>
      <c r="BP176">
        <v>1</v>
      </c>
      <c r="BQ176" s="31"/>
      <c r="BR176" s="31"/>
      <c r="BT176" s="34"/>
      <c r="BV176" s="12" t="s">
        <v>7</v>
      </c>
      <c r="BZ176" s="34"/>
      <c r="CF176" s="36"/>
      <c r="CL176" s="36"/>
      <c r="CR176" s="36"/>
    </row>
    <row r="177" spans="7:96" ht="15" x14ac:dyDescent="0.25">
      <c r="G177" s="104" t="s">
        <v>518</v>
      </c>
      <c r="H177">
        <v>0</v>
      </c>
      <c r="I177" s="25" t="s">
        <v>144</v>
      </c>
      <c r="J177" s="25">
        <f>STDEV(H172:H181)</f>
        <v>0.84327404271156781</v>
      </c>
      <c r="S177" s="27" t="s">
        <v>100</v>
      </c>
      <c r="T177" s="30" t="s">
        <v>524</v>
      </c>
      <c r="U177" s="27"/>
      <c r="V177" s="27">
        <v>2014</v>
      </c>
      <c r="AE177" s="31" t="s">
        <v>102</v>
      </c>
      <c r="AF177" s="31" t="s">
        <v>71</v>
      </c>
      <c r="AG177" s="31" t="s">
        <v>103</v>
      </c>
      <c r="AH177" s="31" t="s">
        <v>104</v>
      </c>
      <c r="AJ177" s="34"/>
      <c r="AK177" s="23" t="s">
        <v>341</v>
      </c>
      <c r="AL177">
        <v>0</v>
      </c>
      <c r="AM177" s="31"/>
      <c r="AN177" s="31"/>
      <c r="AO177" s="24"/>
      <c r="AQ177" s="23" t="s">
        <v>348</v>
      </c>
      <c r="AR177">
        <v>0</v>
      </c>
      <c r="AS177" s="31" t="s">
        <v>144</v>
      </c>
      <c r="AT177" s="31">
        <f>STDEV(AR172:AR181)</f>
        <v>0.31622776601683794</v>
      </c>
      <c r="AU177" s="24"/>
      <c r="AW177" s="23" t="s">
        <v>365</v>
      </c>
      <c r="AX177">
        <v>1</v>
      </c>
      <c r="AY177" s="31"/>
      <c r="AZ177" s="31"/>
      <c r="BA177" s="24"/>
      <c r="BC177" s="23" t="s">
        <v>215</v>
      </c>
      <c r="BD177">
        <v>0</v>
      </c>
      <c r="BE177" s="31" t="s">
        <v>129</v>
      </c>
      <c r="BF177" s="31">
        <f>VAR(BD174:BD186)</f>
        <v>0.75641025641025639</v>
      </c>
      <c r="BG177" s="24"/>
      <c r="BH177" s="34"/>
      <c r="BI177" s="19" t="s">
        <v>100</v>
      </c>
      <c r="BJ177" s="35" t="s">
        <v>64</v>
      </c>
      <c r="BN177" s="34"/>
      <c r="BO177" s="23" t="s">
        <v>401</v>
      </c>
      <c r="BP177">
        <v>1</v>
      </c>
      <c r="BQ177" s="33"/>
      <c r="BR177" s="33"/>
      <c r="BT177" s="34"/>
      <c r="BU177" s="31" t="s">
        <v>102</v>
      </c>
      <c r="BV177" s="31" t="s">
        <v>71</v>
      </c>
      <c r="BW177" s="31" t="s">
        <v>103</v>
      </c>
      <c r="BX177" s="31" t="s">
        <v>104</v>
      </c>
      <c r="BZ177" s="34"/>
      <c r="CF177" s="36"/>
      <c r="CL177" s="36"/>
      <c r="CR177" s="36"/>
    </row>
    <row r="178" spans="7:96" ht="15" x14ac:dyDescent="0.25">
      <c r="G178" s="104" t="s">
        <v>519</v>
      </c>
      <c r="H178">
        <v>2</v>
      </c>
      <c r="I178" s="25"/>
      <c r="J178" s="25"/>
      <c r="S178" s="27" t="s">
        <v>101</v>
      </c>
      <c r="T178" s="12" t="s">
        <v>16</v>
      </c>
      <c r="U178" s="27"/>
      <c r="V178" s="27"/>
      <c r="AE178" s="23" t="s">
        <v>453</v>
      </c>
      <c r="AF178">
        <v>0</v>
      </c>
      <c r="AG178" s="31" t="s">
        <v>106</v>
      </c>
      <c r="AH178" s="31">
        <f>SUM(AF178:AF202)</f>
        <v>1</v>
      </c>
      <c r="AJ178" s="34"/>
      <c r="AK178" s="23" t="s">
        <v>342</v>
      </c>
      <c r="AL178">
        <v>0</v>
      </c>
      <c r="AM178" s="31"/>
      <c r="AN178" s="31"/>
      <c r="AO178" s="24"/>
      <c r="AQ178" s="23" t="s">
        <v>349</v>
      </c>
      <c r="AR178">
        <v>0</v>
      </c>
      <c r="AS178" s="31"/>
      <c r="AT178" s="31"/>
      <c r="AU178" s="24"/>
      <c r="AW178" s="23" t="s">
        <v>366</v>
      </c>
      <c r="AX178">
        <v>2</v>
      </c>
      <c r="AY178" s="31"/>
      <c r="AZ178" s="31"/>
      <c r="BA178" s="24"/>
      <c r="BC178" s="23" t="s">
        <v>371</v>
      </c>
      <c r="BD178">
        <v>0</v>
      </c>
      <c r="BE178" s="31" t="s">
        <v>138</v>
      </c>
      <c r="BF178" s="31">
        <f>AVERAGE(BD174:BD186)</f>
        <v>0.38461538461538464</v>
      </c>
      <c r="BG178" s="24"/>
      <c r="BH178" s="34"/>
      <c r="BJ178" s="12" t="s">
        <v>21</v>
      </c>
      <c r="BN178" s="34"/>
      <c r="BO178" s="23" t="s">
        <v>402</v>
      </c>
      <c r="BP178">
        <v>0</v>
      </c>
      <c r="BQ178" s="31"/>
      <c r="BR178" s="33"/>
      <c r="BT178" s="34"/>
      <c r="BU178" s="23" t="s">
        <v>412</v>
      </c>
      <c r="BV178" s="22">
        <v>0</v>
      </c>
      <c r="BW178" s="31" t="s">
        <v>106</v>
      </c>
      <c r="BX178" s="31">
        <f>SUM(BV178:BV202)</f>
        <v>1</v>
      </c>
      <c r="BZ178" s="34"/>
      <c r="CF178" s="36"/>
      <c r="CL178" s="36"/>
      <c r="CR178" s="36"/>
    </row>
    <row r="179" spans="7:96" ht="15" x14ac:dyDescent="0.25">
      <c r="G179" s="104" t="s">
        <v>520</v>
      </c>
      <c r="H179">
        <v>0</v>
      </c>
      <c r="I179" s="25"/>
      <c r="J179" s="25"/>
      <c r="S179" s="27" t="s">
        <v>102</v>
      </c>
      <c r="T179" s="27" t="s">
        <v>71</v>
      </c>
      <c r="U179" s="27" t="s">
        <v>103</v>
      </c>
      <c r="V179" s="27" t="s">
        <v>104</v>
      </c>
      <c r="AE179" s="23" t="s">
        <v>454</v>
      </c>
      <c r="AF179">
        <v>0</v>
      </c>
      <c r="AG179" s="31" t="s">
        <v>115</v>
      </c>
      <c r="AH179" s="31">
        <f>MIN(AF178:AF202)</f>
        <v>0</v>
      </c>
      <c r="AJ179" s="34"/>
      <c r="AK179" s="23" t="s">
        <v>343</v>
      </c>
      <c r="AL179">
        <v>0</v>
      </c>
      <c r="AM179" s="31"/>
      <c r="AN179" s="31"/>
      <c r="AO179" s="24"/>
      <c r="AQ179" s="23" t="s">
        <v>350</v>
      </c>
      <c r="AR179">
        <v>0</v>
      </c>
      <c r="AS179" s="31"/>
      <c r="AT179" s="31"/>
      <c r="AU179" s="24"/>
      <c r="AW179" s="23" t="s">
        <v>367</v>
      </c>
      <c r="AX179">
        <v>0</v>
      </c>
      <c r="AY179" s="31"/>
      <c r="AZ179" s="31"/>
      <c r="BA179" s="24"/>
      <c r="BC179" s="23" t="s">
        <v>372</v>
      </c>
      <c r="BD179">
        <v>0</v>
      </c>
      <c r="BE179" s="31" t="s">
        <v>144</v>
      </c>
      <c r="BF179" s="31">
        <f>STDEV(BD174:BD186)</f>
        <v>0.86971849262290402</v>
      </c>
      <c r="BG179" s="24"/>
      <c r="BH179" s="34"/>
      <c r="BI179" s="31" t="s">
        <v>102</v>
      </c>
      <c r="BJ179" s="31" t="s">
        <v>71</v>
      </c>
      <c r="BK179" s="31" t="s">
        <v>103</v>
      </c>
      <c r="BL179" s="31" t="s">
        <v>104</v>
      </c>
      <c r="BN179" s="34"/>
      <c r="BO179" s="23" t="s">
        <v>403</v>
      </c>
      <c r="BP179">
        <v>0</v>
      </c>
      <c r="BQ179" s="31"/>
      <c r="BR179" s="33"/>
      <c r="BT179" s="34"/>
      <c r="BU179" s="22" t="s">
        <v>244</v>
      </c>
      <c r="BV179" s="22">
        <v>1</v>
      </c>
      <c r="BW179" s="31" t="s">
        <v>115</v>
      </c>
      <c r="BX179" s="31">
        <f>MIN(BV178:BV202)</f>
        <v>0</v>
      </c>
      <c r="BZ179" s="34"/>
      <c r="CF179" s="36"/>
      <c r="CL179" s="36"/>
      <c r="CR179" s="36"/>
    </row>
    <row r="180" spans="7:96" ht="15" x14ac:dyDescent="0.25">
      <c r="G180" s="104" t="s">
        <v>521</v>
      </c>
      <c r="H180">
        <v>0</v>
      </c>
      <c r="I180" s="25"/>
      <c r="J180" s="25"/>
      <c r="S180" s="23" t="s">
        <v>489</v>
      </c>
      <c r="T180">
        <v>0</v>
      </c>
      <c r="U180" s="31" t="s">
        <v>106</v>
      </c>
      <c r="V180" s="27">
        <f>SUM(T180:T197)</f>
        <v>2</v>
      </c>
      <c r="AE180" s="23" t="s">
        <v>455</v>
      </c>
      <c r="AF180">
        <v>0</v>
      </c>
      <c r="AG180" s="31" t="s">
        <v>122</v>
      </c>
      <c r="AH180" s="31">
        <f>MAX(AF178:AF202)</f>
        <v>1</v>
      </c>
      <c r="AJ180" s="34"/>
      <c r="AK180" s="94"/>
      <c r="AL180" s="94"/>
      <c r="AM180" s="94"/>
      <c r="AN180" s="94"/>
      <c r="AO180" s="34"/>
      <c r="AQ180" s="23" t="s">
        <v>351</v>
      </c>
      <c r="AR180">
        <v>0</v>
      </c>
      <c r="AS180" s="31"/>
      <c r="AT180" s="31"/>
      <c r="AU180" s="24"/>
      <c r="AW180" s="111"/>
      <c r="AX180" s="94"/>
      <c r="AY180" s="34"/>
      <c r="AZ180" s="34"/>
      <c r="BA180" s="34"/>
      <c r="BC180" s="23" t="s">
        <v>373</v>
      </c>
      <c r="BD180">
        <v>3</v>
      </c>
      <c r="BE180" s="31"/>
      <c r="BF180" s="31"/>
      <c r="BG180" s="24"/>
      <c r="BH180" s="34"/>
      <c r="BI180" s="23" t="s">
        <v>380</v>
      </c>
      <c r="BJ180">
        <v>2</v>
      </c>
      <c r="BK180" s="31" t="s">
        <v>106</v>
      </c>
      <c r="BL180" s="31">
        <f>SUM(BJ180:BJ191)</f>
        <v>14</v>
      </c>
      <c r="BN180" s="34"/>
      <c r="BO180" s="23" t="s">
        <v>404</v>
      </c>
      <c r="BP180">
        <v>0</v>
      </c>
      <c r="BQ180" s="31"/>
      <c r="BR180" s="33"/>
      <c r="BT180" s="34"/>
      <c r="BU180" s="22" t="s">
        <v>119</v>
      </c>
      <c r="BV180" s="22">
        <v>0</v>
      </c>
      <c r="BW180" s="31" t="s">
        <v>122</v>
      </c>
      <c r="BX180" s="31">
        <f>MAX(BV178:BV202)</f>
        <v>1</v>
      </c>
      <c r="BZ180" s="34"/>
      <c r="CF180" s="36"/>
      <c r="CL180" s="36"/>
      <c r="CR180" s="36"/>
    </row>
    <row r="181" spans="7:96" ht="15" x14ac:dyDescent="0.25">
      <c r="G181" s="104" t="s">
        <v>175</v>
      </c>
      <c r="H181">
        <v>0</v>
      </c>
      <c r="S181" s="23" t="s">
        <v>490</v>
      </c>
      <c r="T181">
        <v>0</v>
      </c>
      <c r="U181" s="31" t="s">
        <v>115</v>
      </c>
      <c r="V181" s="27">
        <f>MIN(T180:T197)</f>
        <v>0</v>
      </c>
      <c r="AE181" s="23" t="s">
        <v>456</v>
      </c>
      <c r="AF181">
        <v>0</v>
      </c>
      <c r="AG181" s="31" t="s">
        <v>129</v>
      </c>
      <c r="AH181" s="31">
        <f>VAR(AF178:AF202)</f>
        <v>0.04</v>
      </c>
      <c r="AJ181" s="34"/>
      <c r="AK181" s="19" t="s">
        <v>100</v>
      </c>
      <c r="AL181" s="32" t="s">
        <v>443</v>
      </c>
      <c r="AO181" s="24"/>
      <c r="AQ181" s="23" t="s">
        <v>352</v>
      </c>
      <c r="AR181">
        <v>0</v>
      </c>
      <c r="AS181" s="31"/>
      <c r="AT181" s="31"/>
      <c r="AU181" s="24"/>
      <c r="AW181" s="19" t="s">
        <v>100</v>
      </c>
      <c r="AX181" s="35" t="s">
        <v>66</v>
      </c>
      <c r="AZ181" s="19">
        <v>2014</v>
      </c>
      <c r="BA181" s="24"/>
      <c r="BC181" s="23" t="s">
        <v>374</v>
      </c>
      <c r="BD181">
        <v>1</v>
      </c>
      <c r="BE181" s="33"/>
      <c r="BF181" s="33"/>
      <c r="BG181" s="24"/>
      <c r="BH181" s="34"/>
      <c r="BI181" s="23" t="s">
        <v>381</v>
      </c>
      <c r="BJ181">
        <v>5</v>
      </c>
      <c r="BK181" s="31" t="s">
        <v>115</v>
      </c>
      <c r="BL181" s="31">
        <f>MIN(BJ180:BJ191)</f>
        <v>0</v>
      </c>
      <c r="BN181" s="34"/>
      <c r="BO181" s="23" t="s">
        <v>405</v>
      </c>
      <c r="BP181">
        <v>1</v>
      </c>
      <c r="BQ181" s="31"/>
      <c r="BR181" s="33"/>
      <c r="BT181" s="34"/>
      <c r="BU181" s="22" t="s">
        <v>413</v>
      </c>
      <c r="BV181" s="22">
        <v>0</v>
      </c>
      <c r="BW181" s="31" t="s">
        <v>129</v>
      </c>
      <c r="BX181" s="31">
        <f>VAR(BV178:BV202)</f>
        <v>0.04</v>
      </c>
      <c r="BZ181" s="34"/>
      <c r="CF181" s="36"/>
      <c r="CL181" s="36"/>
      <c r="CR181" s="36"/>
    </row>
    <row r="182" spans="7:96" ht="15" x14ac:dyDescent="0.25">
      <c r="G182" s="34"/>
      <c r="H182" s="34"/>
      <c r="I182" s="34"/>
      <c r="J182" s="34"/>
      <c r="K182" s="34"/>
      <c r="S182" s="23" t="s">
        <v>491</v>
      </c>
      <c r="T182">
        <v>0</v>
      </c>
      <c r="U182" s="31" t="s">
        <v>122</v>
      </c>
      <c r="V182" s="27">
        <f>MAX(T180:T197)</f>
        <v>1</v>
      </c>
      <c r="AE182" s="23" t="s">
        <v>259</v>
      </c>
      <c r="AF182">
        <v>0</v>
      </c>
      <c r="AG182" s="31" t="s">
        <v>138</v>
      </c>
      <c r="AH182" s="31">
        <f>AVERAGE(AF178:AF202)</f>
        <v>0.04</v>
      </c>
      <c r="AJ182" s="34"/>
      <c r="AK182" s="19" t="s">
        <v>101</v>
      </c>
      <c r="AL182" s="12" t="s">
        <v>22</v>
      </c>
      <c r="AO182" s="24"/>
      <c r="AQ182" s="47"/>
      <c r="AR182" s="33"/>
      <c r="AS182" s="33"/>
      <c r="AT182" s="33"/>
      <c r="AU182" s="24"/>
      <c r="AX182" s="12" t="s">
        <v>28</v>
      </c>
      <c r="BA182" s="24"/>
      <c r="BC182" s="23" t="s">
        <v>375</v>
      </c>
      <c r="BD182">
        <v>0</v>
      </c>
      <c r="BE182" s="33"/>
      <c r="BF182" s="33"/>
      <c r="BG182" s="24"/>
      <c r="BH182" s="34"/>
      <c r="BI182" s="23" t="s">
        <v>382</v>
      </c>
      <c r="BJ182">
        <v>0</v>
      </c>
      <c r="BK182" s="31" t="s">
        <v>122</v>
      </c>
      <c r="BL182" s="31">
        <f>MAX(BJ180:BJ191)</f>
        <v>5</v>
      </c>
      <c r="BN182" s="34"/>
      <c r="BO182" s="23" t="s">
        <v>406</v>
      </c>
      <c r="BP182">
        <v>1</v>
      </c>
      <c r="BQ182" s="31"/>
      <c r="BR182" s="31"/>
      <c r="BT182" s="34"/>
      <c r="BU182" s="22" t="s">
        <v>414</v>
      </c>
      <c r="BV182" s="22">
        <v>0</v>
      </c>
      <c r="BW182" s="31" t="s">
        <v>138</v>
      </c>
      <c r="BX182" s="31">
        <f>AVERAGE(BV178:BV202)</f>
        <v>0.04</v>
      </c>
      <c r="BZ182" s="34"/>
      <c r="CF182" s="36"/>
      <c r="CL182" s="36"/>
      <c r="CR182" s="36"/>
    </row>
    <row r="183" spans="7:96" ht="15" x14ac:dyDescent="0.25">
      <c r="G183" s="25" t="s">
        <v>100</v>
      </c>
      <c r="H183" s="26" t="s">
        <v>523</v>
      </c>
      <c r="I183" s="25"/>
      <c r="J183" s="25">
        <v>2014</v>
      </c>
      <c r="S183" s="23" t="s">
        <v>492</v>
      </c>
      <c r="T183">
        <v>0</v>
      </c>
      <c r="U183" s="31" t="s">
        <v>129</v>
      </c>
      <c r="V183" s="27">
        <f>VAR(T180:T197)</f>
        <v>0.1045751633986928</v>
      </c>
      <c r="AE183" s="23" t="s">
        <v>457</v>
      </c>
      <c r="AF183">
        <v>0</v>
      </c>
      <c r="AG183" s="31" t="s">
        <v>144</v>
      </c>
      <c r="AH183" s="31">
        <f>STDEV(AF178:AF202)</f>
        <v>0.2</v>
      </c>
      <c r="AJ183" s="34"/>
      <c r="AK183" s="31" t="s">
        <v>102</v>
      </c>
      <c r="AL183" s="31" t="s">
        <v>71</v>
      </c>
      <c r="AM183" s="31" t="s">
        <v>103</v>
      </c>
      <c r="AN183" s="31" t="s">
        <v>104</v>
      </c>
      <c r="AO183" s="24"/>
      <c r="AQ183" s="97"/>
      <c r="AR183" s="94"/>
      <c r="AS183" s="94"/>
      <c r="AT183" s="94"/>
      <c r="AU183" s="34"/>
      <c r="AW183" s="31" t="s">
        <v>102</v>
      </c>
      <c r="AX183" s="31" t="s">
        <v>71</v>
      </c>
      <c r="AY183" s="31" t="s">
        <v>103</v>
      </c>
      <c r="AZ183" s="31" t="s">
        <v>104</v>
      </c>
      <c r="BA183" s="24"/>
      <c r="BC183" s="23" t="s">
        <v>376</v>
      </c>
      <c r="BD183">
        <v>0</v>
      </c>
      <c r="BE183" s="31"/>
      <c r="BF183" s="31"/>
      <c r="BG183" s="24"/>
      <c r="BH183" s="34"/>
      <c r="BI183" s="23" t="s">
        <v>383</v>
      </c>
      <c r="BJ183">
        <v>2</v>
      </c>
      <c r="BK183" s="31" t="s">
        <v>129</v>
      </c>
      <c r="BL183" s="31">
        <f>VAR(BJ180:BJ191)</f>
        <v>2.3333333333333335</v>
      </c>
      <c r="BN183" s="34"/>
      <c r="BO183" s="23" t="s">
        <v>407</v>
      </c>
      <c r="BP183">
        <v>0</v>
      </c>
      <c r="BQ183" s="31"/>
      <c r="BR183" s="31"/>
      <c r="BT183" s="34"/>
      <c r="BU183" s="22" t="s">
        <v>415</v>
      </c>
      <c r="BV183" s="22">
        <v>0</v>
      </c>
      <c r="BW183" s="31" t="s">
        <v>144</v>
      </c>
      <c r="BX183" s="31">
        <f>STDEV(BV178:BV202)</f>
        <v>0.2</v>
      </c>
      <c r="BZ183" s="34"/>
      <c r="CF183" s="36"/>
      <c r="CL183" s="36"/>
      <c r="CR183" s="36"/>
    </row>
    <row r="184" spans="7:96" ht="15" x14ac:dyDescent="0.25">
      <c r="G184" s="25" t="s">
        <v>101</v>
      </c>
      <c r="H184" s="103" t="s">
        <v>31</v>
      </c>
      <c r="I184" s="25"/>
      <c r="J184" s="25"/>
      <c r="S184" s="23" t="s">
        <v>493</v>
      </c>
      <c r="T184">
        <v>0</v>
      </c>
      <c r="U184" s="31" t="s">
        <v>138</v>
      </c>
      <c r="V184" s="27">
        <f>AVERAGE(T180:T197)</f>
        <v>0.1111111111111111</v>
      </c>
      <c r="AE184" s="23" t="s">
        <v>458</v>
      </c>
      <c r="AF184">
        <v>0</v>
      </c>
      <c r="AG184" s="31"/>
      <c r="AH184" s="31"/>
      <c r="AJ184" s="34"/>
      <c r="AK184" s="23" t="s">
        <v>332</v>
      </c>
      <c r="AL184">
        <v>0</v>
      </c>
      <c r="AM184" s="31" t="s">
        <v>106</v>
      </c>
      <c r="AN184" s="31">
        <f>SUM(AL184:AL197)</f>
        <v>3</v>
      </c>
      <c r="AO184" s="24"/>
      <c r="AQ184" s="97"/>
      <c r="AR184" s="94"/>
      <c r="AS184" s="94"/>
      <c r="AT184" s="94"/>
      <c r="AU184" s="34"/>
      <c r="AW184" s="23" t="s">
        <v>353</v>
      </c>
      <c r="AX184">
        <v>0</v>
      </c>
      <c r="AY184" s="31" t="s">
        <v>106</v>
      </c>
      <c r="AZ184" s="31">
        <f>SUM(AX184:AX199)</f>
        <v>2</v>
      </c>
      <c r="BA184" s="24"/>
      <c r="BC184" s="23" t="s">
        <v>377</v>
      </c>
      <c r="BD184">
        <v>1</v>
      </c>
      <c r="BE184" s="31"/>
      <c r="BF184" s="31"/>
      <c r="BG184" s="24"/>
      <c r="BH184" s="34"/>
      <c r="BI184" s="23" t="s">
        <v>384</v>
      </c>
      <c r="BJ184">
        <v>0</v>
      </c>
      <c r="BK184" s="31" t="s">
        <v>138</v>
      </c>
      <c r="BL184" s="31">
        <f>AVERAGE(BJ180:BJ191)</f>
        <v>1.1666666666666667</v>
      </c>
      <c r="BN184" s="34"/>
      <c r="BO184" s="34"/>
      <c r="BP184" s="34"/>
      <c r="BQ184" s="34"/>
      <c r="BR184" s="34"/>
      <c r="BS184" s="34"/>
      <c r="BT184" s="34"/>
      <c r="BU184" s="22" t="s">
        <v>416</v>
      </c>
      <c r="BV184" s="22">
        <v>0</v>
      </c>
      <c r="BW184" s="31"/>
      <c r="BX184" s="31"/>
      <c r="BZ184" s="34"/>
      <c r="CF184" s="36"/>
      <c r="CL184" s="36"/>
      <c r="CR184" s="36"/>
    </row>
    <row r="185" spans="7:96" ht="15" x14ac:dyDescent="0.25">
      <c r="G185" s="25" t="s">
        <v>102</v>
      </c>
      <c r="H185" s="25" t="s">
        <v>71</v>
      </c>
      <c r="I185" s="25" t="s">
        <v>103</v>
      </c>
      <c r="J185" s="25" t="s">
        <v>104</v>
      </c>
      <c r="S185" s="23" t="s">
        <v>494</v>
      </c>
      <c r="T185">
        <v>1</v>
      </c>
      <c r="U185" s="31" t="s">
        <v>144</v>
      </c>
      <c r="V185" s="27">
        <f>STDEV(T180:T197)</f>
        <v>0.32338083338177726</v>
      </c>
      <c r="AE185" s="23" t="s">
        <v>459</v>
      </c>
      <c r="AF185">
        <v>0</v>
      </c>
      <c r="AG185" s="31"/>
      <c r="AH185" s="31"/>
      <c r="AJ185" s="34"/>
      <c r="AK185" s="23" t="s">
        <v>333</v>
      </c>
      <c r="AL185">
        <v>1</v>
      </c>
      <c r="AM185" s="31" t="s">
        <v>115</v>
      </c>
      <c r="AN185" s="31">
        <f>MIN(AL184:AL197)</f>
        <v>0</v>
      </c>
      <c r="AO185" s="24"/>
      <c r="AQ185" s="47"/>
      <c r="AR185" s="33"/>
      <c r="AS185" s="33"/>
      <c r="AT185" s="33"/>
      <c r="AU185" s="24"/>
      <c r="AW185" s="23" t="s">
        <v>354</v>
      </c>
      <c r="AX185">
        <v>0</v>
      </c>
      <c r="AY185" s="31" t="s">
        <v>115</v>
      </c>
      <c r="AZ185" s="31">
        <f>MIN(AX184:AX199)</f>
        <v>0</v>
      </c>
      <c r="BA185" s="24"/>
      <c r="BC185" s="23" t="s">
        <v>378</v>
      </c>
      <c r="BD185">
        <v>0</v>
      </c>
      <c r="BE185" s="31"/>
      <c r="BF185" s="31"/>
      <c r="BG185" s="24"/>
      <c r="BH185" s="34"/>
      <c r="BI185" s="23" t="s">
        <v>385</v>
      </c>
      <c r="BJ185">
        <v>0</v>
      </c>
      <c r="BK185" s="31" t="s">
        <v>144</v>
      </c>
      <c r="BL185" s="31">
        <f>STDEV(BJ180:BJ191)</f>
        <v>1.5275252316519468</v>
      </c>
      <c r="BN185" s="34"/>
      <c r="BO185" s="19" t="s">
        <v>100</v>
      </c>
      <c r="BP185" s="35" t="s">
        <v>540</v>
      </c>
      <c r="BR185" s="19">
        <v>2014</v>
      </c>
      <c r="BT185" s="34"/>
      <c r="BU185" s="22" t="s">
        <v>417</v>
      </c>
      <c r="BV185" s="22">
        <v>0</v>
      </c>
      <c r="BW185" s="31"/>
      <c r="BX185" s="31"/>
      <c r="BZ185" s="34"/>
      <c r="CF185" s="36"/>
      <c r="CL185" s="36"/>
      <c r="CR185" s="36"/>
    </row>
    <row r="186" spans="7:96" ht="15" x14ac:dyDescent="0.25">
      <c r="G186" s="104" t="s">
        <v>513</v>
      </c>
      <c r="H186">
        <v>0</v>
      </c>
      <c r="I186" s="25" t="s">
        <v>106</v>
      </c>
      <c r="J186" s="25">
        <f>SUM(H186:H195)</f>
        <v>1</v>
      </c>
      <c r="S186" s="23" t="s">
        <v>495</v>
      </c>
      <c r="T186">
        <v>0</v>
      </c>
      <c r="U186" s="27"/>
      <c r="V186" s="27"/>
      <c r="AE186" s="23" t="s">
        <v>460</v>
      </c>
      <c r="AF186">
        <v>0</v>
      </c>
      <c r="AG186" s="33"/>
      <c r="AH186" s="33"/>
      <c r="AJ186" s="34"/>
      <c r="AK186" s="23" t="s">
        <v>334</v>
      </c>
      <c r="AL186">
        <v>0</v>
      </c>
      <c r="AM186" s="31" t="s">
        <v>122</v>
      </c>
      <c r="AN186" s="31">
        <f>MAX(AL184:AL197)</f>
        <v>1</v>
      </c>
      <c r="AO186" s="24"/>
      <c r="AQ186" s="24"/>
      <c r="AR186" s="24"/>
      <c r="AS186" s="24"/>
      <c r="AT186" s="24"/>
      <c r="AU186" s="24"/>
      <c r="AW186" s="23" t="s">
        <v>216</v>
      </c>
      <c r="AX186">
        <v>0</v>
      </c>
      <c r="AY186" s="31" t="s">
        <v>122</v>
      </c>
      <c r="AZ186" s="31">
        <f>MAX(AX184:AX199)</f>
        <v>1</v>
      </c>
      <c r="BA186" s="24"/>
      <c r="BC186" s="23" t="s">
        <v>379</v>
      </c>
      <c r="BD186">
        <v>0</v>
      </c>
      <c r="BE186" s="31"/>
      <c r="BF186" s="31"/>
      <c r="BG186" s="24"/>
      <c r="BH186" s="34"/>
      <c r="BI186" s="23" t="s">
        <v>386</v>
      </c>
      <c r="BJ186">
        <v>0</v>
      </c>
      <c r="BK186" s="31"/>
      <c r="BL186" s="31"/>
      <c r="BN186" s="34"/>
      <c r="BP186" s="12" t="s">
        <v>17</v>
      </c>
      <c r="BT186" s="34"/>
      <c r="BU186" s="22" t="s">
        <v>418</v>
      </c>
      <c r="BV186" s="22">
        <v>0</v>
      </c>
      <c r="BW186" s="31"/>
      <c r="BX186" s="31"/>
      <c r="BZ186" s="34"/>
      <c r="CF186" s="36"/>
      <c r="CL186" s="36"/>
      <c r="CR186" s="36"/>
    </row>
    <row r="187" spans="7:96" ht="15" x14ac:dyDescent="0.25">
      <c r="G187" s="104" t="s">
        <v>514</v>
      </c>
      <c r="H187">
        <v>0</v>
      </c>
      <c r="I187" s="25" t="s">
        <v>115</v>
      </c>
      <c r="J187" s="25">
        <f>MIN(H186:H195)</f>
        <v>0</v>
      </c>
      <c r="S187" s="23" t="s">
        <v>496</v>
      </c>
      <c r="T187">
        <v>0</v>
      </c>
      <c r="U187" s="27"/>
      <c r="V187" s="27"/>
      <c r="AE187" s="23" t="s">
        <v>461</v>
      </c>
      <c r="AF187">
        <v>0</v>
      </c>
      <c r="AG187" s="31"/>
      <c r="AH187" s="31"/>
      <c r="AJ187" s="34"/>
      <c r="AK187" s="23" t="s">
        <v>335</v>
      </c>
      <c r="AL187">
        <v>0</v>
      </c>
      <c r="AM187" s="31" t="s">
        <v>129</v>
      </c>
      <c r="AN187" s="31">
        <f>VAR(AL184:AL197)</f>
        <v>0.18131868131868131</v>
      </c>
      <c r="AO187" s="24"/>
      <c r="AQ187" s="24"/>
      <c r="AR187" s="24"/>
      <c r="AS187" s="24"/>
      <c r="AT187" s="24"/>
      <c r="AU187" s="24"/>
      <c r="AW187" s="23" t="s">
        <v>355</v>
      </c>
      <c r="AX187">
        <v>0</v>
      </c>
      <c r="AY187" s="31" t="s">
        <v>129</v>
      </c>
      <c r="AZ187" s="31">
        <f>VAR(AX184:AX199)</f>
        <v>0.11666666666666667</v>
      </c>
      <c r="BA187" s="24"/>
      <c r="BC187" s="111"/>
      <c r="BD187" s="94"/>
      <c r="BE187" s="34"/>
      <c r="BF187" s="34"/>
      <c r="BG187" s="34"/>
      <c r="BH187" s="34"/>
      <c r="BI187" s="23" t="s">
        <v>387</v>
      </c>
      <c r="BJ187">
        <v>0</v>
      </c>
      <c r="BK187" s="33"/>
      <c r="BL187" s="33"/>
      <c r="BN187" s="34"/>
      <c r="BO187" s="31" t="s">
        <v>102</v>
      </c>
      <c r="BP187" s="31" t="s">
        <v>71</v>
      </c>
      <c r="BQ187" s="31" t="s">
        <v>103</v>
      </c>
      <c r="BR187" s="31" t="s">
        <v>104</v>
      </c>
      <c r="BT187" s="34"/>
      <c r="BU187" s="22" t="s">
        <v>419</v>
      </c>
      <c r="BV187" s="22">
        <v>0</v>
      </c>
      <c r="BW187" s="31"/>
      <c r="BX187" s="31"/>
      <c r="BZ187" s="34"/>
      <c r="CF187" s="36"/>
      <c r="CL187" s="36"/>
      <c r="CR187" s="36"/>
    </row>
    <row r="188" spans="7:96" ht="15" x14ac:dyDescent="0.25">
      <c r="G188" s="104" t="s">
        <v>515</v>
      </c>
      <c r="H188">
        <v>1</v>
      </c>
      <c r="I188" s="25" t="s">
        <v>122</v>
      </c>
      <c r="J188" s="25">
        <f>MAX(H186:H195)</f>
        <v>1</v>
      </c>
      <c r="S188" s="23" t="s">
        <v>389</v>
      </c>
      <c r="T188">
        <v>0</v>
      </c>
      <c r="U188" s="27"/>
      <c r="V188" s="27"/>
      <c r="AE188" s="23" t="s">
        <v>462</v>
      </c>
      <c r="AF188">
        <v>0</v>
      </c>
      <c r="AG188" s="24"/>
      <c r="AH188" s="24"/>
      <c r="AJ188" s="34"/>
      <c r="AK188" s="23" t="s">
        <v>336</v>
      </c>
      <c r="AL188">
        <v>0</v>
      </c>
      <c r="AM188" s="31" t="s">
        <v>138</v>
      </c>
      <c r="AN188" s="31">
        <f>AVERAGE(AL184:AL197)</f>
        <v>0.21428571428571427</v>
      </c>
      <c r="AO188" s="24"/>
      <c r="AQ188" s="24"/>
      <c r="AR188" s="24"/>
      <c r="AS188" s="24"/>
      <c r="AT188" s="24"/>
      <c r="AU188" s="24"/>
      <c r="AW188" s="23" t="s">
        <v>356</v>
      </c>
      <c r="AX188">
        <v>0</v>
      </c>
      <c r="AY188" s="31" t="s">
        <v>138</v>
      </c>
      <c r="AZ188" s="31">
        <f>AVERAGE(AX184:AX199)</f>
        <v>0.125</v>
      </c>
      <c r="BA188" s="24"/>
      <c r="BC188" s="19" t="s">
        <v>100</v>
      </c>
      <c r="BD188" s="35" t="s">
        <v>65</v>
      </c>
      <c r="BG188" s="24"/>
      <c r="BH188" s="34"/>
      <c r="BI188" s="23" t="s">
        <v>139</v>
      </c>
      <c r="BJ188">
        <v>2</v>
      </c>
      <c r="BK188" s="33"/>
      <c r="BL188" s="33"/>
      <c r="BN188" s="34"/>
      <c r="BO188" s="23" t="s">
        <v>390</v>
      </c>
      <c r="BP188">
        <v>0</v>
      </c>
      <c r="BQ188" s="31" t="s">
        <v>106</v>
      </c>
      <c r="BR188" s="31">
        <f>SUM(BP188:BP206)</f>
        <v>117</v>
      </c>
      <c r="BT188" s="34"/>
      <c r="BU188" s="22" t="s">
        <v>420</v>
      </c>
      <c r="BV188" s="22">
        <v>0</v>
      </c>
      <c r="BW188" s="31"/>
      <c r="BX188" s="31"/>
      <c r="BZ188" s="34"/>
      <c r="CF188" s="36"/>
      <c r="CL188" s="36"/>
      <c r="CR188" s="36"/>
    </row>
    <row r="189" spans="7:96" ht="15" x14ac:dyDescent="0.25">
      <c r="G189" s="104" t="s">
        <v>516</v>
      </c>
      <c r="H189">
        <v>0</v>
      </c>
      <c r="I189" s="25" t="s">
        <v>129</v>
      </c>
      <c r="J189" s="25">
        <f>VAR(H186:H195)</f>
        <v>0.1</v>
      </c>
      <c r="S189" s="23" t="s">
        <v>497</v>
      </c>
      <c r="T189">
        <v>0</v>
      </c>
      <c r="U189" s="27"/>
      <c r="V189" s="27"/>
      <c r="AE189" s="23" t="s">
        <v>463</v>
      </c>
      <c r="AF189">
        <v>0</v>
      </c>
      <c r="AG189" s="31"/>
      <c r="AH189" s="31"/>
      <c r="AJ189" s="34"/>
      <c r="AK189" s="23" t="s">
        <v>172</v>
      </c>
      <c r="AL189">
        <v>0</v>
      </c>
      <c r="AM189" s="31" t="s">
        <v>144</v>
      </c>
      <c r="AN189" s="31">
        <f>STDEV(AL184:AL197)</f>
        <v>0.42581531362632008</v>
      </c>
      <c r="AO189" s="24"/>
      <c r="AQ189" s="24"/>
      <c r="AR189" s="24"/>
      <c r="AS189" s="24"/>
      <c r="AT189" s="24"/>
      <c r="AU189" s="24"/>
      <c r="AW189" s="23" t="s">
        <v>357</v>
      </c>
      <c r="AX189">
        <v>0</v>
      </c>
      <c r="AY189" s="31" t="s">
        <v>144</v>
      </c>
      <c r="AZ189" s="31">
        <f>STDEV(AX184:AX199)</f>
        <v>0.34156502553198659</v>
      </c>
      <c r="BA189" s="24"/>
      <c r="BD189" s="12" t="s">
        <v>29</v>
      </c>
      <c r="BG189" s="24"/>
      <c r="BH189" s="34"/>
      <c r="BI189" s="23" t="s">
        <v>156</v>
      </c>
      <c r="BJ189">
        <v>1</v>
      </c>
      <c r="BK189" s="31"/>
      <c r="BL189" s="31"/>
      <c r="BN189" s="34"/>
      <c r="BO189" s="23" t="s">
        <v>391</v>
      </c>
      <c r="BP189">
        <v>0</v>
      </c>
      <c r="BQ189" s="31" t="s">
        <v>115</v>
      </c>
      <c r="BR189" s="31">
        <f>MIN(BP188:BP206)</f>
        <v>0</v>
      </c>
      <c r="BT189" s="34"/>
      <c r="BU189" s="22" t="s">
        <v>421</v>
      </c>
      <c r="BV189" s="22">
        <v>0</v>
      </c>
      <c r="BW189" s="31"/>
      <c r="BX189" s="31"/>
      <c r="BZ189" s="34"/>
      <c r="CF189" s="36"/>
      <c r="CL189" s="36"/>
      <c r="CR189" s="36"/>
    </row>
    <row r="190" spans="7:96" ht="15" x14ac:dyDescent="0.25">
      <c r="G190" s="104" t="s">
        <v>517</v>
      </c>
      <c r="H190">
        <v>0</v>
      </c>
      <c r="I190" s="25" t="s">
        <v>138</v>
      </c>
      <c r="J190" s="25">
        <f>AVERAGE(H186:H195)</f>
        <v>0.1</v>
      </c>
      <c r="S190" s="23" t="s">
        <v>498</v>
      </c>
      <c r="T190">
        <v>1</v>
      </c>
      <c r="U190" s="27"/>
      <c r="V190" s="27"/>
      <c r="AE190" s="23" t="s">
        <v>464</v>
      </c>
      <c r="AF190">
        <v>0</v>
      </c>
      <c r="AG190" s="31"/>
      <c r="AH190" s="31"/>
      <c r="AJ190" s="34"/>
      <c r="AK190" s="23" t="s">
        <v>337</v>
      </c>
      <c r="AL190">
        <v>0</v>
      </c>
      <c r="AM190" s="31"/>
      <c r="AN190" s="31"/>
      <c r="AO190" s="24"/>
      <c r="AQ190" s="24"/>
      <c r="AR190" s="24"/>
      <c r="AS190" s="24"/>
      <c r="AT190" s="24"/>
      <c r="AU190" s="24"/>
      <c r="AW190" s="23" t="s">
        <v>358</v>
      </c>
      <c r="AX190">
        <v>0</v>
      </c>
      <c r="AY190" s="31"/>
      <c r="AZ190" s="31"/>
      <c r="BA190" s="24"/>
      <c r="BC190" s="31" t="s">
        <v>102</v>
      </c>
      <c r="BD190" s="31" t="s">
        <v>71</v>
      </c>
      <c r="BE190" s="31" t="s">
        <v>103</v>
      </c>
      <c r="BF190" s="31" t="s">
        <v>104</v>
      </c>
      <c r="BG190" s="24"/>
      <c r="BH190" s="34"/>
      <c r="BI190" s="23" t="s">
        <v>388</v>
      </c>
      <c r="BJ190">
        <v>0</v>
      </c>
      <c r="BK190" s="31"/>
      <c r="BL190" s="31"/>
      <c r="BN190" s="34"/>
      <c r="BO190" s="23" t="s">
        <v>392</v>
      </c>
      <c r="BP190">
        <v>0</v>
      </c>
      <c r="BQ190" s="31" t="s">
        <v>122</v>
      </c>
      <c r="BR190" s="31">
        <f>MAX(BP188:BP206)</f>
        <v>21</v>
      </c>
      <c r="BT190" s="34"/>
      <c r="BU190" s="22" t="s">
        <v>422</v>
      </c>
      <c r="BV190" s="22">
        <v>0</v>
      </c>
      <c r="BW190" s="31"/>
      <c r="BX190" s="31"/>
      <c r="BZ190" s="34"/>
      <c r="CF190" s="36"/>
      <c r="CL190" s="36"/>
      <c r="CR190" s="36"/>
    </row>
    <row r="191" spans="7:96" ht="15" x14ac:dyDescent="0.25">
      <c r="G191" s="104" t="s">
        <v>518</v>
      </c>
      <c r="H191">
        <v>0</v>
      </c>
      <c r="I191" s="25" t="s">
        <v>144</v>
      </c>
      <c r="J191" s="25">
        <f>STDEV(H186:H195)</f>
        <v>0.31622776601683794</v>
      </c>
      <c r="S191" s="23" t="s">
        <v>499</v>
      </c>
      <c r="T191">
        <v>0</v>
      </c>
      <c r="U191" s="27"/>
      <c r="V191" s="27"/>
      <c r="AE191" s="23" t="s">
        <v>465</v>
      </c>
      <c r="AF191">
        <v>0</v>
      </c>
      <c r="AG191" s="31"/>
      <c r="AH191" s="31"/>
      <c r="AJ191" s="34"/>
      <c r="AK191" s="23" t="s">
        <v>338</v>
      </c>
      <c r="AL191">
        <v>0</v>
      </c>
      <c r="AM191" s="31"/>
      <c r="AN191" s="31"/>
      <c r="AO191" s="24"/>
      <c r="AQ191" s="24"/>
      <c r="AR191" s="24"/>
      <c r="AS191" s="24"/>
      <c r="AT191" s="24"/>
      <c r="AU191" s="24"/>
      <c r="AW191" s="23" t="s">
        <v>359</v>
      </c>
      <c r="AX191">
        <v>0</v>
      </c>
      <c r="AY191" s="31"/>
      <c r="AZ191" s="31"/>
      <c r="BA191" s="24"/>
      <c r="BC191" s="23" t="s">
        <v>368</v>
      </c>
      <c r="BD191">
        <v>9</v>
      </c>
      <c r="BE191" s="31" t="s">
        <v>106</v>
      </c>
      <c r="BF191" s="31">
        <f>SUM(BD191:BD203)</f>
        <v>128</v>
      </c>
      <c r="BG191" s="24"/>
      <c r="BH191" s="34"/>
      <c r="BI191" s="23" t="s">
        <v>389</v>
      </c>
      <c r="BJ191">
        <v>2</v>
      </c>
      <c r="BK191" s="31"/>
      <c r="BL191" s="31"/>
      <c r="BN191" s="34"/>
      <c r="BO191" s="23" t="s">
        <v>393</v>
      </c>
      <c r="BP191">
        <v>0</v>
      </c>
      <c r="BQ191" s="31" t="s">
        <v>129</v>
      </c>
      <c r="BR191" s="31">
        <f>VAR(BP188:BP206)</f>
        <v>46.029239766081872</v>
      </c>
      <c r="BT191" s="34"/>
      <c r="BU191" s="23" t="s">
        <v>423</v>
      </c>
      <c r="BV191" s="22">
        <v>0</v>
      </c>
      <c r="BW191" s="31"/>
      <c r="BX191" s="31"/>
      <c r="BZ191" s="34"/>
      <c r="CF191" s="36"/>
      <c r="CL191" s="36"/>
      <c r="CR191" s="36"/>
    </row>
    <row r="192" spans="7:96" ht="15" x14ac:dyDescent="0.25">
      <c r="G192" s="104" t="s">
        <v>519</v>
      </c>
      <c r="H192">
        <v>0</v>
      </c>
      <c r="I192" s="25"/>
      <c r="J192" s="25"/>
      <c r="S192" s="23" t="s">
        <v>500</v>
      </c>
      <c r="T192">
        <v>0</v>
      </c>
      <c r="U192" s="27"/>
      <c r="V192" s="27"/>
      <c r="AE192" s="23" t="s">
        <v>466</v>
      </c>
      <c r="AF192">
        <v>0</v>
      </c>
      <c r="AG192" s="31"/>
      <c r="AH192" s="31"/>
      <c r="AJ192" s="34"/>
      <c r="AK192" s="23" t="s">
        <v>339</v>
      </c>
      <c r="AL192">
        <v>0</v>
      </c>
      <c r="AM192" s="31"/>
      <c r="AN192" s="31"/>
      <c r="AO192" s="24"/>
      <c r="AQ192" s="24"/>
      <c r="AR192" s="24"/>
      <c r="AS192" s="24"/>
      <c r="AT192" s="24"/>
      <c r="AU192" s="24"/>
      <c r="AW192" s="23" t="s">
        <v>360</v>
      </c>
      <c r="AX192">
        <v>0</v>
      </c>
      <c r="AY192" s="31"/>
      <c r="AZ192" s="31"/>
      <c r="BA192" s="24"/>
      <c r="BC192" s="23" t="s">
        <v>369</v>
      </c>
      <c r="BD192">
        <v>13</v>
      </c>
      <c r="BE192" s="31" t="s">
        <v>115</v>
      </c>
      <c r="BF192" s="31">
        <f>MIN(BD191:BD203)</f>
        <v>4</v>
      </c>
      <c r="BG192" s="24"/>
      <c r="BH192" s="34"/>
      <c r="BI192" s="97"/>
      <c r="BJ192" s="34"/>
      <c r="BK192" s="34"/>
      <c r="BL192" s="34"/>
      <c r="BM192" s="34"/>
      <c r="BN192" s="34"/>
      <c r="BO192" s="23" t="s">
        <v>394</v>
      </c>
      <c r="BP192">
        <v>0</v>
      </c>
      <c r="BQ192" s="31" t="s">
        <v>138</v>
      </c>
      <c r="BR192" s="31">
        <f>AVERAGE(BP188:BP206)</f>
        <v>6.1578947368421053</v>
      </c>
      <c r="BT192" s="34"/>
      <c r="BU192" s="22" t="s">
        <v>424</v>
      </c>
      <c r="BV192" s="22">
        <v>0</v>
      </c>
      <c r="BW192" s="31"/>
      <c r="BX192" s="31"/>
      <c r="BZ192" s="34"/>
      <c r="CF192" s="36"/>
      <c r="CL192" s="36"/>
      <c r="CR192" s="36"/>
    </row>
    <row r="193" spans="6:96" ht="15" x14ac:dyDescent="0.25">
      <c r="G193" s="104" t="s">
        <v>520</v>
      </c>
      <c r="H193">
        <v>0</v>
      </c>
      <c r="I193" s="25"/>
      <c r="J193" s="25"/>
      <c r="S193" s="23" t="s">
        <v>501</v>
      </c>
      <c r="T193">
        <v>0</v>
      </c>
      <c r="U193" s="27"/>
      <c r="V193" s="27"/>
      <c r="AE193" s="23" t="s">
        <v>467</v>
      </c>
      <c r="AF193">
        <v>0</v>
      </c>
      <c r="AG193" s="31"/>
      <c r="AH193" s="31"/>
      <c r="AJ193" s="34"/>
      <c r="AK193" s="23" t="s">
        <v>340</v>
      </c>
      <c r="AL193">
        <v>1</v>
      </c>
      <c r="AM193" s="31"/>
      <c r="AN193" s="31"/>
      <c r="AO193" s="24"/>
      <c r="AQ193" s="24"/>
      <c r="AR193" s="24"/>
      <c r="AS193" s="24"/>
      <c r="AT193" s="24"/>
      <c r="AU193" s="24"/>
      <c r="AW193" s="23" t="s">
        <v>361</v>
      </c>
      <c r="AX193">
        <v>0</v>
      </c>
      <c r="AY193" s="31"/>
      <c r="AZ193" s="31"/>
      <c r="BA193" s="24"/>
      <c r="BC193" s="23" t="s">
        <v>370</v>
      </c>
      <c r="BD193">
        <v>20</v>
      </c>
      <c r="BE193" s="31" t="s">
        <v>122</v>
      </c>
      <c r="BF193" s="31">
        <f>MAX(BD191:BD203)</f>
        <v>20</v>
      </c>
      <c r="BG193" s="24"/>
      <c r="BH193" s="34"/>
      <c r="BI193" s="19" t="s">
        <v>100</v>
      </c>
      <c r="BJ193" s="35" t="s">
        <v>64</v>
      </c>
      <c r="BN193" s="34"/>
      <c r="BO193" s="23" t="s">
        <v>395</v>
      </c>
      <c r="BP193">
        <v>0</v>
      </c>
      <c r="BQ193" s="31" t="s">
        <v>144</v>
      </c>
      <c r="BR193" s="31">
        <f>STDEV(BP188:BP206)</f>
        <v>6.7844852248407079</v>
      </c>
      <c r="BT193" s="34"/>
      <c r="BU193" s="23" t="s">
        <v>425</v>
      </c>
      <c r="BV193" s="22">
        <v>0</v>
      </c>
      <c r="BW193" s="31"/>
      <c r="BX193" s="31"/>
      <c r="BZ193" s="34"/>
      <c r="CF193" s="36"/>
      <c r="CL193" s="36"/>
      <c r="CR193" s="36"/>
    </row>
    <row r="194" spans="6:96" ht="15" x14ac:dyDescent="0.25">
      <c r="G194" s="104" t="s">
        <v>521</v>
      </c>
      <c r="H194">
        <v>0</v>
      </c>
      <c r="I194" s="25"/>
      <c r="J194" s="25"/>
      <c r="S194" s="23" t="s">
        <v>502</v>
      </c>
      <c r="T194">
        <v>0</v>
      </c>
      <c r="U194" s="27"/>
      <c r="V194" s="27"/>
      <c r="AE194" s="23" t="s">
        <v>468</v>
      </c>
      <c r="AF194">
        <v>1</v>
      </c>
      <c r="AG194" s="31"/>
      <c r="AH194" s="31"/>
      <c r="AJ194" s="34"/>
      <c r="AK194" s="23" t="s">
        <v>77</v>
      </c>
      <c r="AL194">
        <v>0</v>
      </c>
      <c r="AM194" s="31"/>
      <c r="AN194" s="31"/>
      <c r="AO194" s="24"/>
      <c r="AQ194" s="24"/>
      <c r="AR194" s="24"/>
      <c r="AS194" s="24"/>
      <c r="AT194" s="24"/>
      <c r="AU194" s="24"/>
      <c r="AW194" s="23" t="s">
        <v>362</v>
      </c>
      <c r="AX194">
        <v>0</v>
      </c>
      <c r="AY194" s="31"/>
      <c r="AZ194" s="31"/>
      <c r="BA194" s="24"/>
      <c r="BC194" s="23" t="s">
        <v>215</v>
      </c>
      <c r="BD194">
        <v>9</v>
      </c>
      <c r="BE194" s="31" t="s">
        <v>129</v>
      </c>
      <c r="BF194" s="31">
        <f>VAR(BD191:BD203)</f>
        <v>15.641025641025635</v>
      </c>
      <c r="BG194" s="24"/>
      <c r="BH194" s="34"/>
      <c r="BJ194" s="12" t="s">
        <v>24</v>
      </c>
      <c r="BN194" s="34"/>
      <c r="BO194" s="23" t="s">
        <v>396</v>
      </c>
      <c r="BP194">
        <v>1</v>
      </c>
      <c r="BQ194" s="31"/>
      <c r="BR194" s="31"/>
      <c r="BT194" s="34"/>
      <c r="BU194" s="23" t="s">
        <v>426</v>
      </c>
      <c r="BV194" s="22">
        <v>0</v>
      </c>
      <c r="BW194" s="31"/>
      <c r="BX194" s="31"/>
      <c r="BZ194" s="34"/>
      <c r="CF194" s="36"/>
      <c r="CL194" s="36"/>
      <c r="CR194" s="36"/>
    </row>
    <row r="195" spans="6:96" ht="15" x14ac:dyDescent="0.25">
      <c r="G195" s="104" t="s">
        <v>175</v>
      </c>
      <c r="H195">
        <v>0</v>
      </c>
      <c r="S195" s="23" t="s">
        <v>350</v>
      </c>
      <c r="T195">
        <v>0</v>
      </c>
      <c r="U195" s="27"/>
      <c r="V195" s="27"/>
      <c r="AE195" s="23" t="s">
        <v>469</v>
      </c>
      <c r="AF195">
        <v>0</v>
      </c>
      <c r="AG195" s="31"/>
      <c r="AH195" s="31"/>
      <c r="AJ195" s="34"/>
      <c r="AK195" s="23" t="s">
        <v>341</v>
      </c>
      <c r="AL195">
        <v>1</v>
      </c>
      <c r="AM195" s="31"/>
      <c r="AN195" s="31"/>
      <c r="AO195" s="24"/>
      <c r="AQ195" s="24"/>
      <c r="AR195" s="24"/>
      <c r="AS195" s="24"/>
      <c r="AT195" s="24"/>
      <c r="AU195" s="24"/>
      <c r="AW195" s="23" t="s">
        <v>363</v>
      </c>
      <c r="AX195">
        <v>1</v>
      </c>
      <c r="AY195" s="31"/>
      <c r="AZ195" s="31"/>
      <c r="BA195" s="24"/>
      <c r="BC195" s="23" t="s">
        <v>371</v>
      </c>
      <c r="BD195">
        <v>9</v>
      </c>
      <c r="BE195" s="31" t="s">
        <v>138</v>
      </c>
      <c r="BF195" s="31">
        <f>AVERAGE(BD191:BD203)</f>
        <v>9.8461538461538467</v>
      </c>
      <c r="BG195" s="24"/>
      <c r="BH195" s="34"/>
      <c r="BI195" s="31" t="s">
        <v>102</v>
      </c>
      <c r="BJ195" s="31" t="s">
        <v>71</v>
      </c>
      <c r="BK195" s="31" t="s">
        <v>103</v>
      </c>
      <c r="BL195" s="31" t="s">
        <v>104</v>
      </c>
      <c r="BN195" s="34"/>
      <c r="BO195" s="23" t="s">
        <v>397</v>
      </c>
      <c r="BP195">
        <v>5</v>
      </c>
      <c r="BQ195" s="31"/>
      <c r="BR195" s="31"/>
      <c r="BT195" s="34"/>
      <c r="BU195" s="23" t="s">
        <v>427</v>
      </c>
      <c r="BV195" s="22">
        <v>0</v>
      </c>
      <c r="BW195" s="31"/>
      <c r="BX195" s="31"/>
      <c r="BZ195" s="34"/>
      <c r="CF195" s="36"/>
      <c r="CL195" s="36"/>
      <c r="CR195" s="36"/>
    </row>
    <row r="196" spans="6:96" ht="15" x14ac:dyDescent="0.25">
      <c r="S196" s="23" t="s">
        <v>503</v>
      </c>
      <c r="T196">
        <v>0</v>
      </c>
      <c r="U196" s="27"/>
      <c r="V196" s="27"/>
      <c r="AE196" s="23" t="s">
        <v>470</v>
      </c>
      <c r="AF196">
        <v>0</v>
      </c>
      <c r="AG196" s="31"/>
      <c r="AH196" s="31"/>
      <c r="AJ196" s="34"/>
      <c r="AK196" s="23" t="s">
        <v>342</v>
      </c>
      <c r="AL196">
        <v>0</v>
      </c>
      <c r="AM196" s="31"/>
      <c r="AN196" s="31"/>
      <c r="AO196" s="24"/>
      <c r="AQ196" s="24"/>
      <c r="AR196" s="24"/>
      <c r="AS196" s="24"/>
      <c r="AT196" s="24"/>
      <c r="AU196" s="24"/>
      <c r="AW196" s="23" t="s">
        <v>364</v>
      </c>
      <c r="AX196">
        <v>0</v>
      </c>
      <c r="AY196" s="31"/>
      <c r="AZ196" s="31"/>
      <c r="BA196" s="24"/>
      <c r="BC196" s="23" t="s">
        <v>372</v>
      </c>
      <c r="BD196">
        <v>6</v>
      </c>
      <c r="BE196" s="31" t="s">
        <v>144</v>
      </c>
      <c r="BF196" s="31">
        <f>STDEV(BD191:BD203)</f>
        <v>3.9548736567715581</v>
      </c>
      <c r="BG196" s="24"/>
      <c r="BH196" s="34"/>
      <c r="BI196" s="23" t="s">
        <v>380</v>
      </c>
      <c r="BJ196">
        <v>0</v>
      </c>
      <c r="BK196" s="31" t="s">
        <v>106</v>
      </c>
      <c r="BL196" s="31">
        <f>SUM(BJ196:BJ207)</f>
        <v>1</v>
      </c>
      <c r="BN196" s="34"/>
      <c r="BO196" s="23" t="s">
        <v>398</v>
      </c>
      <c r="BP196">
        <v>6</v>
      </c>
      <c r="BQ196" s="31"/>
      <c r="BR196" s="31"/>
      <c r="BT196" s="34"/>
      <c r="BU196" s="23" t="s">
        <v>428</v>
      </c>
      <c r="BV196" s="22">
        <v>0</v>
      </c>
      <c r="BW196" s="31"/>
      <c r="BX196" s="31"/>
      <c r="BZ196" s="34"/>
      <c r="CF196" s="36"/>
      <c r="CL196" s="36"/>
      <c r="CR196" s="36"/>
    </row>
    <row r="197" spans="6:96" ht="15" x14ac:dyDescent="0.25">
      <c r="F197" s="34"/>
      <c r="G197" s="34"/>
      <c r="H197" s="34"/>
      <c r="I197" s="34"/>
      <c r="J197" s="34"/>
      <c r="K197" s="34"/>
      <c r="L197" s="34"/>
      <c r="S197" s="23" t="s">
        <v>504</v>
      </c>
      <c r="T197">
        <v>0</v>
      </c>
      <c r="U197" s="25"/>
      <c r="V197" s="25"/>
      <c r="AE197" s="23" t="s">
        <v>471</v>
      </c>
      <c r="AF197">
        <v>0</v>
      </c>
      <c r="AG197" s="31"/>
      <c r="AH197" s="31"/>
      <c r="AJ197" s="34"/>
      <c r="AK197" s="23" t="s">
        <v>343</v>
      </c>
      <c r="AL197">
        <v>0</v>
      </c>
      <c r="AM197" s="31"/>
      <c r="AN197" s="31"/>
      <c r="AO197" s="24"/>
      <c r="AQ197" s="24"/>
      <c r="AR197" s="24"/>
      <c r="AS197" s="24"/>
      <c r="AT197" s="24"/>
      <c r="AU197" s="24"/>
      <c r="AW197" s="23" t="s">
        <v>365</v>
      </c>
      <c r="AX197">
        <v>0</v>
      </c>
      <c r="AY197" s="31"/>
      <c r="AZ197" s="31"/>
      <c r="BA197" s="24"/>
      <c r="BC197" s="23" t="s">
        <v>373</v>
      </c>
      <c r="BD197">
        <v>10</v>
      </c>
      <c r="BE197" s="31"/>
      <c r="BF197" s="31"/>
      <c r="BG197" s="24"/>
      <c r="BH197" s="34"/>
      <c r="BI197" s="23" t="s">
        <v>381</v>
      </c>
      <c r="BJ197">
        <v>0</v>
      </c>
      <c r="BK197" s="31" t="s">
        <v>115</v>
      </c>
      <c r="BL197" s="31">
        <f>MIN(BJ196:BJ207)</f>
        <v>0</v>
      </c>
      <c r="BN197" s="34"/>
      <c r="BO197" s="23" t="s">
        <v>399</v>
      </c>
      <c r="BP197">
        <v>17</v>
      </c>
      <c r="BQ197" s="31"/>
      <c r="BR197" s="31"/>
      <c r="BT197" s="34"/>
      <c r="BU197" s="23" t="s">
        <v>429</v>
      </c>
      <c r="BV197" s="22">
        <v>0</v>
      </c>
      <c r="BW197" s="31"/>
      <c r="BX197" s="31"/>
      <c r="BZ197" s="34"/>
      <c r="CF197" s="36"/>
      <c r="CL197" s="36"/>
      <c r="CR197" s="36"/>
    </row>
    <row r="198" spans="6:96" ht="15" x14ac:dyDescent="0.25">
      <c r="F198" s="34"/>
      <c r="G198" s="34"/>
      <c r="H198" s="34"/>
      <c r="I198" s="34"/>
      <c r="J198" s="34"/>
      <c r="K198" s="34"/>
      <c r="L198" s="34"/>
      <c r="R198" s="34"/>
      <c r="S198" s="34"/>
      <c r="T198" s="34"/>
      <c r="U198" s="34"/>
      <c r="V198" s="34"/>
      <c r="W198" s="34"/>
      <c r="X198" s="34"/>
      <c r="AE198" s="23" t="s">
        <v>472</v>
      </c>
      <c r="AF198">
        <v>0</v>
      </c>
      <c r="AJ198" s="34"/>
      <c r="AK198" s="108"/>
      <c r="AL198" s="94"/>
      <c r="AM198" s="34"/>
      <c r="AN198" s="34"/>
      <c r="AO198" s="34"/>
      <c r="AQ198" s="24"/>
      <c r="AR198" s="24"/>
      <c r="AS198" s="24"/>
      <c r="AT198" s="24"/>
      <c r="AU198" s="24"/>
      <c r="AW198" s="23" t="s">
        <v>366</v>
      </c>
      <c r="AX198">
        <v>0</v>
      </c>
      <c r="AY198" s="31"/>
      <c r="AZ198" s="31"/>
      <c r="BA198" s="24"/>
      <c r="BC198" s="23" t="s">
        <v>374</v>
      </c>
      <c r="BD198">
        <v>13</v>
      </c>
      <c r="BE198" s="33"/>
      <c r="BF198" s="33"/>
      <c r="BG198" s="24"/>
      <c r="BH198" s="34"/>
      <c r="BI198" s="23" t="s">
        <v>382</v>
      </c>
      <c r="BJ198">
        <v>0</v>
      </c>
      <c r="BK198" s="31" t="s">
        <v>122</v>
      </c>
      <c r="BL198" s="31">
        <f>MAX(BJ196:BJ207)</f>
        <v>1</v>
      </c>
      <c r="BN198" s="34"/>
      <c r="BO198" s="23" t="s">
        <v>214</v>
      </c>
      <c r="BP198">
        <v>7</v>
      </c>
      <c r="BQ198" s="31"/>
      <c r="BR198" s="31"/>
      <c r="BT198" s="34"/>
      <c r="BU198" s="23" t="s">
        <v>430</v>
      </c>
      <c r="BV198" s="22">
        <v>0</v>
      </c>
      <c r="BW198" s="31"/>
      <c r="BX198" s="31"/>
      <c r="BZ198" s="34"/>
      <c r="CF198" s="36"/>
      <c r="CL198" s="36"/>
      <c r="CR198" s="36"/>
    </row>
    <row r="199" spans="6:96" ht="15" x14ac:dyDescent="0.25">
      <c r="S199" s="27" t="s">
        <v>100</v>
      </c>
      <c r="T199" s="30" t="s">
        <v>524</v>
      </c>
      <c r="U199" s="27"/>
      <c r="V199" s="27">
        <v>2014</v>
      </c>
      <c r="AE199" s="23" t="s">
        <v>362</v>
      </c>
      <c r="AF199">
        <v>0</v>
      </c>
      <c r="AJ199" s="34"/>
      <c r="AK199" s="19" t="s">
        <v>100</v>
      </c>
      <c r="AL199" s="32" t="s">
        <v>443</v>
      </c>
      <c r="AO199" s="24"/>
      <c r="AQ199" s="24"/>
      <c r="AR199" s="24"/>
      <c r="AS199" s="24"/>
      <c r="AT199" s="24"/>
      <c r="AU199" s="24"/>
      <c r="AW199" s="23" t="s">
        <v>367</v>
      </c>
      <c r="AX199">
        <v>1</v>
      </c>
      <c r="AY199" s="31"/>
      <c r="AZ199" s="31"/>
      <c r="BA199" s="24"/>
      <c r="BC199" s="23" t="s">
        <v>375</v>
      </c>
      <c r="BD199">
        <v>11</v>
      </c>
      <c r="BE199" s="33"/>
      <c r="BF199" s="33"/>
      <c r="BG199" s="24"/>
      <c r="BH199" s="34"/>
      <c r="BI199" s="23" t="s">
        <v>383</v>
      </c>
      <c r="BJ199">
        <v>0</v>
      </c>
      <c r="BK199" s="31" t="s">
        <v>129</v>
      </c>
      <c r="BL199" s="31">
        <f>VAR(BJ196:BJ207)</f>
        <v>8.3333333333333329E-2</v>
      </c>
      <c r="BN199" s="34"/>
      <c r="BO199" s="23" t="s">
        <v>400</v>
      </c>
      <c r="BP199">
        <v>11</v>
      </c>
      <c r="BQ199" s="31"/>
      <c r="BR199" s="31"/>
      <c r="BT199" s="34"/>
      <c r="BU199" s="23" t="s">
        <v>431</v>
      </c>
      <c r="BV199" s="22">
        <v>0</v>
      </c>
      <c r="BW199" s="31"/>
      <c r="BX199" s="31"/>
      <c r="BZ199" s="34"/>
      <c r="CF199" s="36"/>
      <c r="CL199" s="36"/>
      <c r="CR199" s="36"/>
    </row>
    <row r="200" spans="6:96" ht="15" x14ac:dyDescent="0.25">
      <c r="S200" s="27" t="s">
        <v>101</v>
      </c>
      <c r="T200" s="12" t="s">
        <v>17</v>
      </c>
      <c r="U200" s="27"/>
      <c r="V200" s="27"/>
      <c r="AE200" s="23" t="s">
        <v>473</v>
      </c>
      <c r="AF200">
        <v>0</v>
      </c>
      <c r="AJ200" s="34"/>
      <c r="AK200" s="19" t="s">
        <v>101</v>
      </c>
      <c r="AL200" s="12" t="s">
        <v>27</v>
      </c>
      <c r="AO200" s="24"/>
      <c r="AQ200" s="24"/>
      <c r="AR200" s="24"/>
      <c r="AS200" s="24"/>
      <c r="AT200" s="24"/>
      <c r="AU200" s="24"/>
      <c r="AW200" s="111"/>
      <c r="AX200" s="94"/>
      <c r="AY200" s="34"/>
      <c r="AZ200" s="34"/>
      <c r="BA200" s="34"/>
      <c r="BC200" s="23" t="s">
        <v>376</v>
      </c>
      <c r="BD200">
        <v>9</v>
      </c>
      <c r="BE200" s="31"/>
      <c r="BF200" s="31"/>
      <c r="BG200" s="24"/>
      <c r="BH200" s="34"/>
      <c r="BI200" s="23" t="s">
        <v>384</v>
      </c>
      <c r="BJ200">
        <v>0</v>
      </c>
      <c r="BK200" s="31" t="s">
        <v>138</v>
      </c>
      <c r="BL200" s="31">
        <f>AVERAGE(BJ196:BJ207)</f>
        <v>8.3333333333333329E-2</v>
      </c>
      <c r="BN200" s="34"/>
      <c r="BO200" s="23" t="s">
        <v>401</v>
      </c>
      <c r="BP200">
        <v>5</v>
      </c>
      <c r="BQ200" s="33"/>
      <c r="BR200" s="33"/>
      <c r="BT200" s="34"/>
      <c r="BU200" s="23" t="s">
        <v>432</v>
      </c>
      <c r="BV200" s="22">
        <v>0</v>
      </c>
      <c r="BW200" s="31"/>
      <c r="BX200" s="31"/>
      <c r="BZ200" s="34"/>
      <c r="CF200" s="36"/>
      <c r="CL200" s="36"/>
      <c r="CR200" s="36"/>
    </row>
    <row r="201" spans="6:96" ht="15" x14ac:dyDescent="0.25">
      <c r="S201" s="27" t="s">
        <v>102</v>
      </c>
      <c r="T201" s="27" t="s">
        <v>71</v>
      </c>
      <c r="U201" s="27" t="s">
        <v>103</v>
      </c>
      <c r="V201" s="27" t="s">
        <v>104</v>
      </c>
      <c r="AE201" s="23" t="s">
        <v>474</v>
      </c>
      <c r="AF201">
        <v>0</v>
      </c>
      <c r="AJ201" s="34"/>
      <c r="AK201" s="31" t="s">
        <v>102</v>
      </c>
      <c r="AL201" s="31" t="s">
        <v>71</v>
      </c>
      <c r="AM201" s="31" t="s">
        <v>103</v>
      </c>
      <c r="AN201" s="31" t="s">
        <v>104</v>
      </c>
      <c r="AO201" s="24"/>
      <c r="AQ201" s="24"/>
      <c r="AR201" s="24"/>
      <c r="AS201" s="24"/>
      <c r="AT201" s="24"/>
      <c r="AU201" s="24"/>
      <c r="AW201" s="19" t="s">
        <v>100</v>
      </c>
      <c r="AX201" s="35" t="s">
        <v>66</v>
      </c>
      <c r="AZ201" s="19">
        <v>2014</v>
      </c>
      <c r="BA201" s="24"/>
      <c r="BC201" s="23" t="s">
        <v>377</v>
      </c>
      <c r="BD201">
        <v>4</v>
      </c>
      <c r="BE201" s="31"/>
      <c r="BF201" s="31"/>
      <c r="BG201" s="24"/>
      <c r="BH201" s="34"/>
      <c r="BI201" s="23" t="s">
        <v>385</v>
      </c>
      <c r="BJ201">
        <v>0</v>
      </c>
      <c r="BK201" s="31" t="s">
        <v>144</v>
      </c>
      <c r="BL201" s="31">
        <f>STDEV(BJ196:BJ207)</f>
        <v>0.28867513459481287</v>
      </c>
      <c r="BN201" s="34"/>
      <c r="BO201" s="23" t="s">
        <v>402</v>
      </c>
      <c r="BP201">
        <v>21</v>
      </c>
      <c r="BQ201" s="31"/>
      <c r="BR201" s="33"/>
      <c r="BT201" s="34"/>
      <c r="BU201" s="23" t="s">
        <v>433</v>
      </c>
      <c r="BV201" s="22">
        <v>0</v>
      </c>
      <c r="BW201" s="31"/>
      <c r="BX201" s="31"/>
      <c r="BZ201" s="34"/>
      <c r="CF201" s="36"/>
      <c r="CL201" s="36"/>
      <c r="CR201" s="36"/>
    </row>
    <row r="202" spans="6:96" ht="15" x14ac:dyDescent="0.25">
      <c r="S202" s="23" t="s">
        <v>489</v>
      </c>
      <c r="T202">
        <v>14</v>
      </c>
      <c r="U202" s="31" t="s">
        <v>106</v>
      </c>
      <c r="V202" s="27">
        <f>SUM(T202:T219)</f>
        <v>56</v>
      </c>
      <c r="AE202" s="23" t="s">
        <v>475</v>
      </c>
      <c r="AF202">
        <v>0</v>
      </c>
      <c r="AJ202" s="34"/>
      <c r="AK202" s="23" t="s">
        <v>332</v>
      </c>
      <c r="AL202">
        <v>2</v>
      </c>
      <c r="AM202" s="31" t="s">
        <v>106</v>
      </c>
      <c r="AN202" s="31">
        <f>SUM(AL202:AL215)</f>
        <v>26</v>
      </c>
      <c r="AO202" s="24"/>
      <c r="AQ202" s="24"/>
      <c r="AR202" s="24"/>
      <c r="AS202" s="24"/>
      <c r="AT202" s="24"/>
      <c r="AU202" s="24"/>
      <c r="AX202" s="12" t="s">
        <v>29</v>
      </c>
      <c r="BA202" s="24"/>
      <c r="BC202" s="23" t="s">
        <v>378</v>
      </c>
      <c r="BD202">
        <v>7</v>
      </c>
      <c r="BE202" s="31"/>
      <c r="BF202" s="31"/>
      <c r="BG202" s="24"/>
      <c r="BH202" s="34"/>
      <c r="BI202" s="23" t="s">
        <v>386</v>
      </c>
      <c r="BJ202">
        <v>0</v>
      </c>
      <c r="BK202" s="31"/>
      <c r="BL202" s="31"/>
      <c r="BN202" s="34"/>
      <c r="BO202" s="23" t="s">
        <v>403</v>
      </c>
      <c r="BP202">
        <v>18</v>
      </c>
      <c r="BQ202" s="31"/>
      <c r="BR202" s="33"/>
      <c r="BT202" s="34"/>
      <c r="BU202" s="23" t="s">
        <v>434</v>
      </c>
      <c r="BV202" s="22">
        <v>0</v>
      </c>
      <c r="BW202" s="31"/>
      <c r="BX202" s="31"/>
      <c r="BZ202" s="34"/>
      <c r="CF202" s="36"/>
      <c r="CL202" s="36"/>
      <c r="CR202" s="36"/>
    </row>
    <row r="203" spans="6:96" ht="15" x14ac:dyDescent="0.25">
      <c r="S203" s="23" t="s">
        <v>490</v>
      </c>
      <c r="T203">
        <v>6</v>
      </c>
      <c r="U203" s="31" t="s">
        <v>115</v>
      </c>
      <c r="V203" s="27">
        <f>MIN(T202:T219)</f>
        <v>0</v>
      </c>
      <c r="AE203" s="94"/>
      <c r="AF203" s="94"/>
      <c r="AG203" s="94"/>
      <c r="AH203" s="94"/>
      <c r="AI203" s="34"/>
      <c r="AJ203" s="34"/>
      <c r="AK203" s="23" t="s">
        <v>333</v>
      </c>
      <c r="AL203">
        <v>1</v>
      </c>
      <c r="AM203" s="31" t="s">
        <v>115</v>
      </c>
      <c r="AN203" s="31">
        <f>MIN(AL202:AL215)</f>
        <v>0</v>
      </c>
      <c r="AO203" s="24"/>
      <c r="AQ203" s="24"/>
      <c r="AR203" s="24"/>
      <c r="AS203" s="24"/>
      <c r="AT203" s="24"/>
      <c r="AU203" s="24"/>
      <c r="AW203" s="31" t="s">
        <v>102</v>
      </c>
      <c r="AX203" s="31" t="s">
        <v>71</v>
      </c>
      <c r="AY203" s="31" t="s">
        <v>103</v>
      </c>
      <c r="AZ203" s="31" t="s">
        <v>104</v>
      </c>
      <c r="BA203" s="24"/>
      <c r="BC203" s="23" t="s">
        <v>379</v>
      </c>
      <c r="BD203">
        <v>8</v>
      </c>
      <c r="BE203" s="31"/>
      <c r="BF203" s="31"/>
      <c r="BG203" s="24"/>
      <c r="BH203" s="34"/>
      <c r="BI203" s="23" t="s">
        <v>387</v>
      </c>
      <c r="BJ203">
        <v>0</v>
      </c>
      <c r="BK203" s="33"/>
      <c r="BL203" s="33"/>
      <c r="BN203" s="34"/>
      <c r="BO203" s="23" t="s">
        <v>404</v>
      </c>
      <c r="BP203">
        <v>13</v>
      </c>
      <c r="BQ203" s="31"/>
      <c r="BR203" s="33"/>
      <c r="BT203" s="34"/>
      <c r="BU203" s="34"/>
      <c r="BV203" s="34"/>
      <c r="BW203" s="34"/>
      <c r="BX203" s="34"/>
      <c r="BY203" s="34"/>
      <c r="BZ203" s="34"/>
      <c r="CF203" s="36"/>
      <c r="CL203" s="36"/>
      <c r="CR203" s="36"/>
    </row>
    <row r="204" spans="6:96" ht="15" x14ac:dyDescent="0.25">
      <c r="S204" s="23" t="s">
        <v>491</v>
      </c>
      <c r="T204">
        <v>3</v>
      </c>
      <c r="U204" s="31" t="s">
        <v>122</v>
      </c>
      <c r="V204" s="27">
        <f>MAX(T202:T219)</f>
        <v>14</v>
      </c>
      <c r="AE204" s="31" t="s">
        <v>100</v>
      </c>
      <c r="AF204" s="32" t="s">
        <v>67</v>
      </c>
      <c r="AG204" s="31"/>
      <c r="AH204" s="31"/>
      <c r="AJ204" s="34"/>
      <c r="AK204" s="23" t="s">
        <v>334</v>
      </c>
      <c r="AL204">
        <v>1</v>
      </c>
      <c r="AM204" s="31" t="s">
        <v>122</v>
      </c>
      <c r="AN204" s="31">
        <f>MAX(AL202:AL215)</f>
        <v>4</v>
      </c>
      <c r="AO204" s="24"/>
      <c r="AQ204" s="24"/>
      <c r="AR204" s="24"/>
      <c r="AS204" s="24"/>
      <c r="AT204" s="24"/>
      <c r="AU204" s="24"/>
      <c r="AW204" s="23" t="s">
        <v>353</v>
      </c>
      <c r="AX204">
        <v>17</v>
      </c>
      <c r="AY204" s="31" t="s">
        <v>106</v>
      </c>
      <c r="AZ204" s="31">
        <f>SUM(AX204:AX219)</f>
        <v>133</v>
      </c>
      <c r="BA204" s="24"/>
      <c r="BC204" s="111"/>
      <c r="BD204" s="94"/>
      <c r="BE204" s="34"/>
      <c r="BF204" s="34"/>
      <c r="BG204" s="34"/>
      <c r="BH204" s="34"/>
      <c r="BI204" s="23" t="s">
        <v>139</v>
      </c>
      <c r="BJ204">
        <v>1</v>
      </c>
      <c r="BK204" s="33"/>
      <c r="BL204" s="33"/>
      <c r="BN204" s="34"/>
      <c r="BO204" s="23" t="s">
        <v>405</v>
      </c>
      <c r="BP204">
        <v>4</v>
      </c>
      <c r="BQ204" s="31"/>
      <c r="BR204" s="33"/>
      <c r="BT204" s="34"/>
      <c r="BU204" s="19" t="s">
        <v>100</v>
      </c>
      <c r="BV204" s="35" t="s">
        <v>61</v>
      </c>
      <c r="BZ204" s="34"/>
      <c r="CF204" s="36"/>
      <c r="CL204" s="36"/>
      <c r="CR204" s="36"/>
    </row>
    <row r="205" spans="6:96" ht="15" x14ac:dyDescent="0.25">
      <c r="S205" s="23" t="s">
        <v>492</v>
      </c>
      <c r="T205">
        <v>8</v>
      </c>
      <c r="U205" s="31" t="s">
        <v>129</v>
      </c>
      <c r="V205" s="27">
        <f>VAR(T202:T219)</f>
        <v>12.928104575163399</v>
      </c>
      <c r="AE205" s="31" t="s">
        <v>101</v>
      </c>
      <c r="AF205" s="12" t="s">
        <v>11</v>
      </c>
      <c r="AG205" s="31"/>
      <c r="AH205" s="31"/>
      <c r="AJ205" s="34"/>
      <c r="AK205" s="23" t="s">
        <v>335</v>
      </c>
      <c r="AL205">
        <v>3</v>
      </c>
      <c r="AM205" s="31" t="s">
        <v>129</v>
      </c>
      <c r="AN205" s="31">
        <f>VAR(AL202:AL215)</f>
        <v>1.3626373626373627</v>
      </c>
      <c r="AO205" s="24"/>
      <c r="AQ205" s="24"/>
      <c r="AR205" s="24"/>
      <c r="AS205" s="24"/>
      <c r="AT205" s="24"/>
      <c r="AU205" s="24"/>
      <c r="AW205" s="23" t="s">
        <v>354</v>
      </c>
      <c r="AX205">
        <v>7</v>
      </c>
      <c r="AY205" s="31" t="s">
        <v>115</v>
      </c>
      <c r="AZ205" s="31">
        <f>MIN(AX204:AX219)</f>
        <v>1</v>
      </c>
      <c r="BA205" s="24"/>
      <c r="BC205" s="19" t="s">
        <v>100</v>
      </c>
      <c r="BD205" s="35" t="s">
        <v>65</v>
      </c>
      <c r="BG205" s="24"/>
      <c r="BH205" s="34"/>
      <c r="BI205" s="23" t="s">
        <v>156</v>
      </c>
      <c r="BJ205">
        <v>0</v>
      </c>
      <c r="BK205" s="31"/>
      <c r="BL205" s="31"/>
      <c r="BN205" s="34"/>
      <c r="BO205" s="23" t="s">
        <v>406</v>
      </c>
      <c r="BP205">
        <v>2</v>
      </c>
      <c r="BQ205" s="31"/>
      <c r="BR205" s="31"/>
      <c r="BT205" s="34"/>
      <c r="BV205" s="12" t="s">
        <v>8</v>
      </c>
      <c r="BZ205" s="34"/>
      <c r="CF205" s="36"/>
      <c r="CL205" s="36"/>
      <c r="CR205" s="36"/>
    </row>
    <row r="206" spans="6:96" ht="15" x14ac:dyDescent="0.25">
      <c r="S206" s="23" t="s">
        <v>493</v>
      </c>
      <c r="T206">
        <v>5</v>
      </c>
      <c r="U206" s="31" t="s">
        <v>138</v>
      </c>
      <c r="V206" s="27">
        <f>AVERAGE(T202:T219)</f>
        <v>3.1111111111111112</v>
      </c>
      <c r="AE206" s="31" t="s">
        <v>102</v>
      </c>
      <c r="AF206" s="31" t="s">
        <v>71</v>
      </c>
      <c r="AG206" s="31" t="s">
        <v>103</v>
      </c>
      <c r="AH206" s="31" t="s">
        <v>104</v>
      </c>
      <c r="AJ206" s="34"/>
      <c r="AK206" s="23" t="s">
        <v>336</v>
      </c>
      <c r="AL206">
        <v>2</v>
      </c>
      <c r="AM206" s="31" t="s">
        <v>138</v>
      </c>
      <c r="AN206" s="31">
        <f>AVERAGE(AL202:AL215)</f>
        <v>1.8571428571428572</v>
      </c>
      <c r="AO206" s="24"/>
      <c r="AQ206" s="24"/>
      <c r="AR206" s="24"/>
      <c r="AS206" s="24"/>
      <c r="AT206" s="24"/>
      <c r="AU206" s="24"/>
      <c r="AW206" s="23" t="s">
        <v>216</v>
      </c>
      <c r="AX206">
        <v>6</v>
      </c>
      <c r="AY206" s="31" t="s">
        <v>122</v>
      </c>
      <c r="AZ206" s="31">
        <f>MAX(AX204:AX219)</f>
        <v>17</v>
      </c>
      <c r="BA206" s="24"/>
      <c r="BD206" s="12" t="s">
        <v>30</v>
      </c>
      <c r="BG206" s="24"/>
      <c r="BH206" s="34"/>
      <c r="BI206" s="23" t="s">
        <v>388</v>
      </c>
      <c r="BJ206">
        <v>0</v>
      </c>
      <c r="BK206" s="31"/>
      <c r="BL206" s="31"/>
      <c r="BN206" s="34"/>
      <c r="BO206" s="23" t="s">
        <v>407</v>
      </c>
      <c r="BP206">
        <v>7</v>
      </c>
      <c r="BQ206" s="31"/>
      <c r="BR206" s="31"/>
      <c r="BT206" s="34"/>
      <c r="BU206" s="31" t="s">
        <v>102</v>
      </c>
      <c r="BV206" s="31" t="s">
        <v>71</v>
      </c>
      <c r="BW206" s="31" t="s">
        <v>103</v>
      </c>
      <c r="BX206" s="31" t="s">
        <v>104</v>
      </c>
      <c r="BZ206" s="34"/>
      <c r="CF206" s="36"/>
      <c r="CL206" s="36"/>
      <c r="CR206" s="36"/>
    </row>
    <row r="207" spans="6:96" ht="15" x14ac:dyDescent="0.25">
      <c r="S207" s="23" t="s">
        <v>494</v>
      </c>
      <c r="T207">
        <v>1</v>
      </c>
      <c r="U207" s="31" t="s">
        <v>144</v>
      </c>
      <c r="V207" s="27">
        <f>STDEV(T202:T219)</f>
        <v>3.5955673509424626</v>
      </c>
      <c r="AE207" s="23" t="s">
        <v>453</v>
      </c>
      <c r="AF207">
        <v>0</v>
      </c>
      <c r="AG207" s="31" t="s">
        <v>106</v>
      </c>
      <c r="AH207" s="31">
        <f>SUM(AF207:AF231)</f>
        <v>1</v>
      </c>
      <c r="AJ207" s="34"/>
      <c r="AK207" s="23" t="s">
        <v>172</v>
      </c>
      <c r="AL207">
        <v>0</v>
      </c>
      <c r="AM207" s="31" t="s">
        <v>144</v>
      </c>
      <c r="AN207" s="31">
        <f>STDEV(AL202:AL215)</f>
        <v>1.1673205911990769</v>
      </c>
      <c r="AO207" s="24"/>
      <c r="AQ207" s="24"/>
      <c r="AR207" s="24"/>
      <c r="AS207" s="24"/>
      <c r="AT207" s="24"/>
      <c r="AU207" s="24"/>
      <c r="AW207" s="23" t="s">
        <v>355</v>
      </c>
      <c r="AX207">
        <v>4</v>
      </c>
      <c r="AY207" s="31" t="s">
        <v>129</v>
      </c>
      <c r="AZ207" s="31">
        <f>VAR(AX204:AX219)</f>
        <v>17.829166666666666</v>
      </c>
      <c r="BA207" s="24"/>
      <c r="BC207" s="31" t="s">
        <v>102</v>
      </c>
      <c r="BD207" s="31" t="s">
        <v>71</v>
      </c>
      <c r="BE207" s="31" t="s">
        <v>103</v>
      </c>
      <c r="BF207" s="31" t="s">
        <v>104</v>
      </c>
      <c r="BG207" s="24"/>
      <c r="BH207" s="34"/>
      <c r="BI207" s="23" t="s">
        <v>389</v>
      </c>
      <c r="BJ207">
        <v>0</v>
      </c>
      <c r="BK207" s="31"/>
      <c r="BL207" s="31"/>
      <c r="BN207" s="34"/>
      <c r="BO207" s="34"/>
      <c r="BP207" s="34"/>
      <c r="BQ207" s="34"/>
      <c r="BR207" s="34"/>
      <c r="BS207" s="34"/>
      <c r="BT207" s="34"/>
      <c r="BU207" s="23" t="s">
        <v>412</v>
      </c>
      <c r="BV207" s="22">
        <v>3</v>
      </c>
      <c r="BW207" s="31" t="s">
        <v>106</v>
      </c>
      <c r="BX207" s="31">
        <f>SUM(BV207:BV231)</f>
        <v>18</v>
      </c>
      <c r="BZ207" s="34"/>
      <c r="CF207" s="36"/>
      <c r="CL207" s="36"/>
      <c r="CR207" s="36"/>
    </row>
    <row r="208" spans="6:96" ht="15" x14ac:dyDescent="0.25">
      <c r="S208" s="23" t="s">
        <v>495</v>
      </c>
      <c r="T208">
        <v>3</v>
      </c>
      <c r="U208" s="27"/>
      <c r="V208" s="27"/>
      <c r="AE208" s="23" t="s">
        <v>454</v>
      </c>
      <c r="AF208">
        <v>0</v>
      </c>
      <c r="AG208" s="31" t="s">
        <v>115</v>
      </c>
      <c r="AH208" s="31">
        <f>MIN(AF207:AF231)</f>
        <v>0</v>
      </c>
      <c r="AJ208" s="34"/>
      <c r="AK208" s="23" t="s">
        <v>337</v>
      </c>
      <c r="AL208">
        <v>3</v>
      </c>
      <c r="AM208" s="31"/>
      <c r="AN208" s="31"/>
      <c r="AO208" s="24"/>
      <c r="AQ208" s="24"/>
      <c r="AR208" s="24"/>
      <c r="AS208" s="24"/>
      <c r="AT208" s="24"/>
      <c r="AU208" s="24"/>
      <c r="AW208" s="23" t="s">
        <v>356</v>
      </c>
      <c r="AX208">
        <v>8</v>
      </c>
      <c r="AY208" s="31" t="s">
        <v>138</v>
      </c>
      <c r="AZ208" s="31">
        <f>AVERAGE(AX204:AX219)</f>
        <v>8.3125</v>
      </c>
      <c r="BA208" s="24"/>
      <c r="BC208" s="23" t="s">
        <v>368</v>
      </c>
      <c r="BD208">
        <v>0</v>
      </c>
      <c r="BE208" s="31" t="s">
        <v>106</v>
      </c>
      <c r="BF208" s="31">
        <f>SUM(BD208:BD220)</f>
        <v>1</v>
      </c>
      <c r="BG208" s="24"/>
      <c r="BH208" s="34"/>
      <c r="BI208" s="97"/>
      <c r="BJ208" s="34"/>
      <c r="BK208" s="94"/>
      <c r="BL208" s="94"/>
      <c r="BM208" s="34"/>
      <c r="BN208" s="34"/>
      <c r="BO208" s="19" t="s">
        <v>100</v>
      </c>
      <c r="BP208" s="35" t="s">
        <v>540</v>
      </c>
      <c r="BR208" s="19">
        <v>2014</v>
      </c>
      <c r="BT208" s="34"/>
      <c r="BU208" s="22" t="s">
        <v>244</v>
      </c>
      <c r="BV208" s="22">
        <v>0</v>
      </c>
      <c r="BW208" s="31" t="s">
        <v>115</v>
      </c>
      <c r="BX208" s="31">
        <f>MIN(BV207:BV231)</f>
        <v>0</v>
      </c>
      <c r="BZ208" s="34"/>
      <c r="CF208" s="36"/>
      <c r="CL208" s="36"/>
      <c r="CR208" s="36"/>
    </row>
    <row r="209" spans="18:96" ht="15" x14ac:dyDescent="0.25">
      <c r="S209" s="23" t="s">
        <v>496</v>
      </c>
      <c r="T209">
        <v>0</v>
      </c>
      <c r="U209" s="27"/>
      <c r="V209" s="27"/>
      <c r="AE209" s="23" t="s">
        <v>455</v>
      </c>
      <c r="AF209">
        <v>1</v>
      </c>
      <c r="AG209" s="31" t="s">
        <v>122</v>
      </c>
      <c r="AH209" s="31">
        <f>MAX(AF207:AF231)</f>
        <v>1</v>
      </c>
      <c r="AJ209" s="34"/>
      <c r="AK209" s="23" t="s">
        <v>338</v>
      </c>
      <c r="AL209">
        <v>1</v>
      </c>
      <c r="AM209" s="31"/>
      <c r="AN209" s="31"/>
      <c r="AO209" s="24"/>
      <c r="AQ209" s="24"/>
      <c r="AR209" s="24"/>
      <c r="AS209" s="24"/>
      <c r="AT209" s="24"/>
      <c r="AU209" s="24"/>
      <c r="AW209" s="23" t="s">
        <v>357</v>
      </c>
      <c r="AX209">
        <v>3</v>
      </c>
      <c r="AY209" s="31" t="s">
        <v>144</v>
      </c>
      <c r="AZ209" s="31">
        <f>STDEV(AX204:AX219)</f>
        <v>4.2224597886382131</v>
      </c>
      <c r="BA209" s="24"/>
      <c r="BC209" s="23" t="s">
        <v>369</v>
      </c>
      <c r="BD209">
        <v>0</v>
      </c>
      <c r="BE209" s="31" t="s">
        <v>115</v>
      </c>
      <c r="BF209" s="31">
        <f>MIN(BD208:BD220)</f>
        <v>0</v>
      </c>
      <c r="BG209" s="24"/>
      <c r="BH209" s="34"/>
      <c r="BI209" s="19" t="s">
        <v>100</v>
      </c>
      <c r="BJ209" s="35" t="s">
        <v>64</v>
      </c>
      <c r="BN209" s="34"/>
      <c r="BP209" s="12" t="s">
        <v>18</v>
      </c>
      <c r="BT209" s="34"/>
      <c r="BU209" s="22" t="s">
        <v>119</v>
      </c>
      <c r="BV209" s="22">
        <v>1</v>
      </c>
      <c r="BW209" s="31" t="s">
        <v>122</v>
      </c>
      <c r="BX209" s="31">
        <f>MAX(BV207:BV231)</f>
        <v>3</v>
      </c>
      <c r="BZ209" s="34"/>
      <c r="CF209" s="36"/>
      <c r="CL209" s="36"/>
      <c r="CR209" s="36"/>
    </row>
    <row r="210" spans="18:96" ht="15" x14ac:dyDescent="0.25">
      <c r="S210" s="23" t="s">
        <v>389</v>
      </c>
      <c r="T210">
        <v>3</v>
      </c>
      <c r="U210" s="27"/>
      <c r="V210" s="27"/>
      <c r="AE210" s="23" t="s">
        <v>456</v>
      </c>
      <c r="AF210">
        <v>0</v>
      </c>
      <c r="AG210" s="31" t="s">
        <v>129</v>
      </c>
      <c r="AH210" s="31">
        <f>VAR(AF207:AF231)</f>
        <v>0.04</v>
      </c>
      <c r="AJ210" s="34"/>
      <c r="AK210" s="23" t="s">
        <v>339</v>
      </c>
      <c r="AL210">
        <v>2</v>
      </c>
      <c r="AM210" s="31"/>
      <c r="AN210" s="31"/>
      <c r="AO210" s="24"/>
      <c r="AQ210" s="24"/>
      <c r="AR210" s="24"/>
      <c r="AS210" s="24"/>
      <c r="AT210" s="24"/>
      <c r="AU210" s="24"/>
      <c r="AW210" s="23" t="s">
        <v>358</v>
      </c>
      <c r="AX210">
        <v>1</v>
      </c>
      <c r="AY210" s="31"/>
      <c r="AZ210" s="31"/>
      <c r="BA210" s="24"/>
      <c r="BC210" s="23" t="s">
        <v>370</v>
      </c>
      <c r="BD210">
        <v>0</v>
      </c>
      <c r="BE210" s="31" t="s">
        <v>122</v>
      </c>
      <c r="BF210" s="31">
        <f>MAX(BD208:BD220)</f>
        <v>1</v>
      </c>
      <c r="BG210" s="24"/>
      <c r="BH210" s="34"/>
      <c r="BJ210" s="12" t="s">
        <v>27</v>
      </c>
      <c r="BN210" s="34"/>
      <c r="BO210" s="31" t="s">
        <v>102</v>
      </c>
      <c r="BP210" s="31" t="s">
        <v>71</v>
      </c>
      <c r="BQ210" s="31" t="s">
        <v>103</v>
      </c>
      <c r="BR210" s="31" t="s">
        <v>104</v>
      </c>
      <c r="BT210" s="34"/>
      <c r="BU210" s="22" t="s">
        <v>413</v>
      </c>
      <c r="BV210" s="22">
        <v>0</v>
      </c>
      <c r="BW210" s="31" t="s">
        <v>129</v>
      </c>
      <c r="BX210" s="31">
        <f>VAR(BV207:BV231)</f>
        <v>0.79333333333333333</v>
      </c>
      <c r="BZ210" s="34"/>
      <c r="CF210" s="36"/>
      <c r="CL210" s="36"/>
      <c r="CR210" s="36"/>
    </row>
    <row r="211" spans="18:96" ht="15" x14ac:dyDescent="0.25">
      <c r="S211" s="23" t="s">
        <v>497</v>
      </c>
      <c r="T211">
        <v>1</v>
      </c>
      <c r="U211" s="27"/>
      <c r="V211" s="27"/>
      <c r="AE211" s="23" t="s">
        <v>259</v>
      </c>
      <c r="AF211">
        <v>0</v>
      </c>
      <c r="AG211" s="31" t="s">
        <v>138</v>
      </c>
      <c r="AH211" s="31">
        <f>AVERAGE(AF207:AF231)</f>
        <v>0.04</v>
      </c>
      <c r="AJ211" s="34"/>
      <c r="AK211" s="23" t="s">
        <v>340</v>
      </c>
      <c r="AL211">
        <v>2</v>
      </c>
      <c r="AM211" s="31"/>
      <c r="AN211" s="31"/>
      <c r="AO211" s="24"/>
      <c r="AQ211" s="24"/>
      <c r="AR211" s="24"/>
      <c r="AS211" s="24"/>
      <c r="AT211" s="24"/>
      <c r="AU211" s="24"/>
      <c r="AW211" s="23" t="s">
        <v>359</v>
      </c>
      <c r="AX211">
        <v>5</v>
      </c>
      <c r="AY211" s="31"/>
      <c r="AZ211" s="31"/>
      <c r="BA211" s="24"/>
      <c r="BC211" s="23" t="s">
        <v>215</v>
      </c>
      <c r="BD211">
        <v>0</v>
      </c>
      <c r="BE211" s="31" t="s">
        <v>129</v>
      </c>
      <c r="BF211" s="31">
        <f>VAR(BD208:BD220)</f>
        <v>7.6923076923076927E-2</v>
      </c>
      <c r="BG211" s="24"/>
      <c r="BH211" s="34"/>
      <c r="BI211" s="31" t="s">
        <v>102</v>
      </c>
      <c r="BJ211" s="31" t="s">
        <v>71</v>
      </c>
      <c r="BK211" s="31" t="s">
        <v>103</v>
      </c>
      <c r="BL211" s="31" t="s">
        <v>104</v>
      </c>
      <c r="BN211" s="34"/>
      <c r="BO211" s="23" t="s">
        <v>390</v>
      </c>
      <c r="BP211">
        <v>0</v>
      </c>
      <c r="BQ211" s="31" t="s">
        <v>106</v>
      </c>
      <c r="BR211" s="31">
        <f>SUM(BP211:BP229)</f>
        <v>4</v>
      </c>
      <c r="BT211" s="34"/>
      <c r="BU211" s="22" t="s">
        <v>414</v>
      </c>
      <c r="BV211" s="22">
        <v>1</v>
      </c>
      <c r="BW211" s="31" t="s">
        <v>138</v>
      </c>
      <c r="BX211" s="31">
        <f>AVERAGE(BV207:BV231)</f>
        <v>0.72</v>
      </c>
      <c r="BZ211" s="34"/>
      <c r="CF211" s="36"/>
      <c r="CL211" s="36"/>
      <c r="CR211" s="36"/>
    </row>
    <row r="212" spans="18:96" ht="15" x14ac:dyDescent="0.25">
      <c r="S212" s="23" t="s">
        <v>498</v>
      </c>
      <c r="T212">
        <v>6</v>
      </c>
      <c r="U212" s="27"/>
      <c r="V212" s="27"/>
      <c r="AE212" s="23" t="s">
        <v>457</v>
      </c>
      <c r="AF212">
        <v>0</v>
      </c>
      <c r="AG212" s="31" t="s">
        <v>144</v>
      </c>
      <c r="AH212" s="31">
        <f>STDEV(AF207:AF231)</f>
        <v>0.2</v>
      </c>
      <c r="AJ212" s="34"/>
      <c r="AK212" s="23" t="s">
        <v>77</v>
      </c>
      <c r="AL212">
        <v>3</v>
      </c>
      <c r="AM212" s="31"/>
      <c r="AN212" s="31"/>
      <c r="AO212" s="24"/>
      <c r="AQ212" s="24"/>
      <c r="AR212" s="24"/>
      <c r="AS212" s="24"/>
      <c r="AT212" s="24"/>
      <c r="AU212" s="24"/>
      <c r="AW212" s="23" t="s">
        <v>360</v>
      </c>
      <c r="AX212">
        <v>11</v>
      </c>
      <c r="AY212" s="31"/>
      <c r="AZ212" s="31"/>
      <c r="BA212" s="24"/>
      <c r="BC212" s="23" t="s">
        <v>371</v>
      </c>
      <c r="BD212">
        <v>0</v>
      </c>
      <c r="BE212" s="31" t="s">
        <v>138</v>
      </c>
      <c r="BF212" s="31">
        <f>AVERAGE(BD208:BD220)</f>
        <v>7.6923076923076927E-2</v>
      </c>
      <c r="BG212" s="24"/>
      <c r="BH212" s="34"/>
      <c r="BI212" s="23" t="s">
        <v>380</v>
      </c>
      <c r="BJ212">
        <v>3</v>
      </c>
      <c r="BK212" s="31" t="s">
        <v>106</v>
      </c>
      <c r="BL212" s="31">
        <f>SUM(BJ212:BJ223)</f>
        <v>22</v>
      </c>
      <c r="BN212" s="34"/>
      <c r="BO212" s="23" t="s">
        <v>391</v>
      </c>
      <c r="BP212">
        <v>0</v>
      </c>
      <c r="BQ212" s="31" t="s">
        <v>115</v>
      </c>
      <c r="BR212" s="31">
        <f>MIN(BP211:BP229)</f>
        <v>0</v>
      </c>
      <c r="BT212" s="34"/>
      <c r="BU212" s="22" t="s">
        <v>415</v>
      </c>
      <c r="BV212" s="22">
        <v>0</v>
      </c>
      <c r="BW212" s="31" t="s">
        <v>144</v>
      </c>
      <c r="BX212" s="31">
        <f>STDEV(BV207:BV231)</f>
        <v>0.89069261439249248</v>
      </c>
      <c r="BZ212" s="34"/>
      <c r="CF212" s="36"/>
      <c r="CL212" s="36"/>
      <c r="CR212" s="36"/>
    </row>
    <row r="213" spans="18:96" ht="15" x14ac:dyDescent="0.25">
      <c r="S213" s="23" t="s">
        <v>499</v>
      </c>
      <c r="T213">
        <v>1</v>
      </c>
      <c r="U213" s="27"/>
      <c r="V213" s="27"/>
      <c r="AE213" s="23" t="s">
        <v>458</v>
      </c>
      <c r="AF213">
        <v>0</v>
      </c>
      <c r="AG213" s="31"/>
      <c r="AH213" s="31"/>
      <c r="AJ213" s="34"/>
      <c r="AK213" s="23" t="s">
        <v>341</v>
      </c>
      <c r="AL213">
        <v>0</v>
      </c>
      <c r="AM213" s="31"/>
      <c r="AN213" s="31"/>
      <c r="AO213" s="24"/>
      <c r="AQ213" s="24"/>
      <c r="AR213" s="24"/>
      <c r="AS213" s="24"/>
      <c r="AT213" s="24"/>
      <c r="AU213" s="24"/>
      <c r="AW213" s="23" t="s">
        <v>361</v>
      </c>
      <c r="AX213">
        <v>11</v>
      </c>
      <c r="AY213" s="31"/>
      <c r="AZ213" s="31"/>
      <c r="BA213" s="24"/>
      <c r="BC213" s="23" t="s">
        <v>372</v>
      </c>
      <c r="BD213">
        <v>0</v>
      </c>
      <c r="BE213" s="31" t="s">
        <v>144</v>
      </c>
      <c r="BF213" s="31">
        <f>STDEV(BD208:BD220)</f>
        <v>0.27735009811261457</v>
      </c>
      <c r="BG213" s="24"/>
      <c r="BH213" s="34"/>
      <c r="BI213" s="23" t="s">
        <v>381</v>
      </c>
      <c r="BJ213">
        <v>3</v>
      </c>
      <c r="BK213" s="31" t="s">
        <v>115</v>
      </c>
      <c r="BL213" s="31">
        <f>MIN(BJ212:BJ223)</f>
        <v>0</v>
      </c>
      <c r="BN213" s="34"/>
      <c r="BO213" s="23" t="s">
        <v>392</v>
      </c>
      <c r="BP213">
        <v>0</v>
      </c>
      <c r="BQ213" s="31" t="s">
        <v>122</v>
      </c>
      <c r="BR213" s="31">
        <f>MAX(BP211:BP229)</f>
        <v>1</v>
      </c>
      <c r="BT213" s="34"/>
      <c r="BU213" s="22" t="s">
        <v>416</v>
      </c>
      <c r="BV213" s="22">
        <v>0</v>
      </c>
      <c r="BW213" s="31"/>
      <c r="BX213" s="31"/>
      <c r="BZ213" s="34"/>
      <c r="CF213" s="36"/>
      <c r="CL213" s="36"/>
      <c r="CR213" s="36"/>
    </row>
    <row r="214" spans="18:96" ht="15" x14ac:dyDescent="0.25">
      <c r="S214" s="23" t="s">
        <v>500</v>
      </c>
      <c r="T214">
        <v>2</v>
      </c>
      <c r="U214" s="27"/>
      <c r="V214" s="27"/>
      <c r="AE214" s="23" t="s">
        <v>459</v>
      </c>
      <c r="AF214">
        <v>0</v>
      </c>
      <c r="AG214" s="31"/>
      <c r="AH214" s="31"/>
      <c r="AJ214" s="34"/>
      <c r="AK214" s="23" t="s">
        <v>342</v>
      </c>
      <c r="AL214">
        <v>2</v>
      </c>
      <c r="AM214" s="31"/>
      <c r="AN214" s="31"/>
      <c r="AO214" s="24"/>
      <c r="AQ214" s="24"/>
      <c r="AR214" s="24"/>
      <c r="AS214" s="24"/>
      <c r="AT214" s="24"/>
      <c r="AU214" s="24"/>
      <c r="AW214" s="23" t="s">
        <v>362</v>
      </c>
      <c r="AX214">
        <v>6</v>
      </c>
      <c r="AY214" s="31"/>
      <c r="AZ214" s="31"/>
      <c r="BA214" s="24"/>
      <c r="BC214" s="23" t="s">
        <v>373</v>
      </c>
      <c r="BD214">
        <v>0</v>
      </c>
      <c r="BE214" s="31"/>
      <c r="BF214" s="31"/>
      <c r="BG214" s="24"/>
      <c r="BH214" s="34"/>
      <c r="BI214" s="23" t="s">
        <v>382</v>
      </c>
      <c r="BJ214">
        <v>0</v>
      </c>
      <c r="BK214" s="31" t="s">
        <v>122</v>
      </c>
      <c r="BL214" s="31">
        <f>MAX(BJ212:BJ223)</f>
        <v>7</v>
      </c>
      <c r="BN214" s="34"/>
      <c r="BO214" s="23" t="s">
        <v>393</v>
      </c>
      <c r="BP214">
        <v>0</v>
      </c>
      <c r="BQ214" s="31" t="s">
        <v>129</v>
      </c>
      <c r="BR214" s="31">
        <f>VAR(BP211:BP229)</f>
        <v>0.17543859649122806</v>
      </c>
      <c r="BT214" s="34"/>
      <c r="BU214" s="22" t="s">
        <v>417</v>
      </c>
      <c r="BV214" s="22">
        <v>1</v>
      </c>
      <c r="BW214" s="31"/>
      <c r="BX214" s="31"/>
      <c r="BZ214" s="34"/>
      <c r="CF214" s="36"/>
      <c r="CL214" s="36"/>
      <c r="CR214" s="36"/>
    </row>
    <row r="215" spans="18:96" ht="15" x14ac:dyDescent="0.25">
      <c r="S215" s="23" t="s">
        <v>501</v>
      </c>
      <c r="T215">
        <v>0</v>
      </c>
      <c r="U215" s="27"/>
      <c r="V215" s="27"/>
      <c r="AE215" s="23" t="s">
        <v>460</v>
      </c>
      <c r="AF215">
        <v>0</v>
      </c>
      <c r="AG215" s="33"/>
      <c r="AH215" s="33"/>
      <c r="AJ215" s="34"/>
      <c r="AK215" s="23" t="s">
        <v>343</v>
      </c>
      <c r="AL215">
        <v>4</v>
      </c>
      <c r="AM215" s="31"/>
      <c r="AN215" s="31"/>
      <c r="AO215" s="24"/>
      <c r="AQ215" s="24"/>
      <c r="AR215" s="24"/>
      <c r="AS215" s="24"/>
      <c r="AT215" s="24"/>
      <c r="AU215" s="24"/>
      <c r="AW215" s="23" t="s">
        <v>363</v>
      </c>
      <c r="AX215">
        <v>12</v>
      </c>
      <c r="AY215" s="31"/>
      <c r="AZ215" s="31"/>
      <c r="BA215" s="24"/>
      <c r="BC215" s="23" t="s">
        <v>374</v>
      </c>
      <c r="BD215">
        <v>0</v>
      </c>
      <c r="BE215" s="33"/>
      <c r="BF215" s="33"/>
      <c r="BG215" s="24"/>
      <c r="BH215" s="34"/>
      <c r="BI215" s="23" t="s">
        <v>383</v>
      </c>
      <c r="BJ215">
        <v>0</v>
      </c>
      <c r="BK215" s="31" t="s">
        <v>129</v>
      </c>
      <c r="BL215" s="31">
        <f>VAR(BJ212:BJ223)</f>
        <v>3.7878787878787876</v>
      </c>
      <c r="BN215" s="34"/>
      <c r="BO215" s="23" t="s">
        <v>394</v>
      </c>
      <c r="BP215">
        <v>0</v>
      </c>
      <c r="BQ215" s="31" t="s">
        <v>138</v>
      </c>
      <c r="BR215" s="31">
        <f>AVERAGE(BP211:BP229)</f>
        <v>0.21052631578947367</v>
      </c>
      <c r="BT215" s="34"/>
      <c r="BU215" s="22" t="s">
        <v>418</v>
      </c>
      <c r="BV215" s="22">
        <v>2</v>
      </c>
      <c r="BW215" s="31"/>
      <c r="BX215" s="31"/>
      <c r="BZ215" s="34"/>
      <c r="CF215" s="36"/>
      <c r="CL215" s="36"/>
      <c r="CR215" s="36"/>
    </row>
    <row r="216" spans="18:96" ht="15" x14ac:dyDescent="0.25">
      <c r="S216" s="23" t="s">
        <v>502</v>
      </c>
      <c r="T216">
        <v>1</v>
      </c>
      <c r="U216" s="27"/>
      <c r="V216" s="27"/>
      <c r="AE216" s="23" t="s">
        <v>461</v>
      </c>
      <c r="AF216">
        <v>0</v>
      </c>
      <c r="AG216" s="31"/>
      <c r="AH216" s="31"/>
      <c r="AJ216" s="34"/>
      <c r="AK216" s="108"/>
      <c r="AL216" s="94"/>
      <c r="AM216" s="94"/>
      <c r="AN216" s="94"/>
      <c r="AO216" s="34"/>
      <c r="AQ216" s="33"/>
      <c r="AR216" s="33"/>
      <c r="AS216" s="33"/>
      <c r="AT216" s="33"/>
      <c r="AU216" s="24"/>
      <c r="AW216" s="23" t="s">
        <v>364</v>
      </c>
      <c r="AX216">
        <v>14</v>
      </c>
      <c r="AY216" s="31"/>
      <c r="AZ216" s="31"/>
      <c r="BA216" s="24"/>
      <c r="BC216" s="23" t="s">
        <v>375</v>
      </c>
      <c r="BD216">
        <v>0</v>
      </c>
      <c r="BE216" s="33"/>
      <c r="BF216" s="33"/>
      <c r="BG216" s="24"/>
      <c r="BH216" s="34"/>
      <c r="BI216" s="23" t="s">
        <v>384</v>
      </c>
      <c r="BJ216">
        <v>1</v>
      </c>
      <c r="BK216" s="31" t="s">
        <v>138</v>
      </c>
      <c r="BL216" s="31">
        <f>AVERAGE(BJ212:BJ223)</f>
        <v>1.8333333333333333</v>
      </c>
      <c r="BN216" s="34"/>
      <c r="BO216" s="23" t="s">
        <v>395</v>
      </c>
      <c r="BP216">
        <v>0</v>
      </c>
      <c r="BQ216" s="31" t="s">
        <v>144</v>
      </c>
      <c r="BR216" s="31">
        <f>STDEV(BP211:BP229)</f>
        <v>0.4188539082916955</v>
      </c>
      <c r="BT216" s="34"/>
      <c r="BU216" s="22" t="s">
        <v>419</v>
      </c>
      <c r="BV216" s="22">
        <v>0</v>
      </c>
      <c r="BW216" s="31"/>
      <c r="BX216" s="31"/>
      <c r="BZ216" s="34"/>
      <c r="CF216" s="36"/>
      <c r="CL216" s="36"/>
      <c r="CR216" s="36"/>
    </row>
    <row r="217" spans="18:96" ht="15" x14ac:dyDescent="0.25">
      <c r="S217" s="23" t="s">
        <v>350</v>
      </c>
      <c r="T217">
        <v>1</v>
      </c>
      <c r="U217" s="27"/>
      <c r="V217" s="27"/>
      <c r="AE217" s="23" t="s">
        <v>462</v>
      </c>
      <c r="AF217">
        <v>0</v>
      </c>
      <c r="AG217" s="24"/>
      <c r="AH217" s="24"/>
      <c r="AJ217" s="34"/>
      <c r="AK217" s="19" t="s">
        <v>100</v>
      </c>
      <c r="AL217" s="32" t="s">
        <v>443</v>
      </c>
      <c r="AO217" s="24"/>
      <c r="AQ217" s="49"/>
      <c r="AR217" s="33"/>
      <c r="AS217" s="33"/>
      <c r="AT217" s="33"/>
      <c r="AU217" s="24"/>
      <c r="AW217" s="23" t="s">
        <v>365</v>
      </c>
      <c r="AX217">
        <v>9</v>
      </c>
      <c r="AY217" s="31"/>
      <c r="AZ217" s="31"/>
      <c r="BA217" s="24"/>
      <c r="BC217" s="23" t="s">
        <v>376</v>
      </c>
      <c r="BD217">
        <v>0</v>
      </c>
      <c r="BE217" s="31"/>
      <c r="BF217" s="31"/>
      <c r="BG217" s="24"/>
      <c r="BH217" s="34"/>
      <c r="BI217" s="23" t="s">
        <v>385</v>
      </c>
      <c r="BJ217">
        <v>1</v>
      </c>
      <c r="BK217" s="31" t="s">
        <v>144</v>
      </c>
      <c r="BL217" s="31">
        <f>STDEV(BJ212:BJ223)</f>
        <v>1.9462473604038073</v>
      </c>
      <c r="BN217" s="34"/>
      <c r="BO217" s="23" t="s">
        <v>396</v>
      </c>
      <c r="BP217">
        <v>0</v>
      </c>
      <c r="BQ217" s="31"/>
      <c r="BR217" s="31"/>
      <c r="BT217" s="34"/>
      <c r="BU217" s="22" t="s">
        <v>420</v>
      </c>
      <c r="BV217" s="22">
        <v>0</v>
      </c>
      <c r="BW217" s="31"/>
      <c r="BX217" s="31"/>
      <c r="BZ217" s="34"/>
      <c r="CF217" s="36"/>
      <c r="CL217" s="36"/>
      <c r="CR217" s="36"/>
    </row>
    <row r="218" spans="18:96" ht="15" x14ac:dyDescent="0.25">
      <c r="S218" s="23" t="s">
        <v>503</v>
      </c>
      <c r="T218">
        <v>1</v>
      </c>
      <c r="U218" s="27"/>
      <c r="V218" s="27"/>
      <c r="AE218" s="23" t="s">
        <v>463</v>
      </c>
      <c r="AF218">
        <v>0</v>
      </c>
      <c r="AG218" s="31"/>
      <c r="AH218" s="31"/>
      <c r="AJ218" s="34"/>
      <c r="AK218" s="19" t="s">
        <v>101</v>
      </c>
      <c r="AL218" s="12" t="s">
        <v>28</v>
      </c>
      <c r="AO218" s="24"/>
      <c r="AQ218" s="49"/>
      <c r="AR218" s="33"/>
      <c r="AS218" s="33"/>
      <c r="AT218" s="33"/>
      <c r="AU218" s="24"/>
      <c r="AW218" s="23" t="s">
        <v>366</v>
      </c>
      <c r="AX218">
        <v>8</v>
      </c>
      <c r="AY218" s="31"/>
      <c r="AZ218" s="31"/>
      <c r="BA218" s="24"/>
      <c r="BC218" s="23" t="s">
        <v>377</v>
      </c>
      <c r="BD218">
        <v>1</v>
      </c>
      <c r="BE218" s="31"/>
      <c r="BF218" s="31"/>
      <c r="BG218" s="24"/>
      <c r="BH218" s="34"/>
      <c r="BI218" s="23" t="s">
        <v>386</v>
      </c>
      <c r="BJ218">
        <v>2</v>
      </c>
      <c r="BK218" s="31"/>
      <c r="BL218" s="31"/>
      <c r="BN218" s="34"/>
      <c r="BO218" s="23" t="s">
        <v>397</v>
      </c>
      <c r="BP218">
        <v>1</v>
      </c>
      <c r="BQ218" s="31"/>
      <c r="BR218" s="31"/>
      <c r="BT218" s="34"/>
      <c r="BU218" s="22" t="s">
        <v>421</v>
      </c>
      <c r="BV218" s="22">
        <v>0</v>
      </c>
      <c r="BW218" s="31"/>
      <c r="BX218" s="31"/>
      <c r="BZ218" s="34"/>
      <c r="CF218" s="36"/>
      <c r="CL218" s="36"/>
      <c r="CR218" s="36"/>
    </row>
    <row r="219" spans="18:96" ht="15" x14ac:dyDescent="0.25">
      <c r="S219" s="23" t="s">
        <v>504</v>
      </c>
      <c r="T219">
        <v>0</v>
      </c>
      <c r="U219" s="25"/>
      <c r="V219" s="25"/>
      <c r="AE219" s="23" t="s">
        <v>464</v>
      </c>
      <c r="AF219">
        <v>0</v>
      </c>
      <c r="AG219" s="31"/>
      <c r="AH219" s="31"/>
      <c r="AJ219" s="34"/>
      <c r="AK219" s="31" t="s">
        <v>102</v>
      </c>
      <c r="AL219" s="31" t="s">
        <v>71</v>
      </c>
      <c r="AM219" s="31" t="s">
        <v>103</v>
      </c>
      <c r="AN219" s="31" t="s">
        <v>104</v>
      </c>
      <c r="AO219" s="24"/>
      <c r="AQ219" s="49"/>
      <c r="AR219" s="33"/>
      <c r="AS219" s="33"/>
      <c r="AT219" s="33"/>
      <c r="AU219" s="24"/>
      <c r="AW219" s="23" t="s">
        <v>367</v>
      </c>
      <c r="AX219">
        <v>11</v>
      </c>
      <c r="AY219" s="31"/>
      <c r="AZ219" s="31"/>
      <c r="BA219" s="24"/>
      <c r="BC219" s="23" t="s">
        <v>378</v>
      </c>
      <c r="BD219">
        <v>0</v>
      </c>
      <c r="BE219" s="31"/>
      <c r="BF219" s="31"/>
      <c r="BG219" s="24"/>
      <c r="BH219" s="34"/>
      <c r="BI219" s="23" t="s">
        <v>387</v>
      </c>
      <c r="BJ219">
        <v>7</v>
      </c>
      <c r="BK219" s="33"/>
      <c r="BL219" s="33"/>
      <c r="BN219" s="34"/>
      <c r="BO219" s="23" t="s">
        <v>398</v>
      </c>
      <c r="BP219">
        <v>1</v>
      </c>
      <c r="BQ219" s="31"/>
      <c r="BR219" s="31"/>
      <c r="BT219" s="34"/>
      <c r="BU219" s="22" t="s">
        <v>422</v>
      </c>
      <c r="BV219" s="22">
        <v>2</v>
      </c>
      <c r="BW219" s="31"/>
      <c r="BX219" s="31"/>
      <c r="BZ219" s="34"/>
      <c r="CF219" s="36"/>
      <c r="CL219" s="36"/>
      <c r="CR219" s="36"/>
    </row>
    <row r="220" spans="18:96" ht="15" x14ac:dyDescent="0.25">
      <c r="R220" s="34"/>
      <c r="S220" s="34"/>
      <c r="T220" s="34"/>
      <c r="U220" s="34"/>
      <c r="V220" s="34"/>
      <c r="W220" s="34"/>
      <c r="AE220" s="23" t="s">
        <v>465</v>
      </c>
      <c r="AF220">
        <v>0</v>
      </c>
      <c r="AG220" s="31"/>
      <c r="AH220" s="31"/>
      <c r="AJ220" s="34"/>
      <c r="AK220" s="23" t="s">
        <v>332</v>
      </c>
      <c r="AL220">
        <v>1</v>
      </c>
      <c r="AM220" s="31" t="s">
        <v>106</v>
      </c>
      <c r="AN220" s="31">
        <f>SUM(AL220:AL233)</f>
        <v>1</v>
      </c>
      <c r="AO220" s="24"/>
      <c r="AQ220" s="49"/>
      <c r="AR220" s="33"/>
      <c r="AS220" s="33"/>
      <c r="AT220" s="33"/>
      <c r="AU220" s="24"/>
      <c r="AW220" s="90"/>
      <c r="AX220" s="94"/>
      <c r="AY220" s="34"/>
      <c r="AZ220" s="34"/>
      <c r="BA220" s="34"/>
      <c r="BC220" s="23" t="s">
        <v>379</v>
      </c>
      <c r="BD220">
        <v>0</v>
      </c>
      <c r="BE220" s="31"/>
      <c r="BF220" s="31"/>
      <c r="BG220" s="24"/>
      <c r="BH220" s="34"/>
      <c r="BI220" s="23" t="s">
        <v>139</v>
      </c>
      <c r="BJ220">
        <v>2</v>
      </c>
      <c r="BK220" s="33"/>
      <c r="BL220" s="33"/>
      <c r="BN220" s="34"/>
      <c r="BO220" s="23" t="s">
        <v>399</v>
      </c>
      <c r="BP220">
        <v>1</v>
      </c>
      <c r="BQ220" s="31"/>
      <c r="BR220" s="31"/>
      <c r="BT220" s="34"/>
      <c r="BU220" s="23" t="s">
        <v>423</v>
      </c>
      <c r="BV220" s="22">
        <v>1</v>
      </c>
      <c r="BW220" s="31"/>
      <c r="BX220" s="31"/>
      <c r="BZ220" s="34"/>
      <c r="CF220" s="36"/>
      <c r="CL220" s="36"/>
      <c r="CR220" s="36"/>
    </row>
    <row r="221" spans="18:96" ht="15" x14ac:dyDescent="0.25">
      <c r="S221" s="27" t="s">
        <v>100</v>
      </c>
      <c r="T221" s="30" t="s">
        <v>524</v>
      </c>
      <c r="U221" s="27"/>
      <c r="V221" s="27">
        <v>2014</v>
      </c>
      <c r="AE221" s="23" t="s">
        <v>466</v>
      </c>
      <c r="AF221">
        <v>0</v>
      </c>
      <c r="AG221" s="31"/>
      <c r="AH221" s="31"/>
      <c r="AJ221" s="34"/>
      <c r="AK221" s="23" t="s">
        <v>333</v>
      </c>
      <c r="AL221">
        <v>0</v>
      </c>
      <c r="AM221" s="31" t="s">
        <v>115</v>
      </c>
      <c r="AN221" s="31">
        <f>MIN(AL220:AL233)</f>
        <v>0</v>
      </c>
      <c r="AO221" s="24"/>
      <c r="AQ221" s="49"/>
      <c r="AR221" s="33"/>
      <c r="AS221" s="33"/>
      <c r="AT221" s="33"/>
      <c r="AU221" s="24"/>
      <c r="AW221" s="19" t="s">
        <v>100</v>
      </c>
      <c r="AX221" s="35" t="s">
        <v>66</v>
      </c>
      <c r="AZ221" s="19">
        <v>2014</v>
      </c>
      <c r="BA221" s="24"/>
      <c r="BC221" s="25"/>
      <c r="BD221" s="33"/>
      <c r="BE221" s="24"/>
      <c r="BF221" s="24"/>
      <c r="BG221" s="24"/>
      <c r="BH221" s="34"/>
      <c r="BI221" s="23" t="s">
        <v>156</v>
      </c>
      <c r="BJ221">
        <v>0</v>
      </c>
      <c r="BK221" s="31"/>
      <c r="BL221" s="31"/>
      <c r="BN221" s="34"/>
      <c r="BO221" s="23" t="s">
        <v>214</v>
      </c>
      <c r="BP221">
        <v>0</v>
      </c>
      <c r="BQ221" s="31"/>
      <c r="BR221" s="31"/>
      <c r="BT221" s="34"/>
      <c r="BU221" s="22" t="s">
        <v>424</v>
      </c>
      <c r="BV221" s="22">
        <v>2</v>
      </c>
      <c r="BW221" s="31"/>
      <c r="BX221" s="31"/>
      <c r="BZ221" s="34"/>
      <c r="CF221" s="36"/>
      <c r="CL221" s="36"/>
      <c r="CR221" s="36"/>
    </row>
    <row r="222" spans="18:96" ht="15" x14ac:dyDescent="0.25">
      <c r="S222" s="27" t="s">
        <v>101</v>
      </c>
      <c r="T222" s="12" t="s">
        <v>18</v>
      </c>
      <c r="U222" s="27"/>
      <c r="V222" s="27"/>
      <c r="AE222" s="23" t="s">
        <v>467</v>
      </c>
      <c r="AF222">
        <v>0</v>
      </c>
      <c r="AG222" s="31"/>
      <c r="AH222" s="31"/>
      <c r="AJ222" s="34"/>
      <c r="AK222" s="23" t="s">
        <v>334</v>
      </c>
      <c r="AL222">
        <v>0</v>
      </c>
      <c r="AM222" s="31" t="s">
        <v>122</v>
      </c>
      <c r="AN222" s="31">
        <f>MAX(AL220:AL233)</f>
        <v>1</v>
      </c>
      <c r="AO222" s="24"/>
      <c r="AQ222" s="49"/>
      <c r="AR222" s="33"/>
      <c r="AS222" s="33"/>
      <c r="AT222" s="33"/>
      <c r="AU222" s="24"/>
      <c r="AX222" s="12" t="s">
        <v>30</v>
      </c>
      <c r="BA222" s="24"/>
      <c r="BC222" s="90"/>
      <c r="BD222" s="94"/>
      <c r="BE222" s="34"/>
      <c r="BF222" s="34"/>
      <c r="BG222" s="34"/>
      <c r="BH222" s="34"/>
      <c r="BI222" s="23" t="s">
        <v>388</v>
      </c>
      <c r="BJ222">
        <v>2</v>
      </c>
      <c r="BK222" s="31"/>
      <c r="BL222" s="31"/>
      <c r="BN222" s="34"/>
      <c r="BO222" s="23" t="s">
        <v>400</v>
      </c>
      <c r="BP222">
        <v>0</v>
      </c>
      <c r="BQ222" s="31"/>
      <c r="BR222" s="31"/>
      <c r="BT222" s="34"/>
      <c r="BU222" s="23" t="s">
        <v>425</v>
      </c>
      <c r="BV222" s="22">
        <v>0</v>
      </c>
      <c r="BW222" s="31"/>
      <c r="BX222" s="31"/>
      <c r="BZ222" s="34"/>
      <c r="CF222" s="36"/>
      <c r="CL222" s="36"/>
      <c r="CR222" s="36"/>
    </row>
    <row r="223" spans="18:96" ht="15" x14ac:dyDescent="0.25">
      <c r="S223" s="27" t="s">
        <v>102</v>
      </c>
      <c r="T223" s="27" t="s">
        <v>71</v>
      </c>
      <c r="U223" s="27" t="s">
        <v>103</v>
      </c>
      <c r="V223" s="27" t="s">
        <v>104</v>
      </c>
      <c r="AE223" s="23" t="s">
        <v>468</v>
      </c>
      <c r="AF223">
        <v>0</v>
      </c>
      <c r="AG223" s="31"/>
      <c r="AH223" s="31"/>
      <c r="AJ223" s="34"/>
      <c r="AK223" s="23" t="s">
        <v>335</v>
      </c>
      <c r="AL223">
        <v>0</v>
      </c>
      <c r="AM223" s="31" t="s">
        <v>129</v>
      </c>
      <c r="AN223" s="31">
        <f>VAR(AL220:AL233)</f>
        <v>7.1428571428571425E-2</v>
      </c>
      <c r="AO223" s="24"/>
      <c r="AQ223" s="49"/>
      <c r="AR223" s="33"/>
      <c r="AS223" s="33"/>
      <c r="AT223" s="33"/>
      <c r="AU223" s="24"/>
      <c r="AW223" s="31" t="s">
        <v>102</v>
      </c>
      <c r="AX223" s="31" t="s">
        <v>71</v>
      </c>
      <c r="AY223" s="31" t="s">
        <v>103</v>
      </c>
      <c r="AZ223" s="31" t="s">
        <v>104</v>
      </c>
      <c r="BA223" s="24"/>
      <c r="BC223" s="90"/>
      <c r="BD223" s="94"/>
      <c r="BE223" s="34"/>
      <c r="BF223" s="34"/>
      <c r="BG223" s="34"/>
      <c r="BH223" s="34"/>
      <c r="BI223" s="23" t="s">
        <v>389</v>
      </c>
      <c r="BJ223">
        <v>1</v>
      </c>
      <c r="BK223" s="31"/>
      <c r="BL223" s="31"/>
      <c r="BN223" s="34"/>
      <c r="BO223" s="23" t="s">
        <v>401</v>
      </c>
      <c r="BP223">
        <v>0</v>
      </c>
      <c r="BQ223" s="33"/>
      <c r="BR223" s="33"/>
      <c r="BT223" s="34"/>
      <c r="BU223" s="23" t="s">
        <v>426</v>
      </c>
      <c r="BV223" s="22">
        <v>0</v>
      </c>
      <c r="BW223" s="31"/>
      <c r="BX223" s="31"/>
      <c r="BZ223" s="34"/>
      <c r="CF223" s="36"/>
      <c r="CL223" s="36"/>
      <c r="CR223" s="36"/>
    </row>
    <row r="224" spans="18:96" ht="15" x14ac:dyDescent="0.25">
      <c r="S224" s="23" t="s">
        <v>489</v>
      </c>
      <c r="T224">
        <v>2</v>
      </c>
      <c r="U224" s="31" t="s">
        <v>106</v>
      </c>
      <c r="V224" s="27">
        <f>SUM(T224:T241)</f>
        <v>8</v>
      </c>
      <c r="AE224" s="23" t="s">
        <v>469</v>
      </c>
      <c r="AF224">
        <v>0</v>
      </c>
      <c r="AG224" s="31"/>
      <c r="AH224" s="31"/>
      <c r="AJ224" s="34"/>
      <c r="AK224" s="23" t="s">
        <v>336</v>
      </c>
      <c r="AL224">
        <v>0</v>
      </c>
      <c r="AM224" s="31" t="s">
        <v>138</v>
      </c>
      <c r="AN224" s="31">
        <f>AVERAGE(AL220:AL233)</f>
        <v>7.1428571428571425E-2</v>
      </c>
      <c r="AO224" s="24"/>
      <c r="AQ224" s="49"/>
      <c r="AR224" s="33"/>
      <c r="AS224" s="33"/>
      <c r="AT224" s="33"/>
      <c r="AU224" s="24"/>
      <c r="AW224" s="23" t="s">
        <v>353</v>
      </c>
      <c r="AX224">
        <v>1</v>
      </c>
      <c r="AY224" s="31" t="s">
        <v>106</v>
      </c>
      <c r="AZ224" s="31">
        <f>SUM(AX224:AX239)</f>
        <v>2</v>
      </c>
      <c r="BA224" s="24"/>
      <c r="BC224" s="25"/>
      <c r="BD224" s="33"/>
      <c r="BE224" s="24"/>
      <c r="BF224" s="24"/>
      <c r="BG224" s="24"/>
      <c r="BH224" s="34"/>
      <c r="BI224" s="98"/>
      <c r="BJ224" s="34"/>
      <c r="BK224" s="94"/>
      <c r="BL224" s="94"/>
      <c r="BM224" s="34"/>
      <c r="BN224" s="34"/>
      <c r="BO224" s="23" t="s">
        <v>402</v>
      </c>
      <c r="BP224">
        <v>0</v>
      </c>
      <c r="BQ224" s="31"/>
      <c r="BR224" s="33"/>
      <c r="BT224" s="34"/>
      <c r="BU224" s="23" t="s">
        <v>427</v>
      </c>
      <c r="BV224" s="22">
        <v>1</v>
      </c>
      <c r="BW224" s="31"/>
      <c r="BX224" s="31"/>
      <c r="BZ224" s="34"/>
      <c r="CF224" s="36"/>
      <c r="CL224" s="36"/>
      <c r="CR224" s="36"/>
    </row>
    <row r="225" spans="19:96" ht="15" x14ac:dyDescent="0.25">
      <c r="S225" s="23" t="s">
        <v>490</v>
      </c>
      <c r="T225">
        <v>2</v>
      </c>
      <c r="U225" s="31" t="s">
        <v>115</v>
      </c>
      <c r="V225" s="27">
        <f>MIN(T224:T241)</f>
        <v>0</v>
      </c>
      <c r="AE225" s="23" t="s">
        <v>470</v>
      </c>
      <c r="AF225">
        <v>0</v>
      </c>
      <c r="AG225" s="31"/>
      <c r="AH225" s="31"/>
      <c r="AJ225" s="34"/>
      <c r="AK225" s="23" t="s">
        <v>172</v>
      </c>
      <c r="AL225">
        <v>0</v>
      </c>
      <c r="AM225" s="31" t="s">
        <v>144</v>
      </c>
      <c r="AN225" s="31">
        <f>STDEV(AL220:AL233)</f>
        <v>0.2672612419124244</v>
      </c>
      <c r="AO225" s="24"/>
      <c r="AQ225" s="49"/>
      <c r="AR225" s="33"/>
      <c r="AS225" s="33"/>
      <c r="AT225" s="33"/>
      <c r="AU225" s="24"/>
      <c r="AW225" s="23" t="s">
        <v>354</v>
      </c>
      <c r="AX225">
        <v>0</v>
      </c>
      <c r="AY225" s="31" t="s">
        <v>115</v>
      </c>
      <c r="AZ225" s="31">
        <f>MIN(AX224:AX239)</f>
        <v>0</v>
      </c>
      <c r="BA225" s="24"/>
      <c r="BC225" s="25"/>
      <c r="BD225" s="33"/>
      <c r="BE225" s="24"/>
      <c r="BF225" s="24"/>
      <c r="BG225" s="24"/>
      <c r="BH225" s="34"/>
      <c r="BI225" s="19" t="s">
        <v>100</v>
      </c>
      <c r="BJ225" s="35" t="s">
        <v>64</v>
      </c>
      <c r="BN225" s="34"/>
      <c r="BO225" s="23" t="s">
        <v>403</v>
      </c>
      <c r="BP225">
        <v>0</v>
      </c>
      <c r="BQ225" s="31"/>
      <c r="BR225" s="33"/>
      <c r="BT225" s="34"/>
      <c r="BU225" s="23" t="s">
        <v>428</v>
      </c>
      <c r="BV225" s="22">
        <v>2</v>
      </c>
      <c r="BW225" s="31"/>
      <c r="BX225" s="31"/>
      <c r="BZ225" s="34"/>
      <c r="CF225" s="36"/>
      <c r="CL225" s="36"/>
      <c r="CR225" s="36"/>
    </row>
    <row r="226" spans="19:96" ht="15" x14ac:dyDescent="0.25">
      <c r="S226" s="23" t="s">
        <v>491</v>
      </c>
      <c r="T226">
        <v>0</v>
      </c>
      <c r="U226" s="31" t="s">
        <v>122</v>
      </c>
      <c r="V226" s="27">
        <f>MAX(T224:T241)</f>
        <v>2</v>
      </c>
      <c r="AE226" s="23" t="s">
        <v>471</v>
      </c>
      <c r="AF226">
        <v>0</v>
      </c>
      <c r="AG226" s="31"/>
      <c r="AH226" s="31"/>
      <c r="AJ226" s="34"/>
      <c r="AK226" s="23" t="s">
        <v>337</v>
      </c>
      <c r="AL226">
        <v>0</v>
      </c>
      <c r="AM226" s="31"/>
      <c r="AN226" s="31"/>
      <c r="AO226" s="24"/>
      <c r="AQ226" s="49"/>
      <c r="AR226" s="33"/>
      <c r="AS226" s="33"/>
      <c r="AT226" s="33"/>
      <c r="AU226" s="24"/>
      <c r="AW226" s="23" t="s">
        <v>216</v>
      </c>
      <c r="AX226">
        <v>0</v>
      </c>
      <c r="AY226" s="31" t="s">
        <v>122</v>
      </c>
      <c r="AZ226" s="31">
        <f>MAX(AX224:AX239)</f>
        <v>1</v>
      </c>
      <c r="BA226" s="24"/>
      <c r="BC226" s="25"/>
      <c r="BD226" s="33"/>
      <c r="BE226" s="24"/>
      <c r="BF226" s="24"/>
      <c r="BG226" s="24"/>
      <c r="BH226" s="34"/>
      <c r="BJ226" s="12" t="s">
        <v>29</v>
      </c>
      <c r="BN226" s="34"/>
      <c r="BO226" s="23" t="s">
        <v>404</v>
      </c>
      <c r="BP226">
        <v>0</v>
      </c>
      <c r="BQ226" s="31"/>
      <c r="BR226" s="33"/>
      <c r="BT226" s="34"/>
      <c r="BU226" s="23" t="s">
        <v>429</v>
      </c>
      <c r="BV226" s="22">
        <v>0</v>
      </c>
      <c r="BW226" s="31"/>
      <c r="BX226" s="31"/>
      <c r="BZ226" s="34"/>
      <c r="CF226" s="36"/>
      <c r="CL226" s="36"/>
      <c r="CR226" s="36"/>
    </row>
    <row r="227" spans="19:96" ht="15" x14ac:dyDescent="0.25">
      <c r="S227" s="23" t="s">
        <v>492</v>
      </c>
      <c r="T227">
        <v>0</v>
      </c>
      <c r="U227" s="31" t="s">
        <v>129</v>
      </c>
      <c r="V227" s="27">
        <f>VAR(T224:T241)</f>
        <v>0.49673202614379086</v>
      </c>
      <c r="AE227" s="23" t="s">
        <v>472</v>
      </c>
      <c r="AF227">
        <v>0</v>
      </c>
      <c r="AJ227" s="34"/>
      <c r="AK227" s="23" t="s">
        <v>338</v>
      </c>
      <c r="AL227">
        <v>0</v>
      </c>
      <c r="AM227" s="31"/>
      <c r="AN227" s="31"/>
      <c r="AO227" s="24"/>
      <c r="AQ227" s="49"/>
      <c r="AR227" s="33"/>
      <c r="AS227" s="33"/>
      <c r="AT227" s="33"/>
      <c r="AU227" s="24"/>
      <c r="AW227" s="23" t="s">
        <v>355</v>
      </c>
      <c r="AX227">
        <v>1</v>
      </c>
      <c r="AY227" s="31" t="s">
        <v>129</v>
      </c>
      <c r="AZ227" s="31">
        <f>VAR(AX224:AX239)</f>
        <v>0.11666666666666667</v>
      </c>
      <c r="BA227" s="24"/>
      <c r="BC227" s="25"/>
      <c r="BD227" s="33"/>
      <c r="BE227" s="24"/>
      <c r="BF227" s="24"/>
      <c r="BG227" s="24"/>
      <c r="BH227" s="34"/>
      <c r="BI227" s="31" t="s">
        <v>102</v>
      </c>
      <c r="BJ227" s="31" t="s">
        <v>71</v>
      </c>
      <c r="BK227" s="31" t="s">
        <v>103</v>
      </c>
      <c r="BL227" s="31" t="s">
        <v>104</v>
      </c>
      <c r="BN227" s="34"/>
      <c r="BO227" s="23" t="s">
        <v>405</v>
      </c>
      <c r="BP227">
        <v>0</v>
      </c>
      <c r="BQ227" s="31"/>
      <c r="BR227" s="33"/>
      <c r="BT227" s="34"/>
      <c r="BU227" s="23" t="s">
        <v>430</v>
      </c>
      <c r="BV227" s="22">
        <v>1</v>
      </c>
      <c r="BW227" s="31"/>
      <c r="BX227" s="31"/>
      <c r="BZ227" s="34"/>
      <c r="CF227" s="36"/>
      <c r="CL227" s="36"/>
      <c r="CR227" s="36"/>
    </row>
    <row r="228" spans="19:96" ht="15" x14ac:dyDescent="0.25">
      <c r="S228" s="23" t="s">
        <v>493</v>
      </c>
      <c r="T228">
        <v>0</v>
      </c>
      <c r="U228" s="31" t="s">
        <v>138</v>
      </c>
      <c r="V228" s="27">
        <f>AVERAGE(T224:T241)</f>
        <v>0.44444444444444442</v>
      </c>
      <c r="AE228" s="23" t="s">
        <v>362</v>
      </c>
      <c r="AF228">
        <v>0</v>
      </c>
      <c r="AJ228" s="34"/>
      <c r="AK228" s="23" t="s">
        <v>339</v>
      </c>
      <c r="AL228">
        <v>0</v>
      </c>
      <c r="AM228" s="31"/>
      <c r="AN228" s="31"/>
      <c r="AO228" s="24"/>
      <c r="AQ228" s="49"/>
      <c r="AR228" s="33"/>
      <c r="AS228" s="33"/>
      <c r="AT228" s="33"/>
      <c r="AU228" s="24"/>
      <c r="AW228" s="23" t="s">
        <v>356</v>
      </c>
      <c r="AX228">
        <v>0</v>
      </c>
      <c r="AY228" s="31" t="s">
        <v>138</v>
      </c>
      <c r="AZ228" s="31">
        <f>AVERAGE(AX224:AX239)</f>
        <v>0.125</v>
      </c>
      <c r="BA228" s="24"/>
      <c r="BC228" s="25"/>
      <c r="BD228" s="33"/>
      <c r="BE228" s="24"/>
      <c r="BF228" s="24"/>
      <c r="BG228" s="24"/>
      <c r="BH228" s="34"/>
      <c r="BI228" s="23" t="s">
        <v>380</v>
      </c>
      <c r="BJ228">
        <v>11</v>
      </c>
      <c r="BK228" s="31" t="s">
        <v>106</v>
      </c>
      <c r="BL228" s="31">
        <f>SUM(BJ228:BJ239)</f>
        <v>197</v>
      </c>
      <c r="BN228" s="34"/>
      <c r="BO228" s="23" t="s">
        <v>406</v>
      </c>
      <c r="BP228">
        <v>1</v>
      </c>
      <c r="BQ228" s="31"/>
      <c r="BR228" s="31"/>
      <c r="BT228" s="34"/>
      <c r="BU228" s="23" t="s">
        <v>431</v>
      </c>
      <c r="BV228" s="22">
        <v>0</v>
      </c>
      <c r="BW228" s="31"/>
      <c r="BX228" s="31"/>
      <c r="BZ228" s="34"/>
      <c r="CF228" s="36"/>
      <c r="CL228" s="36"/>
      <c r="CR228" s="36"/>
    </row>
    <row r="229" spans="19:96" ht="15" x14ac:dyDescent="0.25">
      <c r="S229" s="23" t="s">
        <v>494</v>
      </c>
      <c r="T229">
        <v>0</v>
      </c>
      <c r="U229" s="31" t="s">
        <v>144</v>
      </c>
      <c r="V229" s="27">
        <f>STDEV(T224:T241)</f>
        <v>0.70479218649456588</v>
      </c>
      <c r="AE229" s="23" t="s">
        <v>473</v>
      </c>
      <c r="AF229">
        <v>0</v>
      </c>
      <c r="AJ229" s="34"/>
      <c r="AK229" s="23" t="s">
        <v>340</v>
      </c>
      <c r="AL229">
        <v>0</v>
      </c>
      <c r="AM229" s="31"/>
      <c r="AN229" s="31"/>
      <c r="AO229" s="24"/>
      <c r="AQ229" s="25"/>
      <c r="AR229" s="33"/>
      <c r="AS229" s="24"/>
      <c r="AT229" s="24"/>
      <c r="AU229" s="24"/>
      <c r="AW229" s="23" t="s">
        <v>357</v>
      </c>
      <c r="AX229">
        <v>0</v>
      </c>
      <c r="AY229" s="31" t="s">
        <v>144</v>
      </c>
      <c r="AZ229" s="31">
        <f>STDEV(AX224:AX239)</f>
        <v>0.34156502553198659</v>
      </c>
      <c r="BA229" s="24"/>
      <c r="BC229" s="25"/>
      <c r="BD229" s="33"/>
      <c r="BE229" s="24"/>
      <c r="BF229" s="24"/>
      <c r="BG229" s="24"/>
      <c r="BH229" s="34"/>
      <c r="BI229" s="23" t="s">
        <v>381</v>
      </c>
      <c r="BJ229">
        <v>27</v>
      </c>
      <c r="BK229" s="31" t="s">
        <v>115</v>
      </c>
      <c r="BL229" s="31">
        <f>MIN(BJ228:BJ239)</f>
        <v>8</v>
      </c>
      <c r="BN229" s="34"/>
      <c r="BO229" s="23" t="s">
        <v>407</v>
      </c>
      <c r="BP229">
        <v>0</v>
      </c>
      <c r="BQ229" s="31"/>
      <c r="BR229" s="31"/>
      <c r="BT229" s="34"/>
      <c r="BU229" s="23" t="s">
        <v>432</v>
      </c>
      <c r="BV229" s="22">
        <v>0</v>
      </c>
      <c r="BW229" s="31"/>
      <c r="BX229" s="31"/>
      <c r="BZ229" s="34"/>
      <c r="CF229" s="36"/>
      <c r="CL229" s="36"/>
      <c r="CR229" s="36"/>
    </row>
    <row r="230" spans="19:96" ht="15" x14ac:dyDescent="0.25">
      <c r="S230" s="23" t="s">
        <v>495</v>
      </c>
      <c r="T230">
        <v>0</v>
      </c>
      <c r="U230" s="27"/>
      <c r="V230" s="27"/>
      <c r="AE230" s="23" t="s">
        <v>474</v>
      </c>
      <c r="AF230">
        <v>0</v>
      </c>
      <c r="AJ230" s="34"/>
      <c r="AK230" s="23" t="s">
        <v>77</v>
      </c>
      <c r="AL230">
        <v>0</v>
      </c>
      <c r="AM230" s="31"/>
      <c r="AN230" s="31"/>
      <c r="AO230" s="24"/>
      <c r="AQ230" s="49"/>
      <c r="AR230" s="33"/>
      <c r="AS230" s="24"/>
      <c r="AT230" s="24"/>
      <c r="AU230" s="24"/>
      <c r="AW230" s="23" t="s">
        <v>358</v>
      </c>
      <c r="AX230">
        <v>0</v>
      </c>
      <c r="AY230" s="31"/>
      <c r="AZ230" s="31"/>
      <c r="BA230" s="24"/>
      <c r="BC230" s="25"/>
      <c r="BD230" s="33"/>
      <c r="BE230" s="24"/>
      <c r="BF230" s="24"/>
      <c r="BG230" s="24"/>
      <c r="BH230" s="34"/>
      <c r="BI230" s="23" t="s">
        <v>382</v>
      </c>
      <c r="BJ230">
        <v>26</v>
      </c>
      <c r="BK230" s="31" t="s">
        <v>122</v>
      </c>
      <c r="BL230" s="31">
        <f>MAX(BJ228:BJ239)</f>
        <v>27</v>
      </c>
      <c r="BN230" s="34"/>
      <c r="BO230" s="34"/>
      <c r="BP230" s="34"/>
      <c r="BQ230" s="34"/>
      <c r="BR230" s="34"/>
      <c r="BS230" s="34"/>
      <c r="BT230" s="34"/>
      <c r="BU230" s="23" t="s">
        <v>433</v>
      </c>
      <c r="BV230" s="22">
        <v>1</v>
      </c>
      <c r="BW230" s="31"/>
      <c r="BX230" s="31"/>
      <c r="BZ230" s="34"/>
      <c r="CF230" s="36"/>
      <c r="CL230" s="36"/>
      <c r="CR230" s="36"/>
    </row>
    <row r="231" spans="19:96" ht="15" x14ac:dyDescent="0.25">
      <c r="S231" s="23" t="s">
        <v>496</v>
      </c>
      <c r="T231">
        <v>0</v>
      </c>
      <c r="U231" s="27"/>
      <c r="V231" s="27"/>
      <c r="AE231" s="23" t="s">
        <v>475</v>
      </c>
      <c r="AF231">
        <v>0</v>
      </c>
      <c r="AJ231" s="34"/>
      <c r="AK231" s="23" t="s">
        <v>341</v>
      </c>
      <c r="AL231">
        <v>0</v>
      </c>
      <c r="AM231" s="31"/>
      <c r="AN231" s="31"/>
      <c r="AO231" s="24"/>
      <c r="AQ231" s="49"/>
      <c r="AR231" s="33"/>
      <c r="AS231" s="24"/>
      <c r="AT231" s="24"/>
      <c r="AU231" s="24"/>
      <c r="AW231" s="23" t="s">
        <v>359</v>
      </c>
      <c r="AX231">
        <v>0</v>
      </c>
      <c r="AY231" s="31"/>
      <c r="AZ231" s="31"/>
      <c r="BA231" s="24"/>
      <c r="BC231" s="25"/>
      <c r="BD231" s="33"/>
      <c r="BE231" s="24"/>
      <c r="BF231" s="24"/>
      <c r="BG231" s="24"/>
      <c r="BH231" s="34"/>
      <c r="BI231" s="23" t="s">
        <v>383</v>
      </c>
      <c r="BJ231">
        <v>16</v>
      </c>
      <c r="BK231" s="31" t="s">
        <v>129</v>
      </c>
      <c r="BL231" s="31">
        <f>VAR(BJ228:BJ239)</f>
        <v>44.628787878787868</v>
      </c>
      <c r="BN231" s="34"/>
      <c r="BO231" s="19" t="s">
        <v>100</v>
      </c>
      <c r="BP231" s="35" t="s">
        <v>540</v>
      </c>
      <c r="BR231" s="19">
        <v>2014</v>
      </c>
      <c r="BT231" s="34"/>
      <c r="BU231" s="23" t="s">
        <v>434</v>
      </c>
      <c r="BV231" s="22">
        <v>0</v>
      </c>
      <c r="BW231" s="31"/>
      <c r="BX231" s="31"/>
      <c r="BZ231" s="34"/>
      <c r="CF231" s="36"/>
      <c r="CL231" s="36"/>
      <c r="CR231" s="36"/>
    </row>
    <row r="232" spans="19:96" ht="15" x14ac:dyDescent="0.25">
      <c r="S232" s="23" t="s">
        <v>389</v>
      </c>
      <c r="T232">
        <v>0</v>
      </c>
      <c r="U232" s="27"/>
      <c r="V232" s="27"/>
      <c r="AE232" s="34"/>
      <c r="AF232" s="34"/>
      <c r="AG232" s="34"/>
      <c r="AH232" s="34"/>
      <c r="AI232" s="34"/>
      <c r="AJ232" s="34"/>
      <c r="AK232" s="23" t="s">
        <v>342</v>
      </c>
      <c r="AL232">
        <v>0</v>
      </c>
      <c r="AM232" s="31"/>
      <c r="AN232" s="31"/>
      <c r="AO232" s="24"/>
      <c r="AQ232" s="49"/>
      <c r="AR232" s="33"/>
      <c r="AS232" s="24"/>
      <c r="AT232" s="24"/>
      <c r="AU232" s="24"/>
      <c r="AW232" s="23" t="s">
        <v>360</v>
      </c>
      <c r="AX232">
        <v>0</v>
      </c>
      <c r="AY232" s="31"/>
      <c r="AZ232" s="31"/>
      <c r="BA232" s="24"/>
      <c r="BC232" s="25"/>
      <c r="BD232" s="33"/>
      <c r="BE232" s="24"/>
      <c r="BF232" s="24"/>
      <c r="BG232" s="24"/>
      <c r="BH232" s="34"/>
      <c r="BI232" s="23" t="s">
        <v>384</v>
      </c>
      <c r="BJ232">
        <v>14</v>
      </c>
      <c r="BK232" s="31" t="s">
        <v>138</v>
      </c>
      <c r="BL232" s="31">
        <f>AVERAGE(BJ228:BJ239)</f>
        <v>16.416666666666668</v>
      </c>
      <c r="BN232" s="34"/>
      <c r="BP232" s="12" t="s">
        <v>21</v>
      </c>
      <c r="BT232" s="34"/>
      <c r="BU232" s="34"/>
      <c r="BV232" s="34"/>
      <c r="BW232" s="34"/>
      <c r="BX232" s="34"/>
      <c r="BY232" s="34"/>
      <c r="BZ232" s="34"/>
      <c r="CF232" s="36"/>
      <c r="CL232" s="36"/>
      <c r="CR232" s="36"/>
    </row>
    <row r="233" spans="19:96" ht="15" x14ac:dyDescent="0.25">
      <c r="S233" s="23" t="s">
        <v>497</v>
      </c>
      <c r="T233">
        <v>0</v>
      </c>
      <c r="U233" s="27"/>
      <c r="V233" s="27"/>
      <c r="AE233" s="31" t="s">
        <v>100</v>
      </c>
      <c r="AF233" s="32" t="s">
        <v>67</v>
      </c>
      <c r="AG233" s="31"/>
      <c r="AH233" s="31"/>
      <c r="AJ233" s="34"/>
      <c r="AK233" s="23" t="s">
        <v>343</v>
      </c>
      <c r="AL233">
        <v>0</v>
      </c>
      <c r="AM233" s="31"/>
      <c r="AN233" s="31"/>
      <c r="AO233" s="24"/>
      <c r="AQ233" s="49"/>
      <c r="AR233" s="33"/>
      <c r="AS233" s="24"/>
      <c r="AT233" s="24"/>
      <c r="AU233" s="24"/>
      <c r="AW233" s="23" t="s">
        <v>361</v>
      </c>
      <c r="AX233">
        <v>0</v>
      </c>
      <c r="AY233" s="31"/>
      <c r="AZ233" s="31"/>
      <c r="BA233" s="24"/>
      <c r="BC233" s="25"/>
      <c r="BD233" s="33"/>
      <c r="BE233" s="24"/>
      <c r="BF233" s="24"/>
      <c r="BG233" s="24"/>
      <c r="BH233" s="34"/>
      <c r="BI233" s="23" t="s">
        <v>385</v>
      </c>
      <c r="BJ233">
        <v>8</v>
      </c>
      <c r="BK233" s="31" t="s">
        <v>144</v>
      </c>
      <c r="BL233" s="31">
        <f>STDEV(BJ228:BJ239)</f>
        <v>6.6804781175293035</v>
      </c>
      <c r="BN233" s="34"/>
      <c r="BO233" s="31" t="s">
        <v>102</v>
      </c>
      <c r="BP233" s="31" t="s">
        <v>71</v>
      </c>
      <c r="BQ233" s="31" t="s">
        <v>103</v>
      </c>
      <c r="BR233" s="31" t="s">
        <v>104</v>
      </c>
      <c r="BT233" s="34"/>
      <c r="BU233" s="19" t="s">
        <v>100</v>
      </c>
      <c r="BV233" s="35" t="s">
        <v>61</v>
      </c>
      <c r="BZ233" s="34"/>
      <c r="CF233" s="36"/>
      <c r="CL233" s="36"/>
      <c r="CR233" s="36"/>
    </row>
    <row r="234" spans="19:96" ht="15" x14ac:dyDescent="0.25">
      <c r="S234" s="23" t="s">
        <v>498</v>
      </c>
      <c r="T234">
        <v>0</v>
      </c>
      <c r="U234" s="27"/>
      <c r="V234" s="27"/>
      <c r="AE234" s="31" t="s">
        <v>101</v>
      </c>
      <c r="AF234" s="12" t="s">
        <v>13</v>
      </c>
      <c r="AG234" s="31"/>
      <c r="AH234" s="31"/>
      <c r="AJ234" s="34"/>
      <c r="AK234" s="108"/>
      <c r="AL234" s="94"/>
      <c r="AM234" s="34"/>
      <c r="AN234" s="34"/>
      <c r="AO234" s="34"/>
      <c r="AQ234" s="49"/>
      <c r="AR234" s="33"/>
      <c r="AS234" s="24"/>
      <c r="AT234" s="24"/>
      <c r="AU234" s="24"/>
      <c r="AW234" s="23" t="s">
        <v>362</v>
      </c>
      <c r="AX234">
        <v>0</v>
      </c>
      <c r="AY234" s="31"/>
      <c r="AZ234" s="31"/>
      <c r="BA234" s="24"/>
      <c r="BC234" s="25"/>
      <c r="BD234" s="33"/>
      <c r="BE234" s="24"/>
      <c r="BF234" s="24"/>
      <c r="BG234" s="24"/>
      <c r="BH234" s="34"/>
      <c r="BI234" s="23" t="s">
        <v>386</v>
      </c>
      <c r="BJ234">
        <v>8</v>
      </c>
      <c r="BK234" s="31"/>
      <c r="BL234" s="31"/>
      <c r="BN234" s="34"/>
      <c r="BO234" s="23" t="s">
        <v>390</v>
      </c>
      <c r="BP234">
        <v>0</v>
      </c>
      <c r="BQ234" s="31" t="s">
        <v>106</v>
      </c>
      <c r="BR234" s="31">
        <f>SUM(BP234:BP252)</f>
        <v>1</v>
      </c>
      <c r="BT234" s="34"/>
      <c r="BV234" s="12" t="s">
        <v>9</v>
      </c>
      <c r="BZ234" s="34"/>
      <c r="CF234" s="36"/>
      <c r="CL234" s="36"/>
      <c r="CR234" s="36"/>
    </row>
    <row r="235" spans="19:96" ht="15" x14ac:dyDescent="0.25">
      <c r="S235" s="23" t="s">
        <v>499</v>
      </c>
      <c r="T235">
        <v>0</v>
      </c>
      <c r="U235" s="27"/>
      <c r="V235" s="27"/>
      <c r="AE235" s="31" t="s">
        <v>102</v>
      </c>
      <c r="AF235" s="31" t="s">
        <v>71</v>
      </c>
      <c r="AG235" s="31" t="s">
        <v>103</v>
      </c>
      <c r="AH235" s="31" t="s">
        <v>104</v>
      </c>
      <c r="AJ235" s="34"/>
      <c r="AK235" s="19" t="s">
        <v>100</v>
      </c>
      <c r="AL235" s="32" t="s">
        <v>443</v>
      </c>
      <c r="AO235" s="24"/>
      <c r="AQ235" s="49"/>
      <c r="AR235" s="33"/>
      <c r="AS235" s="24"/>
      <c r="AT235" s="24"/>
      <c r="AU235" s="24"/>
      <c r="AW235" s="23" t="s">
        <v>363</v>
      </c>
      <c r="AX235">
        <v>0</v>
      </c>
      <c r="AY235" s="31"/>
      <c r="AZ235" s="31"/>
      <c r="BA235" s="24"/>
      <c r="BC235" s="24"/>
      <c r="BD235" s="24"/>
      <c r="BE235" s="24"/>
      <c r="BF235" s="24"/>
      <c r="BG235" s="24"/>
      <c r="BH235" s="34"/>
      <c r="BI235" s="23" t="s">
        <v>387</v>
      </c>
      <c r="BJ235">
        <v>13</v>
      </c>
      <c r="BK235" s="33"/>
      <c r="BL235" s="33"/>
      <c r="BN235" s="34"/>
      <c r="BO235" s="23" t="s">
        <v>391</v>
      </c>
      <c r="BP235">
        <v>0</v>
      </c>
      <c r="BQ235" s="31" t="s">
        <v>115</v>
      </c>
      <c r="BR235" s="31">
        <f>MIN(BP234:BP252)</f>
        <v>0</v>
      </c>
      <c r="BT235" s="34"/>
      <c r="BU235" s="31" t="s">
        <v>102</v>
      </c>
      <c r="BV235" s="31" t="s">
        <v>71</v>
      </c>
      <c r="BW235" s="31" t="s">
        <v>103</v>
      </c>
      <c r="BX235" s="31" t="s">
        <v>104</v>
      </c>
      <c r="BZ235" s="34"/>
      <c r="CF235" s="36"/>
      <c r="CL235" s="36"/>
      <c r="CR235" s="36"/>
    </row>
    <row r="236" spans="19:96" ht="15" x14ac:dyDescent="0.25">
      <c r="S236" s="23" t="s">
        <v>500</v>
      </c>
      <c r="T236">
        <v>1</v>
      </c>
      <c r="U236" s="27"/>
      <c r="V236" s="27"/>
      <c r="AE236" s="23" t="s">
        <v>453</v>
      </c>
      <c r="AF236">
        <v>0</v>
      </c>
      <c r="AG236" s="31" t="s">
        <v>106</v>
      </c>
      <c r="AH236" s="31">
        <f>SUM(AF236:AF260)</f>
        <v>2</v>
      </c>
      <c r="AJ236" s="34"/>
      <c r="AK236" s="19" t="s">
        <v>101</v>
      </c>
      <c r="AL236" s="12" t="s">
        <v>29</v>
      </c>
      <c r="AO236" s="24"/>
      <c r="AQ236" s="49"/>
      <c r="AR236" s="33"/>
      <c r="AS236" s="24"/>
      <c r="AT236" s="24"/>
      <c r="AU236" s="24"/>
      <c r="AW236" s="23" t="s">
        <v>364</v>
      </c>
      <c r="AX236">
        <v>0</v>
      </c>
      <c r="AY236" s="31"/>
      <c r="AZ236" s="31"/>
      <c r="BA236" s="24"/>
      <c r="BC236" s="24"/>
      <c r="BD236" s="24"/>
      <c r="BE236" s="24"/>
      <c r="BF236" s="24"/>
      <c r="BG236" s="24"/>
      <c r="BH236" s="34"/>
      <c r="BI236" s="23" t="s">
        <v>139</v>
      </c>
      <c r="BJ236">
        <v>23</v>
      </c>
      <c r="BK236" s="33"/>
      <c r="BL236" s="33"/>
      <c r="BN236" s="34"/>
      <c r="BO236" s="23" t="s">
        <v>392</v>
      </c>
      <c r="BP236">
        <v>0</v>
      </c>
      <c r="BQ236" s="31" t="s">
        <v>122</v>
      </c>
      <c r="BR236" s="31">
        <f>MAX(BP234:BP252)</f>
        <v>1</v>
      </c>
      <c r="BT236" s="34"/>
      <c r="BU236" s="23" t="s">
        <v>412</v>
      </c>
      <c r="BV236" s="22">
        <v>0</v>
      </c>
      <c r="BW236" s="31" t="s">
        <v>106</v>
      </c>
      <c r="BX236" s="31">
        <f>SUM(BV236:BV260)</f>
        <v>2</v>
      </c>
      <c r="BZ236" s="34"/>
      <c r="CF236" s="36"/>
      <c r="CL236" s="36"/>
      <c r="CR236" s="36"/>
    </row>
    <row r="237" spans="19:96" ht="15" x14ac:dyDescent="0.25">
      <c r="S237" s="23" t="s">
        <v>501</v>
      </c>
      <c r="T237">
        <v>1</v>
      </c>
      <c r="U237" s="27"/>
      <c r="V237" s="27"/>
      <c r="AE237" s="23" t="s">
        <v>454</v>
      </c>
      <c r="AF237">
        <v>0</v>
      </c>
      <c r="AG237" s="31" t="s">
        <v>115</v>
      </c>
      <c r="AH237" s="31">
        <f>MIN(AF236:AF260)</f>
        <v>0</v>
      </c>
      <c r="AJ237" s="34"/>
      <c r="AK237" s="31" t="s">
        <v>102</v>
      </c>
      <c r="AL237" s="31" t="s">
        <v>71</v>
      </c>
      <c r="AM237" s="31" t="s">
        <v>103</v>
      </c>
      <c r="AN237" s="31" t="s">
        <v>104</v>
      </c>
      <c r="AO237" s="24"/>
      <c r="AQ237" s="49"/>
      <c r="AR237" s="33"/>
      <c r="AS237" s="24"/>
      <c r="AT237" s="24"/>
      <c r="AU237" s="24"/>
      <c r="AW237" s="23" t="s">
        <v>365</v>
      </c>
      <c r="AX237">
        <v>0</v>
      </c>
      <c r="AY237" s="31"/>
      <c r="AZ237" s="31"/>
      <c r="BA237" s="24"/>
      <c r="BC237" s="33"/>
      <c r="BD237" s="24"/>
      <c r="BE237" s="24"/>
      <c r="BF237" s="24"/>
      <c r="BG237" s="24"/>
      <c r="BH237" s="34"/>
      <c r="BI237" s="23" t="s">
        <v>156</v>
      </c>
      <c r="BJ237">
        <v>11</v>
      </c>
      <c r="BK237" s="31"/>
      <c r="BL237" s="31"/>
      <c r="BN237" s="34"/>
      <c r="BO237" s="23" t="s">
        <v>393</v>
      </c>
      <c r="BP237">
        <v>0</v>
      </c>
      <c r="BQ237" s="31" t="s">
        <v>129</v>
      </c>
      <c r="BR237" s="31">
        <f>VAR(BP234:BP252)</f>
        <v>5.2631578947368425E-2</v>
      </c>
      <c r="BT237" s="34"/>
      <c r="BU237" s="22" t="s">
        <v>244</v>
      </c>
      <c r="BV237" s="22">
        <v>0</v>
      </c>
      <c r="BW237" s="31" t="s">
        <v>115</v>
      </c>
      <c r="BX237" s="31">
        <f>MIN(BV236:BV260)</f>
        <v>0</v>
      </c>
      <c r="BZ237" s="34"/>
      <c r="CF237" s="36"/>
      <c r="CL237" s="36"/>
      <c r="CR237" s="36"/>
    </row>
    <row r="238" spans="19:96" ht="15" x14ac:dyDescent="0.25">
      <c r="S238" s="23" t="s">
        <v>502</v>
      </c>
      <c r="T238">
        <v>0</v>
      </c>
      <c r="U238" s="27"/>
      <c r="V238" s="27"/>
      <c r="AE238" s="23" t="s">
        <v>455</v>
      </c>
      <c r="AF238">
        <v>0</v>
      </c>
      <c r="AG238" s="31" t="s">
        <v>122</v>
      </c>
      <c r="AH238" s="31">
        <f>MAX(AF236:AF260)</f>
        <v>1</v>
      </c>
      <c r="AJ238" s="34"/>
      <c r="AK238" s="23" t="s">
        <v>332</v>
      </c>
      <c r="AL238">
        <v>3</v>
      </c>
      <c r="AM238" s="31" t="s">
        <v>106</v>
      </c>
      <c r="AN238" s="31">
        <f>SUM(AL238:AL251)</f>
        <v>94</v>
      </c>
      <c r="AO238" s="24"/>
      <c r="AQ238" s="49"/>
      <c r="AR238" s="33"/>
      <c r="AS238" s="24"/>
      <c r="AT238" s="24"/>
      <c r="AU238" s="24"/>
      <c r="AW238" s="23" t="s">
        <v>366</v>
      </c>
      <c r="AX238">
        <v>0</v>
      </c>
      <c r="AY238" s="31"/>
      <c r="AZ238" s="31"/>
      <c r="BA238" s="24"/>
      <c r="BC238" s="33"/>
      <c r="BD238" s="33"/>
      <c r="BE238" s="33"/>
      <c r="BF238" s="33"/>
      <c r="BG238" s="24"/>
      <c r="BH238" s="34"/>
      <c r="BI238" s="23" t="s">
        <v>388</v>
      </c>
      <c r="BJ238">
        <v>20</v>
      </c>
      <c r="BK238" s="31"/>
      <c r="BL238" s="31"/>
      <c r="BN238" s="34"/>
      <c r="BO238" s="23" t="s">
        <v>394</v>
      </c>
      <c r="BP238">
        <v>0</v>
      </c>
      <c r="BQ238" s="31" t="s">
        <v>138</v>
      </c>
      <c r="BR238" s="31">
        <f>AVERAGE(BP234:BP252)</f>
        <v>5.2631578947368418E-2</v>
      </c>
      <c r="BT238" s="34"/>
      <c r="BU238" s="22" t="s">
        <v>119</v>
      </c>
      <c r="BV238" s="22">
        <v>0</v>
      </c>
      <c r="BW238" s="31" t="s">
        <v>122</v>
      </c>
      <c r="BX238" s="31">
        <f>MAX(BV236:BV260)</f>
        <v>2</v>
      </c>
      <c r="BZ238" s="34"/>
      <c r="CF238" s="36"/>
      <c r="CL238" s="36"/>
      <c r="CR238" s="36"/>
    </row>
    <row r="239" spans="19:96" ht="15" x14ac:dyDescent="0.25">
      <c r="S239" s="23" t="s">
        <v>350</v>
      </c>
      <c r="T239">
        <v>0</v>
      </c>
      <c r="U239" s="27"/>
      <c r="V239" s="27"/>
      <c r="AE239" s="23" t="s">
        <v>456</v>
      </c>
      <c r="AF239">
        <v>0</v>
      </c>
      <c r="AG239" s="31" t="s">
        <v>129</v>
      </c>
      <c r="AH239" s="31">
        <f>VAR(AF236:AF260)</f>
        <v>7.6666666666666675E-2</v>
      </c>
      <c r="AJ239" s="34"/>
      <c r="AK239" s="23" t="s">
        <v>333</v>
      </c>
      <c r="AL239">
        <v>5</v>
      </c>
      <c r="AM239" s="31" t="s">
        <v>115</v>
      </c>
      <c r="AN239" s="31">
        <f>MIN(AL238:AL251)</f>
        <v>3</v>
      </c>
      <c r="AO239" s="24"/>
      <c r="AQ239" s="49"/>
      <c r="AR239" s="33"/>
      <c r="AS239" s="24"/>
      <c r="AT239" s="24"/>
      <c r="AU239" s="24"/>
      <c r="AW239" s="23" t="s">
        <v>367</v>
      </c>
      <c r="AX239">
        <v>0</v>
      </c>
      <c r="AY239" s="31"/>
      <c r="AZ239" s="31"/>
      <c r="BA239" s="24"/>
      <c r="BC239" s="49"/>
      <c r="BD239" s="33"/>
      <c r="BE239" s="33"/>
      <c r="BF239" s="33"/>
      <c r="BG239" s="24"/>
      <c r="BH239" s="34"/>
      <c r="BI239" s="23" t="s">
        <v>389</v>
      </c>
      <c r="BJ239">
        <v>20</v>
      </c>
      <c r="BK239" s="31"/>
      <c r="BL239" s="31"/>
      <c r="BN239" s="34"/>
      <c r="BO239" s="23" t="s">
        <v>395</v>
      </c>
      <c r="BP239">
        <v>0</v>
      </c>
      <c r="BQ239" s="31" t="s">
        <v>144</v>
      </c>
      <c r="BR239" s="31">
        <f>STDEV(BP234:BP252)</f>
        <v>0.22941573387056177</v>
      </c>
      <c r="BT239" s="34"/>
      <c r="BU239" s="22" t="s">
        <v>413</v>
      </c>
      <c r="BV239" s="22">
        <v>0</v>
      </c>
      <c r="BW239" s="31" t="s">
        <v>129</v>
      </c>
      <c r="BX239" s="31">
        <f>VAR(BV236:BV260)</f>
        <v>0.16</v>
      </c>
      <c r="BZ239" s="34"/>
      <c r="CF239" s="36"/>
      <c r="CL239" s="36"/>
      <c r="CR239" s="36"/>
    </row>
    <row r="240" spans="19:96" ht="15" x14ac:dyDescent="0.25">
      <c r="S240" s="23" t="s">
        <v>503</v>
      </c>
      <c r="T240">
        <v>1</v>
      </c>
      <c r="U240" s="27"/>
      <c r="V240" s="27"/>
      <c r="AE240" s="23" t="s">
        <v>259</v>
      </c>
      <c r="AF240">
        <v>0</v>
      </c>
      <c r="AG240" s="31" t="s">
        <v>138</v>
      </c>
      <c r="AH240" s="31">
        <f>AVERAGE(AF236:AF260)</f>
        <v>0.08</v>
      </c>
      <c r="AJ240" s="34"/>
      <c r="AK240" s="23" t="s">
        <v>334</v>
      </c>
      <c r="AL240">
        <v>6</v>
      </c>
      <c r="AM240" s="31" t="s">
        <v>122</v>
      </c>
      <c r="AN240" s="31">
        <f>MAX(AL238:AL251)</f>
        <v>15</v>
      </c>
      <c r="AO240" s="24"/>
      <c r="AQ240" s="49"/>
      <c r="AR240" s="33"/>
      <c r="AS240" s="24"/>
      <c r="AT240" s="24"/>
      <c r="AU240" s="24"/>
      <c r="AW240" s="111"/>
      <c r="AX240" s="94"/>
      <c r="AY240" s="94"/>
      <c r="AZ240" s="94"/>
      <c r="BA240" s="34"/>
      <c r="BC240" s="49"/>
      <c r="BD240" s="33"/>
      <c r="BE240" s="33"/>
      <c r="BF240" s="33"/>
      <c r="BG240" s="24"/>
      <c r="BH240" s="34"/>
      <c r="BI240" s="97"/>
      <c r="BJ240" s="34"/>
      <c r="BK240" s="34"/>
      <c r="BL240" s="34"/>
      <c r="BM240" s="34"/>
      <c r="BN240" s="34"/>
      <c r="BO240" s="23" t="s">
        <v>396</v>
      </c>
      <c r="BP240">
        <v>0</v>
      </c>
      <c r="BQ240" s="31"/>
      <c r="BR240" s="31"/>
      <c r="BT240" s="34"/>
      <c r="BU240" s="22" t="s">
        <v>414</v>
      </c>
      <c r="BV240" s="22">
        <v>0</v>
      </c>
      <c r="BW240" s="31" t="s">
        <v>138</v>
      </c>
      <c r="BX240" s="31">
        <f>AVERAGE(BV236:BV260)</f>
        <v>0.08</v>
      </c>
      <c r="BZ240" s="34"/>
      <c r="CF240" s="36"/>
      <c r="CL240" s="36"/>
      <c r="CR240" s="36"/>
    </row>
    <row r="241" spans="19:96" ht="15" x14ac:dyDescent="0.25">
      <c r="S241" s="23" t="s">
        <v>504</v>
      </c>
      <c r="T241">
        <v>1</v>
      </c>
      <c r="U241" s="25"/>
      <c r="V241" s="25"/>
      <c r="AE241" s="23" t="s">
        <v>457</v>
      </c>
      <c r="AF241">
        <v>0</v>
      </c>
      <c r="AG241" s="31" t="s">
        <v>144</v>
      </c>
      <c r="AH241" s="31">
        <f>STDEV(AF236:AF260)</f>
        <v>0.27688746209726917</v>
      </c>
      <c r="AJ241" s="34"/>
      <c r="AK241" s="23" t="s">
        <v>335</v>
      </c>
      <c r="AL241">
        <v>8</v>
      </c>
      <c r="AM241" s="31" t="s">
        <v>129</v>
      </c>
      <c r="AN241" s="31">
        <f>VAR(AL238:AL251)</f>
        <v>10.681318681318684</v>
      </c>
      <c r="AO241" s="24"/>
      <c r="AQ241" s="49"/>
      <c r="AR241" s="33"/>
      <c r="AS241" s="24"/>
      <c r="AT241" s="24"/>
      <c r="AU241" s="24"/>
      <c r="AW241" s="49"/>
      <c r="AX241" s="33"/>
      <c r="AY241" s="33"/>
      <c r="AZ241" s="33"/>
      <c r="BA241" s="24"/>
      <c r="BC241" s="49"/>
      <c r="BD241" s="33"/>
      <c r="BE241" s="33"/>
      <c r="BF241" s="33"/>
      <c r="BG241" s="24"/>
      <c r="BH241" s="34"/>
      <c r="BI241" s="19" t="s">
        <v>100</v>
      </c>
      <c r="BJ241" s="35" t="s">
        <v>64</v>
      </c>
      <c r="BN241" s="34"/>
      <c r="BO241" s="23" t="s">
        <v>397</v>
      </c>
      <c r="BP241">
        <v>0</v>
      </c>
      <c r="BQ241" s="31"/>
      <c r="BR241" s="31"/>
      <c r="BT241" s="34"/>
      <c r="BU241" s="22" t="s">
        <v>415</v>
      </c>
      <c r="BV241" s="22">
        <v>0</v>
      </c>
      <c r="BW241" s="31" t="s">
        <v>144</v>
      </c>
      <c r="BX241" s="31">
        <f>STDEV(BV236:BV260)</f>
        <v>0.4</v>
      </c>
      <c r="BZ241" s="34"/>
      <c r="CF241" s="36"/>
      <c r="CL241" s="36"/>
      <c r="CR241" s="36"/>
    </row>
    <row r="242" spans="19:96" ht="15" x14ac:dyDescent="0.25">
      <c r="S242" s="34"/>
      <c r="T242" s="34"/>
      <c r="U242" s="34"/>
      <c r="V242" s="34"/>
      <c r="W242" s="34"/>
      <c r="AE242" s="23" t="s">
        <v>458</v>
      </c>
      <c r="AF242">
        <v>0</v>
      </c>
      <c r="AG242" s="31"/>
      <c r="AH242" s="31"/>
      <c r="AJ242" s="34"/>
      <c r="AK242" s="23" t="s">
        <v>336</v>
      </c>
      <c r="AL242">
        <v>4</v>
      </c>
      <c r="AM242" s="31" t="s">
        <v>138</v>
      </c>
      <c r="AN242" s="31">
        <f>AVERAGE(AL238:AL251)</f>
        <v>6.7142857142857144</v>
      </c>
      <c r="AO242" s="24"/>
      <c r="AQ242" s="49"/>
      <c r="AR242" s="33"/>
      <c r="AS242" s="24"/>
      <c r="AT242" s="24"/>
      <c r="AU242" s="24"/>
      <c r="AW242" s="49"/>
      <c r="AX242" s="33"/>
      <c r="AY242" s="33"/>
      <c r="AZ242" s="33"/>
      <c r="BA242" s="24"/>
      <c r="BC242" s="49"/>
      <c r="BD242" s="33"/>
      <c r="BE242" s="33"/>
      <c r="BF242" s="33"/>
      <c r="BG242" s="24"/>
      <c r="BH242" s="34"/>
      <c r="BJ242" s="12" t="s">
        <v>30</v>
      </c>
      <c r="BN242" s="34"/>
      <c r="BO242" s="23" t="s">
        <v>398</v>
      </c>
      <c r="BP242">
        <v>1</v>
      </c>
      <c r="BQ242" s="31"/>
      <c r="BR242" s="31"/>
      <c r="BT242" s="34"/>
      <c r="BU242" s="22" t="s">
        <v>416</v>
      </c>
      <c r="BV242" s="22">
        <v>0</v>
      </c>
      <c r="BW242" s="31"/>
      <c r="BX242" s="31"/>
      <c r="BZ242" s="34"/>
      <c r="CF242" s="36"/>
      <c r="CL242" s="36"/>
      <c r="CR242" s="36"/>
    </row>
    <row r="243" spans="19:96" ht="15" x14ac:dyDescent="0.25">
      <c r="S243" s="27" t="s">
        <v>100</v>
      </c>
      <c r="T243" s="30" t="s">
        <v>524</v>
      </c>
      <c r="U243" s="27"/>
      <c r="V243" s="27">
        <v>2014</v>
      </c>
      <c r="AE243" s="23" t="s">
        <v>459</v>
      </c>
      <c r="AF243">
        <v>0</v>
      </c>
      <c r="AG243" s="31"/>
      <c r="AH243" s="31"/>
      <c r="AJ243" s="34"/>
      <c r="AK243" s="23" t="s">
        <v>172</v>
      </c>
      <c r="AL243">
        <v>4</v>
      </c>
      <c r="AM243" s="31" t="s">
        <v>144</v>
      </c>
      <c r="AN243" s="31">
        <f>STDEV(AL238:AL251)</f>
        <v>3.2682286764115336</v>
      </c>
      <c r="AO243" s="24"/>
      <c r="AQ243" s="49"/>
      <c r="AR243" s="33"/>
      <c r="AS243" s="24"/>
      <c r="AT243" s="24"/>
      <c r="AU243" s="24"/>
      <c r="AW243" s="49"/>
      <c r="AX243" s="33"/>
      <c r="AY243" s="33"/>
      <c r="AZ243" s="33"/>
      <c r="BA243" s="24"/>
      <c r="BC243" s="49"/>
      <c r="BD243" s="33"/>
      <c r="BE243" s="33"/>
      <c r="BF243" s="33"/>
      <c r="BG243" s="24"/>
      <c r="BH243" s="34"/>
      <c r="BI243" s="31" t="s">
        <v>102</v>
      </c>
      <c r="BJ243" s="31" t="s">
        <v>71</v>
      </c>
      <c r="BK243" s="31" t="s">
        <v>103</v>
      </c>
      <c r="BL243" s="31" t="s">
        <v>104</v>
      </c>
      <c r="BN243" s="34"/>
      <c r="BO243" s="23" t="s">
        <v>399</v>
      </c>
      <c r="BP243">
        <v>0</v>
      </c>
      <c r="BQ243" s="31"/>
      <c r="BR243" s="31"/>
      <c r="BT243" s="34"/>
      <c r="BU243" s="22" t="s">
        <v>417</v>
      </c>
      <c r="BV243" s="22">
        <v>0</v>
      </c>
      <c r="BW243" s="31"/>
      <c r="BX243" s="31"/>
      <c r="BZ243" s="34"/>
      <c r="CF243" s="36"/>
      <c r="CL243" s="36"/>
      <c r="CR243" s="36"/>
    </row>
    <row r="244" spans="19:96" ht="15" x14ac:dyDescent="0.25">
      <c r="S244" s="27" t="s">
        <v>101</v>
      </c>
      <c r="T244" s="12" t="s">
        <v>20</v>
      </c>
      <c r="U244" s="27"/>
      <c r="V244" s="27"/>
      <c r="AE244" s="23" t="s">
        <v>460</v>
      </c>
      <c r="AF244">
        <v>0</v>
      </c>
      <c r="AG244" s="33"/>
      <c r="AH244" s="33"/>
      <c r="AJ244" s="34"/>
      <c r="AK244" s="23" t="s">
        <v>337</v>
      </c>
      <c r="AL244">
        <v>3</v>
      </c>
      <c r="AM244" s="31"/>
      <c r="AN244" s="31"/>
      <c r="AO244" s="24"/>
      <c r="AQ244" s="49"/>
      <c r="AR244" s="33"/>
      <c r="AS244" s="24"/>
      <c r="AT244" s="24"/>
      <c r="AU244" s="24"/>
      <c r="AW244" s="49"/>
      <c r="AX244" s="33"/>
      <c r="AY244" s="33"/>
      <c r="AZ244" s="33"/>
      <c r="BA244" s="24"/>
      <c r="BC244" s="49"/>
      <c r="BD244" s="33"/>
      <c r="BE244" s="33"/>
      <c r="BF244" s="33"/>
      <c r="BG244" s="24"/>
      <c r="BH244" s="34"/>
      <c r="BI244" s="23" t="s">
        <v>380</v>
      </c>
      <c r="BJ244">
        <v>0</v>
      </c>
      <c r="BK244" s="31" t="s">
        <v>106</v>
      </c>
      <c r="BL244" s="31">
        <f>SUM(BJ244:BJ255)</f>
        <v>3</v>
      </c>
      <c r="BN244" s="34"/>
      <c r="BO244" s="23" t="s">
        <v>214</v>
      </c>
      <c r="BP244">
        <v>0</v>
      </c>
      <c r="BQ244" s="31"/>
      <c r="BR244" s="31"/>
      <c r="BT244" s="34"/>
      <c r="BU244" s="22" t="s">
        <v>418</v>
      </c>
      <c r="BV244" s="22">
        <v>2</v>
      </c>
      <c r="BW244" s="31"/>
      <c r="BX244" s="31"/>
      <c r="BZ244" s="34"/>
      <c r="CF244" s="36"/>
      <c r="CL244" s="36"/>
      <c r="CR244" s="36"/>
    </row>
    <row r="245" spans="19:96" ht="15" x14ac:dyDescent="0.25">
      <c r="S245" s="27" t="s">
        <v>102</v>
      </c>
      <c r="T245" s="27" t="s">
        <v>71</v>
      </c>
      <c r="U245" s="27" t="s">
        <v>103</v>
      </c>
      <c r="V245" s="27" t="s">
        <v>104</v>
      </c>
      <c r="AE245" s="23" t="s">
        <v>461</v>
      </c>
      <c r="AF245">
        <v>0</v>
      </c>
      <c r="AG245" s="31"/>
      <c r="AH245" s="31"/>
      <c r="AJ245" s="34"/>
      <c r="AK245" s="23" t="s">
        <v>338</v>
      </c>
      <c r="AL245">
        <v>5</v>
      </c>
      <c r="AM245" s="31"/>
      <c r="AN245" s="31"/>
      <c r="AO245" s="24"/>
      <c r="AQ245" s="49"/>
      <c r="AR245" s="33"/>
      <c r="AS245" s="24"/>
      <c r="AT245" s="24"/>
      <c r="AU245" s="24"/>
      <c r="AW245" s="49"/>
      <c r="AX245" s="33"/>
      <c r="AY245" s="33"/>
      <c r="AZ245" s="33"/>
      <c r="BA245" s="24"/>
      <c r="BC245" s="49"/>
      <c r="BD245" s="33"/>
      <c r="BE245" s="33"/>
      <c r="BF245" s="33"/>
      <c r="BG245" s="24"/>
      <c r="BH245" s="34"/>
      <c r="BI245" s="23" t="s">
        <v>381</v>
      </c>
      <c r="BJ245">
        <v>0</v>
      </c>
      <c r="BK245" s="31" t="s">
        <v>115</v>
      </c>
      <c r="BL245" s="31">
        <f>MIN(BJ244:BJ255)</f>
        <v>0</v>
      </c>
      <c r="BN245" s="34"/>
      <c r="BO245" s="23" t="s">
        <v>400</v>
      </c>
      <c r="BP245">
        <v>0</v>
      </c>
      <c r="BQ245" s="31"/>
      <c r="BR245" s="31"/>
      <c r="BT245" s="34"/>
      <c r="BU245" s="22" t="s">
        <v>419</v>
      </c>
      <c r="BV245" s="22">
        <v>0</v>
      </c>
      <c r="BW245" s="31"/>
      <c r="BX245" s="31"/>
      <c r="BZ245" s="34"/>
      <c r="CF245" s="36"/>
      <c r="CL245" s="36"/>
      <c r="CR245" s="36"/>
    </row>
    <row r="246" spans="19:96" ht="15" x14ac:dyDescent="0.25">
      <c r="S246" s="23" t="s">
        <v>489</v>
      </c>
      <c r="T246">
        <v>3</v>
      </c>
      <c r="U246" s="31" t="s">
        <v>106</v>
      </c>
      <c r="V246" s="27">
        <f>SUM(T246:T263)</f>
        <v>3</v>
      </c>
      <c r="AE246" s="23" t="s">
        <v>462</v>
      </c>
      <c r="AF246">
        <v>0</v>
      </c>
      <c r="AG246" s="24"/>
      <c r="AH246" s="24"/>
      <c r="AJ246" s="34"/>
      <c r="AK246" s="23" t="s">
        <v>339</v>
      </c>
      <c r="AL246">
        <v>10</v>
      </c>
      <c r="AM246" s="31"/>
      <c r="AN246" s="31"/>
      <c r="AO246" s="24"/>
      <c r="AQ246" s="49"/>
      <c r="AR246" s="33"/>
      <c r="AS246" s="24"/>
      <c r="AT246" s="24"/>
      <c r="AU246" s="24"/>
      <c r="AW246" s="49"/>
      <c r="AX246" s="33"/>
      <c r="AY246" s="33"/>
      <c r="AZ246" s="33"/>
      <c r="BA246" s="24"/>
      <c r="BC246" s="49"/>
      <c r="BD246" s="33"/>
      <c r="BE246" s="33"/>
      <c r="BF246" s="33"/>
      <c r="BG246" s="24"/>
      <c r="BH246" s="34"/>
      <c r="BI246" s="23" t="s">
        <v>382</v>
      </c>
      <c r="BJ246">
        <v>1</v>
      </c>
      <c r="BK246" s="31" t="s">
        <v>122</v>
      </c>
      <c r="BL246" s="31">
        <f>MAX(BJ244:BJ255)</f>
        <v>1</v>
      </c>
      <c r="BN246" s="34"/>
      <c r="BO246" s="23" t="s">
        <v>401</v>
      </c>
      <c r="BP246">
        <v>0</v>
      </c>
      <c r="BQ246" s="33"/>
      <c r="BR246" s="33"/>
      <c r="BT246" s="34"/>
      <c r="BU246" s="22" t="s">
        <v>420</v>
      </c>
      <c r="BV246" s="22">
        <v>0</v>
      </c>
      <c r="BW246" s="31"/>
      <c r="BX246" s="31"/>
      <c r="BZ246" s="34"/>
      <c r="CF246" s="36"/>
      <c r="CL246" s="36"/>
      <c r="CR246" s="36"/>
    </row>
    <row r="247" spans="19:96" ht="15" x14ac:dyDescent="0.25">
      <c r="S247" s="23" t="s">
        <v>490</v>
      </c>
      <c r="T247">
        <v>0</v>
      </c>
      <c r="U247" s="31" t="s">
        <v>115</v>
      </c>
      <c r="V247" s="27">
        <f>MIN(T246:T263)</f>
        <v>0</v>
      </c>
      <c r="AE247" s="23" t="s">
        <v>463</v>
      </c>
      <c r="AF247">
        <v>0</v>
      </c>
      <c r="AG247" s="31"/>
      <c r="AH247" s="31"/>
      <c r="AJ247" s="34"/>
      <c r="AK247" s="23" t="s">
        <v>340</v>
      </c>
      <c r="AL247">
        <v>8</v>
      </c>
      <c r="AM247" s="31"/>
      <c r="AN247" s="31"/>
      <c r="AO247" s="24"/>
      <c r="AQ247" s="49"/>
      <c r="AR247" s="33"/>
      <c r="AS247" s="24"/>
      <c r="AT247" s="24"/>
      <c r="AU247" s="24"/>
      <c r="AW247" s="49"/>
      <c r="AX247" s="33"/>
      <c r="AY247" s="33"/>
      <c r="AZ247" s="33"/>
      <c r="BA247" s="24"/>
      <c r="BC247" s="49"/>
      <c r="BD247" s="33"/>
      <c r="BE247" s="33"/>
      <c r="BF247" s="33"/>
      <c r="BG247" s="24"/>
      <c r="BH247" s="34"/>
      <c r="BI247" s="23" t="s">
        <v>383</v>
      </c>
      <c r="BJ247">
        <v>1</v>
      </c>
      <c r="BK247" s="31" t="s">
        <v>129</v>
      </c>
      <c r="BL247" s="31">
        <f>VAR(BJ244:BJ255)</f>
        <v>0.20454545454545456</v>
      </c>
      <c r="BN247" s="34"/>
      <c r="BO247" s="23" t="s">
        <v>402</v>
      </c>
      <c r="BP247">
        <v>0</v>
      </c>
      <c r="BQ247" s="31"/>
      <c r="BR247" s="33"/>
      <c r="BT247" s="34"/>
      <c r="BU247" s="22" t="s">
        <v>421</v>
      </c>
      <c r="BV247" s="22">
        <v>0</v>
      </c>
      <c r="BW247" s="31"/>
      <c r="BX247" s="31"/>
      <c r="BZ247" s="34"/>
      <c r="CF247" s="36"/>
      <c r="CL247" s="36"/>
      <c r="CR247" s="36"/>
    </row>
    <row r="248" spans="19:96" ht="15" x14ac:dyDescent="0.25">
      <c r="S248" s="23" t="s">
        <v>491</v>
      </c>
      <c r="T248">
        <v>0</v>
      </c>
      <c r="U248" s="31" t="s">
        <v>122</v>
      </c>
      <c r="V248" s="27">
        <f>MAX(T246:T263)</f>
        <v>3</v>
      </c>
      <c r="AE248" s="23" t="s">
        <v>464</v>
      </c>
      <c r="AF248">
        <v>0</v>
      </c>
      <c r="AG248" s="31"/>
      <c r="AH248" s="31"/>
      <c r="AJ248" s="34"/>
      <c r="AK248" s="23" t="s">
        <v>77</v>
      </c>
      <c r="AL248">
        <v>9</v>
      </c>
      <c r="AM248" s="31"/>
      <c r="AN248" s="31"/>
      <c r="AO248" s="24"/>
      <c r="AQ248" s="49"/>
      <c r="AR248" s="33"/>
      <c r="AS248" s="24"/>
      <c r="AT248" s="24"/>
      <c r="AU248" s="24"/>
      <c r="AW248" s="49"/>
      <c r="AX248" s="33"/>
      <c r="AY248" s="33"/>
      <c r="AZ248" s="33"/>
      <c r="BA248" s="24"/>
      <c r="BC248" s="49"/>
      <c r="BD248" s="33"/>
      <c r="BE248" s="33"/>
      <c r="BF248" s="33"/>
      <c r="BG248" s="24"/>
      <c r="BH248" s="34"/>
      <c r="BI248" s="23" t="s">
        <v>384</v>
      </c>
      <c r="BJ248">
        <v>0</v>
      </c>
      <c r="BK248" s="31" t="s">
        <v>138</v>
      </c>
      <c r="BL248" s="31">
        <f>AVERAGE(BJ244:BJ255)</f>
        <v>0.25</v>
      </c>
      <c r="BN248" s="34"/>
      <c r="BO248" s="23" t="s">
        <v>403</v>
      </c>
      <c r="BP248">
        <v>0</v>
      </c>
      <c r="BQ248" s="31"/>
      <c r="BR248" s="33"/>
      <c r="BT248" s="34"/>
      <c r="BU248" s="22" t="s">
        <v>422</v>
      </c>
      <c r="BV248" s="22">
        <v>0</v>
      </c>
      <c r="BW248" s="31"/>
      <c r="BX248" s="31"/>
      <c r="BZ248" s="34"/>
      <c r="CF248" s="36"/>
      <c r="CL248" s="36"/>
      <c r="CR248" s="36"/>
    </row>
    <row r="249" spans="19:96" ht="15" x14ac:dyDescent="0.25">
      <c r="S249" s="23" t="s">
        <v>492</v>
      </c>
      <c r="T249">
        <v>0</v>
      </c>
      <c r="U249" s="31" t="s">
        <v>129</v>
      </c>
      <c r="V249" s="27">
        <f>VAR(T246:T263)</f>
        <v>0.5</v>
      </c>
      <c r="AE249" s="23" t="s">
        <v>465</v>
      </c>
      <c r="AF249">
        <v>0</v>
      </c>
      <c r="AG249" s="31"/>
      <c r="AH249" s="31"/>
      <c r="AJ249" s="34"/>
      <c r="AK249" s="23" t="s">
        <v>341</v>
      </c>
      <c r="AL249">
        <v>6</v>
      </c>
      <c r="AM249" s="31"/>
      <c r="AN249" s="31"/>
      <c r="AO249" s="24"/>
      <c r="AQ249" s="49"/>
      <c r="AR249" s="33"/>
      <c r="AS249" s="24"/>
      <c r="AT249" s="24"/>
      <c r="AU249" s="24"/>
      <c r="AW249" s="49"/>
      <c r="AX249" s="33"/>
      <c r="AY249" s="33"/>
      <c r="AZ249" s="33"/>
      <c r="BA249" s="24"/>
      <c r="BC249" s="49"/>
      <c r="BD249" s="33"/>
      <c r="BE249" s="33"/>
      <c r="BF249" s="33"/>
      <c r="BG249" s="24"/>
      <c r="BH249" s="34"/>
      <c r="BI249" s="23" t="s">
        <v>385</v>
      </c>
      <c r="BJ249">
        <v>0</v>
      </c>
      <c r="BK249" s="31" t="s">
        <v>144</v>
      </c>
      <c r="BL249" s="31">
        <f>STDEV(BJ244:BJ255)</f>
        <v>0.45226701686664544</v>
      </c>
      <c r="BN249" s="34"/>
      <c r="BO249" s="23" t="s">
        <v>404</v>
      </c>
      <c r="BP249">
        <v>0</v>
      </c>
      <c r="BQ249" s="31"/>
      <c r="BR249" s="33"/>
      <c r="BT249" s="34"/>
      <c r="BU249" s="23" t="s">
        <v>423</v>
      </c>
      <c r="BV249" s="22">
        <v>0</v>
      </c>
      <c r="BW249" s="31"/>
      <c r="BX249" s="31"/>
      <c r="BZ249" s="34"/>
      <c r="CF249" s="36"/>
      <c r="CL249" s="36"/>
      <c r="CR249" s="36"/>
    </row>
    <row r="250" spans="19:96" ht="15" x14ac:dyDescent="0.25">
      <c r="S250" s="23" t="s">
        <v>493</v>
      </c>
      <c r="T250">
        <v>0</v>
      </c>
      <c r="U250" s="31" t="s">
        <v>138</v>
      </c>
      <c r="V250" s="27">
        <f>AVERAGE(T246:T263)</f>
        <v>0.16666666666666666</v>
      </c>
      <c r="AE250" s="23" t="s">
        <v>466</v>
      </c>
      <c r="AF250">
        <v>0</v>
      </c>
      <c r="AG250" s="31"/>
      <c r="AH250" s="31"/>
      <c r="AJ250" s="34"/>
      <c r="AK250" s="23" t="s">
        <v>342</v>
      </c>
      <c r="AL250">
        <v>8</v>
      </c>
      <c r="AM250" s="31"/>
      <c r="AN250" s="31"/>
      <c r="AO250" s="24"/>
      <c r="AQ250" s="49"/>
      <c r="AR250" s="33"/>
      <c r="AS250" s="24"/>
      <c r="AT250" s="24"/>
      <c r="AU250" s="24"/>
      <c r="AW250" s="49"/>
      <c r="AX250" s="33"/>
      <c r="AY250" s="33"/>
      <c r="AZ250" s="33"/>
      <c r="BA250" s="24"/>
      <c r="BC250" s="49"/>
      <c r="BD250" s="33"/>
      <c r="BE250" s="33"/>
      <c r="BF250" s="33"/>
      <c r="BG250" s="24"/>
      <c r="BH250" s="34"/>
      <c r="BI250" s="23" t="s">
        <v>386</v>
      </c>
      <c r="BJ250">
        <v>0</v>
      </c>
      <c r="BK250" s="31"/>
      <c r="BL250" s="31"/>
      <c r="BN250" s="34"/>
      <c r="BO250" s="23" t="s">
        <v>405</v>
      </c>
      <c r="BP250">
        <v>0</v>
      </c>
      <c r="BQ250" s="31"/>
      <c r="BR250" s="33"/>
      <c r="BT250" s="34"/>
      <c r="BU250" s="22" t="s">
        <v>424</v>
      </c>
      <c r="BV250" s="22">
        <v>0</v>
      </c>
      <c r="BW250" s="31"/>
      <c r="BX250" s="31"/>
      <c r="BZ250" s="34"/>
      <c r="CF250" s="36"/>
      <c r="CL250" s="36"/>
      <c r="CR250" s="36"/>
    </row>
    <row r="251" spans="19:96" ht="15" x14ac:dyDescent="0.25">
      <c r="S251" s="23" t="s">
        <v>494</v>
      </c>
      <c r="T251">
        <v>0</v>
      </c>
      <c r="U251" s="31" t="s">
        <v>144</v>
      </c>
      <c r="V251" s="27">
        <f>STDEV(T246:T263)</f>
        <v>0.70710678118654757</v>
      </c>
      <c r="AE251" s="23" t="s">
        <v>467</v>
      </c>
      <c r="AF251">
        <v>0</v>
      </c>
      <c r="AG251" s="31"/>
      <c r="AH251" s="31"/>
      <c r="AJ251" s="34"/>
      <c r="AK251" s="23" t="s">
        <v>343</v>
      </c>
      <c r="AL251">
        <v>15</v>
      </c>
      <c r="AM251" s="31"/>
      <c r="AN251" s="31"/>
      <c r="AO251" s="24"/>
      <c r="AQ251" s="49"/>
      <c r="AR251" s="33"/>
      <c r="AS251" s="24"/>
      <c r="AT251" s="24"/>
      <c r="AU251" s="24"/>
      <c r="AW251" s="25"/>
      <c r="AX251" s="33"/>
      <c r="AY251" s="24"/>
      <c r="AZ251" s="24"/>
      <c r="BA251" s="24"/>
      <c r="BC251" s="25"/>
      <c r="BD251" s="33"/>
      <c r="BE251" s="24"/>
      <c r="BF251" s="24"/>
      <c r="BG251" s="24"/>
      <c r="BH251" s="34"/>
      <c r="BI251" s="23" t="s">
        <v>387</v>
      </c>
      <c r="BJ251">
        <v>0</v>
      </c>
      <c r="BK251" s="33"/>
      <c r="BL251" s="33"/>
      <c r="BN251" s="34"/>
      <c r="BO251" s="23" t="s">
        <v>406</v>
      </c>
      <c r="BP251">
        <v>0</v>
      </c>
      <c r="BQ251" s="31"/>
      <c r="BR251" s="31"/>
      <c r="BT251" s="34"/>
      <c r="BU251" s="23" t="s">
        <v>425</v>
      </c>
      <c r="BV251" s="22">
        <v>0</v>
      </c>
      <c r="BW251" s="31"/>
      <c r="BX251" s="31"/>
      <c r="BZ251" s="34"/>
      <c r="CF251" s="36"/>
      <c r="CL251" s="36"/>
      <c r="CR251" s="36"/>
    </row>
    <row r="252" spans="19:96" ht="15" x14ac:dyDescent="0.25">
      <c r="S252" s="23" t="s">
        <v>495</v>
      </c>
      <c r="T252">
        <v>0</v>
      </c>
      <c r="U252" s="27"/>
      <c r="V252" s="27"/>
      <c r="AE252" s="23" t="s">
        <v>468</v>
      </c>
      <c r="AF252">
        <v>0</v>
      </c>
      <c r="AG252" s="31"/>
      <c r="AH252" s="31"/>
      <c r="AJ252" s="34"/>
      <c r="AK252" s="108"/>
      <c r="AL252" s="94"/>
      <c r="AM252" s="34"/>
      <c r="AN252" s="34"/>
      <c r="AO252" s="34"/>
      <c r="AQ252" s="49"/>
      <c r="AR252" s="33"/>
      <c r="AS252" s="24"/>
      <c r="AT252" s="24"/>
      <c r="AU252" s="24"/>
      <c r="AW252" s="49"/>
      <c r="AX252" s="33"/>
      <c r="AY252" s="24"/>
      <c r="AZ252" s="24"/>
      <c r="BA252" s="24"/>
      <c r="BC252" s="49"/>
      <c r="BD252" s="33"/>
      <c r="BE252" s="24"/>
      <c r="BF252" s="24"/>
      <c r="BG252" s="24"/>
      <c r="BH252" s="34"/>
      <c r="BI252" s="23" t="s">
        <v>139</v>
      </c>
      <c r="BJ252">
        <v>0</v>
      </c>
      <c r="BK252" s="33"/>
      <c r="BL252" s="33"/>
      <c r="BN252" s="34"/>
      <c r="BO252" s="23" t="s">
        <v>407</v>
      </c>
      <c r="BP252">
        <v>0</v>
      </c>
      <c r="BQ252" s="31"/>
      <c r="BR252" s="31"/>
      <c r="BT252" s="34"/>
      <c r="BU252" s="23" t="s">
        <v>426</v>
      </c>
      <c r="BV252" s="22">
        <v>0</v>
      </c>
      <c r="BW252" s="31"/>
      <c r="BX252" s="31"/>
      <c r="BZ252" s="34"/>
      <c r="CF252" s="36"/>
      <c r="CL252" s="36"/>
      <c r="CR252" s="36"/>
    </row>
    <row r="253" spans="19:96" ht="15" x14ac:dyDescent="0.25">
      <c r="S253" s="23" t="s">
        <v>496</v>
      </c>
      <c r="T253">
        <v>0</v>
      </c>
      <c r="U253" s="27"/>
      <c r="V253" s="27"/>
      <c r="AE253" s="23" t="s">
        <v>469</v>
      </c>
      <c r="AF253">
        <v>0</v>
      </c>
      <c r="AG253" s="31"/>
      <c r="AH253" s="31"/>
      <c r="AJ253" s="34"/>
      <c r="AL253" s="32"/>
      <c r="AO253" s="24"/>
      <c r="AQ253" s="49"/>
      <c r="AR253" s="33"/>
      <c r="AS253" s="24"/>
      <c r="AT253" s="24"/>
      <c r="AU253" s="24"/>
      <c r="AW253" s="49"/>
      <c r="AX253" s="33"/>
      <c r="AY253" s="24"/>
      <c r="AZ253" s="24"/>
      <c r="BA253" s="24"/>
      <c r="BC253" s="49"/>
      <c r="BD253" s="33"/>
      <c r="BE253" s="24"/>
      <c r="BF253" s="24"/>
      <c r="BG253" s="24"/>
      <c r="BH253" s="34"/>
      <c r="BI253" s="23" t="s">
        <v>156</v>
      </c>
      <c r="BJ253">
        <v>0</v>
      </c>
      <c r="BK253" s="31"/>
      <c r="BL253" s="31"/>
      <c r="BN253" s="34"/>
      <c r="BO253" s="34"/>
      <c r="BP253" s="34"/>
      <c r="BQ253" s="34"/>
      <c r="BR253" s="34"/>
      <c r="BS253" s="34"/>
      <c r="BT253" s="34"/>
      <c r="BU253" s="23" t="s">
        <v>427</v>
      </c>
      <c r="BV253" s="22">
        <v>0</v>
      </c>
      <c r="BW253" s="31"/>
      <c r="BX253" s="31"/>
      <c r="BZ253" s="34"/>
      <c r="CF253" s="36"/>
      <c r="CL253" s="36"/>
      <c r="CR253" s="36"/>
    </row>
    <row r="254" spans="19:96" ht="15" x14ac:dyDescent="0.25">
      <c r="S254" s="23" t="s">
        <v>389</v>
      </c>
      <c r="T254">
        <v>0</v>
      </c>
      <c r="U254" s="27"/>
      <c r="V254" s="27"/>
      <c r="AE254" s="23" t="s">
        <v>470</v>
      </c>
      <c r="AF254">
        <v>0</v>
      </c>
      <c r="AG254" s="31"/>
      <c r="AH254" s="31"/>
      <c r="AJ254" s="34"/>
      <c r="AL254" s="12"/>
      <c r="AO254" s="24"/>
      <c r="AQ254" s="49"/>
      <c r="AR254" s="33"/>
      <c r="AS254" s="24"/>
      <c r="AT254" s="24"/>
      <c r="AU254" s="24"/>
      <c r="AW254" s="49"/>
      <c r="AX254" s="33"/>
      <c r="AY254" s="24"/>
      <c r="AZ254" s="24"/>
      <c r="BA254" s="24"/>
      <c r="BC254" s="49"/>
      <c r="BD254" s="33"/>
      <c r="BE254" s="24"/>
      <c r="BF254" s="24"/>
      <c r="BG254" s="24"/>
      <c r="BH254" s="34"/>
      <c r="BI254" s="23" t="s">
        <v>388</v>
      </c>
      <c r="BJ254">
        <v>0</v>
      </c>
      <c r="BK254" s="31"/>
      <c r="BL254" s="31"/>
      <c r="BN254" s="34"/>
      <c r="BO254" s="19" t="s">
        <v>100</v>
      </c>
      <c r="BP254" s="35" t="s">
        <v>540</v>
      </c>
      <c r="BR254" s="19">
        <v>2014</v>
      </c>
      <c r="BT254" s="34"/>
      <c r="BU254" s="23" t="s">
        <v>428</v>
      </c>
      <c r="BV254" s="22">
        <v>0</v>
      </c>
      <c r="BW254" s="31"/>
      <c r="BX254" s="31"/>
      <c r="BZ254" s="34"/>
      <c r="CF254" s="36"/>
      <c r="CL254" s="36"/>
      <c r="CR254" s="36"/>
    </row>
    <row r="255" spans="19:96" ht="15" x14ac:dyDescent="0.25">
      <c r="S255" s="23" t="s">
        <v>497</v>
      </c>
      <c r="T255">
        <v>0</v>
      </c>
      <c r="U255" s="27"/>
      <c r="V255" s="27"/>
      <c r="AE255" s="23" t="s">
        <v>471</v>
      </c>
      <c r="AF255">
        <v>0</v>
      </c>
      <c r="AG255" s="31"/>
      <c r="AH255" s="31"/>
      <c r="AJ255" s="34"/>
      <c r="AK255" s="31"/>
      <c r="AL255" s="31"/>
      <c r="AM255" s="31"/>
      <c r="AN255" s="31"/>
      <c r="AO255" s="24"/>
      <c r="AQ255" s="49"/>
      <c r="AR255" s="33"/>
      <c r="AS255" s="24"/>
      <c r="AT255" s="24"/>
      <c r="AU255" s="24"/>
      <c r="AW255" s="49"/>
      <c r="AX255" s="33"/>
      <c r="AY255" s="24"/>
      <c r="AZ255" s="24"/>
      <c r="BA255" s="24"/>
      <c r="BC255" s="49"/>
      <c r="BD255" s="33"/>
      <c r="BE255" s="24"/>
      <c r="BF255" s="24"/>
      <c r="BG255" s="24"/>
      <c r="BH255" s="34"/>
      <c r="BI255" s="23" t="s">
        <v>389</v>
      </c>
      <c r="BJ255">
        <v>1</v>
      </c>
      <c r="BK255" s="31"/>
      <c r="BL255" s="31"/>
      <c r="BN255" s="34"/>
      <c r="BP255" s="12" t="s">
        <v>25</v>
      </c>
      <c r="BT255" s="34"/>
      <c r="BU255" s="23" t="s">
        <v>429</v>
      </c>
      <c r="BV255" s="22">
        <v>0</v>
      </c>
      <c r="BW255" s="31"/>
      <c r="BX255" s="31"/>
      <c r="BZ255" s="34"/>
      <c r="CF255" s="36"/>
      <c r="CL255" s="36"/>
      <c r="CR255" s="36"/>
    </row>
    <row r="256" spans="19:96" ht="15" x14ac:dyDescent="0.25">
      <c r="S256" s="23" t="s">
        <v>498</v>
      </c>
      <c r="T256">
        <v>0</v>
      </c>
      <c r="U256" s="27"/>
      <c r="V256" s="27"/>
      <c r="AE256" s="23" t="s">
        <v>472</v>
      </c>
      <c r="AF256">
        <v>1</v>
      </c>
      <c r="AJ256" s="34"/>
      <c r="AK256" s="23"/>
      <c r="AL256"/>
      <c r="AM256" s="31"/>
      <c r="AN256" s="31"/>
      <c r="AO256" s="24"/>
      <c r="AQ256" s="49"/>
      <c r="AR256" s="33"/>
      <c r="AS256" s="24"/>
      <c r="AT256" s="24"/>
      <c r="AU256" s="24"/>
      <c r="AW256" s="49"/>
      <c r="AX256" s="33"/>
      <c r="AY256" s="24"/>
      <c r="AZ256" s="24"/>
      <c r="BA256" s="24"/>
      <c r="BC256" s="49"/>
      <c r="BD256" s="33"/>
      <c r="BE256" s="24"/>
      <c r="BF256" s="24"/>
      <c r="BG256" s="24"/>
      <c r="BH256" s="34"/>
      <c r="BI256" s="43"/>
      <c r="BN256" s="34"/>
      <c r="BO256" s="31" t="s">
        <v>102</v>
      </c>
      <c r="BP256" s="31" t="s">
        <v>71</v>
      </c>
      <c r="BQ256" s="31" t="s">
        <v>103</v>
      </c>
      <c r="BR256" s="31" t="s">
        <v>104</v>
      </c>
      <c r="BT256" s="34"/>
      <c r="BU256" s="23" t="s">
        <v>430</v>
      </c>
      <c r="BV256" s="22">
        <v>0</v>
      </c>
      <c r="BW256" s="31"/>
      <c r="BX256" s="31"/>
      <c r="BZ256" s="34"/>
      <c r="CF256" s="36"/>
      <c r="CL256" s="36"/>
      <c r="CR256" s="36"/>
    </row>
    <row r="257" spans="18:96" ht="15" x14ac:dyDescent="0.25">
      <c r="S257" s="23" t="s">
        <v>499</v>
      </c>
      <c r="T257">
        <v>0</v>
      </c>
      <c r="U257" s="27"/>
      <c r="V257" s="27"/>
      <c r="AE257" s="23" t="s">
        <v>362</v>
      </c>
      <c r="AF257">
        <v>1</v>
      </c>
      <c r="AJ257" s="34"/>
      <c r="AK257" s="23"/>
      <c r="AL257"/>
      <c r="AM257" s="31"/>
      <c r="AN257" s="31"/>
      <c r="AO257" s="24"/>
      <c r="AQ257" s="49"/>
      <c r="AR257" s="33"/>
      <c r="AS257" s="24"/>
      <c r="AT257" s="24"/>
      <c r="AU257" s="24"/>
      <c r="AW257" s="49"/>
      <c r="AX257" s="33"/>
      <c r="AY257" s="24"/>
      <c r="AZ257" s="24"/>
      <c r="BA257" s="24"/>
      <c r="BC257" s="49"/>
      <c r="BD257" s="33"/>
      <c r="BE257" s="24"/>
      <c r="BF257" s="24"/>
      <c r="BG257" s="24"/>
      <c r="BH257" s="34"/>
      <c r="BI257" s="34"/>
      <c r="BJ257" s="34"/>
      <c r="BK257" s="34"/>
      <c r="BL257" s="34"/>
      <c r="BM257" s="34"/>
      <c r="BN257" s="34"/>
      <c r="BO257" s="23" t="s">
        <v>390</v>
      </c>
      <c r="BP257">
        <v>0</v>
      </c>
      <c r="BQ257" s="31" t="s">
        <v>106</v>
      </c>
      <c r="BR257" s="31">
        <f>SUM(BP257:BP275)</f>
        <v>1</v>
      </c>
      <c r="BT257" s="34"/>
      <c r="BU257" s="23" t="s">
        <v>431</v>
      </c>
      <c r="BV257" s="22">
        <v>0</v>
      </c>
      <c r="BW257" s="31"/>
      <c r="BX257" s="31"/>
      <c r="BZ257" s="34"/>
      <c r="CF257" s="36"/>
      <c r="CL257" s="36"/>
      <c r="CR257" s="36"/>
    </row>
    <row r="258" spans="18:96" ht="15" x14ac:dyDescent="0.25">
      <c r="S258" s="23" t="s">
        <v>500</v>
      </c>
      <c r="T258">
        <v>0</v>
      </c>
      <c r="U258" s="27"/>
      <c r="V258" s="27"/>
      <c r="AE258" s="23" t="s">
        <v>473</v>
      </c>
      <c r="AF258">
        <v>0</v>
      </c>
      <c r="AH258" s="24"/>
      <c r="AJ258" s="34"/>
      <c r="AK258" s="23"/>
      <c r="AL258"/>
      <c r="AM258" s="31"/>
      <c r="AN258" s="31"/>
      <c r="AO258" s="24"/>
      <c r="AQ258" s="58"/>
      <c r="AR258" s="57"/>
      <c r="AS258" s="36"/>
      <c r="AT258" s="36"/>
      <c r="AU258" s="36"/>
      <c r="AV258" s="36"/>
      <c r="AW258" s="58"/>
      <c r="AX258" s="57"/>
      <c r="AY258" s="36"/>
      <c r="AZ258" s="36"/>
      <c r="BA258" s="36"/>
      <c r="BB258" s="36"/>
      <c r="BC258" s="36"/>
      <c r="BD258" s="57"/>
      <c r="BE258" s="36"/>
      <c r="BF258" s="36"/>
      <c r="BG258" s="36"/>
      <c r="BH258" s="36"/>
      <c r="BI258" s="36"/>
      <c r="BJ258" s="36"/>
      <c r="BK258" s="36"/>
      <c r="BL258" s="36"/>
      <c r="BM258" s="36"/>
      <c r="BN258" s="34"/>
      <c r="BO258" s="23" t="s">
        <v>391</v>
      </c>
      <c r="BP258">
        <v>0</v>
      </c>
      <c r="BQ258" s="31" t="s">
        <v>115</v>
      </c>
      <c r="BR258" s="31">
        <f>MIN(BP257:BP275)</f>
        <v>0</v>
      </c>
      <c r="BT258" s="34"/>
      <c r="BU258" s="23" t="s">
        <v>432</v>
      </c>
      <c r="BV258" s="22">
        <v>0</v>
      </c>
      <c r="BW258" s="31"/>
      <c r="BX258" s="31"/>
      <c r="BY258" s="36"/>
      <c r="BZ258" s="34"/>
      <c r="CA258" s="36"/>
      <c r="CB258" s="36"/>
      <c r="CC258" s="36"/>
      <c r="CD258" s="36"/>
      <c r="CE258" s="36"/>
      <c r="CF258" s="36"/>
      <c r="CL258" s="36"/>
      <c r="CR258" s="36"/>
    </row>
    <row r="259" spans="18:96" ht="15" x14ac:dyDescent="0.25">
      <c r="S259" s="23" t="s">
        <v>501</v>
      </c>
      <c r="T259">
        <v>0</v>
      </c>
      <c r="U259" s="27"/>
      <c r="V259" s="27"/>
      <c r="AE259" s="23" t="s">
        <v>474</v>
      </c>
      <c r="AF259">
        <v>0</v>
      </c>
      <c r="AH259" s="24"/>
      <c r="AJ259" s="34"/>
      <c r="AK259" s="23"/>
      <c r="AL259"/>
      <c r="AM259" s="31"/>
      <c r="AN259" s="31"/>
      <c r="AO259" s="24"/>
      <c r="AQ259" s="58"/>
      <c r="AR259" s="57"/>
      <c r="AS259" s="36"/>
      <c r="AT259" s="36"/>
      <c r="AU259" s="36"/>
      <c r="AV259" s="36"/>
      <c r="AW259" s="58"/>
      <c r="AX259" s="57"/>
      <c r="AY259" s="36"/>
      <c r="AZ259" s="36"/>
      <c r="BA259" s="36"/>
      <c r="BB259" s="36"/>
      <c r="BC259" s="36"/>
      <c r="BD259" s="57"/>
      <c r="BE259" s="36"/>
      <c r="BF259" s="36"/>
      <c r="BG259" s="36"/>
      <c r="BH259" s="36"/>
      <c r="BI259" s="36"/>
      <c r="BJ259" s="36"/>
      <c r="BK259" s="36"/>
      <c r="BL259" s="36"/>
      <c r="BM259" s="36"/>
      <c r="BN259" s="34"/>
      <c r="BO259" s="23" t="s">
        <v>392</v>
      </c>
      <c r="BP259">
        <v>0</v>
      </c>
      <c r="BQ259" s="31" t="s">
        <v>122</v>
      </c>
      <c r="BR259" s="31">
        <f>MAX(BP257:BP275)</f>
        <v>1</v>
      </c>
      <c r="BT259" s="34"/>
      <c r="BU259" s="23" t="s">
        <v>433</v>
      </c>
      <c r="BV259" s="22">
        <v>0</v>
      </c>
      <c r="BW259" s="31"/>
      <c r="BX259" s="31"/>
      <c r="BY259" s="36"/>
      <c r="BZ259" s="34"/>
      <c r="CA259" s="36"/>
      <c r="CB259" s="36"/>
      <c r="CC259" s="36"/>
      <c r="CD259" s="36"/>
      <c r="CE259" s="36"/>
      <c r="CF259" s="36"/>
      <c r="CL259" s="36"/>
      <c r="CR259" s="36"/>
    </row>
    <row r="260" spans="18:96" ht="15" x14ac:dyDescent="0.25">
      <c r="S260" s="23" t="s">
        <v>502</v>
      </c>
      <c r="T260">
        <v>0</v>
      </c>
      <c r="U260" s="27"/>
      <c r="V260" s="27"/>
      <c r="AE260" s="23" t="s">
        <v>475</v>
      </c>
      <c r="AF260">
        <v>0</v>
      </c>
      <c r="AJ260" s="34"/>
      <c r="AK260" s="23"/>
      <c r="AL260"/>
      <c r="AM260" s="31"/>
      <c r="AN260" s="31"/>
      <c r="AO260" s="24"/>
      <c r="AQ260" s="49"/>
      <c r="AR260" s="33"/>
      <c r="AS260" s="24"/>
      <c r="AT260" s="24"/>
      <c r="AU260" s="24"/>
      <c r="AV260" s="24"/>
      <c r="AW260" s="49"/>
      <c r="AX260" s="33"/>
      <c r="AY260" s="24"/>
      <c r="AZ260" s="24"/>
      <c r="BA260" s="24"/>
      <c r="BB260" s="24"/>
      <c r="BC260" s="49"/>
      <c r="BD260" s="33"/>
      <c r="BE260" s="24"/>
      <c r="BF260" s="24"/>
      <c r="BG260" s="24"/>
      <c r="BN260" s="34"/>
      <c r="BO260" s="23" t="s">
        <v>393</v>
      </c>
      <c r="BP260">
        <v>0</v>
      </c>
      <c r="BQ260" s="31" t="s">
        <v>129</v>
      </c>
      <c r="BR260" s="31">
        <f>VAR(BP257:BP275)</f>
        <v>5.2631578947368425E-2</v>
      </c>
      <c r="BT260" s="34"/>
      <c r="BU260" s="23" t="s">
        <v>434</v>
      </c>
      <c r="BV260" s="22">
        <v>0</v>
      </c>
      <c r="BW260" s="31"/>
      <c r="BX260" s="31"/>
      <c r="BZ260" s="34"/>
      <c r="CF260" s="24"/>
      <c r="CL260" s="24"/>
      <c r="CR260" s="24"/>
    </row>
    <row r="261" spans="18:96" ht="15" x14ac:dyDescent="0.25">
      <c r="S261" s="23" t="s">
        <v>350</v>
      </c>
      <c r="T261">
        <v>0</v>
      </c>
      <c r="U261" s="27"/>
      <c r="V261" s="27"/>
      <c r="AE261" s="34"/>
      <c r="AF261" s="34"/>
      <c r="AG261" s="34"/>
      <c r="AH261" s="34"/>
      <c r="AI261" s="34"/>
      <c r="AJ261" s="34"/>
      <c r="AK261" s="23"/>
      <c r="AL261"/>
      <c r="AM261" s="31"/>
      <c r="AN261" s="31"/>
      <c r="AO261" s="24"/>
      <c r="AQ261" s="49"/>
      <c r="AR261" s="33"/>
      <c r="AS261" s="24"/>
      <c r="AT261" s="24"/>
      <c r="AU261" s="24"/>
      <c r="AV261" s="24"/>
      <c r="AW261" s="49"/>
      <c r="AX261" s="33"/>
      <c r="AY261" s="24"/>
      <c r="AZ261" s="24"/>
      <c r="BA261" s="24"/>
      <c r="BB261" s="24"/>
      <c r="BC261" s="49"/>
      <c r="BD261" s="33"/>
      <c r="BE261" s="24"/>
      <c r="BF261" s="24"/>
      <c r="BG261" s="24"/>
      <c r="BN261" s="34"/>
      <c r="BO261" s="23" t="s">
        <v>394</v>
      </c>
      <c r="BP261">
        <v>0</v>
      </c>
      <c r="BQ261" s="31" t="s">
        <v>138</v>
      </c>
      <c r="BR261" s="31">
        <f>AVERAGE(BP257:BP275)</f>
        <v>5.2631578947368418E-2</v>
      </c>
      <c r="BT261" s="34"/>
      <c r="BU261" s="34"/>
      <c r="BV261" s="34"/>
      <c r="BW261" s="34"/>
      <c r="BX261" s="34"/>
      <c r="BY261" s="34"/>
      <c r="BZ261" s="34"/>
      <c r="CF261" s="24"/>
      <c r="CL261" s="24"/>
      <c r="CR261" s="24"/>
    </row>
    <row r="262" spans="18:96" ht="15" x14ac:dyDescent="0.25">
      <c r="S262" s="23" t="s">
        <v>503</v>
      </c>
      <c r="T262">
        <v>0</v>
      </c>
      <c r="U262" s="27"/>
      <c r="V262" s="27"/>
      <c r="AE262" s="31" t="s">
        <v>100</v>
      </c>
      <c r="AF262" s="32" t="s">
        <v>67</v>
      </c>
      <c r="AG262" s="31"/>
      <c r="AH262" s="31"/>
      <c r="AJ262" s="34"/>
      <c r="AK262" s="23"/>
      <c r="AL262"/>
      <c r="AM262" s="31"/>
      <c r="AN262" s="31"/>
      <c r="AO262" s="24"/>
      <c r="AQ262" s="25"/>
      <c r="AR262" s="33"/>
      <c r="AS262" s="24"/>
      <c r="AT262" s="24"/>
      <c r="AU262" s="24"/>
      <c r="AV262" s="24"/>
      <c r="AW262" s="49"/>
      <c r="AX262" s="33"/>
      <c r="AY262" s="24"/>
      <c r="AZ262" s="24"/>
      <c r="BA262" s="24"/>
      <c r="BB262" s="24"/>
      <c r="BC262" s="49"/>
      <c r="BD262" s="33"/>
      <c r="BE262" s="24"/>
      <c r="BF262" s="24"/>
      <c r="BG262" s="24"/>
      <c r="BN262" s="34"/>
      <c r="BO262" s="23" t="s">
        <v>395</v>
      </c>
      <c r="BP262">
        <v>0</v>
      </c>
      <c r="BQ262" s="31" t="s">
        <v>144</v>
      </c>
      <c r="BR262" s="31">
        <f>STDEV(BP257:BP275)</f>
        <v>0.22941573387056177</v>
      </c>
      <c r="BT262" s="34"/>
      <c r="BU262" s="19" t="s">
        <v>100</v>
      </c>
      <c r="BV262" s="35" t="s">
        <v>61</v>
      </c>
      <c r="BZ262" s="34"/>
      <c r="CF262" s="24"/>
      <c r="CL262" s="24"/>
      <c r="CR262" s="24"/>
    </row>
    <row r="263" spans="18:96" ht="15" x14ac:dyDescent="0.25">
      <c r="S263" s="23" t="s">
        <v>504</v>
      </c>
      <c r="T263">
        <v>0</v>
      </c>
      <c r="U263" s="25"/>
      <c r="V263" s="25"/>
      <c r="AE263" s="31" t="s">
        <v>101</v>
      </c>
      <c r="AF263" s="12" t="s">
        <v>14</v>
      </c>
      <c r="AG263" s="31"/>
      <c r="AH263" s="31"/>
      <c r="AJ263" s="34"/>
      <c r="AK263" s="23"/>
      <c r="AL263"/>
      <c r="AM263" s="31"/>
      <c r="AN263" s="31"/>
      <c r="AO263" s="24"/>
      <c r="AQ263" s="25"/>
      <c r="AR263" s="33"/>
      <c r="AS263" s="24"/>
      <c r="AT263" s="24"/>
      <c r="AU263" s="24"/>
      <c r="AV263" s="24"/>
      <c r="AW263" s="49"/>
      <c r="AX263" s="33"/>
      <c r="AY263" s="24"/>
      <c r="AZ263" s="24"/>
      <c r="BA263" s="24"/>
      <c r="BB263" s="24"/>
      <c r="BC263" s="49"/>
      <c r="BD263" s="33"/>
      <c r="BE263" s="24"/>
      <c r="BF263" s="24"/>
      <c r="BG263" s="24"/>
      <c r="BN263" s="34"/>
      <c r="BO263" s="23" t="s">
        <v>396</v>
      </c>
      <c r="BP263">
        <v>0</v>
      </c>
      <c r="BQ263" s="31"/>
      <c r="BR263" s="31"/>
      <c r="BT263" s="34"/>
      <c r="BV263" s="12" t="s">
        <v>11</v>
      </c>
      <c r="BZ263" s="34"/>
      <c r="CF263" s="24"/>
      <c r="CL263" s="24"/>
      <c r="CR263" s="24"/>
    </row>
    <row r="264" spans="18:96" ht="15" x14ac:dyDescent="0.25">
      <c r="R264" s="34"/>
      <c r="S264" s="34"/>
      <c r="T264" s="34"/>
      <c r="U264" s="34"/>
      <c r="V264" s="34"/>
      <c r="W264" s="34"/>
      <c r="AE264" s="31" t="s">
        <v>102</v>
      </c>
      <c r="AF264" s="31" t="s">
        <v>71</v>
      </c>
      <c r="AG264" s="31" t="s">
        <v>103</v>
      </c>
      <c r="AH264" s="31" t="s">
        <v>104</v>
      </c>
      <c r="AJ264" s="34"/>
      <c r="AK264" s="23"/>
      <c r="AL264"/>
      <c r="AM264" s="31"/>
      <c r="AN264" s="31"/>
      <c r="AO264" s="24"/>
      <c r="AQ264" s="25"/>
      <c r="AR264" s="33"/>
      <c r="AS264" s="24"/>
      <c r="AT264" s="24"/>
      <c r="AU264" s="24"/>
      <c r="AV264" s="24"/>
      <c r="AW264" s="49"/>
      <c r="AX264" s="33"/>
      <c r="AY264" s="24"/>
      <c r="AZ264" s="24"/>
      <c r="BA264" s="24"/>
      <c r="BB264" s="24"/>
      <c r="BC264" s="49"/>
      <c r="BD264" s="33"/>
      <c r="BE264" s="24"/>
      <c r="BF264" s="24"/>
      <c r="BG264" s="24"/>
      <c r="BN264" s="34"/>
      <c r="BO264" s="23" t="s">
        <v>397</v>
      </c>
      <c r="BP264">
        <v>0</v>
      </c>
      <c r="BQ264" s="31"/>
      <c r="BR264" s="31"/>
      <c r="BT264" s="34"/>
      <c r="BU264" s="31" t="s">
        <v>102</v>
      </c>
      <c r="BV264" s="31" t="s">
        <v>71</v>
      </c>
      <c r="BW264" s="31" t="s">
        <v>103</v>
      </c>
      <c r="BX264" s="31" t="s">
        <v>104</v>
      </c>
      <c r="BZ264" s="34"/>
      <c r="CF264" s="24"/>
      <c r="CL264" s="24"/>
      <c r="CR264" s="24"/>
    </row>
    <row r="265" spans="18:96" ht="15" x14ac:dyDescent="0.25">
      <c r="S265" s="27" t="s">
        <v>100</v>
      </c>
      <c r="T265" s="30" t="s">
        <v>524</v>
      </c>
      <c r="U265" s="27"/>
      <c r="V265" s="27">
        <v>2014</v>
      </c>
      <c r="AE265" s="23" t="s">
        <v>453</v>
      </c>
      <c r="AF265">
        <v>0</v>
      </c>
      <c r="AG265" s="31" t="s">
        <v>106</v>
      </c>
      <c r="AH265" s="31">
        <f>SUM(AF265:AF289)</f>
        <v>1</v>
      </c>
      <c r="AJ265" s="34"/>
      <c r="AK265" s="23"/>
      <c r="AL265"/>
      <c r="AM265" s="31"/>
      <c r="AN265" s="31"/>
      <c r="AO265" s="24"/>
      <c r="AQ265" s="25"/>
      <c r="AR265" s="33"/>
      <c r="AS265" s="24"/>
      <c r="AT265" s="24"/>
      <c r="AU265" s="24"/>
      <c r="AV265" s="24"/>
      <c r="AW265" s="49"/>
      <c r="AX265" s="33"/>
      <c r="AY265" s="24"/>
      <c r="AZ265" s="24"/>
      <c r="BA265" s="24"/>
      <c r="BB265" s="24"/>
      <c r="BC265" s="49"/>
      <c r="BD265" s="33"/>
      <c r="BE265" s="24"/>
      <c r="BF265" s="24"/>
      <c r="BG265" s="24"/>
      <c r="BN265" s="34"/>
      <c r="BO265" s="23" t="s">
        <v>398</v>
      </c>
      <c r="BP265">
        <v>0</v>
      </c>
      <c r="BQ265" s="31"/>
      <c r="BR265" s="31"/>
      <c r="BT265" s="34"/>
      <c r="BU265" s="23" t="s">
        <v>412</v>
      </c>
      <c r="BV265" s="22">
        <v>0</v>
      </c>
      <c r="BW265" s="31" t="s">
        <v>106</v>
      </c>
      <c r="BX265" s="31">
        <f>SUM(BV265:BV289)</f>
        <v>1</v>
      </c>
      <c r="BZ265" s="34"/>
      <c r="CF265" s="24"/>
      <c r="CL265" s="24"/>
      <c r="CR265" s="24"/>
    </row>
    <row r="266" spans="18:96" ht="15" x14ac:dyDescent="0.25">
      <c r="S266" s="27" t="s">
        <v>101</v>
      </c>
      <c r="T266" s="12" t="s">
        <v>21</v>
      </c>
      <c r="U266" s="27"/>
      <c r="V266" s="27"/>
      <c r="AE266" s="23" t="s">
        <v>454</v>
      </c>
      <c r="AF266">
        <v>0</v>
      </c>
      <c r="AG266" s="31" t="s">
        <v>115</v>
      </c>
      <c r="AH266" s="31">
        <f>MIN(AF265:AF289)</f>
        <v>0</v>
      </c>
      <c r="AJ266" s="34"/>
      <c r="AK266" s="23"/>
      <c r="AL266"/>
      <c r="AM266" s="31"/>
      <c r="AN266" s="31"/>
      <c r="AO266" s="24"/>
      <c r="AQ266" s="24"/>
      <c r="AR266" s="24"/>
      <c r="AS266" s="24"/>
      <c r="AT266" s="24"/>
      <c r="AU266" s="24"/>
      <c r="AV266" s="24"/>
      <c r="AW266" s="49"/>
      <c r="AX266" s="33"/>
      <c r="AY266" s="24"/>
      <c r="AZ266" s="24"/>
      <c r="BA266" s="24"/>
      <c r="BB266" s="24"/>
      <c r="BC266" s="49"/>
      <c r="BD266" s="33"/>
      <c r="BE266" s="24"/>
      <c r="BF266" s="24"/>
      <c r="BG266" s="24"/>
      <c r="BN266" s="34"/>
      <c r="BO266" s="23" t="s">
        <v>399</v>
      </c>
      <c r="BP266">
        <v>0</v>
      </c>
      <c r="BQ266" s="31"/>
      <c r="BR266" s="31"/>
      <c r="BT266" s="34"/>
      <c r="BU266" s="22" t="s">
        <v>244</v>
      </c>
      <c r="BV266" s="22">
        <v>0</v>
      </c>
      <c r="BW266" s="31" t="s">
        <v>115</v>
      </c>
      <c r="BX266" s="31">
        <f>MIN(BV265:BV289)</f>
        <v>0</v>
      </c>
      <c r="BZ266" s="34"/>
      <c r="CF266" s="24"/>
      <c r="CL266" s="24"/>
      <c r="CR266" s="24"/>
    </row>
    <row r="267" spans="18:96" ht="15" x14ac:dyDescent="0.25">
      <c r="S267" s="27" t="s">
        <v>102</v>
      </c>
      <c r="T267" s="27" t="s">
        <v>71</v>
      </c>
      <c r="U267" s="27" t="s">
        <v>103</v>
      </c>
      <c r="V267" s="27" t="s">
        <v>104</v>
      </c>
      <c r="AE267" s="23" t="s">
        <v>455</v>
      </c>
      <c r="AF267">
        <v>0</v>
      </c>
      <c r="AG267" s="31" t="s">
        <v>122</v>
      </c>
      <c r="AH267" s="31">
        <f>MAX(AF265:AF289)</f>
        <v>1</v>
      </c>
      <c r="AJ267" s="34"/>
      <c r="AK267" s="23"/>
      <c r="AL267"/>
      <c r="AM267" s="31"/>
      <c r="AN267" s="31"/>
      <c r="AO267" s="24"/>
      <c r="AQ267" s="24"/>
      <c r="AR267" s="24"/>
      <c r="AS267" s="24"/>
      <c r="AT267" s="24"/>
      <c r="AU267" s="24"/>
      <c r="AV267" s="24"/>
      <c r="AW267" s="49"/>
      <c r="AX267" s="33"/>
      <c r="AY267" s="24"/>
      <c r="AZ267" s="24"/>
      <c r="BA267" s="24"/>
      <c r="BB267" s="24"/>
      <c r="BC267" s="49"/>
      <c r="BD267" s="33"/>
      <c r="BE267" s="24"/>
      <c r="BF267" s="24"/>
      <c r="BG267" s="24"/>
      <c r="BN267" s="34"/>
      <c r="BO267" s="23" t="s">
        <v>214</v>
      </c>
      <c r="BP267">
        <v>0</v>
      </c>
      <c r="BQ267" s="31"/>
      <c r="BR267" s="31"/>
      <c r="BT267" s="34"/>
      <c r="BU267" s="22" t="s">
        <v>119</v>
      </c>
      <c r="BV267" s="22">
        <v>0</v>
      </c>
      <c r="BW267" s="31" t="s">
        <v>122</v>
      </c>
      <c r="BX267" s="31">
        <f>MAX(BV265:BV289)</f>
        <v>1</v>
      </c>
      <c r="BZ267" s="34"/>
      <c r="CF267" s="24"/>
      <c r="CL267" s="24"/>
      <c r="CR267" s="24"/>
    </row>
    <row r="268" spans="18:96" ht="15" x14ac:dyDescent="0.25">
      <c r="S268" s="23" t="s">
        <v>489</v>
      </c>
      <c r="T268">
        <v>1</v>
      </c>
      <c r="U268" s="31" t="s">
        <v>106</v>
      </c>
      <c r="V268" s="27">
        <f>SUM(T268:T285)</f>
        <v>13</v>
      </c>
      <c r="AE268" s="23" t="s">
        <v>456</v>
      </c>
      <c r="AF268">
        <v>0</v>
      </c>
      <c r="AG268" s="31" t="s">
        <v>129</v>
      </c>
      <c r="AH268" s="31">
        <f>VAR(AF265:AF289)</f>
        <v>0.04</v>
      </c>
      <c r="AJ268" s="34"/>
      <c r="AK268" s="23"/>
      <c r="AL268"/>
      <c r="AM268" s="31"/>
      <c r="AN268" s="31"/>
      <c r="AO268" s="24"/>
      <c r="AQ268" s="33"/>
      <c r="AR268" s="24"/>
      <c r="AS268" s="24"/>
      <c r="AT268" s="24"/>
      <c r="AU268" s="24"/>
      <c r="AV268" s="24"/>
      <c r="AW268" s="49"/>
      <c r="AX268" s="33"/>
      <c r="AY268" s="24"/>
      <c r="AZ268" s="24"/>
      <c r="BA268" s="24"/>
      <c r="BB268" s="24"/>
      <c r="BC268" s="49"/>
      <c r="BD268" s="33"/>
      <c r="BE268" s="24"/>
      <c r="BF268" s="24"/>
      <c r="BG268" s="24"/>
      <c r="BN268" s="34"/>
      <c r="BO268" s="23" t="s">
        <v>400</v>
      </c>
      <c r="BP268">
        <v>0</v>
      </c>
      <c r="BQ268" s="31"/>
      <c r="BR268" s="31"/>
      <c r="BT268" s="34"/>
      <c r="BU268" s="22" t="s">
        <v>413</v>
      </c>
      <c r="BV268" s="22">
        <v>0</v>
      </c>
      <c r="BW268" s="31" t="s">
        <v>129</v>
      </c>
      <c r="BX268" s="31">
        <f>VAR(BV265:BV289)</f>
        <v>0.04</v>
      </c>
      <c r="BZ268" s="34"/>
      <c r="CF268" s="24"/>
      <c r="CL268" s="24"/>
      <c r="CR268" s="24"/>
    </row>
    <row r="269" spans="18:96" ht="15" x14ac:dyDescent="0.25">
      <c r="S269" s="23" t="s">
        <v>490</v>
      </c>
      <c r="T269">
        <v>2</v>
      </c>
      <c r="U269" s="31" t="s">
        <v>115</v>
      </c>
      <c r="V269" s="27">
        <f>MIN(T268:T285)</f>
        <v>0</v>
      </c>
      <c r="AE269" s="23" t="s">
        <v>259</v>
      </c>
      <c r="AF269">
        <v>0</v>
      </c>
      <c r="AG269" s="31" t="s">
        <v>138</v>
      </c>
      <c r="AH269" s="31">
        <f>AVERAGE(AF265:AF289)</f>
        <v>0.04</v>
      </c>
      <c r="AJ269" s="34"/>
      <c r="AK269" s="23"/>
      <c r="AL269"/>
      <c r="AM269" s="31"/>
      <c r="AN269" s="31"/>
      <c r="AO269" s="24"/>
      <c r="AQ269" s="33"/>
      <c r="AR269" s="33"/>
      <c r="AS269" s="33"/>
      <c r="AT269" s="33"/>
      <c r="AU269" s="24"/>
      <c r="AV269" s="24"/>
      <c r="AW269" s="49"/>
      <c r="AX269" s="33"/>
      <c r="AY269" s="24"/>
      <c r="AZ269" s="24"/>
      <c r="BA269" s="24"/>
      <c r="BB269" s="24"/>
      <c r="BC269" s="49"/>
      <c r="BD269" s="33"/>
      <c r="BE269" s="24"/>
      <c r="BF269" s="24"/>
      <c r="BG269" s="24"/>
      <c r="BN269" s="34"/>
      <c r="BO269" s="23" t="s">
        <v>401</v>
      </c>
      <c r="BP269">
        <v>0</v>
      </c>
      <c r="BQ269" s="33"/>
      <c r="BR269" s="33"/>
      <c r="BT269" s="34"/>
      <c r="BU269" s="22" t="s">
        <v>414</v>
      </c>
      <c r="BV269" s="22">
        <v>0</v>
      </c>
      <c r="BW269" s="31" t="s">
        <v>138</v>
      </c>
      <c r="BX269" s="31">
        <f>AVERAGE(BV265:BV289)</f>
        <v>0.04</v>
      </c>
      <c r="BZ269" s="34"/>
      <c r="CF269" s="24"/>
      <c r="CL269" s="24"/>
      <c r="CR269" s="24"/>
    </row>
    <row r="270" spans="18:96" ht="15" x14ac:dyDescent="0.25">
      <c r="S270" s="23" t="s">
        <v>491</v>
      </c>
      <c r="T270">
        <v>4</v>
      </c>
      <c r="U270" s="31" t="s">
        <v>122</v>
      </c>
      <c r="V270" s="27">
        <f>MAX(T268:T285)</f>
        <v>4</v>
      </c>
      <c r="AE270" s="23" t="s">
        <v>457</v>
      </c>
      <c r="AF270">
        <v>0</v>
      </c>
      <c r="AG270" s="31" t="s">
        <v>144</v>
      </c>
      <c r="AH270" s="31">
        <f>STDEV(AF265:AF289)</f>
        <v>0.2</v>
      </c>
      <c r="AJ270" s="34"/>
      <c r="AK270" s="54"/>
      <c r="AL270" s="33"/>
      <c r="AM270" s="33"/>
      <c r="AN270" s="33"/>
      <c r="AO270" s="24"/>
      <c r="AQ270" s="49"/>
      <c r="AR270" s="33"/>
      <c r="AS270" s="33"/>
      <c r="AT270" s="33"/>
      <c r="AU270" s="24"/>
      <c r="AV270" s="24"/>
      <c r="AW270" s="49"/>
      <c r="AX270" s="33"/>
      <c r="AY270" s="24"/>
      <c r="AZ270" s="24"/>
      <c r="BA270" s="24"/>
      <c r="BB270" s="24"/>
      <c r="BC270" s="49"/>
      <c r="BD270" s="33"/>
      <c r="BE270" s="24"/>
      <c r="BF270" s="24"/>
      <c r="BG270" s="24"/>
      <c r="BN270" s="34"/>
      <c r="BO270" s="23" t="s">
        <v>402</v>
      </c>
      <c r="BP270">
        <v>0</v>
      </c>
      <c r="BQ270" s="31"/>
      <c r="BR270" s="33"/>
      <c r="BT270" s="34"/>
      <c r="BU270" s="22" t="s">
        <v>415</v>
      </c>
      <c r="BV270" s="22">
        <v>0</v>
      </c>
      <c r="BW270" s="31" t="s">
        <v>144</v>
      </c>
      <c r="BX270" s="31">
        <f>STDEV(BV265:BV289)</f>
        <v>0.2</v>
      </c>
      <c r="BZ270" s="34"/>
      <c r="CF270" s="24"/>
      <c r="CL270" s="24"/>
      <c r="CR270" s="24"/>
    </row>
    <row r="271" spans="18:96" ht="15" x14ac:dyDescent="0.25">
      <c r="S271" s="23" t="s">
        <v>492</v>
      </c>
      <c r="T271">
        <v>0</v>
      </c>
      <c r="U271" s="31" t="s">
        <v>129</v>
      </c>
      <c r="V271" s="27">
        <f>VAR(T268:T285)</f>
        <v>1.5065359477124183</v>
      </c>
      <c r="AE271" s="23" t="s">
        <v>458</v>
      </c>
      <c r="AF271">
        <v>0</v>
      </c>
      <c r="AG271" s="31"/>
      <c r="AH271" s="31"/>
      <c r="AJ271" s="34"/>
      <c r="AK271" s="90"/>
      <c r="AL271" s="94"/>
      <c r="AM271" s="94"/>
      <c r="AN271" s="94"/>
      <c r="AO271" s="34"/>
      <c r="AQ271" s="49"/>
      <c r="AR271" s="33"/>
      <c r="AS271" s="33"/>
      <c r="AT271" s="33"/>
      <c r="AU271" s="24"/>
      <c r="AV271" s="24"/>
      <c r="AW271" s="49"/>
      <c r="AX271" s="33"/>
      <c r="AY271" s="24"/>
      <c r="AZ271" s="24"/>
      <c r="BA271" s="24"/>
      <c r="BB271" s="24"/>
      <c r="BC271" s="49"/>
      <c r="BD271" s="33"/>
      <c r="BE271" s="24"/>
      <c r="BF271" s="24"/>
      <c r="BG271" s="24"/>
      <c r="BN271" s="34"/>
      <c r="BO271" s="23" t="s">
        <v>403</v>
      </c>
      <c r="BP271">
        <v>0</v>
      </c>
      <c r="BQ271" s="31"/>
      <c r="BR271" s="33"/>
      <c r="BT271" s="34"/>
      <c r="BU271" s="22" t="s">
        <v>416</v>
      </c>
      <c r="BV271" s="22">
        <v>0</v>
      </c>
      <c r="BW271" s="31"/>
      <c r="BX271" s="31"/>
      <c r="BZ271" s="34"/>
      <c r="CF271" s="24"/>
      <c r="CL271" s="24"/>
      <c r="CR271" s="24"/>
    </row>
    <row r="272" spans="18:96" ht="15" x14ac:dyDescent="0.25">
      <c r="S272" s="23" t="s">
        <v>493</v>
      </c>
      <c r="T272">
        <v>2</v>
      </c>
      <c r="U272" s="31" t="s">
        <v>138</v>
      </c>
      <c r="V272" s="27">
        <f>AVERAGE(T268:T285)</f>
        <v>0.72222222222222221</v>
      </c>
      <c r="AE272" s="23" t="s">
        <v>459</v>
      </c>
      <c r="AF272">
        <v>0</v>
      </c>
      <c r="AG272" s="31"/>
      <c r="AH272" s="31"/>
      <c r="AJ272" s="34"/>
      <c r="AK272" s="108"/>
      <c r="AL272" s="94"/>
      <c r="AM272" s="94"/>
      <c r="AN272" s="94"/>
      <c r="AO272" s="34"/>
      <c r="AQ272" s="49"/>
      <c r="AR272" s="33"/>
      <c r="AS272" s="33"/>
      <c r="AT272" s="33"/>
      <c r="AU272" s="24"/>
      <c r="AV272" s="24"/>
      <c r="AW272" s="49"/>
      <c r="AX272" s="33"/>
      <c r="AY272" s="24"/>
      <c r="AZ272" s="24"/>
      <c r="BA272" s="24"/>
      <c r="BB272" s="24"/>
      <c r="BC272" s="49"/>
      <c r="BD272" s="33"/>
      <c r="BE272" s="24"/>
      <c r="BF272" s="24"/>
      <c r="BG272" s="24"/>
      <c r="BN272" s="34"/>
      <c r="BO272" s="23" t="s">
        <v>404</v>
      </c>
      <c r="BP272">
        <v>0</v>
      </c>
      <c r="BQ272" s="31"/>
      <c r="BR272" s="33"/>
      <c r="BT272" s="34"/>
      <c r="BU272" s="22" t="s">
        <v>417</v>
      </c>
      <c r="BV272" s="22">
        <v>0</v>
      </c>
      <c r="BW272" s="31"/>
      <c r="BX272" s="31"/>
      <c r="BZ272" s="34"/>
      <c r="CF272" s="24"/>
      <c r="CL272" s="24"/>
      <c r="CR272" s="24"/>
    </row>
    <row r="273" spans="19:96" ht="15" x14ac:dyDescent="0.25">
      <c r="S273" s="23" t="s">
        <v>494</v>
      </c>
      <c r="T273">
        <v>1</v>
      </c>
      <c r="U273" s="31" t="s">
        <v>144</v>
      </c>
      <c r="V273" s="27">
        <f>STDEV(T268:T285)</f>
        <v>1.2274102605536661</v>
      </c>
      <c r="AE273" s="23" t="s">
        <v>460</v>
      </c>
      <c r="AF273">
        <v>0</v>
      </c>
      <c r="AG273" s="33"/>
      <c r="AH273" s="33"/>
      <c r="AJ273" s="34"/>
      <c r="AK273" s="54"/>
      <c r="AL273" s="33"/>
      <c r="AM273" s="33"/>
      <c r="AN273" s="33"/>
      <c r="AO273" s="24"/>
      <c r="AQ273" s="49"/>
      <c r="AR273" s="33"/>
      <c r="AS273" s="33"/>
      <c r="AT273" s="33"/>
      <c r="AU273" s="24"/>
      <c r="AV273" s="24"/>
      <c r="AW273" s="49"/>
      <c r="AX273" s="33"/>
      <c r="AY273" s="24"/>
      <c r="AZ273" s="24"/>
      <c r="BA273" s="24"/>
      <c r="BB273" s="24"/>
      <c r="BC273" s="49"/>
      <c r="BD273" s="33"/>
      <c r="BE273" s="24"/>
      <c r="BF273" s="24"/>
      <c r="BG273" s="24"/>
      <c r="BN273" s="34"/>
      <c r="BO273" s="23" t="s">
        <v>405</v>
      </c>
      <c r="BP273">
        <v>1</v>
      </c>
      <c r="BQ273" s="31"/>
      <c r="BR273" s="33"/>
      <c r="BT273" s="34"/>
      <c r="BU273" s="22" t="s">
        <v>418</v>
      </c>
      <c r="BV273" s="22">
        <v>0</v>
      </c>
      <c r="BW273" s="31"/>
      <c r="BX273" s="31"/>
      <c r="BZ273" s="34"/>
      <c r="CF273" s="24"/>
      <c r="CL273" s="24"/>
      <c r="CR273" s="24"/>
    </row>
    <row r="274" spans="19:96" ht="15" x14ac:dyDescent="0.25">
      <c r="S274" s="23" t="s">
        <v>495</v>
      </c>
      <c r="T274">
        <v>0</v>
      </c>
      <c r="U274" s="27"/>
      <c r="V274" s="27"/>
      <c r="AE274" s="23" t="s">
        <v>461</v>
      </c>
      <c r="AF274">
        <v>0</v>
      </c>
      <c r="AG274" s="31"/>
      <c r="AH274" s="31"/>
      <c r="AJ274" s="34"/>
      <c r="AK274" s="54"/>
      <c r="AL274" s="33"/>
      <c r="AM274" s="33"/>
      <c r="AN274" s="33"/>
      <c r="AO274" s="24"/>
      <c r="AQ274" s="49"/>
      <c r="AR274" s="33"/>
      <c r="AS274" s="33"/>
      <c r="AT274" s="33"/>
      <c r="AU274" s="24"/>
      <c r="AV274" s="24"/>
      <c r="AW274" s="49"/>
      <c r="AX274" s="33"/>
      <c r="AY274" s="24"/>
      <c r="AZ274" s="24"/>
      <c r="BA274" s="24"/>
      <c r="BB274" s="24"/>
      <c r="BC274" s="49"/>
      <c r="BD274" s="33"/>
      <c r="BE274" s="24"/>
      <c r="BF274" s="24"/>
      <c r="BG274" s="24"/>
      <c r="BN274" s="34"/>
      <c r="BO274" s="23" t="s">
        <v>406</v>
      </c>
      <c r="BP274">
        <v>0</v>
      </c>
      <c r="BQ274" s="31"/>
      <c r="BR274" s="31"/>
      <c r="BT274" s="34"/>
      <c r="BU274" s="22" t="s">
        <v>419</v>
      </c>
      <c r="BV274" s="22">
        <v>0</v>
      </c>
      <c r="BW274" s="31"/>
      <c r="BX274" s="31"/>
      <c r="BZ274" s="34"/>
      <c r="CF274" s="24"/>
      <c r="CL274" s="24"/>
      <c r="CR274" s="24"/>
    </row>
    <row r="275" spans="19:96" ht="15" x14ac:dyDescent="0.25">
      <c r="S275" s="23" t="s">
        <v>496</v>
      </c>
      <c r="T275">
        <v>0</v>
      </c>
      <c r="U275" s="27"/>
      <c r="V275" s="27"/>
      <c r="AE275" s="23" t="s">
        <v>462</v>
      </c>
      <c r="AF275">
        <v>0</v>
      </c>
      <c r="AG275" s="24"/>
      <c r="AH275" s="24"/>
      <c r="AJ275" s="34"/>
      <c r="AK275" s="54"/>
      <c r="AL275" s="33"/>
      <c r="AM275" s="33"/>
      <c r="AN275" s="33"/>
      <c r="AO275" s="24"/>
      <c r="AP275" s="24"/>
      <c r="AQ275" s="49"/>
      <c r="AR275" s="33"/>
      <c r="AS275" s="33"/>
      <c r="AT275" s="33"/>
      <c r="AU275" s="24"/>
      <c r="AV275" s="24"/>
      <c r="AW275" s="49"/>
      <c r="AX275" s="33"/>
      <c r="AY275" s="24"/>
      <c r="AZ275" s="24"/>
      <c r="BA275" s="24"/>
      <c r="BB275" s="24"/>
      <c r="BC275" s="49"/>
      <c r="BD275" s="33"/>
      <c r="BE275" s="24"/>
      <c r="BF275" s="24"/>
      <c r="BG275" s="24"/>
      <c r="BN275" s="34"/>
      <c r="BO275" s="23" t="s">
        <v>407</v>
      </c>
      <c r="BP275">
        <v>0</v>
      </c>
      <c r="BQ275" s="31"/>
      <c r="BR275" s="31"/>
      <c r="BT275" s="34"/>
      <c r="BU275" s="22" t="s">
        <v>420</v>
      </c>
      <c r="BV275" s="22">
        <v>0</v>
      </c>
      <c r="BW275" s="31"/>
      <c r="BX275" s="31"/>
      <c r="BZ275" s="34"/>
      <c r="CF275" s="24"/>
      <c r="CL275" s="24"/>
      <c r="CR275" s="24"/>
    </row>
    <row r="276" spans="19:96" ht="15" x14ac:dyDescent="0.25">
      <c r="S276" s="23" t="s">
        <v>389</v>
      </c>
      <c r="T276">
        <v>3</v>
      </c>
      <c r="U276" s="27"/>
      <c r="V276" s="27"/>
      <c r="AE276" s="23" t="s">
        <v>463</v>
      </c>
      <c r="AF276">
        <v>0</v>
      </c>
      <c r="AG276" s="31"/>
      <c r="AH276" s="31"/>
      <c r="AJ276" s="34"/>
      <c r="AK276" s="54"/>
      <c r="AL276" s="33"/>
      <c r="AM276" s="33"/>
      <c r="AN276" s="33"/>
      <c r="AO276" s="24"/>
      <c r="AP276" s="24"/>
      <c r="AQ276" s="49"/>
      <c r="AR276" s="33"/>
      <c r="AS276" s="33"/>
      <c r="AT276" s="33"/>
      <c r="AU276" s="24"/>
      <c r="AV276" s="24"/>
      <c r="AW276" s="49"/>
      <c r="AX276" s="33"/>
      <c r="AY276" s="24"/>
      <c r="AZ276" s="24"/>
      <c r="BA276" s="24"/>
      <c r="BB276" s="24"/>
      <c r="BC276" s="49"/>
      <c r="BD276" s="33"/>
      <c r="BE276" s="24"/>
      <c r="BF276" s="24"/>
      <c r="BG276" s="24"/>
      <c r="BN276" s="34"/>
      <c r="BO276" s="34"/>
      <c r="BP276" s="34"/>
      <c r="BQ276" s="34"/>
      <c r="BR276" s="34"/>
      <c r="BS276" s="34"/>
      <c r="BT276" s="34"/>
      <c r="BU276" s="22" t="s">
        <v>421</v>
      </c>
      <c r="BV276" s="22">
        <v>0</v>
      </c>
      <c r="BW276" s="31"/>
      <c r="BX276" s="31"/>
      <c r="BZ276" s="34"/>
      <c r="CF276" s="24"/>
      <c r="CL276" s="24"/>
      <c r="CR276" s="24"/>
    </row>
    <row r="277" spans="19:96" ht="15" x14ac:dyDescent="0.25">
      <c r="S277" s="23" t="s">
        <v>497</v>
      </c>
      <c r="T277">
        <v>0</v>
      </c>
      <c r="U277" s="27"/>
      <c r="V277" s="27"/>
      <c r="AE277" s="23" t="s">
        <v>464</v>
      </c>
      <c r="AF277">
        <v>0</v>
      </c>
      <c r="AG277" s="31"/>
      <c r="AH277" s="31"/>
      <c r="AJ277" s="34"/>
      <c r="AK277" s="54"/>
      <c r="AL277" s="33"/>
      <c r="AM277" s="33"/>
      <c r="AN277" s="33"/>
      <c r="AO277" s="24"/>
      <c r="AP277" s="24"/>
      <c r="AQ277" s="49"/>
      <c r="AR277" s="33"/>
      <c r="AS277" s="33"/>
      <c r="AT277" s="33"/>
      <c r="AU277" s="24"/>
      <c r="AV277" s="24"/>
      <c r="AW277" s="49"/>
      <c r="AX277" s="33"/>
      <c r="AY277" s="24"/>
      <c r="AZ277" s="24"/>
      <c r="BA277" s="24"/>
      <c r="BB277" s="24"/>
      <c r="BC277" s="49"/>
      <c r="BD277" s="33"/>
      <c r="BE277" s="24"/>
      <c r="BF277" s="24"/>
      <c r="BG277" s="24"/>
      <c r="BN277" s="34"/>
      <c r="BO277" s="19" t="s">
        <v>100</v>
      </c>
      <c r="BP277" s="35" t="s">
        <v>540</v>
      </c>
      <c r="BR277" s="19">
        <v>2014</v>
      </c>
      <c r="BT277" s="34"/>
      <c r="BU277" s="22" t="s">
        <v>422</v>
      </c>
      <c r="BV277" s="22">
        <v>1</v>
      </c>
      <c r="BW277" s="31"/>
      <c r="BX277" s="31"/>
      <c r="BZ277" s="34"/>
      <c r="CF277" s="24"/>
      <c r="CL277" s="24"/>
      <c r="CR277" s="24"/>
    </row>
    <row r="278" spans="19:96" ht="15" x14ac:dyDescent="0.25">
      <c r="S278" s="23" t="s">
        <v>498</v>
      </c>
      <c r="T278">
        <v>0</v>
      </c>
      <c r="U278" s="27"/>
      <c r="V278" s="27"/>
      <c r="AE278" s="23" t="s">
        <v>465</v>
      </c>
      <c r="AF278">
        <v>0</v>
      </c>
      <c r="AG278" s="31"/>
      <c r="AH278" s="31"/>
      <c r="AJ278" s="34"/>
      <c r="AK278" s="54"/>
      <c r="AL278" s="33"/>
      <c r="AM278" s="33"/>
      <c r="AN278" s="33"/>
      <c r="AO278" s="24"/>
      <c r="AP278" s="24"/>
      <c r="AQ278" s="49"/>
      <c r="AR278" s="33"/>
      <c r="AS278" s="33"/>
      <c r="AT278" s="33"/>
      <c r="AU278" s="24"/>
      <c r="AV278" s="24"/>
      <c r="AW278" s="49"/>
      <c r="AX278" s="33"/>
      <c r="AY278" s="24"/>
      <c r="AZ278" s="24"/>
      <c r="BA278" s="24"/>
      <c r="BB278" s="24"/>
      <c r="BC278" s="49"/>
      <c r="BD278" s="33"/>
      <c r="BE278" s="24"/>
      <c r="BF278" s="24"/>
      <c r="BG278" s="24"/>
      <c r="BN278" s="34"/>
      <c r="BP278" s="12" t="s">
        <v>27</v>
      </c>
      <c r="BT278" s="34"/>
      <c r="BU278" s="23" t="s">
        <v>423</v>
      </c>
      <c r="BV278" s="22">
        <v>0</v>
      </c>
      <c r="BW278" s="31"/>
      <c r="BX278" s="31"/>
      <c r="BZ278" s="34"/>
      <c r="CF278" s="24"/>
      <c r="CL278" s="24"/>
      <c r="CR278" s="24"/>
    </row>
    <row r="279" spans="19:96" ht="15" x14ac:dyDescent="0.25">
      <c r="S279" s="23" t="s">
        <v>499</v>
      </c>
      <c r="T279">
        <v>0</v>
      </c>
      <c r="U279" s="27"/>
      <c r="V279" s="27"/>
      <c r="AE279" s="23" t="s">
        <v>466</v>
      </c>
      <c r="AF279">
        <v>0</v>
      </c>
      <c r="AG279" s="31"/>
      <c r="AH279" s="31"/>
      <c r="AJ279" s="34"/>
      <c r="AK279" s="54"/>
      <c r="AL279" s="33"/>
      <c r="AM279" s="33"/>
      <c r="AN279" s="33"/>
      <c r="AO279" s="24"/>
      <c r="AP279" s="24"/>
      <c r="AQ279" s="49"/>
      <c r="AR279" s="33"/>
      <c r="AS279" s="33"/>
      <c r="AT279" s="33"/>
      <c r="AU279" s="24"/>
      <c r="AV279" s="24"/>
      <c r="AW279" s="49"/>
      <c r="AX279" s="33"/>
      <c r="AY279" s="24"/>
      <c r="AZ279" s="24"/>
      <c r="BA279" s="24"/>
      <c r="BB279" s="24"/>
      <c r="BC279" s="49"/>
      <c r="BD279" s="33"/>
      <c r="BE279" s="24"/>
      <c r="BF279" s="24"/>
      <c r="BG279" s="24"/>
      <c r="BN279" s="34"/>
      <c r="BO279" s="31" t="s">
        <v>102</v>
      </c>
      <c r="BP279" s="31" t="s">
        <v>71</v>
      </c>
      <c r="BQ279" s="31" t="s">
        <v>103</v>
      </c>
      <c r="BR279" s="31" t="s">
        <v>104</v>
      </c>
      <c r="BT279" s="34"/>
      <c r="BU279" s="22" t="s">
        <v>424</v>
      </c>
      <c r="BV279" s="22">
        <v>0</v>
      </c>
      <c r="BW279" s="31"/>
      <c r="BX279" s="31"/>
      <c r="BZ279" s="34"/>
      <c r="CF279" s="24"/>
      <c r="CL279" s="24"/>
      <c r="CR279" s="24"/>
    </row>
    <row r="280" spans="19:96" ht="15" x14ac:dyDescent="0.25">
      <c r="S280" s="23" t="s">
        <v>500</v>
      </c>
      <c r="T280">
        <v>0</v>
      </c>
      <c r="U280" s="27"/>
      <c r="V280" s="27"/>
      <c r="AE280" s="23" t="s">
        <v>467</v>
      </c>
      <c r="AF280">
        <v>0</v>
      </c>
      <c r="AG280" s="31"/>
      <c r="AH280" s="31"/>
      <c r="AJ280" s="34"/>
      <c r="AK280" s="54"/>
      <c r="AL280" s="33"/>
      <c r="AM280" s="33"/>
      <c r="AN280" s="33"/>
      <c r="AO280" s="24"/>
      <c r="AP280" s="24"/>
      <c r="AQ280" s="49"/>
      <c r="AR280" s="33"/>
      <c r="AS280" s="33"/>
      <c r="AT280" s="33"/>
      <c r="AU280" s="24"/>
      <c r="AV280" s="24"/>
      <c r="AW280" s="49"/>
      <c r="AX280" s="33"/>
      <c r="AY280" s="24"/>
      <c r="AZ280" s="24"/>
      <c r="BA280" s="24"/>
      <c r="BB280" s="24"/>
      <c r="BC280" s="49"/>
      <c r="BD280" s="33"/>
      <c r="BE280" s="24"/>
      <c r="BF280" s="24"/>
      <c r="BG280" s="24"/>
      <c r="BN280" s="34"/>
      <c r="BO280" s="23" t="s">
        <v>390</v>
      </c>
      <c r="BP280">
        <v>1</v>
      </c>
      <c r="BQ280" s="31" t="s">
        <v>106</v>
      </c>
      <c r="BR280" s="31">
        <f>SUM(BP280:BP298)</f>
        <v>23</v>
      </c>
      <c r="BT280" s="34"/>
      <c r="BU280" s="23" t="s">
        <v>425</v>
      </c>
      <c r="BV280" s="22">
        <v>0</v>
      </c>
      <c r="BW280" s="31"/>
      <c r="BX280" s="31"/>
      <c r="BZ280" s="34"/>
      <c r="CF280" s="24"/>
      <c r="CL280" s="24"/>
      <c r="CR280" s="24"/>
    </row>
    <row r="281" spans="19:96" ht="15" x14ac:dyDescent="0.25">
      <c r="S281" s="23" t="s">
        <v>501</v>
      </c>
      <c r="T281">
        <v>0</v>
      </c>
      <c r="U281" s="27"/>
      <c r="V281" s="27"/>
      <c r="AE281" s="23" t="s">
        <v>468</v>
      </c>
      <c r="AF281">
        <v>0</v>
      </c>
      <c r="AG281" s="31"/>
      <c r="AH281" s="31"/>
      <c r="AJ281" s="34"/>
      <c r="AK281" s="54"/>
      <c r="AL281" s="33"/>
      <c r="AM281" s="24"/>
      <c r="AN281" s="24"/>
      <c r="AO281" s="24"/>
      <c r="AP281" s="24"/>
      <c r="AQ281" s="49"/>
      <c r="AR281" s="33"/>
      <c r="AS281" s="33"/>
      <c r="AT281" s="33"/>
      <c r="AU281" s="24"/>
      <c r="AV281" s="24"/>
      <c r="AW281" s="49"/>
      <c r="AX281" s="33"/>
      <c r="AY281" s="24"/>
      <c r="AZ281" s="24"/>
      <c r="BA281" s="24"/>
      <c r="BB281" s="24"/>
      <c r="BC281" s="49"/>
      <c r="BD281" s="33"/>
      <c r="BE281" s="24"/>
      <c r="BF281" s="24"/>
      <c r="BG281" s="24"/>
      <c r="BN281" s="34"/>
      <c r="BO281" s="23" t="s">
        <v>391</v>
      </c>
      <c r="BP281">
        <v>1</v>
      </c>
      <c r="BQ281" s="31" t="s">
        <v>115</v>
      </c>
      <c r="BR281" s="31">
        <f>MIN(BP280:BP298)</f>
        <v>0</v>
      </c>
      <c r="BT281" s="34"/>
      <c r="BU281" s="23" t="s">
        <v>426</v>
      </c>
      <c r="BV281" s="22">
        <v>0</v>
      </c>
      <c r="BW281" s="31"/>
      <c r="BX281" s="31"/>
      <c r="BZ281" s="34"/>
      <c r="CF281" s="24"/>
      <c r="CL281" s="24"/>
      <c r="CR281" s="24"/>
    </row>
    <row r="282" spans="19:96" ht="15" x14ac:dyDescent="0.25">
      <c r="S282" s="23" t="s">
        <v>502</v>
      </c>
      <c r="T282">
        <v>0</v>
      </c>
      <c r="U282" s="27"/>
      <c r="V282" s="27"/>
      <c r="AE282" s="23" t="s">
        <v>469</v>
      </c>
      <c r="AF282">
        <v>0</v>
      </c>
      <c r="AG282" s="31"/>
      <c r="AH282" s="31"/>
      <c r="AJ282" s="34"/>
      <c r="AK282" s="54"/>
      <c r="AL282" s="33"/>
      <c r="AM282" s="24"/>
      <c r="AN282" s="24"/>
      <c r="AO282" s="24"/>
      <c r="AP282" s="24"/>
      <c r="AQ282" s="25"/>
      <c r="AR282" s="33"/>
      <c r="AS282" s="24"/>
      <c r="AT282" s="24"/>
      <c r="AU282" s="24"/>
      <c r="AV282" s="24"/>
      <c r="AW282" s="49"/>
      <c r="AX282" s="33"/>
      <c r="AY282" s="24"/>
      <c r="AZ282" s="24"/>
      <c r="BA282" s="24"/>
      <c r="BB282" s="24"/>
      <c r="BC282" s="49"/>
      <c r="BD282" s="33"/>
      <c r="BE282" s="24"/>
      <c r="BF282" s="24"/>
      <c r="BG282" s="24"/>
      <c r="BN282" s="34"/>
      <c r="BO282" s="23" t="s">
        <v>392</v>
      </c>
      <c r="BP282">
        <v>0</v>
      </c>
      <c r="BQ282" s="31" t="s">
        <v>122</v>
      </c>
      <c r="BR282" s="31">
        <f>MAX(BP280:BP298)</f>
        <v>4</v>
      </c>
      <c r="BT282" s="34"/>
      <c r="BU282" s="23" t="s">
        <v>427</v>
      </c>
      <c r="BV282" s="22">
        <v>0</v>
      </c>
      <c r="BW282" s="31"/>
      <c r="BX282" s="31"/>
      <c r="BZ282" s="34"/>
      <c r="CF282" s="24"/>
      <c r="CL282" s="24"/>
      <c r="CR282" s="24"/>
    </row>
    <row r="283" spans="19:96" ht="15" x14ac:dyDescent="0.25">
      <c r="S283" s="23" t="s">
        <v>350</v>
      </c>
      <c r="T283">
        <v>0</v>
      </c>
      <c r="U283" s="27"/>
      <c r="V283" s="27"/>
      <c r="AE283" s="23" t="s">
        <v>470</v>
      </c>
      <c r="AF283">
        <v>0</v>
      </c>
      <c r="AG283" s="31"/>
      <c r="AH283" s="31"/>
      <c r="AJ283" s="34"/>
      <c r="AK283" s="54"/>
      <c r="AL283" s="33"/>
      <c r="AM283" s="24"/>
      <c r="AN283" s="24"/>
      <c r="AO283" s="24"/>
      <c r="AP283" s="24"/>
      <c r="AQ283" s="49"/>
      <c r="AR283" s="33"/>
      <c r="AS283" s="24"/>
      <c r="AT283" s="24"/>
      <c r="AU283" s="24"/>
      <c r="AV283" s="24"/>
      <c r="AW283" s="49"/>
      <c r="AX283" s="33"/>
      <c r="AY283" s="24"/>
      <c r="AZ283" s="24"/>
      <c r="BA283" s="24"/>
      <c r="BB283" s="24"/>
      <c r="BC283" s="49"/>
      <c r="BD283" s="33"/>
      <c r="BE283" s="24"/>
      <c r="BF283" s="24"/>
      <c r="BG283" s="24"/>
      <c r="BN283" s="34"/>
      <c r="BO283" s="23" t="s">
        <v>393</v>
      </c>
      <c r="BP283">
        <v>3</v>
      </c>
      <c r="BQ283" s="31" t="s">
        <v>129</v>
      </c>
      <c r="BR283" s="31">
        <f>VAR(BP280:BP298)</f>
        <v>1.6198830409356726</v>
      </c>
      <c r="BT283" s="34"/>
      <c r="BU283" s="23" t="s">
        <v>428</v>
      </c>
      <c r="BV283" s="22">
        <v>0</v>
      </c>
      <c r="BW283" s="31"/>
      <c r="BX283" s="31"/>
      <c r="BZ283" s="34"/>
      <c r="CF283" s="24"/>
      <c r="CL283" s="24"/>
      <c r="CR283" s="24"/>
    </row>
    <row r="284" spans="19:96" ht="15" x14ac:dyDescent="0.25">
      <c r="S284" s="23" t="s">
        <v>503</v>
      </c>
      <c r="T284">
        <v>0</v>
      </c>
      <c r="U284" s="27"/>
      <c r="V284" s="27"/>
      <c r="AE284" s="23" t="s">
        <v>471</v>
      </c>
      <c r="AF284">
        <v>0</v>
      </c>
      <c r="AG284" s="31"/>
      <c r="AH284" s="31"/>
      <c r="AJ284" s="34"/>
      <c r="AK284" s="54"/>
      <c r="AL284" s="33"/>
      <c r="AM284" s="24"/>
      <c r="AN284" s="24"/>
      <c r="AO284" s="24"/>
      <c r="AP284" s="24"/>
      <c r="AQ284" s="49"/>
      <c r="AR284" s="33"/>
      <c r="AS284" s="24"/>
      <c r="AT284" s="24"/>
      <c r="AU284" s="24"/>
      <c r="AV284" s="24"/>
      <c r="AW284" s="25"/>
      <c r="AX284" s="33"/>
      <c r="AY284" s="24"/>
      <c r="AZ284" s="24"/>
      <c r="BA284" s="24"/>
      <c r="BB284" s="24"/>
      <c r="BC284" s="25"/>
      <c r="BD284" s="33"/>
      <c r="BE284" s="24"/>
      <c r="BF284" s="24"/>
      <c r="BG284" s="24"/>
      <c r="BN284" s="34"/>
      <c r="BO284" s="23" t="s">
        <v>394</v>
      </c>
      <c r="BP284">
        <v>1</v>
      </c>
      <c r="BQ284" s="31" t="s">
        <v>138</v>
      </c>
      <c r="BR284" s="31">
        <f>AVERAGE(BP280:BP298)</f>
        <v>1.2105263157894737</v>
      </c>
      <c r="BT284" s="34"/>
      <c r="BU284" s="23" t="s">
        <v>429</v>
      </c>
      <c r="BV284" s="22">
        <v>0</v>
      </c>
      <c r="BW284" s="31"/>
      <c r="BX284" s="31"/>
      <c r="BZ284" s="34"/>
      <c r="CF284" s="24"/>
      <c r="CL284" s="24"/>
      <c r="CR284" s="24"/>
    </row>
    <row r="285" spans="19:96" ht="15" x14ac:dyDescent="0.25">
      <c r="S285" s="23" t="s">
        <v>504</v>
      </c>
      <c r="T285">
        <v>0</v>
      </c>
      <c r="U285" s="25"/>
      <c r="V285" s="25"/>
      <c r="AE285" s="23" t="s">
        <v>472</v>
      </c>
      <c r="AF285">
        <v>0</v>
      </c>
      <c r="AJ285" s="34"/>
      <c r="AK285" s="54"/>
      <c r="AL285" s="33"/>
      <c r="AM285" s="24"/>
      <c r="AN285" s="24"/>
      <c r="AO285" s="24"/>
      <c r="AP285" s="24"/>
      <c r="AQ285" s="49"/>
      <c r="AR285" s="33"/>
      <c r="AS285" s="24"/>
      <c r="AT285" s="24"/>
      <c r="AU285" s="24"/>
      <c r="AV285" s="24"/>
      <c r="AW285" s="25"/>
      <c r="AX285" s="33"/>
      <c r="AY285" s="24"/>
      <c r="AZ285" s="24"/>
      <c r="BA285" s="24"/>
      <c r="BB285" s="24"/>
      <c r="BC285" s="25"/>
      <c r="BD285" s="33"/>
      <c r="BE285" s="24"/>
      <c r="BF285" s="24"/>
      <c r="BG285" s="24"/>
      <c r="BN285" s="34"/>
      <c r="BO285" s="23" t="s">
        <v>395</v>
      </c>
      <c r="BP285">
        <v>4</v>
      </c>
      <c r="BQ285" s="31" t="s">
        <v>144</v>
      </c>
      <c r="BR285" s="31">
        <f>STDEV(BP280:BP298)</f>
        <v>1.2727462594467416</v>
      </c>
      <c r="BT285" s="34"/>
      <c r="BU285" s="23" t="s">
        <v>430</v>
      </c>
      <c r="BV285" s="22">
        <v>0</v>
      </c>
      <c r="BW285" s="31"/>
      <c r="BX285" s="31"/>
      <c r="BZ285" s="34"/>
      <c r="CF285" s="24"/>
      <c r="CL285" s="24"/>
      <c r="CR285" s="24"/>
    </row>
    <row r="286" spans="19:96" ht="15" x14ac:dyDescent="0.25">
      <c r="S286" s="34"/>
      <c r="T286" s="34"/>
      <c r="U286" s="34"/>
      <c r="V286" s="34"/>
      <c r="W286" s="34"/>
      <c r="AE286" s="23" t="s">
        <v>362</v>
      </c>
      <c r="AF286">
        <v>1</v>
      </c>
      <c r="AJ286" s="34"/>
      <c r="AK286" s="54"/>
      <c r="AL286" s="33"/>
      <c r="AM286" s="24"/>
      <c r="AN286" s="24"/>
      <c r="AO286" s="24"/>
      <c r="AP286" s="24"/>
      <c r="AQ286" s="49"/>
      <c r="AR286" s="33"/>
      <c r="AS286" s="24"/>
      <c r="AT286" s="24"/>
      <c r="AU286" s="24"/>
      <c r="AV286" s="24"/>
      <c r="AW286" s="25"/>
      <c r="AX286" s="33"/>
      <c r="AY286" s="24"/>
      <c r="AZ286" s="24"/>
      <c r="BA286" s="24"/>
      <c r="BB286" s="24"/>
      <c r="BC286" s="25"/>
      <c r="BD286" s="33"/>
      <c r="BE286" s="24"/>
      <c r="BF286" s="24"/>
      <c r="BG286" s="24"/>
      <c r="BN286" s="34"/>
      <c r="BO286" s="23" t="s">
        <v>396</v>
      </c>
      <c r="BP286">
        <v>0</v>
      </c>
      <c r="BQ286" s="31"/>
      <c r="BR286" s="31"/>
      <c r="BT286" s="34"/>
      <c r="BU286" s="23" t="s">
        <v>431</v>
      </c>
      <c r="BV286" s="22">
        <v>0</v>
      </c>
      <c r="BW286" s="31"/>
      <c r="BX286" s="31"/>
      <c r="BZ286" s="34"/>
      <c r="CF286" s="24"/>
      <c r="CL286" s="24"/>
      <c r="CR286" s="24"/>
    </row>
    <row r="287" spans="19:96" ht="15" x14ac:dyDescent="0.25">
      <c r="S287" s="27" t="s">
        <v>100</v>
      </c>
      <c r="T287" s="30" t="s">
        <v>524</v>
      </c>
      <c r="U287" s="27"/>
      <c r="V287" s="27">
        <v>2014</v>
      </c>
      <c r="AE287" s="23" t="s">
        <v>473</v>
      </c>
      <c r="AF287">
        <v>0</v>
      </c>
      <c r="AJ287" s="34"/>
      <c r="AK287" s="54"/>
      <c r="AL287" s="33"/>
      <c r="AM287" s="24"/>
      <c r="AN287" s="24"/>
      <c r="AO287" s="24"/>
      <c r="AP287" s="24"/>
      <c r="AQ287" s="49"/>
      <c r="AR287" s="33"/>
      <c r="AS287" s="24"/>
      <c r="AT287" s="24"/>
      <c r="AU287" s="24"/>
      <c r="AV287" s="24"/>
      <c r="AW287" s="25"/>
      <c r="AX287" s="33"/>
      <c r="AY287" s="24"/>
      <c r="AZ287" s="24"/>
      <c r="BA287" s="24"/>
      <c r="BB287" s="24"/>
      <c r="BC287" s="25"/>
      <c r="BD287" s="33"/>
      <c r="BE287" s="24"/>
      <c r="BF287" s="24"/>
      <c r="BG287" s="24"/>
      <c r="BN287" s="34"/>
      <c r="BO287" s="23" t="s">
        <v>397</v>
      </c>
      <c r="BP287">
        <v>1</v>
      </c>
      <c r="BQ287" s="31"/>
      <c r="BR287" s="31"/>
      <c r="BT287" s="34"/>
      <c r="BU287" s="23" t="s">
        <v>432</v>
      </c>
      <c r="BV287" s="22">
        <v>0</v>
      </c>
      <c r="BW287" s="31"/>
      <c r="BX287" s="31"/>
      <c r="BZ287" s="34"/>
      <c r="CF287" s="24"/>
      <c r="CL287" s="24"/>
      <c r="CR287" s="24"/>
    </row>
    <row r="288" spans="19:96" ht="15" x14ac:dyDescent="0.25">
      <c r="S288" s="27" t="s">
        <v>101</v>
      </c>
      <c r="T288" s="12" t="s">
        <v>22</v>
      </c>
      <c r="U288" s="27"/>
      <c r="V288" s="27"/>
      <c r="AE288" s="23" t="s">
        <v>474</v>
      </c>
      <c r="AF288">
        <v>0</v>
      </c>
      <c r="AJ288" s="34"/>
      <c r="AK288" s="54"/>
      <c r="AL288" s="33"/>
      <c r="AM288" s="24"/>
      <c r="AN288" s="24"/>
      <c r="AO288" s="24"/>
      <c r="AP288" s="24"/>
      <c r="AQ288" s="49"/>
      <c r="AR288" s="33"/>
      <c r="AS288" s="24"/>
      <c r="AT288" s="24"/>
      <c r="AU288" s="24"/>
      <c r="AV288" s="24"/>
      <c r="AW288" s="25"/>
      <c r="AX288" s="33"/>
      <c r="AY288" s="24"/>
      <c r="AZ288" s="24"/>
      <c r="BA288" s="24"/>
      <c r="BB288" s="24"/>
      <c r="BC288" s="25"/>
      <c r="BD288" s="33"/>
      <c r="BE288" s="24"/>
      <c r="BF288" s="24"/>
      <c r="BG288" s="24"/>
      <c r="BN288" s="34"/>
      <c r="BO288" s="23" t="s">
        <v>398</v>
      </c>
      <c r="BP288">
        <v>0</v>
      </c>
      <c r="BQ288" s="31"/>
      <c r="BR288" s="31"/>
      <c r="BT288" s="34"/>
      <c r="BU288" s="23" t="s">
        <v>433</v>
      </c>
      <c r="BV288" s="22">
        <v>0</v>
      </c>
      <c r="BW288" s="31"/>
      <c r="BX288" s="31"/>
      <c r="BZ288" s="34"/>
      <c r="CF288" s="24"/>
      <c r="CL288" s="24"/>
      <c r="CR288" s="24"/>
    </row>
    <row r="289" spans="19:96" ht="15" x14ac:dyDescent="0.25">
      <c r="S289" s="27" t="s">
        <v>102</v>
      </c>
      <c r="T289" s="27" t="s">
        <v>71</v>
      </c>
      <c r="U289" s="27" t="s">
        <v>103</v>
      </c>
      <c r="V289" s="27" t="s">
        <v>104</v>
      </c>
      <c r="AE289" s="23" t="s">
        <v>475</v>
      </c>
      <c r="AF289">
        <v>0</v>
      </c>
      <c r="AJ289" s="34"/>
      <c r="AK289" s="54"/>
      <c r="AL289" s="33"/>
      <c r="AM289" s="24"/>
      <c r="AN289" s="24"/>
      <c r="AO289" s="24"/>
      <c r="AP289" s="24"/>
      <c r="AQ289" s="49"/>
      <c r="AR289" s="33"/>
      <c r="AS289" s="24"/>
      <c r="AT289" s="24"/>
      <c r="AU289" s="24"/>
      <c r="AV289" s="24"/>
      <c r="AW289" s="25"/>
      <c r="AX289" s="33"/>
      <c r="AY289" s="24"/>
      <c r="AZ289" s="24"/>
      <c r="BA289" s="24"/>
      <c r="BB289" s="24"/>
      <c r="BC289" s="25"/>
      <c r="BD289" s="33"/>
      <c r="BE289" s="24"/>
      <c r="BF289" s="24"/>
      <c r="BG289" s="24"/>
      <c r="BN289" s="34"/>
      <c r="BO289" s="23" t="s">
        <v>399</v>
      </c>
      <c r="BP289">
        <v>0</v>
      </c>
      <c r="BQ289" s="31"/>
      <c r="BR289" s="31"/>
      <c r="BT289" s="34"/>
      <c r="BU289" s="23" t="s">
        <v>434</v>
      </c>
      <c r="BV289" s="22">
        <v>0</v>
      </c>
      <c r="BW289" s="31"/>
      <c r="BX289" s="31"/>
      <c r="BZ289" s="34"/>
      <c r="CF289" s="24"/>
      <c r="CL289" s="24"/>
      <c r="CR289" s="24"/>
    </row>
    <row r="290" spans="19:96" ht="15" x14ac:dyDescent="0.25">
      <c r="S290" s="23" t="s">
        <v>489</v>
      </c>
      <c r="T290">
        <v>0</v>
      </c>
      <c r="U290" s="31" t="s">
        <v>106</v>
      </c>
      <c r="V290" s="27">
        <f>SUM(T290:T307)</f>
        <v>1</v>
      </c>
      <c r="AE290" s="34"/>
      <c r="AF290" s="34"/>
      <c r="AG290" s="34"/>
      <c r="AH290" s="34"/>
      <c r="AI290" s="34"/>
      <c r="AJ290" s="34"/>
      <c r="AK290" s="54"/>
      <c r="AL290" s="33"/>
      <c r="AM290" s="24"/>
      <c r="AN290" s="24"/>
      <c r="AO290" s="24"/>
      <c r="AP290" s="24"/>
      <c r="AQ290" s="49"/>
      <c r="AR290" s="33"/>
      <c r="AS290" s="24"/>
      <c r="AT290" s="24"/>
      <c r="AU290" s="24"/>
      <c r="AV290" s="24"/>
      <c r="AW290" s="25"/>
      <c r="AX290" s="33"/>
      <c r="AY290" s="24"/>
      <c r="AZ290" s="24"/>
      <c r="BA290" s="24"/>
      <c r="BB290" s="24"/>
      <c r="BC290" s="25"/>
      <c r="BD290" s="33"/>
      <c r="BE290" s="24"/>
      <c r="BF290" s="24"/>
      <c r="BG290" s="24"/>
      <c r="BN290" s="34"/>
      <c r="BO290" s="23" t="s">
        <v>214</v>
      </c>
      <c r="BP290">
        <v>1</v>
      </c>
      <c r="BQ290" s="31"/>
      <c r="BR290" s="31"/>
      <c r="BT290" s="34"/>
      <c r="BU290" s="34"/>
      <c r="BV290" s="34"/>
      <c r="BW290" s="34"/>
      <c r="BX290" s="34"/>
      <c r="BY290" s="34"/>
      <c r="BZ290" s="34"/>
      <c r="CF290" s="24"/>
      <c r="CL290" s="24"/>
      <c r="CR290" s="24"/>
    </row>
    <row r="291" spans="19:96" ht="15" x14ac:dyDescent="0.25">
      <c r="S291" s="23" t="s">
        <v>490</v>
      </c>
      <c r="T291">
        <v>0</v>
      </c>
      <c r="U291" s="31" t="s">
        <v>115</v>
      </c>
      <c r="V291" s="27">
        <f>MIN(T290:T307)</f>
        <v>0</v>
      </c>
      <c r="AE291" s="31" t="s">
        <v>100</v>
      </c>
      <c r="AF291" s="32" t="s">
        <v>67</v>
      </c>
      <c r="AG291" s="31"/>
      <c r="AH291" s="31"/>
      <c r="AJ291" s="34"/>
      <c r="AK291" s="54"/>
      <c r="AL291" s="33"/>
      <c r="AM291" s="24"/>
      <c r="AN291" s="24"/>
      <c r="AO291" s="24"/>
      <c r="AP291" s="24"/>
      <c r="AQ291" s="49"/>
      <c r="AR291" s="33"/>
      <c r="AS291" s="24"/>
      <c r="AT291" s="24"/>
      <c r="AU291" s="24"/>
      <c r="AV291" s="24"/>
      <c r="AW291" s="25"/>
      <c r="AX291" s="33"/>
      <c r="AY291" s="24"/>
      <c r="AZ291" s="24"/>
      <c r="BA291" s="24"/>
      <c r="BB291" s="24"/>
      <c r="BC291" s="25"/>
      <c r="BD291" s="33"/>
      <c r="BE291" s="24"/>
      <c r="BF291" s="24"/>
      <c r="BG291" s="24"/>
      <c r="BN291" s="34"/>
      <c r="BO291" s="23" t="s">
        <v>400</v>
      </c>
      <c r="BP291">
        <v>4</v>
      </c>
      <c r="BQ291" s="31"/>
      <c r="BR291" s="31"/>
      <c r="BT291" s="34"/>
      <c r="BU291" s="19" t="s">
        <v>100</v>
      </c>
      <c r="BV291" s="35" t="s">
        <v>61</v>
      </c>
      <c r="BZ291" s="34"/>
      <c r="CF291" s="24"/>
      <c r="CL291" s="24"/>
      <c r="CR291" s="24"/>
    </row>
    <row r="292" spans="19:96" ht="15" x14ac:dyDescent="0.25">
      <c r="S292" s="23" t="s">
        <v>491</v>
      </c>
      <c r="T292">
        <v>0</v>
      </c>
      <c r="U292" s="31" t="s">
        <v>122</v>
      </c>
      <c r="V292" s="27">
        <f>MAX(T290:T307)</f>
        <v>1</v>
      </c>
      <c r="AE292" s="31" t="s">
        <v>101</v>
      </c>
      <c r="AF292" s="12" t="s">
        <v>15</v>
      </c>
      <c r="AG292" s="31"/>
      <c r="AH292" s="31"/>
      <c r="AJ292" s="34"/>
      <c r="AK292" s="54"/>
      <c r="AL292" s="33"/>
      <c r="AM292" s="24"/>
      <c r="AN292" s="24"/>
      <c r="AO292" s="24"/>
      <c r="AP292" s="24"/>
      <c r="AQ292" s="49"/>
      <c r="AR292" s="33"/>
      <c r="AS292" s="24"/>
      <c r="AT292" s="24"/>
      <c r="AU292" s="24"/>
      <c r="AV292" s="24"/>
      <c r="AW292" s="25"/>
      <c r="AX292" s="33"/>
      <c r="AY292" s="24"/>
      <c r="AZ292" s="24"/>
      <c r="BA292" s="24"/>
      <c r="BB292" s="24"/>
      <c r="BC292" s="25"/>
      <c r="BD292" s="33"/>
      <c r="BE292" s="24"/>
      <c r="BF292" s="24"/>
      <c r="BG292" s="24"/>
      <c r="BN292" s="34"/>
      <c r="BO292" s="23" t="s">
        <v>401</v>
      </c>
      <c r="BP292">
        <v>2</v>
      </c>
      <c r="BQ292" s="33"/>
      <c r="BR292" s="33"/>
      <c r="BT292" s="34"/>
      <c r="BV292" s="12" t="s">
        <v>15</v>
      </c>
      <c r="BZ292" s="34"/>
      <c r="CF292" s="24"/>
      <c r="CL292" s="24"/>
      <c r="CR292" s="24"/>
    </row>
    <row r="293" spans="19:96" ht="15" x14ac:dyDescent="0.25">
      <c r="S293" s="23" t="s">
        <v>492</v>
      </c>
      <c r="T293">
        <v>0</v>
      </c>
      <c r="U293" s="31" t="s">
        <v>129</v>
      </c>
      <c r="V293" s="27">
        <f>VAR(T290:T307)</f>
        <v>5.5555555555555552E-2</v>
      </c>
      <c r="AE293" s="31" t="s">
        <v>102</v>
      </c>
      <c r="AF293" s="31" t="s">
        <v>71</v>
      </c>
      <c r="AG293" s="31" t="s">
        <v>103</v>
      </c>
      <c r="AH293" s="31" t="s">
        <v>104</v>
      </c>
      <c r="AJ293" s="34"/>
      <c r="AK293" s="54"/>
      <c r="AL293" s="33"/>
      <c r="AM293" s="24"/>
      <c r="AN293" s="24"/>
      <c r="AO293" s="24"/>
      <c r="AP293" s="24"/>
      <c r="AQ293" s="49"/>
      <c r="AR293" s="33"/>
      <c r="AS293" s="24"/>
      <c r="AT293" s="24"/>
      <c r="AU293" s="24"/>
      <c r="AV293" s="24"/>
      <c r="AW293" s="25"/>
      <c r="AX293" s="33"/>
      <c r="AY293" s="24"/>
      <c r="AZ293" s="24"/>
      <c r="BA293" s="24"/>
      <c r="BB293" s="24"/>
      <c r="BC293" s="25"/>
      <c r="BD293" s="33"/>
      <c r="BE293" s="24"/>
      <c r="BF293" s="24"/>
      <c r="BG293" s="24"/>
      <c r="BN293" s="34"/>
      <c r="BO293" s="23" t="s">
        <v>402</v>
      </c>
      <c r="BP293">
        <v>1</v>
      </c>
      <c r="BQ293" s="31"/>
      <c r="BR293" s="33"/>
      <c r="BT293" s="34"/>
      <c r="BU293" s="31" t="s">
        <v>102</v>
      </c>
      <c r="BV293" s="31" t="s">
        <v>71</v>
      </c>
      <c r="BW293" s="31" t="s">
        <v>103</v>
      </c>
      <c r="BX293" s="31" t="s">
        <v>104</v>
      </c>
      <c r="BZ293" s="34"/>
      <c r="CF293" s="24"/>
      <c r="CL293" s="24"/>
      <c r="CR293" s="24"/>
    </row>
    <row r="294" spans="19:96" ht="15" x14ac:dyDescent="0.25">
      <c r="S294" s="23" t="s">
        <v>493</v>
      </c>
      <c r="T294">
        <v>0</v>
      </c>
      <c r="U294" s="31" t="s">
        <v>138</v>
      </c>
      <c r="V294" s="27">
        <f>AVERAGE(T290:T307)</f>
        <v>5.5555555555555552E-2</v>
      </c>
      <c r="AE294" s="23" t="s">
        <v>453</v>
      </c>
      <c r="AF294">
        <v>0</v>
      </c>
      <c r="AG294" s="31" t="s">
        <v>106</v>
      </c>
      <c r="AH294" s="31">
        <f>SUM(AF294:AF318)</f>
        <v>36</v>
      </c>
      <c r="AJ294" s="34"/>
      <c r="AK294" s="33"/>
      <c r="AL294" s="24"/>
      <c r="AM294" s="24"/>
      <c r="AN294" s="24"/>
      <c r="AO294" s="24"/>
      <c r="AP294" s="24"/>
      <c r="AQ294" s="49"/>
      <c r="AR294" s="33"/>
      <c r="AS294" s="24"/>
      <c r="AT294" s="24"/>
      <c r="AU294" s="24"/>
      <c r="AV294" s="24"/>
      <c r="AW294" s="25"/>
      <c r="AX294" s="33"/>
      <c r="AY294" s="24"/>
      <c r="AZ294" s="24"/>
      <c r="BA294" s="24"/>
      <c r="BB294" s="24"/>
      <c r="BC294" s="25"/>
      <c r="BD294" s="33"/>
      <c r="BE294" s="24"/>
      <c r="BF294" s="24"/>
      <c r="BG294" s="24"/>
      <c r="BN294" s="34"/>
      <c r="BO294" s="23" t="s">
        <v>403</v>
      </c>
      <c r="BP294">
        <v>2</v>
      </c>
      <c r="BQ294" s="31"/>
      <c r="BR294" s="33"/>
      <c r="BT294" s="34"/>
      <c r="BU294" s="23" t="s">
        <v>412</v>
      </c>
      <c r="BV294" s="22">
        <v>0</v>
      </c>
      <c r="BW294" s="31" t="s">
        <v>106</v>
      </c>
      <c r="BX294" s="31">
        <f>SUM(BV294:BV318)</f>
        <v>48</v>
      </c>
      <c r="BZ294" s="34"/>
      <c r="CF294" s="24"/>
      <c r="CL294" s="24"/>
      <c r="CR294" s="24"/>
    </row>
    <row r="295" spans="19:96" ht="15" x14ac:dyDescent="0.25">
      <c r="S295" s="23" t="s">
        <v>494</v>
      </c>
      <c r="T295">
        <v>0</v>
      </c>
      <c r="U295" s="31" t="s">
        <v>144</v>
      </c>
      <c r="V295" s="27">
        <f>STDEV(T290:T307)</f>
        <v>0.23570226039551584</v>
      </c>
      <c r="AE295" s="23" t="s">
        <v>454</v>
      </c>
      <c r="AF295">
        <v>0</v>
      </c>
      <c r="AG295" s="31" t="s">
        <v>115</v>
      </c>
      <c r="AH295" s="31">
        <f>MIN(AF294:AF318)</f>
        <v>0</v>
      </c>
      <c r="AJ295" s="34"/>
      <c r="AK295" s="33"/>
      <c r="AL295" s="33"/>
      <c r="AM295" s="24"/>
      <c r="AN295" s="24"/>
      <c r="AO295" s="24"/>
      <c r="AP295" s="24"/>
      <c r="AQ295" s="49"/>
      <c r="AR295" s="33"/>
      <c r="AS295" s="24"/>
      <c r="AT295" s="24"/>
      <c r="AU295" s="24"/>
      <c r="AV295" s="24"/>
      <c r="AW295" s="25"/>
      <c r="AX295" s="33"/>
      <c r="AY295" s="24"/>
      <c r="AZ295" s="24"/>
      <c r="BA295" s="24"/>
      <c r="BB295" s="24"/>
      <c r="BC295" s="25"/>
      <c r="BD295" s="33"/>
      <c r="BE295" s="24"/>
      <c r="BF295" s="24"/>
      <c r="BG295" s="24"/>
      <c r="BN295" s="34"/>
      <c r="BO295" s="23" t="s">
        <v>404</v>
      </c>
      <c r="BP295">
        <v>1</v>
      </c>
      <c r="BQ295" s="31"/>
      <c r="BR295" s="33"/>
      <c r="BT295" s="34"/>
      <c r="BU295" s="22" t="s">
        <v>244</v>
      </c>
      <c r="BV295" s="22">
        <v>1</v>
      </c>
      <c r="BW295" s="31" t="s">
        <v>115</v>
      </c>
      <c r="BX295" s="31">
        <f>MIN(BV294:BV318)</f>
        <v>0</v>
      </c>
      <c r="BZ295" s="34"/>
      <c r="CF295" s="24"/>
      <c r="CL295" s="24"/>
      <c r="CR295" s="24"/>
    </row>
    <row r="296" spans="19:96" ht="15" x14ac:dyDescent="0.25">
      <c r="S296" s="23" t="s">
        <v>495</v>
      </c>
      <c r="T296">
        <v>0</v>
      </c>
      <c r="U296" s="27"/>
      <c r="V296" s="27"/>
      <c r="AE296" s="23" t="s">
        <v>455</v>
      </c>
      <c r="AF296">
        <v>1</v>
      </c>
      <c r="AG296" s="31" t="s">
        <v>122</v>
      </c>
      <c r="AH296" s="31">
        <f>MAX(AF294:AF318)</f>
        <v>4</v>
      </c>
      <c r="AJ296" s="34"/>
      <c r="AK296" s="33"/>
      <c r="AL296" s="33"/>
      <c r="AM296" s="33"/>
      <c r="AN296" s="33"/>
      <c r="AO296" s="24"/>
      <c r="AP296" s="24"/>
      <c r="AQ296" s="49"/>
      <c r="AR296" s="33"/>
      <c r="AS296" s="24"/>
      <c r="AT296" s="24"/>
      <c r="AU296" s="24"/>
      <c r="AV296" s="24"/>
      <c r="AW296" s="25"/>
      <c r="AX296" s="33"/>
      <c r="AY296" s="24"/>
      <c r="AZ296" s="24"/>
      <c r="BA296" s="24"/>
      <c r="BB296" s="24"/>
      <c r="BC296" s="25"/>
      <c r="BD296" s="33"/>
      <c r="BE296" s="24"/>
      <c r="BF296" s="24"/>
      <c r="BG296" s="24"/>
      <c r="BN296" s="34"/>
      <c r="BO296" s="23" t="s">
        <v>405</v>
      </c>
      <c r="BP296">
        <v>0</v>
      </c>
      <c r="BQ296" s="31"/>
      <c r="BR296" s="33"/>
      <c r="BT296" s="34"/>
      <c r="BU296" s="22" t="s">
        <v>119</v>
      </c>
      <c r="BV296" s="22">
        <v>0</v>
      </c>
      <c r="BW296" s="31" t="s">
        <v>122</v>
      </c>
      <c r="BX296" s="31">
        <f>MAX(BV294:BV318)</f>
        <v>20</v>
      </c>
      <c r="BZ296" s="34"/>
      <c r="CF296" s="24"/>
      <c r="CL296" s="24"/>
      <c r="CR296" s="24"/>
    </row>
    <row r="297" spans="19:96" ht="15" x14ac:dyDescent="0.25">
      <c r="S297" s="23" t="s">
        <v>496</v>
      </c>
      <c r="T297">
        <v>0</v>
      </c>
      <c r="U297" s="27"/>
      <c r="V297" s="27"/>
      <c r="AE297" s="23" t="s">
        <v>456</v>
      </c>
      <c r="AF297">
        <v>1</v>
      </c>
      <c r="AG297" s="31" t="s">
        <v>129</v>
      </c>
      <c r="AH297" s="31">
        <f>VAR(AF294:AF318)</f>
        <v>1.5899999999999999</v>
      </c>
      <c r="AJ297" s="34"/>
      <c r="AK297" s="33"/>
      <c r="AL297" s="33"/>
      <c r="AM297" s="33"/>
      <c r="AN297" s="33"/>
      <c r="AO297" s="24"/>
      <c r="AP297" s="24"/>
      <c r="AQ297" s="49"/>
      <c r="AR297" s="33"/>
      <c r="AS297" s="24"/>
      <c r="AT297" s="24"/>
      <c r="AU297" s="24"/>
      <c r="AV297" s="24"/>
      <c r="AW297" s="25"/>
      <c r="AX297" s="33"/>
      <c r="AY297" s="24"/>
      <c r="AZ297" s="24"/>
      <c r="BA297" s="24"/>
      <c r="BB297" s="24"/>
      <c r="BC297" s="25"/>
      <c r="BD297" s="33"/>
      <c r="BE297" s="24"/>
      <c r="BF297" s="24"/>
      <c r="BG297" s="24"/>
      <c r="BN297" s="34"/>
      <c r="BO297" s="23" t="s">
        <v>406</v>
      </c>
      <c r="BP297">
        <v>1</v>
      </c>
      <c r="BQ297" s="31"/>
      <c r="BR297" s="31"/>
      <c r="BT297" s="34"/>
      <c r="BU297" s="22" t="s">
        <v>413</v>
      </c>
      <c r="BV297" s="22">
        <v>0</v>
      </c>
      <c r="BW297" s="31" t="s">
        <v>129</v>
      </c>
      <c r="BX297" s="31">
        <f>VAR(BV294:BV318)</f>
        <v>15.826666666666668</v>
      </c>
      <c r="BZ297" s="34"/>
      <c r="CF297" s="24"/>
      <c r="CL297" s="24"/>
      <c r="CR297" s="24"/>
    </row>
    <row r="298" spans="19:96" ht="15" x14ac:dyDescent="0.25">
      <c r="S298" s="23" t="s">
        <v>389</v>
      </c>
      <c r="T298">
        <v>0</v>
      </c>
      <c r="U298" s="27"/>
      <c r="V298" s="27"/>
      <c r="AE298" s="23" t="s">
        <v>259</v>
      </c>
      <c r="AF298">
        <v>2</v>
      </c>
      <c r="AG298" s="31" t="s">
        <v>138</v>
      </c>
      <c r="AH298" s="31">
        <f>AVERAGE(AF294:AF318)</f>
        <v>1.44</v>
      </c>
      <c r="AJ298" s="34"/>
      <c r="AK298" s="54"/>
      <c r="AL298" s="33"/>
      <c r="AM298" s="33"/>
      <c r="AN298" s="33"/>
      <c r="AO298" s="24"/>
      <c r="AP298" s="24"/>
      <c r="AQ298" s="49"/>
      <c r="AR298" s="33"/>
      <c r="AS298" s="24"/>
      <c r="AT298" s="24"/>
      <c r="AU298" s="24"/>
      <c r="AV298" s="24"/>
      <c r="AW298" s="25"/>
      <c r="AX298" s="33"/>
      <c r="AY298" s="24"/>
      <c r="AZ298" s="24"/>
      <c r="BA298" s="24"/>
      <c r="BB298" s="24"/>
      <c r="BC298" s="25"/>
      <c r="BD298" s="33"/>
      <c r="BE298" s="24"/>
      <c r="BF298" s="24"/>
      <c r="BG298" s="24"/>
      <c r="BN298" s="34"/>
      <c r="BO298" s="23" t="s">
        <v>407</v>
      </c>
      <c r="BP298">
        <v>0</v>
      </c>
      <c r="BQ298" s="31"/>
      <c r="BR298" s="31"/>
      <c r="BT298" s="34"/>
      <c r="BU298" s="22" t="s">
        <v>414</v>
      </c>
      <c r="BV298" s="22">
        <v>1</v>
      </c>
      <c r="BW298" s="31" t="s">
        <v>138</v>
      </c>
      <c r="BX298" s="31">
        <f>AVERAGE(BV294:BV318)</f>
        <v>1.92</v>
      </c>
      <c r="BZ298" s="34"/>
      <c r="CF298" s="24"/>
      <c r="CL298" s="24"/>
      <c r="CR298" s="24"/>
    </row>
    <row r="299" spans="19:96" ht="15" x14ac:dyDescent="0.25">
      <c r="S299" s="23" t="s">
        <v>497</v>
      </c>
      <c r="T299">
        <v>0</v>
      </c>
      <c r="U299" s="27"/>
      <c r="V299" s="27"/>
      <c r="AE299" s="23" t="s">
        <v>457</v>
      </c>
      <c r="AF299">
        <v>2</v>
      </c>
      <c r="AG299" s="31" t="s">
        <v>144</v>
      </c>
      <c r="AH299" s="31">
        <f>STDEV(AF294:AF318)</f>
        <v>1.260952021291849</v>
      </c>
      <c r="AJ299" s="34"/>
      <c r="AK299" s="54"/>
      <c r="AL299" s="33"/>
      <c r="AM299" s="33"/>
      <c r="AN299" s="33"/>
      <c r="AO299" s="24"/>
      <c r="AP299" s="24"/>
      <c r="AQ299" s="49"/>
      <c r="AR299" s="33"/>
      <c r="AS299" s="24"/>
      <c r="AT299" s="24"/>
      <c r="AU299" s="24"/>
      <c r="AV299" s="24"/>
      <c r="AW299" s="25"/>
      <c r="AX299" s="33"/>
      <c r="AY299" s="24"/>
      <c r="AZ299" s="24"/>
      <c r="BA299" s="24"/>
      <c r="BB299" s="24"/>
      <c r="BC299" s="25"/>
      <c r="BD299" s="33"/>
      <c r="BE299" s="24"/>
      <c r="BF299" s="24"/>
      <c r="BG299" s="24"/>
      <c r="BN299" s="34"/>
      <c r="BO299" s="34"/>
      <c r="BP299" s="34"/>
      <c r="BQ299" s="34"/>
      <c r="BR299" s="34"/>
      <c r="BS299" s="34"/>
      <c r="BT299" s="34"/>
      <c r="BU299" s="22" t="s">
        <v>415</v>
      </c>
      <c r="BV299" s="22">
        <v>3</v>
      </c>
      <c r="BW299" s="31" t="s">
        <v>144</v>
      </c>
      <c r="BX299" s="31">
        <f>STDEV(BV294:BV318)</f>
        <v>3.9782743327561847</v>
      </c>
      <c r="BZ299" s="34"/>
      <c r="CF299" s="24"/>
      <c r="CL299" s="24"/>
      <c r="CR299" s="24"/>
    </row>
    <row r="300" spans="19:96" ht="15" x14ac:dyDescent="0.25">
      <c r="S300" s="23" t="s">
        <v>498</v>
      </c>
      <c r="T300">
        <v>0</v>
      </c>
      <c r="U300" s="27"/>
      <c r="V300" s="27"/>
      <c r="AE300" s="23" t="s">
        <v>458</v>
      </c>
      <c r="AF300">
        <v>1</v>
      </c>
      <c r="AG300" s="31"/>
      <c r="AH300" s="31"/>
      <c r="AJ300" s="34"/>
      <c r="AK300" s="25"/>
      <c r="AL300" s="33"/>
      <c r="AM300" s="33"/>
      <c r="AN300" s="33"/>
      <c r="AO300" s="24"/>
      <c r="AP300" s="24"/>
      <c r="AQ300" s="49"/>
      <c r="AR300" s="33"/>
      <c r="AS300" s="24"/>
      <c r="AT300" s="24"/>
      <c r="AU300" s="24"/>
      <c r="AV300" s="24"/>
      <c r="AW300" s="25"/>
      <c r="AX300" s="33"/>
      <c r="AY300" s="24"/>
      <c r="AZ300" s="24"/>
      <c r="BA300" s="24"/>
      <c r="BB300" s="24"/>
      <c r="BC300" s="25"/>
      <c r="BD300" s="33"/>
      <c r="BE300" s="24"/>
      <c r="BF300" s="24"/>
      <c r="BG300" s="24"/>
      <c r="BN300" s="34"/>
      <c r="BO300" s="19" t="s">
        <v>100</v>
      </c>
      <c r="BP300" s="35" t="s">
        <v>540</v>
      </c>
      <c r="BR300" s="19">
        <v>2014</v>
      </c>
      <c r="BT300" s="34"/>
      <c r="BU300" s="22" t="s">
        <v>416</v>
      </c>
      <c r="BV300" s="22">
        <v>0</v>
      </c>
      <c r="BW300" s="31"/>
      <c r="BX300" s="31"/>
      <c r="BZ300" s="34"/>
      <c r="CF300" s="24"/>
      <c r="CL300" s="24"/>
      <c r="CR300" s="24"/>
    </row>
    <row r="301" spans="19:96" ht="15" x14ac:dyDescent="0.25">
      <c r="S301" s="23" t="s">
        <v>499</v>
      </c>
      <c r="T301">
        <v>0</v>
      </c>
      <c r="U301" s="27"/>
      <c r="V301" s="27"/>
      <c r="AE301" s="23" t="s">
        <v>459</v>
      </c>
      <c r="AF301">
        <v>2</v>
      </c>
      <c r="AG301" s="31"/>
      <c r="AH301" s="31"/>
      <c r="AJ301" s="34"/>
      <c r="AK301" s="54"/>
      <c r="AL301" s="33"/>
      <c r="AM301" s="33"/>
      <c r="AN301" s="33"/>
      <c r="AO301" s="24"/>
      <c r="AP301" s="24"/>
      <c r="AQ301" s="49"/>
      <c r="AR301" s="33"/>
      <c r="AS301" s="24"/>
      <c r="AT301" s="24"/>
      <c r="AU301" s="24"/>
      <c r="AV301" s="24"/>
      <c r="AW301" s="25"/>
      <c r="AX301" s="33"/>
      <c r="AY301" s="24"/>
      <c r="AZ301" s="24"/>
      <c r="BA301" s="24"/>
      <c r="BB301" s="24"/>
      <c r="BC301" s="25"/>
      <c r="BD301" s="33"/>
      <c r="BE301" s="24"/>
      <c r="BF301" s="24"/>
      <c r="BG301" s="24"/>
      <c r="BN301" s="34"/>
      <c r="BP301" s="12" t="s">
        <v>28</v>
      </c>
      <c r="BT301" s="34"/>
      <c r="BU301" s="22" t="s">
        <v>417</v>
      </c>
      <c r="BV301" s="22">
        <v>0</v>
      </c>
      <c r="BW301" s="31"/>
      <c r="BX301" s="31"/>
      <c r="BZ301" s="34"/>
      <c r="CF301" s="24"/>
      <c r="CL301" s="24"/>
      <c r="CR301" s="24"/>
    </row>
    <row r="302" spans="19:96" ht="15" x14ac:dyDescent="0.25">
      <c r="S302" s="23" t="s">
        <v>500</v>
      </c>
      <c r="T302">
        <v>1</v>
      </c>
      <c r="U302" s="27"/>
      <c r="V302" s="27"/>
      <c r="AE302" s="23" t="s">
        <v>460</v>
      </c>
      <c r="AF302">
        <v>2</v>
      </c>
      <c r="AG302" s="33"/>
      <c r="AH302" s="33"/>
      <c r="AJ302" s="34"/>
      <c r="AK302" s="54"/>
      <c r="AL302" s="33"/>
      <c r="AM302" s="33"/>
      <c r="AN302" s="33"/>
      <c r="AO302" s="24"/>
      <c r="AP302" s="24"/>
      <c r="AQ302" s="49"/>
      <c r="AR302" s="33"/>
      <c r="AS302" s="24"/>
      <c r="AT302" s="24"/>
      <c r="AU302" s="24"/>
      <c r="AV302" s="24"/>
      <c r="AW302" s="25"/>
      <c r="AX302" s="33"/>
      <c r="AY302" s="24"/>
      <c r="AZ302" s="24"/>
      <c r="BA302" s="24"/>
      <c r="BB302" s="24"/>
      <c r="BC302" s="25"/>
      <c r="BD302" s="33"/>
      <c r="BE302" s="24"/>
      <c r="BF302" s="24"/>
      <c r="BG302" s="24"/>
      <c r="BN302" s="34"/>
      <c r="BO302" s="31" t="s">
        <v>102</v>
      </c>
      <c r="BP302" s="31" t="s">
        <v>71</v>
      </c>
      <c r="BQ302" s="31" t="s">
        <v>103</v>
      </c>
      <c r="BR302" s="31" t="s">
        <v>104</v>
      </c>
      <c r="BT302" s="34"/>
      <c r="BU302" s="22" t="s">
        <v>418</v>
      </c>
      <c r="BV302" s="22">
        <v>2</v>
      </c>
      <c r="BW302" s="31"/>
      <c r="BX302" s="31"/>
      <c r="BZ302" s="34"/>
      <c r="CF302" s="24"/>
      <c r="CL302" s="24"/>
      <c r="CR302" s="24"/>
    </row>
    <row r="303" spans="19:96" ht="15" x14ac:dyDescent="0.25">
      <c r="S303" s="23" t="s">
        <v>501</v>
      </c>
      <c r="T303">
        <v>0</v>
      </c>
      <c r="U303" s="27"/>
      <c r="V303" s="27"/>
      <c r="AE303" s="23" t="s">
        <v>461</v>
      </c>
      <c r="AF303">
        <v>3</v>
      </c>
      <c r="AG303" s="31"/>
      <c r="AH303" s="31"/>
      <c r="AJ303" s="34"/>
      <c r="AK303" s="54"/>
      <c r="AL303" s="33"/>
      <c r="AM303" s="33"/>
      <c r="AN303" s="33"/>
      <c r="AO303" s="24"/>
      <c r="AP303" s="24"/>
      <c r="AQ303" s="49"/>
      <c r="AR303" s="33"/>
      <c r="AS303" s="24"/>
      <c r="AT303" s="24"/>
      <c r="AU303" s="24"/>
      <c r="AV303" s="24"/>
      <c r="AW303" s="25"/>
      <c r="AX303" s="33"/>
      <c r="AY303" s="24"/>
      <c r="AZ303" s="24"/>
      <c r="BA303" s="24"/>
      <c r="BB303" s="24"/>
      <c r="BC303" s="25"/>
      <c r="BD303" s="33"/>
      <c r="BE303" s="24"/>
      <c r="BF303" s="24"/>
      <c r="BG303" s="24"/>
      <c r="BN303" s="34"/>
      <c r="BO303" s="23" t="s">
        <v>390</v>
      </c>
      <c r="BP303">
        <v>0</v>
      </c>
      <c r="BQ303" s="31" t="s">
        <v>106</v>
      </c>
      <c r="BR303" s="31">
        <f>SUM(BP303:BP321)</f>
        <v>3</v>
      </c>
      <c r="BT303" s="34"/>
      <c r="BU303" s="22" t="s">
        <v>419</v>
      </c>
      <c r="BV303" s="22">
        <v>3</v>
      </c>
      <c r="BW303" s="31"/>
      <c r="BX303" s="31"/>
      <c r="BZ303" s="34"/>
      <c r="CF303" s="24"/>
      <c r="CL303" s="24"/>
      <c r="CR303" s="24"/>
    </row>
    <row r="304" spans="19:96" ht="15" x14ac:dyDescent="0.25">
      <c r="S304" s="23" t="s">
        <v>502</v>
      </c>
      <c r="T304">
        <v>0</v>
      </c>
      <c r="U304" s="27"/>
      <c r="V304" s="27"/>
      <c r="AE304" s="23" t="s">
        <v>462</v>
      </c>
      <c r="AF304">
        <v>1</v>
      </c>
      <c r="AG304" s="24"/>
      <c r="AH304" s="24"/>
      <c r="AJ304" s="34"/>
      <c r="AK304" s="54"/>
      <c r="AL304" s="33"/>
      <c r="AM304" s="33"/>
      <c r="AN304" s="33"/>
      <c r="AO304" s="24"/>
      <c r="AP304" s="24"/>
      <c r="AQ304" s="49"/>
      <c r="AR304" s="33"/>
      <c r="AS304" s="24"/>
      <c r="AT304" s="24"/>
      <c r="AU304" s="24"/>
      <c r="AV304" s="24"/>
      <c r="AW304" s="25"/>
      <c r="AX304" s="33"/>
      <c r="AY304" s="24"/>
      <c r="AZ304" s="24"/>
      <c r="BA304" s="24"/>
      <c r="BB304" s="24"/>
      <c r="BC304" s="25"/>
      <c r="BD304" s="33"/>
      <c r="BE304" s="24"/>
      <c r="BF304" s="24"/>
      <c r="BG304" s="24"/>
      <c r="BN304" s="34"/>
      <c r="BO304" s="23" t="s">
        <v>391</v>
      </c>
      <c r="BP304">
        <v>0</v>
      </c>
      <c r="BQ304" s="31" t="s">
        <v>115</v>
      </c>
      <c r="BR304" s="31">
        <f>MIN(BP303:BP321)</f>
        <v>0</v>
      </c>
      <c r="BT304" s="34"/>
      <c r="BU304" s="22" t="s">
        <v>420</v>
      </c>
      <c r="BV304" s="22">
        <v>20</v>
      </c>
      <c r="BW304" s="31"/>
      <c r="BX304" s="31"/>
      <c r="BZ304" s="34"/>
      <c r="CF304" s="24"/>
      <c r="CL304" s="24"/>
      <c r="CR304" s="24"/>
    </row>
    <row r="305" spans="18:96" ht="15" x14ac:dyDescent="0.25">
      <c r="S305" s="23" t="s">
        <v>350</v>
      </c>
      <c r="T305">
        <v>0</v>
      </c>
      <c r="U305" s="27"/>
      <c r="V305" s="27"/>
      <c r="AE305" s="23" t="s">
        <v>463</v>
      </c>
      <c r="AF305">
        <v>0</v>
      </c>
      <c r="AG305" s="31"/>
      <c r="AH305" s="31"/>
      <c r="AJ305" s="34"/>
      <c r="AK305" s="54"/>
      <c r="AL305" s="33"/>
      <c r="AM305" s="33"/>
      <c r="AN305" s="33"/>
      <c r="AO305" s="24"/>
      <c r="AP305" s="24"/>
      <c r="AQ305" s="49"/>
      <c r="AR305" s="33"/>
      <c r="AS305" s="24"/>
      <c r="AT305" s="24"/>
      <c r="AU305" s="24"/>
      <c r="AV305" s="24"/>
      <c r="AW305" s="25"/>
      <c r="AX305" s="33"/>
      <c r="AY305" s="24"/>
      <c r="AZ305" s="24"/>
      <c r="BA305" s="24"/>
      <c r="BB305" s="24"/>
      <c r="BC305" s="25"/>
      <c r="BD305" s="33"/>
      <c r="BE305" s="24"/>
      <c r="BF305" s="24"/>
      <c r="BG305" s="24"/>
      <c r="BN305" s="34"/>
      <c r="BO305" s="23" t="s">
        <v>392</v>
      </c>
      <c r="BP305">
        <v>0</v>
      </c>
      <c r="BQ305" s="31" t="s">
        <v>122</v>
      </c>
      <c r="BR305" s="31">
        <f>MAX(BP303:BP321)</f>
        <v>1</v>
      </c>
      <c r="BT305" s="34"/>
      <c r="BU305" s="22" t="s">
        <v>421</v>
      </c>
      <c r="BV305" s="22">
        <v>4</v>
      </c>
      <c r="BW305" s="31"/>
      <c r="BX305" s="31"/>
      <c r="BZ305" s="34"/>
      <c r="CF305" s="24"/>
      <c r="CL305" s="24"/>
      <c r="CR305" s="24"/>
    </row>
    <row r="306" spans="18:96" ht="15" x14ac:dyDescent="0.25">
      <c r="S306" s="23" t="s">
        <v>503</v>
      </c>
      <c r="T306">
        <v>0</v>
      </c>
      <c r="U306" s="27"/>
      <c r="V306" s="27"/>
      <c r="AE306" s="23" t="s">
        <v>464</v>
      </c>
      <c r="AF306">
        <v>3</v>
      </c>
      <c r="AG306" s="31"/>
      <c r="AH306" s="31"/>
      <c r="AJ306" s="34"/>
      <c r="AK306" s="54"/>
      <c r="AL306" s="33"/>
      <c r="AM306" s="33"/>
      <c r="AN306" s="33"/>
      <c r="AO306" s="24"/>
      <c r="AP306" s="24"/>
      <c r="AQ306" s="49"/>
      <c r="AR306" s="33"/>
      <c r="AS306" s="24"/>
      <c r="AT306" s="24"/>
      <c r="AU306" s="24"/>
      <c r="AV306" s="24"/>
      <c r="AW306" s="25"/>
      <c r="AX306" s="33"/>
      <c r="AY306" s="24"/>
      <c r="AZ306" s="24"/>
      <c r="BA306" s="24"/>
      <c r="BB306" s="24"/>
      <c r="BC306" s="25"/>
      <c r="BD306" s="33"/>
      <c r="BE306" s="24"/>
      <c r="BF306" s="24"/>
      <c r="BG306" s="24"/>
      <c r="BN306" s="34"/>
      <c r="BO306" s="23" t="s">
        <v>393</v>
      </c>
      <c r="BP306">
        <v>0</v>
      </c>
      <c r="BQ306" s="31" t="s">
        <v>129</v>
      </c>
      <c r="BR306" s="31">
        <f>VAR(BP303:BP321)</f>
        <v>0.14035087719298245</v>
      </c>
      <c r="BT306" s="34"/>
      <c r="BU306" s="22" t="s">
        <v>422</v>
      </c>
      <c r="BV306" s="22">
        <v>2</v>
      </c>
      <c r="BW306" s="31"/>
      <c r="BX306" s="31"/>
      <c r="BZ306" s="34"/>
      <c r="CF306" s="24"/>
      <c r="CL306" s="24"/>
      <c r="CR306" s="24"/>
    </row>
    <row r="307" spans="18:96" ht="15" x14ac:dyDescent="0.25">
      <c r="S307" s="23" t="s">
        <v>504</v>
      </c>
      <c r="T307">
        <v>0</v>
      </c>
      <c r="U307" s="25"/>
      <c r="V307" s="25"/>
      <c r="AE307" s="23" t="s">
        <v>465</v>
      </c>
      <c r="AF307">
        <v>1</v>
      </c>
      <c r="AG307" s="31"/>
      <c r="AH307" s="31"/>
      <c r="AJ307" s="34"/>
      <c r="AK307" s="54"/>
      <c r="AL307" s="33"/>
      <c r="AM307" s="33"/>
      <c r="AN307" s="33"/>
      <c r="AO307" s="24"/>
      <c r="AP307" s="24"/>
      <c r="AQ307" s="49"/>
      <c r="AR307" s="33"/>
      <c r="AS307" s="24"/>
      <c r="AT307" s="24"/>
      <c r="AU307" s="24"/>
      <c r="AV307" s="24"/>
      <c r="AW307" s="25"/>
      <c r="AX307" s="33"/>
      <c r="AY307" s="24"/>
      <c r="AZ307" s="24"/>
      <c r="BA307" s="24"/>
      <c r="BB307" s="24"/>
      <c r="BC307" s="25"/>
      <c r="BD307" s="33"/>
      <c r="BE307" s="24"/>
      <c r="BF307" s="24"/>
      <c r="BG307" s="24"/>
      <c r="BN307" s="34"/>
      <c r="BO307" s="23" t="s">
        <v>394</v>
      </c>
      <c r="BP307">
        <v>0</v>
      </c>
      <c r="BQ307" s="31" t="s">
        <v>138</v>
      </c>
      <c r="BR307" s="31">
        <f>AVERAGE(BP303:BP321)</f>
        <v>0.15789473684210525</v>
      </c>
      <c r="BT307" s="34"/>
      <c r="BU307" s="23" t="s">
        <v>423</v>
      </c>
      <c r="BV307" s="22">
        <v>0</v>
      </c>
      <c r="BW307" s="31"/>
      <c r="BX307" s="31"/>
      <c r="BZ307" s="34"/>
      <c r="CF307" s="24"/>
      <c r="CL307" s="24"/>
      <c r="CR307" s="24"/>
    </row>
    <row r="308" spans="18:96" ht="15" x14ac:dyDescent="0.25">
      <c r="R308" s="34"/>
      <c r="S308" s="34"/>
      <c r="T308" s="34"/>
      <c r="U308" s="34"/>
      <c r="V308" s="34"/>
      <c r="W308" s="34"/>
      <c r="AE308" s="23" t="s">
        <v>466</v>
      </c>
      <c r="AF308">
        <v>0</v>
      </c>
      <c r="AG308" s="31"/>
      <c r="AH308" s="31"/>
      <c r="AJ308" s="34"/>
      <c r="AK308" s="54"/>
      <c r="AL308" s="33"/>
      <c r="AM308" s="33"/>
      <c r="AN308" s="33"/>
      <c r="AO308" s="24"/>
      <c r="AP308" s="24"/>
      <c r="AQ308" s="49"/>
      <c r="AR308" s="33"/>
      <c r="AS308" s="24"/>
      <c r="AT308" s="24"/>
      <c r="AU308" s="24"/>
      <c r="AV308" s="24"/>
      <c r="AW308" s="25"/>
      <c r="AX308" s="33"/>
      <c r="AY308" s="24"/>
      <c r="AZ308" s="24"/>
      <c r="BA308" s="24"/>
      <c r="BB308" s="24"/>
      <c r="BC308" s="25"/>
      <c r="BD308" s="33"/>
      <c r="BE308" s="24"/>
      <c r="BF308" s="24"/>
      <c r="BG308" s="24"/>
      <c r="BN308" s="34"/>
      <c r="BO308" s="23" t="s">
        <v>395</v>
      </c>
      <c r="BP308">
        <v>0</v>
      </c>
      <c r="BQ308" s="31" t="s">
        <v>144</v>
      </c>
      <c r="BR308" s="31">
        <f>STDEV(BP303:BP321)</f>
        <v>0.3746343246326776</v>
      </c>
      <c r="BT308" s="34"/>
      <c r="BU308" s="22" t="s">
        <v>424</v>
      </c>
      <c r="BV308" s="22">
        <v>0</v>
      </c>
      <c r="BW308" s="31"/>
      <c r="BX308" s="31"/>
      <c r="BZ308" s="34"/>
      <c r="CF308" s="24"/>
      <c r="CL308" s="24"/>
      <c r="CR308" s="24"/>
    </row>
    <row r="309" spans="18:96" ht="15" x14ac:dyDescent="0.25">
      <c r="S309" s="27" t="s">
        <v>100</v>
      </c>
      <c r="T309" s="30" t="s">
        <v>524</v>
      </c>
      <c r="U309" s="27"/>
      <c r="V309" s="27">
        <v>2014</v>
      </c>
      <c r="AE309" s="23" t="s">
        <v>467</v>
      </c>
      <c r="AF309">
        <v>1</v>
      </c>
      <c r="AG309" s="31"/>
      <c r="AH309" s="31"/>
      <c r="AJ309" s="34"/>
      <c r="AK309" s="54"/>
      <c r="AL309" s="33"/>
      <c r="AM309" s="33"/>
      <c r="AN309" s="33"/>
      <c r="AO309" s="24"/>
      <c r="AP309" s="24"/>
      <c r="AQ309" s="49"/>
      <c r="AR309" s="33"/>
      <c r="AS309" s="24"/>
      <c r="AT309" s="24"/>
      <c r="AU309" s="24"/>
      <c r="AV309" s="24"/>
      <c r="AW309" s="25"/>
      <c r="AX309" s="33"/>
      <c r="AY309" s="24"/>
      <c r="AZ309" s="24"/>
      <c r="BA309" s="24"/>
      <c r="BB309" s="24"/>
      <c r="BC309" s="25"/>
      <c r="BD309" s="33"/>
      <c r="BE309" s="24"/>
      <c r="BF309" s="24"/>
      <c r="BG309" s="24"/>
      <c r="BN309" s="34"/>
      <c r="BO309" s="23" t="s">
        <v>396</v>
      </c>
      <c r="BP309">
        <v>0</v>
      </c>
      <c r="BQ309" s="31"/>
      <c r="BR309" s="31"/>
      <c r="BT309" s="34"/>
      <c r="BU309" s="23" t="s">
        <v>425</v>
      </c>
      <c r="BV309" s="22">
        <v>3</v>
      </c>
      <c r="BW309" s="31"/>
      <c r="BX309" s="31"/>
      <c r="BZ309" s="34"/>
      <c r="CF309" s="24"/>
      <c r="CL309" s="24"/>
      <c r="CR309" s="24"/>
    </row>
    <row r="310" spans="18:96" ht="15" x14ac:dyDescent="0.25">
      <c r="S310" s="27" t="s">
        <v>101</v>
      </c>
      <c r="T310" s="12" t="s">
        <v>24</v>
      </c>
      <c r="U310" s="27"/>
      <c r="V310" s="27"/>
      <c r="AE310" s="23" t="s">
        <v>468</v>
      </c>
      <c r="AF310">
        <v>1</v>
      </c>
      <c r="AG310" s="31"/>
      <c r="AH310" s="31"/>
      <c r="AJ310" s="34"/>
      <c r="AK310" s="54"/>
      <c r="AL310" s="33"/>
      <c r="AM310" s="24"/>
      <c r="AN310" s="24"/>
      <c r="AO310" s="24"/>
      <c r="AP310" s="24"/>
      <c r="AQ310" s="49"/>
      <c r="AR310" s="33"/>
      <c r="AS310" s="24"/>
      <c r="AT310" s="24"/>
      <c r="AU310" s="24"/>
      <c r="AV310" s="24"/>
      <c r="AW310" s="25"/>
      <c r="AX310" s="33"/>
      <c r="AY310" s="24"/>
      <c r="AZ310" s="24"/>
      <c r="BA310" s="24"/>
      <c r="BB310" s="24"/>
      <c r="BC310" s="25"/>
      <c r="BD310" s="33"/>
      <c r="BE310" s="24"/>
      <c r="BF310" s="24"/>
      <c r="BG310" s="24"/>
      <c r="BN310" s="34"/>
      <c r="BO310" s="23" t="s">
        <v>397</v>
      </c>
      <c r="BP310">
        <v>0</v>
      </c>
      <c r="BQ310" s="31"/>
      <c r="BR310" s="31"/>
      <c r="BT310" s="34"/>
      <c r="BU310" s="23" t="s">
        <v>426</v>
      </c>
      <c r="BV310" s="22">
        <v>1</v>
      </c>
      <c r="BW310" s="31"/>
      <c r="BX310" s="31"/>
      <c r="BZ310" s="34"/>
      <c r="CF310" s="24"/>
      <c r="CL310" s="24"/>
      <c r="CR310" s="24"/>
    </row>
    <row r="311" spans="18:96" ht="15" x14ac:dyDescent="0.25">
      <c r="S311" s="27" t="s">
        <v>102</v>
      </c>
      <c r="T311" s="27" t="s">
        <v>71</v>
      </c>
      <c r="U311" s="27" t="s">
        <v>103</v>
      </c>
      <c r="V311" s="27" t="s">
        <v>104</v>
      </c>
      <c r="AE311" s="23" t="s">
        <v>469</v>
      </c>
      <c r="AF311">
        <v>0</v>
      </c>
      <c r="AG311" s="31"/>
      <c r="AH311" s="31"/>
      <c r="AJ311" s="34"/>
      <c r="AK311" s="54"/>
      <c r="AL311" s="33"/>
      <c r="AM311" s="24"/>
      <c r="AN311" s="24"/>
      <c r="AO311" s="24"/>
      <c r="AP311" s="24"/>
      <c r="AQ311" s="49"/>
      <c r="AR311" s="33"/>
      <c r="AS311" s="24"/>
      <c r="AT311" s="24"/>
      <c r="AU311" s="24"/>
      <c r="AV311" s="24"/>
      <c r="AW311" s="25"/>
      <c r="AX311" s="33"/>
      <c r="AY311" s="24"/>
      <c r="AZ311" s="24"/>
      <c r="BA311" s="24"/>
      <c r="BB311" s="24"/>
      <c r="BC311" s="25"/>
      <c r="BD311" s="33"/>
      <c r="BE311" s="24"/>
      <c r="BF311" s="24"/>
      <c r="BG311" s="24"/>
      <c r="BN311" s="34"/>
      <c r="BO311" s="23" t="s">
        <v>398</v>
      </c>
      <c r="BP311">
        <v>0</v>
      </c>
      <c r="BQ311" s="31"/>
      <c r="BR311" s="31"/>
      <c r="BT311" s="34"/>
      <c r="BU311" s="23" t="s">
        <v>427</v>
      </c>
      <c r="BV311" s="22">
        <v>0</v>
      </c>
      <c r="BW311" s="31"/>
      <c r="BX311" s="31"/>
      <c r="BZ311" s="34"/>
      <c r="CF311" s="24"/>
      <c r="CL311" s="24"/>
      <c r="CR311" s="24"/>
    </row>
    <row r="312" spans="18:96" ht="15" x14ac:dyDescent="0.25">
      <c r="S312" s="23" t="s">
        <v>489</v>
      </c>
      <c r="T312">
        <v>1</v>
      </c>
      <c r="U312" s="31" t="s">
        <v>106</v>
      </c>
      <c r="V312" s="27">
        <f>SUM(T312:T329)</f>
        <v>3</v>
      </c>
      <c r="AE312" s="23" t="s">
        <v>470</v>
      </c>
      <c r="AF312">
        <v>4</v>
      </c>
      <c r="AG312" s="31"/>
      <c r="AH312" s="31"/>
      <c r="AJ312" s="34"/>
      <c r="AK312" s="54"/>
      <c r="AL312" s="33"/>
      <c r="AM312" s="24"/>
      <c r="AN312" s="24"/>
      <c r="AO312" s="24"/>
      <c r="AP312" s="24"/>
      <c r="AQ312" s="49"/>
      <c r="AR312" s="33"/>
      <c r="AS312" s="24"/>
      <c r="AT312" s="24"/>
      <c r="AU312" s="24"/>
      <c r="AV312" s="24"/>
      <c r="AW312" s="25"/>
      <c r="AX312" s="33"/>
      <c r="AY312" s="24"/>
      <c r="AZ312" s="24"/>
      <c r="BA312" s="24"/>
      <c r="BB312" s="24"/>
      <c r="BC312" s="25"/>
      <c r="BD312" s="33"/>
      <c r="BE312" s="24"/>
      <c r="BF312" s="24"/>
      <c r="BG312" s="24"/>
      <c r="BN312" s="34"/>
      <c r="BO312" s="23" t="s">
        <v>399</v>
      </c>
      <c r="BP312">
        <v>1</v>
      </c>
      <c r="BQ312" s="31"/>
      <c r="BR312" s="31"/>
      <c r="BT312" s="34"/>
      <c r="BU312" s="23" t="s">
        <v>428</v>
      </c>
      <c r="BV312" s="22">
        <v>0</v>
      </c>
      <c r="BW312" s="31"/>
      <c r="BX312" s="31"/>
      <c r="BZ312" s="34"/>
      <c r="CF312" s="24"/>
      <c r="CL312" s="24"/>
      <c r="CR312" s="24"/>
    </row>
    <row r="313" spans="18:96" ht="15" x14ac:dyDescent="0.25">
      <c r="S313" s="23" t="s">
        <v>490</v>
      </c>
      <c r="T313">
        <v>0</v>
      </c>
      <c r="U313" s="31" t="s">
        <v>115</v>
      </c>
      <c r="V313" s="27">
        <f>MIN(T312:T329)</f>
        <v>0</v>
      </c>
      <c r="AE313" s="23" t="s">
        <v>471</v>
      </c>
      <c r="AF313">
        <v>0</v>
      </c>
      <c r="AG313" s="31"/>
      <c r="AH313" s="31"/>
      <c r="AJ313" s="34"/>
      <c r="AK313" s="54"/>
      <c r="AL313" s="33"/>
      <c r="AM313" s="24"/>
      <c r="AN313" s="24"/>
      <c r="AO313" s="24"/>
      <c r="AP313" s="24"/>
      <c r="AQ313" s="49"/>
      <c r="AR313" s="33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N313" s="34"/>
      <c r="BO313" s="23" t="s">
        <v>214</v>
      </c>
      <c r="BP313">
        <v>0</v>
      </c>
      <c r="BQ313" s="31"/>
      <c r="BR313" s="31"/>
      <c r="BT313" s="34"/>
      <c r="BU313" s="23" t="s">
        <v>429</v>
      </c>
      <c r="BV313" s="22">
        <v>1</v>
      </c>
      <c r="BW313" s="31"/>
      <c r="BX313" s="31"/>
      <c r="BZ313" s="34"/>
      <c r="CF313" s="24"/>
      <c r="CL313" s="24"/>
      <c r="CR313" s="24"/>
    </row>
    <row r="314" spans="18:96" ht="15" x14ac:dyDescent="0.25">
      <c r="S314" s="23" t="s">
        <v>491</v>
      </c>
      <c r="T314">
        <v>0</v>
      </c>
      <c r="U314" s="31" t="s">
        <v>122</v>
      </c>
      <c r="V314" s="27">
        <f>MAX(T312:T329)</f>
        <v>1</v>
      </c>
      <c r="AE314" s="23" t="s">
        <v>472</v>
      </c>
      <c r="AF314">
        <v>0</v>
      </c>
      <c r="AJ314" s="34"/>
      <c r="AK314" s="54"/>
      <c r="AL314" s="33"/>
      <c r="AM314" s="24"/>
      <c r="AN314" s="24"/>
      <c r="AO314" s="24"/>
      <c r="AP314" s="24"/>
      <c r="AQ314" s="49"/>
      <c r="AR314" s="33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N314" s="34"/>
      <c r="BO314" s="23" t="s">
        <v>400</v>
      </c>
      <c r="BP314">
        <v>0</v>
      </c>
      <c r="BQ314" s="31"/>
      <c r="BR314" s="31"/>
      <c r="BT314" s="34"/>
      <c r="BU314" s="23" t="s">
        <v>430</v>
      </c>
      <c r="BV314" s="22">
        <v>2</v>
      </c>
      <c r="BW314" s="31"/>
      <c r="BX314" s="31"/>
      <c r="BZ314" s="34"/>
      <c r="CF314" s="24"/>
      <c r="CL314" s="24"/>
      <c r="CR314" s="24"/>
    </row>
    <row r="315" spans="18:96" ht="15" x14ac:dyDescent="0.25">
      <c r="S315" s="23" t="s">
        <v>492</v>
      </c>
      <c r="T315">
        <v>0</v>
      </c>
      <c r="U315" s="31" t="s">
        <v>129</v>
      </c>
      <c r="V315" s="27">
        <f>VAR(T312:T329)</f>
        <v>0.14705882352941177</v>
      </c>
      <c r="AE315" s="23" t="s">
        <v>362</v>
      </c>
      <c r="AF315">
        <v>2</v>
      </c>
      <c r="AJ315" s="34"/>
      <c r="AK315" s="54"/>
      <c r="AL315" s="33"/>
      <c r="AM315" s="24"/>
      <c r="AN315" s="24"/>
      <c r="AO315" s="24"/>
      <c r="AP315" s="24"/>
      <c r="AQ315" s="25"/>
      <c r="AR315" s="33"/>
      <c r="AS315" s="24"/>
      <c r="AT315" s="24"/>
      <c r="AU315" s="24"/>
      <c r="AV315" s="24"/>
      <c r="AW315" s="33"/>
      <c r="AX315" s="24"/>
      <c r="AY315" s="24"/>
      <c r="AZ315" s="24"/>
      <c r="BA315" s="24"/>
      <c r="BB315" s="24"/>
      <c r="BC315" s="33"/>
      <c r="BD315" s="24"/>
      <c r="BE315" s="24"/>
      <c r="BF315" s="24"/>
      <c r="BG315" s="24"/>
      <c r="BN315" s="34"/>
      <c r="BO315" s="23" t="s">
        <v>401</v>
      </c>
      <c r="BP315">
        <v>1</v>
      </c>
      <c r="BQ315" s="33"/>
      <c r="BR315" s="33"/>
      <c r="BT315" s="34"/>
      <c r="BU315" s="23" t="s">
        <v>431</v>
      </c>
      <c r="BV315" s="22">
        <v>2</v>
      </c>
      <c r="BW315" s="31"/>
      <c r="BX315" s="31"/>
      <c r="BZ315" s="34"/>
      <c r="CF315" s="24"/>
      <c r="CL315" s="24"/>
      <c r="CR315" s="24"/>
    </row>
    <row r="316" spans="18:96" ht="15" x14ac:dyDescent="0.25">
      <c r="S316" s="23" t="s">
        <v>493</v>
      </c>
      <c r="T316">
        <v>0</v>
      </c>
      <c r="U316" s="31" t="s">
        <v>138</v>
      </c>
      <c r="V316" s="27">
        <f>AVERAGE(T312:T329)</f>
        <v>0.16666666666666666</v>
      </c>
      <c r="AE316" s="23" t="s">
        <v>473</v>
      </c>
      <c r="AF316">
        <v>2</v>
      </c>
      <c r="AJ316" s="34"/>
      <c r="AK316" s="54"/>
      <c r="AL316" s="33"/>
      <c r="AM316" s="24"/>
      <c r="AN316" s="24"/>
      <c r="AO316" s="24"/>
      <c r="AP316" s="24"/>
      <c r="AQ316" s="25"/>
      <c r="AR316" s="33"/>
      <c r="AS316" s="24"/>
      <c r="AT316" s="24"/>
      <c r="AU316" s="24"/>
      <c r="AV316" s="24"/>
      <c r="AW316" s="33"/>
      <c r="AX316" s="33"/>
      <c r="AY316" s="33"/>
      <c r="AZ316" s="33"/>
      <c r="BA316" s="24"/>
      <c r="BB316" s="24"/>
      <c r="BC316" s="33"/>
      <c r="BD316" s="33"/>
      <c r="BE316" s="33"/>
      <c r="BF316" s="33"/>
      <c r="BG316" s="24"/>
      <c r="BN316" s="34"/>
      <c r="BO316" s="23" t="s">
        <v>402</v>
      </c>
      <c r="BP316">
        <v>0</v>
      </c>
      <c r="BQ316" s="31"/>
      <c r="BR316" s="33"/>
      <c r="BT316" s="34"/>
      <c r="BU316" s="23" t="s">
        <v>432</v>
      </c>
      <c r="BV316" s="22">
        <v>3</v>
      </c>
      <c r="BW316" s="31"/>
      <c r="BX316" s="31"/>
      <c r="BZ316" s="34"/>
      <c r="CF316" s="24"/>
      <c r="CL316" s="24"/>
      <c r="CR316" s="24"/>
    </row>
    <row r="317" spans="18:96" ht="15" x14ac:dyDescent="0.25">
      <c r="S317" s="23" t="s">
        <v>494</v>
      </c>
      <c r="T317">
        <v>0</v>
      </c>
      <c r="U317" s="31" t="s">
        <v>144</v>
      </c>
      <c r="V317" s="27">
        <f>STDEV(T312:T329)</f>
        <v>0.38348249442368521</v>
      </c>
      <c r="AE317" s="23" t="s">
        <v>474</v>
      </c>
      <c r="AF317">
        <v>3</v>
      </c>
      <c r="AJ317" s="34"/>
      <c r="AK317" s="54"/>
      <c r="AL317" s="33"/>
      <c r="AM317" s="24"/>
      <c r="AN317" s="24"/>
      <c r="AO317" s="24"/>
      <c r="AP317" s="24"/>
      <c r="AQ317" s="25"/>
      <c r="AR317" s="33"/>
      <c r="AS317" s="24"/>
      <c r="AT317" s="24"/>
      <c r="AU317" s="24"/>
      <c r="AV317" s="24"/>
      <c r="AW317" s="49"/>
      <c r="AX317" s="33"/>
      <c r="AY317" s="33"/>
      <c r="AZ317" s="33"/>
      <c r="BA317" s="24"/>
      <c r="BB317" s="24"/>
      <c r="BC317" s="49"/>
      <c r="BD317" s="33"/>
      <c r="BE317" s="33"/>
      <c r="BF317" s="33"/>
      <c r="BG317" s="24"/>
      <c r="BN317" s="34"/>
      <c r="BO317" s="23" t="s">
        <v>403</v>
      </c>
      <c r="BP317">
        <v>0</v>
      </c>
      <c r="BQ317" s="31"/>
      <c r="BR317" s="33"/>
      <c r="BT317" s="34"/>
      <c r="BU317" s="23" t="s">
        <v>433</v>
      </c>
      <c r="BV317" s="22">
        <v>0</v>
      </c>
      <c r="BW317" s="31"/>
      <c r="BX317" s="31"/>
      <c r="BZ317" s="34"/>
      <c r="CF317" s="24"/>
      <c r="CL317" s="24"/>
      <c r="CR317" s="24"/>
    </row>
    <row r="318" spans="18:96" ht="15" x14ac:dyDescent="0.25">
      <c r="S318" s="23" t="s">
        <v>495</v>
      </c>
      <c r="T318">
        <v>0</v>
      </c>
      <c r="U318" s="27"/>
      <c r="V318" s="27"/>
      <c r="AE318" s="23" t="s">
        <v>475</v>
      </c>
      <c r="AF318">
        <v>4</v>
      </c>
      <c r="AJ318" s="34"/>
      <c r="AK318" s="54"/>
      <c r="AL318" s="33"/>
      <c r="AM318" s="24"/>
      <c r="AN318" s="24"/>
      <c r="AO318" s="24"/>
      <c r="AP318" s="24"/>
      <c r="AQ318" s="25"/>
      <c r="AR318" s="33"/>
      <c r="AS318" s="24"/>
      <c r="AT318" s="24"/>
      <c r="AU318" s="24"/>
      <c r="AV318" s="24"/>
      <c r="AW318" s="49"/>
      <c r="AX318" s="33"/>
      <c r="AY318" s="33"/>
      <c r="AZ318" s="33"/>
      <c r="BA318" s="24"/>
      <c r="BB318" s="24"/>
      <c r="BC318" s="49"/>
      <c r="BD318" s="33"/>
      <c r="BE318" s="33"/>
      <c r="BF318" s="33"/>
      <c r="BG318" s="24"/>
      <c r="BN318" s="34"/>
      <c r="BO318" s="23" t="s">
        <v>404</v>
      </c>
      <c r="BP318">
        <v>1</v>
      </c>
      <c r="BQ318" s="31"/>
      <c r="BR318" s="33"/>
      <c r="BT318" s="34"/>
      <c r="BU318" s="23" t="s">
        <v>434</v>
      </c>
      <c r="BV318" s="22">
        <v>0</v>
      </c>
      <c r="BW318" s="31"/>
      <c r="BX318" s="31"/>
      <c r="BZ318" s="34"/>
      <c r="CF318" s="24"/>
      <c r="CL318" s="24"/>
      <c r="CR318" s="24"/>
    </row>
    <row r="319" spans="18:96" ht="15" x14ac:dyDescent="0.25">
      <c r="S319" s="23" t="s">
        <v>496</v>
      </c>
      <c r="T319">
        <v>0</v>
      </c>
      <c r="U319" s="27"/>
      <c r="V319" s="27"/>
      <c r="AE319" s="34"/>
      <c r="AF319" s="34"/>
      <c r="AG319" s="34"/>
      <c r="AH319" s="34"/>
      <c r="AI319" s="34"/>
      <c r="AJ319" s="34"/>
      <c r="AK319" s="54"/>
      <c r="AL319" s="33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49"/>
      <c r="AX319" s="33"/>
      <c r="AY319" s="33"/>
      <c r="AZ319" s="33"/>
      <c r="BA319" s="24"/>
      <c r="BB319" s="24"/>
      <c r="BC319" s="49"/>
      <c r="BD319" s="33"/>
      <c r="BE319" s="33"/>
      <c r="BF319" s="33"/>
      <c r="BG319" s="24"/>
      <c r="BN319" s="34"/>
      <c r="BO319" s="23" t="s">
        <v>405</v>
      </c>
      <c r="BP319">
        <v>0</v>
      </c>
      <c r="BQ319" s="31"/>
      <c r="BR319" s="33"/>
      <c r="BT319" s="34"/>
      <c r="BU319" s="34"/>
      <c r="BV319" s="34"/>
      <c r="BW319" s="34"/>
      <c r="BX319" s="34"/>
      <c r="BY319" s="34"/>
      <c r="BZ319" s="34"/>
      <c r="CF319" s="24"/>
      <c r="CL319" s="24"/>
      <c r="CR319" s="24"/>
    </row>
    <row r="320" spans="18:96" ht="15" x14ac:dyDescent="0.25">
      <c r="S320" s="23" t="s">
        <v>389</v>
      </c>
      <c r="T320">
        <v>0</v>
      </c>
      <c r="U320" s="27"/>
      <c r="V320" s="27"/>
      <c r="AE320" s="31" t="s">
        <v>100</v>
      </c>
      <c r="AF320" s="32" t="s">
        <v>67</v>
      </c>
      <c r="AG320" s="31"/>
      <c r="AH320" s="31"/>
      <c r="AJ320" s="34"/>
      <c r="AK320" s="54"/>
      <c r="AL320" s="33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49"/>
      <c r="AX320" s="33"/>
      <c r="AY320" s="33"/>
      <c r="AZ320" s="33"/>
      <c r="BA320" s="24"/>
      <c r="BB320" s="24"/>
      <c r="BC320" s="49"/>
      <c r="BD320" s="33"/>
      <c r="BE320" s="33"/>
      <c r="BF320" s="33"/>
      <c r="BG320" s="24"/>
      <c r="BN320" s="34"/>
      <c r="BO320" s="23" t="s">
        <v>406</v>
      </c>
      <c r="BP320">
        <v>0</v>
      </c>
      <c r="BQ320" s="31"/>
      <c r="BR320" s="31"/>
      <c r="BT320" s="34"/>
      <c r="BU320" s="19" t="s">
        <v>100</v>
      </c>
      <c r="BV320" s="35" t="s">
        <v>61</v>
      </c>
      <c r="BZ320" s="34"/>
      <c r="CF320" s="24"/>
      <c r="CL320" s="24"/>
      <c r="CR320" s="24"/>
    </row>
    <row r="321" spans="19:96" ht="15" x14ac:dyDescent="0.25">
      <c r="S321" s="23" t="s">
        <v>497</v>
      </c>
      <c r="T321">
        <v>0</v>
      </c>
      <c r="U321" s="27"/>
      <c r="V321" s="27"/>
      <c r="AE321" s="31" t="s">
        <v>101</v>
      </c>
      <c r="AF321" s="12" t="s">
        <v>16</v>
      </c>
      <c r="AG321" s="31"/>
      <c r="AH321" s="31"/>
      <c r="AJ321" s="34"/>
      <c r="AK321" s="54"/>
      <c r="AL321" s="33"/>
      <c r="AM321" s="24"/>
      <c r="AN321" s="24"/>
      <c r="AO321" s="24"/>
      <c r="AP321" s="24"/>
      <c r="AQ321" s="33"/>
      <c r="AR321" s="24"/>
      <c r="AS321" s="24"/>
      <c r="AT321" s="24"/>
      <c r="AU321" s="24"/>
      <c r="AV321" s="24"/>
      <c r="AW321" s="49"/>
      <c r="AX321" s="33"/>
      <c r="AY321" s="33"/>
      <c r="AZ321" s="33"/>
      <c r="BA321" s="24"/>
      <c r="BB321" s="24"/>
      <c r="BC321" s="49"/>
      <c r="BD321" s="33"/>
      <c r="BE321" s="33"/>
      <c r="BF321" s="33"/>
      <c r="BG321" s="24"/>
      <c r="BN321" s="34"/>
      <c r="BO321" s="23" t="s">
        <v>407</v>
      </c>
      <c r="BP321">
        <v>0</v>
      </c>
      <c r="BQ321" s="31"/>
      <c r="BR321" s="31"/>
      <c r="BT321" s="34"/>
      <c r="BV321" s="12" t="s">
        <v>16</v>
      </c>
      <c r="BZ321" s="34"/>
      <c r="CF321" s="24"/>
      <c r="CL321" s="24"/>
      <c r="CR321" s="24"/>
    </row>
    <row r="322" spans="19:96" ht="15" x14ac:dyDescent="0.25">
      <c r="S322" s="23" t="s">
        <v>498</v>
      </c>
      <c r="T322">
        <v>0</v>
      </c>
      <c r="U322" s="27"/>
      <c r="V322" s="27"/>
      <c r="AE322" s="31" t="s">
        <v>102</v>
      </c>
      <c r="AF322" s="31" t="s">
        <v>71</v>
      </c>
      <c r="AG322" s="31" t="s">
        <v>103</v>
      </c>
      <c r="AH322" s="31" t="s">
        <v>104</v>
      </c>
      <c r="AJ322" s="34"/>
      <c r="AK322" s="54"/>
      <c r="AL322" s="33"/>
      <c r="AM322" s="24"/>
      <c r="AN322" s="24"/>
      <c r="AO322" s="24"/>
      <c r="AP322" s="24"/>
      <c r="AQ322" s="33"/>
      <c r="AR322" s="33"/>
      <c r="AS322" s="33"/>
      <c r="AT322" s="33"/>
      <c r="AU322" s="24"/>
      <c r="AV322" s="24"/>
      <c r="AW322" s="49"/>
      <c r="AX322" s="33"/>
      <c r="AY322" s="33"/>
      <c r="AZ322" s="33"/>
      <c r="BA322" s="24"/>
      <c r="BB322" s="24"/>
      <c r="BC322" s="49"/>
      <c r="BD322" s="33"/>
      <c r="BE322" s="33"/>
      <c r="BF322" s="33"/>
      <c r="BG322" s="24"/>
      <c r="BN322" s="34"/>
      <c r="BO322" s="34"/>
      <c r="BP322" s="34"/>
      <c r="BQ322" s="34"/>
      <c r="BR322" s="34"/>
      <c r="BS322" s="34"/>
      <c r="BT322" s="34"/>
      <c r="BU322" s="31" t="s">
        <v>102</v>
      </c>
      <c r="BV322" s="31" t="s">
        <v>71</v>
      </c>
      <c r="BW322" s="31" t="s">
        <v>103</v>
      </c>
      <c r="BX322" s="31" t="s">
        <v>104</v>
      </c>
      <c r="BZ322" s="34"/>
      <c r="CF322" s="24"/>
      <c r="CL322" s="24"/>
      <c r="CR322" s="24"/>
    </row>
    <row r="323" spans="19:96" ht="15" x14ac:dyDescent="0.25">
      <c r="S323" s="23" t="s">
        <v>499</v>
      </c>
      <c r="T323">
        <v>0</v>
      </c>
      <c r="U323" s="27"/>
      <c r="V323" s="27"/>
      <c r="AE323" s="23" t="s">
        <v>453</v>
      </c>
      <c r="AF323">
        <v>0</v>
      </c>
      <c r="AG323" s="31" t="s">
        <v>106</v>
      </c>
      <c r="AH323" s="31">
        <f>SUM(AF323:AF347)</f>
        <v>25</v>
      </c>
      <c r="AJ323" s="34"/>
      <c r="AK323" s="24"/>
      <c r="AL323" s="24"/>
      <c r="AM323" s="24"/>
      <c r="AN323" s="24"/>
      <c r="AO323" s="24"/>
      <c r="AP323" s="24"/>
      <c r="AQ323" s="49"/>
      <c r="AR323" s="33"/>
      <c r="AS323" s="33"/>
      <c r="AT323" s="33"/>
      <c r="AU323" s="24"/>
      <c r="AV323" s="24"/>
      <c r="AW323" s="49"/>
      <c r="AX323" s="33"/>
      <c r="AY323" s="33"/>
      <c r="AZ323" s="33"/>
      <c r="BA323" s="24"/>
      <c r="BB323" s="24"/>
      <c r="BC323" s="49"/>
      <c r="BD323" s="33"/>
      <c r="BE323" s="33"/>
      <c r="BF323" s="33"/>
      <c r="BG323" s="24"/>
      <c r="BN323" s="34"/>
      <c r="BO323" s="19" t="s">
        <v>100</v>
      </c>
      <c r="BP323" s="35" t="s">
        <v>540</v>
      </c>
      <c r="BR323" s="19">
        <v>2014</v>
      </c>
      <c r="BT323" s="34"/>
      <c r="BU323" s="23" t="s">
        <v>412</v>
      </c>
      <c r="BV323" s="22">
        <v>1</v>
      </c>
      <c r="BW323" s="31" t="s">
        <v>106</v>
      </c>
      <c r="BX323" s="31">
        <f>SUM(BV323:BV347)</f>
        <v>11</v>
      </c>
      <c r="BZ323" s="34"/>
      <c r="CF323" s="24"/>
      <c r="CL323" s="24"/>
      <c r="CR323" s="24"/>
    </row>
    <row r="324" spans="19:96" ht="15" x14ac:dyDescent="0.25">
      <c r="S324" s="23" t="s">
        <v>500</v>
      </c>
      <c r="T324">
        <v>0</v>
      </c>
      <c r="U324" s="27"/>
      <c r="V324" s="27"/>
      <c r="AE324" s="23" t="s">
        <v>454</v>
      </c>
      <c r="AF324">
        <v>0</v>
      </c>
      <c r="AG324" s="31" t="s">
        <v>115</v>
      </c>
      <c r="AH324" s="31">
        <f>MIN(AF323:AF347)</f>
        <v>0</v>
      </c>
      <c r="AJ324" s="34"/>
      <c r="AK324" s="24"/>
      <c r="AL324" s="24"/>
      <c r="AM324" s="24"/>
      <c r="AN324" s="24"/>
      <c r="AO324" s="24"/>
      <c r="AP324" s="24"/>
      <c r="AQ324" s="49"/>
      <c r="AR324" s="33"/>
      <c r="AS324" s="33"/>
      <c r="AT324" s="33"/>
      <c r="AU324" s="24"/>
      <c r="AV324" s="24"/>
      <c r="AW324" s="49"/>
      <c r="AX324" s="33"/>
      <c r="AY324" s="33"/>
      <c r="AZ324" s="33"/>
      <c r="BA324" s="24"/>
      <c r="BB324" s="24"/>
      <c r="BC324" s="49"/>
      <c r="BD324" s="33"/>
      <c r="BE324" s="33"/>
      <c r="BF324" s="33"/>
      <c r="BG324" s="24"/>
      <c r="BN324" s="34"/>
      <c r="BP324" s="12" t="s">
        <v>29</v>
      </c>
      <c r="BT324" s="34"/>
      <c r="BU324" s="22" t="s">
        <v>244</v>
      </c>
      <c r="BV324" s="22">
        <v>0</v>
      </c>
      <c r="BW324" s="31" t="s">
        <v>115</v>
      </c>
      <c r="BX324" s="31">
        <f>MIN(BV323:BV347)</f>
        <v>0</v>
      </c>
      <c r="BZ324" s="34"/>
      <c r="CF324" s="24"/>
      <c r="CL324" s="24"/>
      <c r="CR324" s="24"/>
    </row>
    <row r="325" spans="19:96" ht="15" x14ac:dyDescent="0.25">
      <c r="S325" s="23" t="s">
        <v>501</v>
      </c>
      <c r="T325">
        <v>0</v>
      </c>
      <c r="U325" s="27"/>
      <c r="V325" s="27"/>
      <c r="AE325" s="23" t="s">
        <v>455</v>
      </c>
      <c r="AF325">
        <v>3</v>
      </c>
      <c r="AG325" s="31" t="s">
        <v>122</v>
      </c>
      <c r="AH325" s="31">
        <f>MAX(AF323:AF347)</f>
        <v>4</v>
      </c>
      <c r="AJ325" s="34"/>
      <c r="AK325" s="33"/>
      <c r="AL325" s="24"/>
      <c r="AM325" s="24"/>
      <c r="AN325" s="24"/>
      <c r="AO325" s="24"/>
      <c r="AP325" s="24"/>
      <c r="AQ325" s="49"/>
      <c r="AR325" s="33"/>
      <c r="AS325" s="33"/>
      <c r="AT325" s="33"/>
      <c r="AU325" s="24"/>
      <c r="AV325" s="24"/>
      <c r="AW325" s="49"/>
      <c r="AX325" s="33"/>
      <c r="AY325" s="33"/>
      <c r="AZ325" s="33"/>
      <c r="BA325" s="24"/>
      <c r="BB325" s="24"/>
      <c r="BC325" s="49"/>
      <c r="BD325" s="33"/>
      <c r="BE325" s="33"/>
      <c r="BF325" s="33"/>
      <c r="BG325" s="24"/>
      <c r="BN325" s="34"/>
      <c r="BO325" s="31" t="s">
        <v>102</v>
      </c>
      <c r="BP325" s="31" t="s">
        <v>71</v>
      </c>
      <c r="BQ325" s="31" t="s">
        <v>103</v>
      </c>
      <c r="BR325" s="31" t="s">
        <v>104</v>
      </c>
      <c r="BT325" s="34"/>
      <c r="BU325" s="22" t="s">
        <v>119</v>
      </c>
      <c r="BV325" s="22">
        <v>0</v>
      </c>
      <c r="BW325" s="31" t="s">
        <v>122</v>
      </c>
      <c r="BX325" s="31">
        <f>MAX(BV323:BV347)</f>
        <v>2</v>
      </c>
      <c r="BZ325" s="34"/>
      <c r="CF325" s="24"/>
      <c r="CL325" s="24"/>
      <c r="CR325" s="24"/>
    </row>
    <row r="326" spans="19:96" ht="15" x14ac:dyDescent="0.25">
      <c r="S326" s="23" t="s">
        <v>502</v>
      </c>
      <c r="T326">
        <v>1</v>
      </c>
      <c r="U326" s="27"/>
      <c r="V326" s="27"/>
      <c r="AE326" s="23" t="s">
        <v>456</v>
      </c>
      <c r="AF326">
        <v>1</v>
      </c>
      <c r="AG326" s="31" t="s">
        <v>129</v>
      </c>
      <c r="AH326" s="31">
        <f>VAR(AF323:AF347)</f>
        <v>1.3333333333333333</v>
      </c>
      <c r="AJ326" s="34"/>
      <c r="AK326" s="33"/>
      <c r="AL326" s="33"/>
      <c r="AM326" s="33"/>
      <c r="AN326" s="33"/>
      <c r="AO326" s="24"/>
      <c r="AP326" s="24"/>
      <c r="AQ326" s="49"/>
      <c r="AR326" s="33"/>
      <c r="AS326" s="33"/>
      <c r="AT326" s="33"/>
      <c r="AU326" s="24"/>
      <c r="AV326" s="24"/>
      <c r="AW326" s="49"/>
      <c r="AX326" s="33"/>
      <c r="AY326" s="33"/>
      <c r="AZ326" s="33"/>
      <c r="BA326" s="24"/>
      <c r="BB326" s="24"/>
      <c r="BC326" s="49"/>
      <c r="BD326" s="33"/>
      <c r="BE326" s="33"/>
      <c r="BF326" s="33"/>
      <c r="BG326" s="24"/>
      <c r="BN326" s="34"/>
      <c r="BO326" s="23" t="s">
        <v>390</v>
      </c>
      <c r="BP326">
        <v>11</v>
      </c>
      <c r="BQ326" s="31" t="s">
        <v>106</v>
      </c>
      <c r="BR326" s="31">
        <f>SUM(BP326:BP344)</f>
        <v>243</v>
      </c>
      <c r="BT326" s="34"/>
      <c r="BU326" s="22" t="s">
        <v>413</v>
      </c>
      <c r="BV326" s="22">
        <v>0</v>
      </c>
      <c r="BW326" s="31" t="s">
        <v>129</v>
      </c>
      <c r="BX326" s="31">
        <f>VAR(BV323:BV347)</f>
        <v>0.34</v>
      </c>
      <c r="BZ326" s="34"/>
      <c r="CF326" s="24"/>
      <c r="CL326" s="24"/>
      <c r="CR326" s="24"/>
    </row>
    <row r="327" spans="19:96" ht="15" x14ac:dyDescent="0.25">
      <c r="S327" s="23" t="s">
        <v>350</v>
      </c>
      <c r="T327">
        <v>1</v>
      </c>
      <c r="U327" s="27"/>
      <c r="V327" s="27"/>
      <c r="AE327" s="23" t="s">
        <v>259</v>
      </c>
      <c r="AF327">
        <v>1</v>
      </c>
      <c r="AG327" s="31" t="s">
        <v>138</v>
      </c>
      <c r="AH327" s="31">
        <f>AVERAGE(AF323:AF347)</f>
        <v>1</v>
      </c>
      <c r="AJ327" s="34"/>
      <c r="AK327" s="54"/>
      <c r="AL327" s="33"/>
      <c r="AM327" s="33"/>
      <c r="AN327" s="33"/>
      <c r="AO327" s="24"/>
      <c r="AP327" s="24"/>
      <c r="AQ327" s="49"/>
      <c r="AR327" s="33"/>
      <c r="AS327" s="33"/>
      <c r="AT327" s="33"/>
      <c r="AU327" s="24"/>
      <c r="AV327" s="24"/>
      <c r="AW327" s="49"/>
      <c r="AX327" s="33"/>
      <c r="AY327" s="33"/>
      <c r="AZ327" s="33"/>
      <c r="BA327" s="24"/>
      <c r="BB327" s="24"/>
      <c r="BC327" s="49"/>
      <c r="BD327" s="33"/>
      <c r="BE327" s="33"/>
      <c r="BF327" s="33"/>
      <c r="BG327" s="24"/>
      <c r="BN327" s="34"/>
      <c r="BO327" s="23" t="s">
        <v>391</v>
      </c>
      <c r="BP327">
        <v>7</v>
      </c>
      <c r="BQ327" s="31" t="s">
        <v>115</v>
      </c>
      <c r="BR327" s="31">
        <f>MIN(BP326:BP344)</f>
        <v>2</v>
      </c>
      <c r="BT327" s="34"/>
      <c r="BU327" s="22" t="s">
        <v>414</v>
      </c>
      <c r="BV327" s="22">
        <v>0</v>
      </c>
      <c r="BW327" s="31" t="s">
        <v>138</v>
      </c>
      <c r="BX327" s="31">
        <f>AVERAGE(BV323:BV347)</f>
        <v>0.44</v>
      </c>
      <c r="BZ327" s="34"/>
      <c r="CF327" s="24"/>
      <c r="CL327" s="24"/>
      <c r="CR327" s="24"/>
    </row>
    <row r="328" spans="19:96" ht="15" x14ac:dyDescent="0.25">
      <c r="S328" s="23" t="s">
        <v>503</v>
      </c>
      <c r="T328">
        <v>0</v>
      </c>
      <c r="U328" s="27"/>
      <c r="V328" s="27"/>
      <c r="AE328" s="23" t="s">
        <v>457</v>
      </c>
      <c r="AF328">
        <v>1</v>
      </c>
      <c r="AG328" s="31" t="s">
        <v>144</v>
      </c>
      <c r="AH328" s="31">
        <f>STDEV(AF323:AF347)</f>
        <v>1.1547005383792515</v>
      </c>
      <c r="AJ328" s="34"/>
      <c r="AK328" s="54"/>
      <c r="AL328" s="33"/>
      <c r="AM328" s="33"/>
      <c r="AN328" s="33"/>
      <c r="AO328" s="24"/>
      <c r="AP328" s="24"/>
      <c r="AQ328" s="49"/>
      <c r="AR328" s="33"/>
      <c r="AS328" s="33"/>
      <c r="AT328" s="33"/>
      <c r="AU328" s="24"/>
      <c r="AV328" s="24"/>
      <c r="AW328" s="49"/>
      <c r="AX328" s="33"/>
      <c r="AY328" s="33"/>
      <c r="AZ328" s="33"/>
      <c r="BA328" s="24"/>
      <c r="BB328" s="24"/>
      <c r="BC328" s="49"/>
      <c r="BD328" s="33"/>
      <c r="BE328" s="33"/>
      <c r="BF328" s="33"/>
      <c r="BG328" s="24"/>
      <c r="BN328" s="34"/>
      <c r="BO328" s="23" t="s">
        <v>392</v>
      </c>
      <c r="BP328">
        <v>11</v>
      </c>
      <c r="BQ328" s="31" t="s">
        <v>122</v>
      </c>
      <c r="BR328" s="31">
        <f>MAX(BP326:BP344)</f>
        <v>25</v>
      </c>
      <c r="BT328" s="34"/>
      <c r="BU328" s="22" t="s">
        <v>415</v>
      </c>
      <c r="BV328" s="22">
        <v>0</v>
      </c>
      <c r="BW328" s="31" t="s">
        <v>144</v>
      </c>
      <c r="BX328" s="31">
        <f>STDEV(BV323:BV347)</f>
        <v>0.5830951894845301</v>
      </c>
      <c r="BZ328" s="34"/>
      <c r="CF328" s="24"/>
      <c r="CL328" s="24"/>
      <c r="CR328" s="24"/>
    </row>
    <row r="329" spans="19:96" ht="15" x14ac:dyDescent="0.25">
      <c r="S329" s="23" t="s">
        <v>504</v>
      </c>
      <c r="T329">
        <v>0</v>
      </c>
      <c r="U329" s="25"/>
      <c r="V329" s="25"/>
      <c r="AE329" s="23" t="s">
        <v>458</v>
      </c>
      <c r="AF329">
        <v>1</v>
      </c>
      <c r="AG329" s="31"/>
      <c r="AH329" s="31"/>
      <c r="AJ329" s="34"/>
      <c r="AK329" s="25"/>
      <c r="AL329" s="33"/>
      <c r="AM329" s="33"/>
      <c r="AN329" s="33"/>
      <c r="AO329" s="24"/>
      <c r="AP329" s="24"/>
      <c r="AQ329" s="49"/>
      <c r="AR329" s="33"/>
      <c r="AS329" s="33"/>
      <c r="AT329" s="33"/>
      <c r="AU329" s="24"/>
      <c r="AV329" s="24"/>
      <c r="AW329" s="25"/>
      <c r="AX329" s="33"/>
      <c r="AY329" s="24"/>
      <c r="AZ329" s="24"/>
      <c r="BA329" s="24"/>
      <c r="BB329" s="24"/>
      <c r="BC329" s="25"/>
      <c r="BD329" s="33"/>
      <c r="BE329" s="24"/>
      <c r="BF329" s="24"/>
      <c r="BG329" s="24"/>
      <c r="BN329" s="34"/>
      <c r="BO329" s="23" t="s">
        <v>393</v>
      </c>
      <c r="BP329">
        <v>9</v>
      </c>
      <c r="BQ329" s="31" t="s">
        <v>129</v>
      </c>
      <c r="BR329" s="31">
        <f>VAR(BP326:BP344)</f>
        <v>38.619883040935669</v>
      </c>
      <c r="BT329" s="34"/>
      <c r="BU329" s="22" t="s">
        <v>416</v>
      </c>
      <c r="BV329" s="22">
        <v>0</v>
      </c>
      <c r="BW329" s="31"/>
      <c r="BX329" s="31"/>
      <c r="BZ329" s="34"/>
      <c r="CF329" s="24"/>
      <c r="CL329" s="24"/>
      <c r="CR329" s="24"/>
    </row>
    <row r="330" spans="19:96" ht="15" x14ac:dyDescent="0.25">
      <c r="S330" s="34"/>
      <c r="T330" s="34"/>
      <c r="U330" s="34"/>
      <c r="V330" s="34"/>
      <c r="W330" s="34"/>
      <c r="AE330" s="23" t="s">
        <v>459</v>
      </c>
      <c r="AF330">
        <v>1</v>
      </c>
      <c r="AG330" s="31"/>
      <c r="AH330" s="31"/>
      <c r="AJ330" s="34"/>
      <c r="AK330" s="54"/>
      <c r="AL330" s="33"/>
      <c r="AM330" s="33"/>
      <c r="AN330" s="33"/>
      <c r="AO330" s="24"/>
      <c r="AP330" s="24"/>
      <c r="AQ330" s="49"/>
      <c r="AR330" s="33"/>
      <c r="AS330" s="33"/>
      <c r="AT330" s="33"/>
      <c r="AU330" s="24"/>
      <c r="AV330" s="24"/>
      <c r="AW330" s="49"/>
      <c r="AX330" s="33"/>
      <c r="AY330" s="24"/>
      <c r="AZ330" s="24"/>
      <c r="BA330" s="24"/>
      <c r="BB330" s="24"/>
      <c r="BC330" s="49"/>
      <c r="BD330" s="33"/>
      <c r="BE330" s="24"/>
      <c r="BF330" s="24"/>
      <c r="BG330" s="24"/>
      <c r="BN330" s="34"/>
      <c r="BO330" s="23" t="s">
        <v>394</v>
      </c>
      <c r="BP330">
        <v>7</v>
      </c>
      <c r="BQ330" s="31" t="s">
        <v>138</v>
      </c>
      <c r="BR330" s="31">
        <f>AVERAGE(BP326:BP344)</f>
        <v>12.789473684210526</v>
      </c>
      <c r="BT330" s="34"/>
      <c r="BU330" s="22" t="s">
        <v>417</v>
      </c>
      <c r="BV330" s="22">
        <v>1</v>
      </c>
      <c r="BW330" s="31"/>
      <c r="BX330" s="31"/>
      <c r="BZ330" s="34"/>
      <c r="CF330" s="24"/>
      <c r="CL330" s="24"/>
      <c r="CR330" s="24"/>
    </row>
    <row r="331" spans="19:96" ht="15" x14ac:dyDescent="0.25">
      <c r="S331" s="27" t="s">
        <v>100</v>
      </c>
      <c r="T331" s="30" t="s">
        <v>524</v>
      </c>
      <c r="U331" s="27"/>
      <c r="V331" s="27">
        <v>2014</v>
      </c>
      <c r="AE331" s="23" t="s">
        <v>460</v>
      </c>
      <c r="AF331">
        <v>2</v>
      </c>
      <c r="AG331" s="33"/>
      <c r="AH331" s="33"/>
      <c r="AJ331" s="34"/>
      <c r="AK331" s="54"/>
      <c r="AL331" s="33"/>
      <c r="AM331" s="33"/>
      <c r="AN331" s="33"/>
      <c r="AO331" s="24"/>
      <c r="AP331" s="24"/>
      <c r="AQ331" s="49"/>
      <c r="AR331" s="33"/>
      <c r="AS331" s="33"/>
      <c r="AT331" s="33"/>
      <c r="AU331" s="24"/>
      <c r="AV331" s="24"/>
      <c r="AW331" s="49"/>
      <c r="AX331" s="33"/>
      <c r="AY331" s="24"/>
      <c r="AZ331" s="24"/>
      <c r="BA331" s="24"/>
      <c r="BB331" s="24"/>
      <c r="BC331" s="49"/>
      <c r="BD331" s="33"/>
      <c r="BE331" s="24"/>
      <c r="BF331" s="24"/>
      <c r="BG331" s="24"/>
      <c r="BN331" s="34"/>
      <c r="BO331" s="23" t="s">
        <v>395</v>
      </c>
      <c r="BP331">
        <v>7</v>
      </c>
      <c r="BQ331" s="31" t="s">
        <v>144</v>
      </c>
      <c r="BR331" s="31">
        <f>STDEV(BP326:BP344)</f>
        <v>6.2144897651324253</v>
      </c>
      <c r="BT331" s="34"/>
      <c r="BU331" s="22" t="s">
        <v>418</v>
      </c>
      <c r="BV331" s="22">
        <v>0</v>
      </c>
      <c r="BW331" s="31"/>
      <c r="BX331" s="31"/>
      <c r="BZ331" s="34"/>
      <c r="CF331" s="24"/>
      <c r="CL331" s="24"/>
      <c r="CR331" s="24"/>
    </row>
    <row r="332" spans="19:96" ht="15" x14ac:dyDescent="0.25">
      <c r="S332" s="27" t="s">
        <v>101</v>
      </c>
      <c r="T332" s="12" t="s">
        <v>27</v>
      </c>
      <c r="U332" s="27"/>
      <c r="V332" s="27"/>
      <c r="AE332" s="23" t="s">
        <v>461</v>
      </c>
      <c r="AF332">
        <v>2</v>
      </c>
      <c r="AG332" s="31"/>
      <c r="AH332" s="31"/>
      <c r="AJ332" s="34"/>
      <c r="AK332" s="54"/>
      <c r="AL332" s="33"/>
      <c r="AM332" s="33"/>
      <c r="AN332" s="33"/>
      <c r="AO332" s="24"/>
      <c r="AP332" s="24"/>
      <c r="AQ332" s="49"/>
      <c r="AR332" s="33"/>
      <c r="AS332" s="33"/>
      <c r="AT332" s="33"/>
      <c r="AU332" s="24"/>
      <c r="AV332" s="24"/>
      <c r="AW332" s="49"/>
      <c r="AX332" s="33"/>
      <c r="AY332" s="24"/>
      <c r="AZ332" s="24"/>
      <c r="BA332" s="24"/>
      <c r="BB332" s="24"/>
      <c r="BC332" s="49"/>
      <c r="BD332" s="33"/>
      <c r="BE332" s="24"/>
      <c r="BF332" s="24"/>
      <c r="BG332" s="24"/>
      <c r="BN332" s="34"/>
      <c r="BO332" s="23" t="s">
        <v>396</v>
      </c>
      <c r="BP332">
        <v>7</v>
      </c>
      <c r="BQ332" s="31"/>
      <c r="BR332" s="31"/>
      <c r="BT332" s="34"/>
      <c r="BU332" s="22" t="s">
        <v>419</v>
      </c>
      <c r="BV332" s="22">
        <v>2</v>
      </c>
      <c r="BW332" s="31"/>
      <c r="BX332" s="31"/>
      <c r="BZ332" s="34"/>
      <c r="CF332" s="24"/>
      <c r="CL332" s="24"/>
      <c r="CR332" s="24"/>
    </row>
    <row r="333" spans="19:96" ht="15" x14ac:dyDescent="0.25">
      <c r="S333" s="27" t="s">
        <v>102</v>
      </c>
      <c r="T333" s="27" t="s">
        <v>71</v>
      </c>
      <c r="U333" s="27" t="s">
        <v>103</v>
      </c>
      <c r="V333" s="27" t="s">
        <v>104</v>
      </c>
      <c r="AE333" s="23" t="s">
        <v>462</v>
      </c>
      <c r="AF333">
        <v>4</v>
      </c>
      <c r="AG333" s="24"/>
      <c r="AH333" s="24"/>
      <c r="AJ333" s="34"/>
      <c r="AK333" s="54"/>
      <c r="AL333" s="33"/>
      <c r="AM333" s="33"/>
      <c r="AN333" s="33"/>
      <c r="AO333" s="24"/>
      <c r="AP333" s="24"/>
      <c r="AQ333" s="49"/>
      <c r="AR333" s="33"/>
      <c r="AS333" s="33"/>
      <c r="AT333" s="33"/>
      <c r="AU333" s="24"/>
      <c r="AV333" s="24"/>
      <c r="AW333" s="49"/>
      <c r="AX333" s="33"/>
      <c r="AY333" s="24"/>
      <c r="AZ333" s="24"/>
      <c r="BA333" s="24"/>
      <c r="BB333" s="24"/>
      <c r="BC333" s="49"/>
      <c r="BD333" s="33"/>
      <c r="BE333" s="24"/>
      <c r="BF333" s="24"/>
      <c r="BG333" s="24"/>
      <c r="BN333" s="34"/>
      <c r="BO333" s="23" t="s">
        <v>397</v>
      </c>
      <c r="BP333">
        <v>2</v>
      </c>
      <c r="BQ333" s="31"/>
      <c r="BR333" s="31"/>
      <c r="BT333" s="34"/>
      <c r="BU333" s="22" t="s">
        <v>420</v>
      </c>
      <c r="BV333" s="22">
        <v>0</v>
      </c>
      <c r="BW333" s="31"/>
      <c r="BX333" s="31"/>
      <c r="BZ333" s="34"/>
      <c r="CF333" s="24"/>
      <c r="CL333" s="24"/>
      <c r="CR333" s="24"/>
    </row>
    <row r="334" spans="19:96" ht="15" x14ac:dyDescent="0.25">
      <c r="S334" s="23" t="s">
        <v>489</v>
      </c>
      <c r="T334">
        <v>0</v>
      </c>
      <c r="U334" s="31" t="s">
        <v>106</v>
      </c>
      <c r="V334" s="27">
        <f>SUM(T334:T351)</f>
        <v>23</v>
      </c>
      <c r="AE334" s="23" t="s">
        <v>463</v>
      </c>
      <c r="AF334">
        <v>0</v>
      </c>
      <c r="AG334" s="31"/>
      <c r="AH334" s="31"/>
      <c r="AJ334" s="34"/>
      <c r="AK334" s="54"/>
      <c r="AL334" s="33"/>
      <c r="AM334" s="33"/>
      <c r="AN334" s="33"/>
      <c r="AO334" s="24"/>
      <c r="AP334" s="24"/>
      <c r="AQ334" s="49"/>
      <c r="AR334" s="33"/>
      <c r="AS334" s="33"/>
      <c r="AT334" s="33"/>
      <c r="AU334" s="24"/>
      <c r="AV334" s="24"/>
      <c r="AW334" s="49"/>
      <c r="AX334" s="33"/>
      <c r="AY334" s="24"/>
      <c r="AZ334" s="24"/>
      <c r="BA334" s="24"/>
      <c r="BB334" s="24"/>
      <c r="BC334" s="49"/>
      <c r="BD334" s="33"/>
      <c r="BE334" s="24"/>
      <c r="BF334" s="24"/>
      <c r="BG334" s="24"/>
      <c r="BN334" s="34"/>
      <c r="BO334" s="23" t="s">
        <v>398</v>
      </c>
      <c r="BP334">
        <v>15</v>
      </c>
      <c r="BQ334" s="31"/>
      <c r="BR334" s="31"/>
      <c r="BT334" s="34"/>
      <c r="BU334" s="22" t="s">
        <v>421</v>
      </c>
      <c r="BV334" s="22">
        <v>1</v>
      </c>
      <c r="BW334" s="31"/>
      <c r="BX334" s="31"/>
      <c r="BZ334" s="34"/>
      <c r="CF334" s="24"/>
      <c r="CL334" s="24"/>
      <c r="CR334" s="24"/>
    </row>
    <row r="335" spans="19:96" ht="15" x14ac:dyDescent="0.25">
      <c r="S335" s="23" t="s">
        <v>490</v>
      </c>
      <c r="T335">
        <v>0</v>
      </c>
      <c r="U335" s="31" t="s">
        <v>115</v>
      </c>
      <c r="V335" s="27">
        <f>MIN(T334:T351)</f>
        <v>0</v>
      </c>
      <c r="AE335" s="23" t="s">
        <v>464</v>
      </c>
      <c r="AF335">
        <v>0</v>
      </c>
      <c r="AG335" s="31"/>
      <c r="AH335" s="31"/>
      <c r="AJ335" s="34"/>
      <c r="AK335" s="54"/>
      <c r="AL335" s="33"/>
      <c r="AM335" s="33"/>
      <c r="AN335" s="33"/>
      <c r="AO335" s="24"/>
      <c r="AP335" s="24"/>
      <c r="AQ335" s="25"/>
      <c r="AR335" s="33"/>
      <c r="AS335" s="24"/>
      <c r="AT335" s="24"/>
      <c r="AU335" s="24"/>
      <c r="AV335" s="24"/>
      <c r="AW335" s="49"/>
      <c r="AX335" s="33"/>
      <c r="AY335" s="24"/>
      <c r="AZ335" s="24"/>
      <c r="BA335" s="24"/>
      <c r="BB335" s="24"/>
      <c r="BC335" s="49"/>
      <c r="BD335" s="33"/>
      <c r="BE335" s="24"/>
      <c r="BF335" s="24"/>
      <c r="BG335" s="24"/>
      <c r="BN335" s="34"/>
      <c r="BO335" s="23" t="s">
        <v>399</v>
      </c>
      <c r="BP335">
        <v>21</v>
      </c>
      <c r="BQ335" s="31"/>
      <c r="BR335" s="31"/>
      <c r="BT335" s="34"/>
      <c r="BU335" s="22" t="s">
        <v>422</v>
      </c>
      <c r="BV335" s="22">
        <v>1</v>
      </c>
      <c r="BW335" s="31"/>
      <c r="BX335" s="31"/>
      <c r="BZ335" s="34"/>
      <c r="CF335" s="24"/>
      <c r="CL335" s="24"/>
      <c r="CR335" s="24"/>
    </row>
    <row r="336" spans="19:96" ht="15" x14ac:dyDescent="0.25">
      <c r="S336" s="23" t="s">
        <v>491</v>
      </c>
      <c r="T336">
        <v>2</v>
      </c>
      <c r="U336" s="31" t="s">
        <v>122</v>
      </c>
      <c r="V336" s="27">
        <f>MAX(T334:T351)</f>
        <v>4</v>
      </c>
      <c r="AE336" s="23" t="s">
        <v>465</v>
      </c>
      <c r="AF336">
        <v>0</v>
      </c>
      <c r="AG336" s="31"/>
      <c r="AH336" s="31"/>
      <c r="AJ336" s="34"/>
      <c r="AK336" s="54"/>
      <c r="AL336" s="33"/>
      <c r="AM336" s="33"/>
      <c r="AN336" s="33"/>
      <c r="AO336" s="24"/>
      <c r="AP336" s="24"/>
      <c r="AQ336" s="49"/>
      <c r="AR336" s="33"/>
      <c r="AS336" s="24"/>
      <c r="AT336" s="24"/>
      <c r="AU336" s="24"/>
      <c r="AV336" s="24"/>
      <c r="AW336" s="49"/>
      <c r="AX336" s="33"/>
      <c r="AY336" s="24"/>
      <c r="AZ336" s="24"/>
      <c r="BA336" s="24"/>
      <c r="BB336" s="24"/>
      <c r="BC336" s="49"/>
      <c r="BD336" s="33"/>
      <c r="BE336" s="24"/>
      <c r="BF336" s="24"/>
      <c r="BG336" s="24"/>
      <c r="BN336" s="34"/>
      <c r="BO336" s="23" t="s">
        <v>214</v>
      </c>
      <c r="BP336">
        <v>16</v>
      </c>
      <c r="BQ336" s="31"/>
      <c r="BR336" s="31"/>
      <c r="BT336" s="34"/>
      <c r="BU336" s="23" t="s">
        <v>423</v>
      </c>
      <c r="BV336" s="22">
        <v>1</v>
      </c>
      <c r="BW336" s="31"/>
      <c r="BX336" s="31"/>
      <c r="BZ336" s="34"/>
      <c r="CF336" s="24"/>
      <c r="CL336" s="24"/>
      <c r="CR336" s="24"/>
    </row>
    <row r="337" spans="19:96" ht="15" x14ac:dyDescent="0.25">
      <c r="S337" s="23" t="s">
        <v>492</v>
      </c>
      <c r="T337">
        <v>0</v>
      </c>
      <c r="U337" s="31" t="s">
        <v>129</v>
      </c>
      <c r="V337" s="27">
        <f>VAR(T334:T351)</f>
        <v>1.3888888888888888</v>
      </c>
      <c r="AE337" s="23" t="s">
        <v>466</v>
      </c>
      <c r="AF337">
        <v>0</v>
      </c>
      <c r="AG337" s="31"/>
      <c r="AH337" s="31"/>
      <c r="AJ337" s="34"/>
      <c r="AK337" s="54"/>
      <c r="AL337" s="33"/>
      <c r="AM337" s="33"/>
      <c r="AN337" s="33"/>
      <c r="AO337" s="24"/>
      <c r="AP337" s="24"/>
      <c r="AQ337" s="49"/>
      <c r="AR337" s="33"/>
      <c r="AS337" s="24"/>
      <c r="AT337" s="24"/>
      <c r="AU337" s="24"/>
      <c r="AV337" s="24"/>
      <c r="AW337" s="49"/>
      <c r="AX337" s="33"/>
      <c r="AY337" s="24"/>
      <c r="AZ337" s="24"/>
      <c r="BA337" s="24"/>
      <c r="BB337" s="24"/>
      <c r="BC337" s="49"/>
      <c r="BD337" s="33"/>
      <c r="BE337" s="24"/>
      <c r="BF337" s="24"/>
      <c r="BG337" s="24"/>
      <c r="BN337" s="34"/>
      <c r="BO337" s="23" t="s">
        <v>400</v>
      </c>
      <c r="BP337">
        <v>21</v>
      </c>
      <c r="BQ337" s="31"/>
      <c r="BR337" s="31"/>
      <c r="BT337" s="34"/>
      <c r="BU337" s="22" t="s">
        <v>424</v>
      </c>
      <c r="BV337" s="22">
        <v>0</v>
      </c>
      <c r="BW337" s="31"/>
      <c r="BX337" s="31"/>
      <c r="BZ337" s="34"/>
      <c r="CF337" s="24"/>
      <c r="CL337" s="24"/>
      <c r="CR337" s="24"/>
    </row>
    <row r="338" spans="19:96" ht="15" x14ac:dyDescent="0.25">
      <c r="S338" s="23" t="s">
        <v>493</v>
      </c>
      <c r="T338">
        <v>4</v>
      </c>
      <c r="U338" s="31" t="s">
        <v>138</v>
      </c>
      <c r="V338" s="27">
        <f>AVERAGE(T334:T351)</f>
        <v>1.2777777777777777</v>
      </c>
      <c r="AE338" s="23" t="s">
        <v>467</v>
      </c>
      <c r="AF338">
        <v>3</v>
      </c>
      <c r="AG338" s="31"/>
      <c r="AH338" s="31"/>
      <c r="AJ338" s="34"/>
      <c r="AK338" s="54"/>
      <c r="AL338" s="33"/>
      <c r="AM338" s="33"/>
      <c r="AN338" s="33"/>
      <c r="AO338" s="24"/>
      <c r="AP338" s="24"/>
      <c r="AQ338" s="49"/>
      <c r="AR338" s="33"/>
      <c r="AS338" s="24"/>
      <c r="AT338" s="24"/>
      <c r="AU338" s="24"/>
      <c r="AV338" s="24"/>
      <c r="AW338" s="49"/>
      <c r="AX338" s="33"/>
      <c r="AY338" s="24"/>
      <c r="AZ338" s="24"/>
      <c r="BA338" s="24"/>
      <c r="BB338" s="24"/>
      <c r="BC338" s="49"/>
      <c r="BD338" s="33"/>
      <c r="BE338" s="24"/>
      <c r="BF338" s="24"/>
      <c r="BG338" s="24"/>
      <c r="BN338" s="34"/>
      <c r="BO338" s="23" t="s">
        <v>401</v>
      </c>
      <c r="BP338">
        <v>25</v>
      </c>
      <c r="BQ338" s="33"/>
      <c r="BR338" s="33"/>
      <c r="BT338" s="34"/>
      <c r="BU338" s="23" t="s">
        <v>425</v>
      </c>
      <c r="BV338" s="22">
        <v>0</v>
      </c>
      <c r="BW338" s="31"/>
      <c r="BX338" s="31"/>
      <c r="BZ338" s="34"/>
      <c r="CF338" s="24"/>
      <c r="CL338" s="24"/>
      <c r="CR338" s="24"/>
    </row>
    <row r="339" spans="19:96" ht="15" x14ac:dyDescent="0.25">
      <c r="S339" s="23" t="s">
        <v>494</v>
      </c>
      <c r="T339">
        <v>3</v>
      </c>
      <c r="U339" s="31" t="s">
        <v>144</v>
      </c>
      <c r="V339" s="27">
        <f>STDEV(T334:T351)</f>
        <v>1.1785113019775793</v>
      </c>
      <c r="AE339" s="23" t="s">
        <v>468</v>
      </c>
      <c r="AF339">
        <v>0</v>
      </c>
      <c r="AG339" s="31"/>
      <c r="AH339" s="31"/>
      <c r="AJ339" s="34"/>
      <c r="AK339" s="54"/>
      <c r="AL339" s="33"/>
      <c r="AM339" s="24"/>
      <c r="AN339" s="24"/>
      <c r="AO339" s="24"/>
      <c r="AP339" s="24"/>
      <c r="AQ339" s="49"/>
      <c r="AR339" s="33"/>
      <c r="AS339" s="24"/>
      <c r="AT339" s="24"/>
      <c r="AU339" s="24"/>
      <c r="AV339" s="24"/>
      <c r="AW339" s="49"/>
      <c r="AX339" s="33"/>
      <c r="AY339" s="24"/>
      <c r="AZ339" s="24"/>
      <c r="BA339" s="24"/>
      <c r="BB339" s="24"/>
      <c r="BC339" s="49"/>
      <c r="BD339" s="33"/>
      <c r="BE339" s="24"/>
      <c r="BF339" s="24"/>
      <c r="BG339" s="24"/>
      <c r="BN339" s="34"/>
      <c r="BO339" s="23" t="s">
        <v>402</v>
      </c>
      <c r="BP339">
        <v>15</v>
      </c>
      <c r="BQ339" s="31"/>
      <c r="BR339" s="33"/>
      <c r="BT339" s="34"/>
      <c r="BU339" s="23" t="s">
        <v>426</v>
      </c>
      <c r="BV339" s="22">
        <v>0</v>
      </c>
      <c r="BW339" s="31"/>
      <c r="BX339" s="31"/>
      <c r="BZ339" s="34"/>
      <c r="CF339" s="24"/>
      <c r="CL339" s="24"/>
      <c r="CR339" s="24"/>
    </row>
    <row r="340" spans="19:96" ht="15" x14ac:dyDescent="0.25">
      <c r="S340" s="23" t="s">
        <v>495</v>
      </c>
      <c r="T340">
        <v>2</v>
      </c>
      <c r="U340" s="27"/>
      <c r="V340" s="27"/>
      <c r="AE340" s="23" t="s">
        <v>469</v>
      </c>
      <c r="AF340">
        <v>1</v>
      </c>
      <c r="AG340" s="31"/>
      <c r="AH340" s="31"/>
      <c r="AJ340" s="34"/>
      <c r="AK340" s="54"/>
      <c r="AL340" s="33"/>
      <c r="AM340" s="24"/>
      <c r="AN340" s="24"/>
      <c r="AO340" s="24"/>
      <c r="AP340" s="24"/>
      <c r="AQ340" s="49"/>
      <c r="AR340" s="33"/>
      <c r="AS340" s="24"/>
      <c r="AT340" s="24"/>
      <c r="AU340" s="24"/>
      <c r="AV340" s="24"/>
      <c r="AW340" s="49"/>
      <c r="AX340" s="33"/>
      <c r="AY340" s="24"/>
      <c r="AZ340" s="24"/>
      <c r="BA340" s="24"/>
      <c r="BB340" s="24"/>
      <c r="BC340" s="49"/>
      <c r="BD340" s="33"/>
      <c r="BE340" s="24"/>
      <c r="BF340" s="24"/>
      <c r="BG340" s="24"/>
      <c r="BN340" s="34"/>
      <c r="BO340" s="23" t="s">
        <v>403</v>
      </c>
      <c r="BP340">
        <v>15</v>
      </c>
      <c r="BQ340" s="31"/>
      <c r="BR340" s="33"/>
      <c r="BT340" s="34"/>
      <c r="BU340" s="23" t="s">
        <v>427</v>
      </c>
      <c r="BV340" s="22">
        <v>0</v>
      </c>
      <c r="BW340" s="31"/>
      <c r="BX340" s="31"/>
      <c r="BZ340" s="34"/>
      <c r="CF340" s="24"/>
      <c r="CL340" s="24"/>
      <c r="CR340" s="24"/>
    </row>
    <row r="341" spans="19:96" ht="15" x14ac:dyDescent="0.25">
      <c r="S341" s="23" t="s">
        <v>496</v>
      </c>
      <c r="T341">
        <v>2</v>
      </c>
      <c r="U341" s="27"/>
      <c r="V341" s="27"/>
      <c r="AE341" s="23" t="s">
        <v>470</v>
      </c>
      <c r="AF341">
        <v>0</v>
      </c>
      <c r="AG341" s="31"/>
      <c r="AH341" s="31"/>
      <c r="AJ341" s="34"/>
      <c r="AK341" s="54"/>
      <c r="AL341" s="33"/>
      <c r="AM341" s="24"/>
      <c r="AN341" s="24"/>
      <c r="AO341" s="24"/>
      <c r="AP341" s="24"/>
      <c r="AQ341" s="49"/>
      <c r="AR341" s="33"/>
      <c r="AS341" s="24"/>
      <c r="AT341" s="24"/>
      <c r="AU341" s="24"/>
      <c r="AV341" s="24"/>
      <c r="AW341" s="49"/>
      <c r="AX341" s="33"/>
      <c r="AY341" s="24"/>
      <c r="AZ341" s="24"/>
      <c r="BA341" s="24"/>
      <c r="BB341" s="24"/>
      <c r="BC341" s="49"/>
      <c r="BD341" s="33"/>
      <c r="BE341" s="24"/>
      <c r="BF341" s="24"/>
      <c r="BG341" s="24"/>
      <c r="BN341" s="34"/>
      <c r="BO341" s="23" t="s">
        <v>404</v>
      </c>
      <c r="BP341">
        <v>13</v>
      </c>
      <c r="BQ341" s="31"/>
      <c r="BR341" s="33"/>
      <c r="BT341" s="34"/>
      <c r="BU341" s="23" t="s">
        <v>428</v>
      </c>
      <c r="BV341" s="22">
        <v>1</v>
      </c>
      <c r="BW341" s="31"/>
      <c r="BX341" s="31"/>
      <c r="BZ341" s="34"/>
      <c r="CF341" s="24"/>
      <c r="CL341" s="24"/>
      <c r="CR341" s="24"/>
    </row>
    <row r="342" spans="19:96" ht="15" x14ac:dyDescent="0.25">
      <c r="S342" s="23" t="s">
        <v>389</v>
      </c>
      <c r="T342">
        <v>1</v>
      </c>
      <c r="U342" s="27"/>
      <c r="V342" s="27"/>
      <c r="AE342" s="23" t="s">
        <v>471</v>
      </c>
      <c r="AF342">
        <v>2</v>
      </c>
      <c r="AG342" s="31"/>
      <c r="AH342" s="31"/>
      <c r="AJ342" s="34"/>
      <c r="AK342" s="54"/>
      <c r="AL342" s="33"/>
      <c r="AM342" s="24"/>
      <c r="AN342" s="24"/>
      <c r="AO342" s="24"/>
      <c r="AP342" s="24"/>
      <c r="AQ342" s="49"/>
      <c r="AR342" s="33"/>
      <c r="AS342" s="24"/>
      <c r="AT342" s="24"/>
      <c r="AU342" s="24"/>
      <c r="AV342" s="24"/>
      <c r="AW342" s="49"/>
      <c r="AX342" s="33"/>
      <c r="AY342" s="24"/>
      <c r="AZ342" s="24"/>
      <c r="BA342" s="24"/>
      <c r="BB342" s="24"/>
      <c r="BC342" s="49"/>
      <c r="BD342" s="33"/>
      <c r="BE342" s="24"/>
      <c r="BF342" s="24"/>
      <c r="BG342" s="24"/>
      <c r="BN342" s="34"/>
      <c r="BO342" s="23" t="s">
        <v>405</v>
      </c>
      <c r="BP342">
        <v>6</v>
      </c>
      <c r="BQ342" s="31"/>
      <c r="BR342" s="33"/>
      <c r="BT342" s="34"/>
      <c r="BU342" s="23" t="s">
        <v>429</v>
      </c>
      <c r="BV342" s="22">
        <v>1</v>
      </c>
      <c r="BW342" s="31"/>
      <c r="BX342" s="31"/>
      <c r="BZ342" s="34"/>
      <c r="CF342" s="24"/>
      <c r="CL342" s="24"/>
      <c r="CR342" s="24"/>
    </row>
    <row r="343" spans="19:96" ht="15" x14ac:dyDescent="0.25">
      <c r="S343" s="23" t="s">
        <v>497</v>
      </c>
      <c r="T343">
        <v>0</v>
      </c>
      <c r="U343" s="27"/>
      <c r="V343" s="27"/>
      <c r="AE343" s="23" t="s">
        <v>472</v>
      </c>
      <c r="AF343">
        <v>1</v>
      </c>
      <c r="AJ343" s="34"/>
      <c r="AK343" s="54"/>
      <c r="AL343" s="33"/>
      <c r="AM343" s="24"/>
      <c r="AN343" s="24"/>
      <c r="AO343" s="24"/>
      <c r="AP343" s="24"/>
      <c r="AQ343" s="49"/>
      <c r="AR343" s="33"/>
      <c r="AS343" s="24"/>
      <c r="AT343" s="24"/>
      <c r="AU343" s="24"/>
      <c r="AV343" s="24"/>
      <c r="AW343" s="49"/>
      <c r="AX343" s="33"/>
      <c r="AY343" s="24"/>
      <c r="AZ343" s="24"/>
      <c r="BA343" s="24"/>
      <c r="BB343" s="24"/>
      <c r="BC343" s="49"/>
      <c r="BD343" s="33"/>
      <c r="BE343" s="24"/>
      <c r="BF343" s="24"/>
      <c r="BG343" s="24"/>
      <c r="BN343" s="34"/>
      <c r="BO343" s="23" t="s">
        <v>406</v>
      </c>
      <c r="BP343">
        <v>14</v>
      </c>
      <c r="BQ343" s="31"/>
      <c r="BR343" s="31"/>
      <c r="BT343" s="34"/>
      <c r="BU343" s="23" t="s">
        <v>430</v>
      </c>
      <c r="BV343" s="22">
        <v>1</v>
      </c>
      <c r="BW343" s="31"/>
      <c r="BX343" s="31"/>
      <c r="BZ343" s="34"/>
      <c r="CF343" s="24"/>
      <c r="CL343" s="24"/>
      <c r="CR343" s="24"/>
    </row>
    <row r="344" spans="19:96" ht="15" x14ac:dyDescent="0.25">
      <c r="S344" s="23" t="s">
        <v>498</v>
      </c>
      <c r="T344">
        <v>0</v>
      </c>
      <c r="U344" s="27"/>
      <c r="V344" s="27"/>
      <c r="AE344" s="23" t="s">
        <v>362</v>
      </c>
      <c r="AF344">
        <v>0</v>
      </c>
      <c r="AJ344" s="34"/>
      <c r="AK344" s="54"/>
      <c r="AL344" s="33"/>
      <c r="AM344" s="24"/>
      <c r="AN344" s="24"/>
      <c r="AO344" s="24"/>
      <c r="AP344" s="24"/>
      <c r="AQ344" s="49"/>
      <c r="AR344" s="33"/>
      <c r="AS344" s="24"/>
      <c r="AT344" s="24"/>
      <c r="AU344" s="24"/>
      <c r="AV344" s="24"/>
      <c r="AW344" s="49"/>
      <c r="AX344" s="33"/>
      <c r="AY344" s="24"/>
      <c r="AZ344" s="24"/>
      <c r="BA344" s="24"/>
      <c r="BB344" s="24"/>
      <c r="BC344" s="49"/>
      <c r="BD344" s="33"/>
      <c r="BE344" s="24"/>
      <c r="BF344" s="24"/>
      <c r="BG344" s="24"/>
      <c r="BN344" s="34"/>
      <c r="BO344" s="23" t="s">
        <v>407</v>
      </c>
      <c r="BP344">
        <v>21</v>
      </c>
      <c r="BQ344" s="31"/>
      <c r="BR344" s="31"/>
      <c r="BT344" s="34"/>
      <c r="BU344" s="23" t="s">
        <v>431</v>
      </c>
      <c r="BV344" s="22">
        <v>0</v>
      </c>
      <c r="BW344" s="31"/>
      <c r="BX344" s="31"/>
      <c r="BZ344" s="34"/>
      <c r="CF344" s="24"/>
      <c r="CL344" s="24"/>
      <c r="CR344" s="24"/>
    </row>
    <row r="345" spans="19:96" ht="15" x14ac:dyDescent="0.25">
      <c r="S345" s="23" t="s">
        <v>499</v>
      </c>
      <c r="T345">
        <v>2</v>
      </c>
      <c r="U345" s="27"/>
      <c r="V345" s="27"/>
      <c r="AE345" s="23" t="s">
        <v>473</v>
      </c>
      <c r="AF345">
        <v>0</v>
      </c>
      <c r="AJ345" s="34"/>
      <c r="AK345" s="54"/>
      <c r="AL345" s="33"/>
      <c r="AM345" s="24"/>
      <c r="AN345" s="24"/>
      <c r="AO345" s="24"/>
      <c r="AP345" s="24"/>
      <c r="AQ345" s="49"/>
      <c r="AR345" s="33"/>
      <c r="AS345" s="24"/>
      <c r="AT345" s="24"/>
      <c r="AU345" s="24"/>
      <c r="AV345" s="24"/>
      <c r="AW345" s="49"/>
      <c r="AX345" s="33"/>
      <c r="AY345" s="24"/>
      <c r="AZ345" s="24"/>
      <c r="BA345" s="24"/>
      <c r="BB345" s="24"/>
      <c r="BC345" s="49"/>
      <c r="BD345" s="33"/>
      <c r="BE345" s="24"/>
      <c r="BF345" s="24"/>
      <c r="BG345" s="24"/>
      <c r="BN345" s="34"/>
      <c r="BO345" s="34"/>
      <c r="BP345" s="34"/>
      <c r="BQ345" s="34"/>
      <c r="BR345" s="34"/>
      <c r="BS345" s="34"/>
      <c r="BT345" s="34"/>
      <c r="BU345" s="23" t="s">
        <v>432</v>
      </c>
      <c r="BV345" s="22">
        <v>1</v>
      </c>
      <c r="BW345" s="31"/>
      <c r="BX345" s="31"/>
      <c r="BZ345" s="34"/>
      <c r="CF345" s="24"/>
      <c r="CL345" s="24"/>
      <c r="CR345" s="24"/>
    </row>
    <row r="346" spans="19:96" ht="15" x14ac:dyDescent="0.25">
      <c r="S346" s="23" t="s">
        <v>500</v>
      </c>
      <c r="T346">
        <v>0</v>
      </c>
      <c r="U346" s="27"/>
      <c r="V346" s="27"/>
      <c r="AE346" s="23" t="s">
        <v>474</v>
      </c>
      <c r="AF346">
        <v>0</v>
      </c>
      <c r="AJ346" s="34"/>
      <c r="AK346" s="54"/>
      <c r="AL346" s="33"/>
      <c r="AM346" s="24"/>
      <c r="AN346" s="24"/>
      <c r="AO346" s="24"/>
      <c r="AP346" s="24"/>
      <c r="AQ346" s="49"/>
      <c r="AR346" s="33"/>
      <c r="AS346" s="24"/>
      <c r="AT346" s="24"/>
      <c r="AU346" s="24"/>
      <c r="AV346" s="24"/>
      <c r="AW346" s="49"/>
      <c r="AX346" s="33"/>
      <c r="AY346" s="24"/>
      <c r="AZ346" s="24"/>
      <c r="BA346" s="24"/>
      <c r="BB346" s="24"/>
      <c r="BC346" s="49"/>
      <c r="BD346" s="33"/>
      <c r="BE346" s="24"/>
      <c r="BF346" s="24"/>
      <c r="BG346" s="24"/>
      <c r="BN346" s="34"/>
      <c r="BO346" s="19" t="s">
        <v>100</v>
      </c>
      <c r="BP346" s="35" t="s">
        <v>540</v>
      </c>
      <c r="BR346" s="19">
        <v>2014</v>
      </c>
      <c r="BT346" s="34"/>
      <c r="BU346" s="23" t="s">
        <v>433</v>
      </c>
      <c r="BV346" s="22">
        <v>0</v>
      </c>
      <c r="BW346" s="31"/>
      <c r="BX346" s="31"/>
      <c r="BZ346" s="34"/>
      <c r="CF346" s="24"/>
      <c r="CL346" s="24"/>
      <c r="CR346" s="24"/>
    </row>
    <row r="347" spans="19:96" ht="15" x14ac:dyDescent="0.25">
      <c r="S347" s="23" t="s">
        <v>501</v>
      </c>
      <c r="T347">
        <v>2</v>
      </c>
      <c r="U347" s="27"/>
      <c r="V347" s="27"/>
      <c r="AE347" s="23" t="s">
        <v>475</v>
      </c>
      <c r="AF347">
        <v>2</v>
      </c>
      <c r="AJ347" s="34"/>
      <c r="AK347" s="54"/>
      <c r="AL347" s="33"/>
      <c r="AM347" s="24"/>
      <c r="AN347" s="24"/>
      <c r="AO347" s="24"/>
      <c r="AP347" s="24"/>
      <c r="AQ347" s="49"/>
      <c r="AR347" s="33"/>
      <c r="AS347" s="24"/>
      <c r="AT347" s="24"/>
      <c r="AU347" s="24"/>
      <c r="AV347" s="24"/>
      <c r="AW347" s="49"/>
      <c r="AX347" s="33"/>
      <c r="AY347" s="24"/>
      <c r="AZ347" s="24"/>
      <c r="BA347" s="24"/>
      <c r="BB347" s="24"/>
      <c r="BC347" s="49"/>
      <c r="BD347" s="33"/>
      <c r="BE347" s="24"/>
      <c r="BF347" s="24"/>
      <c r="BG347" s="24"/>
      <c r="BN347" s="34"/>
      <c r="BP347" s="12" t="s">
        <v>30</v>
      </c>
      <c r="BT347" s="34"/>
      <c r="BU347" s="23" t="s">
        <v>434</v>
      </c>
      <c r="BV347" s="22">
        <v>0</v>
      </c>
      <c r="BW347" s="31"/>
      <c r="BX347" s="31"/>
      <c r="BZ347" s="34"/>
      <c r="CF347" s="24"/>
      <c r="CL347" s="24"/>
      <c r="CR347" s="24"/>
    </row>
    <row r="348" spans="19:96" ht="15" x14ac:dyDescent="0.25">
      <c r="S348" s="23" t="s">
        <v>502</v>
      </c>
      <c r="T348">
        <v>2</v>
      </c>
      <c r="U348" s="27"/>
      <c r="V348" s="27"/>
      <c r="AE348" s="34"/>
      <c r="AF348" s="34"/>
      <c r="AG348" s="34"/>
      <c r="AH348" s="34"/>
      <c r="AI348" s="34"/>
      <c r="AJ348" s="34"/>
      <c r="AK348" s="54"/>
      <c r="AL348" s="33"/>
      <c r="AM348" s="24"/>
      <c r="AN348" s="24"/>
      <c r="AO348" s="24"/>
      <c r="AP348" s="24"/>
      <c r="AQ348" s="49"/>
      <c r="AR348" s="33"/>
      <c r="AS348" s="24"/>
      <c r="AT348" s="24"/>
      <c r="AU348" s="24"/>
      <c r="AV348" s="24"/>
      <c r="AW348" s="49"/>
      <c r="AX348" s="33"/>
      <c r="AY348" s="24"/>
      <c r="AZ348" s="24"/>
      <c r="BA348" s="24"/>
      <c r="BB348" s="24"/>
      <c r="BC348" s="49"/>
      <c r="BD348" s="33"/>
      <c r="BE348" s="24"/>
      <c r="BF348" s="24"/>
      <c r="BG348" s="24"/>
      <c r="BN348" s="34"/>
      <c r="BO348" s="31" t="s">
        <v>102</v>
      </c>
      <c r="BP348" s="31" t="s">
        <v>71</v>
      </c>
      <c r="BQ348" s="31" t="s">
        <v>103</v>
      </c>
      <c r="BR348" s="31" t="s">
        <v>104</v>
      </c>
      <c r="BT348" s="34"/>
      <c r="BU348" s="34"/>
      <c r="BV348" s="34"/>
      <c r="BW348" s="34"/>
      <c r="BX348" s="34"/>
      <c r="BY348" s="34"/>
      <c r="BZ348" s="34"/>
      <c r="CF348" s="24"/>
      <c r="CL348" s="24"/>
      <c r="CR348" s="24"/>
    </row>
    <row r="349" spans="19:96" ht="15" x14ac:dyDescent="0.25">
      <c r="S349" s="23" t="s">
        <v>350</v>
      </c>
      <c r="T349">
        <v>1</v>
      </c>
      <c r="U349" s="27"/>
      <c r="V349" s="27"/>
      <c r="AE349" s="31" t="s">
        <v>100</v>
      </c>
      <c r="AF349" s="32" t="s">
        <v>67</v>
      </c>
      <c r="AG349" s="31"/>
      <c r="AH349" s="31"/>
      <c r="AJ349" s="34"/>
      <c r="AK349" s="54"/>
      <c r="AL349" s="33"/>
      <c r="AM349" s="24"/>
      <c r="AN349" s="24"/>
      <c r="AO349" s="24"/>
      <c r="AP349" s="24"/>
      <c r="AQ349" s="49"/>
      <c r="AR349" s="33"/>
      <c r="AS349" s="24"/>
      <c r="AT349" s="24"/>
      <c r="AU349" s="24"/>
      <c r="AV349" s="24"/>
      <c r="AW349" s="49"/>
      <c r="AX349" s="33"/>
      <c r="AY349" s="24"/>
      <c r="AZ349" s="24"/>
      <c r="BA349" s="24"/>
      <c r="BB349" s="24"/>
      <c r="BC349" s="49"/>
      <c r="BD349" s="33"/>
      <c r="BE349" s="24"/>
      <c r="BF349" s="24"/>
      <c r="BG349" s="24"/>
      <c r="BN349" s="34"/>
      <c r="BO349" s="23" t="s">
        <v>390</v>
      </c>
      <c r="BP349">
        <v>0</v>
      </c>
      <c r="BQ349" s="31" t="s">
        <v>106</v>
      </c>
      <c r="BR349" s="31">
        <f>SUM(BP349:BP367)</f>
        <v>1</v>
      </c>
      <c r="BT349" s="34"/>
      <c r="BU349" s="19" t="s">
        <v>100</v>
      </c>
      <c r="BV349" s="35" t="s">
        <v>61</v>
      </c>
      <c r="BZ349" s="34"/>
      <c r="CF349" s="24"/>
      <c r="CL349" s="24"/>
      <c r="CR349" s="24"/>
    </row>
    <row r="350" spans="19:96" ht="15" x14ac:dyDescent="0.25">
      <c r="S350" s="23" t="s">
        <v>503</v>
      </c>
      <c r="T350">
        <v>1</v>
      </c>
      <c r="U350" s="27"/>
      <c r="V350" s="27"/>
      <c r="AE350" s="31" t="s">
        <v>101</v>
      </c>
      <c r="AF350" s="12" t="s">
        <v>17</v>
      </c>
      <c r="AG350" s="31"/>
      <c r="AH350" s="31"/>
      <c r="AJ350" s="34"/>
      <c r="AK350" s="54"/>
      <c r="AL350" s="33"/>
      <c r="AM350" s="24"/>
      <c r="AN350" s="24"/>
      <c r="AO350" s="24"/>
      <c r="AP350" s="24"/>
      <c r="AQ350" s="49"/>
      <c r="AR350" s="33"/>
      <c r="AS350" s="24"/>
      <c r="AT350" s="24"/>
      <c r="AU350" s="24"/>
      <c r="AV350" s="24"/>
      <c r="AW350" s="49"/>
      <c r="AX350" s="33"/>
      <c r="AY350" s="24"/>
      <c r="AZ350" s="24"/>
      <c r="BA350" s="24"/>
      <c r="BB350" s="24"/>
      <c r="BC350" s="49"/>
      <c r="BD350" s="33"/>
      <c r="BE350" s="24"/>
      <c r="BF350" s="24"/>
      <c r="BG350" s="24"/>
      <c r="BN350" s="34"/>
      <c r="BO350" s="23" t="s">
        <v>391</v>
      </c>
      <c r="BP350">
        <v>0</v>
      </c>
      <c r="BQ350" s="31" t="s">
        <v>115</v>
      </c>
      <c r="BR350" s="31">
        <f>MIN(BP349:BP367)</f>
        <v>0</v>
      </c>
      <c r="BT350" s="34"/>
      <c r="BV350" s="12" t="s">
        <v>17</v>
      </c>
      <c r="BZ350" s="34"/>
      <c r="CF350" s="24"/>
      <c r="CL350" s="24"/>
      <c r="CR350" s="24"/>
    </row>
    <row r="351" spans="19:96" ht="15" x14ac:dyDescent="0.25">
      <c r="S351" s="23" t="s">
        <v>504</v>
      </c>
      <c r="T351">
        <v>1</v>
      </c>
      <c r="U351" s="25"/>
      <c r="V351" s="25"/>
      <c r="AE351" s="31" t="s">
        <v>102</v>
      </c>
      <c r="AF351" s="31" t="s">
        <v>71</v>
      </c>
      <c r="AG351" s="31" t="s">
        <v>103</v>
      </c>
      <c r="AH351" s="31" t="s">
        <v>104</v>
      </c>
      <c r="AJ351" s="34"/>
      <c r="AK351" s="54"/>
      <c r="AL351" s="33"/>
      <c r="AM351" s="24"/>
      <c r="AN351" s="24"/>
      <c r="AO351" s="24"/>
      <c r="AP351" s="24"/>
      <c r="AQ351" s="49"/>
      <c r="AR351" s="33"/>
      <c r="AS351" s="24"/>
      <c r="AT351" s="24"/>
      <c r="AU351" s="24"/>
      <c r="AV351" s="24"/>
      <c r="AW351" s="49"/>
      <c r="AX351" s="33"/>
      <c r="AY351" s="24"/>
      <c r="AZ351" s="24"/>
      <c r="BA351" s="24"/>
      <c r="BB351" s="24"/>
      <c r="BC351" s="49"/>
      <c r="BD351" s="33"/>
      <c r="BE351" s="24"/>
      <c r="BF351" s="24"/>
      <c r="BG351" s="24"/>
      <c r="BN351" s="34"/>
      <c r="BO351" s="23" t="s">
        <v>392</v>
      </c>
      <c r="BP351">
        <v>0</v>
      </c>
      <c r="BQ351" s="31" t="s">
        <v>122</v>
      </c>
      <c r="BR351" s="31">
        <f>MAX(BP349:BP367)</f>
        <v>1</v>
      </c>
      <c r="BT351" s="34"/>
      <c r="BU351" s="31" t="s">
        <v>102</v>
      </c>
      <c r="BV351" s="31" t="s">
        <v>71</v>
      </c>
      <c r="BW351" s="31" t="s">
        <v>103</v>
      </c>
      <c r="BX351" s="31" t="s">
        <v>104</v>
      </c>
      <c r="BZ351" s="34"/>
      <c r="CF351" s="24"/>
      <c r="CL351" s="24"/>
      <c r="CR351" s="24"/>
    </row>
    <row r="352" spans="19:96" ht="15" x14ac:dyDescent="0.25">
      <c r="S352" s="34"/>
      <c r="T352" s="34"/>
      <c r="U352" s="34"/>
      <c r="V352" s="34"/>
      <c r="W352" s="34"/>
      <c r="AE352" s="23" t="s">
        <v>453</v>
      </c>
      <c r="AF352">
        <v>1</v>
      </c>
      <c r="AG352" s="31" t="s">
        <v>106</v>
      </c>
      <c r="AH352" s="31">
        <f>SUM(AF352:AF376)</f>
        <v>360</v>
      </c>
      <c r="AJ352" s="34"/>
      <c r="AK352" s="24"/>
      <c r="AL352" s="24"/>
      <c r="AM352" s="24"/>
      <c r="AN352" s="24"/>
      <c r="AO352" s="24"/>
      <c r="AP352" s="24"/>
      <c r="AQ352" s="49"/>
      <c r="AR352" s="33"/>
      <c r="AS352" s="24"/>
      <c r="AT352" s="24"/>
      <c r="AU352" s="24"/>
      <c r="AV352" s="24"/>
      <c r="AW352" s="49"/>
      <c r="AX352" s="33"/>
      <c r="AY352" s="24"/>
      <c r="AZ352" s="24"/>
      <c r="BA352" s="24"/>
      <c r="BB352" s="24"/>
      <c r="BC352" s="49"/>
      <c r="BD352" s="33"/>
      <c r="BE352" s="24"/>
      <c r="BF352" s="24"/>
      <c r="BG352" s="24"/>
      <c r="BN352" s="34"/>
      <c r="BO352" s="23" t="s">
        <v>393</v>
      </c>
      <c r="BP352">
        <v>0</v>
      </c>
      <c r="BQ352" s="31" t="s">
        <v>129</v>
      </c>
      <c r="BR352" s="31">
        <f>VAR(BP349:BP367)</f>
        <v>5.2631578947368425E-2</v>
      </c>
      <c r="BT352" s="34"/>
      <c r="BU352" s="23" t="s">
        <v>412</v>
      </c>
      <c r="BV352" s="22">
        <v>22</v>
      </c>
      <c r="BW352" s="31" t="s">
        <v>106</v>
      </c>
      <c r="BX352" s="31">
        <f>SUM(BV352:BV376)</f>
        <v>600</v>
      </c>
      <c r="BZ352" s="34"/>
      <c r="CF352" s="24"/>
      <c r="CL352" s="24"/>
      <c r="CR352" s="24"/>
    </row>
    <row r="353" spans="19:96" ht="15" x14ac:dyDescent="0.25">
      <c r="S353" s="27" t="s">
        <v>100</v>
      </c>
      <c r="T353" s="30" t="s">
        <v>524</v>
      </c>
      <c r="U353" s="27"/>
      <c r="V353" s="27">
        <v>2014</v>
      </c>
      <c r="AE353" s="23" t="s">
        <v>454</v>
      </c>
      <c r="AF353">
        <v>1</v>
      </c>
      <c r="AG353" s="31" t="s">
        <v>115</v>
      </c>
      <c r="AH353" s="31">
        <f>MIN(AF352:AF376)</f>
        <v>1</v>
      </c>
      <c r="AJ353" s="34"/>
      <c r="AK353" s="24"/>
      <c r="AL353" s="24"/>
      <c r="AM353" s="24"/>
      <c r="AN353" s="24"/>
      <c r="AO353" s="24"/>
      <c r="AP353" s="24"/>
      <c r="AQ353" s="49"/>
      <c r="AR353" s="33"/>
      <c r="AS353" s="24"/>
      <c r="AT353" s="24"/>
      <c r="AU353" s="24"/>
      <c r="AV353" s="24"/>
      <c r="AW353" s="49"/>
      <c r="AX353" s="33"/>
      <c r="AY353" s="24"/>
      <c r="AZ353" s="24"/>
      <c r="BA353" s="24"/>
      <c r="BB353" s="24"/>
      <c r="BC353" s="49"/>
      <c r="BD353" s="33"/>
      <c r="BE353" s="24"/>
      <c r="BF353" s="24"/>
      <c r="BG353" s="24"/>
      <c r="BN353" s="34"/>
      <c r="BO353" s="23" t="s">
        <v>394</v>
      </c>
      <c r="BP353">
        <v>0</v>
      </c>
      <c r="BQ353" s="31" t="s">
        <v>138</v>
      </c>
      <c r="BR353" s="31">
        <f>AVERAGE(BP349:BP367)</f>
        <v>5.2631578947368418E-2</v>
      </c>
      <c r="BT353" s="34"/>
      <c r="BU353" s="22" t="s">
        <v>244</v>
      </c>
      <c r="BV353" s="22">
        <v>5</v>
      </c>
      <c r="BW353" s="31" t="s">
        <v>115</v>
      </c>
      <c r="BX353" s="31">
        <f>MIN(BV352:BV376)</f>
        <v>1</v>
      </c>
      <c r="BZ353" s="34"/>
      <c r="CF353" s="24"/>
      <c r="CL353" s="24"/>
      <c r="CR353" s="24"/>
    </row>
    <row r="354" spans="19:96" ht="15" x14ac:dyDescent="0.25">
      <c r="S354" s="27" t="s">
        <v>101</v>
      </c>
      <c r="T354" s="12" t="s">
        <v>28</v>
      </c>
      <c r="U354" s="27"/>
      <c r="V354" s="27"/>
      <c r="AE354" s="23" t="s">
        <v>455</v>
      </c>
      <c r="AF354">
        <v>57</v>
      </c>
      <c r="AG354" s="31" t="s">
        <v>122</v>
      </c>
      <c r="AH354" s="31">
        <f>MAX(AF352:AF376)</f>
        <v>57</v>
      </c>
      <c r="AJ354" s="34"/>
      <c r="AK354" s="33"/>
      <c r="AL354" s="24"/>
      <c r="AM354" s="24"/>
      <c r="AN354" s="24"/>
      <c r="AO354" s="24"/>
      <c r="AP354" s="24"/>
      <c r="AQ354" s="49"/>
      <c r="AR354" s="33"/>
      <c r="AS354" s="24"/>
      <c r="AT354" s="24"/>
      <c r="AU354" s="24"/>
      <c r="AV354" s="24"/>
      <c r="AW354" s="49"/>
      <c r="AX354" s="33"/>
      <c r="AY354" s="24"/>
      <c r="AZ354" s="24"/>
      <c r="BA354" s="24"/>
      <c r="BB354" s="24"/>
      <c r="BC354" s="49"/>
      <c r="BD354" s="33"/>
      <c r="BE354" s="24"/>
      <c r="BF354" s="24"/>
      <c r="BG354" s="24"/>
      <c r="BN354" s="34"/>
      <c r="BO354" s="23" t="s">
        <v>395</v>
      </c>
      <c r="BP354">
        <v>0</v>
      </c>
      <c r="BQ354" s="31" t="s">
        <v>144</v>
      </c>
      <c r="BR354" s="31">
        <f>STDEV(BP349:BP367)</f>
        <v>0.22941573387056177</v>
      </c>
      <c r="BT354" s="34"/>
      <c r="BU354" s="22" t="s">
        <v>119</v>
      </c>
      <c r="BV354" s="22">
        <v>13</v>
      </c>
      <c r="BW354" s="31" t="s">
        <v>122</v>
      </c>
      <c r="BX354" s="31">
        <f>MAX(BV352:BV376)</f>
        <v>63</v>
      </c>
      <c r="BZ354" s="34"/>
      <c r="CF354" s="24"/>
      <c r="CL354" s="24"/>
      <c r="CR354" s="24"/>
    </row>
    <row r="355" spans="19:96" ht="15" x14ac:dyDescent="0.25">
      <c r="S355" s="27" t="s">
        <v>102</v>
      </c>
      <c r="T355" s="27" t="s">
        <v>71</v>
      </c>
      <c r="U355" s="27" t="s">
        <v>103</v>
      </c>
      <c r="V355" s="27" t="s">
        <v>104</v>
      </c>
      <c r="AE355" s="23" t="s">
        <v>456</v>
      </c>
      <c r="AF355">
        <v>18</v>
      </c>
      <c r="AG355" s="31" t="s">
        <v>129</v>
      </c>
      <c r="AH355" s="31">
        <f>VAR(AF352:AF376)</f>
        <v>159.08333333333334</v>
      </c>
      <c r="AJ355" s="34"/>
      <c r="AK355" s="33"/>
      <c r="AL355" s="33"/>
      <c r="AM355" s="33"/>
      <c r="AN355" s="33"/>
      <c r="AO355" s="24"/>
      <c r="AP355" s="24"/>
      <c r="AQ355" s="49"/>
      <c r="AR355" s="33"/>
      <c r="AS355" s="24"/>
      <c r="AT355" s="24"/>
      <c r="AU355" s="24"/>
      <c r="AV355" s="24"/>
      <c r="AW355" s="49"/>
      <c r="AX355" s="33"/>
      <c r="AY355" s="24"/>
      <c r="AZ355" s="24"/>
      <c r="BA355" s="24"/>
      <c r="BB355" s="24"/>
      <c r="BC355" s="49"/>
      <c r="BD355" s="33"/>
      <c r="BE355" s="24"/>
      <c r="BF355" s="24"/>
      <c r="BG355" s="24"/>
      <c r="BN355" s="34"/>
      <c r="BO355" s="23" t="s">
        <v>396</v>
      </c>
      <c r="BP355">
        <v>0</v>
      </c>
      <c r="BQ355" s="31"/>
      <c r="BR355" s="31"/>
      <c r="BT355" s="34"/>
      <c r="BU355" s="22" t="s">
        <v>413</v>
      </c>
      <c r="BV355" s="22">
        <v>1</v>
      </c>
      <c r="BW355" s="31" t="s">
        <v>129</v>
      </c>
      <c r="BX355" s="31">
        <f>VAR(BV352:BV376)</f>
        <v>285.08333333333331</v>
      </c>
      <c r="BZ355" s="34"/>
      <c r="CF355" s="24"/>
      <c r="CL355" s="24"/>
      <c r="CR355" s="24"/>
    </row>
    <row r="356" spans="19:96" ht="15" x14ac:dyDescent="0.25">
      <c r="S356" s="23" t="s">
        <v>489</v>
      </c>
      <c r="T356">
        <v>0</v>
      </c>
      <c r="U356" s="31" t="s">
        <v>106</v>
      </c>
      <c r="V356" s="27">
        <f>SUM(T356:T373)</f>
        <v>1</v>
      </c>
      <c r="AE356" s="23" t="s">
        <v>259</v>
      </c>
      <c r="AF356">
        <v>11</v>
      </c>
      <c r="AG356" s="31" t="s">
        <v>138</v>
      </c>
      <c r="AH356" s="31">
        <f>AVERAGE(AF352:AF376)</f>
        <v>14.4</v>
      </c>
      <c r="AJ356" s="34"/>
      <c r="AK356" s="54"/>
      <c r="AL356" s="33"/>
      <c r="AM356" s="33"/>
      <c r="AN356" s="33"/>
      <c r="AO356" s="24"/>
      <c r="AP356" s="24"/>
      <c r="AQ356" s="49"/>
      <c r="AR356" s="33"/>
      <c r="AS356" s="24"/>
      <c r="AT356" s="24"/>
      <c r="AU356" s="24"/>
      <c r="AV356" s="24"/>
      <c r="AW356" s="49"/>
      <c r="AX356" s="33"/>
      <c r="AY356" s="24"/>
      <c r="AZ356" s="24"/>
      <c r="BA356" s="24"/>
      <c r="BB356" s="24"/>
      <c r="BC356" s="49"/>
      <c r="BD356" s="33"/>
      <c r="BE356" s="24"/>
      <c r="BF356" s="24"/>
      <c r="BG356" s="24"/>
      <c r="BN356" s="34"/>
      <c r="BO356" s="23" t="s">
        <v>397</v>
      </c>
      <c r="BP356">
        <v>0</v>
      </c>
      <c r="BQ356" s="31"/>
      <c r="BR356" s="31"/>
      <c r="BT356" s="34"/>
      <c r="BU356" s="22" t="s">
        <v>414</v>
      </c>
      <c r="BV356" s="22">
        <v>8</v>
      </c>
      <c r="BW356" s="31" t="s">
        <v>138</v>
      </c>
      <c r="BX356" s="31">
        <f>AVERAGE(BV352:BV376)</f>
        <v>24</v>
      </c>
      <c r="BZ356" s="34"/>
      <c r="CF356" s="24"/>
      <c r="CL356" s="24"/>
      <c r="CR356" s="24"/>
    </row>
    <row r="357" spans="19:96" ht="15" x14ac:dyDescent="0.25">
      <c r="S357" s="23" t="s">
        <v>490</v>
      </c>
      <c r="T357">
        <v>0</v>
      </c>
      <c r="U357" s="31" t="s">
        <v>115</v>
      </c>
      <c r="V357" s="27">
        <f>MIN(T356:T373)</f>
        <v>0</v>
      </c>
      <c r="AE357" s="23" t="s">
        <v>457</v>
      </c>
      <c r="AF357">
        <v>6</v>
      </c>
      <c r="AG357" s="31" t="s">
        <v>144</v>
      </c>
      <c r="AH357" s="31">
        <f>STDEV(AF352:AF376)</f>
        <v>12.612824161675027</v>
      </c>
      <c r="AJ357" s="34"/>
      <c r="AK357" s="54"/>
      <c r="AL357" s="33"/>
      <c r="AM357" s="33"/>
      <c r="AN357" s="33"/>
      <c r="AO357" s="24"/>
      <c r="AP357" s="24"/>
      <c r="AQ357" s="49"/>
      <c r="AR357" s="33"/>
      <c r="AS357" s="24"/>
      <c r="AT357" s="24"/>
      <c r="AU357" s="24"/>
      <c r="AV357" s="24"/>
      <c r="AW357" s="49"/>
      <c r="AX357" s="33"/>
      <c r="AY357" s="24"/>
      <c r="AZ357" s="24"/>
      <c r="BA357" s="24"/>
      <c r="BB357" s="24"/>
      <c r="BC357" s="49"/>
      <c r="BD357" s="33"/>
      <c r="BE357" s="24"/>
      <c r="BF357" s="24"/>
      <c r="BG357" s="24"/>
      <c r="BN357" s="34"/>
      <c r="BO357" s="23" t="s">
        <v>398</v>
      </c>
      <c r="BP357">
        <v>0</v>
      </c>
      <c r="BQ357" s="31"/>
      <c r="BR357" s="31"/>
      <c r="BT357" s="34"/>
      <c r="BU357" s="22" t="s">
        <v>415</v>
      </c>
      <c r="BV357" s="22">
        <v>14</v>
      </c>
      <c r="BW357" s="31" t="s">
        <v>144</v>
      </c>
      <c r="BX357" s="31">
        <f>STDEV(BV352:BV376)</f>
        <v>16.884410956066347</v>
      </c>
      <c r="BZ357" s="34"/>
      <c r="CF357" s="24"/>
      <c r="CL357" s="24"/>
      <c r="CR357" s="24"/>
    </row>
    <row r="358" spans="19:96" ht="15" x14ac:dyDescent="0.25">
      <c r="S358" s="23" t="s">
        <v>491</v>
      </c>
      <c r="T358">
        <v>0</v>
      </c>
      <c r="U358" s="31" t="s">
        <v>122</v>
      </c>
      <c r="V358" s="27">
        <f>MAX(T356:T373)</f>
        <v>1</v>
      </c>
      <c r="AE358" s="23" t="s">
        <v>458</v>
      </c>
      <c r="AF358">
        <v>18</v>
      </c>
      <c r="AG358" s="31"/>
      <c r="AH358" s="31"/>
      <c r="AJ358" s="34"/>
      <c r="AK358" s="25"/>
      <c r="AL358" s="33"/>
      <c r="AM358" s="33"/>
      <c r="AN358" s="33"/>
      <c r="AO358" s="24"/>
      <c r="AP358" s="24"/>
      <c r="AQ358" s="49"/>
      <c r="AR358" s="33"/>
      <c r="AS358" s="24"/>
      <c r="AT358" s="24"/>
      <c r="AU358" s="24"/>
      <c r="AV358" s="24"/>
      <c r="AW358" s="49"/>
      <c r="AX358" s="33"/>
      <c r="AY358" s="24"/>
      <c r="AZ358" s="24"/>
      <c r="BA358" s="24"/>
      <c r="BB358" s="24"/>
      <c r="BC358" s="49"/>
      <c r="BD358" s="33"/>
      <c r="BE358" s="24"/>
      <c r="BF358" s="24"/>
      <c r="BG358" s="24"/>
      <c r="BN358" s="34"/>
      <c r="BO358" s="23" t="s">
        <v>399</v>
      </c>
      <c r="BP358">
        <v>0</v>
      </c>
      <c r="BQ358" s="31"/>
      <c r="BR358" s="31"/>
      <c r="BT358" s="34"/>
      <c r="BU358" s="22" t="s">
        <v>416</v>
      </c>
      <c r="BV358" s="22">
        <v>8</v>
      </c>
      <c r="BW358" s="31"/>
      <c r="BX358" s="31"/>
      <c r="BZ358" s="34"/>
      <c r="CF358" s="24"/>
      <c r="CL358" s="24"/>
      <c r="CR358" s="24"/>
    </row>
    <row r="359" spans="19:96" ht="15" x14ac:dyDescent="0.25">
      <c r="S359" s="23" t="s">
        <v>492</v>
      </c>
      <c r="T359">
        <v>0</v>
      </c>
      <c r="U359" s="31" t="s">
        <v>129</v>
      </c>
      <c r="V359" s="27">
        <f>VAR(T356:T373)</f>
        <v>5.5555555555555552E-2</v>
      </c>
      <c r="AE359" s="23" t="s">
        <v>459</v>
      </c>
      <c r="AF359">
        <v>4</v>
      </c>
      <c r="AG359" s="31"/>
      <c r="AH359" s="31"/>
      <c r="AJ359" s="34"/>
      <c r="AK359" s="54"/>
      <c r="AL359" s="33"/>
      <c r="AM359" s="33"/>
      <c r="AN359" s="33"/>
      <c r="AO359" s="24"/>
      <c r="AP359" s="24"/>
      <c r="AQ359" s="49"/>
      <c r="AR359" s="33"/>
      <c r="AS359" s="24"/>
      <c r="AT359" s="24"/>
      <c r="AU359" s="24"/>
      <c r="AV359" s="24"/>
      <c r="AW359" s="49"/>
      <c r="AX359" s="33"/>
      <c r="AY359" s="24"/>
      <c r="AZ359" s="24"/>
      <c r="BA359" s="24"/>
      <c r="BB359" s="24"/>
      <c r="BC359" s="49"/>
      <c r="BD359" s="33"/>
      <c r="BE359" s="24"/>
      <c r="BF359" s="24"/>
      <c r="BG359" s="24"/>
      <c r="BN359" s="34"/>
      <c r="BO359" s="23" t="s">
        <v>214</v>
      </c>
      <c r="BP359">
        <v>0</v>
      </c>
      <c r="BQ359" s="31"/>
      <c r="BR359" s="31"/>
      <c r="BT359" s="34"/>
      <c r="BU359" s="22" t="s">
        <v>417</v>
      </c>
      <c r="BV359" s="22">
        <v>29</v>
      </c>
      <c r="BW359" s="31"/>
      <c r="BX359" s="31"/>
      <c r="BZ359" s="34"/>
      <c r="CF359" s="24"/>
      <c r="CL359" s="24"/>
      <c r="CR359" s="24"/>
    </row>
    <row r="360" spans="19:96" ht="15" x14ac:dyDescent="0.25">
      <c r="S360" s="23" t="s">
        <v>493</v>
      </c>
      <c r="T360">
        <v>0</v>
      </c>
      <c r="U360" s="31" t="s">
        <v>138</v>
      </c>
      <c r="V360" s="27">
        <f>AVERAGE(T356:T373)</f>
        <v>5.5555555555555552E-2</v>
      </c>
      <c r="AE360" s="23" t="s">
        <v>460</v>
      </c>
      <c r="AF360">
        <v>23</v>
      </c>
      <c r="AG360" s="33"/>
      <c r="AH360" s="33"/>
      <c r="AJ360" s="34"/>
      <c r="AK360" s="54"/>
      <c r="AL360" s="33"/>
      <c r="AM360" s="33"/>
      <c r="AN360" s="33"/>
      <c r="AO360" s="24"/>
      <c r="AP360" s="24"/>
      <c r="AQ360" s="49"/>
      <c r="AR360" s="33"/>
      <c r="AS360" s="24"/>
      <c r="AT360" s="24"/>
      <c r="AU360" s="24"/>
      <c r="AV360" s="24"/>
      <c r="AW360" s="49"/>
      <c r="AX360" s="33"/>
      <c r="AY360" s="24"/>
      <c r="AZ360" s="24"/>
      <c r="BA360" s="24"/>
      <c r="BB360" s="24"/>
      <c r="BC360" s="49"/>
      <c r="BD360" s="33"/>
      <c r="BE360" s="24"/>
      <c r="BF360" s="24"/>
      <c r="BG360" s="24"/>
      <c r="BN360" s="34"/>
      <c r="BO360" s="23" t="s">
        <v>400</v>
      </c>
      <c r="BP360">
        <v>0</v>
      </c>
      <c r="BQ360" s="31"/>
      <c r="BR360" s="31"/>
      <c r="BT360" s="34"/>
      <c r="BU360" s="22" t="s">
        <v>418</v>
      </c>
      <c r="BV360" s="22">
        <v>32</v>
      </c>
      <c r="BW360" s="31"/>
      <c r="BX360" s="31"/>
      <c r="BZ360" s="34"/>
      <c r="CF360" s="24"/>
      <c r="CL360" s="24"/>
      <c r="CR360" s="24"/>
    </row>
    <row r="361" spans="19:96" ht="15" x14ac:dyDescent="0.25">
      <c r="S361" s="23" t="s">
        <v>494</v>
      </c>
      <c r="T361">
        <v>0</v>
      </c>
      <c r="U361" s="31" t="s">
        <v>144</v>
      </c>
      <c r="V361" s="27">
        <f>STDEV(T356:T373)</f>
        <v>0.23570226039551584</v>
      </c>
      <c r="AE361" s="23" t="s">
        <v>461</v>
      </c>
      <c r="AF361">
        <v>34</v>
      </c>
      <c r="AG361" s="31"/>
      <c r="AH361" s="31"/>
      <c r="AJ361" s="34"/>
      <c r="AK361" s="54"/>
      <c r="AL361" s="33"/>
      <c r="AM361" s="33"/>
      <c r="AN361" s="33"/>
      <c r="AO361" s="24"/>
      <c r="AP361" s="24"/>
      <c r="AQ361" s="49"/>
      <c r="AR361" s="33"/>
      <c r="AS361" s="24"/>
      <c r="AT361" s="24"/>
      <c r="AU361" s="24"/>
      <c r="AV361" s="24"/>
      <c r="AW361" s="49"/>
      <c r="AX361" s="33"/>
      <c r="AY361" s="24"/>
      <c r="AZ361" s="24"/>
      <c r="BA361" s="24"/>
      <c r="BB361" s="24"/>
      <c r="BC361" s="49"/>
      <c r="BD361" s="33"/>
      <c r="BE361" s="24"/>
      <c r="BF361" s="24"/>
      <c r="BG361" s="24"/>
      <c r="BN361" s="34"/>
      <c r="BO361" s="23" t="s">
        <v>401</v>
      </c>
      <c r="BP361">
        <v>0</v>
      </c>
      <c r="BQ361" s="33"/>
      <c r="BR361" s="33"/>
      <c r="BT361" s="34"/>
      <c r="BU361" s="22" t="s">
        <v>419</v>
      </c>
      <c r="BV361" s="22">
        <v>54</v>
      </c>
      <c r="BW361" s="31"/>
      <c r="BX361" s="31"/>
      <c r="BZ361" s="34"/>
      <c r="CF361" s="24"/>
      <c r="CL361" s="24"/>
      <c r="CR361" s="24"/>
    </row>
    <row r="362" spans="19:96" ht="15" x14ac:dyDescent="0.25">
      <c r="S362" s="23" t="s">
        <v>495</v>
      </c>
      <c r="T362">
        <v>0</v>
      </c>
      <c r="U362" s="27"/>
      <c r="V362" s="27"/>
      <c r="AE362" s="23" t="s">
        <v>462</v>
      </c>
      <c r="AF362">
        <v>28</v>
      </c>
      <c r="AG362" s="24"/>
      <c r="AH362" s="24"/>
      <c r="AJ362" s="34"/>
      <c r="AK362" s="54"/>
      <c r="AL362" s="33"/>
      <c r="AM362" s="33"/>
      <c r="AN362" s="33"/>
      <c r="AO362" s="24"/>
      <c r="AP362" s="24"/>
      <c r="AQ362" s="49"/>
      <c r="AR362" s="33"/>
      <c r="AS362" s="24"/>
      <c r="AT362" s="24"/>
      <c r="AU362" s="24"/>
      <c r="AV362" s="24"/>
      <c r="AW362" s="25"/>
      <c r="AX362" s="33"/>
      <c r="AY362" s="24"/>
      <c r="AZ362" s="24"/>
      <c r="BA362" s="24"/>
      <c r="BB362" s="24"/>
      <c r="BC362" s="25"/>
      <c r="BD362" s="33"/>
      <c r="BE362" s="24"/>
      <c r="BF362" s="24"/>
      <c r="BG362" s="24"/>
      <c r="BN362" s="34"/>
      <c r="BO362" s="23" t="s">
        <v>402</v>
      </c>
      <c r="BP362">
        <v>0</v>
      </c>
      <c r="BQ362" s="31"/>
      <c r="BR362" s="33"/>
      <c r="BT362" s="34"/>
      <c r="BU362" s="22" t="s">
        <v>420</v>
      </c>
      <c r="BV362" s="22">
        <v>63</v>
      </c>
      <c r="BW362" s="31"/>
      <c r="BX362" s="31"/>
      <c r="BZ362" s="34"/>
      <c r="CF362" s="24"/>
      <c r="CL362" s="24"/>
      <c r="CR362" s="24"/>
    </row>
    <row r="363" spans="19:96" ht="15" x14ac:dyDescent="0.25">
      <c r="S363" s="23" t="s">
        <v>496</v>
      </c>
      <c r="T363">
        <v>1</v>
      </c>
      <c r="U363" s="27"/>
      <c r="V363" s="27"/>
      <c r="AE363" s="23" t="s">
        <v>463</v>
      </c>
      <c r="AF363">
        <v>13</v>
      </c>
      <c r="AG363" s="31"/>
      <c r="AH363" s="31"/>
      <c r="AJ363" s="34"/>
      <c r="AK363" s="54"/>
      <c r="AL363" s="33"/>
      <c r="AM363" s="33"/>
      <c r="AN363" s="33"/>
      <c r="AO363" s="24"/>
      <c r="AP363" s="24"/>
      <c r="AQ363" s="49"/>
      <c r="AR363" s="33"/>
      <c r="AS363" s="24"/>
      <c r="AT363" s="24"/>
      <c r="AU363" s="24"/>
      <c r="AV363" s="24"/>
      <c r="AW363" s="25"/>
      <c r="AX363" s="33"/>
      <c r="AY363" s="24"/>
      <c r="AZ363" s="24"/>
      <c r="BA363" s="24"/>
      <c r="BB363" s="24"/>
      <c r="BC363" s="25"/>
      <c r="BD363" s="33"/>
      <c r="BE363" s="24"/>
      <c r="BF363" s="24"/>
      <c r="BG363" s="24"/>
      <c r="BN363" s="34"/>
      <c r="BO363" s="23" t="s">
        <v>403</v>
      </c>
      <c r="BP363">
        <v>0</v>
      </c>
      <c r="BQ363" s="31"/>
      <c r="BR363" s="33"/>
      <c r="BT363" s="34"/>
      <c r="BU363" s="22" t="s">
        <v>421</v>
      </c>
      <c r="BV363" s="22">
        <v>38</v>
      </c>
      <c r="BW363" s="31"/>
      <c r="BX363" s="31"/>
      <c r="BZ363" s="34"/>
      <c r="CF363" s="24"/>
      <c r="CL363" s="24"/>
      <c r="CR363" s="24"/>
    </row>
    <row r="364" spans="19:96" ht="15" x14ac:dyDescent="0.25">
      <c r="S364" s="23" t="s">
        <v>389</v>
      </c>
      <c r="T364">
        <v>0</v>
      </c>
      <c r="U364" s="27"/>
      <c r="V364" s="27"/>
      <c r="AE364" s="23" t="s">
        <v>464</v>
      </c>
      <c r="AF364">
        <v>10</v>
      </c>
      <c r="AG364" s="31"/>
      <c r="AH364" s="31"/>
      <c r="AJ364" s="34"/>
      <c r="AK364" s="54"/>
      <c r="AL364" s="33"/>
      <c r="AM364" s="33"/>
      <c r="AN364" s="33"/>
      <c r="AO364" s="24"/>
      <c r="AP364" s="24"/>
      <c r="AQ364" s="49"/>
      <c r="AR364" s="33"/>
      <c r="AS364" s="24"/>
      <c r="AT364" s="24"/>
      <c r="AU364" s="24"/>
      <c r="AV364" s="24"/>
      <c r="AW364" s="25"/>
      <c r="AX364" s="33"/>
      <c r="AY364" s="24"/>
      <c r="AZ364" s="24"/>
      <c r="BA364" s="24"/>
      <c r="BB364" s="24"/>
      <c r="BC364" s="25"/>
      <c r="BD364" s="33"/>
      <c r="BE364" s="24"/>
      <c r="BF364" s="24"/>
      <c r="BG364" s="24"/>
      <c r="BN364" s="34"/>
      <c r="BO364" s="23" t="s">
        <v>404</v>
      </c>
      <c r="BP364">
        <v>0</v>
      </c>
      <c r="BQ364" s="31"/>
      <c r="BR364" s="33"/>
      <c r="BT364" s="34"/>
      <c r="BU364" s="22" t="s">
        <v>422</v>
      </c>
      <c r="BV364" s="22">
        <v>55</v>
      </c>
      <c r="BW364" s="31"/>
      <c r="BX364" s="31"/>
      <c r="BZ364" s="34"/>
      <c r="CF364" s="24"/>
      <c r="CL364" s="24"/>
      <c r="CR364" s="24"/>
    </row>
    <row r="365" spans="19:96" ht="15" x14ac:dyDescent="0.25">
      <c r="S365" s="23" t="s">
        <v>497</v>
      </c>
      <c r="T365">
        <v>0</v>
      </c>
      <c r="U365" s="27"/>
      <c r="V365" s="27"/>
      <c r="AE365" s="23" t="s">
        <v>465</v>
      </c>
      <c r="AF365">
        <v>19</v>
      </c>
      <c r="AG365" s="31"/>
      <c r="AH365" s="31"/>
      <c r="AJ365" s="34"/>
      <c r="AK365" s="54"/>
      <c r="AL365" s="33"/>
      <c r="AM365" s="33"/>
      <c r="AN365" s="33"/>
      <c r="AO365" s="24"/>
      <c r="AP365" s="24"/>
      <c r="AQ365" s="49"/>
      <c r="AR365" s="33"/>
      <c r="AS365" s="24"/>
      <c r="AT365" s="24"/>
      <c r="AU365" s="24"/>
      <c r="AV365" s="24"/>
      <c r="AW365" s="25"/>
      <c r="AX365" s="33"/>
      <c r="AY365" s="24"/>
      <c r="AZ365" s="24"/>
      <c r="BA365" s="24"/>
      <c r="BB365" s="24"/>
      <c r="BC365" s="25"/>
      <c r="BD365" s="33"/>
      <c r="BE365" s="24"/>
      <c r="BF365" s="24"/>
      <c r="BG365" s="24"/>
      <c r="BN365" s="34"/>
      <c r="BO365" s="23" t="s">
        <v>405</v>
      </c>
      <c r="BP365">
        <v>0</v>
      </c>
      <c r="BQ365" s="31"/>
      <c r="BR365" s="33"/>
      <c r="BT365" s="34"/>
      <c r="BU365" s="23" t="s">
        <v>423</v>
      </c>
      <c r="BV365" s="22">
        <v>42</v>
      </c>
      <c r="BW365" s="31"/>
      <c r="BX365" s="31"/>
      <c r="BZ365" s="34"/>
      <c r="CF365" s="24"/>
      <c r="CL365" s="24"/>
      <c r="CR365" s="24"/>
    </row>
    <row r="366" spans="19:96" ht="15" x14ac:dyDescent="0.25">
      <c r="S366" s="23" t="s">
        <v>498</v>
      </c>
      <c r="T366">
        <v>0</v>
      </c>
      <c r="U366" s="27"/>
      <c r="V366" s="27"/>
      <c r="AE366" s="23" t="s">
        <v>466</v>
      </c>
      <c r="AF366">
        <v>4</v>
      </c>
      <c r="AG366" s="31"/>
      <c r="AH366" s="31"/>
      <c r="AJ366" s="34"/>
      <c r="AK366" s="54"/>
      <c r="AL366" s="33"/>
      <c r="AM366" s="33"/>
      <c r="AN366" s="33"/>
      <c r="AO366" s="24"/>
      <c r="AP366" s="24"/>
      <c r="AQ366" s="49"/>
      <c r="AR366" s="33"/>
      <c r="AS366" s="24"/>
      <c r="AT366" s="24"/>
      <c r="AU366" s="24"/>
      <c r="AV366" s="24"/>
      <c r="AW366" s="25"/>
      <c r="AX366" s="33"/>
      <c r="AY366" s="24"/>
      <c r="AZ366" s="24"/>
      <c r="BA366" s="24"/>
      <c r="BB366" s="24"/>
      <c r="BC366" s="25"/>
      <c r="BD366" s="33"/>
      <c r="BE366" s="24"/>
      <c r="BF366" s="24"/>
      <c r="BG366" s="24"/>
      <c r="BN366" s="34"/>
      <c r="BO366" s="23" t="s">
        <v>406</v>
      </c>
      <c r="BP366">
        <v>1</v>
      </c>
      <c r="BQ366" s="31"/>
      <c r="BR366" s="31"/>
      <c r="BT366" s="34"/>
      <c r="BU366" s="22" t="s">
        <v>424</v>
      </c>
      <c r="BV366" s="22">
        <v>28</v>
      </c>
      <c r="BW366" s="31"/>
      <c r="BX366" s="31"/>
      <c r="BZ366" s="34"/>
      <c r="CF366" s="24"/>
      <c r="CL366" s="24"/>
      <c r="CR366" s="24"/>
    </row>
    <row r="367" spans="19:96" ht="15" x14ac:dyDescent="0.25">
      <c r="S367" s="23" t="s">
        <v>499</v>
      </c>
      <c r="T367">
        <v>0</v>
      </c>
      <c r="U367" s="27"/>
      <c r="V367" s="27"/>
      <c r="AE367" s="23" t="s">
        <v>467</v>
      </c>
      <c r="AF367">
        <v>15</v>
      </c>
      <c r="AG367" s="31"/>
      <c r="AH367" s="31"/>
      <c r="AJ367" s="34"/>
      <c r="AK367" s="54"/>
      <c r="AL367" s="33"/>
      <c r="AM367" s="33"/>
      <c r="AN367" s="33"/>
      <c r="AO367" s="24"/>
      <c r="AP367" s="24"/>
      <c r="AQ367" s="49"/>
      <c r="AR367" s="33"/>
      <c r="AS367" s="24"/>
      <c r="AT367" s="24"/>
      <c r="AU367" s="24"/>
      <c r="AV367" s="24"/>
      <c r="AW367" s="25"/>
      <c r="AX367" s="33"/>
      <c r="AY367" s="24"/>
      <c r="AZ367" s="24"/>
      <c r="BA367" s="24"/>
      <c r="BB367" s="24"/>
      <c r="BC367" s="25"/>
      <c r="BD367" s="33"/>
      <c r="BE367" s="24"/>
      <c r="BF367" s="24"/>
      <c r="BG367" s="24"/>
      <c r="BN367" s="34"/>
      <c r="BO367" s="23" t="s">
        <v>407</v>
      </c>
      <c r="BP367">
        <v>0</v>
      </c>
      <c r="BQ367" s="31"/>
      <c r="BR367" s="31"/>
      <c r="BT367" s="34"/>
      <c r="BU367" s="23" t="s">
        <v>425</v>
      </c>
      <c r="BV367" s="22">
        <v>31</v>
      </c>
      <c r="BW367" s="31"/>
      <c r="BX367" s="31"/>
      <c r="BZ367" s="34"/>
      <c r="CF367" s="24"/>
      <c r="CL367" s="24"/>
      <c r="CR367" s="24"/>
    </row>
    <row r="368" spans="19:96" ht="15" x14ac:dyDescent="0.25">
      <c r="S368" s="23" t="s">
        <v>500</v>
      </c>
      <c r="T368">
        <v>0</v>
      </c>
      <c r="U368" s="27"/>
      <c r="V368" s="27"/>
      <c r="AE368" s="23" t="s">
        <v>468</v>
      </c>
      <c r="AF368">
        <v>15</v>
      </c>
      <c r="AG368" s="31"/>
      <c r="AH368" s="31"/>
      <c r="AJ368" s="34"/>
      <c r="AK368" s="54"/>
      <c r="AL368" s="33"/>
      <c r="AM368" s="24"/>
      <c r="AN368" s="24"/>
      <c r="AO368" s="24"/>
      <c r="AP368" s="24"/>
      <c r="AQ368" s="25"/>
      <c r="AR368" s="33"/>
      <c r="AS368" s="24"/>
      <c r="AT368" s="24"/>
      <c r="AU368" s="24"/>
      <c r="AV368" s="24"/>
      <c r="AW368" s="25"/>
      <c r="AX368" s="33"/>
      <c r="AY368" s="24"/>
      <c r="AZ368" s="24"/>
      <c r="BA368" s="24"/>
      <c r="BB368" s="24"/>
      <c r="BC368" s="25"/>
      <c r="BD368" s="33"/>
      <c r="BE368" s="24"/>
      <c r="BF368" s="24"/>
      <c r="BG368" s="24"/>
      <c r="BN368" s="34"/>
      <c r="BT368" s="34"/>
      <c r="BU368" s="23" t="s">
        <v>426</v>
      </c>
      <c r="BV368" s="22">
        <v>26</v>
      </c>
      <c r="BW368" s="31"/>
      <c r="BX368" s="31"/>
      <c r="BZ368" s="34"/>
      <c r="CF368" s="24"/>
      <c r="CL368" s="24"/>
      <c r="CR368" s="24"/>
    </row>
    <row r="369" spans="18:96" ht="15" x14ac:dyDescent="0.25">
      <c r="S369" s="23" t="s">
        <v>501</v>
      </c>
      <c r="T369">
        <v>0</v>
      </c>
      <c r="U369" s="27"/>
      <c r="V369" s="27"/>
      <c r="AE369" s="23" t="s">
        <v>469</v>
      </c>
      <c r="AF369">
        <v>12</v>
      </c>
      <c r="AG369" s="31"/>
      <c r="AH369" s="31"/>
      <c r="AJ369" s="34"/>
      <c r="AK369" s="54"/>
      <c r="AL369" s="33"/>
      <c r="AM369" s="24"/>
      <c r="AN369" s="24"/>
      <c r="AO369" s="24"/>
      <c r="AP369" s="24"/>
      <c r="AQ369" s="25"/>
      <c r="AR369" s="33"/>
      <c r="AS369" s="24"/>
      <c r="AT369" s="24"/>
      <c r="AU369" s="24"/>
      <c r="AV369" s="24"/>
      <c r="AW369" s="25"/>
      <c r="AX369" s="33"/>
      <c r="AY369" s="24"/>
      <c r="AZ369" s="24"/>
      <c r="BA369" s="24"/>
      <c r="BB369" s="24"/>
      <c r="BC369" s="25"/>
      <c r="BD369" s="33"/>
      <c r="BE369" s="24"/>
      <c r="BF369" s="24"/>
      <c r="BG369" s="24"/>
      <c r="BN369" s="34"/>
      <c r="BO369" s="34"/>
      <c r="BP369" s="34"/>
      <c r="BQ369" s="34"/>
      <c r="BR369" s="34"/>
      <c r="BS369" s="34"/>
      <c r="BT369" s="34"/>
      <c r="BU369" s="23" t="s">
        <v>427</v>
      </c>
      <c r="BV369" s="22">
        <v>2</v>
      </c>
      <c r="BW369" s="31"/>
      <c r="BX369" s="31"/>
      <c r="BZ369" s="34"/>
      <c r="CF369" s="24"/>
      <c r="CL369" s="24"/>
      <c r="CR369" s="24"/>
    </row>
    <row r="370" spans="18:96" ht="15" x14ac:dyDescent="0.25">
      <c r="S370" s="23" t="s">
        <v>502</v>
      </c>
      <c r="T370">
        <v>0</v>
      </c>
      <c r="U370" s="27"/>
      <c r="V370" s="27"/>
      <c r="AE370" s="23" t="s">
        <v>470</v>
      </c>
      <c r="AF370">
        <v>2</v>
      </c>
      <c r="AG370" s="31"/>
      <c r="AH370" s="31"/>
      <c r="AJ370" s="34"/>
      <c r="AK370" s="54"/>
      <c r="AL370" s="33"/>
      <c r="AM370" s="24"/>
      <c r="AN370" s="24"/>
      <c r="AO370" s="24"/>
      <c r="AP370" s="24"/>
      <c r="AQ370" s="25"/>
      <c r="AR370" s="33"/>
      <c r="AS370" s="24"/>
      <c r="AT370" s="24"/>
      <c r="AU370" s="24"/>
      <c r="AV370" s="24"/>
      <c r="AW370" s="25"/>
      <c r="AX370" s="33"/>
      <c r="AY370" s="24"/>
      <c r="AZ370" s="24"/>
      <c r="BA370" s="24"/>
      <c r="BB370" s="24"/>
      <c r="BC370" s="25"/>
      <c r="BD370" s="33"/>
      <c r="BE370" s="24"/>
      <c r="BF370" s="24"/>
      <c r="BG370" s="24"/>
      <c r="BN370" s="34"/>
      <c r="BO370" s="34"/>
      <c r="BP370" s="34"/>
      <c r="BQ370" s="34"/>
      <c r="BR370" s="34"/>
      <c r="BS370" s="34"/>
      <c r="BT370" s="34"/>
      <c r="BU370" s="23" t="s">
        <v>428</v>
      </c>
      <c r="BV370" s="22">
        <v>8</v>
      </c>
      <c r="BW370" s="31"/>
      <c r="BX370" s="31"/>
      <c r="BZ370" s="34"/>
      <c r="CF370" s="24"/>
      <c r="CL370" s="24"/>
      <c r="CR370" s="24"/>
    </row>
    <row r="371" spans="18:96" ht="15" x14ac:dyDescent="0.25">
      <c r="S371" s="23" t="s">
        <v>350</v>
      </c>
      <c r="T371">
        <v>0</v>
      </c>
      <c r="U371" s="27"/>
      <c r="V371" s="27"/>
      <c r="AE371" s="23" t="s">
        <v>471</v>
      </c>
      <c r="AF371">
        <v>8</v>
      </c>
      <c r="AG371" s="31"/>
      <c r="AH371" s="31"/>
      <c r="AJ371" s="34"/>
      <c r="AK371" s="54"/>
      <c r="AL371" s="33"/>
      <c r="AM371" s="24"/>
      <c r="AN371" s="24"/>
      <c r="AO371" s="24"/>
      <c r="AP371" s="24"/>
      <c r="AQ371" s="25"/>
      <c r="AR371" s="33"/>
      <c r="AS371" s="24"/>
      <c r="AT371" s="24"/>
      <c r="AU371" s="24"/>
      <c r="AV371" s="24"/>
      <c r="AW371" s="25"/>
      <c r="AX371" s="33"/>
      <c r="AY371" s="24"/>
      <c r="AZ371" s="24"/>
      <c r="BA371" s="24"/>
      <c r="BB371" s="24"/>
      <c r="BC371" s="25"/>
      <c r="BD371" s="33"/>
      <c r="BE371" s="24"/>
      <c r="BF371" s="24"/>
      <c r="BG371" s="24"/>
      <c r="BN371" s="24"/>
      <c r="BT371" s="34"/>
      <c r="BU371" s="23" t="s">
        <v>429</v>
      </c>
      <c r="BV371" s="22">
        <v>32</v>
      </c>
      <c r="BW371" s="31"/>
      <c r="BX371" s="31"/>
      <c r="BZ371" s="34"/>
      <c r="CF371" s="24"/>
      <c r="CL371" s="24"/>
      <c r="CR371" s="24"/>
    </row>
    <row r="372" spans="18:96" ht="15" x14ac:dyDescent="0.25">
      <c r="S372" s="23" t="s">
        <v>503</v>
      </c>
      <c r="T372">
        <v>0</v>
      </c>
      <c r="U372" s="27"/>
      <c r="V372" s="27"/>
      <c r="AE372" s="23" t="s">
        <v>472</v>
      </c>
      <c r="AF372">
        <v>12</v>
      </c>
      <c r="AJ372" s="34"/>
      <c r="AK372" s="54"/>
      <c r="AL372" s="33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5"/>
      <c r="AX372" s="33"/>
      <c r="AY372" s="24"/>
      <c r="AZ372" s="24"/>
      <c r="BA372" s="24"/>
      <c r="BB372" s="24"/>
      <c r="BC372" s="25"/>
      <c r="BD372" s="33"/>
      <c r="BE372" s="24"/>
      <c r="BF372" s="24"/>
      <c r="BG372" s="24"/>
      <c r="BT372" s="34"/>
      <c r="BU372" s="23" t="s">
        <v>430</v>
      </c>
      <c r="BV372" s="22">
        <v>9</v>
      </c>
      <c r="BW372" s="31"/>
      <c r="BX372" s="31"/>
      <c r="BZ372" s="34"/>
      <c r="CF372" s="24"/>
      <c r="CL372" s="24"/>
      <c r="CR372" s="24"/>
    </row>
    <row r="373" spans="18:96" ht="15" x14ac:dyDescent="0.25">
      <c r="S373" s="23" t="s">
        <v>504</v>
      </c>
      <c r="T373">
        <v>0</v>
      </c>
      <c r="U373" s="25"/>
      <c r="V373" s="25"/>
      <c r="AE373" s="23" t="s">
        <v>362</v>
      </c>
      <c r="AF373">
        <v>14</v>
      </c>
      <c r="AJ373" s="34"/>
      <c r="AK373" s="54"/>
      <c r="AL373" s="33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5"/>
      <c r="AX373" s="33"/>
      <c r="AY373" s="24"/>
      <c r="AZ373" s="24"/>
      <c r="BA373" s="24"/>
      <c r="BB373" s="24"/>
      <c r="BC373" s="25"/>
      <c r="BD373" s="33"/>
      <c r="BE373" s="24"/>
      <c r="BF373" s="24"/>
      <c r="BG373" s="24"/>
      <c r="BT373" s="34"/>
      <c r="BU373" s="23" t="s">
        <v>431</v>
      </c>
      <c r="BV373" s="22">
        <v>21</v>
      </c>
      <c r="BW373" s="31"/>
      <c r="BX373" s="31"/>
      <c r="BZ373" s="34"/>
      <c r="CF373" s="24"/>
      <c r="CL373" s="24"/>
      <c r="CR373" s="24"/>
    </row>
    <row r="374" spans="18:96" ht="15" x14ac:dyDescent="0.25">
      <c r="R374" s="34"/>
      <c r="S374" s="34"/>
      <c r="T374" s="34"/>
      <c r="U374" s="34"/>
      <c r="V374" s="34"/>
      <c r="W374" s="34"/>
      <c r="AE374" s="23" t="s">
        <v>473</v>
      </c>
      <c r="AF374">
        <v>2</v>
      </c>
      <c r="AJ374" s="34"/>
      <c r="AK374" s="54"/>
      <c r="AL374" s="33"/>
      <c r="AM374" s="24"/>
      <c r="AN374" s="24"/>
      <c r="AO374" s="24"/>
      <c r="AP374" s="24"/>
      <c r="AQ374" s="33"/>
      <c r="AR374" s="24"/>
      <c r="AS374" s="24"/>
      <c r="AT374" s="24"/>
      <c r="AU374" s="24"/>
      <c r="AV374" s="24"/>
      <c r="AW374" s="25"/>
      <c r="AX374" s="33"/>
      <c r="AY374" s="24"/>
      <c r="AZ374" s="24"/>
      <c r="BA374" s="24"/>
      <c r="BB374" s="24"/>
      <c r="BC374" s="25"/>
      <c r="BD374" s="33"/>
      <c r="BE374" s="24"/>
      <c r="BF374" s="24"/>
      <c r="BG374" s="24"/>
      <c r="BT374" s="34"/>
      <c r="BU374" s="23" t="s">
        <v>432</v>
      </c>
      <c r="BV374" s="22">
        <v>20</v>
      </c>
      <c r="BW374" s="31"/>
      <c r="BX374" s="31"/>
      <c r="BZ374" s="34"/>
      <c r="CF374" s="24"/>
      <c r="CL374" s="24"/>
      <c r="CR374" s="24"/>
    </row>
    <row r="375" spans="18:96" ht="15" x14ac:dyDescent="0.25">
      <c r="S375" s="27" t="s">
        <v>100</v>
      </c>
      <c r="T375" s="30" t="s">
        <v>524</v>
      </c>
      <c r="U375" s="27"/>
      <c r="V375" s="27">
        <v>2014</v>
      </c>
      <c r="AE375" s="23" t="s">
        <v>474</v>
      </c>
      <c r="AF375">
        <v>5</v>
      </c>
      <c r="AJ375" s="34"/>
      <c r="AK375" s="54"/>
      <c r="AL375" s="33"/>
      <c r="AM375" s="24"/>
      <c r="AN375" s="24"/>
      <c r="AO375" s="24"/>
      <c r="AP375" s="24"/>
      <c r="AQ375" s="33"/>
      <c r="AR375" s="33"/>
      <c r="AS375" s="33"/>
      <c r="AT375" s="33"/>
      <c r="AU375" s="24"/>
      <c r="AV375" s="24"/>
      <c r="AW375" s="25"/>
      <c r="AX375" s="33"/>
      <c r="AY375" s="24"/>
      <c r="AZ375" s="24"/>
      <c r="BA375" s="24"/>
      <c r="BB375" s="24"/>
      <c r="BC375" s="25"/>
      <c r="BD375" s="33"/>
      <c r="BE375" s="24"/>
      <c r="BF375" s="24"/>
      <c r="BG375" s="24"/>
      <c r="BT375" s="34"/>
      <c r="BU375" s="23" t="s">
        <v>433</v>
      </c>
      <c r="BV375" s="22">
        <v>25</v>
      </c>
      <c r="BW375" s="31"/>
      <c r="BX375" s="31"/>
      <c r="BZ375" s="34"/>
      <c r="CF375" s="24"/>
      <c r="CL375" s="24"/>
      <c r="CR375" s="24"/>
    </row>
    <row r="376" spans="18:96" ht="15" x14ac:dyDescent="0.25">
      <c r="S376" s="27" t="s">
        <v>101</v>
      </c>
      <c r="T376" s="12" t="s">
        <v>29</v>
      </c>
      <c r="U376" s="27"/>
      <c r="V376" s="27"/>
      <c r="AE376" s="23" t="s">
        <v>475</v>
      </c>
      <c r="AF376">
        <v>28</v>
      </c>
      <c r="AJ376" s="34"/>
      <c r="AK376" s="54"/>
      <c r="AL376" s="33"/>
      <c r="AM376" s="24"/>
      <c r="AN376" s="24"/>
      <c r="AO376" s="24"/>
      <c r="AP376" s="24"/>
      <c r="AQ376" s="49"/>
      <c r="AR376" s="33"/>
      <c r="AS376" s="33"/>
      <c r="AT376" s="33"/>
      <c r="AU376" s="24"/>
      <c r="AV376" s="24"/>
      <c r="AW376" s="25"/>
      <c r="AX376" s="33"/>
      <c r="AY376" s="24"/>
      <c r="AZ376" s="24"/>
      <c r="BA376" s="24"/>
      <c r="BB376" s="24"/>
      <c r="BC376" s="25"/>
      <c r="BD376" s="33"/>
      <c r="BE376" s="24"/>
      <c r="BF376" s="24"/>
      <c r="BG376" s="24"/>
      <c r="BT376" s="34"/>
      <c r="BU376" s="23" t="s">
        <v>434</v>
      </c>
      <c r="BV376" s="22">
        <v>14</v>
      </c>
      <c r="BW376" s="31"/>
      <c r="BX376" s="31"/>
      <c r="BZ376" s="34"/>
      <c r="CF376" s="24"/>
      <c r="CL376" s="24"/>
      <c r="CR376" s="24"/>
    </row>
    <row r="377" spans="18:96" x14ac:dyDescent="0.2">
      <c r="S377" s="27" t="s">
        <v>102</v>
      </c>
      <c r="T377" s="27" t="s">
        <v>71</v>
      </c>
      <c r="U377" s="27" t="s">
        <v>103</v>
      </c>
      <c r="V377" s="27" t="s">
        <v>104</v>
      </c>
      <c r="AE377" s="34"/>
      <c r="AF377" s="34"/>
      <c r="AG377" s="34"/>
      <c r="AH377" s="34"/>
      <c r="AI377" s="34"/>
      <c r="AJ377" s="34"/>
      <c r="AK377" s="54"/>
      <c r="AL377" s="33"/>
      <c r="AM377" s="24"/>
      <c r="AN377" s="24"/>
      <c r="AO377" s="24"/>
      <c r="AP377" s="24"/>
      <c r="AQ377" s="49"/>
      <c r="AR377" s="33"/>
      <c r="AS377" s="33"/>
      <c r="AT377" s="33"/>
      <c r="AU377" s="24"/>
      <c r="AV377" s="24"/>
      <c r="AW377" s="25"/>
      <c r="AX377" s="33"/>
      <c r="AY377" s="24"/>
      <c r="AZ377" s="24"/>
      <c r="BA377" s="24"/>
      <c r="BB377" s="24"/>
      <c r="BC377" s="25"/>
      <c r="BD377" s="33"/>
      <c r="BE377" s="24"/>
      <c r="BF377" s="24"/>
      <c r="BG377" s="24"/>
      <c r="BT377" s="34"/>
      <c r="BU377" s="34"/>
      <c r="BV377" s="34"/>
      <c r="BW377" s="34"/>
      <c r="BX377" s="34"/>
      <c r="BY377" s="34"/>
      <c r="BZ377" s="34"/>
      <c r="CF377" s="24"/>
      <c r="CL377" s="24"/>
      <c r="CR377" s="24"/>
    </row>
    <row r="378" spans="18:96" ht="15" x14ac:dyDescent="0.25">
      <c r="S378" s="23" t="s">
        <v>489</v>
      </c>
      <c r="T378">
        <v>17</v>
      </c>
      <c r="U378" s="31" t="s">
        <v>106</v>
      </c>
      <c r="V378" s="27">
        <f>SUM(T378:T395)</f>
        <v>140</v>
      </c>
      <c r="AE378" s="31" t="s">
        <v>100</v>
      </c>
      <c r="AF378" s="32" t="s">
        <v>67</v>
      </c>
      <c r="AG378" s="31"/>
      <c r="AH378" s="31"/>
      <c r="AJ378" s="34"/>
      <c r="AK378" s="54"/>
      <c r="AL378" s="33"/>
      <c r="AM378" s="24"/>
      <c r="AN378" s="24"/>
      <c r="AO378" s="24"/>
      <c r="AP378" s="24"/>
      <c r="AQ378" s="49"/>
      <c r="AR378" s="33"/>
      <c r="AS378" s="33"/>
      <c r="AT378" s="33"/>
      <c r="AU378" s="24"/>
      <c r="AV378" s="24"/>
      <c r="AW378" s="25"/>
      <c r="AX378" s="33"/>
      <c r="AY378" s="24"/>
      <c r="AZ378" s="24"/>
      <c r="BA378" s="24"/>
      <c r="BB378" s="24"/>
      <c r="BC378" s="25"/>
      <c r="BD378" s="33"/>
      <c r="BE378" s="24"/>
      <c r="BF378" s="24"/>
      <c r="BG378" s="24"/>
      <c r="BT378" s="34"/>
      <c r="BU378" s="19" t="s">
        <v>100</v>
      </c>
      <c r="BV378" s="35" t="s">
        <v>61</v>
      </c>
      <c r="BZ378" s="34"/>
      <c r="CF378" s="24"/>
      <c r="CL378" s="24"/>
      <c r="CR378" s="24"/>
    </row>
    <row r="379" spans="18:96" ht="15" x14ac:dyDescent="0.25">
      <c r="S379" s="23" t="s">
        <v>490</v>
      </c>
      <c r="T379">
        <v>11</v>
      </c>
      <c r="U379" s="31" t="s">
        <v>115</v>
      </c>
      <c r="V379" s="27">
        <f>MIN(T378:T395)</f>
        <v>2</v>
      </c>
      <c r="AE379" s="31" t="s">
        <v>101</v>
      </c>
      <c r="AF379" s="12" t="s">
        <v>18</v>
      </c>
      <c r="AG379" s="31"/>
      <c r="AH379" s="31"/>
      <c r="AJ379" s="34"/>
      <c r="AK379" s="54"/>
      <c r="AL379" s="33"/>
      <c r="AM379" s="24"/>
      <c r="AN379" s="24"/>
      <c r="AO379" s="24"/>
      <c r="AP379" s="24"/>
      <c r="AQ379" s="49"/>
      <c r="AR379" s="33"/>
      <c r="AS379" s="33"/>
      <c r="AT379" s="33"/>
      <c r="AU379" s="24"/>
      <c r="AV379" s="24"/>
      <c r="AW379" s="25"/>
      <c r="AX379" s="33"/>
      <c r="AY379" s="24"/>
      <c r="AZ379" s="24"/>
      <c r="BA379" s="24"/>
      <c r="BB379" s="24"/>
      <c r="BC379" s="25"/>
      <c r="BD379" s="33"/>
      <c r="BE379" s="24"/>
      <c r="BF379" s="24"/>
      <c r="BG379" s="24"/>
      <c r="BT379" s="34"/>
      <c r="BV379" s="12" t="s">
        <v>18</v>
      </c>
      <c r="BZ379" s="34"/>
      <c r="CF379" s="24"/>
      <c r="CL379" s="24"/>
      <c r="CR379" s="24"/>
    </row>
    <row r="380" spans="18:96" ht="15" x14ac:dyDescent="0.25">
      <c r="S380" s="23" t="s">
        <v>491</v>
      </c>
      <c r="T380">
        <v>11</v>
      </c>
      <c r="U380" s="31" t="s">
        <v>122</v>
      </c>
      <c r="V380" s="27">
        <f>MAX(T378:T395)</f>
        <v>18</v>
      </c>
      <c r="AE380" s="31" t="s">
        <v>102</v>
      </c>
      <c r="AF380" s="31" t="s">
        <v>71</v>
      </c>
      <c r="AG380" s="31" t="s">
        <v>103</v>
      </c>
      <c r="AH380" s="31" t="s">
        <v>104</v>
      </c>
      <c r="AJ380" s="34"/>
      <c r="AK380" s="54"/>
      <c r="AL380" s="33"/>
      <c r="AM380" s="24"/>
      <c r="AN380" s="24"/>
      <c r="AO380" s="24"/>
      <c r="AP380" s="24"/>
      <c r="AQ380" s="49"/>
      <c r="AR380" s="33"/>
      <c r="AS380" s="33"/>
      <c r="AT380" s="33"/>
      <c r="AU380" s="24"/>
      <c r="AV380" s="24"/>
      <c r="AW380" s="25"/>
      <c r="AX380" s="33"/>
      <c r="AY380" s="24"/>
      <c r="AZ380" s="24"/>
      <c r="BA380" s="24"/>
      <c r="BB380" s="24"/>
      <c r="BC380" s="25"/>
      <c r="BD380" s="33"/>
      <c r="BE380" s="24"/>
      <c r="BF380" s="24"/>
      <c r="BG380" s="24"/>
      <c r="BT380" s="34"/>
      <c r="BU380" s="31" t="s">
        <v>102</v>
      </c>
      <c r="BV380" s="31" t="s">
        <v>71</v>
      </c>
      <c r="BW380" s="31" t="s">
        <v>103</v>
      </c>
      <c r="BX380" s="31" t="s">
        <v>104</v>
      </c>
      <c r="BZ380" s="34"/>
      <c r="CF380" s="24"/>
      <c r="CL380" s="24"/>
      <c r="CR380" s="24"/>
    </row>
    <row r="381" spans="18:96" ht="15" x14ac:dyDescent="0.25">
      <c r="S381" s="23" t="s">
        <v>492</v>
      </c>
      <c r="T381">
        <v>8</v>
      </c>
      <c r="U381" s="31" t="s">
        <v>129</v>
      </c>
      <c r="V381" s="27">
        <f>VAR(T378:T395)</f>
        <v>20.653594771241828</v>
      </c>
      <c r="AE381" s="23" t="s">
        <v>453</v>
      </c>
      <c r="AF381">
        <v>0</v>
      </c>
      <c r="AG381" s="31" t="s">
        <v>106</v>
      </c>
      <c r="AH381" s="31">
        <f>SUM(AF381:AF405)</f>
        <v>38</v>
      </c>
      <c r="AJ381" s="34"/>
      <c r="AK381" s="33"/>
      <c r="AL381" s="33"/>
      <c r="AM381" s="24"/>
      <c r="AN381" s="24"/>
      <c r="AO381" s="24"/>
      <c r="AP381" s="24"/>
      <c r="AQ381" s="49"/>
      <c r="AR381" s="33"/>
      <c r="AS381" s="33"/>
      <c r="AT381" s="33"/>
      <c r="AU381" s="24"/>
      <c r="AV381" s="24"/>
      <c r="AW381" s="25"/>
      <c r="AX381" s="33"/>
      <c r="AY381" s="24"/>
      <c r="AZ381" s="24"/>
      <c r="BA381" s="24"/>
      <c r="BB381" s="24"/>
      <c r="BC381" s="25"/>
      <c r="BD381" s="33"/>
      <c r="BE381" s="24"/>
      <c r="BF381" s="24"/>
      <c r="BG381" s="24"/>
      <c r="BT381" s="34"/>
      <c r="BU381" s="23" t="s">
        <v>412</v>
      </c>
      <c r="BV381" s="22">
        <v>4</v>
      </c>
      <c r="BW381" s="31" t="s">
        <v>106</v>
      </c>
      <c r="BX381" s="31">
        <f>SUM(BV381:BV405)</f>
        <v>109</v>
      </c>
      <c r="BZ381" s="34"/>
      <c r="CF381" s="24"/>
      <c r="CL381" s="24"/>
      <c r="CR381" s="24"/>
    </row>
    <row r="382" spans="18:96" ht="15" x14ac:dyDescent="0.25">
      <c r="S382" s="23" t="s">
        <v>493</v>
      </c>
      <c r="T382">
        <v>18</v>
      </c>
      <c r="U382" s="31" t="s">
        <v>138</v>
      </c>
      <c r="V382" s="27">
        <f>AVERAGE(T378:T395)</f>
        <v>7.7777777777777777</v>
      </c>
      <c r="AE382" s="23" t="s">
        <v>454</v>
      </c>
      <c r="AF382">
        <v>0</v>
      </c>
      <c r="AG382" s="31" t="s">
        <v>115</v>
      </c>
      <c r="AH382" s="31">
        <f>MIN(AF381:AF405)</f>
        <v>0</v>
      </c>
      <c r="AJ382" s="34"/>
      <c r="AK382" s="33"/>
      <c r="AL382" s="33"/>
      <c r="AM382" s="24"/>
      <c r="AN382" s="24"/>
      <c r="AO382" s="24"/>
      <c r="AP382" s="24"/>
      <c r="AQ382" s="49"/>
      <c r="AR382" s="33"/>
      <c r="AS382" s="33"/>
      <c r="AT382" s="33"/>
      <c r="AU382" s="24"/>
      <c r="AV382" s="24"/>
      <c r="AW382" s="25"/>
      <c r="AX382" s="33"/>
      <c r="AY382" s="24"/>
      <c r="AZ382" s="24"/>
      <c r="BA382" s="24"/>
      <c r="BB382" s="24"/>
      <c r="BC382" s="25"/>
      <c r="BD382" s="33"/>
      <c r="BE382" s="24"/>
      <c r="BF382" s="24"/>
      <c r="BG382" s="24"/>
      <c r="BT382" s="34"/>
      <c r="BU382" s="22" t="s">
        <v>244</v>
      </c>
      <c r="BV382" s="22">
        <v>1</v>
      </c>
      <c r="BW382" s="31" t="s">
        <v>115</v>
      </c>
      <c r="BX382" s="31">
        <f>MIN(BV381:BV405)</f>
        <v>0</v>
      </c>
      <c r="BZ382" s="34"/>
      <c r="CF382" s="24"/>
      <c r="CL382" s="24"/>
      <c r="CR382" s="24"/>
    </row>
    <row r="383" spans="18:96" ht="15" x14ac:dyDescent="0.25">
      <c r="S383" s="23" t="s">
        <v>494</v>
      </c>
      <c r="T383">
        <v>6</v>
      </c>
      <c r="U383" s="31" t="s">
        <v>144</v>
      </c>
      <c r="V383" s="27">
        <f>STDEV(T378:T395)</f>
        <v>4.54462262143314</v>
      </c>
      <c r="AE383" s="23" t="s">
        <v>455</v>
      </c>
      <c r="AF383">
        <v>17</v>
      </c>
      <c r="AG383" s="31" t="s">
        <v>122</v>
      </c>
      <c r="AH383" s="31">
        <f>MAX(AF381:AF405)</f>
        <v>17</v>
      </c>
      <c r="AJ383" s="34"/>
      <c r="AK383" s="33"/>
      <c r="AL383" s="24"/>
      <c r="AM383" s="24"/>
      <c r="AN383" s="24"/>
      <c r="AO383" s="24"/>
      <c r="AP383" s="24"/>
      <c r="AQ383" s="49"/>
      <c r="AR383" s="33"/>
      <c r="AS383" s="33"/>
      <c r="AT383" s="33"/>
      <c r="AU383" s="24"/>
      <c r="AV383" s="24"/>
      <c r="AW383" s="25"/>
      <c r="AX383" s="33"/>
      <c r="AY383" s="24"/>
      <c r="AZ383" s="24"/>
      <c r="BA383" s="24"/>
      <c r="BB383" s="24"/>
      <c r="BC383" s="25"/>
      <c r="BD383" s="33"/>
      <c r="BE383" s="24"/>
      <c r="BF383" s="24"/>
      <c r="BG383" s="24"/>
      <c r="BT383" s="34"/>
      <c r="BU383" s="22" t="s">
        <v>119</v>
      </c>
      <c r="BV383" s="22">
        <v>0</v>
      </c>
      <c r="BW383" s="31" t="s">
        <v>122</v>
      </c>
      <c r="BX383" s="31">
        <f>MAX(BV381:BV405)</f>
        <v>13</v>
      </c>
      <c r="BZ383" s="34"/>
      <c r="CF383" s="24"/>
      <c r="CL383" s="24"/>
      <c r="CR383" s="24"/>
    </row>
    <row r="384" spans="18:96" ht="15" x14ac:dyDescent="0.25">
      <c r="S384" s="23" t="s">
        <v>495</v>
      </c>
      <c r="T384">
        <v>6</v>
      </c>
      <c r="U384" s="27"/>
      <c r="V384" s="27"/>
      <c r="AE384" s="23" t="s">
        <v>456</v>
      </c>
      <c r="AF384">
        <v>0</v>
      </c>
      <c r="AG384" s="31" t="s">
        <v>129</v>
      </c>
      <c r="AH384" s="31">
        <f>VAR(AF381:AF405)</f>
        <v>12.01</v>
      </c>
      <c r="AJ384" s="34"/>
      <c r="AK384" s="33"/>
      <c r="AL384" s="33"/>
      <c r="AM384" s="33"/>
      <c r="AN384" s="33"/>
      <c r="AO384" s="24"/>
      <c r="AP384" s="24"/>
      <c r="AQ384" s="49"/>
      <c r="AR384" s="33"/>
      <c r="AS384" s="33"/>
      <c r="AT384" s="33"/>
      <c r="AU384" s="24"/>
      <c r="AV384" s="24"/>
      <c r="AW384" s="25"/>
      <c r="AX384" s="33"/>
      <c r="AY384" s="24"/>
      <c r="AZ384" s="24"/>
      <c r="BA384" s="24"/>
      <c r="BB384" s="24"/>
      <c r="BC384" s="25"/>
      <c r="BD384" s="33"/>
      <c r="BE384" s="24"/>
      <c r="BF384" s="24"/>
      <c r="BG384" s="24"/>
      <c r="BT384" s="34"/>
      <c r="BU384" s="22" t="s">
        <v>413</v>
      </c>
      <c r="BV384" s="22">
        <v>0</v>
      </c>
      <c r="BW384" s="31" t="s">
        <v>129</v>
      </c>
      <c r="BX384" s="31">
        <f>VAR(BV381:BV405)</f>
        <v>16.323333333333334</v>
      </c>
      <c r="BZ384" s="34"/>
      <c r="CF384" s="24"/>
      <c r="CL384" s="24"/>
      <c r="CR384" s="24"/>
    </row>
    <row r="385" spans="18:96" ht="15" x14ac:dyDescent="0.25">
      <c r="S385" s="23" t="s">
        <v>496</v>
      </c>
      <c r="T385">
        <v>6</v>
      </c>
      <c r="U385" s="27"/>
      <c r="V385" s="27"/>
      <c r="AE385" s="23" t="s">
        <v>259</v>
      </c>
      <c r="AF385">
        <v>0</v>
      </c>
      <c r="AG385" s="31" t="s">
        <v>138</v>
      </c>
      <c r="AH385" s="31">
        <f>AVERAGE(AF381:AF405)</f>
        <v>1.52</v>
      </c>
      <c r="AJ385" s="34"/>
      <c r="AK385" s="54"/>
      <c r="AL385" s="33"/>
      <c r="AM385" s="33"/>
      <c r="AN385" s="33"/>
      <c r="AO385" s="24"/>
      <c r="AP385" s="24"/>
      <c r="AQ385" s="49"/>
      <c r="AR385" s="33"/>
      <c r="AS385" s="33"/>
      <c r="AT385" s="33"/>
      <c r="AU385" s="24"/>
      <c r="AV385" s="24"/>
      <c r="AW385" s="25"/>
      <c r="AX385" s="33"/>
      <c r="AY385" s="24"/>
      <c r="AZ385" s="24"/>
      <c r="BA385" s="24"/>
      <c r="BB385" s="24"/>
      <c r="BC385" s="25"/>
      <c r="BD385" s="33"/>
      <c r="BE385" s="24"/>
      <c r="BF385" s="24"/>
      <c r="BG385" s="24"/>
      <c r="BT385" s="34"/>
      <c r="BU385" s="22" t="s">
        <v>414</v>
      </c>
      <c r="BV385" s="22">
        <v>1</v>
      </c>
      <c r="BW385" s="31" t="s">
        <v>138</v>
      </c>
      <c r="BX385" s="31">
        <f>AVERAGE(BV381:BV405)</f>
        <v>4.3600000000000003</v>
      </c>
      <c r="BZ385" s="34"/>
      <c r="CF385" s="24"/>
      <c r="CL385" s="24"/>
      <c r="CR385" s="24"/>
    </row>
    <row r="386" spans="18:96" ht="15" x14ac:dyDescent="0.25">
      <c r="S386" s="23" t="s">
        <v>389</v>
      </c>
      <c r="T386">
        <v>8</v>
      </c>
      <c r="U386" s="27"/>
      <c r="V386" s="27"/>
      <c r="AE386" s="23" t="s">
        <v>457</v>
      </c>
      <c r="AF386">
        <v>0</v>
      </c>
      <c r="AG386" s="31" t="s">
        <v>144</v>
      </c>
      <c r="AH386" s="31">
        <f>STDEV(AF381:AF405)</f>
        <v>3.4655446902326914</v>
      </c>
      <c r="AJ386" s="34"/>
      <c r="AK386" s="54"/>
      <c r="AL386" s="33"/>
      <c r="AM386" s="33"/>
      <c r="AN386" s="33"/>
      <c r="AO386" s="24"/>
      <c r="AP386" s="24"/>
      <c r="AQ386" s="49"/>
      <c r="AR386" s="33"/>
      <c r="AS386" s="33"/>
      <c r="AT386" s="33"/>
      <c r="AU386" s="24"/>
      <c r="AV386" s="24"/>
      <c r="AW386" s="25"/>
      <c r="AX386" s="33"/>
      <c r="AY386" s="24"/>
      <c r="AZ386" s="24"/>
      <c r="BA386" s="24"/>
      <c r="BB386" s="24"/>
      <c r="BC386" s="25"/>
      <c r="BD386" s="33"/>
      <c r="BE386" s="24"/>
      <c r="BF386" s="24"/>
      <c r="BG386" s="24"/>
      <c r="BT386" s="34"/>
      <c r="BU386" s="22" t="s">
        <v>415</v>
      </c>
      <c r="BV386" s="22">
        <v>0</v>
      </c>
      <c r="BW386" s="31" t="s">
        <v>144</v>
      </c>
      <c r="BX386" s="31">
        <f>STDEV(BV381:BV405)</f>
        <v>4.0402145157569711</v>
      </c>
      <c r="BZ386" s="34"/>
      <c r="CF386" s="24"/>
      <c r="CL386" s="24"/>
      <c r="CR386" s="24"/>
    </row>
    <row r="387" spans="18:96" ht="15" x14ac:dyDescent="0.25">
      <c r="S387" s="23" t="s">
        <v>497</v>
      </c>
      <c r="T387">
        <v>2</v>
      </c>
      <c r="U387" s="27"/>
      <c r="V387" s="27"/>
      <c r="AE387" s="23" t="s">
        <v>458</v>
      </c>
      <c r="AF387">
        <v>4</v>
      </c>
      <c r="AG387" s="31"/>
      <c r="AH387" s="31"/>
      <c r="AJ387" s="34"/>
      <c r="AK387" s="25"/>
      <c r="AL387" s="33"/>
      <c r="AM387" s="33"/>
      <c r="AN387" s="33"/>
      <c r="AO387" s="24"/>
      <c r="AP387" s="24"/>
      <c r="AQ387" s="49"/>
      <c r="AR387" s="33"/>
      <c r="AS387" s="33"/>
      <c r="AT387" s="33"/>
      <c r="AU387" s="24"/>
      <c r="AV387" s="24"/>
      <c r="AW387" s="25"/>
      <c r="AX387" s="33"/>
      <c r="AY387" s="24"/>
      <c r="AZ387" s="24"/>
      <c r="BA387" s="24"/>
      <c r="BB387" s="24"/>
      <c r="BC387" s="25"/>
      <c r="BD387" s="33"/>
      <c r="BE387" s="24"/>
      <c r="BF387" s="24"/>
      <c r="BG387" s="24"/>
      <c r="BT387" s="34"/>
      <c r="BU387" s="22" t="s">
        <v>416</v>
      </c>
      <c r="BV387" s="22">
        <v>1</v>
      </c>
      <c r="BW387" s="31"/>
      <c r="BX387" s="31"/>
      <c r="BZ387" s="34"/>
      <c r="CF387" s="24"/>
      <c r="CL387" s="24"/>
      <c r="CR387" s="24"/>
    </row>
    <row r="388" spans="18:96" ht="15" x14ac:dyDescent="0.25">
      <c r="S388" s="23" t="s">
        <v>498</v>
      </c>
      <c r="T388">
        <v>7</v>
      </c>
      <c r="U388" s="27"/>
      <c r="V388" s="27"/>
      <c r="AE388" s="23" t="s">
        <v>459</v>
      </c>
      <c r="AF388">
        <v>1</v>
      </c>
      <c r="AG388" s="31"/>
      <c r="AH388" s="31"/>
      <c r="AJ388" s="34"/>
      <c r="AK388" s="54"/>
      <c r="AL388" s="33"/>
      <c r="AM388" s="33"/>
      <c r="AN388" s="33"/>
      <c r="AO388" s="24"/>
      <c r="AP388" s="24"/>
      <c r="AQ388" s="25"/>
      <c r="AR388" s="33"/>
      <c r="AS388" s="24"/>
      <c r="AT388" s="24"/>
      <c r="AU388" s="24"/>
      <c r="AV388" s="24"/>
      <c r="AW388" s="25"/>
      <c r="AX388" s="33"/>
      <c r="AY388" s="24"/>
      <c r="AZ388" s="24"/>
      <c r="BA388" s="24"/>
      <c r="BB388" s="24"/>
      <c r="BC388" s="25"/>
      <c r="BD388" s="33"/>
      <c r="BE388" s="24"/>
      <c r="BF388" s="24"/>
      <c r="BG388" s="24"/>
      <c r="BT388" s="34"/>
      <c r="BU388" s="22" t="s">
        <v>417</v>
      </c>
      <c r="BV388" s="22">
        <v>0</v>
      </c>
      <c r="BW388" s="31"/>
      <c r="BX388" s="31"/>
      <c r="BZ388" s="34"/>
      <c r="CF388" s="24"/>
      <c r="CL388" s="24"/>
      <c r="CR388" s="24"/>
    </row>
    <row r="389" spans="18:96" ht="15" x14ac:dyDescent="0.25">
      <c r="S389" s="23" t="s">
        <v>499</v>
      </c>
      <c r="T389">
        <v>2</v>
      </c>
      <c r="U389" s="27"/>
      <c r="V389" s="27"/>
      <c r="AE389" s="23" t="s">
        <v>460</v>
      </c>
      <c r="AF389">
        <v>3</v>
      </c>
      <c r="AG389" s="33"/>
      <c r="AH389" s="33"/>
      <c r="AJ389" s="34"/>
      <c r="AK389" s="54"/>
      <c r="AL389" s="33"/>
      <c r="AM389" s="33"/>
      <c r="AN389" s="33"/>
      <c r="AO389" s="24"/>
      <c r="AP389" s="24"/>
      <c r="AQ389" s="49"/>
      <c r="AR389" s="33"/>
      <c r="AS389" s="24"/>
      <c r="AT389" s="24"/>
      <c r="AU389" s="24"/>
      <c r="AV389" s="24"/>
      <c r="AW389" s="25"/>
      <c r="AX389" s="33"/>
      <c r="AY389" s="24"/>
      <c r="AZ389" s="24"/>
      <c r="BA389" s="24"/>
      <c r="BB389" s="24"/>
      <c r="BC389" s="25"/>
      <c r="BD389" s="33"/>
      <c r="BE389" s="24"/>
      <c r="BF389" s="24"/>
      <c r="BG389" s="24"/>
      <c r="BT389" s="34"/>
      <c r="BU389" s="22" t="s">
        <v>418</v>
      </c>
      <c r="BV389" s="22">
        <v>11</v>
      </c>
      <c r="BW389" s="31"/>
      <c r="BX389" s="31"/>
      <c r="BZ389" s="34"/>
      <c r="CF389" s="24"/>
      <c r="CL389" s="24"/>
      <c r="CR389" s="24"/>
    </row>
    <row r="390" spans="18:96" ht="15" x14ac:dyDescent="0.25">
      <c r="S390" s="23" t="s">
        <v>500</v>
      </c>
      <c r="T390">
        <v>3</v>
      </c>
      <c r="U390" s="27"/>
      <c r="V390" s="27"/>
      <c r="AE390" s="23" t="s">
        <v>461</v>
      </c>
      <c r="AF390">
        <v>4</v>
      </c>
      <c r="AG390" s="31"/>
      <c r="AH390" s="31"/>
      <c r="AJ390" s="34"/>
      <c r="AK390" s="54"/>
      <c r="AL390" s="33"/>
      <c r="AM390" s="33"/>
      <c r="AN390" s="33"/>
      <c r="AO390" s="24"/>
      <c r="AP390" s="24"/>
      <c r="AQ390" s="49"/>
      <c r="AR390" s="33"/>
      <c r="AS390" s="24"/>
      <c r="AT390" s="24"/>
      <c r="AU390" s="24"/>
      <c r="AV390" s="24"/>
      <c r="AW390" s="25"/>
      <c r="AX390" s="33"/>
      <c r="AY390" s="24"/>
      <c r="AZ390" s="24"/>
      <c r="BA390" s="24"/>
      <c r="BB390" s="24"/>
      <c r="BC390" s="25"/>
      <c r="BD390" s="33"/>
      <c r="BE390" s="24"/>
      <c r="BF390" s="24"/>
      <c r="BG390" s="24"/>
      <c r="BT390" s="34"/>
      <c r="BU390" s="22" t="s">
        <v>419</v>
      </c>
      <c r="BV390" s="22">
        <v>8</v>
      </c>
      <c r="BW390" s="31"/>
      <c r="BX390" s="31"/>
      <c r="BZ390" s="34"/>
      <c r="CF390" s="24"/>
      <c r="CL390" s="24"/>
      <c r="CR390" s="24"/>
    </row>
    <row r="391" spans="18:96" ht="15" x14ac:dyDescent="0.25">
      <c r="S391" s="23" t="s">
        <v>501</v>
      </c>
      <c r="T391">
        <v>5</v>
      </c>
      <c r="U391" s="27"/>
      <c r="V391" s="27"/>
      <c r="AE391" s="23" t="s">
        <v>462</v>
      </c>
      <c r="AF391">
        <v>2</v>
      </c>
      <c r="AG391" s="24"/>
      <c r="AH391" s="24"/>
      <c r="AJ391" s="34"/>
      <c r="AK391" s="54"/>
      <c r="AL391" s="33"/>
      <c r="AM391" s="33"/>
      <c r="AN391" s="33"/>
      <c r="AO391" s="24"/>
      <c r="AP391" s="24"/>
      <c r="AQ391" s="49"/>
      <c r="AR391" s="33"/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  <c r="BC391" s="24"/>
      <c r="BD391" s="24"/>
      <c r="BE391" s="24"/>
      <c r="BF391" s="24"/>
      <c r="BG391" s="24"/>
      <c r="BT391" s="34"/>
      <c r="BU391" s="22" t="s">
        <v>420</v>
      </c>
      <c r="BV391" s="22">
        <v>7</v>
      </c>
      <c r="BW391" s="31"/>
      <c r="BX391" s="31"/>
      <c r="BZ391" s="34"/>
      <c r="CF391" s="24"/>
      <c r="CL391" s="24"/>
      <c r="CR391" s="24"/>
    </row>
    <row r="392" spans="18:96" ht="15" x14ac:dyDescent="0.25">
      <c r="S392" s="23" t="s">
        <v>502</v>
      </c>
      <c r="T392">
        <v>3</v>
      </c>
      <c r="U392" s="27"/>
      <c r="V392" s="27"/>
      <c r="AE392" s="23" t="s">
        <v>463</v>
      </c>
      <c r="AF392">
        <v>1</v>
      </c>
      <c r="AG392" s="31"/>
      <c r="AH392" s="31"/>
      <c r="AJ392" s="34"/>
      <c r="AK392" s="54"/>
      <c r="AL392" s="33"/>
      <c r="AM392" s="33"/>
      <c r="AN392" s="33"/>
      <c r="AO392" s="24"/>
      <c r="AP392" s="24"/>
      <c r="AQ392" s="49"/>
      <c r="AR392" s="33"/>
      <c r="AS392" s="24"/>
      <c r="AT392" s="24"/>
      <c r="AU392" s="24"/>
      <c r="AV392" s="24"/>
      <c r="AW392" s="24"/>
      <c r="AX392" s="24"/>
      <c r="AY392" s="24"/>
      <c r="AZ392" s="24"/>
      <c r="BA392" s="24"/>
      <c r="BB392" s="24"/>
      <c r="BC392" s="24"/>
      <c r="BD392" s="24"/>
      <c r="BE392" s="24"/>
      <c r="BF392" s="24"/>
      <c r="BG392" s="24"/>
      <c r="BT392" s="34"/>
      <c r="BU392" s="22" t="s">
        <v>421</v>
      </c>
      <c r="BV392" s="22">
        <v>13</v>
      </c>
      <c r="BW392" s="31"/>
      <c r="BX392" s="31"/>
      <c r="BZ392" s="34"/>
      <c r="CF392" s="24"/>
      <c r="CL392" s="24"/>
      <c r="CR392" s="24"/>
    </row>
    <row r="393" spans="18:96" ht="15" x14ac:dyDescent="0.25">
      <c r="S393" s="23" t="s">
        <v>350</v>
      </c>
      <c r="T393">
        <v>10</v>
      </c>
      <c r="U393" s="27"/>
      <c r="V393" s="27"/>
      <c r="AE393" s="23" t="s">
        <v>464</v>
      </c>
      <c r="AF393">
        <v>0</v>
      </c>
      <c r="AG393" s="31"/>
      <c r="AH393" s="31"/>
      <c r="AJ393" s="34"/>
      <c r="AK393" s="54"/>
      <c r="AL393" s="33"/>
      <c r="AM393" s="33"/>
      <c r="AN393" s="33"/>
      <c r="AO393" s="24"/>
      <c r="AP393" s="24"/>
      <c r="AQ393" s="49"/>
      <c r="AR393" s="33"/>
      <c r="AS393" s="24"/>
      <c r="AT393" s="24"/>
      <c r="AU393" s="24"/>
      <c r="AV393" s="24"/>
      <c r="AW393" s="33"/>
      <c r="AX393" s="24"/>
      <c r="AY393" s="24"/>
      <c r="AZ393" s="24"/>
      <c r="BA393" s="24"/>
      <c r="BB393" s="24"/>
      <c r="BC393" s="33"/>
      <c r="BD393" s="24"/>
      <c r="BE393" s="24"/>
      <c r="BF393" s="24"/>
      <c r="BG393" s="24"/>
      <c r="BT393" s="34"/>
      <c r="BU393" s="22" t="s">
        <v>422</v>
      </c>
      <c r="BV393" s="22">
        <v>10</v>
      </c>
      <c r="BW393" s="31"/>
      <c r="BX393" s="31"/>
      <c r="BZ393" s="34"/>
      <c r="CF393" s="24"/>
      <c r="CL393" s="24"/>
      <c r="CR393" s="24"/>
    </row>
    <row r="394" spans="18:96" ht="15" x14ac:dyDescent="0.25">
      <c r="S394" s="23" t="s">
        <v>503</v>
      </c>
      <c r="T394">
        <v>10</v>
      </c>
      <c r="U394" s="27"/>
      <c r="V394" s="27"/>
      <c r="AE394" s="23" t="s">
        <v>465</v>
      </c>
      <c r="AF394">
        <v>0</v>
      </c>
      <c r="AG394" s="31"/>
      <c r="AH394" s="31"/>
      <c r="AJ394" s="34"/>
      <c r="AK394" s="54"/>
      <c r="AL394" s="33"/>
      <c r="AM394" s="33"/>
      <c r="AN394" s="33"/>
      <c r="AO394" s="24"/>
      <c r="AP394" s="24"/>
      <c r="AQ394" s="49"/>
      <c r="AR394" s="33"/>
      <c r="AS394" s="24"/>
      <c r="AT394" s="24"/>
      <c r="AU394" s="24"/>
      <c r="AV394" s="24"/>
      <c r="AW394" s="33"/>
      <c r="AX394" s="33"/>
      <c r="AY394" s="33"/>
      <c r="AZ394" s="33"/>
      <c r="BA394" s="24"/>
      <c r="BB394" s="24"/>
      <c r="BC394" s="33"/>
      <c r="BD394" s="33"/>
      <c r="BE394" s="33"/>
      <c r="BF394" s="33"/>
      <c r="BG394" s="24"/>
      <c r="BT394" s="34"/>
      <c r="BU394" s="23" t="s">
        <v>423</v>
      </c>
      <c r="BV394" s="22">
        <v>10</v>
      </c>
      <c r="BW394" s="31"/>
      <c r="BX394" s="31"/>
      <c r="BZ394" s="34"/>
      <c r="CF394" s="24"/>
      <c r="CL394" s="24"/>
      <c r="CR394" s="24"/>
    </row>
    <row r="395" spans="18:96" ht="15" x14ac:dyDescent="0.25">
      <c r="S395" s="23" t="s">
        <v>504</v>
      </c>
      <c r="T395">
        <v>7</v>
      </c>
      <c r="U395" s="25"/>
      <c r="V395" s="25"/>
      <c r="AE395" s="23" t="s">
        <v>466</v>
      </c>
      <c r="AF395">
        <v>0</v>
      </c>
      <c r="AG395" s="31"/>
      <c r="AH395" s="31"/>
      <c r="AJ395" s="34"/>
      <c r="AK395" s="54"/>
      <c r="AL395" s="33"/>
      <c r="AM395" s="33"/>
      <c r="AN395" s="33"/>
      <c r="AO395" s="24"/>
      <c r="AP395" s="24"/>
      <c r="AQ395" s="49"/>
      <c r="AR395" s="33"/>
      <c r="AS395" s="24"/>
      <c r="AT395" s="24"/>
      <c r="AU395" s="24"/>
      <c r="AV395" s="24"/>
      <c r="AW395" s="49"/>
      <c r="AX395" s="33"/>
      <c r="AY395" s="33"/>
      <c r="AZ395" s="33"/>
      <c r="BA395" s="24"/>
      <c r="BB395" s="24"/>
      <c r="BC395" s="49"/>
      <c r="BD395" s="33"/>
      <c r="BE395" s="33"/>
      <c r="BF395" s="33"/>
      <c r="BG395" s="24"/>
      <c r="BT395" s="34"/>
      <c r="BU395" s="22" t="s">
        <v>424</v>
      </c>
      <c r="BV395" s="22">
        <v>4</v>
      </c>
      <c r="BW395" s="31"/>
      <c r="BX395" s="31"/>
      <c r="BZ395" s="34"/>
      <c r="CF395" s="24"/>
      <c r="CL395" s="24"/>
      <c r="CR395" s="24"/>
    </row>
    <row r="396" spans="18:96" ht="15" x14ac:dyDescent="0.25">
      <c r="R396" s="34"/>
      <c r="S396" s="34"/>
      <c r="T396" s="34"/>
      <c r="U396" s="34"/>
      <c r="V396" s="34"/>
      <c r="W396" s="34"/>
      <c r="AE396" s="23" t="s">
        <v>467</v>
      </c>
      <c r="AF396">
        <v>1</v>
      </c>
      <c r="AG396" s="31"/>
      <c r="AH396" s="31"/>
      <c r="AJ396" s="34"/>
      <c r="AK396" s="54"/>
      <c r="AL396" s="33"/>
      <c r="AM396" s="33"/>
      <c r="AN396" s="33"/>
      <c r="AO396" s="24"/>
      <c r="AP396" s="24"/>
      <c r="AQ396" s="49"/>
      <c r="AR396" s="33"/>
      <c r="AS396" s="24"/>
      <c r="AT396" s="24"/>
      <c r="AU396" s="24"/>
      <c r="AV396" s="24"/>
      <c r="AW396" s="49"/>
      <c r="AX396" s="33"/>
      <c r="AY396" s="33"/>
      <c r="AZ396" s="33"/>
      <c r="BA396" s="24"/>
      <c r="BB396" s="24"/>
      <c r="BC396" s="49"/>
      <c r="BD396" s="33"/>
      <c r="BE396" s="33"/>
      <c r="BF396" s="33"/>
      <c r="BG396" s="24"/>
      <c r="BT396" s="34"/>
      <c r="BU396" s="23" t="s">
        <v>425</v>
      </c>
      <c r="BV396" s="22">
        <v>5</v>
      </c>
      <c r="BW396" s="31"/>
      <c r="BX396" s="31"/>
      <c r="BZ396" s="34"/>
      <c r="CF396" s="24"/>
      <c r="CL396" s="24"/>
      <c r="CR396" s="24"/>
    </row>
    <row r="397" spans="18:96" ht="15" x14ac:dyDescent="0.25">
      <c r="S397" s="27" t="s">
        <v>100</v>
      </c>
      <c r="T397" s="30" t="s">
        <v>524</v>
      </c>
      <c r="U397" s="27"/>
      <c r="V397" s="27">
        <v>2014</v>
      </c>
      <c r="AE397" s="23" t="s">
        <v>468</v>
      </c>
      <c r="AF397">
        <v>2</v>
      </c>
      <c r="AG397" s="31"/>
      <c r="AH397" s="31"/>
      <c r="AJ397" s="34"/>
      <c r="AK397" s="54"/>
      <c r="AL397" s="33"/>
      <c r="AM397" s="24"/>
      <c r="AN397" s="24"/>
      <c r="AO397" s="24"/>
      <c r="AP397" s="24"/>
      <c r="AQ397" s="49"/>
      <c r="AR397" s="33"/>
      <c r="AS397" s="24"/>
      <c r="AT397" s="24"/>
      <c r="AU397" s="24"/>
      <c r="AV397" s="24"/>
      <c r="AW397" s="49"/>
      <c r="AX397" s="33"/>
      <c r="AY397" s="33"/>
      <c r="AZ397" s="33"/>
      <c r="BA397" s="24"/>
      <c r="BB397" s="24"/>
      <c r="BC397" s="49"/>
      <c r="BD397" s="33"/>
      <c r="BE397" s="33"/>
      <c r="BF397" s="33"/>
      <c r="BG397" s="24"/>
      <c r="BT397" s="34"/>
      <c r="BU397" s="23" t="s">
        <v>426</v>
      </c>
      <c r="BV397" s="22">
        <v>4</v>
      </c>
      <c r="BW397" s="31"/>
      <c r="BX397" s="31"/>
      <c r="BZ397" s="34"/>
      <c r="CF397" s="24"/>
      <c r="CL397" s="24"/>
      <c r="CR397" s="24"/>
    </row>
    <row r="398" spans="18:96" ht="15" x14ac:dyDescent="0.25">
      <c r="S398" s="27" t="s">
        <v>101</v>
      </c>
      <c r="T398" s="12" t="s">
        <v>30</v>
      </c>
      <c r="U398" s="27"/>
      <c r="V398" s="27"/>
      <c r="AE398" s="23" t="s">
        <v>469</v>
      </c>
      <c r="AF398">
        <v>0</v>
      </c>
      <c r="AG398" s="31"/>
      <c r="AH398" s="31"/>
      <c r="AJ398" s="34"/>
      <c r="AK398" s="54"/>
      <c r="AL398" s="33"/>
      <c r="AM398" s="24"/>
      <c r="AN398" s="24"/>
      <c r="AO398" s="24"/>
      <c r="AP398" s="24"/>
      <c r="AQ398" s="49"/>
      <c r="AR398" s="33"/>
      <c r="AS398" s="24"/>
      <c r="AT398" s="24"/>
      <c r="AU398" s="24"/>
      <c r="AV398" s="24"/>
      <c r="AW398" s="49"/>
      <c r="AX398" s="33"/>
      <c r="AY398" s="33"/>
      <c r="AZ398" s="33"/>
      <c r="BA398" s="24"/>
      <c r="BB398" s="24"/>
      <c r="BC398" s="49"/>
      <c r="BD398" s="33"/>
      <c r="BE398" s="33"/>
      <c r="BF398" s="33"/>
      <c r="BG398" s="24"/>
      <c r="BT398" s="34"/>
      <c r="BU398" s="23" t="s">
        <v>427</v>
      </c>
      <c r="BV398" s="22">
        <v>0</v>
      </c>
      <c r="BW398" s="31"/>
      <c r="BX398" s="31"/>
      <c r="BZ398" s="34"/>
      <c r="CF398" s="24"/>
      <c r="CL398" s="24"/>
      <c r="CR398" s="24"/>
    </row>
    <row r="399" spans="18:96" ht="15" x14ac:dyDescent="0.25">
      <c r="S399" s="27" t="s">
        <v>102</v>
      </c>
      <c r="T399" s="27" t="s">
        <v>71</v>
      </c>
      <c r="U399" s="27" t="s">
        <v>103</v>
      </c>
      <c r="V399" s="27" t="s">
        <v>104</v>
      </c>
      <c r="AE399" s="23" t="s">
        <v>470</v>
      </c>
      <c r="AF399">
        <v>0</v>
      </c>
      <c r="AG399" s="31"/>
      <c r="AH399" s="31"/>
      <c r="AJ399" s="34"/>
      <c r="AK399" s="54"/>
      <c r="AL399" s="33"/>
      <c r="AM399" s="24"/>
      <c r="AN399" s="24"/>
      <c r="AO399" s="24"/>
      <c r="AP399" s="24"/>
      <c r="AQ399" s="49"/>
      <c r="AR399" s="33"/>
      <c r="AS399" s="24"/>
      <c r="AT399" s="24"/>
      <c r="AU399" s="24"/>
      <c r="AV399" s="24"/>
      <c r="AW399" s="49"/>
      <c r="AX399" s="33"/>
      <c r="AY399" s="33"/>
      <c r="AZ399" s="33"/>
      <c r="BA399" s="24"/>
      <c r="BB399" s="24"/>
      <c r="BC399" s="49"/>
      <c r="BD399" s="33"/>
      <c r="BE399" s="33"/>
      <c r="BF399" s="33"/>
      <c r="BG399" s="24"/>
      <c r="BT399" s="34"/>
      <c r="BU399" s="23" t="s">
        <v>428</v>
      </c>
      <c r="BV399" s="22">
        <v>0</v>
      </c>
      <c r="BW399" s="31"/>
      <c r="BX399" s="31"/>
      <c r="BZ399" s="34"/>
      <c r="CF399" s="24"/>
      <c r="CL399" s="24"/>
      <c r="CR399" s="24"/>
    </row>
    <row r="400" spans="18:96" ht="15" x14ac:dyDescent="0.25">
      <c r="S400" s="23" t="s">
        <v>489</v>
      </c>
      <c r="T400">
        <v>1</v>
      </c>
      <c r="U400" s="31" t="s">
        <v>106</v>
      </c>
      <c r="V400" s="27">
        <f>SUM(T400:T417)</f>
        <v>3</v>
      </c>
      <c r="AE400" s="23" t="s">
        <v>471</v>
      </c>
      <c r="AF400">
        <v>0</v>
      </c>
      <c r="AG400" s="31"/>
      <c r="AH400" s="31"/>
      <c r="AJ400" s="34"/>
      <c r="AK400" s="54"/>
      <c r="AL400" s="33"/>
      <c r="AM400" s="24"/>
      <c r="AN400" s="24"/>
      <c r="AO400" s="24"/>
      <c r="AP400" s="24"/>
      <c r="AQ400" s="49"/>
      <c r="AR400" s="33"/>
      <c r="AS400" s="24"/>
      <c r="AT400" s="24"/>
      <c r="AU400" s="24"/>
      <c r="AV400" s="24"/>
      <c r="AW400" s="49"/>
      <c r="AX400" s="33"/>
      <c r="AY400" s="33"/>
      <c r="AZ400" s="33"/>
      <c r="BA400" s="24"/>
      <c r="BB400" s="24"/>
      <c r="BC400" s="49"/>
      <c r="BD400" s="33"/>
      <c r="BE400" s="33"/>
      <c r="BF400" s="33"/>
      <c r="BG400" s="24"/>
      <c r="BT400" s="34"/>
      <c r="BU400" s="23" t="s">
        <v>429</v>
      </c>
      <c r="BV400" s="22">
        <v>3</v>
      </c>
      <c r="BW400" s="31"/>
      <c r="BX400" s="31"/>
      <c r="BZ400" s="34"/>
      <c r="CF400" s="24"/>
      <c r="CL400" s="24"/>
      <c r="CR400" s="24"/>
    </row>
    <row r="401" spans="19:96" ht="15" x14ac:dyDescent="0.25">
      <c r="S401" s="23" t="s">
        <v>490</v>
      </c>
      <c r="T401">
        <v>0</v>
      </c>
      <c r="U401" s="31" t="s">
        <v>115</v>
      </c>
      <c r="V401" s="27">
        <f>MIN(T400:T417)</f>
        <v>0</v>
      </c>
      <c r="AE401" s="23" t="s">
        <v>472</v>
      </c>
      <c r="AF401">
        <v>1</v>
      </c>
      <c r="AJ401" s="34"/>
      <c r="AK401" s="54"/>
      <c r="AL401" s="33"/>
      <c r="AM401" s="24"/>
      <c r="AN401" s="24"/>
      <c r="AO401" s="24"/>
      <c r="AP401" s="24"/>
      <c r="AQ401" s="49"/>
      <c r="AR401" s="33"/>
      <c r="AS401" s="24"/>
      <c r="AT401" s="24"/>
      <c r="AU401" s="24"/>
      <c r="AV401" s="24"/>
      <c r="AW401" s="49"/>
      <c r="AX401" s="33"/>
      <c r="AY401" s="33"/>
      <c r="AZ401" s="33"/>
      <c r="BA401" s="24"/>
      <c r="BB401" s="24"/>
      <c r="BC401" s="49"/>
      <c r="BD401" s="33"/>
      <c r="BE401" s="33"/>
      <c r="BF401" s="33"/>
      <c r="BG401" s="24"/>
      <c r="BT401" s="34"/>
      <c r="BU401" s="23" t="s">
        <v>430</v>
      </c>
      <c r="BV401" s="22">
        <v>5</v>
      </c>
      <c r="BW401" s="31"/>
      <c r="BX401" s="31"/>
      <c r="BZ401" s="34"/>
      <c r="CF401" s="24"/>
      <c r="CL401" s="24"/>
      <c r="CR401" s="24"/>
    </row>
    <row r="402" spans="19:96" ht="15" x14ac:dyDescent="0.25">
      <c r="S402" s="23" t="s">
        <v>491</v>
      </c>
      <c r="T402">
        <v>2</v>
      </c>
      <c r="U402" s="31" t="s">
        <v>122</v>
      </c>
      <c r="V402" s="27">
        <f>MAX(T400:T417)</f>
        <v>2</v>
      </c>
      <c r="AE402" s="23" t="s">
        <v>362</v>
      </c>
      <c r="AF402">
        <v>2</v>
      </c>
      <c r="AJ402" s="34"/>
      <c r="AK402" s="54"/>
      <c r="AL402" s="33"/>
      <c r="AM402" s="24"/>
      <c r="AN402" s="24"/>
      <c r="AO402" s="24"/>
      <c r="AP402" s="24"/>
      <c r="AQ402" s="49"/>
      <c r="AR402" s="33"/>
      <c r="AS402" s="24"/>
      <c r="AT402" s="24"/>
      <c r="AU402" s="24"/>
      <c r="AV402" s="24"/>
      <c r="AW402" s="49"/>
      <c r="AX402" s="33"/>
      <c r="AY402" s="33"/>
      <c r="AZ402" s="33"/>
      <c r="BA402" s="24"/>
      <c r="BB402" s="24"/>
      <c r="BC402" s="49"/>
      <c r="BD402" s="33"/>
      <c r="BE402" s="33"/>
      <c r="BF402" s="33"/>
      <c r="BG402" s="24"/>
      <c r="BT402" s="34"/>
      <c r="BU402" s="23" t="s">
        <v>431</v>
      </c>
      <c r="BV402" s="22">
        <v>5</v>
      </c>
      <c r="BW402" s="31"/>
      <c r="BX402" s="31"/>
      <c r="BZ402" s="34"/>
      <c r="CF402" s="24"/>
      <c r="CL402" s="24"/>
      <c r="CR402" s="24"/>
    </row>
    <row r="403" spans="19:96" ht="15" x14ac:dyDescent="0.25">
      <c r="S403" s="23" t="s">
        <v>492</v>
      </c>
      <c r="T403">
        <v>0</v>
      </c>
      <c r="U403" s="31" t="s">
        <v>129</v>
      </c>
      <c r="V403" s="27">
        <f>VAR(T400:T417)</f>
        <v>0.26470588235294118</v>
      </c>
      <c r="AE403" s="23" t="s">
        <v>473</v>
      </c>
      <c r="AF403">
        <v>0</v>
      </c>
      <c r="AJ403" s="34"/>
      <c r="AK403" s="54"/>
      <c r="AL403" s="33"/>
      <c r="AM403" s="24"/>
      <c r="AN403" s="24"/>
      <c r="AO403" s="24"/>
      <c r="AP403" s="24"/>
      <c r="AQ403" s="49"/>
      <c r="AR403" s="33"/>
      <c r="AS403" s="24"/>
      <c r="AT403" s="24"/>
      <c r="AU403" s="24"/>
      <c r="AV403" s="24"/>
      <c r="AW403" s="49"/>
      <c r="AX403" s="33"/>
      <c r="AY403" s="33"/>
      <c r="AZ403" s="33"/>
      <c r="BA403" s="24"/>
      <c r="BB403" s="24"/>
      <c r="BC403" s="49"/>
      <c r="BD403" s="33"/>
      <c r="BE403" s="33"/>
      <c r="BF403" s="33"/>
      <c r="BG403" s="24"/>
      <c r="BT403" s="34"/>
      <c r="BU403" s="23" t="s">
        <v>432</v>
      </c>
      <c r="BV403" s="22">
        <v>10</v>
      </c>
      <c r="BW403" s="31"/>
      <c r="BX403" s="31"/>
      <c r="BZ403" s="34"/>
      <c r="CF403" s="24"/>
      <c r="CL403" s="24"/>
      <c r="CR403" s="24"/>
    </row>
    <row r="404" spans="19:96" ht="15" x14ac:dyDescent="0.25">
      <c r="S404" s="23" t="s">
        <v>493</v>
      </c>
      <c r="T404">
        <v>0</v>
      </c>
      <c r="U404" s="31" t="s">
        <v>138</v>
      </c>
      <c r="V404" s="27">
        <f>AVERAGE(T400:T417)</f>
        <v>0.16666666666666666</v>
      </c>
      <c r="AE404" s="23" t="s">
        <v>474</v>
      </c>
      <c r="AF404">
        <v>0</v>
      </c>
      <c r="AJ404" s="34"/>
      <c r="AK404" s="54"/>
      <c r="AL404" s="33"/>
      <c r="AM404" s="24"/>
      <c r="AN404" s="24"/>
      <c r="AO404" s="24"/>
      <c r="AP404" s="24"/>
      <c r="AQ404" s="49"/>
      <c r="AR404" s="33"/>
      <c r="AS404" s="24"/>
      <c r="AT404" s="24"/>
      <c r="AU404" s="24"/>
      <c r="AV404" s="24"/>
      <c r="AW404" s="49"/>
      <c r="AX404" s="33"/>
      <c r="AY404" s="33"/>
      <c r="AZ404" s="33"/>
      <c r="BA404" s="24"/>
      <c r="BB404" s="24"/>
      <c r="BC404" s="49"/>
      <c r="BD404" s="33"/>
      <c r="BE404" s="33"/>
      <c r="BF404" s="33"/>
      <c r="BG404" s="24"/>
      <c r="BT404" s="34"/>
      <c r="BU404" s="23" t="s">
        <v>433</v>
      </c>
      <c r="BV404" s="22">
        <v>5</v>
      </c>
      <c r="BW404" s="31"/>
      <c r="BX404" s="31"/>
      <c r="BZ404" s="34"/>
      <c r="CF404" s="24"/>
      <c r="CL404" s="24"/>
      <c r="CR404" s="24"/>
    </row>
    <row r="405" spans="19:96" ht="15" x14ac:dyDescent="0.25">
      <c r="S405" s="23" t="s">
        <v>494</v>
      </c>
      <c r="T405">
        <v>0</v>
      </c>
      <c r="U405" s="31" t="s">
        <v>144</v>
      </c>
      <c r="V405" s="27">
        <f>STDEV(T400:T417)</f>
        <v>0.51449575542752657</v>
      </c>
      <c r="AE405" s="23" t="s">
        <v>475</v>
      </c>
      <c r="AF405">
        <v>0</v>
      </c>
      <c r="AJ405" s="34"/>
      <c r="AK405" s="54"/>
      <c r="AL405" s="33"/>
      <c r="AM405" s="24"/>
      <c r="AN405" s="24"/>
      <c r="AO405" s="24"/>
      <c r="AP405" s="24"/>
      <c r="AQ405" s="49"/>
      <c r="AR405" s="33"/>
      <c r="AS405" s="24"/>
      <c r="AT405" s="24"/>
      <c r="AU405" s="24"/>
      <c r="AV405" s="24"/>
      <c r="AW405" s="49"/>
      <c r="AX405" s="33"/>
      <c r="AY405" s="33"/>
      <c r="AZ405" s="33"/>
      <c r="BA405" s="24"/>
      <c r="BB405" s="24"/>
      <c r="BC405" s="49"/>
      <c r="BD405" s="33"/>
      <c r="BE405" s="33"/>
      <c r="BF405" s="33"/>
      <c r="BG405" s="24"/>
      <c r="BT405" s="34"/>
      <c r="BU405" s="23" t="s">
        <v>434</v>
      </c>
      <c r="BV405" s="22">
        <v>2</v>
      </c>
      <c r="BW405" s="31"/>
      <c r="BX405" s="31"/>
      <c r="BZ405" s="34"/>
      <c r="CF405" s="24"/>
      <c r="CL405" s="24"/>
      <c r="CR405" s="24"/>
    </row>
    <row r="406" spans="19:96" ht="15" x14ac:dyDescent="0.25">
      <c r="S406" s="23" t="s">
        <v>495</v>
      </c>
      <c r="T406">
        <v>0</v>
      </c>
      <c r="U406" s="27"/>
      <c r="V406" s="27"/>
      <c r="AE406" s="34"/>
      <c r="AF406" s="34"/>
      <c r="AG406" s="34"/>
      <c r="AH406" s="34"/>
      <c r="AI406" s="34"/>
      <c r="AJ406" s="34"/>
      <c r="AK406" s="54"/>
      <c r="AL406" s="33"/>
      <c r="AM406" s="24"/>
      <c r="AN406" s="24"/>
      <c r="AO406" s="24"/>
      <c r="AP406" s="24"/>
      <c r="AQ406" s="49"/>
      <c r="AR406" s="33"/>
      <c r="AS406" s="24"/>
      <c r="AT406" s="24"/>
      <c r="AU406" s="24"/>
      <c r="AV406" s="24"/>
      <c r="AW406" s="49"/>
      <c r="AX406" s="33"/>
      <c r="AY406" s="33"/>
      <c r="AZ406" s="33"/>
      <c r="BA406" s="24"/>
      <c r="BB406" s="24"/>
      <c r="BC406" s="49"/>
      <c r="BD406" s="33"/>
      <c r="BE406" s="33"/>
      <c r="BF406" s="33"/>
      <c r="BG406" s="24"/>
      <c r="BT406" s="34"/>
      <c r="BU406" s="34"/>
      <c r="BV406" s="34"/>
      <c r="BW406" s="34"/>
      <c r="BX406" s="34"/>
      <c r="BY406" s="34"/>
      <c r="BZ406" s="34"/>
      <c r="CF406" s="24"/>
      <c r="CL406" s="24"/>
      <c r="CR406" s="24"/>
    </row>
    <row r="407" spans="19:96" ht="15" x14ac:dyDescent="0.25">
      <c r="S407" s="23" t="s">
        <v>496</v>
      </c>
      <c r="T407">
        <v>0</v>
      </c>
      <c r="U407" s="27"/>
      <c r="V407" s="27"/>
      <c r="AE407" s="31" t="s">
        <v>100</v>
      </c>
      <c r="AF407" s="32" t="s">
        <v>67</v>
      </c>
      <c r="AG407" s="31"/>
      <c r="AH407" s="31"/>
      <c r="AJ407" s="34"/>
      <c r="AK407" s="54"/>
      <c r="AL407" s="33"/>
      <c r="AM407" s="24"/>
      <c r="AN407" s="24"/>
      <c r="AO407" s="24"/>
      <c r="AP407" s="24"/>
      <c r="AQ407" s="49"/>
      <c r="AR407" s="33"/>
      <c r="AS407" s="24"/>
      <c r="AT407" s="24"/>
      <c r="AU407" s="24"/>
      <c r="AV407" s="24"/>
      <c r="AW407" s="25"/>
      <c r="AX407" s="33"/>
      <c r="AY407" s="24"/>
      <c r="AZ407" s="24"/>
      <c r="BA407" s="24"/>
      <c r="BB407" s="24"/>
      <c r="BC407" s="25"/>
      <c r="BD407" s="33"/>
      <c r="BE407" s="24"/>
      <c r="BF407" s="24"/>
      <c r="BG407" s="24"/>
      <c r="BT407" s="34"/>
      <c r="BU407" s="19" t="s">
        <v>100</v>
      </c>
      <c r="BV407" s="35" t="s">
        <v>61</v>
      </c>
      <c r="BZ407" s="34"/>
      <c r="CF407" s="24"/>
      <c r="CL407" s="24"/>
      <c r="CR407" s="24"/>
    </row>
    <row r="408" spans="19:96" ht="15" x14ac:dyDescent="0.25">
      <c r="S408" s="23" t="s">
        <v>389</v>
      </c>
      <c r="T408">
        <v>0</v>
      </c>
      <c r="U408" s="27"/>
      <c r="V408" s="27"/>
      <c r="AE408" s="31" t="s">
        <v>101</v>
      </c>
      <c r="AF408" s="12" t="s">
        <v>19</v>
      </c>
      <c r="AG408" s="31"/>
      <c r="AH408" s="31"/>
      <c r="AJ408" s="34"/>
      <c r="AK408" s="54"/>
      <c r="AL408" s="33"/>
      <c r="AM408" s="24"/>
      <c r="AN408" s="24"/>
      <c r="AO408" s="24"/>
      <c r="AP408" s="24"/>
      <c r="AQ408" s="49"/>
      <c r="AR408" s="33"/>
      <c r="AS408" s="24"/>
      <c r="AT408" s="24"/>
      <c r="AU408" s="24"/>
      <c r="AV408" s="24"/>
      <c r="AW408" s="49"/>
      <c r="AX408" s="33"/>
      <c r="AY408" s="24"/>
      <c r="AZ408" s="24"/>
      <c r="BA408" s="24"/>
      <c r="BB408" s="24"/>
      <c r="BC408" s="49"/>
      <c r="BD408" s="33"/>
      <c r="BE408" s="24"/>
      <c r="BF408" s="24"/>
      <c r="BG408" s="24"/>
      <c r="BT408" s="34"/>
      <c r="BV408" s="12" t="s">
        <v>19</v>
      </c>
      <c r="BZ408" s="34"/>
      <c r="CF408" s="24"/>
      <c r="CL408" s="24"/>
      <c r="CR408" s="24"/>
    </row>
    <row r="409" spans="19:96" ht="15" x14ac:dyDescent="0.25">
      <c r="S409" s="23" t="s">
        <v>497</v>
      </c>
      <c r="T409">
        <v>0</v>
      </c>
      <c r="U409" s="27"/>
      <c r="V409" s="27"/>
      <c r="AE409" s="31" t="s">
        <v>102</v>
      </c>
      <c r="AF409" s="31" t="s">
        <v>71</v>
      </c>
      <c r="AG409" s="31" t="s">
        <v>103</v>
      </c>
      <c r="AH409" s="31" t="s">
        <v>104</v>
      </c>
      <c r="AJ409" s="34"/>
      <c r="AK409" s="54"/>
      <c r="AL409" s="33"/>
      <c r="AM409" s="24"/>
      <c r="AN409" s="24"/>
      <c r="AO409" s="24"/>
      <c r="AP409" s="24"/>
      <c r="AQ409" s="49"/>
      <c r="AR409" s="33"/>
      <c r="AS409" s="24"/>
      <c r="AT409" s="24"/>
      <c r="AU409" s="24"/>
      <c r="AV409" s="24"/>
      <c r="AW409" s="49"/>
      <c r="AX409" s="33"/>
      <c r="AY409" s="24"/>
      <c r="AZ409" s="24"/>
      <c r="BA409" s="24"/>
      <c r="BB409" s="24"/>
      <c r="BC409" s="49"/>
      <c r="BD409" s="33"/>
      <c r="BE409" s="24"/>
      <c r="BF409" s="24"/>
      <c r="BG409" s="24"/>
      <c r="BT409" s="34"/>
      <c r="BU409" s="31" t="s">
        <v>102</v>
      </c>
      <c r="BV409" s="31" t="s">
        <v>71</v>
      </c>
      <c r="BW409" s="31" t="s">
        <v>103</v>
      </c>
      <c r="BX409" s="31" t="s">
        <v>104</v>
      </c>
      <c r="BZ409" s="34"/>
      <c r="CF409" s="24"/>
      <c r="CL409" s="24"/>
      <c r="CR409" s="24"/>
    </row>
    <row r="410" spans="19:96" ht="15" x14ac:dyDescent="0.25">
      <c r="S410" s="23" t="s">
        <v>498</v>
      </c>
      <c r="T410">
        <v>0</v>
      </c>
      <c r="U410" s="27"/>
      <c r="V410" s="27"/>
      <c r="AE410" s="23" t="s">
        <v>453</v>
      </c>
      <c r="AF410">
        <v>0</v>
      </c>
      <c r="AG410" s="31" t="s">
        <v>106</v>
      </c>
      <c r="AH410" s="31">
        <f>SUM(AF410:AF434)</f>
        <v>18</v>
      </c>
      <c r="AJ410" s="34"/>
      <c r="AK410" s="24"/>
      <c r="AL410" s="24"/>
      <c r="AM410" s="24"/>
      <c r="AN410" s="24"/>
      <c r="AO410" s="24"/>
      <c r="AP410" s="24"/>
      <c r="AQ410" s="49"/>
      <c r="AR410" s="33"/>
      <c r="AS410" s="24"/>
      <c r="AT410" s="24"/>
      <c r="AU410" s="24"/>
      <c r="AV410" s="24"/>
      <c r="AW410" s="49"/>
      <c r="AX410" s="33"/>
      <c r="AY410" s="24"/>
      <c r="AZ410" s="24"/>
      <c r="BA410" s="24"/>
      <c r="BB410" s="24"/>
      <c r="BC410" s="49"/>
      <c r="BD410" s="33"/>
      <c r="BE410" s="24"/>
      <c r="BF410" s="24"/>
      <c r="BG410" s="24"/>
      <c r="BT410" s="34"/>
      <c r="BU410" s="23" t="s">
        <v>412</v>
      </c>
      <c r="BV410" s="22">
        <v>9</v>
      </c>
      <c r="BW410" s="31" t="s">
        <v>106</v>
      </c>
      <c r="BX410" s="31">
        <f>SUM(BV410:BV434)</f>
        <v>190</v>
      </c>
      <c r="BZ410" s="34"/>
      <c r="CF410" s="24"/>
      <c r="CL410" s="24"/>
      <c r="CR410" s="24"/>
    </row>
    <row r="411" spans="19:96" ht="15" x14ac:dyDescent="0.25">
      <c r="S411" s="23" t="s">
        <v>499</v>
      </c>
      <c r="T411">
        <v>0</v>
      </c>
      <c r="U411" s="27"/>
      <c r="V411" s="27"/>
      <c r="AE411" s="23" t="s">
        <v>454</v>
      </c>
      <c r="AF411">
        <v>0</v>
      </c>
      <c r="AG411" s="31" t="s">
        <v>115</v>
      </c>
      <c r="AH411" s="31">
        <f>MIN(AF410:AF434)</f>
        <v>0</v>
      </c>
      <c r="AJ411" s="34"/>
      <c r="AK411" s="24"/>
      <c r="AL411" s="24"/>
      <c r="AM411" s="24"/>
      <c r="AN411" s="24"/>
      <c r="AO411" s="24"/>
      <c r="AP411" s="24"/>
      <c r="AQ411" s="49"/>
      <c r="AR411" s="33"/>
      <c r="AS411" s="24"/>
      <c r="AT411" s="24"/>
      <c r="AU411" s="24"/>
      <c r="AV411" s="24"/>
      <c r="AW411" s="49"/>
      <c r="AX411" s="33"/>
      <c r="AY411" s="24"/>
      <c r="AZ411" s="24"/>
      <c r="BA411" s="24"/>
      <c r="BB411" s="24"/>
      <c r="BC411" s="49"/>
      <c r="BD411" s="33"/>
      <c r="BE411" s="24"/>
      <c r="BF411" s="24"/>
      <c r="BG411" s="24"/>
      <c r="BT411" s="34"/>
      <c r="BU411" s="22" t="s">
        <v>244</v>
      </c>
      <c r="BV411" s="22">
        <v>3</v>
      </c>
      <c r="BW411" s="31" t="s">
        <v>115</v>
      </c>
      <c r="BX411" s="31">
        <f>MIN(BV410:BV434)</f>
        <v>0</v>
      </c>
      <c r="BZ411" s="34"/>
      <c r="CF411" s="24"/>
      <c r="CL411" s="24"/>
      <c r="CR411" s="24"/>
    </row>
    <row r="412" spans="19:96" ht="15" x14ac:dyDescent="0.25">
      <c r="S412" s="23" t="s">
        <v>500</v>
      </c>
      <c r="T412">
        <v>0</v>
      </c>
      <c r="U412" s="27"/>
      <c r="V412" s="27"/>
      <c r="AE412" s="23" t="s">
        <v>455</v>
      </c>
      <c r="AF412">
        <v>1</v>
      </c>
      <c r="AG412" s="31" t="s">
        <v>122</v>
      </c>
      <c r="AH412" s="31">
        <f>MAX(AF410:AF434)</f>
        <v>7</v>
      </c>
      <c r="AJ412" s="34"/>
      <c r="AK412" s="24"/>
      <c r="AL412" s="24"/>
      <c r="AM412" s="24"/>
      <c r="AN412" s="24"/>
      <c r="AO412" s="24"/>
      <c r="AP412" s="24"/>
      <c r="AQ412" s="49"/>
      <c r="AR412" s="33"/>
      <c r="AS412" s="24"/>
      <c r="AT412" s="24"/>
      <c r="AU412" s="24"/>
      <c r="AV412" s="24"/>
      <c r="AW412" s="49"/>
      <c r="AX412" s="33"/>
      <c r="AY412" s="24"/>
      <c r="AZ412" s="24"/>
      <c r="BA412" s="24"/>
      <c r="BB412" s="24"/>
      <c r="BC412" s="49"/>
      <c r="BD412" s="33"/>
      <c r="BE412" s="24"/>
      <c r="BF412" s="24"/>
      <c r="BG412" s="24"/>
      <c r="BT412" s="34"/>
      <c r="BU412" s="22" t="s">
        <v>119</v>
      </c>
      <c r="BV412" s="22">
        <v>0</v>
      </c>
      <c r="BW412" s="31" t="s">
        <v>122</v>
      </c>
      <c r="BX412" s="31">
        <f>MAX(BV410:BV434)</f>
        <v>55</v>
      </c>
      <c r="BZ412" s="34"/>
      <c r="CF412" s="24"/>
      <c r="CL412" s="24"/>
      <c r="CR412" s="24"/>
    </row>
    <row r="413" spans="19:96" ht="15" x14ac:dyDescent="0.25">
      <c r="S413" s="23" t="s">
        <v>501</v>
      </c>
      <c r="T413">
        <v>0</v>
      </c>
      <c r="U413" s="27"/>
      <c r="V413" s="27"/>
      <c r="AE413" s="23" t="s">
        <v>456</v>
      </c>
      <c r="AF413">
        <v>7</v>
      </c>
      <c r="AG413" s="31" t="s">
        <v>129</v>
      </c>
      <c r="AH413" s="31">
        <f>VAR(AF410:AF434)</f>
        <v>2.21</v>
      </c>
      <c r="AJ413" s="34"/>
      <c r="AK413" s="24"/>
      <c r="AL413" s="24"/>
      <c r="AM413" s="24"/>
      <c r="AN413" s="24"/>
      <c r="AO413" s="24"/>
      <c r="AP413" s="24"/>
      <c r="AQ413" s="49"/>
      <c r="AR413" s="33"/>
      <c r="AS413" s="24"/>
      <c r="AT413" s="24"/>
      <c r="AU413" s="24"/>
      <c r="AV413" s="24"/>
      <c r="AW413" s="49"/>
      <c r="AX413" s="33"/>
      <c r="AY413" s="24"/>
      <c r="AZ413" s="24"/>
      <c r="BA413" s="24"/>
      <c r="BB413" s="24"/>
      <c r="BC413" s="49"/>
      <c r="BD413" s="33"/>
      <c r="BE413" s="24"/>
      <c r="BF413" s="24"/>
      <c r="BG413" s="24"/>
      <c r="BT413" s="34"/>
      <c r="BU413" s="22" t="s">
        <v>413</v>
      </c>
      <c r="BV413" s="22">
        <v>0</v>
      </c>
      <c r="BW413" s="31" t="s">
        <v>129</v>
      </c>
      <c r="BX413" s="31">
        <f>VAR(BV410:BV434)</f>
        <v>139.58333333333334</v>
      </c>
      <c r="BZ413" s="34"/>
      <c r="CF413" s="24"/>
      <c r="CL413" s="24"/>
      <c r="CR413" s="24"/>
    </row>
    <row r="414" spans="19:96" ht="15" x14ac:dyDescent="0.25">
      <c r="S414" s="23" t="s">
        <v>502</v>
      </c>
      <c r="T414">
        <v>0</v>
      </c>
      <c r="U414" s="27"/>
      <c r="V414" s="27"/>
      <c r="AE414" s="23" t="s">
        <v>259</v>
      </c>
      <c r="AF414">
        <v>1</v>
      </c>
      <c r="AG414" s="31" t="s">
        <v>138</v>
      </c>
      <c r="AH414" s="31">
        <f>AVERAGE(AF410:AF434)</f>
        <v>0.72</v>
      </c>
      <c r="AJ414" s="34"/>
      <c r="AK414" s="24"/>
      <c r="AL414" s="24"/>
      <c r="AM414" s="24"/>
      <c r="AN414" s="24"/>
      <c r="AO414" s="24"/>
      <c r="AP414" s="24"/>
      <c r="AQ414" s="49"/>
      <c r="AR414" s="33"/>
      <c r="AS414" s="24"/>
      <c r="AT414" s="24"/>
      <c r="AU414" s="24"/>
      <c r="AV414" s="24"/>
      <c r="AW414" s="49"/>
      <c r="AX414" s="33"/>
      <c r="AY414" s="24"/>
      <c r="AZ414" s="24"/>
      <c r="BA414" s="24"/>
      <c r="BB414" s="24"/>
      <c r="BC414" s="49"/>
      <c r="BD414" s="33"/>
      <c r="BE414" s="24"/>
      <c r="BF414" s="24"/>
      <c r="BG414" s="24"/>
      <c r="BT414" s="34"/>
      <c r="BU414" s="22" t="s">
        <v>414</v>
      </c>
      <c r="BV414" s="22">
        <v>0</v>
      </c>
      <c r="BW414" s="31" t="s">
        <v>138</v>
      </c>
      <c r="BX414" s="31">
        <f>AVERAGE(BV410:BV434)</f>
        <v>7.6</v>
      </c>
      <c r="BZ414" s="34"/>
      <c r="CF414" s="24"/>
      <c r="CL414" s="24"/>
      <c r="CR414" s="24"/>
    </row>
    <row r="415" spans="19:96" ht="15" x14ac:dyDescent="0.25">
      <c r="S415" s="23" t="s">
        <v>350</v>
      </c>
      <c r="T415">
        <v>0</v>
      </c>
      <c r="U415" s="27"/>
      <c r="V415" s="27"/>
      <c r="AE415" s="23" t="s">
        <v>457</v>
      </c>
      <c r="AF415">
        <v>0</v>
      </c>
      <c r="AG415" s="31" t="s">
        <v>144</v>
      </c>
      <c r="AH415" s="31">
        <f>STDEV(AF410:AF434)</f>
        <v>1.4866068747318506</v>
      </c>
      <c r="AJ415" s="34"/>
      <c r="AK415" s="24"/>
      <c r="AL415" s="24"/>
      <c r="AM415" s="24"/>
      <c r="AN415" s="24"/>
      <c r="AO415" s="24"/>
      <c r="AP415" s="24"/>
      <c r="AQ415" s="49"/>
      <c r="AR415" s="33"/>
      <c r="AS415" s="24"/>
      <c r="AT415" s="24"/>
      <c r="AU415" s="24"/>
      <c r="AV415" s="24"/>
      <c r="AW415" s="49"/>
      <c r="AX415" s="33"/>
      <c r="AY415" s="24"/>
      <c r="AZ415" s="24"/>
      <c r="BA415" s="24"/>
      <c r="BB415" s="24"/>
      <c r="BC415" s="49"/>
      <c r="BD415" s="33"/>
      <c r="BE415" s="24"/>
      <c r="BF415" s="24"/>
      <c r="BG415" s="24"/>
      <c r="BT415" s="34"/>
      <c r="BU415" s="22" t="s">
        <v>415</v>
      </c>
      <c r="BV415" s="22">
        <v>2</v>
      </c>
      <c r="BW415" s="31" t="s">
        <v>144</v>
      </c>
      <c r="BX415" s="31">
        <f>STDEV(BV410:BV434)</f>
        <v>11.814539065631521</v>
      </c>
      <c r="BZ415" s="34"/>
      <c r="CF415" s="24"/>
      <c r="CL415" s="24"/>
      <c r="CR415" s="24"/>
    </row>
    <row r="416" spans="19:96" ht="15" x14ac:dyDescent="0.25">
      <c r="S416" s="23" t="s">
        <v>503</v>
      </c>
      <c r="T416">
        <v>0</v>
      </c>
      <c r="U416" s="27"/>
      <c r="V416" s="27"/>
      <c r="AE416" s="23" t="s">
        <v>458</v>
      </c>
      <c r="AF416">
        <v>2</v>
      </c>
      <c r="AG416" s="31"/>
      <c r="AH416" s="31"/>
      <c r="AJ416" s="34"/>
      <c r="AK416" s="24"/>
      <c r="AL416" s="24"/>
      <c r="AM416" s="24"/>
      <c r="AN416" s="24"/>
      <c r="AO416" s="24"/>
      <c r="AP416" s="24"/>
      <c r="AQ416" s="49"/>
      <c r="AR416" s="33"/>
      <c r="AS416" s="24"/>
      <c r="AT416" s="24"/>
      <c r="AU416" s="24"/>
      <c r="AV416" s="24"/>
      <c r="AW416" s="49"/>
      <c r="AX416" s="33"/>
      <c r="AY416" s="24"/>
      <c r="AZ416" s="24"/>
      <c r="BA416" s="24"/>
      <c r="BB416" s="24"/>
      <c r="BC416" s="49"/>
      <c r="BD416" s="33"/>
      <c r="BE416" s="24"/>
      <c r="BF416" s="24"/>
      <c r="BG416" s="24"/>
      <c r="BT416" s="34"/>
      <c r="BU416" s="22" t="s">
        <v>416</v>
      </c>
      <c r="BV416" s="22">
        <v>6</v>
      </c>
      <c r="BW416" s="31"/>
      <c r="BX416" s="31"/>
      <c r="BZ416" s="34"/>
      <c r="CF416" s="24"/>
      <c r="CL416" s="24"/>
      <c r="CR416" s="24"/>
    </row>
    <row r="417" spans="19:96" ht="15" x14ac:dyDescent="0.25">
      <c r="S417" s="23" t="s">
        <v>504</v>
      </c>
      <c r="T417">
        <v>0</v>
      </c>
      <c r="U417" s="25"/>
      <c r="V417" s="25"/>
      <c r="AE417" s="23" t="s">
        <v>459</v>
      </c>
      <c r="AF417">
        <v>0</v>
      </c>
      <c r="AG417" s="31"/>
      <c r="AH417" s="31"/>
      <c r="AJ417" s="34"/>
      <c r="AK417" s="24"/>
      <c r="AL417" s="24"/>
      <c r="AM417" s="24"/>
      <c r="AN417" s="24"/>
      <c r="AO417" s="24"/>
      <c r="AP417" s="24"/>
      <c r="AQ417" s="49"/>
      <c r="AR417" s="33"/>
      <c r="AS417" s="24"/>
      <c r="AT417" s="24"/>
      <c r="AU417" s="24"/>
      <c r="AV417" s="24"/>
      <c r="AW417" s="49"/>
      <c r="AX417" s="33"/>
      <c r="AY417" s="24"/>
      <c r="AZ417" s="24"/>
      <c r="BA417" s="24"/>
      <c r="BB417" s="24"/>
      <c r="BC417" s="49"/>
      <c r="BD417" s="33"/>
      <c r="BE417" s="24"/>
      <c r="BF417" s="24"/>
      <c r="BG417" s="24"/>
      <c r="BT417" s="34"/>
      <c r="BU417" s="22" t="s">
        <v>417</v>
      </c>
      <c r="BV417" s="22">
        <v>3</v>
      </c>
      <c r="BW417" s="31"/>
      <c r="BX417" s="31"/>
      <c r="BZ417" s="34"/>
      <c r="CF417" s="24"/>
      <c r="CL417" s="24"/>
      <c r="CR417" s="24"/>
    </row>
    <row r="418" spans="19:96" ht="15" x14ac:dyDescent="0.25">
      <c r="AE418" s="23" t="s">
        <v>460</v>
      </c>
      <c r="AF418">
        <v>2</v>
      </c>
      <c r="AG418" s="33"/>
      <c r="AH418" s="33"/>
      <c r="AJ418" s="34"/>
      <c r="AK418" s="24"/>
      <c r="AL418" s="24"/>
      <c r="AM418" s="24"/>
      <c r="AN418" s="24"/>
      <c r="AO418" s="24"/>
      <c r="AP418" s="24"/>
      <c r="AQ418" s="49"/>
      <c r="AR418" s="33"/>
      <c r="AS418" s="24"/>
      <c r="AT418" s="24"/>
      <c r="AU418" s="24"/>
      <c r="AV418" s="24"/>
      <c r="AW418" s="49"/>
      <c r="AX418" s="33"/>
      <c r="AY418" s="24"/>
      <c r="AZ418" s="24"/>
      <c r="BA418" s="24"/>
      <c r="BB418" s="24"/>
      <c r="BC418" s="49"/>
      <c r="BD418" s="33"/>
      <c r="BE418" s="24"/>
      <c r="BF418" s="24"/>
      <c r="BG418" s="24"/>
      <c r="BT418" s="34"/>
      <c r="BU418" s="22" t="s">
        <v>418</v>
      </c>
      <c r="BV418" s="22">
        <v>10</v>
      </c>
      <c r="BW418" s="31"/>
      <c r="BX418" s="31"/>
      <c r="BZ418" s="34"/>
      <c r="CF418" s="24"/>
      <c r="CL418" s="24"/>
      <c r="CR418" s="24"/>
    </row>
    <row r="419" spans="19:96" ht="15" x14ac:dyDescent="0.25">
      <c r="S419" s="90"/>
      <c r="T419" s="102"/>
      <c r="U419" s="90"/>
      <c r="V419" s="90"/>
      <c r="W419" s="34"/>
      <c r="X419" s="34"/>
      <c r="AE419" s="23" t="s">
        <v>461</v>
      </c>
      <c r="AF419">
        <v>0</v>
      </c>
      <c r="AG419" s="31"/>
      <c r="AH419" s="31"/>
      <c r="AJ419" s="34"/>
      <c r="AK419" s="24"/>
      <c r="AL419" s="24"/>
      <c r="AM419" s="24"/>
      <c r="AN419" s="24"/>
      <c r="AO419" s="24"/>
      <c r="AP419" s="24"/>
      <c r="AQ419" s="49"/>
      <c r="AR419" s="33"/>
      <c r="AS419" s="24"/>
      <c r="AT419" s="24"/>
      <c r="AU419" s="24"/>
      <c r="AV419" s="24"/>
      <c r="AW419" s="49"/>
      <c r="AX419" s="33"/>
      <c r="AY419" s="24"/>
      <c r="AZ419" s="24"/>
      <c r="BA419" s="24"/>
      <c r="BB419" s="24"/>
      <c r="BC419" s="49"/>
      <c r="BD419" s="33"/>
      <c r="BE419" s="24"/>
      <c r="BF419" s="24"/>
      <c r="BG419" s="24"/>
      <c r="BT419" s="34"/>
      <c r="BU419" s="22" t="s">
        <v>419</v>
      </c>
      <c r="BV419" s="22">
        <v>8</v>
      </c>
      <c r="BW419" s="31"/>
      <c r="BX419" s="31"/>
      <c r="BZ419" s="34"/>
      <c r="CF419" s="24"/>
      <c r="CL419" s="24"/>
      <c r="CR419" s="24"/>
    </row>
    <row r="420" spans="19:96" ht="15" x14ac:dyDescent="0.25">
      <c r="S420" s="90"/>
      <c r="T420" s="106"/>
      <c r="U420" s="90"/>
      <c r="V420" s="90"/>
      <c r="W420" s="34"/>
      <c r="X420" s="34"/>
      <c r="AE420" s="23" t="s">
        <v>462</v>
      </c>
      <c r="AF420">
        <v>2</v>
      </c>
      <c r="AG420" s="24"/>
      <c r="AH420" s="24"/>
      <c r="AJ420" s="34"/>
      <c r="AK420" s="24"/>
      <c r="AL420" s="24"/>
      <c r="AM420" s="24"/>
      <c r="AN420" s="24"/>
      <c r="AO420" s="24"/>
      <c r="AP420" s="24"/>
      <c r="AQ420" s="49"/>
      <c r="AR420" s="33"/>
      <c r="AS420" s="24"/>
      <c r="AT420" s="24"/>
      <c r="AU420" s="24"/>
      <c r="AV420" s="24"/>
      <c r="AW420" s="49"/>
      <c r="AX420" s="33"/>
      <c r="AY420" s="24"/>
      <c r="AZ420" s="24"/>
      <c r="BA420" s="24"/>
      <c r="BB420" s="24"/>
      <c r="BC420" s="49"/>
      <c r="BD420" s="33"/>
      <c r="BE420" s="24"/>
      <c r="BF420" s="24"/>
      <c r="BG420" s="24"/>
      <c r="BT420" s="34"/>
      <c r="BU420" s="22" t="s">
        <v>420</v>
      </c>
      <c r="BV420" s="22">
        <v>55</v>
      </c>
      <c r="BW420" s="31"/>
      <c r="BX420" s="31"/>
      <c r="BZ420" s="34"/>
      <c r="CF420" s="24"/>
      <c r="CL420" s="24"/>
      <c r="CR420" s="24"/>
    </row>
    <row r="421" spans="19:96" ht="15" x14ac:dyDescent="0.25">
      <c r="S421" s="27"/>
      <c r="T421" s="27"/>
      <c r="U421" s="27"/>
      <c r="V421" s="27"/>
      <c r="AE421" s="23" t="s">
        <v>463</v>
      </c>
      <c r="AF421">
        <v>1</v>
      </c>
      <c r="AG421" s="31"/>
      <c r="AH421" s="31"/>
      <c r="AJ421" s="34"/>
      <c r="AK421" s="24"/>
      <c r="AL421" s="24"/>
      <c r="AM421" s="24"/>
      <c r="AN421" s="24"/>
      <c r="AO421" s="24"/>
      <c r="AP421" s="24"/>
      <c r="AQ421" s="25"/>
      <c r="AR421" s="33"/>
      <c r="AS421" s="24"/>
      <c r="AT421" s="24"/>
      <c r="AU421" s="24"/>
      <c r="AV421" s="24"/>
      <c r="AW421" s="49"/>
      <c r="AX421" s="33"/>
      <c r="AY421" s="24"/>
      <c r="AZ421" s="24"/>
      <c r="BA421" s="24"/>
      <c r="BB421" s="24"/>
      <c r="BC421" s="49"/>
      <c r="BD421" s="33"/>
      <c r="BE421" s="24"/>
      <c r="BF421" s="24"/>
      <c r="BG421" s="24"/>
      <c r="BT421" s="34"/>
      <c r="BU421" s="22" t="s">
        <v>421</v>
      </c>
      <c r="BV421" s="22">
        <v>22</v>
      </c>
      <c r="BW421" s="31"/>
      <c r="BX421" s="31"/>
      <c r="BZ421" s="34"/>
      <c r="CF421" s="24"/>
      <c r="CL421" s="24"/>
      <c r="CR421" s="24"/>
    </row>
    <row r="422" spans="19:96" ht="15" x14ac:dyDescent="0.25">
      <c r="S422" s="23"/>
      <c r="T422"/>
      <c r="U422" s="31"/>
      <c r="V422" s="27"/>
      <c r="AE422" s="23" t="s">
        <v>464</v>
      </c>
      <c r="AF422">
        <v>0</v>
      </c>
      <c r="AG422" s="31"/>
      <c r="AH422" s="31"/>
      <c r="AJ422" s="34"/>
      <c r="AK422" s="24"/>
      <c r="AL422" s="24"/>
      <c r="AM422" s="24"/>
      <c r="AN422" s="24"/>
      <c r="AO422" s="24"/>
      <c r="AP422" s="24"/>
      <c r="AQ422" s="25"/>
      <c r="AR422" s="33"/>
      <c r="AS422" s="24"/>
      <c r="AT422" s="24"/>
      <c r="AU422" s="24"/>
      <c r="AV422" s="24"/>
      <c r="AW422" s="49"/>
      <c r="AX422" s="33"/>
      <c r="AY422" s="24"/>
      <c r="AZ422" s="24"/>
      <c r="BA422" s="24"/>
      <c r="BB422" s="24"/>
      <c r="BC422" s="49"/>
      <c r="BD422" s="33"/>
      <c r="BE422" s="24"/>
      <c r="BF422" s="24"/>
      <c r="BG422" s="24"/>
      <c r="BT422" s="34"/>
      <c r="BU422" s="22" t="s">
        <v>422</v>
      </c>
      <c r="BV422" s="22">
        <v>12</v>
      </c>
      <c r="BW422" s="31"/>
      <c r="BX422" s="31"/>
      <c r="BZ422" s="34"/>
      <c r="CF422" s="24"/>
      <c r="CL422" s="24"/>
      <c r="CR422" s="24"/>
    </row>
    <row r="423" spans="19:96" ht="15" x14ac:dyDescent="0.25">
      <c r="S423" s="23"/>
      <c r="T423"/>
      <c r="U423" s="31"/>
      <c r="V423" s="27"/>
      <c r="AE423" s="23" t="s">
        <v>465</v>
      </c>
      <c r="AF423">
        <v>0</v>
      </c>
      <c r="AG423" s="31"/>
      <c r="AH423" s="31"/>
      <c r="AJ423" s="34"/>
      <c r="AK423" s="33"/>
      <c r="AL423" s="33"/>
      <c r="AM423" s="24"/>
      <c r="AN423" s="24"/>
      <c r="AO423" s="24"/>
      <c r="AP423" s="24"/>
      <c r="AQ423" s="25"/>
      <c r="AR423" s="33"/>
      <c r="AS423" s="24"/>
      <c r="AT423" s="24"/>
      <c r="AU423" s="24"/>
      <c r="AV423" s="24"/>
      <c r="AW423" s="49"/>
      <c r="AX423" s="33"/>
      <c r="AY423" s="24"/>
      <c r="AZ423" s="24"/>
      <c r="BA423" s="24"/>
      <c r="BB423" s="24"/>
      <c r="BC423" s="49"/>
      <c r="BD423" s="33"/>
      <c r="BE423" s="24"/>
      <c r="BF423" s="24"/>
      <c r="BG423" s="24"/>
      <c r="BT423" s="34"/>
      <c r="BU423" s="23" t="s">
        <v>423</v>
      </c>
      <c r="BV423" s="22">
        <v>11</v>
      </c>
      <c r="BW423" s="31"/>
      <c r="BX423" s="31"/>
      <c r="BZ423" s="34"/>
      <c r="CF423" s="24"/>
      <c r="CL423" s="24"/>
      <c r="CR423" s="24"/>
    </row>
    <row r="424" spans="19:96" ht="15" x14ac:dyDescent="0.25">
      <c r="S424" s="23"/>
      <c r="T424"/>
      <c r="U424" s="31"/>
      <c r="V424" s="27"/>
      <c r="AE424" s="23" t="s">
        <v>466</v>
      </c>
      <c r="AF424">
        <v>0</v>
      </c>
      <c r="AG424" s="31"/>
      <c r="AH424" s="31"/>
      <c r="AJ424" s="34"/>
      <c r="AK424" s="33"/>
      <c r="AL424" s="33"/>
      <c r="AM424" s="24"/>
      <c r="AN424" s="24"/>
      <c r="AO424" s="24"/>
      <c r="AP424" s="24"/>
      <c r="AQ424" s="25"/>
      <c r="AR424" s="33"/>
      <c r="AS424" s="24"/>
      <c r="AT424" s="24"/>
      <c r="AU424" s="24"/>
      <c r="AV424" s="24"/>
      <c r="AW424" s="49"/>
      <c r="AX424" s="33"/>
      <c r="AY424" s="24"/>
      <c r="AZ424" s="24"/>
      <c r="BA424" s="24"/>
      <c r="BB424" s="24"/>
      <c r="BC424" s="49"/>
      <c r="BD424" s="33"/>
      <c r="BE424" s="24"/>
      <c r="BF424" s="24"/>
      <c r="BG424" s="24"/>
      <c r="BT424" s="34"/>
      <c r="BU424" s="22" t="s">
        <v>424</v>
      </c>
      <c r="BV424" s="22">
        <v>9</v>
      </c>
      <c r="BW424" s="31"/>
      <c r="BX424" s="31"/>
      <c r="BZ424" s="34"/>
      <c r="CF424" s="24"/>
      <c r="CL424" s="24"/>
      <c r="CR424" s="24"/>
    </row>
    <row r="425" spans="19:96" ht="15" x14ac:dyDescent="0.25">
      <c r="S425" s="23"/>
      <c r="T425"/>
      <c r="U425" s="31"/>
      <c r="V425" s="27"/>
      <c r="AE425" s="23" t="s">
        <v>467</v>
      </c>
      <c r="AF425">
        <v>0</v>
      </c>
      <c r="AG425" s="31"/>
      <c r="AH425" s="31"/>
      <c r="AJ425" s="34"/>
      <c r="AK425" s="33"/>
      <c r="AL425" s="33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49"/>
      <c r="AX425" s="33"/>
      <c r="AY425" s="24"/>
      <c r="AZ425" s="24"/>
      <c r="BA425" s="24"/>
      <c r="BB425" s="24"/>
      <c r="BC425" s="49"/>
      <c r="BD425" s="33"/>
      <c r="BE425" s="24"/>
      <c r="BF425" s="24"/>
      <c r="BG425" s="24"/>
      <c r="BT425" s="34"/>
      <c r="BU425" s="23" t="s">
        <v>425</v>
      </c>
      <c r="BV425" s="22">
        <v>24</v>
      </c>
      <c r="BW425" s="31"/>
      <c r="BX425" s="31"/>
      <c r="BZ425" s="34"/>
      <c r="CF425" s="24"/>
      <c r="CL425" s="24"/>
      <c r="CR425" s="24"/>
    </row>
    <row r="426" spans="19:96" ht="15" x14ac:dyDescent="0.25">
      <c r="S426" s="23"/>
      <c r="T426"/>
      <c r="U426" s="31"/>
      <c r="V426" s="27"/>
      <c r="AE426" s="23" t="s">
        <v>468</v>
      </c>
      <c r="AF426">
        <v>1</v>
      </c>
      <c r="AG426" s="31"/>
      <c r="AH426" s="31"/>
      <c r="AJ426" s="34"/>
      <c r="AK426" s="33"/>
      <c r="AL426" s="33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49"/>
      <c r="AX426" s="33"/>
      <c r="AY426" s="24"/>
      <c r="AZ426" s="24"/>
      <c r="BA426" s="24"/>
      <c r="BB426" s="24"/>
      <c r="BC426" s="49"/>
      <c r="BD426" s="33"/>
      <c r="BE426" s="24"/>
      <c r="BF426" s="24"/>
      <c r="BG426" s="24"/>
      <c r="BT426" s="34"/>
      <c r="BU426" s="23" t="s">
        <v>426</v>
      </c>
      <c r="BV426" s="22">
        <v>3</v>
      </c>
      <c r="BW426" s="31"/>
      <c r="BX426" s="31"/>
      <c r="BZ426" s="34"/>
      <c r="CF426" s="24"/>
      <c r="CL426" s="24"/>
      <c r="CR426" s="24"/>
    </row>
    <row r="427" spans="19:96" ht="15" x14ac:dyDescent="0.25">
      <c r="S427" s="23"/>
      <c r="T427"/>
      <c r="U427" s="31"/>
      <c r="V427" s="27"/>
      <c r="AE427" s="23" t="s">
        <v>469</v>
      </c>
      <c r="AF427">
        <v>0</v>
      </c>
      <c r="AG427" s="31"/>
      <c r="AH427" s="31"/>
      <c r="AJ427" s="34"/>
      <c r="AK427" s="33"/>
      <c r="AL427" s="33"/>
      <c r="AM427" s="24"/>
      <c r="AN427" s="24"/>
      <c r="AO427" s="24"/>
      <c r="AP427" s="24"/>
      <c r="AQ427" s="33"/>
      <c r="AR427" s="24"/>
      <c r="AS427" s="24"/>
      <c r="AT427" s="24"/>
      <c r="AU427" s="24"/>
      <c r="AV427" s="24"/>
      <c r="AW427" s="49"/>
      <c r="AX427" s="33"/>
      <c r="AY427" s="24"/>
      <c r="AZ427" s="24"/>
      <c r="BA427" s="24"/>
      <c r="BB427" s="24"/>
      <c r="BC427" s="49"/>
      <c r="BD427" s="33"/>
      <c r="BE427" s="24"/>
      <c r="BF427" s="24"/>
      <c r="BG427" s="24"/>
      <c r="BT427" s="34"/>
      <c r="BU427" s="23" t="s">
        <v>427</v>
      </c>
      <c r="BV427" s="22">
        <v>0</v>
      </c>
      <c r="BW427" s="31"/>
      <c r="BX427" s="31"/>
      <c r="BZ427" s="34"/>
      <c r="CF427" s="24"/>
      <c r="CL427" s="24"/>
      <c r="CR427" s="24"/>
    </row>
    <row r="428" spans="19:96" ht="15" x14ac:dyDescent="0.25">
      <c r="S428" s="23"/>
      <c r="T428"/>
      <c r="U428" s="27"/>
      <c r="V428" s="27"/>
      <c r="AE428" s="23" t="s">
        <v>470</v>
      </c>
      <c r="AF428">
        <v>0</v>
      </c>
      <c r="AG428" s="31"/>
      <c r="AH428" s="31"/>
      <c r="AJ428" s="34"/>
      <c r="AK428" s="33"/>
      <c r="AL428" s="33"/>
      <c r="AM428" s="24"/>
      <c r="AN428" s="24"/>
      <c r="AO428" s="24"/>
      <c r="AP428" s="24"/>
      <c r="AQ428" s="33"/>
      <c r="AR428" s="33"/>
      <c r="AS428" s="33"/>
      <c r="AT428" s="33"/>
      <c r="AU428" s="24"/>
      <c r="AV428" s="24"/>
      <c r="AW428" s="49"/>
      <c r="AX428" s="33"/>
      <c r="AY428" s="24"/>
      <c r="AZ428" s="24"/>
      <c r="BA428" s="24"/>
      <c r="BB428" s="24"/>
      <c r="BC428" s="49"/>
      <c r="BD428" s="33"/>
      <c r="BE428" s="24"/>
      <c r="BF428" s="24"/>
      <c r="BG428" s="24"/>
      <c r="BT428" s="34"/>
      <c r="BU428" s="23" t="s">
        <v>428</v>
      </c>
      <c r="BV428" s="22">
        <v>0</v>
      </c>
      <c r="BW428" s="31"/>
      <c r="BX428" s="31"/>
      <c r="BZ428" s="34"/>
      <c r="CF428" s="24"/>
      <c r="CL428" s="24"/>
      <c r="CR428" s="24"/>
    </row>
    <row r="429" spans="19:96" ht="15" x14ac:dyDescent="0.25">
      <c r="S429" s="23"/>
      <c r="T429"/>
      <c r="U429" s="27"/>
      <c r="V429" s="27"/>
      <c r="AE429" s="23" t="s">
        <v>471</v>
      </c>
      <c r="AF429">
        <v>0</v>
      </c>
      <c r="AG429" s="31"/>
      <c r="AH429" s="31"/>
      <c r="AJ429" s="34"/>
      <c r="AK429" s="33"/>
      <c r="AL429" s="33"/>
      <c r="AM429" s="24"/>
      <c r="AN429" s="24"/>
      <c r="AO429" s="24"/>
      <c r="AP429" s="24"/>
      <c r="AQ429" s="49"/>
      <c r="AR429" s="33"/>
      <c r="AS429" s="33"/>
      <c r="AT429" s="33"/>
      <c r="AU429" s="24"/>
      <c r="AV429" s="24"/>
      <c r="AW429" s="49"/>
      <c r="AX429" s="33"/>
      <c r="AY429" s="24"/>
      <c r="AZ429" s="24"/>
      <c r="BA429" s="24"/>
      <c r="BB429" s="24"/>
      <c r="BC429" s="49"/>
      <c r="BD429" s="33"/>
      <c r="BE429" s="24"/>
      <c r="BF429" s="24"/>
      <c r="BG429" s="24"/>
      <c r="BT429" s="34"/>
      <c r="BU429" s="23" t="s">
        <v>429</v>
      </c>
      <c r="BV429" s="22">
        <v>2</v>
      </c>
      <c r="BW429" s="31"/>
      <c r="BX429" s="31"/>
      <c r="BZ429" s="34"/>
      <c r="CF429" s="24"/>
      <c r="CL429" s="24"/>
      <c r="CR429" s="24"/>
    </row>
    <row r="430" spans="19:96" ht="15" x14ac:dyDescent="0.25">
      <c r="S430" s="23"/>
      <c r="T430"/>
      <c r="U430" s="27"/>
      <c r="V430" s="27"/>
      <c r="AE430" s="23" t="s">
        <v>472</v>
      </c>
      <c r="AF430">
        <v>0</v>
      </c>
      <c r="AJ430" s="34"/>
      <c r="AK430" s="33"/>
      <c r="AL430" s="33"/>
      <c r="AM430" s="24"/>
      <c r="AN430" s="24"/>
      <c r="AO430" s="24"/>
      <c r="AP430" s="24"/>
      <c r="AQ430" s="49"/>
      <c r="AR430" s="33"/>
      <c r="AS430" s="33"/>
      <c r="AT430" s="33"/>
      <c r="AU430" s="24"/>
      <c r="AV430" s="24"/>
      <c r="AW430" s="49"/>
      <c r="AX430" s="33"/>
      <c r="AY430" s="24"/>
      <c r="AZ430" s="24"/>
      <c r="BA430" s="24"/>
      <c r="BB430" s="24"/>
      <c r="BC430" s="49"/>
      <c r="BD430" s="33"/>
      <c r="BE430" s="24"/>
      <c r="BF430" s="24"/>
      <c r="BG430" s="24"/>
      <c r="BT430" s="34"/>
      <c r="BU430" s="23" t="s">
        <v>430</v>
      </c>
      <c r="BV430" s="22">
        <v>6</v>
      </c>
      <c r="BW430" s="31"/>
      <c r="BX430" s="31"/>
      <c r="BZ430" s="34"/>
      <c r="CF430" s="24"/>
      <c r="CL430" s="24"/>
      <c r="CR430" s="24"/>
    </row>
    <row r="431" spans="19:96" ht="15" x14ac:dyDescent="0.25">
      <c r="S431" s="23"/>
      <c r="T431"/>
      <c r="U431" s="27"/>
      <c r="V431" s="27"/>
      <c r="AE431" s="23" t="s">
        <v>362</v>
      </c>
      <c r="AF431">
        <v>1</v>
      </c>
      <c r="AJ431" s="34"/>
      <c r="AK431" s="33"/>
      <c r="AL431" s="33"/>
      <c r="AM431" s="24"/>
      <c r="AN431" s="24"/>
      <c r="AO431" s="24"/>
      <c r="AP431" s="24"/>
      <c r="AQ431" s="49"/>
      <c r="AR431" s="33"/>
      <c r="AS431" s="33"/>
      <c r="AT431" s="33"/>
      <c r="AU431" s="24"/>
      <c r="AV431" s="24"/>
      <c r="AW431" s="49"/>
      <c r="AX431" s="33"/>
      <c r="AY431" s="24"/>
      <c r="AZ431" s="24"/>
      <c r="BA431" s="24"/>
      <c r="BB431" s="24"/>
      <c r="BC431" s="49"/>
      <c r="BD431" s="33"/>
      <c r="BE431" s="24"/>
      <c r="BF431" s="24"/>
      <c r="BG431" s="24"/>
      <c r="BT431" s="34"/>
      <c r="BU431" s="23" t="s">
        <v>431</v>
      </c>
      <c r="BV431" s="22">
        <v>0</v>
      </c>
      <c r="BW431" s="31"/>
      <c r="BX431" s="31"/>
      <c r="BZ431" s="34"/>
      <c r="CF431" s="24"/>
      <c r="CL431" s="24"/>
      <c r="CR431" s="24"/>
    </row>
    <row r="432" spans="19:96" ht="15" x14ac:dyDescent="0.25">
      <c r="S432" s="23"/>
      <c r="T432"/>
      <c r="U432" s="27"/>
      <c r="V432" s="27"/>
      <c r="AE432" s="23" t="s">
        <v>473</v>
      </c>
      <c r="AF432">
        <v>0</v>
      </c>
      <c r="AJ432" s="34"/>
      <c r="AK432" s="24"/>
      <c r="AL432" s="33"/>
      <c r="AM432" s="24"/>
      <c r="AN432" s="24"/>
      <c r="AO432" s="24"/>
      <c r="AP432" s="24"/>
      <c r="AQ432" s="49"/>
      <c r="AR432" s="33"/>
      <c r="AS432" s="33"/>
      <c r="AT432" s="33"/>
      <c r="AU432" s="24"/>
      <c r="AV432" s="24"/>
      <c r="AW432" s="49"/>
      <c r="AX432" s="33"/>
      <c r="AY432" s="24"/>
      <c r="AZ432" s="24"/>
      <c r="BA432" s="24"/>
      <c r="BB432" s="24"/>
      <c r="BC432" s="49"/>
      <c r="BD432" s="33"/>
      <c r="BE432" s="24"/>
      <c r="BF432" s="24"/>
      <c r="BG432" s="24"/>
      <c r="BT432" s="34"/>
      <c r="BU432" s="23" t="s">
        <v>432</v>
      </c>
      <c r="BV432" s="22">
        <v>1</v>
      </c>
      <c r="BW432" s="31"/>
      <c r="BX432" s="31"/>
      <c r="BZ432" s="34"/>
      <c r="CF432" s="24"/>
      <c r="CL432" s="24"/>
      <c r="CR432" s="24"/>
    </row>
    <row r="433" spans="19:96" ht="15" x14ac:dyDescent="0.25">
      <c r="S433" s="23"/>
      <c r="T433"/>
      <c r="U433" s="27"/>
      <c r="V433" s="27"/>
      <c r="AE433" s="23" t="s">
        <v>474</v>
      </c>
      <c r="AF433">
        <v>0</v>
      </c>
      <c r="AJ433" s="34"/>
      <c r="AK433" s="33"/>
      <c r="AL433" s="33"/>
      <c r="AM433" s="24"/>
      <c r="AN433" s="24"/>
      <c r="AO433" s="24"/>
      <c r="AP433" s="24"/>
      <c r="AQ433" s="49"/>
      <c r="AR433" s="33"/>
      <c r="AS433" s="33"/>
      <c r="AT433" s="33"/>
      <c r="AU433" s="24"/>
      <c r="AV433" s="24"/>
      <c r="AW433" s="49"/>
      <c r="AX433" s="33"/>
      <c r="AY433" s="24"/>
      <c r="AZ433" s="24"/>
      <c r="BA433" s="24"/>
      <c r="BB433" s="24"/>
      <c r="BC433" s="49"/>
      <c r="BD433" s="33"/>
      <c r="BE433" s="24"/>
      <c r="BF433" s="24"/>
      <c r="BG433" s="24"/>
      <c r="BT433" s="34"/>
      <c r="BU433" s="23" t="s">
        <v>433</v>
      </c>
      <c r="BV433" s="22">
        <v>1</v>
      </c>
      <c r="BW433" s="31"/>
      <c r="BX433" s="31"/>
      <c r="BZ433" s="34"/>
      <c r="CF433" s="24"/>
      <c r="CL433" s="24"/>
      <c r="CR433" s="24"/>
    </row>
    <row r="434" spans="19:96" ht="15" x14ac:dyDescent="0.25">
      <c r="S434" s="23"/>
      <c r="T434"/>
      <c r="U434" s="27"/>
      <c r="V434" s="27"/>
      <c r="AE434" s="23" t="s">
        <v>475</v>
      </c>
      <c r="AF434">
        <v>0</v>
      </c>
      <c r="AJ434" s="34"/>
      <c r="AK434" s="33"/>
      <c r="AL434" s="33"/>
      <c r="AM434" s="24"/>
      <c r="AN434" s="24"/>
      <c r="AO434" s="24"/>
      <c r="AP434" s="24"/>
      <c r="AQ434" s="49"/>
      <c r="AR434" s="33"/>
      <c r="AS434" s="33"/>
      <c r="AT434" s="33"/>
      <c r="AU434" s="24"/>
      <c r="AV434" s="24"/>
      <c r="AW434" s="49"/>
      <c r="AX434" s="33"/>
      <c r="AY434" s="24"/>
      <c r="AZ434" s="24"/>
      <c r="BA434" s="24"/>
      <c r="BB434" s="24"/>
      <c r="BC434" s="49"/>
      <c r="BD434" s="33"/>
      <c r="BE434" s="24"/>
      <c r="BF434" s="24"/>
      <c r="BG434" s="24"/>
      <c r="BT434" s="34"/>
      <c r="BU434" s="23" t="s">
        <v>434</v>
      </c>
      <c r="BV434" s="22">
        <v>3</v>
      </c>
      <c r="BW434" s="31"/>
      <c r="BX434" s="31"/>
      <c r="BZ434" s="34"/>
      <c r="CF434" s="24"/>
      <c r="CL434" s="24"/>
      <c r="CR434" s="24"/>
    </row>
    <row r="435" spans="19:96" ht="15" x14ac:dyDescent="0.25">
      <c r="S435" s="23"/>
      <c r="T435"/>
      <c r="U435" s="27"/>
      <c r="V435" s="27"/>
      <c r="AE435" s="34"/>
      <c r="AF435" s="34"/>
      <c r="AG435" s="34"/>
      <c r="AH435" s="34"/>
      <c r="AI435" s="34"/>
      <c r="AJ435" s="34"/>
      <c r="AK435" s="33"/>
      <c r="AL435" s="33"/>
      <c r="AM435" s="24"/>
      <c r="AN435" s="24"/>
      <c r="AO435" s="24"/>
      <c r="AP435" s="24"/>
      <c r="AQ435" s="49"/>
      <c r="AR435" s="33"/>
      <c r="AS435" s="33"/>
      <c r="AT435" s="33"/>
      <c r="AU435" s="24"/>
      <c r="AV435" s="24"/>
      <c r="AW435" s="49"/>
      <c r="AX435" s="33"/>
      <c r="AY435" s="24"/>
      <c r="AZ435" s="24"/>
      <c r="BA435" s="24"/>
      <c r="BB435" s="24"/>
      <c r="BC435" s="49"/>
      <c r="BD435" s="33"/>
      <c r="BE435" s="24"/>
      <c r="BF435" s="24"/>
      <c r="BG435" s="24"/>
      <c r="BT435" s="34"/>
      <c r="BU435" s="34"/>
      <c r="BV435" s="34"/>
      <c r="BW435" s="34"/>
      <c r="BX435" s="34"/>
      <c r="BY435" s="34"/>
      <c r="BZ435" s="34"/>
      <c r="CF435" s="24"/>
      <c r="CL435" s="24"/>
      <c r="CR435" s="24"/>
    </row>
    <row r="436" spans="19:96" ht="15" x14ac:dyDescent="0.25">
      <c r="S436" s="23"/>
      <c r="T436"/>
      <c r="U436" s="27"/>
      <c r="V436" s="27"/>
      <c r="AE436" s="31" t="s">
        <v>100</v>
      </c>
      <c r="AF436" s="32" t="s">
        <v>67</v>
      </c>
      <c r="AG436" s="31"/>
      <c r="AH436" s="31"/>
      <c r="AJ436" s="34"/>
      <c r="AK436" s="33"/>
      <c r="AL436" s="33"/>
      <c r="AM436" s="24"/>
      <c r="AN436" s="24"/>
      <c r="AO436" s="24"/>
      <c r="AP436" s="24"/>
      <c r="AQ436" s="49"/>
      <c r="AR436" s="33"/>
      <c r="AS436" s="33"/>
      <c r="AT436" s="33"/>
      <c r="AU436" s="24"/>
      <c r="AV436" s="24"/>
      <c r="AW436" s="49"/>
      <c r="AX436" s="33"/>
      <c r="AY436" s="24"/>
      <c r="AZ436" s="24"/>
      <c r="BA436" s="24"/>
      <c r="BB436" s="24"/>
      <c r="BC436" s="49"/>
      <c r="BD436" s="33"/>
      <c r="BE436" s="24"/>
      <c r="BF436" s="24"/>
      <c r="BG436" s="24"/>
      <c r="BT436" s="34"/>
      <c r="BU436" s="19" t="s">
        <v>100</v>
      </c>
      <c r="BV436" s="35" t="s">
        <v>61</v>
      </c>
      <c r="BZ436" s="34"/>
      <c r="CF436" s="24"/>
      <c r="CL436" s="24"/>
      <c r="CR436" s="24"/>
    </row>
    <row r="437" spans="19:96" ht="15" x14ac:dyDescent="0.25">
      <c r="S437" s="23"/>
      <c r="T437"/>
      <c r="U437" s="27"/>
      <c r="V437" s="27"/>
      <c r="AE437" s="31" t="s">
        <v>101</v>
      </c>
      <c r="AF437" s="12" t="s">
        <v>20</v>
      </c>
      <c r="AG437" s="31"/>
      <c r="AH437" s="31"/>
      <c r="AJ437" s="34"/>
      <c r="AK437" s="33"/>
      <c r="AL437" s="33"/>
      <c r="AM437" s="24"/>
      <c r="AN437" s="24"/>
      <c r="AO437" s="24"/>
      <c r="AP437" s="24"/>
      <c r="AQ437" s="49"/>
      <c r="AR437" s="33"/>
      <c r="AS437" s="33"/>
      <c r="AT437" s="33"/>
      <c r="AU437" s="24"/>
      <c r="AV437" s="24"/>
      <c r="AW437" s="49"/>
      <c r="AX437" s="33"/>
      <c r="AY437" s="24"/>
      <c r="AZ437" s="24"/>
      <c r="BA437" s="24"/>
      <c r="BB437" s="24"/>
      <c r="BC437" s="49"/>
      <c r="BD437" s="33"/>
      <c r="BE437" s="24"/>
      <c r="BF437" s="24"/>
      <c r="BG437" s="24"/>
      <c r="BT437" s="34"/>
      <c r="BV437" s="12" t="s">
        <v>20</v>
      </c>
      <c r="BZ437" s="34"/>
      <c r="CF437" s="24"/>
      <c r="CL437" s="24"/>
      <c r="CR437" s="24"/>
    </row>
    <row r="438" spans="19:96" ht="15" x14ac:dyDescent="0.25">
      <c r="S438" s="23"/>
      <c r="T438"/>
      <c r="U438" s="27"/>
      <c r="V438" s="27"/>
      <c r="AE438" s="31" t="s">
        <v>102</v>
      </c>
      <c r="AF438" s="31" t="s">
        <v>71</v>
      </c>
      <c r="AG438" s="31" t="s">
        <v>103</v>
      </c>
      <c r="AH438" s="31" t="s">
        <v>104</v>
      </c>
      <c r="AJ438" s="34"/>
      <c r="AK438" s="33"/>
      <c r="AL438" s="33"/>
      <c r="AM438" s="24"/>
      <c r="AN438" s="24"/>
      <c r="AO438" s="24"/>
      <c r="AP438" s="24"/>
      <c r="AQ438" s="49"/>
      <c r="AR438" s="33"/>
      <c r="AS438" s="33"/>
      <c r="AT438" s="33"/>
      <c r="AU438" s="24"/>
      <c r="AV438" s="24"/>
      <c r="AW438" s="49"/>
      <c r="AX438" s="33"/>
      <c r="AY438" s="24"/>
      <c r="AZ438" s="24"/>
      <c r="BA438" s="24"/>
      <c r="BB438" s="24"/>
      <c r="BC438" s="49"/>
      <c r="BD438" s="33"/>
      <c r="BE438" s="24"/>
      <c r="BF438" s="24"/>
      <c r="BG438" s="24"/>
      <c r="BT438" s="34"/>
      <c r="BU438" s="31" t="s">
        <v>102</v>
      </c>
      <c r="BV438" s="31" t="s">
        <v>71</v>
      </c>
      <c r="BW438" s="31" t="s">
        <v>103</v>
      </c>
      <c r="BX438" s="31" t="s">
        <v>104</v>
      </c>
      <c r="BZ438" s="34"/>
      <c r="CF438" s="24"/>
      <c r="CL438" s="24"/>
      <c r="CR438" s="24"/>
    </row>
    <row r="439" spans="19:96" ht="15" x14ac:dyDescent="0.25">
      <c r="S439" s="23"/>
      <c r="T439"/>
      <c r="U439" s="25"/>
      <c r="V439" s="25"/>
      <c r="AE439" s="23" t="s">
        <v>453</v>
      </c>
      <c r="AF439">
        <v>0</v>
      </c>
      <c r="AG439" s="31" t="s">
        <v>106</v>
      </c>
      <c r="AH439" s="31">
        <f>SUM(AF439:AF463)</f>
        <v>13</v>
      </c>
      <c r="AJ439" s="34"/>
      <c r="AK439" s="33"/>
      <c r="AL439" s="33"/>
      <c r="AM439" s="24"/>
      <c r="AN439" s="24"/>
      <c r="AO439" s="24"/>
      <c r="AP439" s="24"/>
      <c r="AQ439" s="49"/>
      <c r="AR439" s="33"/>
      <c r="AS439" s="33"/>
      <c r="AT439" s="33"/>
      <c r="AU439" s="24"/>
      <c r="AV439" s="24"/>
      <c r="AW439" s="49"/>
      <c r="AX439" s="33"/>
      <c r="AY439" s="24"/>
      <c r="AZ439" s="24"/>
      <c r="BA439" s="24"/>
      <c r="BB439" s="24"/>
      <c r="BC439" s="49"/>
      <c r="BD439" s="33"/>
      <c r="BE439" s="24"/>
      <c r="BF439" s="24"/>
      <c r="BG439" s="24"/>
      <c r="BT439" s="34"/>
      <c r="BU439" s="23" t="s">
        <v>412</v>
      </c>
      <c r="BV439" s="22">
        <v>4</v>
      </c>
      <c r="BW439" s="31" t="s">
        <v>106</v>
      </c>
      <c r="BX439" s="31">
        <f>SUM(BV439:BV463)</f>
        <v>91</v>
      </c>
      <c r="BZ439" s="34"/>
      <c r="CF439" s="24"/>
      <c r="CL439" s="24"/>
      <c r="CR439" s="24"/>
    </row>
    <row r="440" spans="19:96" ht="15" x14ac:dyDescent="0.25">
      <c r="AE440" s="23" t="s">
        <v>454</v>
      </c>
      <c r="AF440">
        <v>0</v>
      </c>
      <c r="AG440" s="31" t="s">
        <v>115</v>
      </c>
      <c r="AH440" s="31">
        <f>MIN(AF439:AF463)</f>
        <v>0</v>
      </c>
      <c r="AJ440" s="34"/>
      <c r="AK440" s="33"/>
      <c r="AL440" s="33"/>
      <c r="AM440" s="24"/>
      <c r="AN440" s="24"/>
      <c r="AO440" s="24"/>
      <c r="AP440" s="24"/>
      <c r="AQ440" s="49"/>
      <c r="AR440" s="33"/>
      <c r="AS440" s="33"/>
      <c r="AT440" s="33"/>
      <c r="AU440" s="24"/>
      <c r="AV440" s="24"/>
      <c r="AW440" s="25"/>
      <c r="AX440" s="33"/>
      <c r="AY440" s="24"/>
      <c r="AZ440" s="24"/>
      <c r="BA440" s="24"/>
      <c r="BB440" s="24"/>
      <c r="BC440" s="25"/>
      <c r="BD440" s="33"/>
      <c r="BE440" s="24"/>
      <c r="BF440" s="24"/>
      <c r="BG440" s="24"/>
      <c r="BT440" s="34"/>
      <c r="BU440" s="22" t="s">
        <v>244</v>
      </c>
      <c r="BV440" s="22">
        <v>0</v>
      </c>
      <c r="BW440" s="31" t="s">
        <v>115</v>
      </c>
      <c r="BX440" s="31">
        <f>MIN(BV439:BV463)</f>
        <v>0</v>
      </c>
      <c r="BZ440" s="34"/>
      <c r="CF440" s="24"/>
      <c r="CL440" s="24"/>
      <c r="CR440" s="24"/>
    </row>
    <row r="441" spans="19:96" ht="15" x14ac:dyDescent="0.25">
      <c r="AE441" s="23" t="s">
        <v>455</v>
      </c>
      <c r="AF441">
        <v>0</v>
      </c>
      <c r="AG441" s="31" t="s">
        <v>122</v>
      </c>
      <c r="AH441" s="31">
        <f>MAX(AF439:AF463)</f>
        <v>2</v>
      </c>
      <c r="AJ441" s="34"/>
      <c r="AK441" s="33"/>
      <c r="AL441" s="33"/>
      <c r="AM441" s="24"/>
      <c r="AN441" s="24"/>
      <c r="AO441" s="24"/>
      <c r="AP441" s="24"/>
      <c r="AQ441" s="25"/>
      <c r="AR441" s="33"/>
      <c r="AS441" s="24"/>
      <c r="AT441" s="24"/>
      <c r="AU441" s="24"/>
      <c r="AV441" s="24"/>
      <c r="AW441" s="25"/>
      <c r="AX441" s="33"/>
      <c r="AY441" s="24"/>
      <c r="AZ441" s="24"/>
      <c r="BA441" s="24"/>
      <c r="BB441" s="24"/>
      <c r="BC441" s="25"/>
      <c r="BD441" s="33"/>
      <c r="BE441" s="24"/>
      <c r="BF441" s="24"/>
      <c r="BG441" s="24"/>
      <c r="BT441" s="34"/>
      <c r="BU441" s="22" t="s">
        <v>119</v>
      </c>
      <c r="BV441" s="22">
        <v>0</v>
      </c>
      <c r="BW441" s="31" t="s">
        <v>122</v>
      </c>
      <c r="BX441" s="31">
        <f>MAX(BV439:BV463)</f>
        <v>15</v>
      </c>
      <c r="BZ441" s="34"/>
      <c r="CF441" s="24"/>
      <c r="CL441" s="24"/>
      <c r="CR441" s="24"/>
    </row>
    <row r="442" spans="19:96" ht="15" x14ac:dyDescent="0.25">
      <c r="AE442" s="23" t="s">
        <v>456</v>
      </c>
      <c r="AF442">
        <v>2</v>
      </c>
      <c r="AG442" s="31" t="s">
        <v>129</v>
      </c>
      <c r="AH442" s="31">
        <f>VAR(AF439:AF463)</f>
        <v>0.59333333333333338</v>
      </c>
      <c r="AJ442" s="34"/>
      <c r="AK442" s="33"/>
      <c r="AL442" s="33"/>
      <c r="AM442" s="24"/>
      <c r="AN442" s="24"/>
      <c r="AO442" s="24"/>
      <c r="AP442" s="24"/>
      <c r="AQ442" s="49"/>
      <c r="AR442" s="33"/>
      <c r="AS442" s="24"/>
      <c r="AT442" s="24"/>
      <c r="AU442" s="24"/>
      <c r="AV442" s="24"/>
      <c r="AW442" s="25"/>
      <c r="AX442" s="33"/>
      <c r="AY442" s="24"/>
      <c r="AZ442" s="24"/>
      <c r="BA442" s="24"/>
      <c r="BB442" s="24"/>
      <c r="BC442" s="25"/>
      <c r="BD442" s="33"/>
      <c r="BE442" s="24"/>
      <c r="BF442" s="24"/>
      <c r="BG442" s="24"/>
      <c r="BT442" s="34"/>
      <c r="BU442" s="22" t="s">
        <v>413</v>
      </c>
      <c r="BV442" s="22">
        <v>0</v>
      </c>
      <c r="BW442" s="31" t="s">
        <v>129</v>
      </c>
      <c r="BX442" s="31">
        <f>VAR(BV439:BV463)</f>
        <v>12.573333333333332</v>
      </c>
      <c r="BZ442" s="34"/>
      <c r="CF442" s="24"/>
      <c r="CL442" s="24"/>
      <c r="CR442" s="24"/>
    </row>
    <row r="443" spans="19:96" ht="15" x14ac:dyDescent="0.25">
      <c r="AE443" s="23" t="s">
        <v>259</v>
      </c>
      <c r="AF443">
        <v>1</v>
      </c>
      <c r="AG443" s="31" t="s">
        <v>138</v>
      </c>
      <c r="AH443" s="31">
        <f>AVERAGE(AF439:AF463)</f>
        <v>0.52</v>
      </c>
      <c r="AJ443" s="34"/>
      <c r="AK443" s="24"/>
      <c r="AL443" s="24"/>
      <c r="AM443" s="24"/>
      <c r="AN443" s="24"/>
      <c r="AO443" s="24"/>
      <c r="AP443" s="24"/>
      <c r="AQ443" s="49"/>
      <c r="AR443" s="33"/>
      <c r="AS443" s="24"/>
      <c r="AT443" s="24"/>
      <c r="AU443" s="24"/>
      <c r="AV443" s="24"/>
      <c r="AW443" s="25"/>
      <c r="AX443" s="33"/>
      <c r="AY443" s="24"/>
      <c r="AZ443" s="24"/>
      <c r="BA443" s="24"/>
      <c r="BB443" s="24"/>
      <c r="BC443" s="25"/>
      <c r="BD443" s="33"/>
      <c r="BE443" s="24"/>
      <c r="BF443" s="24"/>
      <c r="BG443" s="24"/>
      <c r="BT443" s="34"/>
      <c r="BU443" s="22" t="s">
        <v>414</v>
      </c>
      <c r="BV443" s="22">
        <v>0</v>
      </c>
      <c r="BW443" s="31" t="s">
        <v>138</v>
      </c>
      <c r="BX443" s="31">
        <f>AVERAGE(BV439:BV463)</f>
        <v>3.64</v>
      </c>
      <c r="BZ443" s="34"/>
      <c r="CF443" s="24"/>
      <c r="CL443" s="24"/>
      <c r="CR443" s="24"/>
    </row>
    <row r="444" spans="19:96" ht="15" x14ac:dyDescent="0.25">
      <c r="AE444" s="23" t="s">
        <v>457</v>
      </c>
      <c r="AF444">
        <v>1</v>
      </c>
      <c r="AG444" s="31" t="s">
        <v>144</v>
      </c>
      <c r="AH444" s="31">
        <f>STDEV(AF439:AF463)</f>
        <v>0.77028133388608955</v>
      </c>
      <c r="AJ444" s="34"/>
      <c r="AK444" s="24"/>
      <c r="AL444" s="24"/>
      <c r="AM444" s="24"/>
      <c r="AN444" s="24"/>
      <c r="AO444" s="24"/>
      <c r="AP444" s="24"/>
      <c r="AQ444" s="49"/>
      <c r="AR444" s="33"/>
      <c r="AS444" s="24"/>
      <c r="AT444" s="24"/>
      <c r="AU444" s="24"/>
      <c r="AV444" s="24"/>
      <c r="AW444" s="25"/>
      <c r="AX444" s="33"/>
      <c r="AY444" s="24"/>
      <c r="AZ444" s="24"/>
      <c r="BA444" s="24"/>
      <c r="BB444" s="24"/>
      <c r="BC444" s="25"/>
      <c r="BD444" s="33"/>
      <c r="BE444" s="24"/>
      <c r="BF444" s="24"/>
      <c r="BG444" s="24"/>
      <c r="BT444" s="34"/>
      <c r="BU444" s="22" t="s">
        <v>415</v>
      </c>
      <c r="BV444" s="22">
        <v>5</v>
      </c>
      <c r="BW444" s="31" t="s">
        <v>144</v>
      </c>
      <c r="BX444" s="31">
        <f>STDEV(BV439:BV463)</f>
        <v>3.5458896391925867</v>
      </c>
      <c r="BZ444" s="34"/>
      <c r="CF444" s="24"/>
      <c r="CL444" s="24"/>
      <c r="CR444" s="24"/>
    </row>
    <row r="445" spans="19:96" ht="15" x14ac:dyDescent="0.25">
      <c r="AE445" s="23" t="s">
        <v>458</v>
      </c>
      <c r="AF445">
        <v>0</v>
      </c>
      <c r="AG445" s="31"/>
      <c r="AH445" s="31"/>
      <c r="AJ445" s="34"/>
      <c r="AK445" s="24"/>
      <c r="AL445" s="24"/>
      <c r="AM445" s="24"/>
      <c r="AN445" s="24"/>
      <c r="AO445" s="24"/>
      <c r="AP445" s="24"/>
      <c r="AQ445" s="49"/>
      <c r="AR445" s="33"/>
      <c r="AS445" s="24"/>
      <c r="AT445" s="24"/>
      <c r="AU445" s="24"/>
      <c r="AV445" s="24"/>
      <c r="AW445" s="25"/>
      <c r="AX445" s="33"/>
      <c r="AY445" s="24"/>
      <c r="AZ445" s="24"/>
      <c r="BA445" s="24"/>
      <c r="BB445" s="24"/>
      <c r="BC445" s="25"/>
      <c r="BD445" s="33"/>
      <c r="BE445" s="24"/>
      <c r="BF445" s="24"/>
      <c r="BG445" s="24"/>
      <c r="BT445" s="34"/>
      <c r="BU445" s="22" t="s">
        <v>416</v>
      </c>
      <c r="BV445" s="22">
        <v>1</v>
      </c>
      <c r="BW445" s="31"/>
      <c r="BX445" s="31"/>
      <c r="BZ445" s="34"/>
      <c r="CF445" s="24"/>
      <c r="CL445" s="24"/>
      <c r="CR445" s="24"/>
    </row>
    <row r="446" spans="19:96" ht="15" x14ac:dyDescent="0.25">
      <c r="AE446" s="23" t="s">
        <v>459</v>
      </c>
      <c r="AF446">
        <v>0</v>
      </c>
      <c r="AG446" s="31"/>
      <c r="AH446" s="31"/>
      <c r="AJ446" s="34"/>
      <c r="AK446" s="24"/>
      <c r="AL446" s="24"/>
      <c r="AM446" s="24"/>
      <c r="AN446" s="24"/>
      <c r="AO446" s="24"/>
      <c r="AP446" s="24"/>
      <c r="AQ446" s="49"/>
      <c r="AR446" s="33"/>
      <c r="AS446" s="24"/>
      <c r="AT446" s="24"/>
      <c r="AU446" s="24"/>
      <c r="AV446" s="24"/>
      <c r="AW446" s="25"/>
      <c r="AX446" s="33"/>
      <c r="AY446" s="24"/>
      <c r="AZ446" s="24"/>
      <c r="BA446" s="24"/>
      <c r="BB446" s="24"/>
      <c r="BC446" s="25"/>
      <c r="BD446" s="33"/>
      <c r="BE446" s="24"/>
      <c r="BF446" s="24"/>
      <c r="BG446" s="24"/>
      <c r="BT446" s="34"/>
      <c r="BU446" s="22" t="s">
        <v>417</v>
      </c>
      <c r="BV446" s="22">
        <v>0</v>
      </c>
      <c r="BW446" s="31"/>
      <c r="BX446" s="31"/>
      <c r="BZ446" s="34"/>
      <c r="CF446" s="24"/>
      <c r="CL446" s="24"/>
      <c r="CR446" s="24"/>
    </row>
    <row r="447" spans="19:96" ht="15" x14ac:dyDescent="0.25">
      <c r="AE447" s="23" t="s">
        <v>460</v>
      </c>
      <c r="AF447">
        <v>0</v>
      </c>
      <c r="AG447" s="33"/>
      <c r="AH447" s="33"/>
      <c r="AJ447" s="34"/>
      <c r="AK447" s="24"/>
      <c r="AL447" s="24"/>
      <c r="AM447" s="24"/>
      <c r="AN447" s="24"/>
      <c r="AO447" s="24"/>
      <c r="AP447" s="24"/>
      <c r="AQ447" s="49"/>
      <c r="AR447" s="33"/>
      <c r="AS447" s="24"/>
      <c r="AT447" s="24"/>
      <c r="AU447" s="24"/>
      <c r="AV447" s="24"/>
      <c r="AW447" s="25"/>
      <c r="AX447" s="33"/>
      <c r="AY447" s="24"/>
      <c r="AZ447" s="24"/>
      <c r="BA447" s="24"/>
      <c r="BB447" s="24"/>
      <c r="BC447" s="25"/>
      <c r="BD447" s="33"/>
      <c r="BE447" s="24"/>
      <c r="BF447" s="24"/>
      <c r="BG447" s="24"/>
      <c r="BT447" s="34"/>
      <c r="BU447" s="22" t="s">
        <v>418</v>
      </c>
      <c r="BV447" s="22">
        <v>3</v>
      </c>
      <c r="BW447" s="31"/>
      <c r="BX447" s="31"/>
      <c r="BZ447" s="34"/>
      <c r="CF447" s="24"/>
      <c r="CL447" s="24"/>
      <c r="CR447" s="24"/>
    </row>
    <row r="448" spans="19:96" ht="15" x14ac:dyDescent="0.25">
      <c r="AE448" s="23" t="s">
        <v>461</v>
      </c>
      <c r="AF448">
        <v>2</v>
      </c>
      <c r="AG448" s="31"/>
      <c r="AH448" s="31"/>
      <c r="AJ448" s="34"/>
      <c r="AK448" s="24"/>
      <c r="AL448" s="24"/>
      <c r="AM448" s="24"/>
      <c r="AN448" s="24"/>
      <c r="AO448" s="24"/>
      <c r="AP448" s="24"/>
      <c r="AQ448" s="49"/>
      <c r="AR448" s="33"/>
      <c r="AS448" s="24"/>
      <c r="AT448" s="24"/>
      <c r="AU448" s="24"/>
      <c r="AV448" s="24"/>
      <c r="AW448" s="25"/>
      <c r="AX448" s="33"/>
      <c r="AY448" s="24"/>
      <c r="AZ448" s="24"/>
      <c r="BA448" s="24"/>
      <c r="BB448" s="24"/>
      <c r="BC448" s="25"/>
      <c r="BD448" s="33"/>
      <c r="BE448" s="24"/>
      <c r="BF448" s="24"/>
      <c r="BG448" s="24"/>
      <c r="BT448" s="34"/>
      <c r="BU448" s="22" t="s">
        <v>419</v>
      </c>
      <c r="BV448" s="22">
        <v>8</v>
      </c>
      <c r="BW448" s="31"/>
      <c r="BX448" s="31"/>
      <c r="BZ448" s="34"/>
      <c r="CF448" s="24"/>
      <c r="CL448" s="24"/>
      <c r="CR448" s="24"/>
    </row>
    <row r="449" spans="31:96" ht="15" x14ac:dyDescent="0.25">
      <c r="AE449" s="23" t="s">
        <v>462</v>
      </c>
      <c r="AF449">
        <v>1</v>
      </c>
      <c r="AG449" s="24"/>
      <c r="AH449" s="24"/>
      <c r="AJ449" s="34"/>
      <c r="AK449" s="24"/>
      <c r="AL449" s="24"/>
      <c r="AM449" s="24"/>
      <c r="AN449" s="24"/>
      <c r="AO449" s="24"/>
      <c r="AP449" s="24"/>
      <c r="AQ449" s="49"/>
      <c r="AR449" s="33"/>
      <c r="AS449" s="24"/>
      <c r="AT449" s="24"/>
      <c r="AU449" s="24"/>
      <c r="AV449" s="24"/>
      <c r="AW449" s="25"/>
      <c r="AX449" s="33"/>
      <c r="AY449" s="24"/>
      <c r="AZ449" s="24"/>
      <c r="BA449" s="24"/>
      <c r="BB449" s="24"/>
      <c r="BC449" s="25"/>
      <c r="BD449" s="33"/>
      <c r="BE449" s="24"/>
      <c r="BF449" s="24"/>
      <c r="BG449" s="24"/>
      <c r="BT449" s="34"/>
      <c r="BU449" s="22" t="s">
        <v>420</v>
      </c>
      <c r="BV449" s="22">
        <v>15</v>
      </c>
      <c r="BW449" s="31"/>
      <c r="BX449" s="31"/>
      <c r="BZ449" s="34"/>
      <c r="CF449" s="24"/>
      <c r="CL449" s="24"/>
      <c r="CR449" s="24"/>
    </row>
    <row r="450" spans="31:96" ht="15" x14ac:dyDescent="0.25">
      <c r="AE450" s="23" t="s">
        <v>463</v>
      </c>
      <c r="AF450">
        <v>1</v>
      </c>
      <c r="AG450" s="31"/>
      <c r="AH450" s="31"/>
      <c r="AJ450" s="34"/>
      <c r="AK450" s="24"/>
      <c r="AL450" s="24"/>
      <c r="AM450" s="24"/>
      <c r="AN450" s="24"/>
      <c r="AO450" s="24"/>
      <c r="AP450" s="24"/>
      <c r="AQ450" s="49"/>
      <c r="AR450" s="33"/>
      <c r="AS450" s="24"/>
      <c r="AT450" s="24"/>
      <c r="AU450" s="24"/>
      <c r="AV450" s="24"/>
      <c r="AW450" s="25"/>
      <c r="AX450" s="33"/>
      <c r="AY450" s="24"/>
      <c r="AZ450" s="24"/>
      <c r="BA450" s="24"/>
      <c r="BB450" s="24"/>
      <c r="BC450" s="25"/>
      <c r="BD450" s="33"/>
      <c r="BE450" s="24"/>
      <c r="BF450" s="24"/>
      <c r="BG450" s="24"/>
      <c r="BT450" s="34"/>
      <c r="BU450" s="22" t="s">
        <v>421</v>
      </c>
      <c r="BV450" s="22">
        <v>7</v>
      </c>
      <c r="BW450" s="31"/>
      <c r="BX450" s="31"/>
      <c r="BZ450" s="34"/>
      <c r="CF450" s="24"/>
      <c r="CL450" s="24"/>
      <c r="CR450" s="24"/>
    </row>
    <row r="451" spans="31:96" ht="15" x14ac:dyDescent="0.25">
      <c r="AE451" s="23" t="s">
        <v>464</v>
      </c>
      <c r="AF451">
        <v>0</v>
      </c>
      <c r="AG451" s="31"/>
      <c r="AH451" s="31"/>
      <c r="AJ451" s="34"/>
      <c r="AK451" s="24"/>
      <c r="AL451" s="24"/>
      <c r="AM451" s="24"/>
      <c r="AN451" s="24"/>
      <c r="AO451" s="24"/>
      <c r="AP451" s="24"/>
      <c r="AQ451" s="49"/>
      <c r="AR451" s="33"/>
      <c r="AS451" s="24"/>
      <c r="AT451" s="24"/>
      <c r="AU451" s="24"/>
      <c r="AV451" s="24"/>
      <c r="AW451" s="25"/>
      <c r="AX451" s="33"/>
      <c r="AY451" s="24"/>
      <c r="AZ451" s="24"/>
      <c r="BA451" s="24"/>
      <c r="BB451" s="24"/>
      <c r="BC451" s="25"/>
      <c r="BD451" s="33"/>
      <c r="BE451" s="24"/>
      <c r="BF451" s="24"/>
      <c r="BG451" s="24"/>
      <c r="BT451" s="34"/>
      <c r="BU451" s="22" t="s">
        <v>422</v>
      </c>
      <c r="BV451" s="22">
        <v>5</v>
      </c>
      <c r="BW451" s="31"/>
      <c r="BX451" s="31"/>
      <c r="BZ451" s="34"/>
    </row>
    <row r="452" spans="31:96" ht="15" x14ac:dyDescent="0.25">
      <c r="AE452" s="23" t="s">
        <v>465</v>
      </c>
      <c r="AF452">
        <v>0</v>
      </c>
      <c r="AG452" s="31"/>
      <c r="AH452" s="31"/>
      <c r="AJ452" s="34"/>
      <c r="AK452" s="24"/>
      <c r="AL452" s="24"/>
      <c r="AM452" s="24"/>
      <c r="AN452" s="24"/>
      <c r="AO452" s="24"/>
      <c r="AP452" s="24"/>
      <c r="AQ452" s="49"/>
      <c r="AR452" s="33"/>
      <c r="AS452" s="24"/>
      <c r="AT452" s="24"/>
      <c r="AU452" s="24"/>
      <c r="AV452" s="24"/>
      <c r="AW452" s="25"/>
      <c r="AX452" s="33"/>
      <c r="AY452" s="24"/>
      <c r="AZ452" s="24"/>
      <c r="BA452" s="24"/>
      <c r="BB452" s="24"/>
      <c r="BC452" s="25"/>
      <c r="BD452" s="33"/>
      <c r="BE452" s="24"/>
      <c r="BF452" s="24"/>
      <c r="BG452" s="24"/>
      <c r="BT452" s="34"/>
      <c r="BU452" s="23" t="s">
        <v>423</v>
      </c>
      <c r="BV452" s="22">
        <v>8</v>
      </c>
      <c r="BW452" s="31"/>
      <c r="BX452" s="31"/>
      <c r="BZ452" s="34"/>
    </row>
    <row r="453" spans="31:96" ht="15" x14ac:dyDescent="0.25">
      <c r="AE453" s="23" t="s">
        <v>466</v>
      </c>
      <c r="AF453">
        <v>0</v>
      </c>
      <c r="AG453" s="31"/>
      <c r="AH453" s="31"/>
      <c r="AJ453" s="34"/>
      <c r="AK453" s="24"/>
      <c r="AL453" s="24"/>
      <c r="AM453" s="24"/>
      <c r="AN453" s="24"/>
      <c r="AO453" s="24"/>
      <c r="AP453" s="24"/>
      <c r="AQ453" s="49"/>
      <c r="AR453" s="33"/>
      <c r="AS453" s="24"/>
      <c r="AT453" s="24"/>
      <c r="AU453" s="24"/>
      <c r="AV453" s="24"/>
      <c r="AW453" s="25"/>
      <c r="AX453" s="33"/>
      <c r="AY453" s="24"/>
      <c r="AZ453" s="24"/>
      <c r="BA453" s="24"/>
      <c r="BB453" s="24"/>
      <c r="BC453" s="25"/>
      <c r="BD453" s="33"/>
      <c r="BE453" s="24"/>
      <c r="BF453" s="24"/>
      <c r="BG453" s="24"/>
      <c r="BT453" s="34"/>
      <c r="BU453" s="22" t="s">
        <v>424</v>
      </c>
      <c r="BV453" s="22">
        <v>3</v>
      </c>
      <c r="BW453" s="31"/>
      <c r="BX453" s="31"/>
      <c r="BZ453" s="34"/>
    </row>
    <row r="454" spans="31:96" ht="15" x14ac:dyDescent="0.25">
      <c r="AE454" s="23" t="s">
        <v>467</v>
      </c>
      <c r="AF454">
        <v>0</v>
      </c>
      <c r="AG454" s="31"/>
      <c r="AH454" s="31"/>
      <c r="AJ454" s="34"/>
      <c r="AK454" s="24"/>
      <c r="AL454" s="24"/>
      <c r="AM454" s="24"/>
      <c r="AN454" s="24"/>
      <c r="AO454" s="24"/>
      <c r="AP454" s="24"/>
      <c r="AQ454" s="49"/>
      <c r="AR454" s="33"/>
      <c r="AS454" s="24"/>
      <c r="AT454" s="24"/>
      <c r="AU454" s="24"/>
      <c r="AV454" s="24"/>
      <c r="AW454" s="25"/>
      <c r="AX454" s="33"/>
      <c r="AY454" s="24"/>
      <c r="AZ454" s="24"/>
      <c r="BA454" s="24"/>
      <c r="BB454" s="24"/>
      <c r="BC454" s="25"/>
      <c r="BD454" s="33"/>
      <c r="BE454" s="24"/>
      <c r="BF454" s="24"/>
      <c r="BG454" s="24"/>
      <c r="BT454" s="34"/>
      <c r="BU454" s="23" t="s">
        <v>425</v>
      </c>
      <c r="BV454" s="22">
        <v>8</v>
      </c>
      <c r="BW454" s="31"/>
      <c r="BX454" s="31"/>
      <c r="BZ454" s="34"/>
    </row>
    <row r="455" spans="31:96" ht="15" x14ac:dyDescent="0.25">
      <c r="AE455" s="23" t="s">
        <v>468</v>
      </c>
      <c r="AF455">
        <v>0</v>
      </c>
      <c r="AG455" s="31"/>
      <c r="AH455" s="31"/>
      <c r="AJ455" s="34"/>
      <c r="AK455" s="24"/>
      <c r="AL455" s="24"/>
      <c r="AM455" s="24"/>
      <c r="AN455" s="24"/>
      <c r="AO455" s="24"/>
      <c r="AP455" s="24"/>
      <c r="AQ455" s="49"/>
      <c r="AR455" s="33"/>
      <c r="AS455" s="24"/>
      <c r="AT455" s="24"/>
      <c r="AU455" s="24"/>
      <c r="AV455" s="24"/>
      <c r="AW455" s="25"/>
      <c r="AX455" s="33"/>
      <c r="AY455" s="24"/>
      <c r="AZ455" s="24"/>
      <c r="BA455" s="24"/>
      <c r="BB455" s="24"/>
      <c r="BC455" s="25"/>
      <c r="BD455" s="33"/>
      <c r="BE455" s="24"/>
      <c r="BF455" s="24"/>
      <c r="BG455" s="24"/>
      <c r="BT455" s="34"/>
      <c r="BU455" s="23" t="s">
        <v>426</v>
      </c>
      <c r="BV455" s="22">
        <v>4</v>
      </c>
      <c r="BW455" s="31"/>
      <c r="BX455" s="31"/>
      <c r="BZ455" s="34"/>
    </row>
    <row r="456" spans="31:96" ht="15" x14ac:dyDescent="0.25">
      <c r="AE456" s="23" t="s">
        <v>469</v>
      </c>
      <c r="AF456">
        <v>0</v>
      </c>
      <c r="AG456" s="31"/>
      <c r="AH456" s="31"/>
      <c r="AJ456" s="34"/>
      <c r="AK456" s="24"/>
      <c r="AL456" s="24"/>
      <c r="AM456" s="24"/>
      <c r="AN456" s="24"/>
      <c r="AO456" s="24"/>
      <c r="AP456" s="24"/>
      <c r="AQ456" s="49"/>
      <c r="AR456" s="33"/>
      <c r="AS456" s="24"/>
      <c r="AT456" s="24"/>
      <c r="AU456" s="24"/>
      <c r="AV456" s="24"/>
      <c r="AW456" s="25"/>
      <c r="AX456" s="33"/>
      <c r="AY456" s="24"/>
      <c r="AZ456" s="24"/>
      <c r="BA456" s="24"/>
      <c r="BB456" s="24"/>
      <c r="BC456" s="25"/>
      <c r="BD456" s="33"/>
      <c r="BE456" s="24"/>
      <c r="BF456" s="24"/>
      <c r="BG456" s="24"/>
      <c r="BT456" s="34"/>
      <c r="BU456" s="23" t="s">
        <v>427</v>
      </c>
      <c r="BV456" s="22">
        <v>2</v>
      </c>
      <c r="BW456" s="31"/>
      <c r="BX456" s="31"/>
      <c r="BZ456" s="34"/>
    </row>
    <row r="457" spans="31:96" ht="15" x14ac:dyDescent="0.25">
      <c r="AE457" s="23" t="s">
        <v>470</v>
      </c>
      <c r="AF457">
        <v>0</v>
      </c>
      <c r="AG457" s="31"/>
      <c r="AH457" s="31"/>
      <c r="AJ457" s="34"/>
      <c r="AK457" s="24"/>
      <c r="AL457" s="24"/>
      <c r="AM457" s="24"/>
      <c r="AN457" s="24"/>
      <c r="AO457" s="24"/>
      <c r="AP457" s="24"/>
      <c r="AQ457" s="49"/>
      <c r="AR457" s="33"/>
      <c r="AS457" s="24"/>
      <c r="AT457" s="24"/>
      <c r="AU457" s="24"/>
      <c r="AV457" s="24"/>
      <c r="AW457" s="25"/>
      <c r="AX457" s="33"/>
      <c r="AY457" s="24"/>
      <c r="AZ457" s="24"/>
      <c r="BA457" s="24"/>
      <c r="BB457" s="24"/>
      <c r="BC457" s="25"/>
      <c r="BD457" s="33"/>
      <c r="BE457" s="24"/>
      <c r="BF457" s="24"/>
      <c r="BG457" s="24"/>
      <c r="BT457" s="34"/>
      <c r="BU457" s="23" t="s">
        <v>428</v>
      </c>
      <c r="BV457" s="22">
        <v>4</v>
      </c>
      <c r="BW457" s="31"/>
      <c r="BX457" s="31"/>
      <c r="BZ457" s="34"/>
    </row>
    <row r="458" spans="31:96" ht="15" x14ac:dyDescent="0.25">
      <c r="AE458" s="23" t="s">
        <v>471</v>
      </c>
      <c r="AF458">
        <v>2</v>
      </c>
      <c r="AG458" s="31"/>
      <c r="AH458" s="31"/>
      <c r="AJ458" s="34"/>
      <c r="AK458" s="24"/>
      <c r="AL458" s="24"/>
      <c r="AM458" s="24"/>
      <c r="AN458" s="24"/>
      <c r="AO458" s="24"/>
      <c r="AP458" s="24"/>
      <c r="AQ458" s="49"/>
      <c r="AR458" s="33"/>
      <c r="AS458" s="24"/>
      <c r="AT458" s="24"/>
      <c r="AU458" s="24"/>
      <c r="AV458" s="24"/>
      <c r="AW458" s="25"/>
      <c r="AX458" s="33"/>
      <c r="AY458" s="24"/>
      <c r="AZ458" s="24"/>
      <c r="BA458" s="24"/>
      <c r="BB458" s="24"/>
      <c r="BC458" s="25"/>
      <c r="BD458" s="33"/>
      <c r="BE458" s="24"/>
      <c r="BF458" s="24"/>
      <c r="BG458" s="24"/>
      <c r="BT458" s="34"/>
      <c r="BU458" s="23" t="s">
        <v>429</v>
      </c>
      <c r="BV458" s="22">
        <v>0</v>
      </c>
      <c r="BW458" s="31"/>
      <c r="BX458" s="31"/>
      <c r="BZ458" s="34"/>
    </row>
    <row r="459" spans="31:96" ht="15" x14ac:dyDescent="0.25">
      <c r="AE459" s="23" t="s">
        <v>472</v>
      </c>
      <c r="AF459">
        <v>0</v>
      </c>
      <c r="AJ459" s="34"/>
      <c r="AK459" s="24"/>
      <c r="AL459" s="24"/>
      <c r="AM459" s="24"/>
      <c r="AN459" s="24"/>
      <c r="AO459" s="24"/>
      <c r="AP459" s="24"/>
      <c r="AQ459" s="49"/>
      <c r="AR459" s="33"/>
      <c r="AS459" s="24"/>
      <c r="AT459" s="24"/>
      <c r="AU459" s="24"/>
      <c r="AV459" s="24"/>
      <c r="AW459" s="25"/>
      <c r="AX459" s="33"/>
      <c r="AY459" s="24"/>
      <c r="AZ459" s="24"/>
      <c r="BA459" s="24"/>
      <c r="BB459" s="24"/>
      <c r="BC459" s="25"/>
      <c r="BD459" s="33"/>
      <c r="BE459" s="24"/>
      <c r="BF459" s="24"/>
      <c r="BG459" s="24"/>
      <c r="BT459" s="34"/>
      <c r="BU459" s="23" t="s">
        <v>430</v>
      </c>
      <c r="BV459" s="22">
        <v>4</v>
      </c>
      <c r="BW459" s="31"/>
      <c r="BX459" s="31"/>
      <c r="BZ459" s="34"/>
    </row>
    <row r="460" spans="31:96" ht="15" x14ac:dyDescent="0.25">
      <c r="AE460" s="23" t="s">
        <v>362</v>
      </c>
      <c r="AF460">
        <v>2</v>
      </c>
      <c r="AJ460" s="34"/>
      <c r="AK460" s="24"/>
      <c r="AL460" s="24"/>
      <c r="AM460" s="24"/>
      <c r="AN460" s="24"/>
      <c r="AO460" s="24"/>
      <c r="AP460" s="24"/>
      <c r="AQ460" s="49"/>
      <c r="AR460" s="33"/>
      <c r="AS460" s="24"/>
      <c r="AT460" s="24"/>
      <c r="AU460" s="24"/>
      <c r="AV460" s="24"/>
      <c r="AW460" s="25"/>
      <c r="AX460" s="33"/>
      <c r="AY460" s="24"/>
      <c r="AZ460" s="24"/>
      <c r="BA460" s="24"/>
      <c r="BB460" s="24"/>
      <c r="BC460" s="25"/>
      <c r="BD460" s="33"/>
      <c r="BE460" s="24"/>
      <c r="BF460" s="24"/>
      <c r="BG460" s="24"/>
      <c r="BT460" s="34"/>
      <c r="BU460" s="23" t="s">
        <v>431</v>
      </c>
      <c r="BV460" s="22">
        <v>3</v>
      </c>
      <c r="BW460" s="31"/>
      <c r="BX460" s="31"/>
      <c r="BZ460" s="34"/>
    </row>
    <row r="461" spans="31:96" ht="15" x14ac:dyDescent="0.25">
      <c r="AE461" s="23" t="s">
        <v>473</v>
      </c>
      <c r="AF461">
        <v>0</v>
      </c>
      <c r="AJ461" s="34"/>
      <c r="AK461" s="24"/>
      <c r="AL461" s="24"/>
      <c r="AM461" s="24"/>
      <c r="AN461" s="24"/>
      <c r="AO461" s="24"/>
      <c r="AP461" s="24"/>
      <c r="AQ461" s="49"/>
      <c r="AR461" s="33"/>
      <c r="AS461" s="24"/>
      <c r="AT461" s="24"/>
      <c r="AU461" s="24"/>
      <c r="AV461" s="24"/>
      <c r="AW461" s="25"/>
      <c r="AX461" s="33"/>
      <c r="AY461" s="24"/>
      <c r="AZ461" s="24"/>
      <c r="BA461" s="24"/>
      <c r="BB461" s="24"/>
      <c r="BC461" s="25"/>
      <c r="BD461" s="33"/>
      <c r="BE461" s="24"/>
      <c r="BF461" s="24"/>
      <c r="BG461" s="24"/>
      <c r="BT461" s="34"/>
      <c r="BU461" s="23" t="s">
        <v>432</v>
      </c>
      <c r="BV461" s="22">
        <v>4</v>
      </c>
      <c r="BW461" s="31"/>
      <c r="BX461" s="31"/>
      <c r="BZ461" s="34"/>
    </row>
    <row r="462" spans="31:96" ht="15" x14ac:dyDescent="0.25">
      <c r="AE462" s="23" t="s">
        <v>474</v>
      </c>
      <c r="AF462">
        <v>1</v>
      </c>
      <c r="AJ462" s="34"/>
      <c r="AK462" s="24"/>
      <c r="AL462" s="24"/>
      <c r="AM462" s="24"/>
      <c r="AN462" s="24"/>
      <c r="AO462" s="24"/>
      <c r="AP462" s="24"/>
      <c r="AQ462" s="49"/>
      <c r="AR462" s="33"/>
      <c r="AS462" s="24"/>
      <c r="AT462" s="24"/>
      <c r="AU462" s="24"/>
      <c r="AV462" s="24"/>
      <c r="AW462" s="25"/>
      <c r="AX462" s="33"/>
      <c r="AY462" s="24"/>
      <c r="AZ462" s="24"/>
      <c r="BA462" s="24"/>
      <c r="BB462" s="24"/>
      <c r="BC462" s="25"/>
      <c r="BD462" s="33"/>
      <c r="BE462" s="24"/>
      <c r="BF462" s="24"/>
      <c r="BG462" s="24"/>
      <c r="BT462" s="34"/>
      <c r="BU462" s="23" t="s">
        <v>433</v>
      </c>
      <c r="BV462" s="22">
        <v>1</v>
      </c>
      <c r="BW462" s="31"/>
      <c r="BX462" s="31"/>
      <c r="BZ462" s="34"/>
    </row>
    <row r="463" spans="31:96" ht="15" x14ac:dyDescent="0.25">
      <c r="AE463" s="23" t="s">
        <v>475</v>
      </c>
      <c r="AF463">
        <v>0</v>
      </c>
      <c r="AJ463" s="34"/>
      <c r="AK463" s="24"/>
      <c r="AL463" s="24"/>
      <c r="AM463" s="24"/>
      <c r="AN463" s="24"/>
      <c r="AO463" s="24"/>
      <c r="AP463" s="24"/>
      <c r="AQ463" s="49"/>
      <c r="AR463" s="33"/>
      <c r="AS463" s="24"/>
      <c r="AT463" s="24"/>
      <c r="AU463" s="24"/>
      <c r="AV463" s="24"/>
      <c r="AW463" s="25"/>
      <c r="AX463" s="33"/>
      <c r="AY463" s="24"/>
      <c r="AZ463" s="24"/>
      <c r="BA463" s="24"/>
      <c r="BB463" s="24"/>
      <c r="BC463" s="25"/>
      <c r="BD463" s="33"/>
      <c r="BE463" s="24"/>
      <c r="BF463" s="24"/>
      <c r="BG463" s="24"/>
      <c r="BT463" s="34"/>
      <c r="BU463" s="23" t="s">
        <v>434</v>
      </c>
      <c r="BV463" s="22">
        <v>2</v>
      </c>
      <c r="BW463" s="31"/>
      <c r="BX463" s="31"/>
      <c r="BZ463" s="34"/>
    </row>
    <row r="464" spans="31:96" x14ac:dyDescent="0.2">
      <c r="AE464" s="34"/>
      <c r="AF464" s="34"/>
      <c r="AG464" s="34"/>
      <c r="AH464" s="34"/>
      <c r="AI464" s="34"/>
      <c r="AJ464" s="34"/>
      <c r="AK464" s="24"/>
      <c r="AL464" s="24"/>
      <c r="AM464" s="24"/>
      <c r="AN464" s="24"/>
      <c r="AO464" s="24"/>
      <c r="AP464" s="24"/>
      <c r="AQ464" s="49"/>
      <c r="AR464" s="33"/>
      <c r="AS464" s="24"/>
      <c r="AT464" s="24"/>
      <c r="AU464" s="24"/>
      <c r="AV464" s="24"/>
      <c r="AW464" s="25"/>
      <c r="AX464" s="33"/>
      <c r="AY464" s="24"/>
      <c r="AZ464" s="24"/>
      <c r="BA464" s="24"/>
      <c r="BB464" s="24"/>
      <c r="BC464" s="25"/>
      <c r="BD464" s="33"/>
      <c r="BE464" s="24"/>
      <c r="BF464" s="24"/>
      <c r="BG464" s="24"/>
      <c r="BT464" s="34"/>
      <c r="BU464" s="34"/>
      <c r="BV464" s="34"/>
      <c r="BW464" s="34"/>
      <c r="BX464" s="34"/>
      <c r="BY464" s="34"/>
      <c r="BZ464" s="34"/>
    </row>
    <row r="465" spans="31:78" x14ac:dyDescent="0.2">
      <c r="AE465" s="31" t="s">
        <v>100</v>
      </c>
      <c r="AF465" s="32" t="s">
        <v>67</v>
      </c>
      <c r="AG465" s="31"/>
      <c r="AH465" s="31"/>
      <c r="AJ465" s="34"/>
      <c r="AK465" s="24"/>
      <c r="AL465" s="24"/>
      <c r="AM465" s="24"/>
      <c r="AN465" s="24"/>
      <c r="AO465" s="24"/>
      <c r="AP465" s="24"/>
      <c r="AQ465" s="49"/>
      <c r="AR465" s="33"/>
      <c r="AS465" s="24"/>
      <c r="AT465" s="24"/>
      <c r="AU465" s="24"/>
      <c r="AV465" s="24"/>
      <c r="AW465" s="25"/>
      <c r="AX465" s="33"/>
      <c r="AY465" s="24"/>
      <c r="AZ465" s="24"/>
      <c r="BA465" s="24"/>
      <c r="BB465" s="24"/>
      <c r="BC465" s="25"/>
      <c r="BD465" s="33"/>
      <c r="BE465" s="24"/>
      <c r="BF465" s="24"/>
      <c r="BG465" s="24"/>
      <c r="BT465" s="34"/>
      <c r="BU465" s="19" t="s">
        <v>100</v>
      </c>
      <c r="BV465" s="35" t="s">
        <v>61</v>
      </c>
      <c r="BZ465" s="34"/>
    </row>
    <row r="466" spans="31:78" x14ac:dyDescent="0.2">
      <c r="AE466" s="31" t="s">
        <v>101</v>
      </c>
      <c r="AF466" s="12" t="s">
        <v>21</v>
      </c>
      <c r="AG466" s="31"/>
      <c r="AH466" s="31"/>
      <c r="AJ466" s="34"/>
      <c r="AK466" s="24"/>
      <c r="AL466" s="24"/>
      <c r="AM466" s="24"/>
      <c r="AN466" s="24"/>
      <c r="AO466" s="24"/>
      <c r="AP466" s="24"/>
      <c r="AQ466" s="49"/>
      <c r="AR466" s="33"/>
      <c r="AS466" s="24"/>
      <c r="AT466" s="24"/>
      <c r="AU466" s="24"/>
      <c r="AV466" s="24"/>
      <c r="AW466" s="25"/>
      <c r="AX466" s="33"/>
      <c r="AY466" s="24"/>
      <c r="AZ466" s="24"/>
      <c r="BA466" s="24"/>
      <c r="BB466" s="24"/>
      <c r="BC466" s="25"/>
      <c r="BD466" s="33"/>
      <c r="BE466" s="24"/>
      <c r="BF466" s="24"/>
      <c r="BG466" s="24"/>
      <c r="BT466" s="34"/>
      <c r="BV466" s="12" t="s">
        <v>21</v>
      </c>
      <c r="BZ466" s="34"/>
    </row>
    <row r="467" spans="31:78" x14ac:dyDescent="0.2">
      <c r="AE467" s="31" t="s">
        <v>102</v>
      </c>
      <c r="AF467" s="31" t="s">
        <v>71</v>
      </c>
      <c r="AG467" s="31" t="s">
        <v>103</v>
      </c>
      <c r="AH467" s="31" t="s">
        <v>104</v>
      </c>
      <c r="AJ467" s="34"/>
      <c r="AK467" s="24"/>
      <c r="AL467" s="24"/>
      <c r="AM467" s="24"/>
      <c r="AN467" s="24"/>
      <c r="AO467" s="24"/>
      <c r="AP467" s="24"/>
      <c r="AQ467" s="49"/>
      <c r="AR467" s="33"/>
      <c r="AS467" s="24"/>
      <c r="AT467" s="24"/>
      <c r="AU467" s="24"/>
      <c r="AV467" s="24"/>
      <c r="AW467" s="25"/>
      <c r="AX467" s="33"/>
      <c r="AY467" s="24"/>
      <c r="AZ467" s="24"/>
      <c r="BA467" s="24"/>
      <c r="BB467" s="24"/>
      <c r="BC467" s="25"/>
      <c r="BD467" s="33"/>
      <c r="BE467" s="24"/>
      <c r="BF467" s="24"/>
      <c r="BG467" s="24"/>
      <c r="BT467" s="34"/>
      <c r="BU467" s="31" t="s">
        <v>102</v>
      </c>
      <c r="BV467" s="31" t="s">
        <v>71</v>
      </c>
      <c r="BW467" s="31" t="s">
        <v>103</v>
      </c>
      <c r="BX467" s="31" t="s">
        <v>104</v>
      </c>
      <c r="BZ467" s="34"/>
    </row>
    <row r="468" spans="31:78" ht="15" x14ac:dyDescent="0.25">
      <c r="AE468" s="23" t="s">
        <v>453</v>
      </c>
      <c r="AF468">
        <v>1</v>
      </c>
      <c r="AG468" s="31" t="s">
        <v>106</v>
      </c>
      <c r="AH468" s="31">
        <f>SUM(AF468:AF492)</f>
        <v>82</v>
      </c>
      <c r="AJ468" s="34"/>
      <c r="AK468" s="24"/>
      <c r="AL468" s="24"/>
      <c r="AM468" s="24"/>
      <c r="AN468" s="24"/>
      <c r="AO468" s="24"/>
      <c r="AP468" s="24"/>
      <c r="AQ468" s="49"/>
      <c r="AR468" s="33"/>
      <c r="AS468" s="24"/>
      <c r="AT468" s="24"/>
      <c r="AU468" s="24"/>
      <c r="AV468" s="24"/>
      <c r="AW468" s="25"/>
      <c r="AX468" s="33"/>
      <c r="AY468" s="24"/>
      <c r="AZ468" s="24"/>
      <c r="BA468" s="24"/>
      <c r="BB468" s="24"/>
      <c r="BC468" s="25"/>
      <c r="BD468" s="33"/>
      <c r="BE468" s="24"/>
      <c r="BF468" s="24"/>
      <c r="BG468" s="24"/>
      <c r="BT468" s="34"/>
      <c r="BU468" s="23" t="s">
        <v>412</v>
      </c>
      <c r="BV468" s="22">
        <v>0</v>
      </c>
      <c r="BW468" s="31" t="s">
        <v>106</v>
      </c>
      <c r="BX468" s="31">
        <f>SUM(BV468:BV492)</f>
        <v>65</v>
      </c>
      <c r="BZ468" s="34"/>
    </row>
    <row r="469" spans="31:78" ht="15" x14ac:dyDescent="0.25">
      <c r="AE469" s="23" t="s">
        <v>454</v>
      </c>
      <c r="AF469">
        <v>0</v>
      </c>
      <c r="AG469" s="31" t="s">
        <v>115</v>
      </c>
      <c r="AH469" s="31">
        <f>MIN(AF468:AF492)</f>
        <v>0</v>
      </c>
      <c r="AJ469" s="34"/>
      <c r="AK469" s="24"/>
      <c r="AL469" s="24"/>
      <c r="AM469" s="24"/>
      <c r="AN469" s="24"/>
      <c r="AO469" s="24"/>
      <c r="AP469" s="24"/>
      <c r="AQ469" s="49"/>
      <c r="AR469" s="33"/>
      <c r="AS469" s="24"/>
      <c r="AT469" s="24"/>
      <c r="AU469" s="24"/>
      <c r="AV469" s="24"/>
      <c r="AW469" s="24"/>
      <c r="AX469" s="24"/>
      <c r="AY469" s="24"/>
      <c r="AZ469" s="24"/>
      <c r="BA469" s="24"/>
      <c r="BB469" s="24"/>
      <c r="BC469" s="24"/>
      <c r="BD469" s="24"/>
      <c r="BE469" s="24"/>
      <c r="BF469" s="24"/>
      <c r="BG469" s="24"/>
      <c r="BT469" s="34"/>
      <c r="BU469" s="22" t="s">
        <v>244</v>
      </c>
      <c r="BV469" s="22">
        <v>0</v>
      </c>
      <c r="BW469" s="31" t="s">
        <v>115</v>
      </c>
      <c r="BX469" s="31">
        <f>MIN(BV468:BV492)</f>
        <v>0</v>
      </c>
      <c r="BZ469" s="34"/>
    </row>
    <row r="470" spans="31:78" ht="15" x14ac:dyDescent="0.25">
      <c r="AE470" s="23" t="s">
        <v>455</v>
      </c>
      <c r="AF470">
        <v>3</v>
      </c>
      <c r="AG470" s="31" t="s">
        <v>122</v>
      </c>
      <c r="AH470" s="31">
        <f>MAX(AF468:AF492)</f>
        <v>9</v>
      </c>
      <c r="AJ470" s="34"/>
      <c r="AK470" s="24"/>
      <c r="AL470" s="24"/>
      <c r="AM470" s="24"/>
      <c r="AN470" s="24"/>
      <c r="AO470" s="24"/>
      <c r="AP470" s="24"/>
      <c r="AQ470" s="49"/>
      <c r="AR470" s="33"/>
      <c r="AS470" s="24"/>
      <c r="AT470" s="24"/>
      <c r="AU470" s="24"/>
      <c r="AV470" s="24"/>
      <c r="AW470" s="24"/>
      <c r="AX470" s="24"/>
      <c r="AY470" s="24"/>
      <c r="AZ470" s="24"/>
      <c r="BA470" s="24"/>
      <c r="BB470" s="24"/>
      <c r="BC470" s="24"/>
      <c r="BD470" s="24"/>
      <c r="BE470" s="24"/>
      <c r="BF470" s="24"/>
      <c r="BG470" s="24"/>
      <c r="BT470" s="34"/>
      <c r="BU470" s="22" t="s">
        <v>119</v>
      </c>
      <c r="BV470" s="22">
        <v>0</v>
      </c>
      <c r="BW470" s="31" t="s">
        <v>122</v>
      </c>
      <c r="BX470" s="31">
        <f>MAX(BV468:BV492)</f>
        <v>15</v>
      </c>
      <c r="BZ470" s="34"/>
    </row>
    <row r="471" spans="31:78" ht="15" x14ac:dyDescent="0.25">
      <c r="AE471" s="23" t="s">
        <v>456</v>
      </c>
      <c r="AF471">
        <v>5</v>
      </c>
      <c r="AG471" s="31" t="s">
        <v>129</v>
      </c>
      <c r="AH471" s="31">
        <f>VAR(AF468:AF492)</f>
        <v>6.7933333333333339</v>
      </c>
      <c r="AJ471" s="34"/>
      <c r="AK471" s="24"/>
      <c r="AL471" s="24"/>
      <c r="AM471" s="24"/>
      <c r="AN471" s="24"/>
      <c r="AO471" s="24"/>
      <c r="AP471" s="24"/>
      <c r="AQ471" s="49"/>
      <c r="AR471" s="33"/>
      <c r="AS471" s="24"/>
      <c r="AT471" s="24"/>
      <c r="AU471" s="24"/>
      <c r="AV471" s="24"/>
      <c r="AW471" s="33"/>
      <c r="AX471" s="24"/>
      <c r="AY471" s="24"/>
      <c r="AZ471" s="24"/>
      <c r="BA471" s="24"/>
      <c r="BB471" s="24"/>
      <c r="BC471" s="33"/>
      <c r="BD471" s="24"/>
      <c r="BE471" s="24"/>
      <c r="BF471" s="24"/>
      <c r="BG471" s="24"/>
      <c r="BT471" s="34"/>
      <c r="BU471" s="22" t="s">
        <v>413</v>
      </c>
      <c r="BV471" s="22">
        <v>0</v>
      </c>
      <c r="BW471" s="31" t="s">
        <v>129</v>
      </c>
      <c r="BX471" s="31">
        <f>VAR(BV468:BV492)</f>
        <v>18.333333333333332</v>
      </c>
      <c r="BZ471" s="34"/>
    </row>
    <row r="472" spans="31:78" ht="15" x14ac:dyDescent="0.25">
      <c r="AE472" s="23" t="s">
        <v>259</v>
      </c>
      <c r="AF472">
        <v>2</v>
      </c>
      <c r="AG472" s="31" t="s">
        <v>138</v>
      </c>
      <c r="AH472" s="31">
        <f>AVERAGE(AF468:AF492)</f>
        <v>3.28</v>
      </c>
      <c r="AJ472" s="34"/>
      <c r="AK472" s="33"/>
      <c r="AL472" s="33"/>
      <c r="AM472" s="24"/>
      <c r="AN472" s="24"/>
      <c r="AO472" s="24"/>
      <c r="AP472" s="24"/>
      <c r="AQ472" s="49"/>
      <c r="AR472" s="33"/>
      <c r="AS472" s="24"/>
      <c r="AT472" s="24"/>
      <c r="AU472" s="24"/>
      <c r="AV472" s="24"/>
      <c r="AW472" s="33"/>
      <c r="AX472" s="33"/>
      <c r="AY472" s="33"/>
      <c r="AZ472" s="33"/>
      <c r="BA472" s="24"/>
      <c r="BB472" s="24"/>
      <c r="BC472" s="33"/>
      <c r="BD472" s="33"/>
      <c r="BE472" s="33"/>
      <c r="BF472" s="33"/>
      <c r="BG472" s="24"/>
      <c r="BT472" s="34"/>
      <c r="BU472" s="22" t="s">
        <v>414</v>
      </c>
      <c r="BV472" s="22">
        <v>0</v>
      </c>
      <c r="BW472" s="31" t="s">
        <v>138</v>
      </c>
      <c r="BX472" s="31">
        <f>AVERAGE(BV468:BV492)</f>
        <v>2.6</v>
      </c>
      <c r="BZ472" s="34"/>
    </row>
    <row r="473" spans="31:78" ht="15" x14ac:dyDescent="0.25">
      <c r="AE473" s="23" t="s">
        <v>457</v>
      </c>
      <c r="AF473">
        <v>0</v>
      </c>
      <c r="AG473" s="31" t="s">
        <v>144</v>
      </c>
      <c r="AH473" s="31">
        <f>STDEV(AF468:AF492)</f>
        <v>2.6064023736432818</v>
      </c>
      <c r="AJ473" s="34"/>
      <c r="AK473" s="33"/>
      <c r="AL473" s="33"/>
      <c r="AM473" s="24"/>
      <c r="AN473" s="24"/>
      <c r="AO473" s="24"/>
      <c r="AP473" s="24"/>
      <c r="AQ473" s="49"/>
      <c r="AR473" s="33"/>
      <c r="AS473" s="24"/>
      <c r="AT473" s="24"/>
      <c r="AU473" s="24"/>
      <c r="AV473" s="24"/>
      <c r="AW473" s="49"/>
      <c r="AX473" s="33"/>
      <c r="AY473" s="33"/>
      <c r="AZ473" s="33"/>
      <c r="BA473" s="24"/>
      <c r="BB473" s="24"/>
      <c r="BC473" s="49"/>
      <c r="BD473" s="33"/>
      <c r="BE473" s="33"/>
      <c r="BF473" s="33"/>
      <c r="BG473" s="24"/>
      <c r="BT473" s="34"/>
      <c r="BU473" s="22" t="s">
        <v>415</v>
      </c>
      <c r="BV473" s="22">
        <v>0</v>
      </c>
      <c r="BW473" s="31" t="s">
        <v>144</v>
      </c>
      <c r="BX473" s="31">
        <f>STDEV(BV468:BV492)</f>
        <v>4.2817441928883762</v>
      </c>
      <c r="BZ473" s="34"/>
    </row>
    <row r="474" spans="31:78" ht="15" x14ac:dyDescent="0.25">
      <c r="AE474" s="23" t="s">
        <v>458</v>
      </c>
      <c r="AF474">
        <v>5</v>
      </c>
      <c r="AG474" s="31"/>
      <c r="AH474" s="31"/>
      <c r="AJ474" s="34"/>
      <c r="AK474" s="33"/>
      <c r="AL474" s="33"/>
      <c r="AM474" s="24"/>
      <c r="AN474" s="24"/>
      <c r="AO474" s="24"/>
      <c r="AP474" s="24"/>
      <c r="AQ474" s="25"/>
      <c r="AR474" s="33"/>
      <c r="AS474" s="24"/>
      <c r="AT474" s="24"/>
      <c r="AU474" s="24"/>
      <c r="AV474" s="24"/>
      <c r="AW474" s="49"/>
      <c r="AX474" s="33"/>
      <c r="AY474" s="33"/>
      <c r="AZ474" s="33"/>
      <c r="BA474" s="24"/>
      <c r="BB474" s="24"/>
      <c r="BC474" s="49"/>
      <c r="BD474" s="33"/>
      <c r="BE474" s="33"/>
      <c r="BF474" s="33"/>
      <c r="BG474" s="24"/>
      <c r="BT474" s="34"/>
      <c r="BU474" s="22" t="s">
        <v>416</v>
      </c>
      <c r="BV474" s="22">
        <v>0</v>
      </c>
      <c r="BW474" s="31"/>
      <c r="BX474" s="31"/>
      <c r="BZ474" s="34"/>
    </row>
    <row r="475" spans="31:78" ht="15" x14ac:dyDescent="0.25">
      <c r="AE475" s="23" t="s">
        <v>459</v>
      </c>
      <c r="AF475">
        <v>5</v>
      </c>
      <c r="AG475" s="31"/>
      <c r="AH475" s="31"/>
      <c r="AJ475" s="34"/>
      <c r="AK475" s="33"/>
      <c r="AL475" s="33"/>
      <c r="AM475" s="24"/>
      <c r="AN475" s="24"/>
      <c r="AO475" s="24"/>
      <c r="AP475" s="24"/>
      <c r="AQ475" s="25"/>
      <c r="AR475" s="33"/>
      <c r="AS475" s="24"/>
      <c r="AT475" s="24"/>
      <c r="AU475" s="24"/>
      <c r="AV475" s="24"/>
      <c r="AW475" s="49"/>
      <c r="AX475" s="33"/>
      <c r="AY475" s="33"/>
      <c r="AZ475" s="33"/>
      <c r="BA475" s="24"/>
      <c r="BB475" s="24"/>
      <c r="BC475" s="49"/>
      <c r="BD475" s="33"/>
      <c r="BE475" s="33"/>
      <c r="BF475" s="33"/>
      <c r="BG475" s="24"/>
      <c r="BT475" s="34"/>
      <c r="BU475" s="22" t="s">
        <v>417</v>
      </c>
      <c r="BV475" s="22">
        <v>0</v>
      </c>
      <c r="BW475" s="31"/>
      <c r="BX475" s="31"/>
      <c r="BZ475" s="34"/>
    </row>
    <row r="476" spans="31:78" ht="15" x14ac:dyDescent="0.25">
      <c r="AE476" s="23" t="s">
        <v>460</v>
      </c>
      <c r="AF476">
        <v>1</v>
      </c>
      <c r="AG476" s="33"/>
      <c r="AH476" s="33"/>
      <c r="AJ476" s="34"/>
      <c r="AK476" s="33"/>
      <c r="AL476" s="33"/>
      <c r="AM476" s="24"/>
      <c r="AN476" s="24"/>
      <c r="AO476" s="24"/>
      <c r="AP476" s="24"/>
      <c r="AQ476" s="25"/>
      <c r="AR476" s="33"/>
      <c r="AS476" s="24"/>
      <c r="AT476" s="24"/>
      <c r="AU476" s="24"/>
      <c r="AV476" s="24"/>
      <c r="AW476" s="49"/>
      <c r="AX476" s="33"/>
      <c r="AY476" s="33"/>
      <c r="AZ476" s="33"/>
      <c r="BA476" s="24"/>
      <c r="BB476" s="24"/>
      <c r="BC476" s="49"/>
      <c r="BD476" s="33"/>
      <c r="BE476" s="33"/>
      <c r="BF476" s="33"/>
      <c r="BG476" s="24"/>
      <c r="BT476" s="34"/>
      <c r="BU476" s="22" t="s">
        <v>418</v>
      </c>
      <c r="BV476" s="22">
        <v>0</v>
      </c>
      <c r="BW476" s="31"/>
      <c r="BX476" s="31"/>
      <c r="BZ476" s="34"/>
    </row>
    <row r="477" spans="31:78" ht="15" x14ac:dyDescent="0.25">
      <c r="AE477" s="23" t="s">
        <v>461</v>
      </c>
      <c r="AF477">
        <v>8</v>
      </c>
      <c r="AG477" s="31"/>
      <c r="AH477" s="31"/>
      <c r="AJ477" s="34"/>
      <c r="AK477" s="33"/>
      <c r="AL477" s="33"/>
      <c r="AM477" s="24"/>
      <c r="AN477" s="24"/>
      <c r="AO477" s="24"/>
      <c r="AP477" s="24"/>
      <c r="AQ477" s="25"/>
      <c r="AR477" s="33"/>
      <c r="AS477" s="24"/>
      <c r="AT477" s="24"/>
      <c r="AU477" s="24"/>
      <c r="AV477" s="24"/>
      <c r="AW477" s="49"/>
      <c r="AX477" s="33"/>
      <c r="AY477" s="33"/>
      <c r="AZ477" s="33"/>
      <c r="BA477" s="24"/>
      <c r="BB477" s="24"/>
      <c r="BC477" s="49"/>
      <c r="BD477" s="33"/>
      <c r="BE477" s="33"/>
      <c r="BF477" s="33"/>
      <c r="BG477" s="24"/>
      <c r="BT477" s="34"/>
      <c r="BU477" s="22" t="s">
        <v>419</v>
      </c>
      <c r="BV477" s="22">
        <v>0</v>
      </c>
      <c r="BW477" s="31"/>
      <c r="BX477" s="31"/>
      <c r="BZ477" s="34"/>
    </row>
    <row r="478" spans="31:78" ht="15" x14ac:dyDescent="0.25">
      <c r="AE478" s="23" t="s">
        <v>462</v>
      </c>
      <c r="AF478">
        <v>8</v>
      </c>
      <c r="AG478" s="24"/>
      <c r="AH478" s="24"/>
      <c r="AJ478" s="34"/>
      <c r="AK478" s="33"/>
      <c r="AL478" s="33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49"/>
      <c r="AX478" s="33"/>
      <c r="AY478" s="33"/>
      <c r="AZ478" s="33"/>
      <c r="BA478" s="24"/>
      <c r="BB478" s="24"/>
      <c r="BC478" s="49"/>
      <c r="BD478" s="33"/>
      <c r="BE478" s="33"/>
      <c r="BF478" s="33"/>
      <c r="BG478" s="24"/>
      <c r="BT478" s="34"/>
      <c r="BU478" s="22" t="s">
        <v>420</v>
      </c>
      <c r="BV478" s="22">
        <v>0</v>
      </c>
      <c r="BW478" s="31"/>
      <c r="BX478" s="31"/>
      <c r="BZ478" s="34"/>
    </row>
    <row r="479" spans="31:78" ht="15" x14ac:dyDescent="0.25">
      <c r="AE479" s="23" t="s">
        <v>463</v>
      </c>
      <c r="AF479">
        <v>2</v>
      </c>
      <c r="AG479" s="31"/>
      <c r="AH479" s="31"/>
      <c r="AJ479" s="34"/>
      <c r="AK479" s="33"/>
      <c r="AL479" s="33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49"/>
      <c r="AX479" s="33"/>
      <c r="AY479" s="33"/>
      <c r="AZ479" s="33"/>
      <c r="BA479" s="24"/>
      <c r="BB479" s="24"/>
      <c r="BC479" s="49"/>
      <c r="BD479" s="33"/>
      <c r="BE479" s="33"/>
      <c r="BF479" s="33"/>
      <c r="BG479" s="24"/>
      <c r="BT479" s="34"/>
      <c r="BU479" s="22" t="s">
        <v>421</v>
      </c>
      <c r="BV479" s="22">
        <v>0</v>
      </c>
      <c r="BW479" s="31"/>
      <c r="BX479" s="31"/>
      <c r="BZ479" s="34"/>
    </row>
    <row r="480" spans="31:78" ht="15" x14ac:dyDescent="0.25">
      <c r="AE480" s="23" t="s">
        <v>464</v>
      </c>
      <c r="AF480">
        <v>2</v>
      </c>
      <c r="AG480" s="31"/>
      <c r="AH480" s="31"/>
      <c r="AJ480" s="34"/>
      <c r="AK480" s="33"/>
      <c r="AL480" s="33"/>
      <c r="AM480" s="24"/>
      <c r="AN480" s="24"/>
      <c r="AO480" s="24"/>
      <c r="AP480" s="24"/>
      <c r="AQ480" s="33"/>
      <c r="AR480" s="24"/>
      <c r="AS480" s="24"/>
      <c r="AT480" s="24"/>
      <c r="AU480" s="24"/>
      <c r="AV480" s="24"/>
      <c r="AW480" s="49"/>
      <c r="AX480" s="33"/>
      <c r="AY480" s="33"/>
      <c r="AZ480" s="33"/>
      <c r="BA480" s="24"/>
      <c r="BB480" s="24"/>
      <c r="BC480" s="49"/>
      <c r="BD480" s="33"/>
      <c r="BE480" s="33"/>
      <c r="BF480" s="33"/>
      <c r="BG480" s="24"/>
      <c r="BT480" s="34"/>
      <c r="BU480" s="22" t="s">
        <v>422</v>
      </c>
      <c r="BV480" s="22">
        <v>0</v>
      </c>
      <c r="BW480" s="31"/>
      <c r="BX480" s="31"/>
      <c r="BZ480" s="34"/>
    </row>
    <row r="481" spans="31:78" ht="15" x14ac:dyDescent="0.25">
      <c r="AE481" s="23" t="s">
        <v>465</v>
      </c>
      <c r="AF481">
        <v>4</v>
      </c>
      <c r="AG481" s="31"/>
      <c r="AH481" s="31"/>
      <c r="AJ481" s="34"/>
      <c r="AK481" s="24"/>
      <c r="AL481" s="33"/>
      <c r="AM481" s="24"/>
      <c r="AN481" s="24"/>
      <c r="AO481" s="24"/>
      <c r="AP481" s="24"/>
      <c r="AQ481" s="33"/>
      <c r="AR481" s="33"/>
      <c r="AS481" s="33"/>
      <c r="AT481" s="33"/>
      <c r="AU481" s="24"/>
      <c r="AV481" s="24"/>
      <c r="AW481" s="49"/>
      <c r="AX481" s="33"/>
      <c r="AY481" s="33"/>
      <c r="AZ481" s="33"/>
      <c r="BA481" s="24"/>
      <c r="BB481" s="24"/>
      <c r="BC481" s="49"/>
      <c r="BD481" s="33"/>
      <c r="BE481" s="33"/>
      <c r="BF481" s="33"/>
      <c r="BG481" s="24"/>
      <c r="BT481" s="34"/>
      <c r="BU481" s="23" t="s">
        <v>423</v>
      </c>
      <c r="BV481" s="22">
        <v>0</v>
      </c>
      <c r="BW481" s="31"/>
      <c r="BX481" s="31"/>
      <c r="BZ481" s="34"/>
    </row>
    <row r="482" spans="31:78" ht="15" x14ac:dyDescent="0.25">
      <c r="AE482" s="23" t="s">
        <v>466</v>
      </c>
      <c r="AF482">
        <v>6</v>
      </c>
      <c r="AG482" s="31"/>
      <c r="AH482" s="31"/>
      <c r="AJ482" s="34"/>
      <c r="AK482" s="33"/>
      <c r="AL482" s="33"/>
      <c r="AM482" s="24"/>
      <c r="AN482" s="24"/>
      <c r="AO482" s="24"/>
      <c r="AP482" s="24"/>
      <c r="AQ482" s="49"/>
      <c r="AR482" s="33"/>
      <c r="AS482" s="33"/>
      <c r="AT482" s="33"/>
      <c r="AU482" s="24"/>
      <c r="AV482" s="24"/>
      <c r="AW482" s="49"/>
      <c r="AX482" s="33"/>
      <c r="AY482" s="33"/>
      <c r="AZ482" s="33"/>
      <c r="BA482" s="24"/>
      <c r="BB482" s="24"/>
      <c r="BC482" s="49"/>
      <c r="BD482" s="33"/>
      <c r="BE482" s="33"/>
      <c r="BF482" s="33"/>
      <c r="BG482" s="24"/>
      <c r="BT482" s="34"/>
      <c r="BU482" s="22" t="s">
        <v>424</v>
      </c>
      <c r="BV482" s="22">
        <v>11</v>
      </c>
      <c r="BW482" s="31"/>
      <c r="BX482" s="31"/>
      <c r="BZ482" s="34"/>
    </row>
    <row r="483" spans="31:78" ht="15" x14ac:dyDescent="0.25">
      <c r="AE483" s="23" t="s">
        <v>467</v>
      </c>
      <c r="AF483">
        <v>3</v>
      </c>
      <c r="AG483" s="31"/>
      <c r="AH483" s="31"/>
      <c r="AJ483" s="34"/>
      <c r="AK483" s="33"/>
      <c r="AL483" s="33"/>
      <c r="AM483" s="24"/>
      <c r="AN483" s="24"/>
      <c r="AO483" s="24"/>
      <c r="AP483" s="24"/>
      <c r="AQ483" s="49"/>
      <c r="AR483" s="33"/>
      <c r="AS483" s="33"/>
      <c r="AT483" s="33"/>
      <c r="AU483" s="24"/>
      <c r="AV483" s="24"/>
      <c r="AW483" s="49"/>
      <c r="AX483" s="33"/>
      <c r="AY483" s="33"/>
      <c r="AZ483" s="33"/>
      <c r="BA483" s="24"/>
      <c r="BB483" s="24"/>
      <c r="BC483" s="49"/>
      <c r="BD483" s="33"/>
      <c r="BE483" s="33"/>
      <c r="BF483" s="33"/>
      <c r="BG483" s="24"/>
      <c r="BT483" s="34"/>
      <c r="BU483" s="23" t="s">
        <v>425</v>
      </c>
      <c r="BV483" s="22">
        <v>15</v>
      </c>
      <c r="BW483" s="31"/>
      <c r="BX483" s="31"/>
      <c r="BZ483" s="34"/>
    </row>
    <row r="484" spans="31:78" ht="15" x14ac:dyDescent="0.25">
      <c r="AE484" s="23" t="s">
        <v>468</v>
      </c>
      <c r="AF484">
        <v>9</v>
      </c>
      <c r="AG484" s="31"/>
      <c r="AH484" s="31"/>
      <c r="AJ484" s="34"/>
      <c r="AK484" s="33"/>
      <c r="AL484" s="33"/>
      <c r="AM484" s="24"/>
      <c r="AN484" s="24"/>
      <c r="AO484" s="24"/>
      <c r="AP484" s="24"/>
      <c r="AQ484" s="49"/>
      <c r="AR484" s="33"/>
      <c r="AS484" s="33"/>
      <c r="AT484" s="33"/>
      <c r="AU484" s="24"/>
      <c r="AV484" s="24"/>
      <c r="AW484" s="49"/>
      <c r="AX484" s="33"/>
      <c r="AY484" s="33"/>
      <c r="AZ484" s="33"/>
      <c r="BA484" s="24"/>
      <c r="BB484" s="24"/>
      <c r="BC484" s="49"/>
      <c r="BD484" s="33"/>
      <c r="BE484" s="33"/>
      <c r="BF484" s="33"/>
      <c r="BG484" s="24"/>
      <c r="BT484" s="34"/>
      <c r="BU484" s="23" t="s">
        <v>426</v>
      </c>
      <c r="BV484" s="22">
        <v>8</v>
      </c>
      <c r="BW484" s="31"/>
      <c r="BX484" s="31"/>
      <c r="BZ484" s="34"/>
    </row>
    <row r="485" spans="31:78" ht="15" x14ac:dyDescent="0.25">
      <c r="AE485" s="23" t="s">
        <v>469</v>
      </c>
      <c r="AF485">
        <v>3</v>
      </c>
      <c r="AG485" s="31"/>
      <c r="AH485" s="31"/>
      <c r="AJ485" s="34"/>
      <c r="AK485" s="33"/>
      <c r="AL485" s="33"/>
      <c r="AM485" s="24"/>
      <c r="AN485" s="24"/>
      <c r="AO485" s="24"/>
      <c r="AP485" s="24"/>
      <c r="AQ485" s="49"/>
      <c r="AR485" s="33"/>
      <c r="AS485" s="33"/>
      <c r="AT485" s="33"/>
      <c r="AU485" s="24"/>
      <c r="AV485" s="24"/>
      <c r="AW485" s="25"/>
      <c r="AX485" s="33"/>
      <c r="AY485" s="24"/>
      <c r="AZ485" s="24"/>
      <c r="BA485" s="24"/>
      <c r="BB485" s="24"/>
      <c r="BC485" s="25"/>
      <c r="BD485" s="33"/>
      <c r="BE485" s="24"/>
      <c r="BF485" s="24"/>
      <c r="BG485" s="24"/>
      <c r="BT485" s="34"/>
      <c r="BU485" s="23" t="s">
        <v>427</v>
      </c>
      <c r="BV485" s="22">
        <v>0</v>
      </c>
      <c r="BW485" s="31"/>
      <c r="BX485" s="31"/>
      <c r="BZ485" s="34"/>
    </row>
    <row r="486" spans="31:78" ht="15" x14ac:dyDescent="0.25">
      <c r="AE486" s="23" t="s">
        <v>470</v>
      </c>
      <c r="AF486">
        <v>3</v>
      </c>
      <c r="AG486" s="31"/>
      <c r="AH486" s="31"/>
      <c r="AJ486" s="34"/>
      <c r="AK486" s="33"/>
      <c r="AL486" s="33"/>
      <c r="AM486" s="24"/>
      <c r="AN486" s="24"/>
      <c r="AO486" s="24"/>
      <c r="AP486" s="24"/>
      <c r="AQ486" s="49"/>
      <c r="AR486" s="33"/>
      <c r="AS486" s="33"/>
      <c r="AT486" s="33"/>
      <c r="AU486" s="24"/>
      <c r="AV486" s="24"/>
      <c r="AW486" s="49"/>
      <c r="AX486" s="33"/>
      <c r="AY486" s="24"/>
      <c r="AZ486" s="24"/>
      <c r="BA486" s="24"/>
      <c r="BB486" s="24"/>
      <c r="BC486" s="49"/>
      <c r="BD486" s="33"/>
      <c r="BE486" s="24"/>
      <c r="BF486" s="24"/>
      <c r="BG486" s="24"/>
      <c r="BT486" s="34"/>
      <c r="BU486" s="23" t="s">
        <v>428</v>
      </c>
      <c r="BV486" s="22">
        <v>1</v>
      </c>
      <c r="BW486" s="31"/>
      <c r="BX486" s="31"/>
      <c r="BZ486" s="34"/>
    </row>
    <row r="487" spans="31:78" ht="15" x14ac:dyDescent="0.25">
      <c r="AE487" s="23" t="s">
        <v>471</v>
      </c>
      <c r="AF487">
        <v>5</v>
      </c>
      <c r="AG487" s="31"/>
      <c r="AH487" s="31"/>
      <c r="AJ487" s="34"/>
      <c r="AK487" s="33"/>
      <c r="AL487" s="33"/>
      <c r="AM487" s="24"/>
      <c r="AN487" s="24"/>
      <c r="AO487" s="24"/>
      <c r="AP487" s="24"/>
      <c r="AQ487" s="49"/>
      <c r="AR487" s="33"/>
      <c r="AS487" s="33"/>
      <c r="AT487" s="33"/>
      <c r="AU487" s="24"/>
      <c r="AV487" s="24"/>
      <c r="AW487" s="49"/>
      <c r="AX487" s="33"/>
      <c r="AY487" s="24"/>
      <c r="AZ487" s="24"/>
      <c r="BA487" s="24"/>
      <c r="BB487" s="24"/>
      <c r="BC487" s="49"/>
      <c r="BD487" s="33"/>
      <c r="BE487" s="24"/>
      <c r="BF487" s="24"/>
      <c r="BG487" s="24"/>
      <c r="BT487" s="34"/>
      <c r="BU487" s="23" t="s">
        <v>429</v>
      </c>
      <c r="BV487" s="22">
        <v>3</v>
      </c>
      <c r="BW487" s="31"/>
      <c r="BX487" s="31"/>
      <c r="BZ487" s="34"/>
    </row>
    <row r="488" spans="31:78" ht="15" x14ac:dyDescent="0.25">
      <c r="AE488" s="23" t="s">
        <v>472</v>
      </c>
      <c r="AF488">
        <v>1</v>
      </c>
      <c r="AJ488" s="34"/>
      <c r="AK488" s="33"/>
      <c r="AL488" s="33"/>
      <c r="AM488" s="24"/>
      <c r="AN488" s="24"/>
      <c r="AO488" s="24"/>
      <c r="AP488" s="24"/>
      <c r="AQ488" s="49"/>
      <c r="AR488" s="33"/>
      <c r="AS488" s="33"/>
      <c r="AT488" s="33"/>
      <c r="AU488" s="24"/>
      <c r="AV488" s="24"/>
      <c r="AW488" s="49"/>
      <c r="AX488" s="33"/>
      <c r="AY488" s="24"/>
      <c r="AZ488" s="24"/>
      <c r="BA488" s="24"/>
      <c r="BB488" s="24"/>
      <c r="BC488" s="49"/>
      <c r="BD488" s="33"/>
      <c r="BE488" s="24"/>
      <c r="BF488" s="24"/>
      <c r="BG488" s="24"/>
      <c r="BT488" s="34"/>
      <c r="BU488" s="23" t="s">
        <v>430</v>
      </c>
      <c r="BV488" s="22">
        <v>8</v>
      </c>
      <c r="BW488" s="31"/>
      <c r="BX488" s="31"/>
      <c r="BZ488" s="34"/>
    </row>
    <row r="489" spans="31:78" ht="15" x14ac:dyDescent="0.25">
      <c r="AE489" s="23" t="s">
        <v>362</v>
      </c>
      <c r="AF489">
        <v>2</v>
      </c>
      <c r="AJ489" s="34"/>
      <c r="AK489" s="33"/>
      <c r="AL489" s="33"/>
      <c r="AM489" s="24"/>
      <c r="AN489" s="24"/>
      <c r="AO489" s="24"/>
      <c r="AP489" s="24"/>
      <c r="AQ489" s="49"/>
      <c r="AR489" s="33"/>
      <c r="AS489" s="33"/>
      <c r="AT489" s="33"/>
      <c r="AU489" s="24"/>
      <c r="AV489" s="24"/>
      <c r="AW489" s="49"/>
      <c r="AX489" s="33"/>
      <c r="AY489" s="24"/>
      <c r="AZ489" s="24"/>
      <c r="BA489" s="24"/>
      <c r="BB489" s="24"/>
      <c r="BC489" s="49"/>
      <c r="BD489" s="33"/>
      <c r="BE489" s="24"/>
      <c r="BF489" s="24"/>
      <c r="BG489" s="24"/>
      <c r="BT489" s="34"/>
      <c r="BU489" s="23" t="s">
        <v>431</v>
      </c>
      <c r="BV489" s="22">
        <v>8</v>
      </c>
      <c r="BW489" s="31"/>
      <c r="BX489" s="31"/>
      <c r="BZ489" s="34"/>
    </row>
    <row r="490" spans="31:78" ht="15" x14ac:dyDescent="0.25">
      <c r="AE490" s="23" t="s">
        <v>473</v>
      </c>
      <c r="AF490">
        <v>0</v>
      </c>
      <c r="AJ490" s="34"/>
      <c r="AK490" s="33"/>
      <c r="AL490" s="33"/>
      <c r="AM490" s="24"/>
      <c r="AN490" s="24"/>
      <c r="AO490" s="24"/>
      <c r="AP490" s="24"/>
      <c r="AQ490" s="49"/>
      <c r="AR490" s="33"/>
      <c r="AS490" s="33"/>
      <c r="AT490" s="33"/>
      <c r="AU490" s="24"/>
      <c r="AV490" s="24"/>
      <c r="AW490" s="49"/>
      <c r="AX490" s="33"/>
      <c r="AY490" s="24"/>
      <c r="AZ490" s="24"/>
      <c r="BA490" s="24"/>
      <c r="BB490" s="24"/>
      <c r="BC490" s="49"/>
      <c r="BD490" s="33"/>
      <c r="BE490" s="24"/>
      <c r="BF490" s="24"/>
      <c r="BG490" s="24"/>
      <c r="BT490" s="34"/>
      <c r="BU490" s="23" t="s">
        <v>432</v>
      </c>
      <c r="BV490" s="22">
        <v>5</v>
      </c>
      <c r="BW490" s="31"/>
      <c r="BX490" s="31"/>
      <c r="BZ490" s="34"/>
    </row>
    <row r="491" spans="31:78" ht="15" x14ac:dyDescent="0.25">
      <c r="AE491" s="23" t="s">
        <v>474</v>
      </c>
      <c r="AF491">
        <v>0</v>
      </c>
      <c r="AJ491" s="34"/>
      <c r="AK491" s="33"/>
      <c r="AL491" s="33"/>
      <c r="AM491" s="24"/>
      <c r="AN491" s="24"/>
      <c r="AO491" s="24"/>
      <c r="AP491" s="24"/>
      <c r="AQ491" s="49"/>
      <c r="AR491" s="33"/>
      <c r="AS491" s="33"/>
      <c r="AT491" s="33"/>
      <c r="AU491" s="24"/>
      <c r="AV491" s="24"/>
      <c r="AW491" s="49"/>
      <c r="AX491" s="33"/>
      <c r="AY491" s="24"/>
      <c r="AZ491" s="24"/>
      <c r="BA491" s="24"/>
      <c r="BB491" s="24"/>
      <c r="BC491" s="49"/>
      <c r="BD491" s="33"/>
      <c r="BE491" s="24"/>
      <c r="BF491" s="24"/>
      <c r="BG491" s="24"/>
      <c r="BT491" s="34"/>
      <c r="BU491" s="23" t="s">
        <v>433</v>
      </c>
      <c r="BV491" s="22">
        <v>0</v>
      </c>
      <c r="BW491" s="31"/>
      <c r="BX491" s="31"/>
      <c r="BZ491" s="34"/>
    </row>
    <row r="492" spans="31:78" ht="15" x14ac:dyDescent="0.25">
      <c r="AE492" s="23" t="s">
        <v>475</v>
      </c>
      <c r="AF492">
        <v>4</v>
      </c>
      <c r="AJ492" s="34"/>
      <c r="AK492" s="24"/>
      <c r="AL492" s="24"/>
      <c r="AM492" s="24"/>
      <c r="AN492" s="24"/>
      <c r="AO492" s="24"/>
      <c r="AP492" s="24"/>
      <c r="AQ492" s="49"/>
      <c r="AR492" s="33"/>
      <c r="AS492" s="33"/>
      <c r="AT492" s="33"/>
      <c r="AU492" s="24"/>
      <c r="AV492" s="24"/>
      <c r="AW492" s="49"/>
      <c r="AX492" s="33"/>
      <c r="AY492" s="24"/>
      <c r="AZ492" s="24"/>
      <c r="BA492" s="24"/>
      <c r="BB492" s="24"/>
      <c r="BC492" s="49"/>
      <c r="BD492" s="33"/>
      <c r="BE492" s="24"/>
      <c r="BF492" s="24"/>
      <c r="BG492" s="24"/>
      <c r="BT492" s="34"/>
      <c r="BU492" s="23" t="s">
        <v>434</v>
      </c>
      <c r="BV492" s="22">
        <v>6</v>
      </c>
      <c r="BW492" s="31"/>
      <c r="BX492" s="31"/>
      <c r="BZ492" s="34"/>
    </row>
    <row r="493" spans="31:78" x14ac:dyDescent="0.2">
      <c r="AE493" s="34"/>
      <c r="AF493" s="34"/>
      <c r="AG493" s="34"/>
      <c r="AH493" s="34"/>
      <c r="AI493" s="34"/>
      <c r="AJ493" s="34"/>
      <c r="AK493" s="24"/>
      <c r="AL493" s="24"/>
      <c r="AM493" s="24"/>
      <c r="AN493" s="24"/>
      <c r="AO493" s="24"/>
      <c r="AP493" s="24"/>
      <c r="AQ493" s="49"/>
      <c r="AR493" s="33"/>
      <c r="AS493" s="33"/>
      <c r="AT493" s="33"/>
      <c r="AU493" s="24"/>
      <c r="AV493" s="24"/>
      <c r="AW493" s="49"/>
      <c r="AX493" s="33"/>
      <c r="AY493" s="24"/>
      <c r="AZ493" s="24"/>
      <c r="BA493" s="24"/>
      <c r="BB493" s="24"/>
      <c r="BC493" s="49"/>
      <c r="BD493" s="33"/>
      <c r="BE493" s="24"/>
      <c r="BF493" s="24"/>
      <c r="BG493" s="24"/>
      <c r="BT493" s="34"/>
      <c r="BU493" s="34"/>
      <c r="BV493" s="34"/>
      <c r="BW493" s="34"/>
      <c r="BX493" s="34"/>
      <c r="BY493" s="34"/>
      <c r="BZ493" s="34"/>
    </row>
    <row r="494" spans="31:78" x14ac:dyDescent="0.2">
      <c r="AE494" s="31" t="s">
        <v>100</v>
      </c>
      <c r="AF494" s="32" t="s">
        <v>67</v>
      </c>
      <c r="AG494" s="31"/>
      <c r="AH494" s="31"/>
      <c r="AJ494" s="34"/>
      <c r="AK494" s="24"/>
      <c r="AL494" s="24"/>
      <c r="AM494" s="24"/>
      <c r="AN494" s="24"/>
      <c r="AO494" s="24"/>
      <c r="AP494" s="24"/>
      <c r="AQ494" s="25"/>
      <c r="AR494" s="33"/>
      <c r="AS494" s="24"/>
      <c r="AT494" s="24"/>
      <c r="AU494" s="24"/>
      <c r="AV494" s="24"/>
      <c r="AW494" s="49"/>
      <c r="AX494" s="33"/>
      <c r="AY494" s="24"/>
      <c r="AZ494" s="24"/>
      <c r="BA494" s="24"/>
      <c r="BB494" s="24"/>
      <c r="BC494" s="49"/>
      <c r="BD494" s="33"/>
      <c r="BE494" s="24"/>
      <c r="BF494" s="24"/>
      <c r="BG494" s="24"/>
      <c r="BT494" s="34"/>
      <c r="BU494" s="19" t="s">
        <v>100</v>
      </c>
      <c r="BV494" s="35" t="s">
        <v>61</v>
      </c>
      <c r="BZ494" s="34"/>
    </row>
    <row r="495" spans="31:78" x14ac:dyDescent="0.2">
      <c r="AE495" s="31" t="s">
        <v>101</v>
      </c>
      <c r="AF495" s="12" t="s">
        <v>22</v>
      </c>
      <c r="AG495" s="31"/>
      <c r="AH495" s="31"/>
      <c r="AJ495" s="34"/>
      <c r="AK495" s="24"/>
      <c r="AL495" s="24"/>
      <c r="AM495" s="24"/>
      <c r="AN495" s="24"/>
      <c r="AO495" s="24"/>
      <c r="AP495" s="24"/>
      <c r="AQ495" s="49"/>
      <c r="AR495" s="33"/>
      <c r="AS495" s="24"/>
      <c r="AT495" s="24"/>
      <c r="AU495" s="24"/>
      <c r="AV495" s="24"/>
      <c r="AW495" s="49"/>
      <c r="AX495" s="33"/>
      <c r="AY495" s="24"/>
      <c r="AZ495" s="24"/>
      <c r="BA495" s="24"/>
      <c r="BB495" s="24"/>
      <c r="BC495" s="49"/>
      <c r="BD495" s="33"/>
      <c r="BE495" s="24"/>
      <c r="BF495" s="24"/>
      <c r="BG495" s="24"/>
      <c r="BT495" s="34"/>
      <c r="BV495" s="12" t="s">
        <v>22</v>
      </c>
      <c r="BZ495" s="34"/>
    </row>
    <row r="496" spans="31:78" x14ac:dyDescent="0.2">
      <c r="AE496" s="31" t="s">
        <v>102</v>
      </c>
      <c r="AF496" s="31" t="s">
        <v>71</v>
      </c>
      <c r="AG496" s="31" t="s">
        <v>103</v>
      </c>
      <c r="AH496" s="31" t="s">
        <v>104</v>
      </c>
      <c r="AJ496" s="34"/>
      <c r="AK496" s="24"/>
      <c r="AL496" s="24"/>
      <c r="AM496" s="24"/>
      <c r="AN496" s="24"/>
      <c r="AO496" s="24"/>
      <c r="AP496" s="24"/>
      <c r="AQ496" s="49"/>
      <c r="AR496" s="33"/>
      <c r="AS496" s="24"/>
      <c r="AT496" s="24"/>
      <c r="AU496" s="24"/>
      <c r="AV496" s="24"/>
      <c r="AW496" s="49"/>
      <c r="AX496" s="33"/>
      <c r="AY496" s="24"/>
      <c r="AZ496" s="24"/>
      <c r="BA496" s="24"/>
      <c r="BB496" s="24"/>
      <c r="BC496" s="49"/>
      <c r="BD496" s="33"/>
      <c r="BE496" s="24"/>
      <c r="BF496" s="24"/>
      <c r="BG496" s="24"/>
      <c r="BT496" s="34"/>
      <c r="BU496" s="31" t="s">
        <v>102</v>
      </c>
      <c r="BV496" s="31" t="s">
        <v>71</v>
      </c>
      <c r="BW496" s="31" t="s">
        <v>103</v>
      </c>
      <c r="BX496" s="31" t="s">
        <v>104</v>
      </c>
      <c r="BZ496" s="34"/>
    </row>
    <row r="497" spans="31:78" ht="15" x14ac:dyDescent="0.25">
      <c r="AE497" s="23" t="s">
        <v>453</v>
      </c>
      <c r="AF497">
        <v>0</v>
      </c>
      <c r="AG497" s="31" t="s">
        <v>106</v>
      </c>
      <c r="AH497" s="31">
        <f>SUM(AF497:AF521)</f>
        <v>2</v>
      </c>
      <c r="AJ497" s="34"/>
      <c r="AK497" s="24"/>
      <c r="AL497" s="24"/>
      <c r="AM497" s="24"/>
      <c r="AN497" s="24"/>
      <c r="AO497" s="24"/>
      <c r="AP497" s="24"/>
      <c r="AQ497" s="49"/>
      <c r="AR497" s="33"/>
      <c r="AS497" s="24"/>
      <c r="AT497" s="24"/>
      <c r="AU497" s="24"/>
      <c r="AV497" s="24"/>
      <c r="AW497" s="49"/>
      <c r="AX497" s="33"/>
      <c r="AY497" s="24"/>
      <c r="AZ497" s="24"/>
      <c r="BA497" s="24"/>
      <c r="BB497" s="24"/>
      <c r="BC497" s="49"/>
      <c r="BD497" s="33"/>
      <c r="BE497" s="24"/>
      <c r="BF497" s="24"/>
      <c r="BG497" s="24"/>
      <c r="BT497" s="34"/>
      <c r="BU497" s="23" t="s">
        <v>412</v>
      </c>
      <c r="BV497" s="22">
        <v>0</v>
      </c>
      <c r="BW497" s="31" t="s">
        <v>106</v>
      </c>
      <c r="BX497" s="31">
        <f>SUM(BV497:BV521)</f>
        <v>1</v>
      </c>
      <c r="BZ497" s="34"/>
    </row>
    <row r="498" spans="31:78" ht="15" x14ac:dyDescent="0.25">
      <c r="AE498" s="23" t="s">
        <v>454</v>
      </c>
      <c r="AF498">
        <v>0</v>
      </c>
      <c r="AG498" s="31" t="s">
        <v>115</v>
      </c>
      <c r="AH498" s="31">
        <f>MIN(AF497:AF521)</f>
        <v>0</v>
      </c>
      <c r="AJ498" s="34"/>
      <c r="AK498" s="24"/>
      <c r="AL498" s="24"/>
      <c r="AM498" s="24"/>
      <c r="AN498" s="24"/>
      <c r="AO498" s="24"/>
      <c r="AP498" s="24"/>
      <c r="AQ498" s="49"/>
      <c r="AR498" s="33"/>
      <c r="AS498" s="24"/>
      <c r="AT498" s="24"/>
      <c r="AU498" s="24"/>
      <c r="AV498" s="24"/>
      <c r="AW498" s="49"/>
      <c r="AX498" s="33"/>
      <c r="AY498" s="24"/>
      <c r="AZ498" s="24"/>
      <c r="BA498" s="24"/>
      <c r="BB498" s="24"/>
      <c r="BC498" s="49"/>
      <c r="BD498" s="33"/>
      <c r="BE498" s="24"/>
      <c r="BF498" s="24"/>
      <c r="BG498" s="24"/>
      <c r="BT498" s="34"/>
      <c r="BU498" s="22" t="s">
        <v>244</v>
      </c>
      <c r="BV498" s="22">
        <v>0</v>
      </c>
      <c r="BW498" s="31" t="s">
        <v>115</v>
      </c>
      <c r="BX498" s="31">
        <f>MIN(BV497:BV521)</f>
        <v>0</v>
      </c>
      <c r="BZ498" s="34"/>
    </row>
    <row r="499" spans="31:78" ht="15" x14ac:dyDescent="0.25">
      <c r="AE499" s="23" t="s">
        <v>455</v>
      </c>
      <c r="AF499">
        <v>0</v>
      </c>
      <c r="AG499" s="31" t="s">
        <v>122</v>
      </c>
      <c r="AH499" s="31">
        <f>MAX(AF497:AF521)</f>
        <v>1</v>
      </c>
      <c r="AJ499" s="34"/>
      <c r="AK499" s="24"/>
      <c r="AL499" s="24"/>
      <c r="AM499" s="24"/>
      <c r="AN499" s="24"/>
      <c r="AO499" s="24"/>
      <c r="AP499" s="24"/>
      <c r="AQ499" s="49"/>
      <c r="AR499" s="33"/>
      <c r="AS499" s="24"/>
      <c r="AT499" s="24"/>
      <c r="AU499" s="24"/>
      <c r="AV499" s="24"/>
      <c r="AW499" s="49"/>
      <c r="AX499" s="33"/>
      <c r="AY499" s="24"/>
      <c r="AZ499" s="24"/>
      <c r="BA499" s="24"/>
      <c r="BB499" s="24"/>
      <c r="BC499" s="49"/>
      <c r="BD499" s="33"/>
      <c r="BE499" s="24"/>
      <c r="BF499" s="24"/>
      <c r="BG499" s="24"/>
      <c r="BT499" s="34"/>
      <c r="BU499" s="22" t="s">
        <v>119</v>
      </c>
      <c r="BV499" s="22">
        <v>0</v>
      </c>
      <c r="BW499" s="31" t="s">
        <v>122</v>
      </c>
      <c r="BX499" s="31">
        <f>MAX(BV497:BV521)</f>
        <v>1</v>
      </c>
      <c r="BZ499" s="34"/>
    </row>
    <row r="500" spans="31:78" ht="15" x14ac:dyDescent="0.25">
      <c r="AE500" s="23" t="s">
        <v>456</v>
      </c>
      <c r="AF500">
        <v>1</v>
      </c>
      <c r="AG500" s="31" t="s">
        <v>129</v>
      </c>
      <c r="AH500" s="31">
        <f>VAR(AF497:AF521)</f>
        <v>7.6666666666666675E-2</v>
      </c>
      <c r="AJ500" s="34"/>
      <c r="AK500" s="24"/>
      <c r="AL500" s="24"/>
      <c r="AM500" s="24"/>
      <c r="AN500" s="24"/>
      <c r="AO500" s="24"/>
      <c r="AP500" s="24"/>
      <c r="AQ500" s="49"/>
      <c r="AR500" s="33"/>
      <c r="AS500" s="24"/>
      <c r="AT500" s="24"/>
      <c r="AU500" s="24"/>
      <c r="AV500" s="24"/>
      <c r="AW500" s="49"/>
      <c r="AX500" s="33"/>
      <c r="AY500" s="24"/>
      <c r="AZ500" s="24"/>
      <c r="BA500" s="24"/>
      <c r="BB500" s="24"/>
      <c r="BC500" s="49"/>
      <c r="BD500" s="33"/>
      <c r="BE500" s="24"/>
      <c r="BF500" s="24"/>
      <c r="BG500" s="24"/>
      <c r="BT500" s="34"/>
      <c r="BU500" s="22" t="s">
        <v>413</v>
      </c>
      <c r="BV500" s="22">
        <v>0</v>
      </c>
      <c r="BW500" s="31" t="s">
        <v>129</v>
      </c>
      <c r="BX500" s="31">
        <f>VAR(BV497:BV521)</f>
        <v>0.04</v>
      </c>
      <c r="BZ500" s="34"/>
    </row>
    <row r="501" spans="31:78" ht="15" x14ac:dyDescent="0.25">
      <c r="AE501" s="23" t="s">
        <v>259</v>
      </c>
      <c r="AF501">
        <v>0</v>
      </c>
      <c r="AG501" s="31" t="s">
        <v>138</v>
      </c>
      <c r="AH501" s="31">
        <f>AVERAGE(AF497:AF521)</f>
        <v>0.08</v>
      </c>
      <c r="AJ501" s="34"/>
      <c r="AK501" s="24"/>
      <c r="AL501" s="24"/>
      <c r="AM501" s="24"/>
      <c r="AN501" s="24"/>
      <c r="AO501" s="24"/>
      <c r="AP501" s="24"/>
      <c r="AQ501" s="49"/>
      <c r="AR501" s="33"/>
      <c r="AS501" s="24"/>
      <c r="AT501" s="24"/>
      <c r="AU501" s="24"/>
      <c r="AV501" s="24"/>
      <c r="AW501" s="49"/>
      <c r="AX501" s="33"/>
      <c r="AY501" s="24"/>
      <c r="AZ501" s="24"/>
      <c r="BA501" s="24"/>
      <c r="BB501" s="24"/>
      <c r="BC501" s="49"/>
      <c r="BD501" s="33"/>
      <c r="BE501" s="24"/>
      <c r="BF501" s="24"/>
      <c r="BG501" s="24"/>
      <c r="BT501" s="34"/>
      <c r="BU501" s="22" t="s">
        <v>414</v>
      </c>
      <c r="BV501" s="22">
        <v>0</v>
      </c>
      <c r="BW501" s="31" t="s">
        <v>138</v>
      </c>
      <c r="BX501" s="31">
        <f>AVERAGE(BV497:BV521)</f>
        <v>0.04</v>
      </c>
      <c r="BZ501" s="34"/>
    </row>
    <row r="502" spans="31:78" ht="15" x14ac:dyDescent="0.25">
      <c r="AE502" s="23" t="s">
        <v>457</v>
      </c>
      <c r="AF502">
        <v>0</v>
      </c>
      <c r="AG502" s="31" t="s">
        <v>144</v>
      </c>
      <c r="AH502" s="31">
        <f>STDEV(AF497:AF521)</f>
        <v>0.27688746209726917</v>
      </c>
      <c r="AJ502" s="34"/>
      <c r="AK502" s="24"/>
      <c r="AL502" s="24"/>
      <c r="AM502" s="24"/>
      <c r="AN502" s="24"/>
      <c r="AO502" s="24"/>
      <c r="AP502" s="24"/>
      <c r="AQ502" s="49"/>
      <c r="AR502" s="33"/>
      <c r="AS502" s="24"/>
      <c r="AT502" s="24"/>
      <c r="AU502" s="24"/>
      <c r="AV502" s="24"/>
      <c r="AW502" s="49"/>
      <c r="AX502" s="33"/>
      <c r="AY502" s="24"/>
      <c r="AZ502" s="24"/>
      <c r="BA502" s="24"/>
      <c r="BB502" s="24"/>
      <c r="BC502" s="49"/>
      <c r="BD502" s="33"/>
      <c r="BE502" s="24"/>
      <c r="BF502" s="24"/>
      <c r="BG502" s="24"/>
      <c r="BT502" s="34"/>
      <c r="BU502" s="22" t="s">
        <v>415</v>
      </c>
      <c r="BV502" s="22">
        <v>0</v>
      </c>
      <c r="BW502" s="31" t="s">
        <v>144</v>
      </c>
      <c r="BX502" s="31">
        <f>STDEV(BV497:BV521)</f>
        <v>0.2</v>
      </c>
      <c r="BZ502" s="34"/>
    </row>
    <row r="503" spans="31:78" ht="15" x14ac:dyDescent="0.25">
      <c r="AE503" s="23" t="s">
        <v>458</v>
      </c>
      <c r="AF503">
        <v>0</v>
      </c>
      <c r="AG503" s="31"/>
      <c r="AH503" s="31"/>
      <c r="AJ503" s="34"/>
      <c r="AK503" s="24"/>
      <c r="AL503" s="24"/>
      <c r="AM503" s="24"/>
      <c r="AN503" s="24"/>
      <c r="AO503" s="24"/>
      <c r="AP503" s="24"/>
      <c r="AQ503" s="49"/>
      <c r="AR503" s="33"/>
      <c r="AS503" s="24"/>
      <c r="AT503" s="24"/>
      <c r="AU503" s="24"/>
      <c r="AV503" s="24"/>
      <c r="AW503" s="49"/>
      <c r="AX503" s="33"/>
      <c r="AY503" s="24"/>
      <c r="AZ503" s="24"/>
      <c r="BA503" s="24"/>
      <c r="BB503" s="24"/>
      <c r="BC503" s="49"/>
      <c r="BD503" s="33"/>
      <c r="BE503" s="24"/>
      <c r="BF503" s="24"/>
      <c r="BG503" s="24"/>
      <c r="BT503" s="34"/>
      <c r="BU503" s="22" t="s">
        <v>416</v>
      </c>
      <c r="BV503" s="22">
        <v>0</v>
      </c>
      <c r="BW503" s="31"/>
      <c r="BX503" s="31"/>
      <c r="BZ503" s="34"/>
    </row>
    <row r="504" spans="31:78" ht="15" x14ac:dyDescent="0.25">
      <c r="AE504" s="23" t="s">
        <v>459</v>
      </c>
      <c r="AF504">
        <v>0</v>
      </c>
      <c r="AG504" s="31"/>
      <c r="AH504" s="31"/>
      <c r="AJ504" s="34"/>
      <c r="AK504" s="24"/>
      <c r="AL504" s="24"/>
      <c r="AM504" s="24"/>
      <c r="AN504" s="24"/>
      <c r="AO504" s="24"/>
      <c r="AP504" s="24"/>
      <c r="AQ504" s="49"/>
      <c r="AR504" s="33"/>
      <c r="AS504" s="24"/>
      <c r="AT504" s="24"/>
      <c r="AU504" s="24"/>
      <c r="AV504" s="24"/>
      <c r="AW504" s="49"/>
      <c r="AX504" s="33"/>
      <c r="AY504" s="24"/>
      <c r="AZ504" s="24"/>
      <c r="BA504" s="24"/>
      <c r="BB504" s="24"/>
      <c r="BC504" s="49"/>
      <c r="BD504" s="33"/>
      <c r="BE504" s="24"/>
      <c r="BF504" s="24"/>
      <c r="BG504" s="24"/>
      <c r="BT504" s="34"/>
      <c r="BU504" s="22" t="s">
        <v>417</v>
      </c>
      <c r="BV504" s="22">
        <v>0</v>
      </c>
      <c r="BW504" s="31"/>
      <c r="BX504" s="31"/>
      <c r="BZ504" s="34"/>
    </row>
    <row r="505" spans="31:78" ht="15" x14ac:dyDescent="0.25">
      <c r="AE505" s="23" t="s">
        <v>460</v>
      </c>
      <c r="AF505">
        <v>0</v>
      </c>
      <c r="AG505" s="33"/>
      <c r="AH505" s="33"/>
      <c r="AJ505" s="34"/>
      <c r="AK505" s="24"/>
      <c r="AL505" s="24"/>
      <c r="AM505" s="24"/>
      <c r="AN505" s="24"/>
      <c r="AO505" s="24"/>
      <c r="AP505" s="24"/>
      <c r="AQ505" s="49"/>
      <c r="AR505" s="33"/>
      <c r="AS505" s="24"/>
      <c r="AT505" s="24"/>
      <c r="AU505" s="24"/>
      <c r="AV505" s="24"/>
      <c r="AW505" s="49"/>
      <c r="AX505" s="33"/>
      <c r="AY505" s="24"/>
      <c r="AZ505" s="24"/>
      <c r="BA505" s="24"/>
      <c r="BB505" s="24"/>
      <c r="BC505" s="49"/>
      <c r="BD505" s="33"/>
      <c r="BE505" s="24"/>
      <c r="BF505" s="24"/>
      <c r="BG505" s="24"/>
      <c r="BT505" s="34"/>
      <c r="BU505" s="22" t="s">
        <v>418</v>
      </c>
      <c r="BV505" s="22">
        <v>0</v>
      </c>
      <c r="BW505" s="31"/>
      <c r="BX505" s="31"/>
      <c r="BZ505" s="34"/>
    </row>
    <row r="506" spans="31:78" ht="15" x14ac:dyDescent="0.25">
      <c r="AE506" s="23" t="s">
        <v>461</v>
      </c>
      <c r="AF506">
        <v>0</v>
      </c>
      <c r="AG506" s="31"/>
      <c r="AH506" s="31"/>
      <c r="AJ506" s="34"/>
      <c r="AK506" s="24"/>
      <c r="AL506" s="24"/>
      <c r="AM506" s="24"/>
      <c r="AN506" s="24"/>
      <c r="AO506" s="24"/>
      <c r="AP506" s="24"/>
      <c r="AQ506" s="49"/>
      <c r="AR506" s="33"/>
      <c r="AS506" s="24"/>
      <c r="AT506" s="24"/>
      <c r="AU506" s="24"/>
      <c r="AV506" s="24"/>
      <c r="AW506" s="49"/>
      <c r="AX506" s="33"/>
      <c r="AY506" s="24"/>
      <c r="AZ506" s="24"/>
      <c r="BA506" s="24"/>
      <c r="BB506" s="24"/>
      <c r="BC506" s="49"/>
      <c r="BD506" s="33"/>
      <c r="BE506" s="24"/>
      <c r="BF506" s="24"/>
      <c r="BG506" s="24"/>
      <c r="BT506" s="34"/>
      <c r="BU506" s="22" t="s">
        <v>419</v>
      </c>
      <c r="BV506" s="22">
        <v>0</v>
      </c>
      <c r="BW506" s="31"/>
      <c r="BX506" s="31"/>
      <c r="BZ506" s="34"/>
    </row>
    <row r="507" spans="31:78" ht="15" x14ac:dyDescent="0.25">
      <c r="AE507" s="23" t="s">
        <v>462</v>
      </c>
      <c r="AF507">
        <v>0</v>
      </c>
      <c r="AG507" s="24"/>
      <c r="AH507" s="24"/>
      <c r="AJ507" s="34"/>
      <c r="AK507" s="24"/>
      <c r="AL507" s="24"/>
      <c r="AM507" s="24"/>
      <c r="AN507" s="24"/>
      <c r="AO507" s="24"/>
      <c r="AP507" s="24"/>
      <c r="AQ507" s="49"/>
      <c r="AR507" s="33"/>
      <c r="AS507" s="24"/>
      <c r="AT507" s="24"/>
      <c r="AU507" s="24"/>
      <c r="AV507" s="24"/>
      <c r="AW507" s="49"/>
      <c r="AX507" s="33"/>
      <c r="AY507" s="24"/>
      <c r="AZ507" s="24"/>
      <c r="BA507" s="24"/>
      <c r="BB507" s="24"/>
      <c r="BC507" s="49"/>
      <c r="BD507" s="33"/>
      <c r="BE507" s="24"/>
      <c r="BF507" s="24"/>
      <c r="BG507" s="24"/>
      <c r="BT507" s="34"/>
      <c r="BU507" s="22" t="s">
        <v>420</v>
      </c>
      <c r="BV507" s="22">
        <v>0</v>
      </c>
      <c r="BW507" s="31"/>
      <c r="BX507" s="31"/>
      <c r="BZ507" s="34"/>
    </row>
    <row r="508" spans="31:78" ht="15" x14ac:dyDescent="0.25">
      <c r="AE508" s="23" t="s">
        <v>463</v>
      </c>
      <c r="AF508">
        <v>0</v>
      </c>
      <c r="AG508" s="31"/>
      <c r="AH508" s="31"/>
      <c r="AJ508" s="34"/>
      <c r="AK508" s="24"/>
      <c r="AL508" s="24"/>
      <c r="AM508" s="24"/>
      <c r="AN508" s="24"/>
      <c r="AO508" s="24"/>
      <c r="AP508" s="24"/>
      <c r="AQ508" s="49"/>
      <c r="AR508" s="33"/>
      <c r="AS508" s="24"/>
      <c r="AT508" s="24"/>
      <c r="AU508" s="24"/>
      <c r="AV508" s="24"/>
      <c r="AW508" s="49"/>
      <c r="AX508" s="33"/>
      <c r="AY508" s="24"/>
      <c r="AZ508" s="24"/>
      <c r="BA508" s="24"/>
      <c r="BB508" s="24"/>
      <c r="BC508" s="49"/>
      <c r="BD508" s="33"/>
      <c r="BE508" s="24"/>
      <c r="BF508" s="24"/>
      <c r="BG508" s="24"/>
      <c r="BT508" s="34"/>
      <c r="BU508" s="22" t="s">
        <v>421</v>
      </c>
      <c r="BV508" s="22">
        <v>0</v>
      </c>
      <c r="BW508" s="31"/>
      <c r="BX508" s="31"/>
      <c r="BZ508" s="34"/>
    </row>
    <row r="509" spans="31:78" ht="15" x14ac:dyDescent="0.25">
      <c r="AE509" s="23" t="s">
        <v>464</v>
      </c>
      <c r="AF509">
        <v>0</v>
      </c>
      <c r="AG509" s="31"/>
      <c r="AH509" s="31"/>
      <c r="AJ509" s="34"/>
      <c r="AK509" s="24"/>
      <c r="AL509" s="24"/>
      <c r="AM509" s="24"/>
      <c r="AN509" s="24"/>
      <c r="AO509" s="24"/>
      <c r="AP509" s="24"/>
      <c r="AQ509" s="49"/>
      <c r="AR509" s="33"/>
      <c r="AS509" s="24"/>
      <c r="AT509" s="24"/>
      <c r="AU509" s="24"/>
      <c r="AV509" s="24"/>
      <c r="AW509" s="49"/>
      <c r="AX509" s="33"/>
      <c r="AY509" s="24"/>
      <c r="AZ509" s="24"/>
      <c r="BA509" s="24"/>
      <c r="BB509" s="24"/>
      <c r="BC509" s="49"/>
      <c r="BD509" s="33"/>
      <c r="BE509" s="24"/>
      <c r="BF509" s="24"/>
      <c r="BG509" s="24"/>
      <c r="BT509" s="34"/>
      <c r="BU509" s="22" t="s">
        <v>422</v>
      </c>
      <c r="BV509" s="22">
        <v>0</v>
      </c>
      <c r="BW509" s="31"/>
      <c r="BX509" s="31"/>
      <c r="BZ509" s="34"/>
    </row>
    <row r="510" spans="31:78" ht="15" x14ac:dyDescent="0.25">
      <c r="AE510" s="23" t="s">
        <v>465</v>
      </c>
      <c r="AF510">
        <v>1</v>
      </c>
      <c r="AG510" s="31"/>
      <c r="AH510" s="31"/>
      <c r="AJ510" s="34"/>
      <c r="AK510" s="24"/>
      <c r="AL510" s="24"/>
      <c r="AM510" s="24"/>
      <c r="AN510" s="24"/>
      <c r="AO510" s="24"/>
      <c r="AP510" s="24"/>
      <c r="AQ510" s="49"/>
      <c r="AR510" s="33"/>
      <c r="AS510" s="24"/>
      <c r="AT510" s="24"/>
      <c r="AU510" s="24"/>
      <c r="AV510" s="24"/>
      <c r="AW510" s="49"/>
      <c r="AX510" s="33"/>
      <c r="AY510" s="24"/>
      <c r="AZ510" s="24"/>
      <c r="BA510" s="24"/>
      <c r="BB510" s="24"/>
      <c r="BC510" s="49"/>
      <c r="BD510" s="33"/>
      <c r="BE510" s="24"/>
      <c r="BF510" s="24"/>
      <c r="BG510" s="24"/>
      <c r="BT510" s="34"/>
      <c r="BU510" s="23" t="s">
        <v>423</v>
      </c>
      <c r="BV510" s="22">
        <v>1</v>
      </c>
      <c r="BW510" s="31"/>
      <c r="BX510" s="31"/>
      <c r="BZ510" s="34"/>
    </row>
    <row r="511" spans="31:78" ht="15" x14ac:dyDescent="0.25">
      <c r="AE511" s="23" t="s">
        <v>466</v>
      </c>
      <c r="AF511">
        <v>0</v>
      </c>
      <c r="AG511" s="31"/>
      <c r="AH511" s="31"/>
      <c r="AJ511" s="34"/>
      <c r="AK511" s="24"/>
      <c r="AL511" s="24"/>
      <c r="AM511" s="24"/>
      <c r="AN511" s="24"/>
      <c r="AO511" s="24"/>
      <c r="AP511" s="24"/>
      <c r="AQ511" s="49"/>
      <c r="AR511" s="33"/>
      <c r="AS511" s="24"/>
      <c r="AT511" s="24"/>
      <c r="AU511" s="24"/>
      <c r="AV511" s="24"/>
      <c r="AW511" s="49"/>
      <c r="AX511" s="33"/>
      <c r="AY511" s="24"/>
      <c r="AZ511" s="24"/>
      <c r="BA511" s="24"/>
      <c r="BB511" s="24"/>
      <c r="BC511" s="49"/>
      <c r="BD511" s="33"/>
      <c r="BE511" s="24"/>
      <c r="BF511" s="24"/>
      <c r="BG511" s="24"/>
      <c r="BT511" s="34"/>
      <c r="BU511" s="22" t="s">
        <v>424</v>
      </c>
      <c r="BV511" s="22">
        <v>0</v>
      </c>
      <c r="BW511" s="31"/>
      <c r="BX511" s="31"/>
      <c r="BZ511" s="34"/>
    </row>
    <row r="512" spans="31:78" ht="15" x14ac:dyDescent="0.25">
      <c r="AE512" s="23" t="s">
        <v>467</v>
      </c>
      <c r="AF512">
        <v>0</v>
      </c>
      <c r="AG512" s="31"/>
      <c r="AH512" s="31"/>
      <c r="AJ512" s="34"/>
      <c r="AK512" s="24"/>
      <c r="AL512" s="24"/>
      <c r="AM512" s="24"/>
      <c r="AN512" s="24"/>
      <c r="AO512" s="24"/>
      <c r="AP512" s="24"/>
      <c r="AQ512" s="49"/>
      <c r="AR512" s="33"/>
      <c r="AS512" s="24"/>
      <c r="AT512" s="24"/>
      <c r="AU512" s="24"/>
      <c r="AV512" s="24"/>
      <c r="AW512" s="49"/>
      <c r="AX512" s="33"/>
      <c r="AY512" s="24"/>
      <c r="AZ512" s="24"/>
      <c r="BA512" s="24"/>
      <c r="BB512" s="24"/>
      <c r="BC512" s="49"/>
      <c r="BD512" s="33"/>
      <c r="BE512" s="24"/>
      <c r="BF512" s="24"/>
      <c r="BG512" s="24"/>
      <c r="BT512" s="34"/>
      <c r="BU512" s="23" t="s">
        <v>425</v>
      </c>
      <c r="BV512" s="22">
        <v>0</v>
      </c>
      <c r="BW512" s="31"/>
      <c r="BX512" s="31"/>
      <c r="BZ512" s="34"/>
    </row>
    <row r="513" spans="31:78" ht="15" x14ac:dyDescent="0.25">
      <c r="AE513" s="23" t="s">
        <v>468</v>
      </c>
      <c r="AF513">
        <v>0</v>
      </c>
      <c r="AG513" s="31"/>
      <c r="AH513" s="31"/>
      <c r="AJ513" s="34"/>
      <c r="AK513" s="24"/>
      <c r="AL513" s="24"/>
      <c r="AM513" s="24"/>
      <c r="AN513" s="24"/>
      <c r="AO513" s="24"/>
      <c r="AP513" s="24"/>
      <c r="AQ513" s="49"/>
      <c r="AR513" s="33"/>
      <c r="AS513" s="24"/>
      <c r="AT513" s="24"/>
      <c r="AU513" s="24"/>
      <c r="AV513" s="24"/>
      <c r="AW513" s="49"/>
      <c r="AX513" s="33"/>
      <c r="AY513" s="24"/>
      <c r="AZ513" s="24"/>
      <c r="BA513" s="24"/>
      <c r="BB513" s="24"/>
      <c r="BC513" s="49"/>
      <c r="BD513" s="33"/>
      <c r="BE513" s="24"/>
      <c r="BF513" s="24"/>
      <c r="BG513" s="24"/>
      <c r="BT513" s="34"/>
      <c r="BU513" s="23" t="s">
        <v>426</v>
      </c>
      <c r="BV513" s="22">
        <v>0</v>
      </c>
      <c r="BW513" s="31"/>
      <c r="BX513" s="31"/>
      <c r="BZ513" s="34"/>
    </row>
    <row r="514" spans="31:78" ht="15" x14ac:dyDescent="0.25">
      <c r="AE514" s="23" t="s">
        <v>469</v>
      </c>
      <c r="AF514">
        <v>0</v>
      </c>
      <c r="AG514" s="31"/>
      <c r="AH514" s="31"/>
      <c r="AJ514" s="34"/>
      <c r="AK514" s="24"/>
      <c r="AL514" s="24"/>
      <c r="AM514" s="24"/>
      <c r="AN514" s="24"/>
      <c r="AO514" s="24"/>
      <c r="AP514" s="24"/>
      <c r="AQ514" s="49"/>
      <c r="AR514" s="33"/>
      <c r="AS514" s="24"/>
      <c r="AT514" s="24"/>
      <c r="AU514" s="24"/>
      <c r="AV514" s="24"/>
      <c r="AW514" s="49"/>
      <c r="AX514" s="33"/>
      <c r="AY514" s="24"/>
      <c r="AZ514" s="24"/>
      <c r="BA514" s="24"/>
      <c r="BB514" s="24"/>
      <c r="BC514" s="49"/>
      <c r="BD514" s="33"/>
      <c r="BE514" s="24"/>
      <c r="BF514" s="24"/>
      <c r="BG514" s="24"/>
      <c r="BT514" s="34"/>
      <c r="BU514" s="23" t="s">
        <v>427</v>
      </c>
      <c r="BV514" s="22">
        <v>0</v>
      </c>
      <c r="BW514" s="31"/>
      <c r="BX514" s="31"/>
      <c r="BZ514" s="34"/>
    </row>
    <row r="515" spans="31:78" ht="15" x14ac:dyDescent="0.25">
      <c r="AE515" s="23" t="s">
        <v>470</v>
      </c>
      <c r="AF515">
        <v>0</v>
      </c>
      <c r="AG515" s="31"/>
      <c r="AH515" s="31"/>
      <c r="AJ515" s="34"/>
      <c r="AK515" s="24"/>
      <c r="AL515" s="24"/>
      <c r="AM515" s="24"/>
      <c r="AN515" s="24"/>
      <c r="AO515" s="24"/>
      <c r="AP515" s="24"/>
      <c r="AQ515" s="49"/>
      <c r="AR515" s="33"/>
      <c r="AS515" s="24"/>
      <c r="AT515" s="24"/>
      <c r="AU515" s="24"/>
      <c r="AV515" s="24"/>
      <c r="AW515" s="49"/>
      <c r="AX515" s="33"/>
      <c r="AY515" s="24"/>
      <c r="AZ515" s="24"/>
      <c r="BA515" s="24"/>
      <c r="BB515" s="24"/>
      <c r="BC515" s="49"/>
      <c r="BD515" s="33"/>
      <c r="BE515" s="24"/>
      <c r="BF515" s="24"/>
      <c r="BG515" s="24"/>
      <c r="BT515" s="34"/>
      <c r="BU515" s="23" t="s">
        <v>428</v>
      </c>
      <c r="BV515" s="22">
        <v>0</v>
      </c>
      <c r="BW515" s="31"/>
      <c r="BX515" s="31"/>
      <c r="BZ515" s="34"/>
    </row>
    <row r="516" spans="31:78" ht="15" x14ac:dyDescent="0.25">
      <c r="AE516" s="23" t="s">
        <v>471</v>
      </c>
      <c r="AF516">
        <v>0</v>
      </c>
      <c r="AG516" s="31"/>
      <c r="AH516" s="31"/>
      <c r="AJ516" s="34"/>
      <c r="AK516" s="24"/>
      <c r="AL516" s="24"/>
      <c r="AM516" s="24"/>
      <c r="AN516" s="24"/>
      <c r="AO516" s="24"/>
      <c r="AP516" s="24"/>
      <c r="AQ516" s="49"/>
      <c r="AR516" s="33"/>
      <c r="AS516" s="24"/>
      <c r="AT516" s="24"/>
      <c r="AU516" s="24"/>
      <c r="AV516" s="24"/>
      <c r="AW516" s="49"/>
      <c r="AX516" s="33"/>
      <c r="AY516" s="24"/>
      <c r="AZ516" s="24"/>
      <c r="BA516" s="24"/>
      <c r="BB516" s="24"/>
      <c r="BC516" s="49"/>
      <c r="BD516" s="33"/>
      <c r="BE516" s="24"/>
      <c r="BF516" s="24"/>
      <c r="BG516" s="24"/>
      <c r="BT516" s="34"/>
      <c r="BU516" s="23" t="s">
        <v>429</v>
      </c>
      <c r="BV516" s="22">
        <v>0</v>
      </c>
      <c r="BW516" s="31"/>
      <c r="BX516" s="31"/>
      <c r="BZ516" s="34"/>
    </row>
    <row r="517" spans="31:78" ht="15" x14ac:dyDescent="0.25">
      <c r="AE517" s="23" t="s">
        <v>472</v>
      </c>
      <c r="AF517">
        <v>0</v>
      </c>
      <c r="AJ517" s="34"/>
      <c r="AK517" s="24"/>
      <c r="AL517" s="24"/>
      <c r="AM517" s="24"/>
      <c r="AN517" s="24"/>
      <c r="AO517" s="24"/>
      <c r="AP517" s="24"/>
      <c r="AQ517" s="49"/>
      <c r="AR517" s="33"/>
      <c r="AS517" s="24"/>
      <c r="AT517" s="24"/>
      <c r="AU517" s="24"/>
      <c r="AV517" s="24"/>
      <c r="AW517" s="49"/>
      <c r="AX517" s="33"/>
      <c r="AY517" s="24"/>
      <c r="AZ517" s="24"/>
      <c r="BA517" s="24"/>
      <c r="BB517" s="24"/>
      <c r="BC517" s="49"/>
      <c r="BD517" s="33"/>
      <c r="BE517" s="24"/>
      <c r="BF517" s="24"/>
      <c r="BG517" s="24"/>
      <c r="BT517" s="34"/>
      <c r="BU517" s="23" t="s">
        <v>430</v>
      </c>
      <c r="BV517" s="22">
        <v>0</v>
      </c>
      <c r="BW517" s="31"/>
      <c r="BX517" s="31"/>
      <c r="BZ517" s="34"/>
    </row>
    <row r="518" spans="31:78" ht="15" x14ac:dyDescent="0.25">
      <c r="AE518" s="23" t="s">
        <v>362</v>
      </c>
      <c r="AF518">
        <v>0</v>
      </c>
      <c r="AJ518" s="34"/>
      <c r="AK518" s="24"/>
      <c r="AL518" s="24"/>
      <c r="AM518" s="24"/>
      <c r="AN518" s="24"/>
      <c r="AO518" s="24"/>
      <c r="AP518" s="24"/>
      <c r="AQ518" s="49"/>
      <c r="AR518" s="33"/>
      <c r="AS518" s="24"/>
      <c r="AT518" s="24"/>
      <c r="AU518" s="24"/>
      <c r="AV518" s="24"/>
      <c r="AW518" s="25"/>
      <c r="AX518" s="33"/>
      <c r="AY518" s="24"/>
      <c r="AZ518" s="24"/>
      <c r="BA518" s="24"/>
      <c r="BB518" s="24"/>
      <c r="BC518" s="25"/>
      <c r="BD518" s="33"/>
      <c r="BE518" s="24"/>
      <c r="BF518" s="24"/>
      <c r="BG518" s="24"/>
      <c r="BT518" s="34"/>
      <c r="BU518" s="23" t="s">
        <v>431</v>
      </c>
      <c r="BV518" s="22">
        <v>0</v>
      </c>
      <c r="BW518" s="31"/>
      <c r="BX518" s="31"/>
      <c r="BZ518" s="34"/>
    </row>
    <row r="519" spans="31:78" ht="15" x14ac:dyDescent="0.25">
      <c r="AE519" s="23" t="s">
        <v>473</v>
      </c>
      <c r="AF519">
        <v>0</v>
      </c>
      <c r="AJ519" s="34"/>
      <c r="AK519" s="24"/>
      <c r="AL519" s="24"/>
      <c r="AM519" s="24"/>
      <c r="AN519" s="24"/>
      <c r="AO519" s="24"/>
      <c r="AP519" s="24"/>
      <c r="AQ519" s="49"/>
      <c r="AR519" s="33"/>
      <c r="AS519" s="24"/>
      <c r="AT519" s="24"/>
      <c r="AU519" s="24"/>
      <c r="AV519" s="24"/>
      <c r="AW519" s="25"/>
      <c r="AX519" s="33"/>
      <c r="AY519" s="24"/>
      <c r="AZ519" s="24"/>
      <c r="BA519" s="24"/>
      <c r="BB519" s="24"/>
      <c r="BC519" s="25"/>
      <c r="BD519" s="33"/>
      <c r="BE519" s="24"/>
      <c r="BF519" s="24"/>
      <c r="BG519" s="24"/>
      <c r="BT519" s="34"/>
      <c r="BU519" s="23" t="s">
        <v>432</v>
      </c>
      <c r="BV519" s="22">
        <v>0</v>
      </c>
      <c r="BW519" s="31"/>
      <c r="BX519" s="31"/>
      <c r="BZ519" s="34"/>
    </row>
    <row r="520" spans="31:78" ht="15" x14ac:dyDescent="0.25">
      <c r="AE520" s="23" t="s">
        <v>474</v>
      </c>
      <c r="AF520">
        <v>0</v>
      </c>
      <c r="AJ520" s="34"/>
      <c r="AK520" s="24"/>
      <c r="AL520" s="24"/>
      <c r="AM520" s="24"/>
      <c r="AN520" s="24"/>
      <c r="AO520" s="24"/>
      <c r="AP520" s="24"/>
      <c r="AQ520" s="49"/>
      <c r="AR520" s="33"/>
      <c r="AS520" s="24"/>
      <c r="AT520" s="24"/>
      <c r="AU520" s="24"/>
      <c r="AV520" s="24"/>
      <c r="AW520" s="25"/>
      <c r="AX520" s="33"/>
      <c r="AY520" s="24"/>
      <c r="AZ520" s="24"/>
      <c r="BA520" s="24"/>
      <c r="BB520" s="24"/>
      <c r="BC520" s="25"/>
      <c r="BD520" s="33"/>
      <c r="BE520" s="24"/>
      <c r="BF520" s="24"/>
      <c r="BG520" s="24"/>
      <c r="BT520" s="34"/>
      <c r="BU520" s="23" t="s">
        <v>433</v>
      </c>
      <c r="BV520" s="22">
        <v>0</v>
      </c>
      <c r="BW520" s="31"/>
      <c r="BX520" s="31"/>
      <c r="BZ520" s="34"/>
    </row>
    <row r="521" spans="31:78" ht="15" x14ac:dyDescent="0.25">
      <c r="AE521" s="23" t="s">
        <v>475</v>
      </c>
      <c r="AF521">
        <v>0</v>
      </c>
      <c r="AJ521" s="34"/>
      <c r="AK521" s="33"/>
      <c r="AL521" s="33"/>
      <c r="AM521" s="24"/>
      <c r="AN521" s="24"/>
      <c r="AO521" s="24"/>
      <c r="AP521" s="24"/>
      <c r="AQ521" s="49"/>
      <c r="AR521" s="33"/>
      <c r="AS521" s="24"/>
      <c r="AT521" s="24"/>
      <c r="AU521" s="24"/>
      <c r="AV521" s="24"/>
      <c r="AW521" s="25"/>
      <c r="AX521" s="33"/>
      <c r="AY521" s="24"/>
      <c r="AZ521" s="24"/>
      <c r="BA521" s="24"/>
      <c r="BB521" s="24"/>
      <c r="BC521" s="25"/>
      <c r="BD521" s="33"/>
      <c r="BE521" s="24"/>
      <c r="BF521" s="24"/>
      <c r="BG521" s="24"/>
      <c r="BT521" s="34"/>
      <c r="BU521" s="23" t="s">
        <v>434</v>
      </c>
      <c r="BV521" s="22">
        <v>0</v>
      </c>
      <c r="BW521" s="31"/>
      <c r="BX521" s="31"/>
      <c r="BZ521" s="34"/>
    </row>
    <row r="522" spans="31:78" x14ac:dyDescent="0.2">
      <c r="AE522" s="34"/>
      <c r="AF522" s="34"/>
      <c r="AG522" s="34"/>
      <c r="AH522" s="34"/>
      <c r="AI522" s="34"/>
      <c r="AJ522" s="34"/>
      <c r="AK522" s="33"/>
      <c r="AL522" s="33"/>
      <c r="AM522" s="24"/>
      <c r="AN522" s="24"/>
      <c r="AO522" s="24"/>
      <c r="AP522" s="24"/>
      <c r="AQ522" s="49"/>
      <c r="AR522" s="33"/>
      <c r="AS522" s="24"/>
      <c r="AT522" s="24"/>
      <c r="AU522" s="24"/>
      <c r="AV522" s="24"/>
      <c r="AW522" s="25"/>
      <c r="AX522" s="33"/>
      <c r="AY522" s="24"/>
      <c r="AZ522" s="24"/>
      <c r="BA522" s="24"/>
      <c r="BB522" s="24"/>
      <c r="BC522" s="25"/>
      <c r="BD522" s="33"/>
      <c r="BE522" s="24"/>
      <c r="BF522" s="24"/>
      <c r="BG522" s="24"/>
      <c r="BT522" s="34"/>
      <c r="BU522" s="34"/>
      <c r="BV522" s="34"/>
      <c r="BW522" s="34"/>
      <c r="BX522" s="34"/>
      <c r="BY522" s="34"/>
      <c r="BZ522" s="34"/>
    </row>
    <row r="523" spans="31:78" x14ac:dyDescent="0.2">
      <c r="AE523" s="31" t="s">
        <v>100</v>
      </c>
      <c r="AF523" s="32" t="s">
        <v>67</v>
      </c>
      <c r="AG523" s="31"/>
      <c r="AH523" s="31"/>
      <c r="AJ523" s="34"/>
      <c r="AK523" s="33"/>
      <c r="AL523" s="33"/>
      <c r="AM523" s="24"/>
      <c r="AN523" s="24"/>
      <c r="AO523" s="24"/>
      <c r="AP523" s="24"/>
      <c r="AQ523" s="49"/>
      <c r="AR523" s="33"/>
      <c r="AS523" s="24"/>
      <c r="AT523" s="24"/>
      <c r="AU523" s="24"/>
      <c r="AV523" s="24"/>
      <c r="AW523" s="25"/>
      <c r="AX523" s="33"/>
      <c r="AY523" s="24"/>
      <c r="AZ523" s="24"/>
      <c r="BA523" s="24"/>
      <c r="BB523" s="24"/>
      <c r="BC523" s="25"/>
      <c r="BD523" s="33"/>
      <c r="BE523" s="24"/>
      <c r="BF523" s="24"/>
      <c r="BG523" s="24"/>
      <c r="BT523" s="34"/>
      <c r="BU523" s="19" t="s">
        <v>100</v>
      </c>
      <c r="BV523" s="35" t="s">
        <v>61</v>
      </c>
      <c r="BZ523" s="34"/>
    </row>
    <row r="524" spans="31:78" x14ac:dyDescent="0.2">
      <c r="AE524" s="31" t="s">
        <v>101</v>
      </c>
      <c r="AF524" s="12" t="s">
        <v>24</v>
      </c>
      <c r="AG524" s="31"/>
      <c r="AH524" s="31"/>
      <c r="AJ524" s="34"/>
      <c r="AK524" s="33"/>
      <c r="AL524" s="33"/>
      <c r="AM524" s="24"/>
      <c r="AN524" s="24"/>
      <c r="AO524" s="24"/>
      <c r="AP524" s="24"/>
      <c r="AQ524" s="49"/>
      <c r="AR524" s="33"/>
      <c r="AS524" s="24"/>
      <c r="AT524" s="24"/>
      <c r="AU524" s="24"/>
      <c r="AV524" s="24"/>
      <c r="AW524" s="25"/>
      <c r="AX524" s="33"/>
      <c r="AY524" s="24"/>
      <c r="AZ524" s="24"/>
      <c r="BA524" s="24"/>
      <c r="BB524" s="24"/>
      <c r="BC524" s="25"/>
      <c r="BD524" s="33"/>
      <c r="BE524" s="24"/>
      <c r="BF524" s="24"/>
      <c r="BG524" s="24"/>
      <c r="BT524" s="34"/>
      <c r="BV524" s="12" t="s">
        <v>23</v>
      </c>
      <c r="BZ524" s="34"/>
    </row>
    <row r="525" spans="31:78" x14ac:dyDescent="0.2">
      <c r="AE525" s="31" t="s">
        <v>102</v>
      </c>
      <c r="AF525" s="31" t="s">
        <v>71</v>
      </c>
      <c r="AG525" s="31" t="s">
        <v>103</v>
      </c>
      <c r="AH525" s="31" t="s">
        <v>104</v>
      </c>
      <c r="AJ525" s="34"/>
      <c r="AK525" s="33"/>
      <c r="AL525" s="33"/>
      <c r="AM525" s="24"/>
      <c r="AN525" s="24"/>
      <c r="AO525" s="24"/>
      <c r="AP525" s="24"/>
      <c r="AQ525" s="49"/>
      <c r="AR525" s="33"/>
      <c r="AS525" s="24"/>
      <c r="AT525" s="24"/>
      <c r="AU525" s="24"/>
      <c r="AV525" s="24"/>
      <c r="AW525" s="25"/>
      <c r="AX525" s="33"/>
      <c r="AY525" s="24"/>
      <c r="AZ525" s="24"/>
      <c r="BA525" s="24"/>
      <c r="BB525" s="24"/>
      <c r="BC525" s="25"/>
      <c r="BD525" s="33"/>
      <c r="BE525" s="24"/>
      <c r="BF525" s="24"/>
      <c r="BG525" s="24"/>
      <c r="BT525" s="34"/>
      <c r="BU525" s="31" t="s">
        <v>102</v>
      </c>
      <c r="BV525" s="31" t="s">
        <v>71</v>
      </c>
      <c r="BW525" s="31" t="s">
        <v>103</v>
      </c>
      <c r="BX525" s="31" t="s">
        <v>104</v>
      </c>
      <c r="BZ525" s="34"/>
    </row>
    <row r="526" spans="31:78" ht="15" x14ac:dyDescent="0.25">
      <c r="AE526" s="23" t="s">
        <v>453</v>
      </c>
      <c r="AF526">
        <v>0</v>
      </c>
      <c r="AG526" s="31" t="s">
        <v>106</v>
      </c>
      <c r="AH526" s="31">
        <f>SUM(AF526:AF550)</f>
        <v>1</v>
      </c>
      <c r="AJ526" s="34"/>
      <c r="AK526" s="33"/>
      <c r="AL526" s="33"/>
      <c r="AM526" s="24"/>
      <c r="AN526" s="24"/>
      <c r="AO526" s="24"/>
      <c r="AP526" s="24"/>
      <c r="AQ526" s="49"/>
      <c r="AR526" s="33"/>
      <c r="AS526" s="24"/>
      <c r="AT526" s="24"/>
      <c r="AU526" s="24"/>
      <c r="AV526" s="24"/>
      <c r="AW526" s="25"/>
      <c r="AX526" s="33"/>
      <c r="AY526" s="24"/>
      <c r="AZ526" s="24"/>
      <c r="BA526" s="24"/>
      <c r="BB526" s="24"/>
      <c r="BC526" s="25"/>
      <c r="BD526" s="33"/>
      <c r="BE526" s="24"/>
      <c r="BF526" s="24"/>
      <c r="BG526" s="24"/>
      <c r="BT526" s="34"/>
      <c r="BU526" s="23" t="s">
        <v>412</v>
      </c>
      <c r="BV526" s="22">
        <v>0</v>
      </c>
      <c r="BW526" s="31" t="s">
        <v>106</v>
      </c>
      <c r="BX526" s="31">
        <f>SUM(BV526:BV550)</f>
        <v>1</v>
      </c>
      <c r="BZ526" s="34"/>
    </row>
    <row r="527" spans="31:78" ht="15" x14ac:dyDescent="0.25">
      <c r="AE527" s="23" t="s">
        <v>454</v>
      </c>
      <c r="AF527">
        <v>0</v>
      </c>
      <c r="AG527" s="31" t="s">
        <v>115</v>
      </c>
      <c r="AH527" s="31">
        <f>MIN(AF526:AF550)</f>
        <v>0</v>
      </c>
      <c r="AJ527" s="34"/>
      <c r="AK527" s="33"/>
      <c r="AL527" s="33"/>
      <c r="AM527" s="24"/>
      <c r="AN527" s="24"/>
      <c r="AO527" s="24"/>
      <c r="AP527" s="24"/>
      <c r="AQ527" s="25"/>
      <c r="AR527" s="33"/>
      <c r="AS527" s="24"/>
      <c r="AT527" s="24"/>
      <c r="AU527" s="24"/>
      <c r="AV527" s="24"/>
      <c r="AW527" s="25"/>
      <c r="AX527" s="33"/>
      <c r="AY527" s="24"/>
      <c r="AZ527" s="24"/>
      <c r="BA527" s="24"/>
      <c r="BB527" s="24"/>
      <c r="BC527" s="25"/>
      <c r="BD527" s="33"/>
      <c r="BE527" s="24"/>
      <c r="BF527" s="24"/>
      <c r="BG527" s="24"/>
      <c r="BT527" s="34"/>
      <c r="BU527" s="22" t="s">
        <v>244</v>
      </c>
      <c r="BV527" s="22">
        <v>0</v>
      </c>
      <c r="BW527" s="31" t="s">
        <v>115</v>
      </c>
      <c r="BX527" s="31">
        <f>MIN(BV526:BV550)</f>
        <v>0</v>
      </c>
      <c r="BZ527" s="34"/>
    </row>
    <row r="528" spans="31:78" ht="15" x14ac:dyDescent="0.25">
      <c r="AE528" s="23" t="s">
        <v>455</v>
      </c>
      <c r="AF528">
        <v>0</v>
      </c>
      <c r="AG528" s="31" t="s">
        <v>122</v>
      </c>
      <c r="AH528" s="31">
        <f>MAX(AF526:AF550)</f>
        <v>1</v>
      </c>
      <c r="AJ528" s="34"/>
      <c r="AK528" s="33"/>
      <c r="AL528" s="33"/>
      <c r="AM528" s="24"/>
      <c r="AN528" s="24"/>
      <c r="AO528" s="24"/>
      <c r="AP528" s="24"/>
      <c r="AQ528" s="25"/>
      <c r="AR528" s="33"/>
      <c r="AS528" s="24"/>
      <c r="AT528" s="24"/>
      <c r="AU528" s="24"/>
      <c r="AV528" s="24"/>
      <c r="AW528" s="25"/>
      <c r="AX528" s="33"/>
      <c r="AY528" s="24"/>
      <c r="AZ528" s="24"/>
      <c r="BA528" s="24"/>
      <c r="BB528" s="24"/>
      <c r="BC528" s="25"/>
      <c r="BD528" s="33"/>
      <c r="BE528" s="24"/>
      <c r="BF528" s="24"/>
      <c r="BG528" s="24"/>
      <c r="BT528" s="34"/>
      <c r="BU528" s="22" t="s">
        <v>119</v>
      </c>
      <c r="BV528" s="22">
        <v>0</v>
      </c>
      <c r="BW528" s="31" t="s">
        <v>122</v>
      </c>
      <c r="BX528" s="31">
        <f>MAX(BV526:BV550)</f>
        <v>1</v>
      </c>
      <c r="BZ528" s="34"/>
    </row>
    <row r="529" spans="31:78" ht="15" x14ac:dyDescent="0.25">
      <c r="AE529" s="23" t="s">
        <v>456</v>
      </c>
      <c r="AF529">
        <v>0</v>
      </c>
      <c r="AG529" s="31" t="s">
        <v>129</v>
      </c>
      <c r="AH529" s="31">
        <f>VAR(AF526:AF550)</f>
        <v>0.04</v>
      </c>
      <c r="AJ529" s="34"/>
      <c r="AK529" s="33"/>
      <c r="AL529" s="33"/>
      <c r="AM529" s="24"/>
      <c r="AN529" s="24"/>
      <c r="AO529" s="24"/>
      <c r="AP529" s="24"/>
      <c r="AQ529" s="25"/>
      <c r="AR529" s="33"/>
      <c r="AS529" s="24"/>
      <c r="AT529" s="24"/>
      <c r="AU529" s="24"/>
      <c r="AV529" s="24"/>
      <c r="AW529" s="25"/>
      <c r="AX529" s="33"/>
      <c r="AY529" s="24"/>
      <c r="AZ529" s="24"/>
      <c r="BA529" s="24"/>
      <c r="BB529" s="24"/>
      <c r="BC529" s="25"/>
      <c r="BD529" s="33"/>
      <c r="BE529" s="24"/>
      <c r="BF529" s="24"/>
      <c r="BG529" s="24"/>
      <c r="BT529" s="34"/>
      <c r="BU529" s="22" t="s">
        <v>413</v>
      </c>
      <c r="BV529" s="22">
        <v>0</v>
      </c>
      <c r="BW529" s="31" t="s">
        <v>129</v>
      </c>
      <c r="BX529" s="31">
        <f>VAR(BV526:BV550)</f>
        <v>0.04</v>
      </c>
      <c r="BZ529" s="34"/>
    </row>
    <row r="530" spans="31:78" ht="15" x14ac:dyDescent="0.25">
      <c r="AE530" s="23" t="s">
        <v>259</v>
      </c>
      <c r="AF530">
        <v>0</v>
      </c>
      <c r="AG530" s="31" t="s">
        <v>138</v>
      </c>
      <c r="AH530" s="31">
        <f>AVERAGE(AF526:AF550)</f>
        <v>0.04</v>
      </c>
      <c r="AJ530" s="34"/>
      <c r="AK530" s="24"/>
      <c r="AL530" s="33"/>
      <c r="AM530" s="24"/>
      <c r="AN530" s="24"/>
      <c r="AO530" s="24"/>
      <c r="AP530" s="24"/>
      <c r="AQ530" s="25"/>
      <c r="AR530" s="33"/>
      <c r="AS530" s="24"/>
      <c r="AT530" s="24"/>
      <c r="AU530" s="24"/>
      <c r="AV530" s="24"/>
      <c r="AW530" s="25"/>
      <c r="AX530" s="33"/>
      <c r="AY530" s="24"/>
      <c r="AZ530" s="24"/>
      <c r="BA530" s="24"/>
      <c r="BB530" s="24"/>
      <c r="BC530" s="25"/>
      <c r="BD530" s="33"/>
      <c r="BE530" s="24"/>
      <c r="BF530" s="24"/>
      <c r="BG530" s="24"/>
      <c r="BT530" s="34"/>
      <c r="BU530" s="22" t="s">
        <v>414</v>
      </c>
      <c r="BV530" s="22">
        <v>0</v>
      </c>
      <c r="BW530" s="31" t="s">
        <v>138</v>
      </c>
      <c r="BX530" s="31">
        <f>AVERAGE(BV526:BV550)</f>
        <v>0.04</v>
      </c>
      <c r="BZ530" s="34"/>
    </row>
    <row r="531" spans="31:78" ht="15" x14ac:dyDescent="0.25">
      <c r="AE531" s="23" t="s">
        <v>457</v>
      </c>
      <c r="AF531">
        <v>0</v>
      </c>
      <c r="AG531" s="31" t="s">
        <v>144</v>
      </c>
      <c r="AH531" s="31">
        <f>STDEV(AF526:AF550)</f>
        <v>0.2</v>
      </c>
      <c r="AJ531" s="34"/>
      <c r="AK531" s="33"/>
      <c r="AL531" s="33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5"/>
      <c r="AX531" s="33"/>
      <c r="AY531" s="24"/>
      <c r="AZ531" s="24"/>
      <c r="BA531" s="24"/>
      <c r="BB531" s="24"/>
      <c r="BC531" s="25"/>
      <c r="BD531" s="33"/>
      <c r="BE531" s="24"/>
      <c r="BF531" s="24"/>
      <c r="BG531" s="24"/>
      <c r="BT531" s="34"/>
      <c r="BU531" s="22" t="s">
        <v>415</v>
      </c>
      <c r="BV531" s="22">
        <v>0</v>
      </c>
      <c r="BW531" s="31" t="s">
        <v>144</v>
      </c>
      <c r="BX531" s="31">
        <f>STDEV(BV526:BV550)</f>
        <v>0.2</v>
      </c>
      <c r="BZ531" s="34"/>
    </row>
    <row r="532" spans="31:78" ht="15" x14ac:dyDescent="0.25">
      <c r="AE532" s="23" t="s">
        <v>458</v>
      </c>
      <c r="AF532">
        <v>1</v>
      </c>
      <c r="AG532" s="31"/>
      <c r="AH532" s="31"/>
      <c r="AJ532" s="34"/>
      <c r="AK532" s="33"/>
      <c r="AL532" s="33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5"/>
      <c r="AX532" s="33"/>
      <c r="AY532" s="24"/>
      <c r="AZ532" s="24"/>
      <c r="BA532" s="24"/>
      <c r="BB532" s="24"/>
      <c r="BC532" s="25"/>
      <c r="BD532" s="33"/>
      <c r="BE532" s="24"/>
      <c r="BF532" s="24"/>
      <c r="BG532" s="24"/>
      <c r="BT532" s="34"/>
      <c r="BU532" s="22" t="s">
        <v>416</v>
      </c>
      <c r="BV532" s="22">
        <v>0</v>
      </c>
      <c r="BW532" s="31"/>
      <c r="BX532" s="31"/>
      <c r="BZ532" s="34"/>
    </row>
    <row r="533" spans="31:78" ht="15" x14ac:dyDescent="0.25">
      <c r="AE533" s="23" t="s">
        <v>459</v>
      </c>
      <c r="AF533">
        <v>0</v>
      </c>
      <c r="AG533" s="31"/>
      <c r="AH533" s="31"/>
      <c r="AJ533" s="34"/>
      <c r="AK533" s="33"/>
      <c r="AL533" s="33"/>
      <c r="AM533" s="24"/>
      <c r="AN533" s="24"/>
      <c r="AO533" s="24"/>
      <c r="AP533" s="24"/>
      <c r="AQ533" s="33"/>
      <c r="AR533" s="24"/>
      <c r="AS533" s="24"/>
      <c r="AT533" s="24"/>
      <c r="AU533" s="24"/>
      <c r="AV533" s="24"/>
      <c r="AW533" s="25"/>
      <c r="AX533" s="33"/>
      <c r="AY533" s="24"/>
      <c r="AZ533" s="24"/>
      <c r="BA533" s="24"/>
      <c r="BB533" s="24"/>
      <c r="BC533" s="25"/>
      <c r="BD533" s="33"/>
      <c r="BE533" s="24"/>
      <c r="BF533" s="24"/>
      <c r="BG533" s="24"/>
      <c r="BT533" s="34"/>
      <c r="BU533" s="22" t="s">
        <v>417</v>
      </c>
      <c r="BV533" s="22">
        <v>0</v>
      </c>
      <c r="BW533" s="31"/>
      <c r="BX533" s="31"/>
      <c r="BZ533" s="34"/>
    </row>
    <row r="534" spans="31:78" ht="15" x14ac:dyDescent="0.25">
      <c r="AE534" s="23" t="s">
        <v>460</v>
      </c>
      <c r="AF534">
        <v>0</v>
      </c>
      <c r="AG534" s="33"/>
      <c r="AH534" s="33"/>
      <c r="AJ534" s="34"/>
      <c r="AK534" s="33"/>
      <c r="AL534" s="33"/>
      <c r="AM534" s="24"/>
      <c r="AN534" s="24"/>
      <c r="AO534" s="24"/>
      <c r="AP534" s="24"/>
      <c r="AQ534" s="33"/>
      <c r="AR534" s="33"/>
      <c r="AS534" s="33"/>
      <c r="AT534" s="33"/>
      <c r="AU534" s="24"/>
      <c r="AV534" s="24"/>
      <c r="AW534" s="25"/>
      <c r="AX534" s="33"/>
      <c r="AY534" s="24"/>
      <c r="AZ534" s="24"/>
      <c r="BA534" s="24"/>
      <c r="BB534" s="24"/>
      <c r="BC534" s="25"/>
      <c r="BD534" s="33"/>
      <c r="BE534" s="24"/>
      <c r="BF534" s="24"/>
      <c r="BG534" s="24"/>
      <c r="BT534" s="34"/>
      <c r="BU534" s="22" t="s">
        <v>418</v>
      </c>
      <c r="BV534" s="22">
        <v>0</v>
      </c>
      <c r="BW534" s="31"/>
      <c r="BX534" s="31"/>
      <c r="BZ534" s="34"/>
    </row>
    <row r="535" spans="31:78" ht="15" x14ac:dyDescent="0.25">
      <c r="AE535" s="23" t="s">
        <v>461</v>
      </c>
      <c r="AF535">
        <v>0</v>
      </c>
      <c r="AG535" s="31"/>
      <c r="AH535" s="31"/>
      <c r="AJ535" s="34"/>
      <c r="AK535" s="33"/>
      <c r="AL535" s="33"/>
      <c r="AM535" s="24"/>
      <c r="AN535" s="24"/>
      <c r="AO535" s="24"/>
      <c r="AP535" s="24"/>
      <c r="AQ535" s="49"/>
      <c r="AR535" s="33"/>
      <c r="AS535" s="33"/>
      <c r="AT535" s="33"/>
      <c r="AU535" s="24"/>
      <c r="AV535" s="24"/>
      <c r="AW535" s="25"/>
      <c r="AX535" s="33"/>
      <c r="AY535" s="24"/>
      <c r="AZ535" s="24"/>
      <c r="BA535" s="24"/>
      <c r="BB535" s="24"/>
      <c r="BC535" s="25"/>
      <c r="BD535" s="33"/>
      <c r="BE535" s="24"/>
      <c r="BF535" s="24"/>
      <c r="BG535" s="24"/>
      <c r="BT535" s="34"/>
      <c r="BU535" s="22" t="s">
        <v>419</v>
      </c>
      <c r="BV535" s="22">
        <v>0</v>
      </c>
      <c r="BW535" s="31"/>
      <c r="BX535" s="31"/>
      <c r="BZ535" s="34"/>
    </row>
    <row r="536" spans="31:78" ht="15" x14ac:dyDescent="0.25">
      <c r="AE536" s="23" t="s">
        <v>462</v>
      </c>
      <c r="AF536">
        <v>0</v>
      </c>
      <c r="AG536" s="24"/>
      <c r="AH536" s="24"/>
      <c r="AJ536" s="34"/>
      <c r="AK536" s="33"/>
      <c r="AL536" s="33"/>
      <c r="AM536" s="24"/>
      <c r="AN536" s="24"/>
      <c r="AO536" s="24"/>
      <c r="AP536" s="24"/>
      <c r="AQ536" s="49"/>
      <c r="AR536" s="33"/>
      <c r="AS536" s="33"/>
      <c r="AT536" s="33"/>
      <c r="AU536" s="24"/>
      <c r="AV536" s="24"/>
      <c r="AW536" s="25"/>
      <c r="AX536" s="33"/>
      <c r="AY536" s="24"/>
      <c r="AZ536" s="24"/>
      <c r="BA536" s="24"/>
      <c r="BB536" s="24"/>
      <c r="BC536" s="25"/>
      <c r="BD536" s="33"/>
      <c r="BE536" s="24"/>
      <c r="BF536" s="24"/>
      <c r="BG536" s="24"/>
      <c r="BT536" s="34"/>
      <c r="BU536" s="22" t="s">
        <v>420</v>
      </c>
      <c r="BV536" s="22">
        <v>0</v>
      </c>
      <c r="BW536" s="31"/>
      <c r="BX536" s="31"/>
      <c r="BZ536" s="34"/>
    </row>
    <row r="537" spans="31:78" ht="15" x14ac:dyDescent="0.25">
      <c r="AE537" s="23" t="s">
        <v>463</v>
      </c>
      <c r="AF537">
        <v>0</v>
      </c>
      <c r="AG537" s="31"/>
      <c r="AH537" s="31"/>
      <c r="AJ537" s="34"/>
      <c r="AK537" s="33"/>
      <c r="AL537" s="33"/>
      <c r="AM537" s="24"/>
      <c r="AN537" s="24"/>
      <c r="AO537" s="24"/>
      <c r="AP537" s="24"/>
      <c r="AQ537" s="49"/>
      <c r="AR537" s="33"/>
      <c r="AS537" s="33"/>
      <c r="AT537" s="33"/>
      <c r="AU537" s="24"/>
      <c r="AV537" s="24"/>
      <c r="AW537" s="25"/>
      <c r="AX537" s="33"/>
      <c r="AY537" s="24"/>
      <c r="AZ537" s="24"/>
      <c r="BA537" s="24"/>
      <c r="BB537" s="24"/>
      <c r="BC537" s="25"/>
      <c r="BD537" s="33"/>
      <c r="BE537" s="24"/>
      <c r="BF537" s="24"/>
      <c r="BG537" s="24"/>
      <c r="BT537" s="34"/>
      <c r="BU537" s="22" t="s">
        <v>421</v>
      </c>
      <c r="BV537" s="22">
        <v>0</v>
      </c>
      <c r="BW537" s="31"/>
      <c r="BX537" s="31"/>
      <c r="BZ537" s="34"/>
    </row>
    <row r="538" spans="31:78" ht="15" x14ac:dyDescent="0.25">
      <c r="AE538" s="23" t="s">
        <v>464</v>
      </c>
      <c r="AF538">
        <v>0</v>
      </c>
      <c r="AG538" s="31"/>
      <c r="AH538" s="31"/>
      <c r="AJ538" s="34"/>
      <c r="AK538" s="33"/>
      <c r="AL538" s="33"/>
      <c r="AM538" s="24"/>
      <c r="AN538" s="24"/>
      <c r="AO538" s="24"/>
      <c r="AP538" s="24"/>
      <c r="AQ538" s="49"/>
      <c r="AR538" s="33"/>
      <c r="AS538" s="33"/>
      <c r="AT538" s="33"/>
      <c r="AU538" s="24"/>
      <c r="AV538" s="24"/>
      <c r="AW538" s="25"/>
      <c r="AX538" s="33"/>
      <c r="AY538" s="24"/>
      <c r="AZ538" s="24"/>
      <c r="BA538" s="24"/>
      <c r="BB538" s="24"/>
      <c r="BC538" s="25"/>
      <c r="BD538" s="33"/>
      <c r="BE538" s="24"/>
      <c r="BF538" s="24"/>
      <c r="BG538" s="24"/>
      <c r="BT538" s="34"/>
      <c r="BU538" s="22" t="s">
        <v>422</v>
      </c>
      <c r="BV538" s="22">
        <v>0</v>
      </c>
      <c r="BW538" s="31"/>
      <c r="BX538" s="31"/>
      <c r="BZ538" s="34"/>
    </row>
    <row r="539" spans="31:78" ht="15" x14ac:dyDescent="0.25">
      <c r="AE539" s="23" t="s">
        <v>465</v>
      </c>
      <c r="AF539">
        <v>0</v>
      </c>
      <c r="AG539" s="31"/>
      <c r="AH539" s="31"/>
      <c r="AJ539" s="34"/>
      <c r="AK539" s="33"/>
      <c r="AL539" s="33"/>
      <c r="AM539" s="24"/>
      <c r="AN539" s="24"/>
      <c r="AO539" s="24"/>
      <c r="AP539" s="24"/>
      <c r="AQ539" s="49"/>
      <c r="AR539" s="33"/>
      <c r="AS539" s="33"/>
      <c r="AT539" s="33"/>
      <c r="AU539" s="24"/>
      <c r="AV539" s="24"/>
      <c r="AW539" s="25"/>
      <c r="AX539" s="33"/>
      <c r="AY539" s="24"/>
      <c r="AZ539" s="24"/>
      <c r="BA539" s="24"/>
      <c r="BB539" s="24"/>
      <c r="BC539" s="25"/>
      <c r="BD539" s="33"/>
      <c r="BE539" s="24"/>
      <c r="BF539" s="24"/>
      <c r="BG539" s="24"/>
      <c r="BT539" s="34"/>
      <c r="BU539" s="23" t="s">
        <v>423</v>
      </c>
      <c r="BV539" s="22">
        <v>0</v>
      </c>
      <c r="BW539" s="31"/>
      <c r="BX539" s="31"/>
      <c r="BZ539" s="34"/>
    </row>
    <row r="540" spans="31:78" ht="15" x14ac:dyDescent="0.25">
      <c r="AE540" s="23" t="s">
        <v>466</v>
      </c>
      <c r="AF540">
        <v>0</v>
      </c>
      <c r="AG540" s="31"/>
      <c r="AH540" s="31"/>
      <c r="AJ540" s="34"/>
      <c r="AK540" s="33"/>
      <c r="AL540" s="33"/>
      <c r="AM540" s="24"/>
      <c r="AN540" s="24"/>
      <c r="AO540" s="24"/>
      <c r="AP540" s="24"/>
      <c r="AQ540" s="49"/>
      <c r="AR540" s="33"/>
      <c r="AS540" s="33"/>
      <c r="AT540" s="33"/>
      <c r="AU540" s="24"/>
      <c r="AV540" s="24"/>
      <c r="AW540" s="25"/>
      <c r="AX540" s="33"/>
      <c r="AY540" s="24"/>
      <c r="AZ540" s="24"/>
      <c r="BA540" s="24"/>
      <c r="BB540" s="24"/>
      <c r="BC540" s="25"/>
      <c r="BD540" s="33"/>
      <c r="BE540" s="24"/>
      <c r="BF540" s="24"/>
      <c r="BG540" s="24"/>
      <c r="BT540" s="34"/>
      <c r="BU540" s="22" t="s">
        <v>424</v>
      </c>
      <c r="BV540" s="22">
        <v>0</v>
      </c>
      <c r="BW540" s="31"/>
      <c r="BX540" s="31"/>
      <c r="BZ540" s="34"/>
    </row>
    <row r="541" spans="31:78" ht="15" x14ac:dyDescent="0.25">
      <c r="AE541" s="23" t="s">
        <v>467</v>
      </c>
      <c r="AF541">
        <v>0</v>
      </c>
      <c r="AG541" s="31"/>
      <c r="AH541" s="31"/>
      <c r="AJ541" s="34"/>
      <c r="AK541" s="24"/>
      <c r="AL541" s="24"/>
      <c r="AM541" s="24"/>
      <c r="AN541" s="24"/>
      <c r="AO541" s="24"/>
      <c r="AP541" s="24"/>
      <c r="AQ541" s="49"/>
      <c r="AR541" s="33"/>
      <c r="AS541" s="33"/>
      <c r="AT541" s="33"/>
      <c r="AU541" s="24"/>
      <c r="AV541" s="24"/>
      <c r="AW541" s="25"/>
      <c r="AX541" s="33"/>
      <c r="AY541" s="24"/>
      <c r="AZ541" s="24"/>
      <c r="BA541" s="24"/>
      <c r="BB541" s="24"/>
      <c r="BC541" s="25"/>
      <c r="BD541" s="33"/>
      <c r="BE541" s="24"/>
      <c r="BF541" s="24"/>
      <c r="BG541" s="24"/>
      <c r="BT541" s="34"/>
      <c r="BU541" s="23" t="s">
        <v>425</v>
      </c>
      <c r="BV541" s="22">
        <v>0</v>
      </c>
      <c r="BW541" s="31"/>
      <c r="BX541" s="31"/>
      <c r="BZ541" s="34"/>
    </row>
    <row r="542" spans="31:78" ht="15" x14ac:dyDescent="0.25">
      <c r="AE542" s="23" t="s">
        <v>468</v>
      </c>
      <c r="AF542">
        <v>0</v>
      </c>
      <c r="AG542" s="31"/>
      <c r="AH542" s="31"/>
      <c r="AJ542" s="34"/>
      <c r="AK542" s="24"/>
      <c r="AL542" s="24"/>
      <c r="AM542" s="24"/>
      <c r="AN542" s="24"/>
      <c r="AO542" s="24"/>
      <c r="AP542" s="24"/>
      <c r="AQ542" s="49"/>
      <c r="AR542" s="33"/>
      <c r="AS542" s="33"/>
      <c r="AT542" s="33"/>
      <c r="AU542" s="24"/>
      <c r="AV542" s="24"/>
      <c r="AW542" s="25"/>
      <c r="AX542" s="33"/>
      <c r="AY542" s="24"/>
      <c r="AZ542" s="24"/>
      <c r="BA542" s="24"/>
      <c r="BB542" s="24"/>
      <c r="BC542" s="25"/>
      <c r="BD542" s="33"/>
      <c r="BE542" s="24"/>
      <c r="BF542" s="24"/>
      <c r="BG542" s="24"/>
      <c r="BT542" s="34"/>
      <c r="BU542" s="23" t="s">
        <v>426</v>
      </c>
      <c r="BV542" s="22">
        <v>0</v>
      </c>
      <c r="BW542" s="31"/>
      <c r="BX542" s="31"/>
      <c r="BZ542" s="34"/>
    </row>
    <row r="543" spans="31:78" ht="15" x14ac:dyDescent="0.25">
      <c r="AE543" s="23" t="s">
        <v>469</v>
      </c>
      <c r="AF543">
        <v>0</v>
      </c>
      <c r="AG543" s="31"/>
      <c r="AH543" s="31"/>
      <c r="AJ543" s="34"/>
      <c r="AK543" s="24"/>
      <c r="AL543" s="24"/>
      <c r="AM543" s="24"/>
      <c r="AN543" s="24"/>
      <c r="AO543" s="24"/>
      <c r="AP543" s="24"/>
      <c r="AQ543" s="49"/>
      <c r="AR543" s="33"/>
      <c r="AS543" s="33"/>
      <c r="AT543" s="33"/>
      <c r="AU543" s="24"/>
      <c r="AV543" s="24"/>
      <c r="AW543" s="25"/>
      <c r="AX543" s="33"/>
      <c r="AY543" s="24"/>
      <c r="AZ543" s="24"/>
      <c r="BA543" s="24"/>
      <c r="BB543" s="24"/>
      <c r="BC543" s="25"/>
      <c r="BD543" s="33"/>
      <c r="BE543" s="24"/>
      <c r="BF543" s="24"/>
      <c r="BG543" s="24"/>
      <c r="BT543" s="34"/>
      <c r="BU543" s="23" t="s">
        <v>427</v>
      </c>
      <c r="BV543" s="22">
        <v>0</v>
      </c>
      <c r="BW543" s="31"/>
      <c r="BX543" s="31"/>
      <c r="BZ543" s="34"/>
    </row>
    <row r="544" spans="31:78" ht="15" x14ac:dyDescent="0.25">
      <c r="AE544" s="23" t="s">
        <v>470</v>
      </c>
      <c r="AF544">
        <v>0</v>
      </c>
      <c r="AG544" s="31"/>
      <c r="AH544" s="31"/>
      <c r="AJ544" s="34"/>
      <c r="AK544" s="24"/>
      <c r="AL544" s="24"/>
      <c r="AM544" s="24"/>
      <c r="AN544" s="24"/>
      <c r="AO544" s="24"/>
      <c r="AP544" s="24"/>
      <c r="AQ544" s="49"/>
      <c r="AR544" s="33"/>
      <c r="AS544" s="33"/>
      <c r="AT544" s="33"/>
      <c r="AU544" s="24"/>
      <c r="AV544" s="24"/>
      <c r="AW544" s="25"/>
      <c r="AX544" s="33"/>
      <c r="AY544" s="24"/>
      <c r="AZ544" s="24"/>
      <c r="BA544" s="24"/>
      <c r="BB544" s="24"/>
      <c r="BC544" s="25"/>
      <c r="BD544" s="33"/>
      <c r="BE544" s="24"/>
      <c r="BF544" s="24"/>
      <c r="BG544" s="24"/>
      <c r="BT544" s="34"/>
      <c r="BU544" s="23" t="s">
        <v>428</v>
      </c>
      <c r="BV544" s="22">
        <v>0</v>
      </c>
      <c r="BW544" s="31"/>
      <c r="BX544" s="31"/>
      <c r="BZ544" s="34"/>
    </row>
    <row r="545" spans="31:78" ht="15" x14ac:dyDescent="0.25">
      <c r="AE545" s="23" t="s">
        <v>471</v>
      </c>
      <c r="AF545">
        <v>0</v>
      </c>
      <c r="AG545" s="31"/>
      <c r="AH545" s="31"/>
      <c r="AJ545" s="34"/>
      <c r="AK545" s="24"/>
      <c r="AL545" s="24"/>
      <c r="AM545" s="24"/>
      <c r="AN545" s="24"/>
      <c r="AO545" s="24"/>
      <c r="AP545" s="24"/>
      <c r="AQ545" s="49"/>
      <c r="AR545" s="33"/>
      <c r="AS545" s="33"/>
      <c r="AT545" s="33"/>
      <c r="AU545" s="24"/>
      <c r="AV545" s="24"/>
      <c r="AW545" s="25"/>
      <c r="AX545" s="33"/>
      <c r="AY545" s="24"/>
      <c r="AZ545" s="24"/>
      <c r="BA545" s="24"/>
      <c r="BB545" s="24"/>
      <c r="BC545" s="25"/>
      <c r="BD545" s="33"/>
      <c r="BE545" s="24"/>
      <c r="BF545" s="24"/>
      <c r="BG545" s="24"/>
      <c r="BT545" s="34"/>
      <c r="BU545" s="23" t="s">
        <v>429</v>
      </c>
      <c r="BV545" s="22">
        <v>0</v>
      </c>
      <c r="BW545" s="31"/>
      <c r="BX545" s="31"/>
      <c r="BZ545" s="34"/>
    </row>
    <row r="546" spans="31:78" ht="15" x14ac:dyDescent="0.25">
      <c r="AE546" s="23" t="s">
        <v>472</v>
      </c>
      <c r="AF546">
        <v>0</v>
      </c>
      <c r="AJ546" s="34"/>
      <c r="AK546" s="24"/>
      <c r="AL546" s="24"/>
      <c r="AM546" s="24"/>
      <c r="AN546" s="24"/>
      <c r="AO546" s="24"/>
      <c r="AP546" s="24"/>
      <c r="AQ546" s="49"/>
      <c r="AR546" s="33"/>
      <c r="AS546" s="33"/>
      <c r="AT546" s="33"/>
      <c r="AU546" s="24"/>
      <c r="AV546" s="24"/>
      <c r="AW546" s="25"/>
      <c r="AX546" s="33"/>
      <c r="AY546" s="24"/>
      <c r="AZ546" s="24"/>
      <c r="BA546" s="24"/>
      <c r="BB546" s="24"/>
      <c r="BC546" s="25"/>
      <c r="BD546" s="33"/>
      <c r="BE546" s="24"/>
      <c r="BF546" s="24"/>
      <c r="BG546" s="24"/>
      <c r="BT546" s="34"/>
      <c r="BU546" s="23" t="s">
        <v>430</v>
      </c>
      <c r="BV546" s="22">
        <v>0</v>
      </c>
      <c r="BW546" s="31"/>
      <c r="BX546" s="31"/>
      <c r="BZ546" s="34"/>
    </row>
    <row r="547" spans="31:78" ht="15" x14ac:dyDescent="0.25">
      <c r="AE547" s="23" t="s">
        <v>362</v>
      </c>
      <c r="AF547">
        <v>0</v>
      </c>
      <c r="AJ547" s="34"/>
      <c r="AK547" s="24"/>
      <c r="AL547" s="24"/>
      <c r="AM547" s="24"/>
      <c r="AN547" s="24"/>
      <c r="AO547" s="24"/>
      <c r="AP547" s="24"/>
      <c r="AQ547" s="25"/>
      <c r="AR547" s="33"/>
      <c r="AS547" s="24"/>
      <c r="AT547" s="24"/>
      <c r="AU547" s="24"/>
      <c r="AV547" s="24"/>
      <c r="AW547" s="24"/>
      <c r="AX547" s="24"/>
      <c r="AY547" s="24"/>
      <c r="AZ547" s="24"/>
      <c r="BA547" s="24"/>
      <c r="BB547" s="24"/>
      <c r="BC547" s="24"/>
      <c r="BD547" s="24"/>
      <c r="BE547" s="24"/>
      <c r="BF547" s="24"/>
      <c r="BG547" s="24"/>
      <c r="BT547" s="34"/>
      <c r="BU547" s="23" t="s">
        <v>431</v>
      </c>
      <c r="BV547" s="22">
        <v>0</v>
      </c>
      <c r="BW547" s="31"/>
      <c r="BX547" s="31"/>
      <c r="BZ547" s="34"/>
    </row>
    <row r="548" spans="31:78" ht="15" x14ac:dyDescent="0.25">
      <c r="AE548" s="23" t="s">
        <v>473</v>
      </c>
      <c r="AF548">
        <v>0</v>
      </c>
      <c r="AJ548" s="34"/>
      <c r="AK548" s="24"/>
      <c r="AL548" s="24"/>
      <c r="AM548" s="24"/>
      <c r="AN548" s="24"/>
      <c r="AO548" s="24"/>
      <c r="AP548" s="24"/>
      <c r="AQ548" s="49"/>
      <c r="AR548" s="33"/>
      <c r="AS548" s="24"/>
      <c r="AT548" s="24"/>
      <c r="AU548" s="24"/>
      <c r="AV548" s="24"/>
      <c r="AW548" s="24"/>
      <c r="AX548" s="24"/>
      <c r="AY548" s="24"/>
      <c r="AZ548" s="24"/>
      <c r="BA548" s="24"/>
      <c r="BB548" s="24"/>
      <c r="BC548" s="24"/>
      <c r="BD548" s="24"/>
      <c r="BE548" s="24"/>
      <c r="BF548" s="24"/>
      <c r="BG548" s="24"/>
      <c r="BT548" s="34"/>
      <c r="BU548" s="23" t="s">
        <v>432</v>
      </c>
      <c r="BV548" s="22">
        <v>1</v>
      </c>
      <c r="BW548" s="31"/>
      <c r="BX548" s="31"/>
      <c r="BZ548" s="34"/>
    </row>
    <row r="549" spans="31:78" ht="15" x14ac:dyDescent="0.25">
      <c r="AE549" s="23" t="s">
        <v>474</v>
      </c>
      <c r="AF549">
        <v>0</v>
      </c>
      <c r="AJ549" s="34"/>
      <c r="AK549" s="24"/>
      <c r="AL549" s="24"/>
      <c r="AM549" s="24"/>
      <c r="AN549" s="24"/>
      <c r="AO549" s="24"/>
      <c r="AP549" s="24"/>
      <c r="AQ549" s="49"/>
      <c r="AR549" s="33"/>
      <c r="AS549" s="24"/>
      <c r="AT549" s="24"/>
      <c r="AU549" s="24"/>
      <c r="AV549" s="24"/>
      <c r="AW549" s="33"/>
      <c r="AX549" s="24"/>
      <c r="AY549" s="24"/>
      <c r="AZ549" s="24"/>
      <c r="BA549" s="24"/>
      <c r="BB549" s="24"/>
      <c r="BC549" s="33"/>
      <c r="BD549" s="24"/>
      <c r="BE549" s="24"/>
      <c r="BF549" s="24"/>
      <c r="BG549" s="24"/>
      <c r="BT549" s="34"/>
      <c r="BU549" s="23" t="s">
        <v>433</v>
      </c>
      <c r="BV549" s="22">
        <v>0</v>
      </c>
      <c r="BW549" s="31"/>
      <c r="BX549" s="31"/>
      <c r="BZ549" s="34"/>
    </row>
    <row r="550" spans="31:78" ht="15" x14ac:dyDescent="0.25">
      <c r="AE550" s="23" t="s">
        <v>475</v>
      </c>
      <c r="AF550">
        <v>0</v>
      </c>
      <c r="AJ550" s="34"/>
      <c r="AK550" s="24"/>
      <c r="AL550" s="24"/>
      <c r="AM550" s="24"/>
      <c r="AN550" s="24"/>
      <c r="AO550" s="24"/>
      <c r="AP550" s="24"/>
      <c r="AQ550" s="49"/>
      <c r="AR550" s="33"/>
      <c r="AS550" s="24"/>
      <c r="AT550" s="24"/>
      <c r="AU550" s="24"/>
      <c r="AV550" s="24"/>
      <c r="AW550" s="33"/>
      <c r="AX550" s="33"/>
      <c r="AY550" s="33"/>
      <c r="AZ550" s="33"/>
      <c r="BA550" s="24"/>
      <c r="BB550" s="24"/>
      <c r="BC550" s="33"/>
      <c r="BD550" s="33"/>
      <c r="BE550" s="33"/>
      <c r="BF550" s="33"/>
      <c r="BG550" s="24"/>
      <c r="BT550" s="34"/>
      <c r="BU550" s="23" t="s">
        <v>434</v>
      </c>
      <c r="BV550" s="22">
        <v>0</v>
      </c>
      <c r="BW550" s="31"/>
      <c r="BX550" s="31"/>
      <c r="BZ550" s="34"/>
    </row>
    <row r="551" spans="31:78" x14ac:dyDescent="0.2">
      <c r="AE551" s="34"/>
      <c r="AF551" s="34"/>
      <c r="AG551" s="34"/>
      <c r="AH551" s="34"/>
      <c r="AI551" s="34"/>
      <c r="AJ551" s="34"/>
      <c r="AK551" s="24"/>
      <c r="AL551" s="24"/>
      <c r="AM551" s="24"/>
      <c r="AN551" s="24"/>
      <c r="AO551" s="24"/>
      <c r="AP551" s="24"/>
      <c r="AQ551" s="49"/>
      <c r="AR551" s="33"/>
      <c r="AS551" s="24"/>
      <c r="AT551" s="24"/>
      <c r="AU551" s="24"/>
      <c r="AV551" s="24"/>
      <c r="AW551" s="49"/>
      <c r="AX551" s="33"/>
      <c r="AY551" s="33"/>
      <c r="AZ551" s="33"/>
      <c r="BA551" s="24"/>
      <c r="BB551" s="24"/>
      <c r="BC551" s="49"/>
      <c r="BD551" s="33"/>
      <c r="BE551" s="33"/>
      <c r="BF551" s="33"/>
      <c r="BG551" s="24"/>
      <c r="BT551" s="34"/>
      <c r="BU551" s="34"/>
      <c r="BV551" s="34"/>
      <c r="BW551" s="34"/>
      <c r="BX551" s="34"/>
      <c r="BY551" s="34"/>
      <c r="BZ551" s="34"/>
    </row>
    <row r="552" spans="31:78" x14ac:dyDescent="0.2">
      <c r="AE552" s="31" t="s">
        <v>100</v>
      </c>
      <c r="AF552" s="32" t="s">
        <v>67</v>
      </c>
      <c r="AG552" s="31"/>
      <c r="AH552" s="31"/>
      <c r="AJ552" s="34"/>
      <c r="AK552" s="24"/>
      <c r="AL552" s="24"/>
      <c r="AM552" s="24"/>
      <c r="AN552" s="24"/>
      <c r="AO552" s="24"/>
      <c r="AP552" s="24"/>
      <c r="AQ552" s="49"/>
      <c r="AR552" s="33"/>
      <c r="AS552" s="24"/>
      <c r="AT552" s="24"/>
      <c r="AU552" s="24"/>
      <c r="AV552" s="24"/>
      <c r="AW552" s="49"/>
      <c r="AX552" s="33"/>
      <c r="AY552" s="33"/>
      <c r="AZ552" s="33"/>
      <c r="BA552" s="24"/>
      <c r="BB552" s="24"/>
      <c r="BC552" s="49"/>
      <c r="BD552" s="33"/>
      <c r="BE552" s="33"/>
      <c r="BF552" s="33"/>
      <c r="BG552" s="24"/>
      <c r="BT552" s="34"/>
      <c r="BU552" s="19" t="s">
        <v>100</v>
      </c>
      <c r="BV552" s="35" t="s">
        <v>61</v>
      </c>
      <c r="BZ552" s="34"/>
    </row>
    <row r="553" spans="31:78" x14ac:dyDescent="0.2">
      <c r="AE553" s="31" t="s">
        <v>101</v>
      </c>
      <c r="AF553" s="12" t="s">
        <v>27</v>
      </c>
      <c r="AG553" s="31"/>
      <c r="AH553" s="31"/>
      <c r="AJ553" s="34"/>
      <c r="AK553" s="24"/>
      <c r="AL553" s="24"/>
      <c r="AM553" s="24"/>
      <c r="AN553" s="24"/>
      <c r="AO553" s="24"/>
      <c r="AP553" s="24"/>
      <c r="AQ553" s="49"/>
      <c r="AR553" s="33"/>
      <c r="AS553" s="24"/>
      <c r="AT553" s="24"/>
      <c r="AU553" s="24"/>
      <c r="AV553" s="24"/>
      <c r="AW553" s="49"/>
      <c r="AX553" s="33"/>
      <c r="AY553" s="33"/>
      <c r="AZ553" s="33"/>
      <c r="BA553" s="24"/>
      <c r="BB553" s="24"/>
      <c r="BC553" s="49"/>
      <c r="BD553" s="33"/>
      <c r="BE553" s="33"/>
      <c r="BF553" s="33"/>
      <c r="BG553" s="24"/>
      <c r="BT553" s="34"/>
      <c r="BV553" s="12" t="s">
        <v>24</v>
      </c>
      <c r="BZ553" s="34"/>
    </row>
    <row r="554" spans="31:78" x14ac:dyDescent="0.2">
      <c r="AE554" s="31" t="s">
        <v>102</v>
      </c>
      <c r="AF554" s="31" t="s">
        <v>71</v>
      </c>
      <c r="AG554" s="31" t="s">
        <v>103</v>
      </c>
      <c r="AH554" s="31" t="s">
        <v>104</v>
      </c>
      <c r="AJ554" s="34"/>
      <c r="AK554" s="24"/>
      <c r="AL554" s="24"/>
      <c r="AM554" s="24"/>
      <c r="AN554" s="24"/>
      <c r="AO554" s="24"/>
      <c r="AP554" s="24"/>
      <c r="AQ554" s="49"/>
      <c r="AR554" s="33"/>
      <c r="AS554" s="24"/>
      <c r="AT554" s="24"/>
      <c r="AU554" s="24"/>
      <c r="AV554" s="24"/>
      <c r="AW554" s="49"/>
      <c r="AX554" s="33"/>
      <c r="AY554" s="33"/>
      <c r="AZ554" s="33"/>
      <c r="BA554" s="24"/>
      <c r="BB554" s="24"/>
      <c r="BC554" s="49"/>
      <c r="BD554" s="33"/>
      <c r="BE554" s="33"/>
      <c r="BF554" s="33"/>
      <c r="BG554" s="24"/>
      <c r="BT554" s="34"/>
      <c r="BU554" s="31" t="s">
        <v>102</v>
      </c>
      <c r="BV554" s="31" t="s">
        <v>71</v>
      </c>
      <c r="BW554" s="31" t="s">
        <v>103</v>
      </c>
      <c r="BX554" s="31" t="s">
        <v>104</v>
      </c>
      <c r="BZ554" s="34"/>
    </row>
    <row r="555" spans="31:78" ht="15" x14ac:dyDescent="0.25">
      <c r="AE555" s="23" t="s">
        <v>453</v>
      </c>
      <c r="AF555">
        <v>0</v>
      </c>
      <c r="AG555" s="31" t="s">
        <v>106</v>
      </c>
      <c r="AH555" s="31">
        <f>SUM(AF555:AF579)</f>
        <v>34</v>
      </c>
      <c r="AJ555" s="34"/>
      <c r="AK555" s="24"/>
      <c r="AL555" s="24"/>
      <c r="AM555" s="24"/>
      <c r="AN555" s="24"/>
      <c r="AO555" s="24"/>
      <c r="AP555" s="24"/>
      <c r="AQ555" s="49"/>
      <c r="AR555" s="33"/>
      <c r="AS555" s="24"/>
      <c r="AT555" s="24"/>
      <c r="AU555" s="24"/>
      <c r="AV555" s="24"/>
      <c r="AW555" s="49"/>
      <c r="AX555" s="33"/>
      <c r="AY555" s="33"/>
      <c r="AZ555" s="33"/>
      <c r="BA555" s="24"/>
      <c r="BB555" s="24"/>
      <c r="BC555" s="49"/>
      <c r="BD555" s="33"/>
      <c r="BE555" s="33"/>
      <c r="BF555" s="33"/>
      <c r="BG555" s="24"/>
      <c r="BT555" s="34"/>
      <c r="BU555" s="23" t="s">
        <v>412</v>
      </c>
      <c r="BV555" s="22">
        <v>0</v>
      </c>
      <c r="BW555" s="31" t="s">
        <v>106</v>
      </c>
      <c r="BX555" s="31">
        <f>SUM(BV555:BV579)</f>
        <v>6</v>
      </c>
      <c r="BZ555" s="34"/>
    </row>
    <row r="556" spans="31:78" ht="15" x14ac:dyDescent="0.25">
      <c r="AE556" s="23" t="s">
        <v>454</v>
      </c>
      <c r="AF556">
        <v>0</v>
      </c>
      <c r="AG556" s="31" t="s">
        <v>115</v>
      </c>
      <c r="AH556" s="31">
        <f>MIN(AF555:AF579)</f>
        <v>0</v>
      </c>
      <c r="AJ556" s="34"/>
      <c r="AK556" s="24"/>
      <c r="AL556" s="24"/>
      <c r="AM556" s="24"/>
      <c r="AN556" s="24"/>
      <c r="AO556" s="24"/>
      <c r="AP556" s="24"/>
      <c r="AQ556" s="49"/>
      <c r="AR556" s="33"/>
      <c r="AS556" s="24"/>
      <c r="AT556" s="24"/>
      <c r="AU556" s="24"/>
      <c r="AV556" s="24"/>
      <c r="AW556" s="49"/>
      <c r="AX556" s="33"/>
      <c r="AY556" s="33"/>
      <c r="AZ556" s="33"/>
      <c r="BA556" s="24"/>
      <c r="BB556" s="24"/>
      <c r="BC556" s="49"/>
      <c r="BD556" s="33"/>
      <c r="BE556" s="33"/>
      <c r="BF556" s="33"/>
      <c r="BG556" s="24"/>
      <c r="BT556" s="34"/>
      <c r="BU556" s="22" t="s">
        <v>244</v>
      </c>
      <c r="BV556" s="22">
        <v>0</v>
      </c>
      <c r="BW556" s="31" t="s">
        <v>115</v>
      </c>
      <c r="BX556" s="31">
        <f>MIN(BV555:BV579)</f>
        <v>0</v>
      </c>
      <c r="BZ556" s="34"/>
    </row>
    <row r="557" spans="31:78" ht="15" x14ac:dyDescent="0.25">
      <c r="AE557" s="23" t="s">
        <v>455</v>
      </c>
      <c r="AF557">
        <v>0</v>
      </c>
      <c r="AG557" s="31" t="s">
        <v>122</v>
      </c>
      <c r="AH557" s="31">
        <f>MAX(AF555:AF579)</f>
        <v>6</v>
      </c>
      <c r="AJ557" s="34"/>
      <c r="AK557" s="24"/>
      <c r="AL557" s="24"/>
      <c r="AM557" s="24"/>
      <c r="AN557" s="24"/>
      <c r="AO557" s="24"/>
      <c r="AP557" s="24"/>
      <c r="AQ557" s="49"/>
      <c r="AR557" s="33"/>
      <c r="AS557" s="24"/>
      <c r="AT557" s="24"/>
      <c r="AU557" s="24"/>
      <c r="AV557" s="24"/>
      <c r="AW557" s="49"/>
      <c r="AX557" s="33"/>
      <c r="AY557" s="33"/>
      <c r="AZ557" s="33"/>
      <c r="BA557" s="24"/>
      <c r="BB557" s="24"/>
      <c r="BC557" s="49"/>
      <c r="BD557" s="33"/>
      <c r="BE557" s="33"/>
      <c r="BF557" s="33"/>
      <c r="BG557" s="24"/>
      <c r="BT557" s="34"/>
      <c r="BU557" s="22" t="s">
        <v>119</v>
      </c>
      <c r="BV557" s="22">
        <v>0</v>
      </c>
      <c r="BW557" s="31" t="s">
        <v>122</v>
      </c>
      <c r="BX557" s="31">
        <f>MAX(BV555:BV579)</f>
        <v>2</v>
      </c>
      <c r="BZ557" s="34"/>
    </row>
    <row r="558" spans="31:78" ht="15" x14ac:dyDescent="0.25">
      <c r="AE558" s="23" t="s">
        <v>456</v>
      </c>
      <c r="AF558">
        <v>1</v>
      </c>
      <c r="AG558" s="31" t="s">
        <v>129</v>
      </c>
      <c r="AH558" s="31">
        <f>VAR(AF555:AF579)</f>
        <v>1.99</v>
      </c>
      <c r="AJ558" s="34"/>
      <c r="AK558" s="24"/>
      <c r="AL558" s="24"/>
      <c r="AM558" s="24"/>
      <c r="AN558" s="24"/>
      <c r="AO558" s="24"/>
      <c r="AP558" s="24"/>
      <c r="AQ558" s="49"/>
      <c r="AR558" s="33"/>
      <c r="AS558" s="24"/>
      <c r="AT558" s="24"/>
      <c r="AU558" s="24"/>
      <c r="AV558" s="24"/>
      <c r="AW558" s="49"/>
      <c r="AX558" s="33"/>
      <c r="AY558" s="33"/>
      <c r="AZ558" s="33"/>
      <c r="BA558" s="24"/>
      <c r="BB558" s="24"/>
      <c r="BC558" s="49"/>
      <c r="BD558" s="33"/>
      <c r="BE558" s="33"/>
      <c r="BF558" s="33"/>
      <c r="BG558" s="24"/>
      <c r="BT558" s="34"/>
      <c r="BU558" s="22" t="s">
        <v>413</v>
      </c>
      <c r="BV558" s="22">
        <v>0</v>
      </c>
      <c r="BW558" s="31" t="s">
        <v>129</v>
      </c>
      <c r="BX558" s="31">
        <f>VAR(BV555:BV579)</f>
        <v>0.27333333333333337</v>
      </c>
      <c r="BZ558" s="34"/>
    </row>
    <row r="559" spans="31:78" ht="15" x14ac:dyDescent="0.25">
      <c r="AE559" s="23" t="s">
        <v>259</v>
      </c>
      <c r="AF559">
        <v>0</v>
      </c>
      <c r="AG559" s="31" t="s">
        <v>138</v>
      </c>
      <c r="AH559" s="31">
        <f>AVERAGE(AF555:AF579)</f>
        <v>1.36</v>
      </c>
      <c r="AJ559" s="34"/>
      <c r="AK559" s="24"/>
      <c r="AL559" s="24"/>
      <c r="AM559" s="24"/>
      <c r="AN559" s="24"/>
      <c r="AO559" s="24"/>
      <c r="AP559" s="24"/>
      <c r="AQ559" s="49"/>
      <c r="AR559" s="33"/>
      <c r="AS559" s="24"/>
      <c r="AT559" s="24"/>
      <c r="AU559" s="24"/>
      <c r="AV559" s="24"/>
      <c r="AW559" s="49"/>
      <c r="AX559" s="33"/>
      <c r="AY559" s="33"/>
      <c r="AZ559" s="33"/>
      <c r="BA559" s="24"/>
      <c r="BB559" s="24"/>
      <c r="BC559" s="49"/>
      <c r="BD559" s="33"/>
      <c r="BE559" s="33"/>
      <c r="BF559" s="33"/>
      <c r="BG559" s="24"/>
      <c r="BT559" s="34"/>
      <c r="BU559" s="22" t="s">
        <v>414</v>
      </c>
      <c r="BV559" s="22">
        <v>1</v>
      </c>
      <c r="BW559" s="31" t="s">
        <v>138</v>
      </c>
      <c r="BX559" s="31">
        <f>AVERAGE(BV555:BV579)</f>
        <v>0.24</v>
      </c>
      <c r="BZ559" s="34"/>
    </row>
    <row r="560" spans="31:78" ht="15" x14ac:dyDescent="0.25">
      <c r="AE560" s="23" t="s">
        <v>457</v>
      </c>
      <c r="AF560">
        <v>2</v>
      </c>
      <c r="AG560" s="31" t="s">
        <v>144</v>
      </c>
      <c r="AH560" s="31">
        <f>STDEV(AF555:AF579)</f>
        <v>1.4106735979665885</v>
      </c>
      <c r="AJ560" s="34"/>
      <c r="AK560" s="24"/>
      <c r="AL560" s="24"/>
      <c r="AM560" s="24"/>
      <c r="AN560" s="24"/>
      <c r="AO560" s="24"/>
      <c r="AP560" s="24"/>
      <c r="AQ560" s="49"/>
      <c r="AR560" s="33"/>
      <c r="AS560" s="24"/>
      <c r="AT560" s="24"/>
      <c r="AU560" s="24"/>
      <c r="AV560" s="24"/>
      <c r="AW560" s="49"/>
      <c r="AX560" s="33"/>
      <c r="AY560" s="33"/>
      <c r="AZ560" s="33"/>
      <c r="BA560" s="24"/>
      <c r="BB560" s="24"/>
      <c r="BC560" s="49"/>
      <c r="BD560" s="33"/>
      <c r="BE560" s="33"/>
      <c r="BF560" s="33"/>
      <c r="BG560" s="24"/>
      <c r="BT560" s="34"/>
      <c r="BU560" s="22" t="s">
        <v>415</v>
      </c>
      <c r="BV560" s="22">
        <v>0</v>
      </c>
      <c r="BW560" s="31" t="s">
        <v>144</v>
      </c>
      <c r="BX560" s="31">
        <f>STDEV(BV555:BV579)</f>
        <v>0.52281290471193742</v>
      </c>
      <c r="BZ560" s="34"/>
    </row>
    <row r="561" spans="31:78" ht="15" x14ac:dyDescent="0.25">
      <c r="AE561" s="23" t="s">
        <v>458</v>
      </c>
      <c r="AF561">
        <v>6</v>
      </c>
      <c r="AG561" s="31"/>
      <c r="AH561" s="31"/>
      <c r="AJ561" s="34"/>
      <c r="AK561" s="24"/>
      <c r="AL561" s="24"/>
      <c r="AM561" s="24"/>
      <c r="AN561" s="24"/>
      <c r="AO561" s="24"/>
      <c r="AP561" s="24"/>
      <c r="AQ561" s="49"/>
      <c r="AR561" s="33"/>
      <c r="AS561" s="24"/>
      <c r="AT561" s="24"/>
      <c r="AU561" s="24"/>
      <c r="AV561" s="24"/>
      <c r="AW561" s="49"/>
      <c r="AX561" s="33"/>
      <c r="AY561" s="33"/>
      <c r="AZ561" s="33"/>
      <c r="BA561" s="24"/>
      <c r="BB561" s="24"/>
      <c r="BC561" s="49"/>
      <c r="BD561" s="33"/>
      <c r="BE561" s="33"/>
      <c r="BF561" s="33"/>
      <c r="BG561" s="24"/>
      <c r="BT561" s="34"/>
      <c r="BU561" s="22" t="s">
        <v>416</v>
      </c>
      <c r="BV561" s="22">
        <v>1</v>
      </c>
      <c r="BW561" s="31"/>
      <c r="BX561" s="31"/>
      <c r="BZ561" s="34"/>
    </row>
    <row r="562" spans="31:78" ht="15" x14ac:dyDescent="0.25">
      <c r="AE562" s="23" t="s">
        <v>459</v>
      </c>
      <c r="AF562">
        <v>3</v>
      </c>
      <c r="AG562" s="31"/>
      <c r="AH562" s="31"/>
      <c r="AJ562" s="34"/>
      <c r="AK562" s="24"/>
      <c r="AL562" s="24"/>
      <c r="AM562" s="24"/>
      <c r="AN562" s="24"/>
      <c r="AO562" s="24"/>
      <c r="AP562" s="24"/>
      <c r="AQ562" s="49"/>
      <c r="AR562" s="33"/>
      <c r="AS562" s="24"/>
      <c r="AT562" s="24"/>
      <c r="AU562" s="24"/>
      <c r="AV562" s="24"/>
      <c r="AW562" s="49"/>
      <c r="AX562" s="33"/>
      <c r="AY562" s="33"/>
      <c r="AZ562" s="33"/>
      <c r="BA562" s="24"/>
      <c r="BB562" s="24"/>
      <c r="BC562" s="49"/>
      <c r="BD562" s="33"/>
      <c r="BE562" s="33"/>
      <c r="BF562" s="33"/>
      <c r="BG562" s="24"/>
      <c r="BT562" s="34"/>
      <c r="BU562" s="22" t="s">
        <v>417</v>
      </c>
      <c r="BV562" s="22">
        <v>0</v>
      </c>
      <c r="BW562" s="31"/>
      <c r="BX562" s="31"/>
      <c r="BZ562" s="34"/>
    </row>
    <row r="563" spans="31:78" ht="15" x14ac:dyDescent="0.25">
      <c r="AE563" s="23" t="s">
        <v>460</v>
      </c>
      <c r="AF563">
        <v>3</v>
      </c>
      <c r="AG563" s="33"/>
      <c r="AH563" s="33"/>
      <c r="AJ563" s="34"/>
      <c r="AK563" s="24"/>
      <c r="AL563" s="24"/>
      <c r="AM563" s="24"/>
      <c r="AN563" s="24"/>
      <c r="AO563" s="24"/>
      <c r="AP563" s="24"/>
      <c r="AQ563" s="49"/>
      <c r="AR563" s="33"/>
      <c r="AS563" s="24"/>
      <c r="AT563" s="24"/>
      <c r="AU563" s="24"/>
      <c r="AV563" s="24"/>
      <c r="AW563" s="25"/>
      <c r="AX563" s="33"/>
      <c r="AY563" s="24"/>
      <c r="AZ563" s="24"/>
      <c r="BA563" s="24"/>
      <c r="BB563" s="24"/>
      <c r="BC563" s="25"/>
      <c r="BD563" s="33"/>
      <c r="BE563" s="24"/>
      <c r="BF563" s="24"/>
      <c r="BG563" s="24"/>
      <c r="BT563" s="34"/>
      <c r="BU563" s="22" t="s">
        <v>418</v>
      </c>
      <c r="BV563" s="22">
        <v>0</v>
      </c>
      <c r="BW563" s="31"/>
      <c r="BX563" s="31"/>
      <c r="BZ563" s="34"/>
    </row>
    <row r="564" spans="31:78" ht="15" x14ac:dyDescent="0.25">
      <c r="AE564" s="23" t="s">
        <v>461</v>
      </c>
      <c r="AF564">
        <v>2</v>
      </c>
      <c r="AG564" s="31"/>
      <c r="AH564" s="31"/>
      <c r="AJ564" s="34"/>
      <c r="AK564" s="24"/>
      <c r="AL564" s="24"/>
      <c r="AM564" s="24"/>
      <c r="AN564" s="24"/>
      <c r="AO564" s="24"/>
      <c r="AP564" s="24"/>
      <c r="AQ564" s="49"/>
      <c r="AR564" s="33"/>
      <c r="AS564" s="24"/>
      <c r="AT564" s="24"/>
      <c r="AU564" s="24"/>
      <c r="AV564" s="24"/>
      <c r="AW564" s="49"/>
      <c r="AX564" s="33"/>
      <c r="AY564" s="24"/>
      <c r="AZ564" s="24"/>
      <c r="BA564" s="24"/>
      <c r="BB564" s="24"/>
      <c r="BC564" s="49"/>
      <c r="BD564" s="33"/>
      <c r="BE564" s="24"/>
      <c r="BF564" s="24"/>
      <c r="BG564" s="24"/>
      <c r="BT564" s="34"/>
      <c r="BU564" s="22" t="s">
        <v>419</v>
      </c>
      <c r="BV564" s="22">
        <v>0</v>
      </c>
      <c r="BW564" s="31"/>
      <c r="BX564" s="31"/>
      <c r="BZ564" s="34"/>
    </row>
    <row r="565" spans="31:78" ht="15" x14ac:dyDescent="0.25">
      <c r="AE565" s="23" t="s">
        <v>462</v>
      </c>
      <c r="AF565">
        <v>0</v>
      </c>
      <c r="AG565" s="24"/>
      <c r="AH565" s="24"/>
      <c r="AJ565" s="34"/>
      <c r="AK565" s="24"/>
      <c r="AL565" s="24"/>
      <c r="AM565" s="24"/>
      <c r="AN565" s="24"/>
      <c r="AO565" s="24"/>
      <c r="AP565" s="24"/>
      <c r="AQ565" s="49"/>
      <c r="AR565" s="33"/>
      <c r="AS565" s="24"/>
      <c r="AT565" s="24"/>
      <c r="AU565" s="24"/>
      <c r="AV565" s="24"/>
      <c r="AW565" s="49"/>
      <c r="AX565" s="33"/>
      <c r="AY565" s="24"/>
      <c r="AZ565" s="24"/>
      <c r="BA565" s="24"/>
      <c r="BB565" s="24"/>
      <c r="BC565" s="49"/>
      <c r="BD565" s="33"/>
      <c r="BE565" s="24"/>
      <c r="BF565" s="24"/>
      <c r="BG565" s="24"/>
      <c r="BT565" s="34"/>
      <c r="BU565" s="22" t="s">
        <v>420</v>
      </c>
      <c r="BV565" s="22">
        <v>1</v>
      </c>
      <c r="BW565" s="31"/>
      <c r="BX565" s="31"/>
      <c r="BZ565" s="34"/>
    </row>
    <row r="566" spans="31:78" ht="15" x14ac:dyDescent="0.25">
      <c r="AE566" s="23" t="s">
        <v>463</v>
      </c>
      <c r="AF566">
        <v>0</v>
      </c>
      <c r="AG566" s="31"/>
      <c r="AH566" s="31"/>
      <c r="AJ566" s="34"/>
      <c r="AK566" s="24"/>
      <c r="AL566" s="24"/>
      <c r="AM566" s="24"/>
      <c r="AN566" s="24"/>
      <c r="AO566" s="24"/>
      <c r="AP566" s="24"/>
      <c r="AQ566" s="49"/>
      <c r="AR566" s="33"/>
      <c r="AS566" s="24"/>
      <c r="AT566" s="24"/>
      <c r="AU566" s="24"/>
      <c r="AV566" s="24"/>
      <c r="AW566" s="49"/>
      <c r="AX566" s="33"/>
      <c r="AY566" s="24"/>
      <c r="AZ566" s="24"/>
      <c r="BA566" s="24"/>
      <c r="BB566" s="24"/>
      <c r="BC566" s="49"/>
      <c r="BD566" s="33"/>
      <c r="BE566" s="24"/>
      <c r="BF566" s="24"/>
      <c r="BG566" s="24"/>
      <c r="BT566" s="34"/>
      <c r="BU566" s="22" t="s">
        <v>421</v>
      </c>
      <c r="BV566" s="22">
        <v>1</v>
      </c>
      <c r="BW566" s="31"/>
      <c r="BX566" s="31"/>
      <c r="BZ566" s="34"/>
    </row>
    <row r="567" spans="31:78" ht="15" x14ac:dyDescent="0.25">
      <c r="AE567" s="23" t="s">
        <v>464</v>
      </c>
      <c r="AF567">
        <v>3</v>
      </c>
      <c r="AG567" s="31"/>
      <c r="AH567" s="31"/>
      <c r="AJ567" s="34"/>
      <c r="AK567" s="24"/>
      <c r="AL567" s="24"/>
      <c r="AM567" s="24"/>
      <c r="AN567" s="24"/>
      <c r="AO567" s="24"/>
      <c r="AP567" s="24"/>
      <c r="AQ567" s="49"/>
      <c r="AR567" s="33"/>
      <c r="AS567" s="24"/>
      <c r="AT567" s="24"/>
      <c r="AU567" s="24"/>
      <c r="AV567" s="24"/>
      <c r="AW567" s="49"/>
      <c r="AX567" s="33"/>
      <c r="AY567" s="24"/>
      <c r="AZ567" s="24"/>
      <c r="BA567" s="24"/>
      <c r="BB567" s="24"/>
      <c r="BC567" s="49"/>
      <c r="BD567" s="33"/>
      <c r="BE567" s="24"/>
      <c r="BF567" s="24"/>
      <c r="BG567" s="24"/>
      <c r="BT567" s="34"/>
      <c r="BU567" s="22" t="s">
        <v>422</v>
      </c>
      <c r="BV567" s="22">
        <v>0</v>
      </c>
      <c r="BW567" s="31"/>
      <c r="BX567" s="31"/>
      <c r="BZ567" s="34"/>
    </row>
    <row r="568" spans="31:78" ht="15" x14ac:dyDescent="0.25">
      <c r="AE568" s="23" t="s">
        <v>465</v>
      </c>
      <c r="AF568">
        <v>2</v>
      </c>
      <c r="AG568" s="31"/>
      <c r="AH568" s="31"/>
      <c r="AJ568" s="34"/>
      <c r="AK568" s="24"/>
      <c r="AL568" s="24"/>
      <c r="AM568" s="24"/>
      <c r="AN568" s="24"/>
      <c r="AO568" s="24"/>
      <c r="AP568" s="24"/>
      <c r="AQ568" s="49"/>
      <c r="AR568" s="33"/>
      <c r="AS568" s="24"/>
      <c r="AT568" s="24"/>
      <c r="AU568" s="24"/>
      <c r="AV568" s="24"/>
      <c r="AW568" s="49"/>
      <c r="AX568" s="33"/>
      <c r="AY568" s="24"/>
      <c r="AZ568" s="24"/>
      <c r="BA568" s="24"/>
      <c r="BB568" s="24"/>
      <c r="BC568" s="49"/>
      <c r="BD568" s="33"/>
      <c r="BE568" s="24"/>
      <c r="BF568" s="24"/>
      <c r="BG568" s="24"/>
      <c r="BT568" s="34"/>
      <c r="BU568" s="23" t="s">
        <v>423</v>
      </c>
      <c r="BV568" s="22">
        <v>0</v>
      </c>
      <c r="BW568" s="31"/>
      <c r="BX568" s="31"/>
      <c r="BZ568" s="34"/>
    </row>
    <row r="569" spans="31:78" ht="15" x14ac:dyDescent="0.25">
      <c r="AE569" s="23" t="s">
        <v>466</v>
      </c>
      <c r="AF569">
        <v>1</v>
      </c>
      <c r="AG569" s="31"/>
      <c r="AH569" s="31"/>
      <c r="AJ569" s="34"/>
      <c r="AK569" s="24"/>
      <c r="AL569" s="24"/>
      <c r="AM569" s="24"/>
      <c r="AN569" s="24"/>
      <c r="AO569" s="24"/>
      <c r="AP569" s="24"/>
      <c r="AQ569" s="49"/>
      <c r="AR569" s="33"/>
      <c r="AS569" s="24"/>
      <c r="AT569" s="24"/>
      <c r="AU569" s="24"/>
      <c r="AV569" s="24"/>
      <c r="AW569" s="49"/>
      <c r="AX569" s="33"/>
      <c r="AY569" s="24"/>
      <c r="AZ569" s="24"/>
      <c r="BA569" s="24"/>
      <c r="BB569" s="24"/>
      <c r="BC569" s="49"/>
      <c r="BD569" s="33"/>
      <c r="BE569" s="24"/>
      <c r="BF569" s="24"/>
      <c r="BG569" s="24"/>
      <c r="BT569" s="34"/>
      <c r="BU569" s="22" t="s">
        <v>424</v>
      </c>
      <c r="BV569" s="22">
        <v>0</v>
      </c>
      <c r="BW569" s="31"/>
      <c r="BX569" s="31"/>
      <c r="BZ569" s="34"/>
    </row>
    <row r="570" spans="31:78" ht="15" x14ac:dyDescent="0.25">
      <c r="AE570" s="23" t="s">
        <v>467</v>
      </c>
      <c r="AF570">
        <v>1</v>
      </c>
      <c r="AG570" s="31"/>
      <c r="AH570" s="31"/>
      <c r="AJ570" s="34"/>
      <c r="AK570" s="33"/>
      <c r="AL570" s="33"/>
      <c r="AM570" s="24"/>
      <c r="AN570" s="24"/>
      <c r="AO570" s="24"/>
      <c r="AP570" s="24"/>
      <c r="AQ570" s="49"/>
      <c r="AR570" s="33"/>
      <c r="AS570" s="24"/>
      <c r="AT570" s="24"/>
      <c r="AU570" s="24"/>
      <c r="AV570" s="24"/>
      <c r="AW570" s="49"/>
      <c r="AX570" s="33"/>
      <c r="AY570" s="24"/>
      <c r="AZ570" s="24"/>
      <c r="BA570" s="24"/>
      <c r="BB570" s="24"/>
      <c r="BC570" s="49"/>
      <c r="BD570" s="33"/>
      <c r="BE570" s="24"/>
      <c r="BF570" s="24"/>
      <c r="BG570" s="24"/>
      <c r="BT570" s="34"/>
      <c r="BU570" s="23" t="s">
        <v>425</v>
      </c>
      <c r="BV570" s="22">
        <v>0</v>
      </c>
      <c r="BW570" s="31"/>
      <c r="BX570" s="31"/>
      <c r="BZ570" s="34"/>
    </row>
    <row r="571" spans="31:78" ht="15" x14ac:dyDescent="0.25">
      <c r="AE571" s="23" t="s">
        <v>468</v>
      </c>
      <c r="AF571">
        <v>2</v>
      </c>
      <c r="AG571" s="31"/>
      <c r="AH571" s="31"/>
      <c r="AJ571" s="34"/>
      <c r="AK571" s="33"/>
      <c r="AL571" s="33"/>
      <c r="AM571" s="24"/>
      <c r="AN571" s="24"/>
      <c r="AO571" s="24"/>
      <c r="AP571" s="24"/>
      <c r="AQ571" s="49"/>
      <c r="AR571" s="33"/>
      <c r="AS571" s="24"/>
      <c r="AT571" s="24"/>
      <c r="AU571" s="24"/>
      <c r="AV571" s="24"/>
      <c r="AW571" s="49"/>
      <c r="AX571" s="33"/>
      <c r="AY571" s="24"/>
      <c r="AZ571" s="24"/>
      <c r="BA571" s="24"/>
      <c r="BB571" s="24"/>
      <c r="BC571" s="49"/>
      <c r="BD571" s="33"/>
      <c r="BE571" s="24"/>
      <c r="BF571" s="24"/>
      <c r="BG571" s="24"/>
      <c r="BT571" s="34"/>
      <c r="BU571" s="23" t="s">
        <v>426</v>
      </c>
      <c r="BV571" s="22">
        <v>0</v>
      </c>
      <c r="BW571" s="31"/>
      <c r="BX571" s="31"/>
      <c r="BZ571" s="34"/>
    </row>
    <row r="572" spans="31:78" ht="15" x14ac:dyDescent="0.25">
      <c r="AE572" s="23" t="s">
        <v>469</v>
      </c>
      <c r="AF572">
        <v>2</v>
      </c>
      <c r="AG572" s="31"/>
      <c r="AH572" s="31"/>
      <c r="AJ572" s="34"/>
      <c r="AK572" s="33"/>
      <c r="AL572" s="33"/>
      <c r="AM572" s="24"/>
      <c r="AN572" s="24"/>
      <c r="AO572" s="24"/>
      <c r="AP572" s="24"/>
      <c r="AQ572" s="49"/>
      <c r="AR572" s="33"/>
      <c r="AS572" s="24"/>
      <c r="AT572" s="24"/>
      <c r="AU572" s="24"/>
      <c r="AV572" s="24"/>
      <c r="AW572" s="49"/>
      <c r="AX572" s="33"/>
      <c r="AY572" s="24"/>
      <c r="AZ572" s="24"/>
      <c r="BA572" s="24"/>
      <c r="BB572" s="24"/>
      <c r="BC572" s="49"/>
      <c r="BD572" s="33"/>
      <c r="BE572" s="24"/>
      <c r="BF572" s="24"/>
      <c r="BG572" s="24"/>
      <c r="BT572" s="34"/>
      <c r="BU572" s="23" t="s">
        <v>427</v>
      </c>
      <c r="BV572" s="22">
        <v>0</v>
      </c>
      <c r="BW572" s="31"/>
      <c r="BX572" s="31"/>
      <c r="BZ572" s="34"/>
    </row>
    <row r="573" spans="31:78" ht="15" x14ac:dyDescent="0.25">
      <c r="AE573" s="23" t="s">
        <v>470</v>
      </c>
      <c r="AF573">
        <v>0</v>
      </c>
      <c r="AG573" s="31"/>
      <c r="AH573" s="31"/>
      <c r="AJ573" s="34"/>
      <c r="AK573" s="33"/>
      <c r="AL573" s="33"/>
      <c r="AM573" s="24"/>
      <c r="AN573" s="24"/>
      <c r="AO573" s="24"/>
      <c r="AP573" s="24"/>
      <c r="AQ573" s="49"/>
      <c r="AR573" s="33"/>
      <c r="AS573" s="24"/>
      <c r="AT573" s="24"/>
      <c r="AU573" s="24"/>
      <c r="AV573" s="24"/>
      <c r="AW573" s="49"/>
      <c r="AX573" s="33"/>
      <c r="AY573" s="24"/>
      <c r="AZ573" s="24"/>
      <c r="BA573" s="24"/>
      <c r="BB573" s="24"/>
      <c r="BC573" s="49"/>
      <c r="BD573" s="33"/>
      <c r="BE573" s="24"/>
      <c r="BF573" s="24"/>
      <c r="BG573" s="24"/>
      <c r="BT573" s="34"/>
      <c r="BU573" s="23" t="s">
        <v>428</v>
      </c>
      <c r="BV573" s="22">
        <v>0</v>
      </c>
      <c r="BW573" s="31"/>
      <c r="BX573" s="31"/>
      <c r="BZ573" s="34"/>
    </row>
    <row r="574" spans="31:78" ht="15" x14ac:dyDescent="0.25">
      <c r="AE574" s="23" t="s">
        <v>471</v>
      </c>
      <c r="AF574">
        <v>2</v>
      </c>
      <c r="AG574" s="31"/>
      <c r="AH574" s="31"/>
      <c r="AJ574" s="34"/>
      <c r="AK574" s="33"/>
      <c r="AL574" s="33"/>
      <c r="AM574" s="24"/>
      <c r="AN574" s="24"/>
      <c r="AO574" s="24"/>
      <c r="AP574" s="24"/>
      <c r="AQ574" s="49"/>
      <c r="AR574" s="33"/>
      <c r="AS574" s="24"/>
      <c r="AT574" s="24"/>
      <c r="AU574" s="24"/>
      <c r="AV574" s="24"/>
      <c r="AW574" s="49"/>
      <c r="AX574" s="33"/>
      <c r="AY574" s="24"/>
      <c r="AZ574" s="24"/>
      <c r="BA574" s="24"/>
      <c r="BB574" s="24"/>
      <c r="BC574" s="49"/>
      <c r="BD574" s="33"/>
      <c r="BE574" s="24"/>
      <c r="BF574" s="24"/>
      <c r="BG574" s="24"/>
      <c r="BT574" s="34"/>
      <c r="BU574" s="23" t="s">
        <v>429</v>
      </c>
      <c r="BV574" s="22">
        <v>0</v>
      </c>
      <c r="BW574" s="31"/>
      <c r="BX574" s="31"/>
      <c r="BZ574" s="34"/>
    </row>
    <row r="575" spans="31:78" ht="15" x14ac:dyDescent="0.25">
      <c r="AE575" s="23" t="s">
        <v>472</v>
      </c>
      <c r="AF575">
        <v>1</v>
      </c>
      <c r="AJ575" s="34"/>
      <c r="AK575" s="33"/>
      <c r="AL575" s="33"/>
      <c r="AM575" s="24"/>
      <c r="AN575" s="24"/>
      <c r="AO575" s="24"/>
      <c r="AP575" s="24"/>
      <c r="AQ575" s="49"/>
      <c r="AR575" s="33"/>
      <c r="AS575" s="24"/>
      <c r="AT575" s="24"/>
      <c r="AU575" s="24"/>
      <c r="AV575" s="24"/>
      <c r="AW575" s="49"/>
      <c r="AX575" s="33"/>
      <c r="AY575" s="24"/>
      <c r="AZ575" s="24"/>
      <c r="BA575" s="24"/>
      <c r="BB575" s="24"/>
      <c r="BC575" s="49"/>
      <c r="BD575" s="33"/>
      <c r="BE575" s="24"/>
      <c r="BF575" s="24"/>
      <c r="BG575" s="24"/>
      <c r="BT575" s="34"/>
      <c r="BU575" s="23" t="s">
        <v>430</v>
      </c>
      <c r="BV575" s="22">
        <v>0</v>
      </c>
      <c r="BW575" s="31"/>
      <c r="BX575" s="31"/>
      <c r="BZ575" s="34"/>
    </row>
    <row r="576" spans="31:78" ht="15" x14ac:dyDescent="0.25">
      <c r="AE576" s="23" t="s">
        <v>362</v>
      </c>
      <c r="AF576">
        <v>1</v>
      </c>
      <c r="AJ576" s="34"/>
      <c r="AK576" s="33"/>
      <c r="AL576" s="33"/>
      <c r="AM576" s="24"/>
      <c r="AN576" s="24"/>
      <c r="AO576" s="24"/>
      <c r="AP576" s="24"/>
      <c r="AQ576" s="49"/>
      <c r="AR576" s="33"/>
      <c r="AS576" s="24"/>
      <c r="AT576" s="24"/>
      <c r="AU576" s="24"/>
      <c r="AV576" s="24"/>
      <c r="AW576" s="49"/>
      <c r="AX576" s="33"/>
      <c r="AY576" s="24"/>
      <c r="AZ576" s="24"/>
      <c r="BA576" s="24"/>
      <c r="BB576" s="24"/>
      <c r="BC576" s="49"/>
      <c r="BD576" s="33"/>
      <c r="BE576" s="24"/>
      <c r="BF576" s="24"/>
      <c r="BG576" s="24"/>
      <c r="BT576" s="34"/>
      <c r="BU576" s="23" t="s">
        <v>431</v>
      </c>
      <c r="BV576" s="22">
        <v>0</v>
      </c>
      <c r="BW576" s="31"/>
      <c r="BX576" s="31"/>
      <c r="BZ576" s="34"/>
    </row>
    <row r="577" spans="31:78" ht="15" x14ac:dyDescent="0.25">
      <c r="AE577" s="23" t="s">
        <v>473</v>
      </c>
      <c r="AF577">
        <v>0</v>
      </c>
      <c r="AJ577" s="34"/>
      <c r="AK577" s="33"/>
      <c r="AL577" s="33"/>
      <c r="AM577" s="24"/>
      <c r="AN577" s="24"/>
      <c r="AO577" s="24"/>
      <c r="AP577" s="24"/>
      <c r="AQ577" s="49"/>
      <c r="AR577" s="33"/>
      <c r="AS577" s="24"/>
      <c r="AT577" s="24"/>
      <c r="AU577" s="24"/>
      <c r="AV577" s="24"/>
      <c r="AW577" s="49"/>
      <c r="AX577" s="33"/>
      <c r="AY577" s="24"/>
      <c r="AZ577" s="24"/>
      <c r="BA577" s="24"/>
      <c r="BB577" s="24"/>
      <c r="BC577" s="49"/>
      <c r="BD577" s="33"/>
      <c r="BE577" s="24"/>
      <c r="BF577" s="24"/>
      <c r="BG577" s="24"/>
      <c r="BT577" s="34"/>
      <c r="BU577" s="23" t="s">
        <v>432</v>
      </c>
      <c r="BV577" s="22">
        <v>0</v>
      </c>
      <c r="BW577" s="31"/>
      <c r="BX577" s="31"/>
      <c r="BZ577" s="34"/>
    </row>
    <row r="578" spans="31:78" ht="15" x14ac:dyDescent="0.25">
      <c r="AE578" s="23" t="s">
        <v>474</v>
      </c>
      <c r="AF578">
        <v>1</v>
      </c>
      <c r="AJ578" s="34"/>
      <c r="AK578" s="33"/>
      <c r="AL578" s="33"/>
      <c r="AM578" s="24"/>
      <c r="AN578" s="24"/>
      <c r="AO578" s="24"/>
      <c r="AP578" s="24"/>
      <c r="AQ578" s="49"/>
      <c r="AR578" s="33"/>
      <c r="AS578" s="24"/>
      <c r="AT578" s="24"/>
      <c r="AU578" s="24"/>
      <c r="AV578" s="24"/>
      <c r="AW578" s="49"/>
      <c r="AX578" s="33"/>
      <c r="AY578" s="24"/>
      <c r="AZ578" s="24"/>
      <c r="BA578" s="24"/>
      <c r="BB578" s="24"/>
      <c r="BC578" s="49"/>
      <c r="BD578" s="33"/>
      <c r="BE578" s="24"/>
      <c r="BF578" s="24"/>
      <c r="BG578" s="24"/>
      <c r="BT578" s="34"/>
      <c r="BU578" s="23" t="s">
        <v>433</v>
      </c>
      <c r="BV578" s="22">
        <v>0</v>
      </c>
      <c r="BW578" s="31"/>
      <c r="BX578" s="31"/>
      <c r="BZ578" s="34"/>
    </row>
    <row r="579" spans="31:78" ht="15" x14ac:dyDescent="0.25">
      <c r="AE579" s="23" t="s">
        <v>475</v>
      </c>
      <c r="AF579">
        <v>1</v>
      </c>
      <c r="AJ579" s="34"/>
      <c r="AK579" s="24"/>
      <c r="AL579" s="33"/>
      <c r="AM579" s="24"/>
      <c r="AN579" s="24"/>
      <c r="AO579" s="24"/>
      <c r="AP579" s="24"/>
      <c r="AQ579" s="49"/>
      <c r="AR579" s="33"/>
      <c r="AS579" s="24"/>
      <c r="AT579" s="24"/>
      <c r="AU579" s="24"/>
      <c r="AV579" s="24"/>
      <c r="AW579" s="49"/>
      <c r="AX579" s="33"/>
      <c r="AY579" s="24"/>
      <c r="AZ579" s="24"/>
      <c r="BA579" s="24"/>
      <c r="BB579" s="24"/>
      <c r="BC579" s="49"/>
      <c r="BD579" s="33"/>
      <c r="BE579" s="24"/>
      <c r="BF579" s="24"/>
      <c r="BG579" s="24"/>
      <c r="BT579" s="34"/>
      <c r="BU579" s="23" t="s">
        <v>434</v>
      </c>
      <c r="BV579" s="22">
        <v>2</v>
      </c>
      <c r="BW579" s="31"/>
      <c r="BX579" s="31"/>
      <c r="BZ579" s="34"/>
    </row>
    <row r="580" spans="31:78" x14ac:dyDescent="0.2">
      <c r="AE580" s="34"/>
      <c r="AF580" s="34"/>
      <c r="AG580" s="34"/>
      <c r="AH580" s="34"/>
      <c r="AI580" s="34"/>
      <c r="AJ580" s="34"/>
      <c r="AK580" s="33"/>
      <c r="AL580" s="33"/>
      <c r="AM580" s="24"/>
      <c r="AN580" s="24"/>
      <c r="AO580" s="24"/>
      <c r="AP580" s="24"/>
      <c r="AQ580" s="25"/>
      <c r="AR580" s="33"/>
      <c r="AS580" s="24"/>
      <c r="AT580" s="24"/>
      <c r="AU580" s="24"/>
      <c r="AV580" s="24"/>
      <c r="AW580" s="49"/>
      <c r="AX580" s="33"/>
      <c r="AY580" s="24"/>
      <c r="AZ580" s="24"/>
      <c r="BA580" s="24"/>
      <c r="BB580" s="24"/>
      <c r="BC580" s="49"/>
      <c r="BD580" s="33"/>
      <c r="BE580" s="24"/>
      <c r="BF580" s="24"/>
      <c r="BG580" s="24"/>
      <c r="BT580" s="34"/>
      <c r="BU580" s="34"/>
      <c r="BV580" s="34"/>
      <c r="BW580" s="34"/>
      <c r="BX580" s="34"/>
      <c r="BY580" s="34"/>
      <c r="BZ580" s="34"/>
    </row>
    <row r="581" spans="31:78" x14ac:dyDescent="0.2">
      <c r="AE581" s="31" t="s">
        <v>100</v>
      </c>
      <c r="AF581" s="32" t="s">
        <v>67</v>
      </c>
      <c r="AG581" s="31"/>
      <c r="AH581" s="31"/>
      <c r="AJ581" s="34"/>
      <c r="AK581" s="33"/>
      <c r="AL581" s="33"/>
      <c r="AM581" s="24"/>
      <c r="AN581" s="24"/>
      <c r="AO581" s="24"/>
      <c r="AP581" s="24"/>
      <c r="AQ581" s="25"/>
      <c r="AR581" s="33"/>
      <c r="AS581" s="24"/>
      <c r="AT581" s="24"/>
      <c r="AU581" s="24"/>
      <c r="AV581" s="24"/>
      <c r="AW581" s="49"/>
      <c r="AX581" s="33"/>
      <c r="AY581" s="24"/>
      <c r="AZ581" s="24"/>
      <c r="BA581" s="24"/>
      <c r="BB581" s="24"/>
      <c r="BC581" s="49"/>
      <c r="BD581" s="33"/>
      <c r="BE581" s="24"/>
      <c r="BF581" s="24"/>
      <c r="BG581" s="24"/>
      <c r="BT581" s="34"/>
      <c r="BU581" s="19" t="s">
        <v>100</v>
      </c>
      <c r="BV581" s="35" t="s">
        <v>61</v>
      </c>
      <c r="BZ581" s="34"/>
    </row>
    <row r="582" spans="31:78" x14ac:dyDescent="0.2">
      <c r="AE582" s="31" t="s">
        <v>101</v>
      </c>
      <c r="AF582" s="12" t="s">
        <v>28</v>
      </c>
      <c r="AG582" s="31"/>
      <c r="AH582" s="31"/>
      <c r="AJ582" s="34"/>
      <c r="AK582" s="33"/>
      <c r="AL582" s="33"/>
      <c r="AM582" s="24"/>
      <c r="AN582" s="24"/>
      <c r="AO582" s="24"/>
      <c r="AP582" s="24"/>
      <c r="AQ582" s="25"/>
      <c r="AR582" s="33"/>
      <c r="AS582" s="24"/>
      <c r="AT582" s="24"/>
      <c r="AU582" s="24"/>
      <c r="AV582" s="24"/>
      <c r="AW582" s="49"/>
      <c r="AX582" s="33"/>
      <c r="AY582" s="24"/>
      <c r="AZ582" s="24"/>
      <c r="BA582" s="24"/>
      <c r="BB582" s="24"/>
      <c r="BC582" s="49"/>
      <c r="BD582" s="33"/>
      <c r="BE582" s="24"/>
      <c r="BF582" s="24"/>
      <c r="BG582" s="24"/>
      <c r="BT582" s="34"/>
      <c r="BV582" s="12" t="s">
        <v>25</v>
      </c>
      <c r="BZ582" s="34"/>
    </row>
    <row r="583" spans="31:78" x14ac:dyDescent="0.2">
      <c r="AE583" s="31" t="s">
        <v>102</v>
      </c>
      <c r="AF583" s="31" t="s">
        <v>71</v>
      </c>
      <c r="AG583" s="31" t="s">
        <v>103</v>
      </c>
      <c r="AH583" s="31" t="s">
        <v>104</v>
      </c>
      <c r="AJ583" s="34"/>
      <c r="AK583" s="33"/>
      <c r="AL583" s="33"/>
      <c r="AM583" s="24"/>
      <c r="AN583" s="24"/>
      <c r="AO583" s="24"/>
      <c r="AP583" s="24"/>
      <c r="AQ583" s="25"/>
      <c r="AR583" s="33"/>
      <c r="AS583" s="24"/>
      <c r="AT583" s="24"/>
      <c r="AU583" s="24"/>
      <c r="AV583" s="24"/>
      <c r="AW583" s="49"/>
      <c r="AX583" s="33"/>
      <c r="AY583" s="24"/>
      <c r="AZ583" s="24"/>
      <c r="BA583" s="24"/>
      <c r="BB583" s="24"/>
      <c r="BC583" s="49"/>
      <c r="BD583" s="33"/>
      <c r="BE583" s="24"/>
      <c r="BF583" s="24"/>
      <c r="BG583" s="24"/>
      <c r="BT583" s="34"/>
      <c r="BU583" s="31" t="s">
        <v>102</v>
      </c>
      <c r="BV583" s="31" t="s">
        <v>71</v>
      </c>
      <c r="BW583" s="31" t="s">
        <v>103</v>
      </c>
      <c r="BX583" s="31" t="s">
        <v>104</v>
      </c>
      <c r="BZ583" s="34"/>
    </row>
    <row r="584" spans="31:78" ht="15" x14ac:dyDescent="0.25">
      <c r="AE584" s="23" t="s">
        <v>453</v>
      </c>
      <c r="AF584">
        <v>0</v>
      </c>
      <c r="AG584" s="31" t="s">
        <v>106</v>
      </c>
      <c r="AH584" s="31">
        <f>SUM(AF584:AF608)</f>
        <v>3</v>
      </c>
      <c r="AJ584" s="34"/>
      <c r="AK584" s="33"/>
      <c r="AL584" s="33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49"/>
      <c r="AX584" s="33"/>
      <c r="AY584" s="24"/>
      <c r="AZ584" s="24"/>
      <c r="BA584" s="24"/>
      <c r="BB584" s="24"/>
      <c r="BC584" s="49"/>
      <c r="BD584" s="33"/>
      <c r="BE584" s="24"/>
      <c r="BF584" s="24"/>
      <c r="BG584" s="24"/>
      <c r="BT584" s="34"/>
      <c r="BU584" s="23" t="s">
        <v>412</v>
      </c>
      <c r="BV584" s="22">
        <v>0</v>
      </c>
      <c r="BW584" s="31" t="s">
        <v>106</v>
      </c>
      <c r="BX584" s="31">
        <f>SUM(BV584:BV608)</f>
        <v>3</v>
      </c>
      <c r="BZ584" s="34"/>
    </row>
    <row r="585" spans="31:78" ht="15" x14ac:dyDescent="0.25">
      <c r="AE585" s="23" t="s">
        <v>454</v>
      </c>
      <c r="AF585">
        <v>0</v>
      </c>
      <c r="AG585" s="31" t="s">
        <v>115</v>
      </c>
      <c r="AH585" s="31">
        <f>MIN(AF584:AF608)</f>
        <v>0</v>
      </c>
      <c r="AJ585" s="34"/>
      <c r="AK585" s="33"/>
      <c r="AL585" s="33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49"/>
      <c r="AX585" s="33"/>
      <c r="AY585" s="24"/>
      <c r="AZ585" s="24"/>
      <c r="BA585" s="24"/>
      <c r="BB585" s="24"/>
      <c r="BC585" s="49"/>
      <c r="BD585" s="33"/>
      <c r="BE585" s="24"/>
      <c r="BF585" s="24"/>
      <c r="BG585" s="24"/>
      <c r="BT585" s="34"/>
      <c r="BU585" s="22" t="s">
        <v>244</v>
      </c>
      <c r="BV585" s="22">
        <v>0</v>
      </c>
      <c r="BW585" s="31" t="s">
        <v>115</v>
      </c>
      <c r="BX585" s="31">
        <f>MIN(BV584:BV608)</f>
        <v>0</v>
      </c>
      <c r="BZ585" s="34"/>
    </row>
    <row r="586" spans="31:78" ht="15" x14ac:dyDescent="0.25">
      <c r="AE586" s="23" t="s">
        <v>455</v>
      </c>
      <c r="AF586">
        <v>0</v>
      </c>
      <c r="AG586" s="31" t="s">
        <v>122</v>
      </c>
      <c r="AH586" s="31">
        <f>MAX(AF584:AF608)</f>
        <v>1</v>
      </c>
      <c r="AJ586" s="34"/>
      <c r="AK586" s="33"/>
      <c r="AL586" s="33"/>
      <c r="AM586" s="24"/>
      <c r="AN586" s="24"/>
      <c r="AO586" s="24"/>
      <c r="AP586" s="24"/>
      <c r="AQ586" s="33"/>
      <c r="AR586" s="24"/>
      <c r="AS586" s="24"/>
      <c r="AT586" s="24"/>
      <c r="AU586" s="24"/>
      <c r="AV586" s="24"/>
      <c r="AW586" s="49"/>
      <c r="AX586" s="33"/>
      <c r="AY586" s="24"/>
      <c r="AZ586" s="24"/>
      <c r="BA586" s="24"/>
      <c r="BB586" s="24"/>
      <c r="BC586" s="49"/>
      <c r="BD586" s="33"/>
      <c r="BE586" s="24"/>
      <c r="BF586" s="24"/>
      <c r="BG586" s="24"/>
      <c r="BT586" s="34"/>
      <c r="BU586" s="22" t="s">
        <v>119</v>
      </c>
      <c r="BV586" s="22">
        <v>0</v>
      </c>
      <c r="BW586" s="31" t="s">
        <v>122</v>
      </c>
      <c r="BX586" s="31">
        <f>MAX(BV584:BV608)</f>
        <v>1</v>
      </c>
      <c r="BZ586" s="34"/>
    </row>
    <row r="587" spans="31:78" ht="15" x14ac:dyDescent="0.25">
      <c r="AE587" s="23" t="s">
        <v>456</v>
      </c>
      <c r="AF587">
        <v>0</v>
      </c>
      <c r="AG587" s="31" t="s">
        <v>129</v>
      </c>
      <c r="AH587" s="31">
        <f>VAR(AF584:AF608)</f>
        <v>0.11</v>
      </c>
      <c r="AJ587" s="34"/>
      <c r="AK587" s="33"/>
      <c r="AL587" s="33"/>
      <c r="AM587" s="24"/>
      <c r="AN587" s="24"/>
      <c r="AO587" s="24"/>
      <c r="AP587" s="24"/>
      <c r="AQ587" s="33"/>
      <c r="AR587" s="33"/>
      <c r="AS587" s="33"/>
      <c r="AT587" s="33"/>
      <c r="AU587" s="24"/>
      <c r="AV587" s="24"/>
      <c r="AW587" s="49"/>
      <c r="AX587" s="33"/>
      <c r="AY587" s="24"/>
      <c r="AZ587" s="24"/>
      <c r="BA587" s="24"/>
      <c r="BB587" s="24"/>
      <c r="BC587" s="49"/>
      <c r="BD587" s="33"/>
      <c r="BE587" s="24"/>
      <c r="BF587" s="24"/>
      <c r="BG587" s="24"/>
      <c r="BT587" s="34"/>
      <c r="BU587" s="22" t="s">
        <v>413</v>
      </c>
      <c r="BV587" s="22">
        <v>0</v>
      </c>
      <c r="BW587" s="31" t="s">
        <v>129</v>
      </c>
      <c r="BX587" s="31">
        <f>VAR(BV584:BV608)</f>
        <v>0.11</v>
      </c>
      <c r="BZ587" s="34"/>
    </row>
    <row r="588" spans="31:78" ht="15" x14ac:dyDescent="0.25">
      <c r="AE588" s="23" t="s">
        <v>259</v>
      </c>
      <c r="AF588">
        <v>0</v>
      </c>
      <c r="AG588" s="31" t="s">
        <v>138</v>
      </c>
      <c r="AH588" s="31">
        <f>AVERAGE(AF584:AF608)</f>
        <v>0.12</v>
      </c>
      <c r="AJ588" s="34"/>
      <c r="AK588" s="33"/>
      <c r="AL588" s="33"/>
      <c r="AM588" s="24"/>
      <c r="AN588" s="24"/>
      <c r="AO588" s="24"/>
      <c r="AP588" s="24"/>
      <c r="AQ588" s="49"/>
      <c r="AR588" s="33"/>
      <c r="AS588" s="33"/>
      <c r="AT588" s="33"/>
      <c r="AU588" s="24"/>
      <c r="AV588" s="24"/>
      <c r="AW588" s="49"/>
      <c r="AX588" s="33"/>
      <c r="AY588" s="24"/>
      <c r="AZ588" s="24"/>
      <c r="BA588" s="24"/>
      <c r="BB588" s="24"/>
      <c r="BC588" s="49"/>
      <c r="BD588" s="33"/>
      <c r="BE588" s="24"/>
      <c r="BF588" s="24"/>
      <c r="BG588" s="24"/>
      <c r="BT588" s="34"/>
      <c r="BU588" s="22" t="s">
        <v>414</v>
      </c>
      <c r="BV588" s="22">
        <v>0</v>
      </c>
      <c r="BW588" s="31" t="s">
        <v>138</v>
      </c>
      <c r="BX588" s="31">
        <f>AVERAGE(BV584:BV608)</f>
        <v>0.12</v>
      </c>
      <c r="BZ588" s="34"/>
    </row>
    <row r="589" spans="31:78" ht="15" x14ac:dyDescent="0.25">
      <c r="AE589" s="23" t="s">
        <v>457</v>
      </c>
      <c r="AF589">
        <v>0</v>
      </c>
      <c r="AG589" s="31" t="s">
        <v>144</v>
      </c>
      <c r="AH589" s="31">
        <f>STDEV(AF584:AF608)</f>
        <v>0.33166247903553997</v>
      </c>
      <c r="AJ589" s="34"/>
      <c r="AK589" s="33"/>
      <c r="AL589" s="33"/>
      <c r="AM589" s="24"/>
      <c r="AN589" s="24"/>
      <c r="AO589" s="24"/>
      <c r="AP589" s="24"/>
      <c r="AQ589" s="49"/>
      <c r="AR589" s="33"/>
      <c r="AS589" s="33"/>
      <c r="AT589" s="33"/>
      <c r="AU589" s="24"/>
      <c r="AV589" s="24"/>
      <c r="AW589" s="49"/>
      <c r="AX589" s="33"/>
      <c r="AY589" s="24"/>
      <c r="AZ589" s="24"/>
      <c r="BA589" s="24"/>
      <c r="BB589" s="24"/>
      <c r="BC589" s="49"/>
      <c r="BD589" s="33"/>
      <c r="BE589" s="24"/>
      <c r="BF589" s="24"/>
      <c r="BG589" s="24"/>
      <c r="BT589" s="34"/>
      <c r="BU589" s="22" t="s">
        <v>415</v>
      </c>
      <c r="BV589" s="22">
        <v>0</v>
      </c>
      <c r="BW589" s="31" t="s">
        <v>144</v>
      </c>
      <c r="BX589" s="31">
        <f>STDEV(BV584:BV608)</f>
        <v>0.33166247903553997</v>
      </c>
      <c r="BZ589" s="34"/>
    </row>
    <row r="590" spans="31:78" ht="15" x14ac:dyDescent="0.25">
      <c r="AE590" s="23" t="s">
        <v>458</v>
      </c>
      <c r="AF590">
        <v>1</v>
      </c>
      <c r="AG590" s="31"/>
      <c r="AH590" s="31"/>
      <c r="AJ590" s="34"/>
      <c r="AK590" s="24"/>
      <c r="AL590" s="24"/>
      <c r="AM590" s="24"/>
      <c r="AN590" s="24"/>
      <c r="AO590" s="24"/>
      <c r="AP590" s="24"/>
      <c r="AQ590" s="49"/>
      <c r="AR590" s="33"/>
      <c r="AS590" s="33"/>
      <c r="AT590" s="33"/>
      <c r="AU590" s="24"/>
      <c r="AV590" s="24"/>
      <c r="AW590" s="49"/>
      <c r="AX590" s="33"/>
      <c r="AY590" s="24"/>
      <c r="AZ590" s="24"/>
      <c r="BA590" s="24"/>
      <c r="BB590" s="24"/>
      <c r="BC590" s="49"/>
      <c r="BD590" s="33"/>
      <c r="BE590" s="24"/>
      <c r="BF590" s="24"/>
      <c r="BG590" s="24"/>
      <c r="BT590" s="34"/>
      <c r="BU590" s="22" t="s">
        <v>416</v>
      </c>
      <c r="BV590" s="22">
        <v>0</v>
      </c>
      <c r="BW590" s="31"/>
      <c r="BX590" s="31"/>
      <c r="BZ590" s="34"/>
    </row>
    <row r="591" spans="31:78" ht="15" x14ac:dyDescent="0.25">
      <c r="AE591" s="23" t="s">
        <v>459</v>
      </c>
      <c r="AF591">
        <v>0</v>
      </c>
      <c r="AG591" s="31"/>
      <c r="AH591" s="31"/>
      <c r="AJ591" s="34"/>
      <c r="AK591" s="24"/>
      <c r="AL591" s="24"/>
      <c r="AM591" s="24"/>
      <c r="AN591" s="24"/>
      <c r="AO591" s="24"/>
      <c r="AP591" s="24"/>
      <c r="AQ591" s="49"/>
      <c r="AR591" s="33"/>
      <c r="AS591" s="33"/>
      <c r="AT591" s="33"/>
      <c r="AU591" s="24"/>
      <c r="AV591" s="24"/>
      <c r="AW591" s="49"/>
      <c r="AX591" s="33"/>
      <c r="AY591" s="24"/>
      <c r="AZ591" s="24"/>
      <c r="BA591" s="24"/>
      <c r="BB591" s="24"/>
      <c r="BC591" s="49"/>
      <c r="BD591" s="33"/>
      <c r="BE591" s="24"/>
      <c r="BF591" s="24"/>
      <c r="BG591" s="24"/>
      <c r="BT591" s="34"/>
      <c r="BU591" s="22" t="s">
        <v>417</v>
      </c>
      <c r="BV591" s="22">
        <v>0</v>
      </c>
      <c r="BW591" s="31"/>
      <c r="BX591" s="31"/>
      <c r="BZ591" s="34"/>
    </row>
    <row r="592" spans="31:78" ht="15" x14ac:dyDescent="0.25">
      <c r="AE592" s="23" t="s">
        <v>460</v>
      </c>
      <c r="AF592">
        <v>0</v>
      </c>
      <c r="AG592" s="33"/>
      <c r="AH592" s="33"/>
      <c r="AJ592" s="34"/>
      <c r="AK592" s="24"/>
      <c r="AL592" s="24"/>
      <c r="AM592" s="24"/>
      <c r="AN592" s="24"/>
      <c r="AO592" s="24"/>
      <c r="AP592" s="24"/>
      <c r="AQ592" s="49"/>
      <c r="AR592" s="33"/>
      <c r="AS592" s="33"/>
      <c r="AT592" s="33"/>
      <c r="AU592" s="24"/>
      <c r="AV592" s="24"/>
      <c r="AW592" s="49"/>
      <c r="AX592" s="33"/>
      <c r="AY592" s="24"/>
      <c r="AZ592" s="24"/>
      <c r="BA592" s="24"/>
      <c r="BB592" s="24"/>
      <c r="BC592" s="49"/>
      <c r="BD592" s="33"/>
      <c r="BE592" s="24"/>
      <c r="BF592" s="24"/>
      <c r="BG592" s="24"/>
      <c r="BT592" s="34"/>
      <c r="BU592" s="22" t="s">
        <v>418</v>
      </c>
      <c r="BV592" s="22">
        <v>0</v>
      </c>
      <c r="BW592" s="31"/>
      <c r="BX592" s="31"/>
      <c r="BZ592" s="34"/>
    </row>
    <row r="593" spans="31:78" ht="15" x14ac:dyDescent="0.25">
      <c r="AE593" s="23" t="s">
        <v>461</v>
      </c>
      <c r="AF593">
        <v>0</v>
      </c>
      <c r="AG593" s="31"/>
      <c r="AH593" s="31"/>
      <c r="AJ593" s="34"/>
      <c r="AK593" s="24"/>
      <c r="AL593" s="24"/>
      <c r="AM593" s="24"/>
      <c r="AN593" s="24"/>
      <c r="AO593" s="24"/>
      <c r="AP593" s="24"/>
      <c r="AQ593" s="49"/>
      <c r="AR593" s="33"/>
      <c r="AS593" s="33"/>
      <c r="AT593" s="33"/>
      <c r="AU593" s="24"/>
      <c r="AV593" s="24"/>
      <c r="AW593" s="49"/>
      <c r="AX593" s="33"/>
      <c r="AY593" s="24"/>
      <c r="AZ593" s="24"/>
      <c r="BA593" s="24"/>
      <c r="BB593" s="24"/>
      <c r="BC593" s="49"/>
      <c r="BD593" s="33"/>
      <c r="BE593" s="24"/>
      <c r="BF593" s="24"/>
      <c r="BG593" s="24"/>
      <c r="BT593" s="34"/>
      <c r="BU593" s="22" t="s">
        <v>419</v>
      </c>
      <c r="BV593" s="22">
        <v>0</v>
      </c>
      <c r="BW593" s="31"/>
      <c r="BX593" s="31"/>
      <c r="BZ593" s="34"/>
    </row>
    <row r="594" spans="31:78" ht="15" x14ac:dyDescent="0.25">
      <c r="AE594" s="23" t="s">
        <v>462</v>
      </c>
      <c r="AF594">
        <v>1</v>
      </c>
      <c r="AG594" s="24"/>
      <c r="AH594" s="24"/>
      <c r="AJ594" s="34"/>
      <c r="AK594" s="24"/>
      <c r="AL594" s="24"/>
      <c r="AM594" s="24"/>
      <c r="AN594" s="24"/>
      <c r="AO594" s="24"/>
      <c r="AP594" s="24"/>
      <c r="AQ594" s="49"/>
      <c r="AR594" s="33"/>
      <c r="AS594" s="33"/>
      <c r="AT594" s="33"/>
      <c r="AU594" s="24"/>
      <c r="AV594" s="24"/>
      <c r="AW594" s="49"/>
      <c r="AX594" s="33"/>
      <c r="AY594" s="24"/>
      <c r="AZ594" s="24"/>
      <c r="BA594" s="24"/>
      <c r="BB594" s="24"/>
      <c r="BC594" s="49"/>
      <c r="BD594" s="33"/>
      <c r="BE594" s="24"/>
      <c r="BF594" s="24"/>
      <c r="BG594" s="24"/>
      <c r="BT594" s="34"/>
      <c r="BU594" s="22" t="s">
        <v>420</v>
      </c>
      <c r="BV594" s="22">
        <v>1</v>
      </c>
      <c r="BW594" s="31"/>
      <c r="BX594" s="31"/>
      <c r="BZ594" s="34"/>
    </row>
    <row r="595" spans="31:78" ht="15" x14ac:dyDescent="0.25">
      <c r="AE595" s="23" t="s">
        <v>463</v>
      </c>
      <c r="AF595">
        <v>0</v>
      </c>
      <c r="AG595" s="31"/>
      <c r="AH595" s="31"/>
      <c r="AJ595" s="34"/>
      <c r="AK595" s="24"/>
      <c r="AL595" s="24"/>
      <c r="AM595" s="24"/>
      <c r="AN595" s="24"/>
      <c r="AO595" s="24"/>
      <c r="AP595" s="24"/>
      <c r="AQ595" s="49"/>
      <c r="AR595" s="33"/>
      <c r="AS595" s="33"/>
      <c r="AT595" s="33"/>
      <c r="AU595" s="24"/>
      <c r="AV595" s="24"/>
      <c r="AW595" s="49"/>
      <c r="AX595" s="33"/>
      <c r="AY595" s="24"/>
      <c r="AZ595" s="24"/>
      <c r="BA595" s="24"/>
      <c r="BB595" s="24"/>
      <c r="BC595" s="49"/>
      <c r="BD595" s="33"/>
      <c r="BE595" s="24"/>
      <c r="BF595" s="24"/>
      <c r="BG595" s="24"/>
      <c r="BT595" s="34"/>
      <c r="BU595" s="22" t="s">
        <v>421</v>
      </c>
      <c r="BV595" s="22">
        <v>0</v>
      </c>
      <c r="BW595" s="31"/>
      <c r="BX595" s="31"/>
      <c r="BZ595" s="34"/>
    </row>
    <row r="596" spans="31:78" ht="15" x14ac:dyDescent="0.25">
      <c r="AE596" s="23" t="s">
        <v>464</v>
      </c>
      <c r="AF596">
        <v>0</v>
      </c>
      <c r="AG596" s="31"/>
      <c r="AH596" s="31"/>
      <c r="AJ596" s="34"/>
      <c r="AK596" s="24"/>
      <c r="AL596" s="24"/>
      <c r="AM596" s="24"/>
      <c r="AN596" s="24"/>
      <c r="AO596" s="24"/>
      <c r="AP596" s="24"/>
      <c r="AQ596" s="49"/>
      <c r="AR596" s="33"/>
      <c r="AS596" s="33"/>
      <c r="AT596" s="33"/>
      <c r="AU596" s="24"/>
      <c r="AV596" s="24"/>
      <c r="AW596" s="25"/>
      <c r="AX596" s="33"/>
      <c r="AY596" s="24"/>
      <c r="AZ596" s="24"/>
      <c r="BA596" s="24"/>
      <c r="BB596" s="24"/>
      <c r="BC596" s="25"/>
      <c r="BD596" s="33"/>
      <c r="BE596" s="24"/>
      <c r="BF596" s="24"/>
      <c r="BG596" s="24"/>
      <c r="BT596" s="34"/>
      <c r="BU596" s="22" t="s">
        <v>422</v>
      </c>
      <c r="BV596" s="22">
        <v>0</v>
      </c>
      <c r="BW596" s="31"/>
      <c r="BX596" s="31"/>
      <c r="BZ596" s="34"/>
    </row>
    <row r="597" spans="31:78" ht="15" x14ac:dyDescent="0.25">
      <c r="AE597" s="23" t="s">
        <v>465</v>
      </c>
      <c r="AF597">
        <v>0</v>
      </c>
      <c r="AG597" s="31"/>
      <c r="AH597" s="31"/>
      <c r="AJ597" s="34"/>
      <c r="AK597" s="24"/>
      <c r="AL597" s="24"/>
      <c r="AM597" s="24"/>
      <c r="AN597" s="24"/>
      <c r="AO597" s="24"/>
      <c r="AP597" s="24"/>
      <c r="AQ597" s="49"/>
      <c r="AR597" s="33"/>
      <c r="AS597" s="33"/>
      <c r="AT597" s="33"/>
      <c r="AU597" s="24"/>
      <c r="AV597" s="24"/>
      <c r="AW597" s="25"/>
      <c r="AX597" s="33"/>
      <c r="AY597" s="24"/>
      <c r="AZ597" s="24"/>
      <c r="BA597" s="24"/>
      <c r="BB597" s="24"/>
      <c r="BC597" s="25"/>
      <c r="BD597" s="33"/>
      <c r="BE597" s="24"/>
      <c r="BF597" s="24"/>
      <c r="BG597" s="24"/>
      <c r="BT597" s="34"/>
      <c r="BU597" s="23" t="s">
        <v>423</v>
      </c>
      <c r="BV597" s="22">
        <v>1</v>
      </c>
      <c r="BW597" s="31"/>
      <c r="BX597" s="31"/>
      <c r="BZ597" s="34"/>
    </row>
    <row r="598" spans="31:78" ht="15" x14ac:dyDescent="0.25">
      <c r="AE598" s="23" t="s">
        <v>466</v>
      </c>
      <c r="AF598">
        <v>0</v>
      </c>
      <c r="AG598" s="31"/>
      <c r="AH598" s="31"/>
      <c r="AJ598" s="34"/>
      <c r="AK598" s="24"/>
      <c r="AL598" s="24"/>
      <c r="AM598" s="24"/>
      <c r="AN598" s="24"/>
      <c r="AO598" s="24"/>
      <c r="AP598" s="24"/>
      <c r="AQ598" s="49"/>
      <c r="AR598" s="33"/>
      <c r="AS598" s="33"/>
      <c r="AT598" s="33"/>
      <c r="AU598" s="24"/>
      <c r="AV598" s="24"/>
      <c r="AW598" s="25"/>
      <c r="AX598" s="33"/>
      <c r="AY598" s="24"/>
      <c r="AZ598" s="24"/>
      <c r="BA598" s="24"/>
      <c r="BB598" s="24"/>
      <c r="BC598" s="25"/>
      <c r="BD598" s="33"/>
      <c r="BE598" s="24"/>
      <c r="BF598" s="24"/>
      <c r="BG598" s="24"/>
      <c r="BT598" s="34"/>
      <c r="BU598" s="22" t="s">
        <v>424</v>
      </c>
      <c r="BV598" s="22">
        <v>0</v>
      </c>
      <c r="BW598" s="31"/>
      <c r="BX598" s="31"/>
      <c r="BZ598" s="34"/>
    </row>
    <row r="599" spans="31:78" ht="15" x14ac:dyDescent="0.25">
      <c r="AE599" s="23" t="s">
        <v>467</v>
      </c>
      <c r="AF599">
        <v>0</v>
      </c>
      <c r="AG599" s="31"/>
      <c r="AH599" s="31"/>
      <c r="AJ599" s="34"/>
      <c r="AK599" s="24"/>
      <c r="AL599" s="24"/>
      <c r="AM599" s="24"/>
      <c r="AN599" s="24"/>
      <c r="AO599" s="24"/>
      <c r="AP599" s="24"/>
      <c r="AQ599" s="49"/>
      <c r="AR599" s="33"/>
      <c r="AS599" s="33"/>
      <c r="AT599" s="33"/>
      <c r="AU599" s="24"/>
      <c r="AV599" s="24"/>
      <c r="AW599" s="25"/>
      <c r="AX599" s="33"/>
      <c r="AY599" s="24"/>
      <c r="AZ599" s="24"/>
      <c r="BA599" s="24"/>
      <c r="BB599" s="24"/>
      <c r="BC599" s="25"/>
      <c r="BD599" s="33"/>
      <c r="BE599" s="24"/>
      <c r="BF599" s="24"/>
      <c r="BG599" s="24"/>
      <c r="BT599" s="34"/>
      <c r="BU599" s="23" t="s">
        <v>425</v>
      </c>
      <c r="BV599" s="22">
        <v>0</v>
      </c>
      <c r="BW599" s="31"/>
      <c r="BX599" s="31"/>
      <c r="BZ599" s="34"/>
    </row>
    <row r="600" spans="31:78" ht="15" x14ac:dyDescent="0.25">
      <c r="AE600" s="23" t="s">
        <v>468</v>
      </c>
      <c r="AF600">
        <v>0</v>
      </c>
      <c r="AG600" s="31"/>
      <c r="AH600" s="31"/>
      <c r="AJ600" s="34"/>
      <c r="AK600" s="24"/>
      <c r="AL600" s="24"/>
      <c r="AM600" s="24"/>
      <c r="AN600" s="24"/>
      <c r="AO600" s="24"/>
      <c r="AP600" s="24"/>
      <c r="AQ600" s="25"/>
      <c r="AR600" s="33"/>
      <c r="AS600" s="24"/>
      <c r="AT600" s="24"/>
      <c r="AU600" s="24"/>
      <c r="AV600" s="24"/>
      <c r="AW600" s="25"/>
      <c r="AX600" s="33"/>
      <c r="AY600" s="24"/>
      <c r="AZ600" s="24"/>
      <c r="BA600" s="24"/>
      <c r="BB600" s="24"/>
      <c r="BC600" s="25"/>
      <c r="BD600" s="33"/>
      <c r="BE600" s="24"/>
      <c r="BF600" s="24"/>
      <c r="BG600" s="24"/>
      <c r="BT600" s="34"/>
      <c r="BU600" s="23" t="s">
        <v>426</v>
      </c>
      <c r="BV600" s="22">
        <v>0</v>
      </c>
      <c r="BW600" s="31"/>
      <c r="BX600" s="31"/>
      <c r="BZ600" s="34"/>
    </row>
    <row r="601" spans="31:78" ht="15" x14ac:dyDescent="0.25">
      <c r="AE601" s="23" t="s">
        <v>469</v>
      </c>
      <c r="AF601">
        <v>0</v>
      </c>
      <c r="AG601" s="31"/>
      <c r="AH601" s="31"/>
      <c r="AJ601" s="34"/>
      <c r="AK601" s="24"/>
      <c r="AL601" s="24"/>
      <c r="AM601" s="24"/>
      <c r="AN601" s="24"/>
      <c r="AO601" s="24"/>
      <c r="AP601" s="24"/>
      <c r="AQ601" s="49"/>
      <c r="AR601" s="33"/>
      <c r="AS601" s="24"/>
      <c r="AT601" s="24"/>
      <c r="AU601" s="24"/>
      <c r="AV601" s="24"/>
      <c r="AW601" s="25"/>
      <c r="AX601" s="33"/>
      <c r="AY601" s="24"/>
      <c r="AZ601" s="24"/>
      <c r="BA601" s="24"/>
      <c r="BB601" s="24"/>
      <c r="BC601" s="25"/>
      <c r="BD601" s="33"/>
      <c r="BE601" s="24"/>
      <c r="BF601" s="24"/>
      <c r="BG601" s="24"/>
      <c r="BT601" s="34"/>
      <c r="BU601" s="23" t="s">
        <v>427</v>
      </c>
      <c r="BV601" s="22">
        <v>0</v>
      </c>
      <c r="BW601" s="31"/>
      <c r="BX601" s="31"/>
      <c r="BZ601" s="34"/>
    </row>
    <row r="602" spans="31:78" ht="15" x14ac:dyDescent="0.25">
      <c r="AE602" s="23" t="s">
        <v>470</v>
      </c>
      <c r="AF602">
        <v>0</v>
      </c>
      <c r="AG602" s="31"/>
      <c r="AH602" s="31"/>
      <c r="AJ602" s="34"/>
      <c r="AK602" s="24"/>
      <c r="AL602" s="24"/>
      <c r="AM602" s="24"/>
      <c r="AN602" s="24"/>
      <c r="AO602" s="24"/>
      <c r="AP602" s="24"/>
      <c r="AQ602" s="49"/>
      <c r="AR602" s="33"/>
      <c r="AS602" s="24"/>
      <c r="AT602" s="24"/>
      <c r="AU602" s="24"/>
      <c r="AV602" s="24"/>
      <c r="AW602" s="25"/>
      <c r="AX602" s="33"/>
      <c r="AY602" s="24"/>
      <c r="AZ602" s="24"/>
      <c r="BA602" s="24"/>
      <c r="BB602" s="24"/>
      <c r="BC602" s="25"/>
      <c r="BD602" s="33"/>
      <c r="BE602" s="24"/>
      <c r="BF602" s="24"/>
      <c r="BG602" s="24"/>
      <c r="BT602" s="34"/>
      <c r="BU602" s="23" t="s">
        <v>428</v>
      </c>
      <c r="BV602" s="22">
        <v>0</v>
      </c>
      <c r="BW602" s="31"/>
      <c r="BX602" s="31"/>
      <c r="BZ602" s="34"/>
    </row>
    <row r="603" spans="31:78" ht="15" x14ac:dyDescent="0.25">
      <c r="AE603" s="23" t="s">
        <v>471</v>
      </c>
      <c r="AF603">
        <v>0</v>
      </c>
      <c r="AG603" s="31"/>
      <c r="AH603" s="31"/>
      <c r="AJ603" s="34"/>
      <c r="AK603" s="24"/>
      <c r="AL603" s="24"/>
      <c r="AM603" s="24"/>
      <c r="AN603" s="24"/>
      <c r="AO603" s="24"/>
      <c r="AP603" s="24"/>
      <c r="AQ603" s="49"/>
      <c r="AR603" s="33"/>
      <c r="AS603" s="24"/>
      <c r="AT603" s="24"/>
      <c r="AU603" s="24"/>
      <c r="AV603" s="24"/>
      <c r="AW603" s="25"/>
      <c r="AX603" s="33"/>
      <c r="AY603" s="24"/>
      <c r="AZ603" s="24"/>
      <c r="BA603" s="24"/>
      <c r="BB603" s="24"/>
      <c r="BC603" s="25"/>
      <c r="BD603" s="33"/>
      <c r="BE603" s="24"/>
      <c r="BF603" s="24"/>
      <c r="BG603" s="24"/>
      <c r="BT603" s="34"/>
      <c r="BU603" s="23" t="s">
        <v>429</v>
      </c>
      <c r="BV603" s="22">
        <v>0</v>
      </c>
      <c r="BW603" s="31"/>
      <c r="BX603" s="31"/>
      <c r="BZ603" s="34"/>
    </row>
    <row r="604" spans="31:78" ht="15" x14ac:dyDescent="0.25">
      <c r="AE604" s="23" t="s">
        <v>472</v>
      </c>
      <c r="AF604">
        <v>0</v>
      </c>
      <c r="AJ604" s="34"/>
      <c r="AK604" s="24"/>
      <c r="AL604" s="24"/>
      <c r="AM604" s="24"/>
      <c r="AN604" s="24"/>
      <c r="AO604" s="24"/>
      <c r="AP604" s="24"/>
      <c r="AQ604" s="49"/>
      <c r="AR604" s="33"/>
      <c r="AS604" s="24"/>
      <c r="AT604" s="24"/>
      <c r="AU604" s="24"/>
      <c r="AV604" s="24"/>
      <c r="AW604" s="25"/>
      <c r="AX604" s="33"/>
      <c r="AY604" s="24"/>
      <c r="AZ604" s="24"/>
      <c r="BA604" s="24"/>
      <c r="BB604" s="24"/>
      <c r="BC604" s="25"/>
      <c r="BD604" s="33"/>
      <c r="BE604" s="24"/>
      <c r="BF604" s="24"/>
      <c r="BG604" s="24"/>
      <c r="BT604" s="34"/>
      <c r="BU604" s="23" t="s">
        <v>430</v>
      </c>
      <c r="BV604" s="22">
        <v>1</v>
      </c>
      <c r="BW604" s="31"/>
      <c r="BX604" s="31"/>
      <c r="BZ604" s="34"/>
    </row>
    <row r="605" spans="31:78" ht="15" x14ac:dyDescent="0.25">
      <c r="AE605" s="23" t="s">
        <v>362</v>
      </c>
      <c r="AF605">
        <v>0</v>
      </c>
      <c r="AJ605" s="34"/>
      <c r="AK605" s="24"/>
      <c r="AL605" s="24"/>
      <c r="AM605" s="24"/>
      <c r="AN605" s="24"/>
      <c r="AO605" s="24"/>
      <c r="AP605" s="24"/>
      <c r="AQ605" s="49"/>
      <c r="AR605" s="33"/>
      <c r="AS605" s="24"/>
      <c r="AT605" s="24"/>
      <c r="AU605" s="24"/>
      <c r="AV605" s="24"/>
      <c r="AW605" s="25"/>
      <c r="AX605" s="33"/>
      <c r="AY605" s="24"/>
      <c r="AZ605" s="24"/>
      <c r="BA605" s="24"/>
      <c r="BB605" s="24"/>
      <c r="BC605" s="25"/>
      <c r="BD605" s="33"/>
      <c r="BE605" s="24"/>
      <c r="BF605" s="24"/>
      <c r="BG605" s="24"/>
      <c r="BT605" s="34"/>
      <c r="BU605" s="23" t="s">
        <v>431</v>
      </c>
      <c r="BV605" s="22">
        <v>0</v>
      </c>
      <c r="BW605" s="31"/>
      <c r="BX605" s="31"/>
      <c r="BZ605" s="34"/>
    </row>
    <row r="606" spans="31:78" ht="15" x14ac:dyDescent="0.25">
      <c r="AE606" s="23" t="s">
        <v>473</v>
      </c>
      <c r="AF606">
        <v>0</v>
      </c>
      <c r="AJ606" s="34"/>
      <c r="AK606" s="24"/>
      <c r="AL606" s="24"/>
      <c r="AM606" s="24"/>
      <c r="AN606" s="24"/>
      <c r="AO606" s="24"/>
      <c r="AP606" s="24"/>
      <c r="AQ606" s="49"/>
      <c r="AR606" s="33"/>
      <c r="AS606" s="24"/>
      <c r="AT606" s="24"/>
      <c r="AU606" s="24"/>
      <c r="AV606" s="24"/>
      <c r="AW606" s="25"/>
      <c r="AX606" s="33"/>
      <c r="AY606" s="24"/>
      <c r="AZ606" s="24"/>
      <c r="BA606" s="24"/>
      <c r="BB606" s="24"/>
      <c r="BC606" s="25"/>
      <c r="BD606" s="33"/>
      <c r="BE606" s="24"/>
      <c r="BF606" s="24"/>
      <c r="BG606" s="24"/>
      <c r="BT606" s="34"/>
      <c r="BU606" s="23" t="s">
        <v>432</v>
      </c>
      <c r="BV606" s="22">
        <v>0</v>
      </c>
      <c r="BW606" s="31"/>
      <c r="BX606" s="31"/>
      <c r="BZ606" s="34"/>
    </row>
    <row r="607" spans="31:78" ht="15" x14ac:dyDescent="0.25">
      <c r="AE607" s="23" t="s">
        <v>474</v>
      </c>
      <c r="AF607">
        <v>1</v>
      </c>
      <c r="AJ607" s="34"/>
      <c r="AK607" s="24"/>
      <c r="AL607" s="24"/>
      <c r="AM607" s="24"/>
      <c r="AN607" s="24"/>
      <c r="AO607" s="24"/>
      <c r="AP607" s="24"/>
      <c r="AQ607" s="49"/>
      <c r="AR607" s="33"/>
      <c r="AS607" s="24"/>
      <c r="AT607" s="24"/>
      <c r="AU607" s="24"/>
      <c r="AV607" s="24"/>
      <c r="AW607" s="25"/>
      <c r="AX607" s="33"/>
      <c r="AY607" s="24"/>
      <c r="AZ607" s="24"/>
      <c r="BA607" s="24"/>
      <c r="BB607" s="24"/>
      <c r="BC607" s="25"/>
      <c r="BD607" s="33"/>
      <c r="BE607" s="24"/>
      <c r="BF607" s="24"/>
      <c r="BG607" s="24"/>
      <c r="BT607" s="34"/>
      <c r="BU607" s="23" t="s">
        <v>433</v>
      </c>
      <c r="BV607" s="22">
        <v>0</v>
      </c>
      <c r="BW607" s="31"/>
      <c r="BX607" s="31"/>
      <c r="BZ607" s="34"/>
    </row>
    <row r="608" spans="31:78" ht="15" x14ac:dyDescent="0.25">
      <c r="AE608" s="23" t="s">
        <v>475</v>
      </c>
      <c r="AF608">
        <v>0</v>
      </c>
      <c r="AJ608" s="34"/>
      <c r="AK608" s="24"/>
      <c r="AL608" s="24"/>
      <c r="AM608" s="24"/>
      <c r="AN608" s="24"/>
      <c r="AO608" s="24"/>
      <c r="AP608" s="24"/>
      <c r="AQ608" s="49"/>
      <c r="AR608" s="33"/>
      <c r="AS608" s="24"/>
      <c r="AT608" s="24"/>
      <c r="AU608" s="24"/>
      <c r="AV608" s="24"/>
      <c r="AW608" s="25"/>
      <c r="AX608" s="33"/>
      <c r="AY608" s="24"/>
      <c r="AZ608" s="24"/>
      <c r="BA608" s="24"/>
      <c r="BB608" s="24"/>
      <c r="BC608" s="25"/>
      <c r="BD608" s="33"/>
      <c r="BE608" s="24"/>
      <c r="BF608" s="24"/>
      <c r="BG608" s="24"/>
      <c r="BT608" s="34"/>
      <c r="BU608" s="23" t="s">
        <v>434</v>
      </c>
      <c r="BV608" s="22">
        <v>0</v>
      </c>
      <c r="BW608" s="31"/>
      <c r="BX608" s="31"/>
      <c r="BZ608" s="34"/>
    </row>
    <row r="609" spans="31:78" x14ac:dyDescent="0.2">
      <c r="AE609" s="34"/>
      <c r="AF609" s="34"/>
      <c r="AG609" s="34"/>
      <c r="AH609" s="34"/>
      <c r="AI609" s="34"/>
      <c r="AJ609" s="34"/>
      <c r="AK609" s="24"/>
      <c r="AL609" s="24"/>
      <c r="AM609" s="24"/>
      <c r="AN609" s="24"/>
      <c r="AO609" s="24"/>
      <c r="AP609" s="24"/>
      <c r="AQ609" s="49"/>
      <c r="AR609" s="33"/>
      <c r="AS609" s="24"/>
      <c r="AT609" s="24"/>
      <c r="AU609" s="24"/>
      <c r="AV609" s="24"/>
      <c r="AW609" s="25"/>
      <c r="AX609" s="33"/>
      <c r="AY609" s="24"/>
      <c r="AZ609" s="24"/>
      <c r="BA609" s="24"/>
      <c r="BB609" s="24"/>
      <c r="BC609" s="25"/>
      <c r="BD609" s="33"/>
      <c r="BE609" s="24"/>
      <c r="BF609" s="24"/>
      <c r="BG609" s="24"/>
      <c r="BT609" s="34"/>
      <c r="BU609" s="34"/>
      <c r="BV609" s="34"/>
      <c r="BW609" s="34"/>
      <c r="BX609" s="34"/>
      <c r="BY609" s="34"/>
      <c r="BZ609" s="34"/>
    </row>
    <row r="610" spans="31:78" x14ac:dyDescent="0.2">
      <c r="AE610" s="31" t="s">
        <v>100</v>
      </c>
      <c r="AF610" s="32" t="s">
        <v>67</v>
      </c>
      <c r="AG610" s="31"/>
      <c r="AH610" s="31"/>
      <c r="AJ610" s="34"/>
      <c r="AK610" s="24"/>
      <c r="AL610" s="24"/>
      <c r="AM610" s="24"/>
      <c r="AN610" s="24"/>
      <c r="AO610" s="24"/>
      <c r="AP610" s="24"/>
      <c r="AQ610" s="49"/>
      <c r="AR610" s="33"/>
      <c r="AS610" s="24"/>
      <c r="AT610" s="24"/>
      <c r="AU610" s="24"/>
      <c r="AV610" s="24"/>
      <c r="AW610" s="25"/>
      <c r="AX610" s="33"/>
      <c r="AY610" s="24"/>
      <c r="AZ610" s="24"/>
      <c r="BA610" s="24"/>
      <c r="BB610" s="24"/>
      <c r="BC610" s="25"/>
      <c r="BD610" s="33"/>
      <c r="BE610" s="24"/>
      <c r="BF610" s="24"/>
      <c r="BG610" s="24"/>
      <c r="BT610" s="34"/>
      <c r="BU610" s="19" t="s">
        <v>100</v>
      </c>
      <c r="BV610" s="35" t="s">
        <v>61</v>
      </c>
      <c r="BZ610" s="34"/>
    </row>
    <row r="611" spans="31:78" x14ac:dyDescent="0.2">
      <c r="AE611" s="31" t="s">
        <v>101</v>
      </c>
      <c r="AF611" s="12" t="s">
        <v>29</v>
      </c>
      <c r="AG611" s="31"/>
      <c r="AH611" s="31"/>
      <c r="AJ611" s="34"/>
      <c r="AK611" s="24"/>
      <c r="AL611" s="24"/>
      <c r="AM611" s="24"/>
      <c r="AN611" s="24"/>
      <c r="AO611" s="24"/>
      <c r="AP611" s="24"/>
      <c r="AQ611" s="49"/>
      <c r="AR611" s="33"/>
      <c r="AS611" s="24"/>
      <c r="AT611" s="24"/>
      <c r="AU611" s="24"/>
      <c r="AV611" s="24"/>
      <c r="AW611" s="25"/>
      <c r="AX611" s="33"/>
      <c r="AY611" s="24"/>
      <c r="AZ611" s="24"/>
      <c r="BA611" s="24"/>
      <c r="BB611" s="24"/>
      <c r="BC611" s="25"/>
      <c r="BD611" s="33"/>
      <c r="BE611" s="24"/>
      <c r="BF611" s="24"/>
      <c r="BG611" s="24"/>
      <c r="BT611" s="34"/>
      <c r="BV611" s="12" t="s">
        <v>26</v>
      </c>
      <c r="BZ611" s="34"/>
    </row>
    <row r="612" spans="31:78" x14ac:dyDescent="0.2">
      <c r="AE612" s="31" t="s">
        <v>102</v>
      </c>
      <c r="AF612" s="31" t="s">
        <v>71</v>
      </c>
      <c r="AG612" s="31" t="s">
        <v>103</v>
      </c>
      <c r="AH612" s="31" t="s">
        <v>104</v>
      </c>
      <c r="AJ612" s="34"/>
      <c r="AK612" s="24"/>
      <c r="AL612" s="24"/>
      <c r="AM612" s="24"/>
      <c r="AN612" s="24"/>
      <c r="AO612" s="24"/>
      <c r="AP612" s="24"/>
      <c r="AQ612" s="49"/>
      <c r="AR612" s="33"/>
      <c r="AS612" s="24"/>
      <c r="AT612" s="24"/>
      <c r="AU612" s="24"/>
      <c r="AV612" s="24"/>
      <c r="AW612" s="25"/>
      <c r="AX612" s="33"/>
      <c r="AY612" s="24"/>
      <c r="AZ612" s="24"/>
      <c r="BA612" s="24"/>
      <c r="BB612" s="24"/>
      <c r="BC612" s="25"/>
      <c r="BD612" s="33"/>
      <c r="BE612" s="24"/>
      <c r="BF612" s="24"/>
      <c r="BG612" s="24"/>
      <c r="BT612" s="34"/>
      <c r="BU612" s="31" t="s">
        <v>102</v>
      </c>
      <c r="BV612" s="31" t="s">
        <v>71</v>
      </c>
      <c r="BW612" s="31" t="s">
        <v>103</v>
      </c>
      <c r="BX612" s="31" t="s">
        <v>104</v>
      </c>
      <c r="BZ612" s="34"/>
    </row>
    <row r="613" spans="31:78" ht="15" x14ac:dyDescent="0.25">
      <c r="AE613" s="23" t="s">
        <v>453</v>
      </c>
      <c r="AF613">
        <v>18</v>
      </c>
      <c r="AG613" s="31" t="s">
        <v>106</v>
      </c>
      <c r="AH613" s="31">
        <f>SUM(AF613:AF637)</f>
        <v>279</v>
      </c>
      <c r="AJ613" s="34"/>
      <c r="AK613" s="24"/>
      <c r="AL613" s="24"/>
      <c r="AM613" s="24"/>
      <c r="AN613" s="24"/>
      <c r="AO613" s="24"/>
      <c r="AP613" s="24"/>
      <c r="AQ613" s="49"/>
      <c r="AR613" s="33"/>
      <c r="AS613" s="24"/>
      <c r="AT613" s="24"/>
      <c r="AU613" s="24"/>
      <c r="AV613" s="24"/>
      <c r="AW613" s="25"/>
      <c r="AX613" s="33"/>
      <c r="AY613" s="24"/>
      <c r="AZ613" s="24"/>
      <c r="BA613" s="24"/>
      <c r="BB613" s="24"/>
      <c r="BC613" s="25"/>
      <c r="BD613" s="33"/>
      <c r="BE613" s="24"/>
      <c r="BF613" s="24"/>
      <c r="BG613" s="24"/>
      <c r="BT613" s="34"/>
      <c r="BU613" s="23" t="s">
        <v>412</v>
      </c>
      <c r="BV613" s="22">
        <v>1</v>
      </c>
      <c r="BW613" s="31" t="s">
        <v>106</v>
      </c>
      <c r="BX613" s="31">
        <f>SUM(BV613:BV637)</f>
        <v>6</v>
      </c>
      <c r="BZ613" s="34"/>
    </row>
    <row r="614" spans="31:78" ht="15" x14ac:dyDescent="0.25">
      <c r="AE614" s="23" t="s">
        <v>454</v>
      </c>
      <c r="AF614">
        <v>6</v>
      </c>
      <c r="AG614" s="31" t="s">
        <v>115</v>
      </c>
      <c r="AH614" s="31">
        <f>MIN(AF613:AF637)</f>
        <v>6</v>
      </c>
      <c r="AJ614" s="34"/>
      <c r="AK614" s="24"/>
      <c r="AL614" s="24"/>
      <c r="AM614" s="24"/>
      <c r="AN614" s="24"/>
      <c r="AO614" s="24"/>
      <c r="AP614" s="24"/>
      <c r="AQ614" s="49"/>
      <c r="AR614" s="33"/>
      <c r="AS614" s="24"/>
      <c r="AT614" s="24"/>
      <c r="AU614" s="24"/>
      <c r="AV614" s="24"/>
      <c r="AW614" s="25"/>
      <c r="AX614" s="33"/>
      <c r="AY614" s="24"/>
      <c r="AZ614" s="24"/>
      <c r="BA614" s="24"/>
      <c r="BB614" s="24"/>
      <c r="BC614" s="25"/>
      <c r="BD614" s="33"/>
      <c r="BE614" s="24"/>
      <c r="BF614" s="24"/>
      <c r="BG614" s="24"/>
      <c r="BT614" s="34"/>
      <c r="BU614" s="22" t="s">
        <v>244</v>
      </c>
      <c r="BV614" s="22">
        <v>0</v>
      </c>
      <c r="BW614" s="31" t="s">
        <v>115</v>
      </c>
      <c r="BX614" s="31">
        <f>MIN(BV613:BV637)</f>
        <v>0</v>
      </c>
      <c r="BZ614" s="34"/>
    </row>
    <row r="615" spans="31:78" ht="15" x14ac:dyDescent="0.25">
      <c r="AE615" s="23" t="s">
        <v>455</v>
      </c>
      <c r="AF615">
        <v>7</v>
      </c>
      <c r="AG615" s="31" t="s">
        <v>122</v>
      </c>
      <c r="AH615" s="31">
        <f>MAX(AF613:AF637)</f>
        <v>18</v>
      </c>
      <c r="AJ615" s="34"/>
      <c r="AK615" s="24"/>
      <c r="AL615" s="24"/>
      <c r="AM615" s="24"/>
      <c r="AN615" s="24"/>
      <c r="AO615" s="24"/>
      <c r="AP615" s="24"/>
      <c r="AQ615" s="49"/>
      <c r="AR615" s="33"/>
      <c r="AS615" s="24"/>
      <c r="AT615" s="24"/>
      <c r="AU615" s="24"/>
      <c r="AV615" s="24"/>
      <c r="AW615" s="25"/>
      <c r="AX615" s="33"/>
      <c r="AY615" s="24"/>
      <c r="AZ615" s="24"/>
      <c r="BA615" s="24"/>
      <c r="BB615" s="24"/>
      <c r="BC615" s="25"/>
      <c r="BD615" s="33"/>
      <c r="BE615" s="24"/>
      <c r="BF615" s="24"/>
      <c r="BG615" s="24"/>
      <c r="BT615" s="34"/>
      <c r="BU615" s="22" t="s">
        <v>119</v>
      </c>
      <c r="BV615" s="22">
        <v>0</v>
      </c>
      <c r="BW615" s="31" t="s">
        <v>122</v>
      </c>
      <c r="BX615" s="31">
        <f>MAX(BV613:BV637)</f>
        <v>2</v>
      </c>
      <c r="BZ615" s="34"/>
    </row>
    <row r="616" spans="31:78" ht="15" x14ac:dyDescent="0.25">
      <c r="AE616" s="23" t="s">
        <v>456</v>
      </c>
      <c r="AF616">
        <v>17</v>
      </c>
      <c r="AG616" s="31" t="s">
        <v>129</v>
      </c>
      <c r="AH616" s="31">
        <f>VAR(AF613:AF637)</f>
        <v>12.806666666666672</v>
      </c>
      <c r="AJ616" s="34"/>
      <c r="AK616" s="24"/>
      <c r="AL616" s="24"/>
      <c r="AM616" s="24"/>
      <c r="AN616" s="24"/>
      <c r="AO616" s="24"/>
      <c r="AP616" s="24"/>
      <c r="AQ616" s="49"/>
      <c r="AR616" s="33"/>
      <c r="AS616" s="24"/>
      <c r="AT616" s="24"/>
      <c r="AU616" s="24"/>
      <c r="AV616" s="24"/>
      <c r="AW616" s="25"/>
      <c r="AX616" s="33"/>
      <c r="AY616" s="24"/>
      <c r="AZ616" s="24"/>
      <c r="BA616" s="24"/>
      <c r="BB616" s="24"/>
      <c r="BC616" s="25"/>
      <c r="BD616" s="33"/>
      <c r="BE616" s="24"/>
      <c r="BF616" s="24"/>
      <c r="BG616" s="24"/>
      <c r="BT616" s="34"/>
      <c r="BU616" s="22" t="s">
        <v>413</v>
      </c>
      <c r="BV616" s="22">
        <v>0</v>
      </c>
      <c r="BW616" s="31" t="s">
        <v>129</v>
      </c>
      <c r="BX616" s="31">
        <f>VAR(BV613:BV637)</f>
        <v>0.27333333333333337</v>
      </c>
      <c r="BZ616" s="34"/>
    </row>
    <row r="617" spans="31:78" ht="15" x14ac:dyDescent="0.25">
      <c r="AE617" s="23" t="s">
        <v>259</v>
      </c>
      <c r="AF617">
        <v>9</v>
      </c>
      <c r="AG617" s="31" t="s">
        <v>138</v>
      </c>
      <c r="AH617" s="31">
        <f>AVERAGE(AF613:AF637)</f>
        <v>11.16</v>
      </c>
      <c r="AJ617" s="34"/>
      <c r="AK617" s="24"/>
      <c r="AL617" s="24"/>
      <c r="AM617" s="24"/>
      <c r="AN617" s="24"/>
      <c r="AO617" s="24"/>
      <c r="AP617" s="24"/>
      <c r="AQ617" s="49"/>
      <c r="AR617" s="33"/>
      <c r="AS617" s="24"/>
      <c r="AT617" s="24"/>
      <c r="AU617" s="24"/>
      <c r="AV617" s="24"/>
      <c r="AW617" s="25"/>
      <c r="AX617" s="33"/>
      <c r="AY617" s="24"/>
      <c r="AZ617" s="24"/>
      <c r="BA617" s="24"/>
      <c r="BB617" s="24"/>
      <c r="BC617" s="25"/>
      <c r="BD617" s="33"/>
      <c r="BE617" s="24"/>
      <c r="BF617" s="24"/>
      <c r="BG617" s="24"/>
      <c r="BT617" s="34"/>
      <c r="BU617" s="22" t="s">
        <v>414</v>
      </c>
      <c r="BV617" s="22">
        <v>0</v>
      </c>
      <c r="BW617" s="31" t="s">
        <v>138</v>
      </c>
      <c r="BX617" s="31">
        <f>AVERAGE(BV613:BV637)</f>
        <v>0.24</v>
      </c>
      <c r="BZ617" s="34"/>
    </row>
    <row r="618" spans="31:78" ht="15" x14ac:dyDescent="0.25">
      <c r="AE618" s="23" t="s">
        <v>457</v>
      </c>
      <c r="AF618">
        <v>15</v>
      </c>
      <c r="AG618" s="31" t="s">
        <v>144</v>
      </c>
      <c r="AH618" s="31">
        <f>STDEV(AF613:AF637)</f>
        <v>3.5786403377074194</v>
      </c>
      <c r="AJ618" s="34"/>
      <c r="AK618" s="24"/>
      <c r="AL618" s="24"/>
      <c r="AM618" s="24"/>
      <c r="AN618" s="24"/>
      <c r="AO618" s="24"/>
      <c r="AP618" s="24"/>
      <c r="AQ618" s="49"/>
      <c r="AR618" s="33"/>
      <c r="AS618" s="24"/>
      <c r="AT618" s="24"/>
      <c r="AU618" s="24"/>
      <c r="AV618" s="24"/>
      <c r="AW618" s="25"/>
      <c r="AX618" s="33"/>
      <c r="AY618" s="24"/>
      <c r="AZ618" s="24"/>
      <c r="BA618" s="24"/>
      <c r="BB618" s="24"/>
      <c r="BC618" s="25"/>
      <c r="BD618" s="33"/>
      <c r="BE618" s="24"/>
      <c r="BF618" s="24"/>
      <c r="BG618" s="24"/>
      <c r="BT618" s="34"/>
      <c r="BU618" s="22" t="s">
        <v>415</v>
      </c>
      <c r="BV618" s="22">
        <v>0</v>
      </c>
      <c r="BW618" s="31" t="s">
        <v>144</v>
      </c>
      <c r="BX618" s="31">
        <f>STDEV(BV613:BV637)</f>
        <v>0.52281290471193742</v>
      </c>
      <c r="BZ618" s="34"/>
    </row>
    <row r="619" spans="31:78" ht="15" x14ac:dyDescent="0.25">
      <c r="AE619" s="23" t="s">
        <v>458</v>
      </c>
      <c r="AF619">
        <v>14</v>
      </c>
      <c r="AG619" s="31"/>
      <c r="AH619" s="31"/>
      <c r="AJ619" s="34"/>
      <c r="AK619" s="24"/>
      <c r="AL619" s="24"/>
      <c r="AM619" s="24"/>
      <c r="AN619" s="24"/>
      <c r="AO619" s="24"/>
      <c r="AP619" s="24"/>
      <c r="AQ619" s="49"/>
      <c r="AR619" s="33"/>
      <c r="AS619" s="24"/>
      <c r="AT619" s="24"/>
      <c r="AU619" s="24"/>
      <c r="AV619" s="24"/>
      <c r="AW619" s="25"/>
      <c r="AX619" s="33"/>
      <c r="AY619" s="24"/>
      <c r="AZ619" s="24"/>
      <c r="BA619" s="24"/>
      <c r="BB619" s="24"/>
      <c r="BC619" s="25"/>
      <c r="BD619" s="33"/>
      <c r="BE619" s="24"/>
      <c r="BF619" s="24"/>
      <c r="BG619" s="24"/>
      <c r="BT619" s="34"/>
      <c r="BU619" s="22" t="s">
        <v>416</v>
      </c>
      <c r="BV619" s="22">
        <v>0</v>
      </c>
      <c r="BW619" s="31"/>
      <c r="BX619" s="31"/>
      <c r="BZ619" s="34"/>
    </row>
    <row r="620" spans="31:78" ht="15" x14ac:dyDescent="0.25">
      <c r="AE620" s="23" t="s">
        <v>459</v>
      </c>
      <c r="AF620">
        <v>11</v>
      </c>
      <c r="AG620" s="31"/>
      <c r="AH620" s="31"/>
      <c r="AJ620" s="34"/>
      <c r="AK620" s="24"/>
      <c r="AL620" s="24"/>
      <c r="AM620" s="24"/>
      <c r="AN620" s="24"/>
      <c r="AO620" s="24"/>
      <c r="AP620" s="24"/>
      <c r="AQ620" s="49"/>
      <c r="AR620" s="33"/>
      <c r="AS620" s="24"/>
      <c r="AT620" s="24"/>
      <c r="AU620" s="24"/>
      <c r="AV620" s="24"/>
      <c r="AW620" s="25"/>
      <c r="AX620" s="33"/>
      <c r="AY620" s="24"/>
      <c r="AZ620" s="24"/>
      <c r="BA620" s="24"/>
      <c r="BB620" s="24"/>
      <c r="BC620" s="25"/>
      <c r="BD620" s="33"/>
      <c r="BE620" s="24"/>
      <c r="BF620" s="24"/>
      <c r="BG620" s="24"/>
      <c r="BT620" s="34"/>
      <c r="BU620" s="22" t="s">
        <v>417</v>
      </c>
      <c r="BV620" s="22">
        <v>0</v>
      </c>
      <c r="BW620" s="31"/>
      <c r="BX620" s="31"/>
      <c r="BZ620" s="34"/>
    </row>
    <row r="621" spans="31:78" ht="15" x14ac:dyDescent="0.25">
      <c r="AE621" s="23" t="s">
        <v>460</v>
      </c>
      <c r="AF621">
        <v>6</v>
      </c>
      <c r="AG621" s="33"/>
      <c r="AH621" s="33"/>
      <c r="AJ621" s="34"/>
      <c r="AK621" s="24"/>
      <c r="AL621" s="24"/>
      <c r="AM621" s="24"/>
      <c r="AN621" s="24"/>
      <c r="AO621" s="24"/>
      <c r="AP621" s="24"/>
      <c r="AQ621" s="49"/>
      <c r="AR621" s="33"/>
      <c r="AS621" s="24"/>
      <c r="AT621" s="24"/>
      <c r="AU621" s="24"/>
      <c r="AV621" s="24"/>
      <c r="AW621" s="25"/>
      <c r="AX621" s="33"/>
      <c r="AY621" s="24"/>
      <c r="AZ621" s="24"/>
      <c r="BA621" s="24"/>
      <c r="BB621" s="24"/>
      <c r="BC621" s="25"/>
      <c r="BD621" s="33"/>
      <c r="BE621" s="24"/>
      <c r="BF621" s="24"/>
      <c r="BG621" s="24"/>
      <c r="BT621" s="34"/>
      <c r="BU621" s="22" t="s">
        <v>418</v>
      </c>
      <c r="BV621" s="22">
        <v>0</v>
      </c>
      <c r="BW621" s="31"/>
      <c r="BX621" s="31"/>
      <c r="BZ621" s="34"/>
    </row>
    <row r="622" spans="31:78" ht="15" x14ac:dyDescent="0.25">
      <c r="AE622" s="23" t="s">
        <v>461</v>
      </c>
      <c r="AF622">
        <v>9</v>
      </c>
      <c r="AG622" s="31"/>
      <c r="AH622" s="31"/>
      <c r="AJ622" s="34"/>
      <c r="AK622" s="24"/>
      <c r="AL622" s="24"/>
      <c r="AM622" s="24"/>
      <c r="AN622" s="24"/>
      <c r="AO622" s="24"/>
      <c r="AP622" s="24"/>
      <c r="AQ622" s="49"/>
      <c r="AR622" s="33"/>
      <c r="AS622" s="24"/>
      <c r="AT622" s="24"/>
      <c r="AU622" s="24"/>
      <c r="AV622" s="24"/>
      <c r="AW622" s="25"/>
      <c r="AX622" s="33"/>
      <c r="AY622" s="24"/>
      <c r="AZ622" s="24"/>
      <c r="BA622" s="24"/>
      <c r="BB622" s="24"/>
      <c r="BC622" s="25"/>
      <c r="BD622" s="33"/>
      <c r="BE622" s="24"/>
      <c r="BF622" s="24"/>
      <c r="BG622" s="24"/>
      <c r="BT622" s="34"/>
      <c r="BU622" s="22" t="s">
        <v>419</v>
      </c>
      <c r="BV622" s="22">
        <v>0</v>
      </c>
      <c r="BW622" s="31"/>
      <c r="BX622" s="31"/>
      <c r="BZ622" s="34"/>
    </row>
    <row r="623" spans="31:78" ht="15" x14ac:dyDescent="0.25">
      <c r="AE623" s="23" t="s">
        <v>462</v>
      </c>
      <c r="AF623">
        <v>17</v>
      </c>
      <c r="AG623" s="24"/>
      <c r="AH623" s="24"/>
      <c r="AJ623" s="34"/>
      <c r="AK623" s="24"/>
      <c r="AL623" s="24"/>
      <c r="AM623" s="24"/>
      <c r="AN623" s="24"/>
      <c r="AO623" s="24"/>
      <c r="AP623" s="24"/>
      <c r="AQ623" s="49"/>
      <c r="AR623" s="33"/>
      <c r="AS623" s="24"/>
      <c r="AT623" s="24"/>
      <c r="AU623" s="24"/>
      <c r="AV623" s="24"/>
      <c r="AW623" s="25"/>
      <c r="AX623" s="33"/>
      <c r="AY623" s="24"/>
      <c r="AZ623" s="24"/>
      <c r="BA623" s="24"/>
      <c r="BB623" s="24"/>
      <c r="BC623" s="25"/>
      <c r="BD623" s="33"/>
      <c r="BE623" s="24"/>
      <c r="BF623" s="24"/>
      <c r="BG623" s="24"/>
      <c r="BT623" s="34"/>
      <c r="BU623" s="22" t="s">
        <v>420</v>
      </c>
      <c r="BV623" s="22">
        <v>1</v>
      </c>
      <c r="BW623" s="31"/>
      <c r="BX623" s="31"/>
      <c r="BZ623" s="34"/>
    </row>
    <row r="624" spans="31:78" ht="15" x14ac:dyDescent="0.25">
      <c r="AE624" s="23" t="s">
        <v>463</v>
      </c>
      <c r="AF624">
        <v>16</v>
      </c>
      <c r="AG624" s="31"/>
      <c r="AH624" s="31"/>
      <c r="AJ624" s="34"/>
      <c r="AK624" s="24"/>
      <c r="AL624" s="24"/>
      <c r="AM624" s="24"/>
      <c r="AN624" s="24"/>
      <c r="AO624" s="24"/>
      <c r="AP624" s="24"/>
      <c r="AQ624" s="49"/>
      <c r="AR624" s="33"/>
      <c r="AS624" s="24"/>
      <c r="AT624" s="24"/>
      <c r="AU624" s="24"/>
      <c r="AV624" s="24"/>
      <c r="AW624" s="25"/>
      <c r="AX624" s="33"/>
      <c r="AY624" s="24"/>
      <c r="AZ624" s="24"/>
      <c r="BA624" s="24"/>
      <c r="BB624" s="24"/>
      <c r="BC624" s="25"/>
      <c r="BD624" s="33"/>
      <c r="BE624" s="24"/>
      <c r="BF624" s="24"/>
      <c r="BG624" s="24"/>
      <c r="BT624" s="34"/>
      <c r="BU624" s="22" t="s">
        <v>421</v>
      </c>
      <c r="BV624" s="22">
        <v>2</v>
      </c>
      <c r="BW624" s="31"/>
      <c r="BX624" s="31"/>
      <c r="BZ624" s="34"/>
    </row>
    <row r="625" spans="31:78" ht="15" x14ac:dyDescent="0.25">
      <c r="AE625" s="23" t="s">
        <v>464</v>
      </c>
      <c r="AF625">
        <v>9</v>
      </c>
      <c r="AG625" s="31"/>
      <c r="AH625" s="31"/>
      <c r="AJ625" s="34"/>
      <c r="AK625" s="24"/>
      <c r="AL625" s="24"/>
      <c r="AM625" s="24"/>
      <c r="AN625" s="24"/>
      <c r="AO625" s="24"/>
      <c r="AP625" s="24"/>
      <c r="AQ625" s="49"/>
      <c r="AR625" s="33"/>
      <c r="AS625" s="24"/>
      <c r="AT625" s="24"/>
      <c r="AU625" s="24"/>
      <c r="AV625" s="24"/>
      <c r="AW625" s="24"/>
      <c r="AX625" s="24"/>
      <c r="AY625" s="24"/>
      <c r="AZ625" s="24"/>
      <c r="BA625" s="24"/>
      <c r="BB625" s="24"/>
      <c r="BC625" s="24"/>
      <c r="BD625" s="24"/>
      <c r="BE625" s="24"/>
      <c r="BF625" s="24"/>
      <c r="BG625" s="24"/>
      <c r="BT625" s="34"/>
      <c r="BU625" s="22" t="s">
        <v>422</v>
      </c>
      <c r="BV625" s="22">
        <v>0</v>
      </c>
      <c r="BW625" s="31"/>
      <c r="BX625" s="31"/>
      <c r="BZ625" s="34"/>
    </row>
    <row r="626" spans="31:78" ht="15" x14ac:dyDescent="0.25">
      <c r="AE626" s="23" t="s">
        <v>465</v>
      </c>
      <c r="AF626">
        <v>10</v>
      </c>
      <c r="AG626" s="31"/>
      <c r="AH626" s="31"/>
      <c r="AJ626" s="34"/>
      <c r="AK626" s="24"/>
      <c r="AL626" s="24"/>
      <c r="AM626" s="24"/>
      <c r="AN626" s="24"/>
      <c r="AO626" s="24"/>
      <c r="AP626" s="24"/>
      <c r="AQ626" s="49"/>
      <c r="AR626" s="33"/>
      <c r="AS626" s="24"/>
      <c r="AT626" s="24"/>
      <c r="AU626" s="24"/>
      <c r="AV626" s="24"/>
      <c r="AW626" s="24"/>
      <c r="AX626" s="24"/>
      <c r="AY626" s="24"/>
      <c r="AZ626" s="24"/>
      <c r="BA626" s="24"/>
      <c r="BB626" s="24"/>
      <c r="BC626" s="24"/>
      <c r="BD626" s="24"/>
      <c r="BE626" s="24"/>
      <c r="BF626" s="24"/>
      <c r="BG626" s="24"/>
      <c r="BT626" s="34"/>
      <c r="BU626" s="23" t="s">
        <v>423</v>
      </c>
      <c r="BV626" s="22">
        <v>1</v>
      </c>
      <c r="BW626" s="31"/>
      <c r="BX626" s="31"/>
      <c r="BZ626" s="34"/>
    </row>
    <row r="627" spans="31:78" ht="15" x14ac:dyDescent="0.25">
      <c r="AE627" s="23" t="s">
        <v>466</v>
      </c>
      <c r="AF627">
        <v>10</v>
      </c>
      <c r="AG627" s="31"/>
      <c r="AH627" s="31"/>
      <c r="AJ627" s="34"/>
      <c r="AK627" s="24"/>
      <c r="AL627" s="24"/>
      <c r="AM627" s="24"/>
      <c r="AN627" s="24"/>
      <c r="AO627" s="24"/>
      <c r="AP627" s="24"/>
      <c r="AQ627" s="49"/>
      <c r="AR627" s="33"/>
      <c r="AS627" s="24"/>
      <c r="AT627" s="24"/>
      <c r="AU627" s="24"/>
      <c r="AV627" s="24"/>
      <c r="AW627" s="33"/>
      <c r="AX627" s="24"/>
      <c r="AY627" s="24"/>
      <c r="AZ627" s="24"/>
      <c r="BA627" s="24"/>
      <c r="BB627" s="24"/>
      <c r="BC627" s="33"/>
      <c r="BD627" s="24"/>
      <c r="BE627" s="24"/>
      <c r="BF627" s="24"/>
      <c r="BG627" s="24"/>
      <c r="BT627" s="34"/>
      <c r="BU627" s="22" t="s">
        <v>424</v>
      </c>
      <c r="BV627" s="22">
        <v>0</v>
      </c>
      <c r="BW627" s="31"/>
      <c r="BX627" s="31"/>
      <c r="BZ627" s="34"/>
    </row>
    <row r="628" spans="31:78" ht="15" x14ac:dyDescent="0.25">
      <c r="AE628" s="23" t="s">
        <v>467</v>
      </c>
      <c r="AF628">
        <v>14</v>
      </c>
      <c r="AG628" s="31"/>
      <c r="AH628" s="31"/>
      <c r="AJ628" s="34"/>
      <c r="AK628" s="24"/>
      <c r="AL628" s="24"/>
      <c r="AM628" s="24"/>
      <c r="AN628" s="24"/>
      <c r="AO628" s="24"/>
      <c r="AP628" s="24"/>
      <c r="AQ628" s="49"/>
      <c r="AR628" s="33"/>
      <c r="AS628" s="24"/>
      <c r="AT628" s="24"/>
      <c r="AU628" s="24"/>
      <c r="AV628" s="24"/>
      <c r="AW628" s="33"/>
      <c r="AX628" s="33"/>
      <c r="AY628" s="33"/>
      <c r="AZ628" s="33"/>
      <c r="BA628" s="24"/>
      <c r="BB628" s="24"/>
      <c r="BC628" s="33"/>
      <c r="BD628" s="33"/>
      <c r="BE628" s="33"/>
      <c r="BF628" s="33"/>
      <c r="BG628" s="24"/>
      <c r="BT628" s="34"/>
      <c r="BU628" s="23" t="s">
        <v>425</v>
      </c>
      <c r="BV628" s="22">
        <v>0</v>
      </c>
      <c r="BW628" s="31"/>
      <c r="BX628" s="31"/>
      <c r="BZ628" s="34"/>
    </row>
    <row r="629" spans="31:78" ht="15" x14ac:dyDescent="0.25">
      <c r="AE629" s="23" t="s">
        <v>468</v>
      </c>
      <c r="AF629">
        <v>13</v>
      </c>
      <c r="AG629" s="31"/>
      <c r="AH629" s="31"/>
      <c r="AJ629" s="34"/>
      <c r="AK629" s="24"/>
      <c r="AL629" s="24"/>
      <c r="AM629" s="24"/>
      <c r="AN629" s="24"/>
      <c r="AO629" s="24"/>
      <c r="AP629" s="24"/>
      <c r="AQ629" s="49"/>
      <c r="AR629" s="33"/>
      <c r="AS629" s="24"/>
      <c r="AT629" s="24"/>
      <c r="AU629" s="24"/>
      <c r="AV629" s="24"/>
      <c r="AW629" s="49"/>
      <c r="AX629" s="33"/>
      <c r="AY629" s="33"/>
      <c r="AZ629" s="33"/>
      <c r="BA629" s="24"/>
      <c r="BB629" s="24"/>
      <c r="BC629" s="49"/>
      <c r="BD629" s="33"/>
      <c r="BE629" s="33"/>
      <c r="BF629" s="33"/>
      <c r="BG629" s="24"/>
      <c r="BT629" s="34"/>
      <c r="BU629" s="23" t="s">
        <v>426</v>
      </c>
      <c r="BV629" s="22">
        <v>0</v>
      </c>
      <c r="BW629" s="31"/>
      <c r="BX629" s="31"/>
      <c r="BZ629" s="34"/>
    </row>
    <row r="630" spans="31:78" ht="15" x14ac:dyDescent="0.25">
      <c r="AE630" s="23" t="s">
        <v>469</v>
      </c>
      <c r="AF630">
        <v>12</v>
      </c>
      <c r="AG630" s="31"/>
      <c r="AH630" s="31"/>
      <c r="AJ630" s="34"/>
      <c r="AK630" s="24"/>
      <c r="AL630" s="24"/>
      <c r="AM630" s="24"/>
      <c r="AN630" s="24"/>
      <c r="AO630" s="24"/>
      <c r="AP630" s="24"/>
      <c r="AQ630" s="49"/>
      <c r="AR630" s="33"/>
      <c r="AS630" s="24"/>
      <c r="AT630" s="24"/>
      <c r="AU630" s="24"/>
      <c r="AV630" s="24"/>
      <c r="AW630" s="49"/>
      <c r="AX630" s="33"/>
      <c r="AY630" s="33"/>
      <c r="AZ630" s="33"/>
      <c r="BA630" s="24"/>
      <c r="BB630" s="24"/>
      <c r="BC630" s="49"/>
      <c r="BD630" s="33"/>
      <c r="BE630" s="33"/>
      <c r="BF630" s="33"/>
      <c r="BG630" s="24"/>
      <c r="BT630" s="34"/>
      <c r="BU630" s="23" t="s">
        <v>427</v>
      </c>
      <c r="BV630" s="22">
        <v>0</v>
      </c>
      <c r="BW630" s="31"/>
      <c r="BX630" s="31"/>
      <c r="BZ630" s="34"/>
    </row>
    <row r="631" spans="31:78" ht="15" x14ac:dyDescent="0.25">
      <c r="AE631" s="23" t="s">
        <v>470</v>
      </c>
      <c r="AF631">
        <v>10</v>
      </c>
      <c r="AG631" s="31"/>
      <c r="AH631" s="31"/>
      <c r="AJ631" s="34"/>
      <c r="AK631" s="24"/>
      <c r="AL631" s="24"/>
      <c r="AM631" s="24"/>
      <c r="AN631" s="24"/>
      <c r="AO631" s="24"/>
      <c r="AP631" s="24"/>
      <c r="AQ631" s="49"/>
      <c r="AR631" s="33"/>
      <c r="AS631" s="24"/>
      <c r="AT631" s="24"/>
      <c r="AU631" s="24"/>
      <c r="AV631" s="24"/>
      <c r="AW631" s="49"/>
      <c r="AX631" s="33"/>
      <c r="AY631" s="33"/>
      <c r="AZ631" s="33"/>
      <c r="BA631" s="24"/>
      <c r="BB631" s="24"/>
      <c r="BC631" s="49"/>
      <c r="BD631" s="33"/>
      <c r="BE631" s="33"/>
      <c r="BF631" s="33"/>
      <c r="BG631" s="24"/>
      <c r="BT631" s="34"/>
      <c r="BU631" s="23" t="s">
        <v>428</v>
      </c>
      <c r="BV631" s="22">
        <v>1</v>
      </c>
      <c r="BW631" s="31"/>
      <c r="BX631" s="31"/>
      <c r="BZ631" s="34"/>
    </row>
    <row r="632" spans="31:78" ht="15" x14ac:dyDescent="0.25">
      <c r="AE632" s="23" t="s">
        <v>471</v>
      </c>
      <c r="AF632">
        <v>7</v>
      </c>
      <c r="AG632" s="31"/>
      <c r="AH632" s="31"/>
      <c r="AJ632" s="34"/>
      <c r="AK632" s="24"/>
      <c r="AL632" s="24"/>
      <c r="AM632" s="24"/>
      <c r="AN632" s="24"/>
      <c r="AO632" s="24"/>
      <c r="AP632" s="24"/>
      <c r="AQ632" s="49"/>
      <c r="AR632" s="33"/>
      <c r="AS632" s="24"/>
      <c r="AT632" s="24"/>
      <c r="AU632" s="24"/>
      <c r="AV632" s="24"/>
      <c r="AW632" s="49"/>
      <c r="AX632" s="33"/>
      <c r="AY632" s="33"/>
      <c r="AZ632" s="33"/>
      <c r="BA632" s="24"/>
      <c r="BB632" s="24"/>
      <c r="BC632" s="49"/>
      <c r="BD632" s="33"/>
      <c r="BE632" s="33"/>
      <c r="BF632" s="33"/>
      <c r="BG632" s="24"/>
      <c r="BT632" s="34"/>
      <c r="BU632" s="23" t="s">
        <v>429</v>
      </c>
      <c r="BV632" s="22">
        <v>0</v>
      </c>
      <c r="BW632" s="31"/>
      <c r="BX632" s="31"/>
      <c r="BZ632" s="34"/>
    </row>
    <row r="633" spans="31:78" ht="15" x14ac:dyDescent="0.25">
      <c r="AE633" s="23" t="s">
        <v>472</v>
      </c>
      <c r="AF633">
        <v>8</v>
      </c>
      <c r="AJ633" s="34"/>
      <c r="AK633" s="24"/>
      <c r="AL633" s="24"/>
      <c r="AM633" s="24"/>
      <c r="AN633" s="24"/>
      <c r="AO633" s="24"/>
      <c r="AP633" s="24"/>
      <c r="AQ633" s="25"/>
      <c r="AR633" s="33"/>
      <c r="AS633" s="24"/>
      <c r="AT633" s="24"/>
      <c r="AU633" s="24"/>
      <c r="AV633" s="24"/>
      <c r="AW633" s="49"/>
      <c r="AX633" s="33"/>
      <c r="AY633" s="33"/>
      <c r="AZ633" s="33"/>
      <c r="BA633" s="24"/>
      <c r="BB633" s="24"/>
      <c r="BC633" s="49"/>
      <c r="BD633" s="33"/>
      <c r="BE633" s="33"/>
      <c r="BF633" s="33"/>
      <c r="BG633" s="24"/>
      <c r="BT633" s="34"/>
      <c r="BU633" s="23" t="s">
        <v>430</v>
      </c>
      <c r="BV633" s="22">
        <v>0</v>
      </c>
      <c r="BW633" s="31"/>
      <c r="BX633" s="31"/>
      <c r="BZ633" s="34"/>
    </row>
    <row r="634" spans="31:78" ht="15" x14ac:dyDescent="0.25">
      <c r="AE634" s="23" t="s">
        <v>362</v>
      </c>
      <c r="AF634">
        <v>8</v>
      </c>
      <c r="AJ634" s="34"/>
      <c r="AK634" s="24"/>
      <c r="AL634" s="24"/>
      <c r="AM634" s="24"/>
      <c r="AN634" s="24"/>
      <c r="AO634" s="24"/>
      <c r="AP634" s="24"/>
      <c r="AQ634" s="25"/>
      <c r="AR634" s="33"/>
      <c r="AS634" s="24"/>
      <c r="AT634" s="24"/>
      <c r="AU634" s="24"/>
      <c r="AV634" s="24"/>
      <c r="AW634" s="49"/>
      <c r="AX634" s="33"/>
      <c r="AY634" s="33"/>
      <c r="AZ634" s="33"/>
      <c r="BA634" s="24"/>
      <c r="BB634" s="24"/>
      <c r="BC634" s="49"/>
      <c r="BD634" s="33"/>
      <c r="BE634" s="33"/>
      <c r="BF634" s="33"/>
      <c r="BG634" s="24"/>
      <c r="BT634" s="34"/>
      <c r="BU634" s="23" t="s">
        <v>431</v>
      </c>
      <c r="BV634" s="22">
        <v>0</v>
      </c>
      <c r="BW634" s="31"/>
      <c r="BX634" s="31"/>
      <c r="BZ634" s="34"/>
    </row>
    <row r="635" spans="31:78" ht="15" x14ac:dyDescent="0.25">
      <c r="AE635" s="23" t="s">
        <v>473</v>
      </c>
      <c r="AF635">
        <v>9</v>
      </c>
      <c r="AJ635" s="34"/>
      <c r="AK635" s="24"/>
      <c r="AL635" s="24"/>
      <c r="AM635" s="24"/>
      <c r="AN635" s="24"/>
      <c r="AO635" s="24"/>
      <c r="AP635" s="24"/>
      <c r="AQ635" s="25"/>
      <c r="AR635" s="33"/>
      <c r="AS635" s="24"/>
      <c r="AT635" s="24"/>
      <c r="AU635" s="24"/>
      <c r="AV635" s="24"/>
      <c r="AW635" s="49"/>
      <c r="AX635" s="33"/>
      <c r="AY635" s="33"/>
      <c r="AZ635" s="33"/>
      <c r="BA635" s="24"/>
      <c r="BB635" s="24"/>
      <c r="BC635" s="49"/>
      <c r="BD635" s="33"/>
      <c r="BE635" s="33"/>
      <c r="BF635" s="33"/>
      <c r="BG635" s="24"/>
      <c r="BT635" s="34"/>
      <c r="BU635" s="23" t="s">
        <v>432</v>
      </c>
      <c r="BV635" s="22">
        <v>0</v>
      </c>
      <c r="BW635" s="31"/>
      <c r="BX635" s="31"/>
      <c r="BZ635" s="34"/>
    </row>
    <row r="636" spans="31:78" ht="15" x14ac:dyDescent="0.25">
      <c r="AE636" s="23" t="s">
        <v>474</v>
      </c>
      <c r="AF636">
        <v>13</v>
      </c>
      <c r="AJ636" s="34"/>
      <c r="AK636" s="24"/>
      <c r="AL636" s="24"/>
      <c r="AM636" s="24"/>
      <c r="AN636" s="24"/>
      <c r="AO636" s="24"/>
      <c r="AP636" s="24"/>
      <c r="AQ636" s="25"/>
      <c r="AR636" s="33"/>
      <c r="AS636" s="24"/>
      <c r="AT636" s="24"/>
      <c r="AU636" s="24"/>
      <c r="AV636" s="24"/>
      <c r="AW636" s="49"/>
      <c r="AX636" s="33"/>
      <c r="AY636" s="33"/>
      <c r="AZ636" s="33"/>
      <c r="BA636" s="24"/>
      <c r="BB636" s="24"/>
      <c r="BC636" s="49"/>
      <c r="BD636" s="33"/>
      <c r="BE636" s="33"/>
      <c r="BF636" s="33"/>
      <c r="BG636" s="24"/>
      <c r="BT636" s="34"/>
      <c r="BU636" s="23" t="s">
        <v>433</v>
      </c>
      <c r="BV636" s="22">
        <v>0</v>
      </c>
      <c r="BW636" s="31"/>
      <c r="BX636" s="31"/>
      <c r="BZ636" s="34"/>
    </row>
    <row r="637" spans="31:78" ht="15" x14ac:dyDescent="0.25">
      <c r="AE637" s="23" t="s">
        <v>475</v>
      </c>
      <c r="AF637">
        <v>11</v>
      </c>
      <c r="AJ637" s="3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49"/>
      <c r="AX637" s="33"/>
      <c r="AY637" s="33"/>
      <c r="AZ637" s="33"/>
      <c r="BA637" s="24"/>
      <c r="BB637" s="24"/>
      <c r="BC637" s="49"/>
      <c r="BD637" s="33"/>
      <c r="BE637" s="33"/>
      <c r="BF637" s="33"/>
      <c r="BG637" s="24"/>
      <c r="BT637" s="34"/>
      <c r="BU637" s="23" t="s">
        <v>434</v>
      </c>
      <c r="BV637" s="22">
        <v>0</v>
      </c>
      <c r="BW637" s="31"/>
      <c r="BX637" s="31"/>
      <c r="BZ637" s="34"/>
    </row>
    <row r="638" spans="31:78" x14ac:dyDescent="0.2">
      <c r="AE638" s="34"/>
      <c r="AF638" s="34"/>
      <c r="AG638" s="34"/>
      <c r="AH638" s="34"/>
      <c r="AI638" s="34"/>
      <c r="AJ638" s="3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49"/>
      <c r="AX638" s="33"/>
      <c r="AY638" s="33"/>
      <c r="AZ638" s="33"/>
      <c r="BA638" s="24"/>
      <c r="BB638" s="24"/>
      <c r="BC638" s="49"/>
      <c r="BD638" s="33"/>
      <c r="BE638" s="33"/>
      <c r="BF638" s="33"/>
      <c r="BG638" s="24"/>
      <c r="BT638" s="34"/>
      <c r="BU638" s="34"/>
      <c r="BV638" s="34"/>
      <c r="BW638" s="34"/>
      <c r="BX638" s="34"/>
      <c r="BY638" s="34"/>
      <c r="BZ638" s="34"/>
    </row>
    <row r="639" spans="31:78" x14ac:dyDescent="0.2">
      <c r="AE639" s="31" t="s">
        <v>100</v>
      </c>
      <c r="AF639" s="32" t="s">
        <v>67</v>
      </c>
      <c r="AG639" s="31"/>
      <c r="AH639" s="31"/>
      <c r="AJ639" s="34"/>
      <c r="AK639" s="24"/>
      <c r="AL639" s="24"/>
      <c r="AM639" s="24"/>
      <c r="AN639" s="24"/>
      <c r="AO639" s="24"/>
      <c r="AP639" s="24"/>
      <c r="AQ639" s="33"/>
      <c r="AR639" s="24"/>
      <c r="AS639" s="24"/>
      <c r="AT639" s="24"/>
      <c r="AU639" s="24"/>
      <c r="AV639" s="24"/>
      <c r="AW639" s="49"/>
      <c r="AX639" s="33"/>
      <c r="AY639" s="33"/>
      <c r="AZ639" s="33"/>
      <c r="BA639" s="24"/>
      <c r="BB639" s="24"/>
      <c r="BC639" s="49"/>
      <c r="BD639" s="33"/>
      <c r="BE639" s="33"/>
      <c r="BF639" s="33"/>
      <c r="BG639" s="24"/>
      <c r="BT639" s="34"/>
      <c r="BU639" s="19" t="s">
        <v>100</v>
      </c>
      <c r="BV639" s="35" t="s">
        <v>61</v>
      </c>
      <c r="BZ639" s="34"/>
    </row>
    <row r="640" spans="31:78" x14ac:dyDescent="0.2">
      <c r="AE640" s="31" t="s">
        <v>101</v>
      </c>
      <c r="AF640" s="12" t="s">
        <v>30</v>
      </c>
      <c r="AG640" s="31"/>
      <c r="AH640" s="31"/>
      <c r="AJ640" s="34"/>
      <c r="AK640" s="24"/>
      <c r="AL640" s="24"/>
      <c r="AM640" s="24"/>
      <c r="AN640" s="24"/>
      <c r="AO640" s="24"/>
      <c r="AP640" s="24"/>
      <c r="AQ640" s="33"/>
      <c r="AR640" s="33"/>
      <c r="AS640" s="33"/>
      <c r="AT640" s="33"/>
      <c r="AU640" s="24"/>
      <c r="AV640" s="24"/>
      <c r="AW640" s="49"/>
      <c r="AX640" s="33"/>
      <c r="AY640" s="33"/>
      <c r="AZ640" s="33"/>
      <c r="BA640" s="24"/>
      <c r="BB640" s="24"/>
      <c r="BC640" s="49"/>
      <c r="BD640" s="33"/>
      <c r="BE640" s="33"/>
      <c r="BF640" s="33"/>
      <c r="BG640" s="24"/>
      <c r="BT640" s="34"/>
      <c r="BV640" s="12" t="s">
        <v>27</v>
      </c>
      <c r="BZ640" s="34"/>
    </row>
    <row r="641" spans="31:78" x14ac:dyDescent="0.2">
      <c r="AE641" s="31" t="s">
        <v>102</v>
      </c>
      <c r="AF641" s="31" t="s">
        <v>71</v>
      </c>
      <c r="AG641" s="31" t="s">
        <v>103</v>
      </c>
      <c r="AH641" s="31" t="s">
        <v>104</v>
      </c>
      <c r="AJ641" s="34"/>
      <c r="AK641" s="24"/>
      <c r="AL641" s="24"/>
      <c r="AM641" s="24"/>
      <c r="AN641" s="24"/>
      <c r="AO641" s="24"/>
      <c r="AP641" s="24"/>
      <c r="AQ641" s="49"/>
      <c r="AR641" s="33"/>
      <c r="AS641" s="33"/>
      <c r="AT641" s="33"/>
      <c r="AU641" s="24"/>
      <c r="AV641" s="24"/>
      <c r="AW641" s="25"/>
      <c r="AX641" s="33"/>
      <c r="AY641" s="24"/>
      <c r="AZ641" s="24"/>
      <c r="BA641" s="24"/>
      <c r="BB641" s="24"/>
      <c r="BC641" s="25"/>
      <c r="BD641" s="33"/>
      <c r="BE641" s="24"/>
      <c r="BF641" s="24"/>
      <c r="BG641" s="24"/>
      <c r="BT641" s="34"/>
      <c r="BU641" s="31" t="s">
        <v>102</v>
      </c>
      <c r="BV641" s="31" t="s">
        <v>71</v>
      </c>
      <c r="BW641" s="31" t="s">
        <v>103</v>
      </c>
      <c r="BX641" s="31" t="s">
        <v>104</v>
      </c>
      <c r="BZ641" s="34"/>
    </row>
    <row r="642" spans="31:78" ht="15" x14ac:dyDescent="0.25">
      <c r="AE642" s="23" t="s">
        <v>453</v>
      </c>
      <c r="AF642">
        <v>0</v>
      </c>
      <c r="AG642" s="31" t="s">
        <v>106</v>
      </c>
      <c r="AH642" s="31">
        <f>SUM(AF642:AF666)</f>
        <v>3</v>
      </c>
      <c r="AJ642" s="34"/>
      <c r="AK642" s="24"/>
      <c r="AL642" s="24"/>
      <c r="AM642" s="24"/>
      <c r="AN642" s="24"/>
      <c r="AO642" s="24"/>
      <c r="AP642" s="24"/>
      <c r="AQ642" s="49"/>
      <c r="AR642" s="33"/>
      <c r="AS642" s="33"/>
      <c r="AT642" s="33"/>
      <c r="AU642" s="24"/>
      <c r="AV642" s="24"/>
      <c r="AW642" s="49"/>
      <c r="AX642" s="33"/>
      <c r="AY642" s="24"/>
      <c r="AZ642" s="24"/>
      <c r="BA642" s="24"/>
      <c r="BB642" s="24"/>
      <c r="BC642" s="49"/>
      <c r="BD642" s="33"/>
      <c r="BE642" s="24"/>
      <c r="BF642" s="24"/>
      <c r="BG642" s="24"/>
      <c r="BT642" s="34"/>
      <c r="BU642" s="23" t="s">
        <v>412</v>
      </c>
      <c r="BV642" s="22">
        <v>0</v>
      </c>
      <c r="BW642" s="31" t="s">
        <v>106</v>
      </c>
      <c r="BX642" s="31">
        <f>SUM(BV642:BV666)</f>
        <v>13</v>
      </c>
      <c r="BZ642" s="34"/>
    </row>
    <row r="643" spans="31:78" ht="15" x14ac:dyDescent="0.25">
      <c r="AE643" s="23" t="s">
        <v>454</v>
      </c>
      <c r="AF643">
        <v>0</v>
      </c>
      <c r="AG643" s="31" t="s">
        <v>115</v>
      </c>
      <c r="AH643" s="31">
        <f>MIN(AF642:AF666)</f>
        <v>0</v>
      </c>
      <c r="AJ643" s="34"/>
      <c r="AK643" s="24"/>
      <c r="AL643" s="24"/>
      <c r="AM643" s="24"/>
      <c r="AN643" s="24"/>
      <c r="AO643" s="24"/>
      <c r="AP643" s="24"/>
      <c r="AQ643" s="49"/>
      <c r="AR643" s="33"/>
      <c r="AS643" s="33"/>
      <c r="AT643" s="33"/>
      <c r="AU643" s="24"/>
      <c r="AV643" s="24"/>
      <c r="AW643" s="49"/>
      <c r="AX643" s="33"/>
      <c r="AY643" s="24"/>
      <c r="AZ643" s="24"/>
      <c r="BA643" s="24"/>
      <c r="BB643" s="24"/>
      <c r="BC643" s="49"/>
      <c r="BD643" s="33"/>
      <c r="BE643" s="24"/>
      <c r="BF643" s="24"/>
      <c r="BG643" s="24"/>
      <c r="BT643" s="34"/>
      <c r="BU643" s="22" t="s">
        <v>244</v>
      </c>
      <c r="BV643" s="22">
        <v>0</v>
      </c>
      <c r="BW643" s="31" t="s">
        <v>115</v>
      </c>
      <c r="BX643" s="31">
        <f>MIN(BV642:BV666)</f>
        <v>0</v>
      </c>
      <c r="BZ643" s="34"/>
    </row>
    <row r="644" spans="31:78" ht="15" x14ac:dyDescent="0.25">
      <c r="AE644" s="23" t="s">
        <v>455</v>
      </c>
      <c r="AF644">
        <v>0</v>
      </c>
      <c r="AG644" s="31" t="s">
        <v>122</v>
      </c>
      <c r="AH644" s="31">
        <f>MAX(AF642:AF666)</f>
        <v>1</v>
      </c>
      <c r="AJ644" s="34"/>
      <c r="AK644" s="24"/>
      <c r="AL644" s="24"/>
      <c r="AM644" s="24"/>
      <c r="AN644" s="24"/>
      <c r="AO644" s="24"/>
      <c r="AP644" s="24"/>
      <c r="AQ644" s="49"/>
      <c r="AR644" s="33"/>
      <c r="AS644" s="33"/>
      <c r="AT644" s="33"/>
      <c r="AU644" s="24"/>
      <c r="AV644" s="24"/>
      <c r="AW644" s="49"/>
      <c r="AX644" s="33"/>
      <c r="AY644" s="24"/>
      <c r="AZ644" s="24"/>
      <c r="BA644" s="24"/>
      <c r="BB644" s="24"/>
      <c r="BC644" s="49"/>
      <c r="BD644" s="33"/>
      <c r="BE644" s="24"/>
      <c r="BF644" s="24"/>
      <c r="BG644" s="24"/>
      <c r="BT644" s="34"/>
      <c r="BU644" s="22" t="s">
        <v>119</v>
      </c>
      <c r="BV644" s="22">
        <v>0</v>
      </c>
      <c r="BW644" s="31" t="s">
        <v>122</v>
      </c>
      <c r="BX644" s="31">
        <f>MAX(BV642:BV666)</f>
        <v>4</v>
      </c>
      <c r="BZ644" s="34"/>
    </row>
    <row r="645" spans="31:78" ht="15" x14ac:dyDescent="0.25">
      <c r="AE645" s="23" t="s">
        <v>456</v>
      </c>
      <c r="AF645">
        <v>0</v>
      </c>
      <c r="AG645" s="31" t="s">
        <v>129</v>
      </c>
      <c r="AH645" s="31">
        <f>VAR(AF642:AF666)</f>
        <v>0.11</v>
      </c>
      <c r="AJ645" s="34"/>
      <c r="AK645" s="24"/>
      <c r="AL645" s="24"/>
      <c r="AM645" s="24"/>
      <c r="AN645" s="24"/>
      <c r="AO645" s="24"/>
      <c r="AP645" s="24"/>
      <c r="AQ645" s="49"/>
      <c r="AR645" s="33"/>
      <c r="AS645" s="33"/>
      <c r="AT645" s="33"/>
      <c r="AU645" s="24"/>
      <c r="AV645" s="24"/>
      <c r="AW645" s="49"/>
      <c r="AX645" s="33"/>
      <c r="AY645" s="24"/>
      <c r="AZ645" s="24"/>
      <c r="BA645" s="24"/>
      <c r="BB645" s="24"/>
      <c r="BC645" s="49"/>
      <c r="BD645" s="33"/>
      <c r="BE645" s="24"/>
      <c r="BF645" s="24"/>
      <c r="BG645" s="24"/>
      <c r="BT645" s="34"/>
      <c r="BU645" s="22" t="s">
        <v>413</v>
      </c>
      <c r="BV645" s="22">
        <v>0</v>
      </c>
      <c r="BW645" s="31" t="s">
        <v>129</v>
      </c>
      <c r="BX645" s="31">
        <f>VAR(BV642:BV666)</f>
        <v>1.0933333333333335</v>
      </c>
      <c r="BZ645" s="34"/>
    </row>
    <row r="646" spans="31:78" ht="15" x14ac:dyDescent="0.25">
      <c r="AE646" s="23" t="s">
        <v>259</v>
      </c>
      <c r="AF646">
        <v>0</v>
      </c>
      <c r="AG646" s="31" t="s">
        <v>138</v>
      </c>
      <c r="AH646" s="31">
        <f>AVERAGE(AF642:AF666)</f>
        <v>0.12</v>
      </c>
      <c r="AJ646" s="34"/>
      <c r="AK646" s="24"/>
      <c r="AL646" s="24"/>
      <c r="AM646" s="24"/>
      <c r="AN646" s="24"/>
      <c r="AO646" s="24"/>
      <c r="AP646" s="24"/>
      <c r="AQ646" s="49"/>
      <c r="AR646" s="33"/>
      <c r="AS646" s="33"/>
      <c r="AT646" s="33"/>
      <c r="AU646" s="24"/>
      <c r="AV646" s="24"/>
      <c r="AW646" s="49"/>
      <c r="AX646" s="33"/>
      <c r="AY646" s="24"/>
      <c r="AZ646" s="24"/>
      <c r="BA646" s="24"/>
      <c r="BB646" s="24"/>
      <c r="BC646" s="49"/>
      <c r="BD646" s="33"/>
      <c r="BE646" s="24"/>
      <c r="BF646" s="24"/>
      <c r="BG646" s="24"/>
      <c r="BT646" s="34"/>
      <c r="BU646" s="22" t="s">
        <v>414</v>
      </c>
      <c r="BV646" s="22">
        <v>2</v>
      </c>
      <c r="BW646" s="31" t="s">
        <v>138</v>
      </c>
      <c r="BX646" s="31">
        <f>AVERAGE(BV642:BV666)</f>
        <v>0.52</v>
      </c>
      <c r="BZ646" s="34"/>
    </row>
    <row r="647" spans="31:78" ht="15" x14ac:dyDescent="0.25">
      <c r="AE647" s="23" t="s">
        <v>457</v>
      </c>
      <c r="AF647">
        <v>1</v>
      </c>
      <c r="AG647" s="31" t="s">
        <v>144</v>
      </c>
      <c r="AH647" s="31">
        <f>STDEV(AF642:AF666)</f>
        <v>0.33166247903553997</v>
      </c>
      <c r="AJ647" s="34"/>
      <c r="AK647" s="24"/>
      <c r="AL647" s="24"/>
      <c r="AM647" s="24"/>
      <c r="AN647" s="24"/>
      <c r="AO647" s="24"/>
      <c r="AP647" s="24"/>
      <c r="AQ647" s="49"/>
      <c r="AR647" s="33"/>
      <c r="AS647" s="33"/>
      <c r="AT647" s="33"/>
      <c r="AU647" s="24"/>
      <c r="AV647" s="24"/>
      <c r="AW647" s="49"/>
      <c r="AX647" s="33"/>
      <c r="AY647" s="24"/>
      <c r="AZ647" s="24"/>
      <c r="BA647" s="24"/>
      <c r="BB647" s="24"/>
      <c r="BC647" s="49"/>
      <c r="BD647" s="33"/>
      <c r="BE647" s="24"/>
      <c r="BF647" s="24"/>
      <c r="BG647" s="24"/>
      <c r="BT647" s="34"/>
      <c r="BU647" s="22" t="s">
        <v>415</v>
      </c>
      <c r="BV647" s="22">
        <v>0</v>
      </c>
      <c r="BW647" s="31" t="s">
        <v>144</v>
      </c>
      <c r="BX647" s="31">
        <f>STDEV(BV642:BV666)</f>
        <v>1.0456258094238748</v>
      </c>
      <c r="BZ647" s="34"/>
    </row>
    <row r="648" spans="31:78" ht="15" x14ac:dyDescent="0.25">
      <c r="AE648" s="23" t="s">
        <v>458</v>
      </c>
      <c r="AF648">
        <v>0</v>
      </c>
      <c r="AG648" s="31"/>
      <c r="AH648" s="31"/>
      <c r="AJ648" s="34"/>
      <c r="AK648" s="24"/>
      <c r="AL648" s="24"/>
      <c r="AM648" s="24"/>
      <c r="AN648" s="24"/>
      <c r="AO648" s="24"/>
      <c r="AP648" s="24"/>
      <c r="AQ648" s="49"/>
      <c r="AR648" s="33"/>
      <c r="AS648" s="33"/>
      <c r="AT648" s="33"/>
      <c r="AU648" s="24"/>
      <c r="AV648" s="24"/>
      <c r="AW648" s="49"/>
      <c r="AX648" s="33"/>
      <c r="AY648" s="24"/>
      <c r="AZ648" s="24"/>
      <c r="BA648" s="24"/>
      <c r="BB648" s="24"/>
      <c r="BC648" s="49"/>
      <c r="BD648" s="33"/>
      <c r="BE648" s="24"/>
      <c r="BF648" s="24"/>
      <c r="BG648" s="24"/>
      <c r="BT648" s="34"/>
      <c r="BU648" s="22" t="s">
        <v>416</v>
      </c>
      <c r="BV648" s="22">
        <v>0</v>
      </c>
      <c r="BW648" s="31"/>
      <c r="BX648" s="31"/>
      <c r="BZ648" s="34"/>
    </row>
    <row r="649" spans="31:78" ht="15" x14ac:dyDescent="0.25">
      <c r="AE649" s="23" t="s">
        <v>459</v>
      </c>
      <c r="AF649">
        <v>0</v>
      </c>
      <c r="AG649" s="31"/>
      <c r="AH649" s="31"/>
      <c r="AJ649" s="34"/>
      <c r="AK649" s="24"/>
      <c r="AL649" s="24"/>
      <c r="AM649" s="24"/>
      <c r="AN649" s="24"/>
      <c r="AO649" s="24"/>
      <c r="AP649" s="24"/>
      <c r="AQ649" s="49"/>
      <c r="AR649" s="33"/>
      <c r="AS649" s="33"/>
      <c r="AT649" s="33"/>
      <c r="AU649" s="24"/>
      <c r="AV649" s="24"/>
      <c r="AW649" s="49"/>
      <c r="AX649" s="33"/>
      <c r="AY649" s="24"/>
      <c r="AZ649" s="24"/>
      <c r="BA649" s="24"/>
      <c r="BB649" s="24"/>
      <c r="BC649" s="49"/>
      <c r="BD649" s="33"/>
      <c r="BE649" s="24"/>
      <c r="BF649" s="24"/>
      <c r="BG649" s="24"/>
      <c r="BT649" s="34"/>
      <c r="BU649" s="22" t="s">
        <v>417</v>
      </c>
      <c r="BV649" s="22">
        <v>0</v>
      </c>
      <c r="BW649" s="31"/>
      <c r="BX649" s="31"/>
      <c r="BZ649" s="34"/>
    </row>
    <row r="650" spans="31:78" ht="15" x14ac:dyDescent="0.25">
      <c r="AE650" s="23" t="s">
        <v>460</v>
      </c>
      <c r="AF650">
        <v>0</v>
      </c>
      <c r="AG650" s="33"/>
      <c r="AH650" s="33"/>
      <c r="AJ650" s="34"/>
      <c r="AK650" s="24"/>
      <c r="AL650" s="24"/>
      <c r="AM650" s="24"/>
      <c r="AN650" s="24"/>
      <c r="AO650" s="24"/>
      <c r="AP650" s="24"/>
      <c r="AQ650" s="49"/>
      <c r="AR650" s="33"/>
      <c r="AS650" s="33"/>
      <c r="AT650" s="33"/>
      <c r="AU650" s="24"/>
      <c r="AV650" s="24"/>
      <c r="AW650" s="49"/>
      <c r="AX650" s="33"/>
      <c r="AY650" s="24"/>
      <c r="AZ650" s="24"/>
      <c r="BA650" s="24"/>
      <c r="BB650" s="24"/>
      <c r="BC650" s="49"/>
      <c r="BD650" s="33"/>
      <c r="BE650" s="24"/>
      <c r="BF650" s="24"/>
      <c r="BG650" s="24"/>
      <c r="BT650" s="34"/>
      <c r="BU650" s="22" t="s">
        <v>418</v>
      </c>
      <c r="BV650" s="22">
        <v>1</v>
      </c>
      <c r="BW650" s="31"/>
      <c r="BX650" s="31"/>
      <c r="BZ650" s="34"/>
    </row>
    <row r="651" spans="31:78" ht="15" x14ac:dyDescent="0.25">
      <c r="AE651" s="23" t="s">
        <v>461</v>
      </c>
      <c r="AF651">
        <v>0</v>
      </c>
      <c r="AG651" s="31"/>
      <c r="AH651" s="31"/>
      <c r="AJ651" s="34"/>
      <c r="AK651" s="24"/>
      <c r="AL651" s="24"/>
      <c r="AM651" s="24"/>
      <c r="AN651" s="24"/>
      <c r="AO651" s="24"/>
      <c r="AP651" s="24"/>
      <c r="AQ651" s="49"/>
      <c r="AR651" s="33"/>
      <c r="AS651" s="33"/>
      <c r="AT651" s="33"/>
      <c r="AU651" s="24"/>
      <c r="AV651" s="24"/>
      <c r="AW651" s="49"/>
      <c r="AX651" s="33"/>
      <c r="AY651" s="24"/>
      <c r="AZ651" s="24"/>
      <c r="BA651" s="24"/>
      <c r="BB651" s="24"/>
      <c r="BC651" s="49"/>
      <c r="BD651" s="33"/>
      <c r="BE651" s="24"/>
      <c r="BF651" s="24"/>
      <c r="BG651" s="24"/>
      <c r="BT651" s="34"/>
      <c r="BU651" s="22" t="s">
        <v>419</v>
      </c>
      <c r="BV651" s="22">
        <v>0</v>
      </c>
      <c r="BW651" s="31"/>
      <c r="BX651" s="31"/>
      <c r="BZ651" s="34"/>
    </row>
    <row r="652" spans="31:78" ht="15" x14ac:dyDescent="0.25">
      <c r="AE652" s="23" t="s">
        <v>462</v>
      </c>
      <c r="AF652">
        <v>0</v>
      </c>
      <c r="AG652" s="24"/>
      <c r="AH652" s="24"/>
      <c r="AJ652" s="34"/>
      <c r="AK652" s="24"/>
      <c r="AL652" s="24"/>
      <c r="AM652" s="24"/>
      <c r="AN652" s="24"/>
      <c r="AO652" s="24"/>
      <c r="AP652" s="24"/>
      <c r="AQ652" s="49"/>
      <c r="AR652" s="33"/>
      <c r="AS652" s="33"/>
      <c r="AT652" s="33"/>
      <c r="AU652" s="24"/>
      <c r="AV652" s="24"/>
      <c r="AW652" s="49"/>
      <c r="AX652" s="33"/>
      <c r="AY652" s="24"/>
      <c r="AZ652" s="24"/>
      <c r="BA652" s="24"/>
      <c r="BB652" s="24"/>
      <c r="BC652" s="49"/>
      <c r="BD652" s="33"/>
      <c r="BE652" s="24"/>
      <c r="BF652" s="24"/>
      <c r="BG652" s="24"/>
      <c r="BT652" s="34"/>
      <c r="BU652" s="22" t="s">
        <v>420</v>
      </c>
      <c r="BV652" s="22">
        <v>3</v>
      </c>
      <c r="BW652" s="31"/>
      <c r="BX652" s="31"/>
      <c r="BZ652" s="34"/>
    </row>
    <row r="653" spans="31:78" ht="15" x14ac:dyDescent="0.25">
      <c r="AE653" s="23" t="s">
        <v>463</v>
      </c>
      <c r="AF653">
        <v>0</v>
      </c>
      <c r="AG653" s="31"/>
      <c r="AH653" s="31"/>
      <c r="AJ653" s="34"/>
      <c r="AK653" s="24"/>
      <c r="AL653" s="24"/>
      <c r="AM653" s="24"/>
      <c r="AN653" s="24"/>
      <c r="AO653" s="24"/>
      <c r="AP653" s="24"/>
      <c r="AQ653" s="25"/>
      <c r="AR653" s="33"/>
      <c r="AS653" s="24"/>
      <c r="AT653" s="24"/>
      <c r="AU653" s="24"/>
      <c r="AV653" s="24"/>
      <c r="AW653" s="49"/>
      <c r="AX653" s="33"/>
      <c r="AY653" s="24"/>
      <c r="AZ653" s="24"/>
      <c r="BA653" s="24"/>
      <c r="BB653" s="24"/>
      <c r="BC653" s="49"/>
      <c r="BD653" s="33"/>
      <c r="BE653" s="24"/>
      <c r="BF653" s="24"/>
      <c r="BG653" s="24"/>
      <c r="BT653" s="34"/>
      <c r="BU653" s="22" t="s">
        <v>421</v>
      </c>
      <c r="BV653" s="22">
        <v>0</v>
      </c>
      <c r="BW653" s="31"/>
      <c r="BX653" s="31"/>
      <c r="BZ653" s="34"/>
    </row>
    <row r="654" spans="31:78" ht="15" x14ac:dyDescent="0.25">
      <c r="AE654" s="23" t="s">
        <v>464</v>
      </c>
      <c r="AF654">
        <v>0</v>
      </c>
      <c r="AG654" s="31"/>
      <c r="AH654" s="31"/>
      <c r="AJ654" s="34"/>
      <c r="AK654" s="24"/>
      <c r="AL654" s="24"/>
      <c r="AM654" s="24"/>
      <c r="AN654" s="24"/>
      <c r="AO654" s="24"/>
      <c r="AP654" s="24"/>
      <c r="AQ654" s="49"/>
      <c r="AR654" s="33"/>
      <c r="AS654" s="24"/>
      <c r="AT654" s="24"/>
      <c r="AU654" s="24"/>
      <c r="AV654" s="24"/>
      <c r="AW654" s="49"/>
      <c r="AX654" s="33"/>
      <c r="AY654" s="24"/>
      <c r="AZ654" s="24"/>
      <c r="BA654" s="24"/>
      <c r="BB654" s="24"/>
      <c r="BC654" s="49"/>
      <c r="BD654" s="33"/>
      <c r="BE654" s="24"/>
      <c r="BF654" s="24"/>
      <c r="BG654" s="24"/>
      <c r="BT654" s="34"/>
      <c r="BU654" s="22" t="s">
        <v>422</v>
      </c>
      <c r="BV654" s="22">
        <v>1</v>
      </c>
      <c r="BW654" s="31"/>
      <c r="BX654" s="31"/>
      <c r="BZ654" s="34"/>
    </row>
    <row r="655" spans="31:78" ht="15" x14ac:dyDescent="0.25">
      <c r="AE655" s="23" t="s">
        <v>465</v>
      </c>
      <c r="AF655">
        <v>0</v>
      </c>
      <c r="AG655" s="31"/>
      <c r="AH655" s="31"/>
      <c r="AJ655" s="34"/>
      <c r="AK655" s="24"/>
      <c r="AL655" s="24"/>
      <c r="AM655" s="24"/>
      <c r="AN655" s="24"/>
      <c r="AO655" s="24"/>
      <c r="AP655" s="24"/>
      <c r="AQ655" s="49"/>
      <c r="AR655" s="33"/>
      <c r="AS655" s="24"/>
      <c r="AT655" s="24"/>
      <c r="AU655" s="24"/>
      <c r="AV655" s="24"/>
      <c r="AW655" s="49"/>
      <c r="AX655" s="33"/>
      <c r="AY655" s="24"/>
      <c r="AZ655" s="24"/>
      <c r="BA655" s="24"/>
      <c r="BB655" s="24"/>
      <c r="BC655" s="49"/>
      <c r="BD655" s="33"/>
      <c r="BE655" s="24"/>
      <c r="BF655" s="24"/>
      <c r="BG655" s="24"/>
      <c r="BT655" s="34"/>
      <c r="BU655" s="23" t="s">
        <v>423</v>
      </c>
      <c r="BV655" s="22">
        <v>0</v>
      </c>
      <c r="BW655" s="31"/>
      <c r="BX655" s="31"/>
      <c r="BZ655" s="34"/>
    </row>
    <row r="656" spans="31:78" ht="15" x14ac:dyDescent="0.25">
      <c r="AE656" s="23" t="s">
        <v>466</v>
      </c>
      <c r="AF656">
        <v>0</v>
      </c>
      <c r="AG656" s="31"/>
      <c r="AH656" s="31"/>
      <c r="AJ656" s="34"/>
      <c r="AK656" s="24"/>
      <c r="AL656" s="24"/>
      <c r="AM656" s="24"/>
      <c r="AN656" s="24"/>
      <c r="AO656" s="24"/>
      <c r="AP656" s="24"/>
      <c r="AQ656" s="49"/>
      <c r="AR656" s="33"/>
      <c r="AS656" s="24"/>
      <c r="AT656" s="24"/>
      <c r="AU656" s="24"/>
      <c r="AV656" s="24"/>
      <c r="AW656" s="49"/>
      <c r="AX656" s="33"/>
      <c r="AY656" s="24"/>
      <c r="AZ656" s="24"/>
      <c r="BA656" s="24"/>
      <c r="BB656" s="24"/>
      <c r="BC656" s="49"/>
      <c r="BD656" s="33"/>
      <c r="BE656" s="24"/>
      <c r="BF656" s="24"/>
      <c r="BG656" s="24"/>
      <c r="BT656" s="34"/>
      <c r="BU656" s="22" t="s">
        <v>424</v>
      </c>
      <c r="BV656" s="22">
        <v>1</v>
      </c>
      <c r="BW656" s="31"/>
      <c r="BX656" s="31"/>
      <c r="BZ656" s="34"/>
    </row>
    <row r="657" spans="31:78" ht="15" x14ac:dyDescent="0.25">
      <c r="AE657" s="23" t="s">
        <v>467</v>
      </c>
      <c r="AF657">
        <v>0</v>
      </c>
      <c r="AG657" s="31"/>
      <c r="AH657" s="31"/>
      <c r="AJ657" s="34"/>
      <c r="AK657" s="24"/>
      <c r="AL657" s="24"/>
      <c r="AM657" s="24"/>
      <c r="AN657" s="24"/>
      <c r="AO657" s="24"/>
      <c r="AP657" s="24"/>
      <c r="AQ657" s="49"/>
      <c r="AR657" s="33"/>
      <c r="AS657" s="24"/>
      <c r="AT657" s="24"/>
      <c r="AU657" s="24"/>
      <c r="AV657" s="24"/>
      <c r="AW657" s="49"/>
      <c r="AX657" s="33"/>
      <c r="AY657" s="24"/>
      <c r="AZ657" s="24"/>
      <c r="BA657" s="24"/>
      <c r="BB657" s="24"/>
      <c r="BC657" s="49"/>
      <c r="BD657" s="33"/>
      <c r="BE657" s="24"/>
      <c r="BF657" s="24"/>
      <c r="BG657" s="24"/>
      <c r="BT657" s="34"/>
      <c r="BU657" s="23" t="s">
        <v>425</v>
      </c>
      <c r="BV657" s="22">
        <v>4</v>
      </c>
      <c r="BW657" s="31"/>
      <c r="BX657" s="31"/>
      <c r="BZ657" s="34"/>
    </row>
    <row r="658" spans="31:78" ht="15" x14ac:dyDescent="0.25">
      <c r="AE658" s="23" t="s">
        <v>468</v>
      </c>
      <c r="AF658">
        <v>0</v>
      </c>
      <c r="AG658" s="31"/>
      <c r="AH658" s="31"/>
      <c r="AJ658" s="34"/>
      <c r="AK658" s="24"/>
      <c r="AL658" s="24"/>
      <c r="AM658" s="24"/>
      <c r="AN658" s="24"/>
      <c r="AO658" s="24"/>
      <c r="AP658" s="24"/>
      <c r="AQ658" s="49"/>
      <c r="AR658" s="33"/>
      <c r="AS658" s="24"/>
      <c r="AT658" s="24"/>
      <c r="AU658" s="24"/>
      <c r="AV658" s="24"/>
      <c r="AW658" s="49"/>
      <c r="AX658" s="33"/>
      <c r="AY658" s="24"/>
      <c r="AZ658" s="24"/>
      <c r="BA658" s="24"/>
      <c r="BB658" s="24"/>
      <c r="BC658" s="49"/>
      <c r="BD658" s="33"/>
      <c r="BE658" s="24"/>
      <c r="BF658" s="24"/>
      <c r="BG658" s="24"/>
      <c r="BT658" s="34"/>
      <c r="BU658" s="23" t="s">
        <v>426</v>
      </c>
      <c r="BV658" s="22">
        <v>0</v>
      </c>
      <c r="BW658" s="31"/>
      <c r="BX658" s="31"/>
      <c r="BZ658" s="34"/>
    </row>
    <row r="659" spans="31:78" ht="15" x14ac:dyDescent="0.25">
      <c r="AE659" s="23" t="s">
        <v>469</v>
      </c>
      <c r="AF659">
        <v>0</v>
      </c>
      <c r="AG659" s="31"/>
      <c r="AH659" s="31"/>
      <c r="AJ659" s="34"/>
      <c r="AK659" s="24"/>
      <c r="AL659" s="24"/>
      <c r="AM659" s="24"/>
      <c r="AN659" s="24"/>
      <c r="AO659" s="24"/>
      <c r="AP659" s="24"/>
      <c r="AQ659" s="49"/>
      <c r="AR659" s="33"/>
      <c r="AS659" s="24"/>
      <c r="AT659" s="24"/>
      <c r="AU659" s="24"/>
      <c r="AV659" s="24"/>
      <c r="AW659" s="49"/>
      <c r="AX659" s="33"/>
      <c r="AY659" s="24"/>
      <c r="AZ659" s="24"/>
      <c r="BA659" s="24"/>
      <c r="BB659" s="24"/>
      <c r="BC659" s="49"/>
      <c r="BD659" s="33"/>
      <c r="BE659" s="24"/>
      <c r="BF659" s="24"/>
      <c r="BG659" s="24"/>
      <c r="BT659" s="34"/>
      <c r="BU659" s="23" t="s">
        <v>427</v>
      </c>
      <c r="BV659" s="22">
        <v>0</v>
      </c>
      <c r="BW659" s="31"/>
      <c r="BX659" s="31"/>
      <c r="BZ659" s="34"/>
    </row>
    <row r="660" spans="31:78" ht="15" x14ac:dyDescent="0.25">
      <c r="AE660" s="23" t="s">
        <v>470</v>
      </c>
      <c r="AF660">
        <v>0</v>
      </c>
      <c r="AG660" s="31"/>
      <c r="AH660" s="31"/>
      <c r="AJ660" s="34"/>
      <c r="AK660" s="24"/>
      <c r="AL660" s="24"/>
      <c r="AM660" s="24"/>
      <c r="AN660" s="24"/>
      <c r="AO660" s="24"/>
      <c r="AP660" s="24"/>
      <c r="AQ660" s="49"/>
      <c r="AR660" s="33"/>
      <c r="AS660" s="24"/>
      <c r="AT660" s="24"/>
      <c r="AU660" s="24"/>
      <c r="AV660" s="24"/>
      <c r="AW660" s="49"/>
      <c r="AX660" s="33"/>
      <c r="AY660" s="24"/>
      <c r="AZ660" s="24"/>
      <c r="BA660" s="24"/>
      <c r="BB660" s="24"/>
      <c r="BC660" s="49"/>
      <c r="BD660" s="33"/>
      <c r="BE660" s="24"/>
      <c r="BF660" s="24"/>
      <c r="BG660" s="24"/>
      <c r="BT660" s="34"/>
      <c r="BU660" s="23" t="s">
        <v>428</v>
      </c>
      <c r="BV660" s="22">
        <v>1</v>
      </c>
      <c r="BW660" s="31"/>
      <c r="BX660" s="31"/>
      <c r="BZ660" s="34"/>
    </row>
    <row r="661" spans="31:78" ht="15" x14ac:dyDescent="0.25">
      <c r="AE661" s="23" t="s">
        <v>471</v>
      </c>
      <c r="AF661">
        <v>0</v>
      </c>
      <c r="AG661" s="31"/>
      <c r="AH661" s="31"/>
      <c r="AJ661" s="34"/>
      <c r="AK661" s="24"/>
      <c r="AL661" s="24"/>
      <c r="AM661" s="24"/>
      <c r="AN661" s="24"/>
      <c r="AO661" s="24"/>
      <c r="AP661" s="24"/>
      <c r="AQ661" s="49"/>
      <c r="AR661" s="33"/>
      <c r="AS661" s="24"/>
      <c r="AT661" s="24"/>
      <c r="AU661" s="24"/>
      <c r="AV661" s="24"/>
      <c r="AW661" s="49"/>
      <c r="AX661" s="33"/>
      <c r="AY661" s="24"/>
      <c r="AZ661" s="24"/>
      <c r="BA661" s="24"/>
      <c r="BB661" s="24"/>
      <c r="BC661" s="49"/>
      <c r="BD661" s="33"/>
      <c r="BE661" s="24"/>
      <c r="BF661" s="24"/>
      <c r="BG661" s="24"/>
      <c r="BT661" s="34"/>
      <c r="BU661" s="23" t="s">
        <v>429</v>
      </c>
      <c r="BV661" s="22">
        <v>0</v>
      </c>
      <c r="BW661" s="31"/>
      <c r="BX661" s="31"/>
      <c r="BZ661" s="34"/>
    </row>
    <row r="662" spans="31:78" ht="15" x14ac:dyDescent="0.25">
      <c r="AE662" s="23" t="s">
        <v>472</v>
      </c>
      <c r="AF662">
        <v>0</v>
      </c>
      <c r="AJ662" s="34"/>
      <c r="AK662" s="24"/>
      <c r="AL662" s="24"/>
      <c r="AM662" s="24"/>
      <c r="AN662" s="24"/>
      <c r="AO662" s="24"/>
      <c r="AP662" s="24"/>
      <c r="AQ662" s="49"/>
      <c r="AR662" s="33"/>
      <c r="AS662" s="24"/>
      <c r="AT662" s="24"/>
      <c r="AU662" s="24"/>
      <c r="AV662" s="24"/>
      <c r="AW662" s="49"/>
      <c r="AX662" s="33"/>
      <c r="AY662" s="24"/>
      <c r="AZ662" s="24"/>
      <c r="BA662" s="24"/>
      <c r="BB662" s="24"/>
      <c r="BC662" s="49"/>
      <c r="BD662" s="33"/>
      <c r="BE662" s="24"/>
      <c r="BF662" s="24"/>
      <c r="BG662" s="24"/>
      <c r="BT662" s="34"/>
      <c r="BU662" s="23" t="s">
        <v>430</v>
      </c>
      <c r="BV662" s="22">
        <v>0</v>
      </c>
      <c r="BW662" s="31"/>
      <c r="BX662" s="31"/>
      <c r="BZ662" s="34"/>
    </row>
    <row r="663" spans="31:78" ht="15" x14ac:dyDescent="0.25">
      <c r="AE663" s="23" t="s">
        <v>362</v>
      </c>
      <c r="AF663">
        <v>0</v>
      </c>
      <c r="AJ663" s="34"/>
      <c r="AK663" s="24"/>
      <c r="AL663" s="24"/>
      <c r="AM663" s="24"/>
      <c r="AN663" s="24"/>
      <c r="AO663" s="24"/>
      <c r="AP663" s="24"/>
      <c r="AQ663" s="49"/>
      <c r="AR663" s="33"/>
      <c r="AS663" s="24"/>
      <c r="AT663" s="24"/>
      <c r="AU663" s="24"/>
      <c r="AV663" s="24"/>
      <c r="AW663" s="49"/>
      <c r="AX663" s="33"/>
      <c r="AY663" s="24"/>
      <c r="AZ663" s="24"/>
      <c r="BA663" s="24"/>
      <c r="BB663" s="24"/>
      <c r="BC663" s="49"/>
      <c r="BD663" s="33"/>
      <c r="BE663" s="24"/>
      <c r="BF663" s="24"/>
      <c r="BG663" s="24"/>
      <c r="BT663" s="34"/>
      <c r="BU663" s="23" t="s">
        <v>431</v>
      </c>
      <c r="BV663" s="22">
        <v>0</v>
      </c>
      <c r="BW663" s="31"/>
      <c r="BX663" s="31"/>
      <c r="BZ663" s="34"/>
    </row>
    <row r="664" spans="31:78" ht="15" x14ac:dyDescent="0.25">
      <c r="AE664" s="23" t="s">
        <v>473</v>
      </c>
      <c r="AF664">
        <v>1</v>
      </c>
      <c r="AJ664" s="34"/>
      <c r="AK664" s="24"/>
      <c r="AL664" s="24"/>
      <c r="AM664" s="24"/>
      <c r="AN664" s="24"/>
      <c r="AO664" s="24"/>
      <c r="AP664" s="24"/>
      <c r="AQ664" s="49"/>
      <c r="AR664" s="33"/>
      <c r="AS664" s="24"/>
      <c r="AT664" s="24"/>
      <c r="AU664" s="24"/>
      <c r="AV664" s="24"/>
      <c r="AW664" s="49"/>
      <c r="AX664" s="33"/>
      <c r="AY664" s="24"/>
      <c r="AZ664" s="24"/>
      <c r="BA664" s="24"/>
      <c r="BB664" s="24"/>
      <c r="BC664" s="49"/>
      <c r="BD664" s="33"/>
      <c r="BE664" s="24"/>
      <c r="BF664" s="24"/>
      <c r="BG664" s="24"/>
      <c r="BT664" s="34"/>
      <c r="BU664" s="23" t="s">
        <v>432</v>
      </c>
      <c r="BV664" s="22">
        <v>0</v>
      </c>
      <c r="BW664" s="31"/>
      <c r="BX664" s="31"/>
      <c r="BZ664" s="34"/>
    </row>
    <row r="665" spans="31:78" ht="15" x14ac:dyDescent="0.25">
      <c r="AE665" s="23" t="s">
        <v>474</v>
      </c>
      <c r="AF665">
        <v>1</v>
      </c>
      <c r="AJ665" s="34"/>
      <c r="AK665" s="24"/>
      <c r="AL665" s="24"/>
      <c r="AM665" s="24"/>
      <c r="AN665" s="24"/>
      <c r="AO665" s="24"/>
      <c r="AP665" s="24"/>
      <c r="AQ665" s="49"/>
      <c r="AR665" s="33"/>
      <c r="AS665" s="24"/>
      <c r="AT665" s="24"/>
      <c r="AU665" s="24"/>
      <c r="AV665" s="24"/>
      <c r="AW665" s="49"/>
      <c r="AX665" s="33"/>
      <c r="AY665" s="24"/>
      <c r="AZ665" s="24"/>
      <c r="BA665" s="24"/>
      <c r="BB665" s="24"/>
      <c r="BC665" s="49"/>
      <c r="BD665" s="33"/>
      <c r="BE665" s="24"/>
      <c r="BF665" s="24"/>
      <c r="BG665" s="24"/>
      <c r="BT665" s="34"/>
      <c r="BU665" s="23" t="s">
        <v>433</v>
      </c>
      <c r="BV665" s="22">
        <v>0</v>
      </c>
      <c r="BW665" s="31"/>
      <c r="BX665" s="31"/>
      <c r="BZ665" s="34"/>
    </row>
    <row r="666" spans="31:78" ht="15" x14ac:dyDescent="0.25">
      <c r="AE666" s="23" t="s">
        <v>475</v>
      </c>
      <c r="AF666">
        <v>0</v>
      </c>
      <c r="AJ666" s="34"/>
      <c r="AK666" s="24"/>
      <c r="AL666" s="24"/>
      <c r="AM666" s="24"/>
      <c r="AN666" s="24"/>
      <c r="AO666" s="24"/>
      <c r="AP666" s="24"/>
      <c r="AQ666" s="49"/>
      <c r="AR666" s="33"/>
      <c r="AS666" s="24"/>
      <c r="AT666" s="24"/>
      <c r="AU666" s="24"/>
      <c r="AV666" s="24"/>
      <c r="AW666" s="49"/>
      <c r="AX666" s="33"/>
      <c r="AY666" s="24"/>
      <c r="AZ666" s="24"/>
      <c r="BA666" s="24"/>
      <c r="BB666" s="24"/>
      <c r="BC666" s="49"/>
      <c r="BD666" s="33"/>
      <c r="BE666" s="24"/>
      <c r="BF666" s="24"/>
      <c r="BG666" s="24"/>
      <c r="BT666" s="34"/>
      <c r="BU666" s="23" t="s">
        <v>434</v>
      </c>
      <c r="BV666" s="22">
        <v>0</v>
      </c>
      <c r="BW666" s="31"/>
      <c r="BX666" s="31"/>
      <c r="BZ666" s="34"/>
    </row>
    <row r="667" spans="31:78" x14ac:dyDescent="0.2">
      <c r="AE667" s="34"/>
      <c r="AF667" s="34"/>
      <c r="AG667" s="34"/>
      <c r="AH667" s="34"/>
      <c r="AI667" s="34"/>
      <c r="AJ667" s="34"/>
      <c r="AK667" s="24"/>
      <c r="AL667" s="24"/>
      <c r="AM667" s="24"/>
      <c r="AN667" s="24"/>
      <c r="AO667" s="24"/>
      <c r="AP667" s="24"/>
      <c r="AQ667" s="49"/>
      <c r="AR667" s="33"/>
      <c r="AS667" s="24"/>
      <c r="AT667" s="24"/>
      <c r="AU667" s="24"/>
      <c r="AV667" s="24"/>
      <c r="AW667" s="49"/>
      <c r="AX667" s="33"/>
      <c r="AY667" s="24"/>
      <c r="AZ667" s="24"/>
      <c r="BA667" s="24"/>
      <c r="BB667" s="24"/>
      <c r="BC667" s="49"/>
      <c r="BD667" s="33"/>
      <c r="BE667" s="24"/>
      <c r="BF667" s="24"/>
      <c r="BG667" s="24"/>
      <c r="BT667" s="34"/>
      <c r="BU667" s="34"/>
      <c r="BV667" s="34"/>
      <c r="BW667" s="34"/>
      <c r="BX667" s="34"/>
      <c r="BY667" s="34"/>
      <c r="BZ667" s="34"/>
    </row>
    <row r="668" spans="31:78" x14ac:dyDescent="0.2">
      <c r="AE668" s="31" t="s">
        <v>100</v>
      </c>
      <c r="AF668" s="32" t="s">
        <v>67</v>
      </c>
      <c r="AG668" s="31"/>
      <c r="AH668" s="31"/>
      <c r="AJ668" s="34"/>
      <c r="AK668" s="24"/>
      <c r="AL668" s="24"/>
      <c r="AM668" s="24"/>
      <c r="AN668" s="24"/>
      <c r="AO668" s="24"/>
      <c r="AP668" s="24"/>
      <c r="AQ668" s="49"/>
      <c r="AR668" s="33"/>
      <c r="AS668" s="24"/>
      <c r="AT668" s="24"/>
      <c r="AU668" s="24"/>
      <c r="AV668" s="24"/>
      <c r="AW668" s="49"/>
      <c r="AX668" s="33"/>
      <c r="AY668" s="24"/>
      <c r="AZ668" s="24"/>
      <c r="BA668" s="24"/>
      <c r="BB668" s="24"/>
      <c r="BC668" s="49"/>
      <c r="BD668" s="33"/>
      <c r="BE668" s="24"/>
      <c r="BF668" s="24"/>
      <c r="BG668" s="24"/>
      <c r="BT668" s="34"/>
      <c r="BU668" s="19" t="s">
        <v>100</v>
      </c>
      <c r="BV668" s="35" t="s">
        <v>61</v>
      </c>
      <c r="BZ668" s="34"/>
    </row>
    <row r="669" spans="31:78" x14ac:dyDescent="0.2">
      <c r="AE669" s="31" t="s">
        <v>101</v>
      </c>
      <c r="AF669" s="12" t="s">
        <v>33</v>
      </c>
      <c r="AG669" s="31"/>
      <c r="AH669" s="31"/>
      <c r="AJ669" s="34"/>
      <c r="AK669" s="24"/>
      <c r="AL669" s="24"/>
      <c r="AM669" s="24"/>
      <c r="AN669" s="24"/>
      <c r="AO669" s="24"/>
      <c r="AP669" s="24"/>
      <c r="AQ669" s="49"/>
      <c r="AR669" s="33"/>
      <c r="AS669" s="24"/>
      <c r="AT669" s="24"/>
      <c r="AU669" s="24"/>
      <c r="AV669" s="24"/>
      <c r="AW669" s="49"/>
      <c r="AX669" s="33"/>
      <c r="AY669" s="24"/>
      <c r="AZ669" s="24"/>
      <c r="BA669" s="24"/>
      <c r="BB669" s="24"/>
      <c r="BC669" s="49"/>
      <c r="BD669" s="33"/>
      <c r="BE669" s="24"/>
      <c r="BF669" s="24"/>
      <c r="BG669" s="24"/>
      <c r="BT669" s="34"/>
      <c r="BV669" s="12" t="s">
        <v>29</v>
      </c>
      <c r="BZ669" s="34"/>
    </row>
    <row r="670" spans="31:78" x14ac:dyDescent="0.2">
      <c r="AE670" s="31" t="s">
        <v>102</v>
      </c>
      <c r="AF670" s="31" t="s">
        <v>71</v>
      </c>
      <c r="AG670" s="31" t="s">
        <v>103</v>
      </c>
      <c r="AH670" s="31" t="s">
        <v>104</v>
      </c>
      <c r="AJ670" s="34"/>
      <c r="AK670" s="24"/>
      <c r="AL670" s="24"/>
      <c r="AM670" s="24"/>
      <c r="AN670" s="24"/>
      <c r="AO670" s="24"/>
      <c r="AP670" s="24"/>
      <c r="AQ670" s="49"/>
      <c r="AR670" s="33"/>
      <c r="AS670" s="24"/>
      <c r="AT670" s="24"/>
      <c r="AU670" s="24"/>
      <c r="AV670" s="24"/>
      <c r="AW670" s="49"/>
      <c r="AX670" s="33"/>
      <c r="AY670" s="24"/>
      <c r="AZ670" s="24"/>
      <c r="BA670" s="24"/>
      <c r="BB670" s="24"/>
      <c r="BC670" s="49"/>
      <c r="BD670" s="33"/>
      <c r="BE670" s="24"/>
      <c r="BF670" s="24"/>
      <c r="BG670" s="24"/>
      <c r="BT670" s="34"/>
      <c r="BU670" s="31" t="s">
        <v>102</v>
      </c>
      <c r="BV670" s="31" t="s">
        <v>71</v>
      </c>
      <c r="BW670" s="31" t="s">
        <v>103</v>
      </c>
      <c r="BX670" s="31" t="s">
        <v>104</v>
      </c>
      <c r="BZ670" s="34"/>
    </row>
    <row r="671" spans="31:78" ht="15" x14ac:dyDescent="0.25">
      <c r="AE671" s="23" t="s">
        <v>453</v>
      </c>
      <c r="AF671">
        <v>0</v>
      </c>
      <c r="AG671" s="31" t="s">
        <v>106</v>
      </c>
      <c r="AH671" s="31">
        <f>SUM(AF671:AF695)</f>
        <v>3</v>
      </c>
      <c r="AJ671" s="34"/>
      <c r="AK671" s="24"/>
      <c r="AL671" s="24"/>
      <c r="AM671" s="24"/>
      <c r="AN671" s="24"/>
      <c r="AO671" s="24"/>
      <c r="AP671" s="24"/>
      <c r="AQ671" s="49"/>
      <c r="AR671" s="33"/>
      <c r="AS671" s="24"/>
      <c r="AT671" s="24"/>
      <c r="AU671" s="24"/>
      <c r="AV671" s="24"/>
      <c r="AW671" s="49"/>
      <c r="AX671" s="33"/>
      <c r="AY671" s="24"/>
      <c r="AZ671" s="24"/>
      <c r="BA671" s="24"/>
      <c r="BB671" s="24"/>
      <c r="BC671" s="49"/>
      <c r="BD671" s="33"/>
      <c r="BE671" s="24"/>
      <c r="BF671" s="24"/>
      <c r="BG671" s="24"/>
      <c r="BT671" s="34"/>
      <c r="BU671" s="23" t="s">
        <v>412</v>
      </c>
      <c r="BV671" s="22">
        <v>13</v>
      </c>
      <c r="BW671" s="31" t="s">
        <v>106</v>
      </c>
      <c r="BX671" s="31">
        <f>SUM(BV671:BV695)</f>
        <v>469</v>
      </c>
      <c r="BZ671" s="34"/>
    </row>
    <row r="672" spans="31:78" ht="15" x14ac:dyDescent="0.25">
      <c r="AE672" s="23" t="s">
        <v>454</v>
      </c>
      <c r="AF672">
        <v>0</v>
      </c>
      <c r="AG672" s="31" t="s">
        <v>115</v>
      </c>
      <c r="AH672" s="31">
        <f>MIN(AF671:AF695)</f>
        <v>0</v>
      </c>
      <c r="AJ672" s="34"/>
      <c r="AK672" s="24"/>
      <c r="AL672" s="24"/>
      <c r="AM672" s="24"/>
      <c r="AN672" s="24"/>
      <c r="AO672" s="24"/>
      <c r="AP672" s="24"/>
      <c r="AQ672" s="49"/>
      <c r="AR672" s="33"/>
      <c r="AS672" s="24"/>
      <c r="AT672" s="24"/>
      <c r="AU672" s="24"/>
      <c r="AV672" s="24"/>
      <c r="AW672" s="49"/>
      <c r="AX672" s="33"/>
      <c r="AY672" s="24"/>
      <c r="AZ672" s="24"/>
      <c r="BA672" s="24"/>
      <c r="BB672" s="24"/>
      <c r="BC672" s="49"/>
      <c r="BD672" s="33"/>
      <c r="BE672" s="24"/>
      <c r="BF672" s="24"/>
      <c r="BG672" s="24"/>
      <c r="BT672" s="34"/>
      <c r="BU672" s="22" t="s">
        <v>244</v>
      </c>
      <c r="BV672" s="22">
        <v>23</v>
      </c>
      <c r="BW672" s="31" t="s">
        <v>115</v>
      </c>
      <c r="BX672" s="31">
        <f>MIN(BV671:BV695)</f>
        <v>4</v>
      </c>
      <c r="BZ672" s="34"/>
    </row>
    <row r="673" spans="31:78" ht="15" x14ac:dyDescent="0.25">
      <c r="AE673" s="23" t="s">
        <v>455</v>
      </c>
      <c r="AF673">
        <v>0</v>
      </c>
      <c r="AG673" s="31" t="s">
        <v>122</v>
      </c>
      <c r="AH673" s="31">
        <f>MAX(AF671:AF695)</f>
        <v>3</v>
      </c>
      <c r="AJ673" s="34"/>
      <c r="AK673" s="24"/>
      <c r="AL673" s="24"/>
      <c r="AM673" s="24"/>
      <c r="AN673" s="24"/>
      <c r="AO673" s="24"/>
      <c r="AP673" s="24"/>
      <c r="AQ673" s="49"/>
      <c r="AR673" s="33"/>
      <c r="AS673" s="24"/>
      <c r="AT673" s="24"/>
      <c r="AU673" s="24"/>
      <c r="AV673" s="24"/>
      <c r="AW673" s="49"/>
      <c r="AX673" s="33"/>
      <c r="AY673" s="24"/>
      <c r="AZ673" s="24"/>
      <c r="BA673" s="24"/>
      <c r="BB673" s="24"/>
      <c r="BC673" s="49"/>
      <c r="BD673" s="33"/>
      <c r="BE673" s="24"/>
      <c r="BF673" s="24"/>
      <c r="BG673" s="24"/>
      <c r="BT673" s="34"/>
      <c r="BU673" s="22" t="s">
        <v>119</v>
      </c>
      <c r="BV673" s="22">
        <v>4</v>
      </c>
      <c r="BW673" s="31" t="s">
        <v>122</v>
      </c>
      <c r="BX673" s="31">
        <f>MAX(BV671:BV695)</f>
        <v>57</v>
      </c>
      <c r="BZ673" s="34"/>
    </row>
    <row r="674" spans="31:78" ht="15" x14ac:dyDescent="0.25">
      <c r="AE674" s="23" t="s">
        <v>456</v>
      </c>
      <c r="AF674">
        <v>0</v>
      </c>
      <c r="AG674" s="31" t="s">
        <v>129</v>
      </c>
      <c r="AH674" s="31">
        <f>VAR(AF671:AF695)</f>
        <v>0.36000000000000004</v>
      </c>
      <c r="AJ674" s="34"/>
      <c r="AK674" s="24"/>
      <c r="AL674" s="24"/>
      <c r="AM674" s="24"/>
      <c r="AN674" s="24"/>
      <c r="AO674" s="24"/>
      <c r="AP674" s="24"/>
      <c r="AQ674" s="49"/>
      <c r="AR674" s="33"/>
      <c r="AS674" s="24"/>
      <c r="AT674" s="24"/>
      <c r="AU674" s="24"/>
      <c r="AV674" s="24"/>
      <c r="AW674" s="25"/>
      <c r="AX674" s="33"/>
      <c r="AY674" s="24"/>
      <c r="AZ674" s="24"/>
      <c r="BA674" s="24"/>
      <c r="BB674" s="24"/>
      <c r="BC674" s="25"/>
      <c r="BD674" s="33"/>
      <c r="BE674" s="24"/>
      <c r="BF674" s="24"/>
      <c r="BG674" s="24"/>
      <c r="BT674" s="34"/>
      <c r="BU674" s="22" t="s">
        <v>413</v>
      </c>
      <c r="BV674" s="22">
        <v>6</v>
      </c>
      <c r="BW674" s="31" t="s">
        <v>129</v>
      </c>
      <c r="BX674" s="31">
        <f>VAR(BV671:BV695)</f>
        <v>150.43999999999997</v>
      </c>
      <c r="BZ674" s="34"/>
    </row>
    <row r="675" spans="31:78" ht="15" x14ac:dyDescent="0.25">
      <c r="AE675" s="23" t="s">
        <v>259</v>
      </c>
      <c r="AF675">
        <v>0</v>
      </c>
      <c r="AG675" s="31" t="s">
        <v>138</v>
      </c>
      <c r="AH675" s="31">
        <f>AVERAGE(AF671:AF695)</f>
        <v>0.12</v>
      </c>
      <c r="AJ675" s="34"/>
      <c r="AK675" s="24"/>
      <c r="AL675" s="24"/>
      <c r="AM675" s="24"/>
      <c r="AN675" s="24"/>
      <c r="AO675" s="24"/>
      <c r="AP675" s="24"/>
      <c r="AQ675" s="49"/>
      <c r="AR675" s="33"/>
      <c r="AS675" s="24"/>
      <c r="AT675" s="24"/>
      <c r="AU675" s="24"/>
      <c r="AV675" s="24"/>
      <c r="AW675" s="25"/>
      <c r="AX675" s="33"/>
      <c r="AY675" s="24"/>
      <c r="AZ675" s="24"/>
      <c r="BA675" s="24"/>
      <c r="BB675" s="24"/>
      <c r="BC675" s="25"/>
      <c r="BD675" s="33"/>
      <c r="BE675" s="24"/>
      <c r="BF675" s="24"/>
      <c r="BG675" s="24"/>
      <c r="BT675" s="34"/>
      <c r="BU675" s="22" t="s">
        <v>414</v>
      </c>
      <c r="BV675" s="22">
        <v>10</v>
      </c>
      <c r="BW675" s="31" t="s">
        <v>138</v>
      </c>
      <c r="BX675" s="31">
        <f>AVERAGE(BV671:BV695)</f>
        <v>18.760000000000002</v>
      </c>
      <c r="BZ675" s="34"/>
    </row>
    <row r="676" spans="31:78" ht="15" x14ac:dyDescent="0.25">
      <c r="AE676" s="23" t="s">
        <v>457</v>
      </c>
      <c r="AF676">
        <v>0</v>
      </c>
      <c r="AG676" s="31" t="s">
        <v>144</v>
      </c>
      <c r="AH676" s="31">
        <f>STDEV(AF671:AF695)</f>
        <v>0.60000000000000009</v>
      </c>
      <c r="AJ676" s="34"/>
      <c r="AK676" s="24"/>
      <c r="AL676" s="24"/>
      <c r="AM676" s="24"/>
      <c r="AN676" s="24"/>
      <c r="AO676" s="24"/>
      <c r="AP676" s="24"/>
      <c r="AQ676" s="49"/>
      <c r="AR676" s="33"/>
      <c r="AS676" s="24"/>
      <c r="AT676" s="24"/>
      <c r="AU676" s="24"/>
      <c r="AV676" s="24"/>
      <c r="AW676" s="25"/>
      <c r="AX676" s="33"/>
      <c r="AY676" s="24"/>
      <c r="AZ676" s="24"/>
      <c r="BA676" s="24"/>
      <c r="BB676" s="24"/>
      <c r="BC676" s="25"/>
      <c r="BD676" s="33"/>
      <c r="BE676" s="24"/>
      <c r="BF676" s="24"/>
      <c r="BG676" s="24"/>
      <c r="BT676" s="34"/>
      <c r="BU676" s="22" t="s">
        <v>415</v>
      </c>
      <c r="BV676" s="22">
        <v>18</v>
      </c>
      <c r="BW676" s="31" t="s">
        <v>144</v>
      </c>
      <c r="BX676" s="31">
        <f>STDEV(BV671:BV695)</f>
        <v>12.26539848516957</v>
      </c>
      <c r="BZ676" s="34"/>
    </row>
    <row r="677" spans="31:78" ht="15" x14ac:dyDescent="0.25">
      <c r="AE677" s="23" t="s">
        <v>458</v>
      </c>
      <c r="AF677">
        <v>0</v>
      </c>
      <c r="AG677" s="31"/>
      <c r="AH677" s="31"/>
      <c r="AJ677" s="34"/>
      <c r="AK677" s="24"/>
      <c r="AL677" s="24"/>
      <c r="AM677" s="24"/>
      <c r="AN677" s="24"/>
      <c r="AO677" s="24"/>
      <c r="AP677" s="24"/>
      <c r="AQ677" s="49"/>
      <c r="AR677" s="33"/>
      <c r="AS677" s="24"/>
      <c r="AT677" s="24"/>
      <c r="AU677" s="24"/>
      <c r="AV677" s="24"/>
      <c r="AW677" s="25"/>
      <c r="AX677" s="33"/>
      <c r="AY677" s="24"/>
      <c r="AZ677" s="24"/>
      <c r="BA677" s="24"/>
      <c r="BB677" s="24"/>
      <c r="BC677" s="25"/>
      <c r="BD677" s="33"/>
      <c r="BE677" s="24"/>
      <c r="BF677" s="24"/>
      <c r="BG677" s="24"/>
      <c r="BT677" s="34"/>
      <c r="BU677" s="22" t="s">
        <v>416</v>
      </c>
      <c r="BV677" s="22">
        <v>10</v>
      </c>
      <c r="BW677" s="31"/>
      <c r="BX677" s="31"/>
      <c r="BZ677" s="34"/>
    </row>
    <row r="678" spans="31:78" ht="15" x14ac:dyDescent="0.25">
      <c r="AE678" s="23" t="s">
        <v>459</v>
      </c>
      <c r="AF678">
        <v>0</v>
      </c>
      <c r="AG678" s="31"/>
      <c r="AH678" s="31"/>
      <c r="AJ678" s="34"/>
      <c r="AK678" s="24"/>
      <c r="AL678" s="24"/>
      <c r="AM678" s="24"/>
      <c r="AN678" s="24"/>
      <c r="AO678" s="24"/>
      <c r="AP678" s="24"/>
      <c r="AQ678" s="49"/>
      <c r="AR678" s="33"/>
      <c r="AS678" s="24"/>
      <c r="AT678" s="24"/>
      <c r="AU678" s="24"/>
      <c r="AV678" s="24"/>
      <c r="AW678" s="25"/>
      <c r="AX678" s="33"/>
      <c r="AY678" s="24"/>
      <c r="AZ678" s="24"/>
      <c r="BA678" s="24"/>
      <c r="BB678" s="24"/>
      <c r="BC678" s="25"/>
      <c r="BD678" s="33"/>
      <c r="BE678" s="24"/>
      <c r="BF678" s="24"/>
      <c r="BG678" s="24"/>
      <c r="BT678" s="34"/>
      <c r="BU678" s="22" t="s">
        <v>417</v>
      </c>
      <c r="BV678" s="22">
        <v>10</v>
      </c>
      <c r="BW678" s="31"/>
      <c r="BX678" s="31"/>
      <c r="BZ678" s="34"/>
    </row>
    <row r="679" spans="31:78" ht="15" x14ac:dyDescent="0.25">
      <c r="AE679" s="23" t="s">
        <v>460</v>
      </c>
      <c r="AF679">
        <v>0</v>
      </c>
      <c r="AG679" s="33"/>
      <c r="AH679" s="33"/>
      <c r="AJ679" s="34"/>
      <c r="AK679" s="24"/>
      <c r="AL679" s="24"/>
      <c r="AM679" s="24"/>
      <c r="AN679" s="24"/>
      <c r="AO679" s="24"/>
      <c r="AP679" s="24"/>
      <c r="AQ679" s="49"/>
      <c r="AR679" s="33"/>
      <c r="AS679" s="24"/>
      <c r="AT679" s="24"/>
      <c r="AU679" s="24"/>
      <c r="AV679" s="24"/>
      <c r="AW679" s="25"/>
      <c r="AX679" s="33"/>
      <c r="AY679" s="24"/>
      <c r="AZ679" s="24"/>
      <c r="BA679" s="24"/>
      <c r="BB679" s="24"/>
      <c r="BC679" s="25"/>
      <c r="BD679" s="33"/>
      <c r="BE679" s="24"/>
      <c r="BF679" s="24"/>
      <c r="BG679" s="24"/>
      <c r="BT679" s="34"/>
      <c r="BU679" s="22" t="s">
        <v>418</v>
      </c>
      <c r="BV679" s="22">
        <v>15</v>
      </c>
      <c r="BW679" s="31"/>
      <c r="BX679" s="31"/>
      <c r="BZ679" s="34"/>
    </row>
    <row r="680" spans="31:78" ht="15" x14ac:dyDescent="0.25">
      <c r="AE680" s="23" t="s">
        <v>461</v>
      </c>
      <c r="AF680">
        <v>0</v>
      </c>
      <c r="AG680" s="31"/>
      <c r="AH680" s="31"/>
      <c r="AJ680" s="34"/>
      <c r="AK680" s="24"/>
      <c r="AL680" s="24"/>
      <c r="AM680" s="24"/>
      <c r="AN680" s="24"/>
      <c r="AO680" s="24"/>
      <c r="AP680" s="24"/>
      <c r="AQ680" s="49"/>
      <c r="AR680" s="33"/>
      <c r="AS680" s="24"/>
      <c r="AT680" s="24"/>
      <c r="AU680" s="24"/>
      <c r="AV680" s="24"/>
      <c r="AW680" s="25"/>
      <c r="AX680" s="33"/>
      <c r="AY680" s="24"/>
      <c r="AZ680" s="24"/>
      <c r="BA680" s="24"/>
      <c r="BB680" s="24"/>
      <c r="BC680" s="25"/>
      <c r="BD680" s="33"/>
      <c r="BE680" s="24"/>
      <c r="BF680" s="24"/>
      <c r="BG680" s="24"/>
      <c r="BT680" s="34"/>
      <c r="BU680" s="22" t="s">
        <v>419</v>
      </c>
      <c r="BV680" s="22">
        <v>44</v>
      </c>
      <c r="BW680" s="31"/>
      <c r="BX680" s="31"/>
      <c r="BZ680" s="34"/>
    </row>
    <row r="681" spans="31:78" ht="15" x14ac:dyDescent="0.25">
      <c r="AE681" s="23" t="s">
        <v>462</v>
      </c>
      <c r="AF681">
        <v>3</v>
      </c>
      <c r="AG681" s="24"/>
      <c r="AH681" s="24"/>
      <c r="AJ681" s="34"/>
      <c r="AK681" s="24"/>
      <c r="AL681" s="24"/>
      <c r="AM681" s="24"/>
      <c r="AN681" s="24"/>
      <c r="AO681" s="24"/>
      <c r="AP681" s="24"/>
      <c r="AQ681" s="49"/>
      <c r="AR681" s="33"/>
      <c r="AS681" s="24"/>
      <c r="AT681" s="24"/>
      <c r="AU681" s="24"/>
      <c r="AV681" s="24"/>
      <c r="AW681" s="25"/>
      <c r="AX681" s="33"/>
      <c r="AY681" s="24"/>
      <c r="AZ681" s="24"/>
      <c r="BA681" s="24"/>
      <c r="BB681" s="24"/>
      <c r="BC681" s="25"/>
      <c r="BD681" s="33"/>
      <c r="BE681" s="24"/>
      <c r="BF681" s="24"/>
      <c r="BG681" s="24"/>
      <c r="BT681" s="34"/>
      <c r="BU681" s="22" t="s">
        <v>420</v>
      </c>
      <c r="BV681" s="22">
        <v>57</v>
      </c>
      <c r="BW681" s="31"/>
      <c r="BX681" s="31"/>
      <c r="BZ681" s="34"/>
    </row>
    <row r="682" spans="31:78" ht="15" x14ac:dyDescent="0.25">
      <c r="AE682" s="23" t="s">
        <v>463</v>
      </c>
      <c r="AF682">
        <v>0</v>
      </c>
      <c r="AG682" s="31"/>
      <c r="AH682" s="31"/>
      <c r="AJ682" s="34"/>
      <c r="AK682" s="24"/>
      <c r="AL682" s="24"/>
      <c r="AM682" s="24"/>
      <c r="AN682" s="24"/>
      <c r="AO682" s="24"/>
      <c r="AP682" s="24"/>
      <c r="AQ682" s="49"/>
      <c r="AR682" s="33"/>
      <c r="AS682" s="24"/>
      <c r="AT682" s="24"/>
      <c r="AU682" s="24"/>
      <c r="AV682" s="24"/>
      <c r="AW682" s="25"/>
      <c r="AX682" s="33"/>
      <c r="AY682" s="24"/>
      <c r="AZ682" s="24"/>
      <c r="BA682" s="24"/>
      <c r="BB682" s="24"/>
      <c r="BC682" s="25"/>
      <c r="BD682" s="33"/>
      <c r="BE682" s="24"/>
      <c r="BF682" s="24"/>
      <c r="BG682" s="24"/>
      <c r="BT682" s="34"/>
      <c r="BU682" s="22" t="s">
        <v>421</v>
      </c>
      <c r="BV682" s="22">
        <v>39</v>
      </c>
      <c r="BW682" s="31"/>
      <c r="BX682" s="31"/>
      <c r="BZ682" s="34"/>
    </row>
    <row r="683" spans="31:78" ht="15" x14ac:dyDescent="0.25">
      <c r="AE683" s="23" t="s">
        <v>464</v>
      </c>
      <c r="AF683">
        <v>0</v>
      </c>
      <c r="AG683" s="31"/>
      <c r="AH683" s="31"/>
      <c r="AJ683" s="34"/>
      <c r="AK683" s="24"/>
      <c r="AL683" s="24"/>
      <c r="AM683" s="24"/>
      <c r="AN683" s="24"/>
      <c r="AO683" s="24"/>
      <c r="AP683" s="24"/>
      <c r="AQ683" s="49"/>
      <c r="AR683" s="33"/>
      <c r="AS683" s="24"/>
      <c r="AT683" s="24"/>
      <c r="AU683" s="24"/>
      <c r="AV683" s="24"/>
      <c r="AW683" s="25"/>
      <c r="AX683" s="33"/>
      <c r="AY683" s="24"/>
      <c r="AZ683" s="24"/>
      <c r="BA683" s="24"/>
      <c r="BB683" s="24"/>
      <c r="BC683" s="25"/>
      <c r="BD683" s="33"/>
      <c r="BE683" s="24"/>
      <c r="BF683" s="24"/>
      <c r="BG683" s="24"/>
      <c r="BT683" s="34"/>
      <c r="BU683" s="22" t="s">
        <v>422</v>
      </c>
      <c r="BV683" s="22">
        <v>12</v>
      </c>
      <c r="BW683" s="31"/>
      <c r="BX683" s="31"/>
      <c r="BZ683" s="34"/>
    </row>
    <row r="684" spans="31:78" ht="15" x14ac:dyDescent="0.25">
      <c r="AE684" s="23" t="s">
        <v>465</v>
      </c>
      <c r="AF684">
        <v>0</v>
      </c>
      <c r="AG684" s="31"/>
      <c r="AH684" s="31"/>
      <c r="AJ684" s="34"/>
      <c r="AK684" s="24"/>
      <c r="AL684" s="24"/>
      <c r="AM684" s="24"/>
      <c r="AN684" s="24"/>
      <c r="AO684" s="24"/>
      <c r="AP684" s="24"/>
      <c r="AQ684" s="49"/>
      <c r="AR684" s="33"/>
      <c r="AS684" s="24"/>
      <c r="AT684" s="24"/>
      <c r="AU684" s="24"/>
      <c r="AV684" s="24"/>
      <c r="AW684" s="25"/>
      <c r="AX684" s="33"/>
      <c r="AY684" s="24"/>
      <c r="AZ684" s="24"/>
      <c r="BA684" s="24"/>
      <c r="BB684" s="24"/>
      <c r="BC684" s="25"/>
      <c r="BD684" s="33"/>
      <c r="BE684" s="24"/>
      <c r="BF684" s="24"/>
      <c r="BG684" s="24"/>
      <c r="BT684" s="34"/>
      <c r="BU684" s="23" t="s">
        <v>423</v>
      </c>
      <c r="BV684" s="22">
        <v>17</v>
      </c>
      <c r="BW684" s="31"/>
      <c r="BX684" s="31"/>
      <c r="BZ684" s="34"/>
    </row>
    <row r="685" spans="31:78" ht="15" x14ac:dyDescent="0.25">
      <c r="AE685" s="23" t="s">
        <v>466</v>
      </c>
      <c r="AF685">
        <v>0</v>
      </c>
      <c r="AG685" s="31"/>
      <c r="AH685" s="31"/>
      <c r="AJ685" s="34"/>
      <c r="AK685" s="24"/>
      <c r="AL685" s="24"/>
      <c r="AM685" s="24"/>
      <c r="AN685" s="24"/>
      <c r="AO685" s="24"/>
      <c r="AP685" s="24"/>
      <c r="AQ685" s="49"/>
      <c r="AR685" s="33"/>
      <c r="AS685" s="24"/>
      <c r="AT685" s="24"/>
      <c r="AU685" s="24"/>
      <c r="AV685" s="24"/>
      <c r="AW685" s="25"/>
      <c r="AX685" s="33"/>
      <c r="AY685" s="24"/>
      <c r="AZ685" s="24"/>
      <c r="BA685" s="24"/>
      <c r="BB685" s="24"/>
      <c r="BC685" s="25"/>
      <c r="BD685" s="33"/>
      <c r="BE685" s="24"/>
      <c r="BF685" s="24"/>
      <c r="BG685" s="24"/>
      <c r="BT685" s="34"/>
      <c r="BU685" s="22" t="s">
        <v>424</v>
      </c>
      <c r="BV685" s="22">
        <v>19</v>
      </c>
      <c r="BW685" s="31"/>
      <c r="BX685" s="31"/>
      <c r="BZ685" s="34"/>
    </row>
    <row r="686" spans="31:78" ht="15" x14ac:dyDescent="0.25">
      <c r="AE686" s="23" t="s">
        <v>467</v>
      </c>
      <c r="AF686">
        <v>0</v>
      </c>
      <c r="AG686" s="31"/>
      <c r="AH686" s="31"/>
      <c r="AJ686" s="34"/>
      <c r="AK686" s="24"/>
      <c r="AL686" s="24"/>
      <c r="AM686" s="24"/>
      <c r="AN686" s="24"/>
      <c r="AO686" s="24"/>
      <c r="AP686" s="24"/>
      <c r="AQ686" s="25"/>
      <c r="AR686" s="33"/>
      <c r="AS686" s="24"/>
      <c r="AT686" s="24"/>
      <c r="AU686" s="24"/>
      <c r="AV686" s="24"/>
      <c r="AW686" s="25"/>
      <c r="AX686" s="33"/>
      <c r="AY686" s="24"/>
      <c r="AZ686" s="24"/>
      <c r="BA686" s="24"/>
      <c r="BB686" s="24"/>
      <c r="BC686" s="25"/>
      <c r="BD686" s="33"/>
      <c r="BE686" s="24"/>
      <c r="BF686" s="24"/>
      <c r="BG686" s="24"/>
      <c r="BT686" s="34"/>
      <c r="BU686" s="23" t="s">
        <v>425</v>
      </c>
      <c r="BV686" s="22">
        <v>21</v>
      </c>
      <c r="BW686" s="31"/>
      <c r="BX686" s="31"/>
      <c r="BZ686" s="34"/>
    </row>
    <row r="687" spans="31:78" ht="15" x14ac:dyDescent="0.25">
      <c r="AE687" s="23" t="s">
        <v>468</v>
      </c>
      <c r="AF687">
        <v>0</v>
      </c>
      <c r="AG687" s="31"/>
      <c r="AH687" s="31"/>
      <c r="AJ687" s="34"/>
      <c r="AK687" s="24"/>
      <c r="AL687" s="24"/>
      <c r="AM687" s="24"/>
      <c r="AN687" s="24"/>
      <c r="AO687" s="24"/>
      <c r="AP687" s="24"/>
      <c r="AQ687" s="25"/>
      <c r="AR687" s="33"/>
      <c r="AS687" s="24"/>
      <c r="AT687" s="24"/>
      <c r="AU687" s="24"/>
      <c r="AV687" s="24"/>
      <c r="AW687" s="25"/>
      <c r="AX687" s="33"/>
      <c r="AY687" s="24"/>
      <c r="AZ687" s="24"/>
      <c r="BA687" s="24"/>
      <c r="BB687" s="24"/>
      <c r="BC687" s="25"/>
      <c r="BD687" s="33"/>
      <c r="BE687" s="24"/>
      <c r="BF687" s="24"/>
      <c r="BG687" s="24"/>
      <c r="BT687" s="34"/>
      <c r="BU687" s="23" t="s">
        <v>426</v>
      </c>
      <c r="BV687" s="22">
        <v>28</v>
      </c>
      <c r="BW687" s="31"/>
      <c r="BX687" s="31"/>
      <c r="BZ687" s="34"/>
    </row>
    <row r="688" spans="31:78" ht="15" x14ac:dyDescent="0.25">
      <c r="AE688" s="23" t="s">
        <v>469</v>
      </c>
      <c r="AF688">
        <v>0</v>
      </c>
      <c r="AG688" s="31"/>
      <c r="AH688" s="31"/>
      <c r="AJ688" s="34"/>
      <c r="AK688" s="24"/>
      <c r="AL688" s="24"/>
      <c r="AM688" s="24"/>
      <c r="AN688" s="24"/>
      <c r="AO688" s="24"/>
      <c r="AP688" s="24"/>
      <c r="AQ688" s="25"/>
      <c r="AR688" s="33"/>
      <c r="AS688" s="24"/>
      <c r="AT688" s="24"/>
      <c r="AU688" s="24"/>
      <c r="AV688" s="24"/>
      <c r="AW688" s="25"/>
      <c r="AX688" s="33"/>
      <c r="AY688" s="24"/>
      <c r="AZ688" s="24"/>
      <c r="BA688" s="24"/>
      <c r="BB688" s="24"/>
      <c r="BC688" s="25"/>
      <c r="BD688" s="33"/>
      <c r="BE688" s="24"/>
      <c r="BF688" s="24"/>
      <c r="BG688" s="24"/>
      <c r="BT688" s="34"/>
      <c r="BU688" s="23" t="s">
        <v>427</v>
      </c>
      <c r="BV688" s="22">
        <v>8</v>
      </c>
      <c r="BW688" s="31"/>
      <c r="BX688" s="31"/>
      <c r="BZ688" s="34"/>
    </row>
    <row r="689" spans="31:78" ht="15" x14ac:dyDescent="0.25">
      <c r="AE689" s="23" t="s">
        <v>470</v>
      </c>
      <c r="AF689">
        <v>0</v>
      </c>
      <c r="AG689" s="31"/>
      <c r="AH689" s="31"/>
      <c r="AJ689" s="34"/>
      <c r="AK689" s="24"/>
      <c r="AL689" s="24"/>
      <c r="AM689" s="24"/>
      <c r="AN689" s="24"/>
      <c r="AO689" s="24"/>
      <c r="AP689" s="24"/>
      <c r="AQ689" s="25"/>
      <c r="AR689" s="33"/>
      <c r="AS689" s="24"/>
      <c r="AT689" s="24"/>
      <c r="AU689" s="24"/>
      <c r="AV689" s="24"/>
      <c r="AW689" s="25"/>
      <c r="AX689" s="33"/>
      <c r="AY689" s="24"/>
      <c r="AZ689" s="24"/>
      <c r="BA689" s="24"/>
      <c r="BB689" s="24"/>
      <c r="BC689" s="25"/>
      <c r="BD689" s="33"/>
      <c r="BE689" s="24"/>
      <c r="BF689" s="24"/>
      <c r="BG689" s="24"/>
      <c r="BT689" s="34"/>
      <c r="BU689" s="23" t="s">
        <v>428</v>
      </c>
      <c r="BV689" s="22">
        <v>13</v>
      </c>
      <c r="BW689" s="31"/>
      <c r="BX689" s="31"/>
      <c r="BZ689" s="34"/>
    </row>
    <row r="690" spans="31:78" ht="15" x14ac:dyDescent="0.25">
      <c r="AE690" s="23" t="s">
        <v>471</v>
      </c>
      <c r="AF690">
        <v>0</v>
      </c>
      <c r="AG690" s="31"/>
      <c r="AH690" s="31"/>
      <c r="AJ690" s="3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  <c r="AW690" s="25"/>
      <c r="AX690" s="33"/>
      <c r="AY690" s="24"/>
      <c r="AZ690" s="24"/>
      <c r="BA690" s="24"/>
      <c r="BB690" s="24"/>
      <c r="BC690" s="25"/>
      <c r="BD690" s="33"/>
      <c r="BE690" s="24"/>
      <c r="BF690" s="24"/>
      <c r="BG690" s="24"/>
      <c r="BT690" s="34"/>
      <c r="BU690" s="23" t="s">
        <v>429</v>
      </c>
      <c r="BV690" s="22">
        <v>15</v>
      </c>
      <c r="BW690" s="31"/>
      <c r="BX690" s="31"/>
      <c r="BZ690" s="34"/>
    </row>
    <row r="691" spans="31:78" ht="15" x14ac:dyDescent="0.25">
      <c r="AE691" s="23" t="s">
        <v>472</v>
      </c>
      <c r="AF691">
        <v>0</v>
      </c>
      <c r="AJ691" s="3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  <c r="AW691" s="25"/>
      <c r="AX691" s="33"/>
      <c r="AY691" s="24"/>
      <c r="AZ691" s="24"/>
      <c r="BA691" s="24"/>
      <c r="BB691" s="24"/>
      <c r="BC691" s="25"/>
      <c r="BD691" s="33"/>
      <c r="BE691" s="24"/>
      <c r="BF691" s="24"/>
      <c r="BG691" s="24"/>
      <c r="BT691" s="34"/>
      <c r="BU691" s="23" t="s">
        <v>430</v>
      </c>
      <c r="BV691" s="22">
        <v>15</v>
      </c>
      <c r="BW691" s="31"/>
      <c r="BX691" s="31"/>
      <c r="BZ691" s="34"/>
    </row>
    <row r="692" spans="31:78" ht="15" x14ac:dyDescent="0.25">
      <c r="AE692" s="23" t="s">
        <v>362</v>
      </c>
      <c r="AF692">
        <v>0</v>
      </c>
      <c r="AJ692" s="3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  <c r="AW692" s="25"/>
      <c r="AX692" s="33"/>
      <c r="AY692" s="24"/>
      <c r="AZ692" s="24"/>
      <c r="BA692" s="24"/>
      <c r="BB692" s="24"/>
      <c r="BC692" s="25"/>
      <c r="BD692" s="33"/>
      <c r="BE692" s="24"/>
      <c r="BF692" s="24"/>
      <c r="BG692" s="24"/>
      <c r="BT692" s="34"/>
      <c r="BU692" s="23" t="s">
        <v>431</v>
      </c>
      <c r="BV692" s="22">
        <v>26</v>
      </c>
      <c r="BW692" s="31"/>
      <c r="BX692" s="31"/>
      <c r="BZ692" s="34"/>
    </row>
    <row r="693" spans="31:78" ht="15" x14ac:dyDescent="0.25">
      <c r="AE693" s="23" t="s">
        <v>473</v>
      </c>
      <c r="AF693">
        <v>0</v>
      </c>
      <c r="AJ693" s="3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  <c r="AW693" s="25"/>
      <c r="AX693" s="33"/>
      <c r="AY693" s="24"/>
      <c r="AZ693" s="24"/>
      <c r="BA693" s="24"/>
      <c r="BB693" s="24"/>
      <c r="BC693" s="25"/>
      <c r="BD693" s="33"/>
      <c r="BE693" s="24"/>
      <c r="BF693" s="24"/>
      <c r="BG693" s="24"/>
      <c r="BT693" s="34"/>
      <c r="BU693" s="23" t="s">
        <v>432</v>
      </c>
      <c r="BV693" s="22">
        <v>19</v>
      </c>
      <c r="BW693" s="31"/>
      <c r="BX693" s="31"/>
      <c r="BZ693" s="34"/>
    </row>
    <row r="694" spans="31:78" ht="15" x14ac:dyDescent="0.25">
      <c r="AE694" s="23" t="s">
        <v>474</v>
      </c>
      <c r="AF694">
        <v>0</v>
      </c>
      <c r="AJ694" s="3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  <c r="AW694" s="25"/>
      <c r="AX694" s="33"/>
      <c r="AY694" s="24"/>
      <c r="AZ694" s="24"/>
      <c r="BA694" s="24"/>
      <c r="BB694" s="24"/>
      <c r="BC694" s="25"/>
      <c r="BD694" s="33"/>
      <c r="BE694" s="24"/>
      <c r="BF694" s="24"/>
      <c r="BG694" s="24"/>
      <c r="BT694" s="34"/>
      <c r="BU694" s="23" t="s">
        <v>433</v>
      </c>
      <c r="BV694" s="22">
        <v>14</v>
      </c>
      <c r="BW694" s="31"/>
      <c r="BX694" s="31"/>
      <c r="BZ694" s="34"/>
    </row>
    <row r="695" spans="31:78" ht="15" x14ac:dyDescent="0.25">
      <c r="AE695" s="23" t="s">
        <v>475</v>
      </c>
      <c r="AF695">
        <v>0</v>
      </c>
      <c r="AJ695" s="3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  <c r="AW695" s="25"/>
      <c r="AX695" s="33"/>
      <c r="AY695" s="24"/>
      <c r="AZ695" s="24"/>
      <c r="BA695" s="24"/>
      <c r="BB695" s="24"/>
      <c r="BC695" s="25"/>
      <c r="BD695" s="33"/>
      <c r="BE695" s="24"/>
      <c r="BF695" s="24"/>
      <c r="BG695" s="24"/>
      <c r="BT695" s="34"/>
      <c r="BU695" s="23" t="s">
        <v>434</v>
      </c>
      <c r="BV695" s="22">
        <v>13</v>
      </c>
      <c r="BW695" s="31"/>
      <c r="BX695" s="31"/>
      <c r="BZ695" s="34"/>
    </row>
    <row r="696" spans="31:78" x14ac:dyDescent="0.2">
      <c r="AE696" s="34"/>
      <c r="AF696" s="34"/>
      <c r="AG696" s="34"/>
      <c r="AH696" s="34"/>
      <c r="AI696" s="34"/>
      <c r="AJ696" s="3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  <c r="AW696" s="25"/>
      <c r="AX696" s="33"/>
      <c r="AY696" s="24"/>
      <c r="AZ696" s="24"/>
      <c r="BA696" s="24"/>
      <c r="BB696" s="24"/>
      <c r="BC696" s="25"/>
      <c r="BD696" s="33"/>
      <c r="BE696" s="24"/>
      <c r="BF696" s="24"/>
      <c r="BG696" s="24"/>
      <c r="BT696" s="34"/>
      <c r="BU696" s="34"/>
      <c r="BV696" s="34"/>
      <c r="BW696" s="34"/>
      <c r="BX696" s="34"/>
      <c r="BY696" s="34"/>
      <c r="BZ696" s="34"/>
    </row>
    <row r="697" spans="31:78" x14ac:dyDescent="0.2">
      <c r="AJ697" s="3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  <c r="AW697" s="25"/>
      <c r="AX697" s="33"/>
      <c r="AY697" s="24"/>
      <c r="AZ697" s="24"/>
      <c r="BA697" s="24"/>
      <c r="BB697" s="24"/>
      <c r="BC697" s="25"/>
      <c r="BD697" s="33"/>
      <c r="BE697" s="24"/>
      <c r="BF697" s="24"/>
      <c r="BG697" s="24"/>
      <c r="BT697" s="34"/>
      <c r="BU697" s="19" t="s">
        <v>100</v>
      </c>
      <c r="BV697" s="35" t="s">
        <v>61</v>
      </c>
      <c r="BZ697" s="34"/>
    </row>
    <row r="698" spans="31:78" x14ac:dyDescent="0.2">
      <c r="AJ698" s="3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  <c r="AW698" s="25"/>
      <c r="AX698" s="33"/>
      <c r="AY698" s="24"/>
      <c r="AZ698" s="24"/>
      <c r="BA698" s="24"/>
      <c r="BB698" s="24"/>
      <c r="BC698" s="25"/>
      <c r="BD698" s="33"/>
      <c r="BE698" s="24"/>
      <c r="BF698" s="24"/>
      <c r="BG698" s="24"/>
      <c r="BT698" s="34"/>
      <c r="BV698" s="12" t="s">
        <v>30</v>
      </c>
      <c r="BZ698" s="34"/>
    </row>
    <row r="699" spans="31:78" x14ac:dyDescent="0.2">
      <c r="AJ699" s="3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5"/>
      <c r="AX699" s="33"/>
      <c r="AY699" s="24"/>
      <c r="AZ699" s="24"/>
      <c r="BA699" s="24"/>
      <c r="BB699" s="24"/>
      <c r="BC699" s="25"/>
      <c r="BD699" s="33"/>
      <c r="BE699" s="24"/>
      <c r="BF699" s="24"/>
      <c r="BG699" s="24"/>
      <c r="BT699" s="34"/>
      <c r="BU699" s="31" t="s">
        <v>102</v>
      </c>
      <c r="BV699" s="31" t="s">
        <v>71</v>
      </c>
      <c r="BW699" s="31" t="s">
        <v>103</v>
      </c>
      <c r="BX699" s="31" t="s">
        <v>104</v>
      </c>
      <c r="BZ699" s="34"/>
    </row>
    <row r="700" spans="31:78" x14ac:dyDescent="0.2">
      <c r="AJ700" s="3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5"/>
      <c r="AX700" s="33"/>
      <c r="AY700" s="24"/>
      <c r="AZ700" s="24"/>
      <c r="BA700" s="24"/>
      <c r="BB700" s="24"/>
      <c r="BC700" s="25"/>
      <c r="BD700" s="33"/>
      <c r="BE700" s="24"/>
      <c r="BF700" s="24"/>
      <c r="BG700" s="24"/>
      <c r="BT700" s="34"/>
      <c r="BU700" s="23" t="s">
        <v>412</v>
      </c>
      <c r="BV700" s="22">
        <v>1</v>
      </c>
      <c r="BW700" s="31" t="s">
        <v>106</v>
      </c>
      <c r="BX700" s="31">
        <f>SUM(BV700:BV724)</f>
        <v>16</v>
      </c>
      <c r="BZ700" s="34"/>
    </row>
    <row r="701" spans="31:78" x14ac:dyDescent="0.2">
      <c r="AJ701" s="3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5"/>
      <c r="AX701" s="33"/>
      <c r="AY701" s="24"/>
      <c r="AZ701" s="24"/>
      <c r="BA701" s="24"/>
      <c r="BB701" s="24"/>
      <c r="BC701" s="25"/>
      <c r="BD701" s="33"/>
      <c r="BE701" s="24"/>
      <c r="BF701" s="24"/>
      <c r="BG701" s="24"/>
      <c r="BT701" s="34"/>
      <c r="BU701" s="22" t="s">
        <v>244</v>
      </c>
      <c r="BV701" s="22">
        <v>0</v>
      </c>
      <c r="BW701" s="31" t="s">
        <v>115</v>
      </c>
      <c r="BX701" s="31">
        <f>MIN(BV700:BV724)</f>
        <v>0</v>
      </c>
      <c r="BZ701" s="34"/>
    </row>
    <row r="702" spans="31:78" x14ac:dyDescent="0.2">
      <c r="AJ702" s="3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  <c r="AW702" s="25"/>
      <c r="AX702" s="33"/>
      <c r="AY702" s="24"/>
      <c r="AZ702" s="24"/>
      <c r="BA702" s="24"/>
      <c r="BB702" s="24"/>
      <c r="BC702" s="25"/>
      <c r="BD702" s="33"/>
      <c r="BE702" s="24"/>
      <c r="BF702" s="24"/>
      <c r="BG702" s="24"/>
      <c r="BT702" s="34"/>
      <c r="BU702" s="22" t="s">
        <v>119</v>
      </c>
      <c r="BV702" s="22">
        <v>0</v>
      </c>
      <c r="BW702" s="31" t="s">
        <v>122</v>
      </c>
      <c r="BX702" s="31">
        <f>MAX(BV700:BV724)</f>
        <v>3</v>
      </c>
      <c r="BZ702" s="34"/>
    </row>
    <row r="703" spans="31:78" x14ac:dyDescent="0.2">
      <c r="AJ703" s="3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  <c r="AW703" s="24"/>
      <c r="AX703" s="24"/>
      <c r="AY703" s="24"/>
      <c r="AZ703" s="24"/>
      <c r="BA703" s="24"/>
      <c r="BB703" s="24"/>
      <c r="BC703" s="24"/>
      <c r="BD703" s="24"/>
      <c r="BE703" s="24"/>
      <c r="BF703" s="24"/>
      <c r="BG703" s="24"/>
      <c r="BT703" s="34"/>
      <c r="BU703" s="22" t="s">
        <v>413</v>
      </c>
      <c r="BV703" s="22">
        <v>0</v>
      </c>
      <c r="BW703" s="31" t="s">
        <v>129</v>
      </c>
      <c r="BX703" s="31">
        <f>VAR(BV700:BV724)</f>
        <v>0.90666666666666662</v>
      </c>
      <c r="BZ703" s="34"/>
    </row>
    <row r="704" spans="31:78" x14ac:dyDescent="0.2">
      <c r="AJ704" s="3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  <c r="AW704" s="24"/>
      <c r="AX704" s="24"/>
      <c r="AY704" s="24"/>
      <c r="AZ704" s="24"/>
      <c r="BA704" s="24"/>
      <c r="BB704" s="24"/>
      <c r="BC704" s="24"/>
      <c r="BD704" s="24"/>
      <c r="BE704" s="24"/>
      <c r="BF704" s="24"/>
      <c r="BG704" s="24"/>
      <c r="BT704" s="34"/>
      <c r="BU704" s="22" t="s">
        <v>414</v>
      </c>
      <c r="BV704" s="22">
        <v>1</v>
      </c>
      <c r="BW704" s="31" t="s">
        <v>138</v>
      </c>
      <c r="BX704" s="31">
        <f>AVERAGE(BV700:BV724)</f>
        <v>0.64</v>
      </c>
      <c r="BZ704" s="34"/>
    </row>
    <row r="705" spans="36:78" x14ac:dyDescent="0.2">
      <c r="AJ705" s="3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  <c r="AW705" s="33"/>
      <c r="AX705" s="24"/>
      <c r="AY705" s="24"/>
      <c r="AZ705" s="24"/>
      <c r="BA705" s="24"/>
      <c r="BB705" s="24"/>
      <c r="BC705" s="33"/>
      <c r="BD705" s="24"/>
      <c r="BE705" s="24"/>
      <c r="BF705" s="24"/>
      <c r="BG705" s="24"/>
      <c r="BT705" s="34"/>
      <c r="BU705" s="22" t="s">
        <v>415</v>
      </c>
      <c r="BV705" s="22">
        <v>0</v>
      </c>
      <c r="BW705" s="31" t="s">
        <v>144</v>
      </c>
      <c r="BX705" s="31">
        <f>STDEV(BV700:BV724)</f>
        <v>0.9521904571390466</v>
      </c>
      <c r="BZ705" s="34"/>
    </row>
    <row r="706" spans="36:78" x14ac:dyDescent="0.2">
      <c r="AJ706" s="3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  <c r="AW706" s="33"/>
      <c r="AX706" s="33"/>
      <c r="AY706" s="33"/>
      <c r="AZ706" s="33"/>
      <c r="BA706" s="24"/>
      <c r="BB706" s="24"/>
      <c r="BC706" s="33"/>
      <c r="BD706" s="33"/>
      <c r="BE706" s="33"/>
      <c r="BF706" s="33"/>
      <c r="BG706" s="24"/>
      <c r="BT706" s="34"/>
      <c r="BU706" s="22" t="s">
        <v>416</v>
      </c>
      <c r="BV706" s="22">
        <v>2</v>
      </c>
      <c r="BW706" s="31"/>
      <c r="BX706" s="31"/>
      <c r="BZ706" s="34"/>
    </row>
    <row r="707" spans="36:78" x14ac:dyDescent="0.2">
      <c r="AJ707" s="3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  <c r="AW707" s="49"/>
      <c r="AX707" s="33"/>
      <c r="AY707" s="33"/>
      <c r="AZ707" s="33"/>
      <c r="BA707" s="24"/>
      <c r="BB707" s="24"/>
      <c r="BC707" s="49"/>
      <c r="BD707" s="33"/>
      <c r="BE707" s="33"/>
      <c r="BF707" s="33"/>
      <c r="BG707" s="24"/>
      <c r="BT707" s="34"/>
      <c r="BU707" s="22" t="s">
        <v>417</v>
      </c>
      <c r="BV707" s="22">
        <v>0</v>
      </c>
      <c r="BW707" s="31"/>
      <c r="BX707" s="31"/>
      <c r="BZ707" s="34"/>
    </row>
    <row r="708" spans="36:78" x14ac:dyDescent="0.2">
      <c r="AJ708" s="3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  <c r="AW708" s="49"/>
      <c r="AX708" s="33"/>
      <c r="AY708" s="33"/>
      <c r="AZ708" s="33"/>
      <c r="BA708" s="24"/>
      <c r="BB708" s="24"/>
      <c r="BC708" s="49"/>
      <c r="BD708" s="33"/>
      <c r="BE708" s="33"/>
      <c r="BF708" s="33"/>
      <c r="BG708" s="24"/>
      <c r="BT708" s="34"/>
      <c r="BU708" s="22" t="s">
        <v>418</v>
      </c>
      <c r="BV708" s="22">
        <v>3</v>
      </c>
      <c r="BW708" s="31"/>
      <c r="BX708" s="31"/>
      <c r="BZ708" s="34"/>
    </row>
    <row r="709" spans="36:78" x14ac:dyDescent="0.2">
      <c r="AJ709" s="3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  <c r="AW709" s="49"/>
      <c r="AX709" s="33"/>
      <c r="AY709" s="33"/>
      <c r="AZ709" s="33"/>
      <c r="BA709" s="24"/>
      <c r="BB709" s="24"/>
      <c r="BC709" s="49"/>
      <c r="BD709" s="33"/>
      <c r="BE709" s="33"/>
      <c r="BF709" s="33"/>
      <c r="BG709" s="24"/>
      <c r="BT709" s="34"/>
      <c r="BU709" s="22" t="s">
        <v>419</v>
      </c>
      <c r="BV709" s="22">
        <v>3</v>
      </c>
      <c r="BW709" s="31"/>
      <c r="BX709" s="31"/>
      <c r="BZ709" s="34"/>
    </row>
    <row r="710" spans="36:78" x14ac:dyDescent="0.2">
      <c r="AJ710" s="3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  <c r="AW710" s="49"/>
      <c r="AX710" s="33"/>
      <c r="AY710" s="33"/>
      <c r="AZ710" s="33"/>
      <c r="BA710" s="24"/>
      <c r="BB710" s="24"/>
      <c r="BC710" s="49"/>
      <c r="BD710" s="33"/>
      <c r="BE710" s="33"/>
      <c r="BF710" s="33"/>
      <c r="BG710" s="24"/>
      <c r="BT710" s="34"/>
      <c r="BU710" s="22" t="s">
        <v>420</v>
      </c>
      <c r="BV710" s="22">
        <v>0</v>
      </c>
      <c r="BW710" s="31"/>
      <c r="BX710" s="31"/>
      <c r="BZ710" s="34"/>
    </row>
    <row r="711" spans="36:78" x14ac:dyDescent="0.2">
      <c r="AJ711" s="3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  <c r="AW711" s="49"/>
      <c r="AX711" s="33"/>
      <c r="AY711" s="33"/>
      <c r="AZ711" s="33"/>
      <c r="BA711" s="24"/>
      <c r="BB711" s="24"/>
      <c r="BC711" s="49"/>
      <c r="BD711" s="33"/>
      <c r="BE711" s="33"/>
      <c r="BF711" s="33"/>
      <c r="BG711" s="24"/>
      <c r="BT711" s="34"/>
      <c r="BU711" s="22" t="s">
        <v>421</v>
      </c>
      <c r="BV711" s="22">
        <v>1</v>
      </c>
      <c r="BW711" s="31"/>
      <c r="BX711" s="31"/>
      <c r="BZ711" s="34"/>
    </row>
    <row r="712" spans="36:78" x14ac:dyDescent="0.2">
      <c r="AJ712" s="3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  <c r="AW712" s="49"/>
      <c r="AX712" s="33"/>
      <c r="AY712" s="33"/>
      <c r="AZ712" s="33"/>
      <c r="BA712" s="24"/>
      <c r="BB712" s="24"/>
      <c r="BC712" s="49"/>
      <c r="BD712" s="33"/>
      <c r="BE712" s="33"/>
      <c r="BF712" s="33"/>
      <c r="BG712" s="24"/>
      <c r="BT712" s="34"/>
      <c r="BU712" s="22" t="s">
        <v>422</v>
      </c>
      <c r="BV712" s="22">
        <v>2</v>
      </c>
      <c r="BW712" s="31"/>
      <c r="BX712" s="31"/>
      <c r="BZ712" s="34"/>
    </row>
    <row r="713" spans="36:78" x14ac:dyDescent="0.2">
      <c r="AJ713" s="3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  <c r="AW713" s="49"/>
      <c r="AX713" s="33"/>
      <c r="AY713" s="33"/>
      <c r="AZ713" s="33"/>
      <c r="BA713" s="24"/>
      <c r="BB713" s="24"/>
      <c r="BC713" s="49"/>
      <c r="BD713" s="33"/>
      <c r="BE713" s="33"/>
      <c r="BF713" s="33"/>
      <c r="BG713" s="24"/>
      <c r="BT713" s="34"/>
      <c r="BU713" s="23" t="s">
        <v>423</v>
      </c>
      <c r="BV713" s="22">
        <v>1</v>
      </c>
      <c r="BW713" s="31"/>
      <c r="BX713" s="31"/>
      <c r="BZ713" s="34"/>
    </row>
    <row r="714" spans="36:78" x14ac:dyDescent="0.2">
      <c r="AJ714" s="3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  <c r="AW714" s="49"/>
      <c r="AX714" s="33"/>
      <c r="AY714" s="33"/>
      <c r="AZ714" s="33"/>
      <c r="BA714" s="24"/>
      <c r="BB714" s="24"/>
      <c r="BC714" s="49"/>
      <c r="BD714" s="33"/>
      <c r="BE714" s="33"/>
      <c r="BF714" s="33"/>
      <c r="BG714" s="24"/>
      <c r="BT714" s="34"/>
      <c r="BU714" s="22" t="s">
        <v>424</v>
      </c>
      <c r="BV714" s="22">
        <v>0</v>
      </c>
      <c r="BW714" s="31"/>
      <c r="BX714" s="31"/>
      <c r="BZ714" s="34"/>
    </row>
    <row r="715" spans="36:78" x14ac:dyDescent="0.2">
      <c r="AJ715" s="3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  <c r="AW715" s="49"/>
      <c r="AX715" s="33"/>
      <c r="AY715" s="33"/>
      <c r="AZ715" s="33"/>
      <c r="BA715" s="24"/>
      <c r="BB715" s="24"/>
      <c r="BC715" s="49"/>
      <c r="BD715" s="33"/>
      <c r="BE715" s="33"/>
      <c r="BF715" s="33"/>
      <c r="BG715" s="24"/>
      <c r="BT715" s="34"/>
      <c r="BU715" s="23" t="s">
        <v>425</v>
      </c>
      <c r="BV715" s="22">
        <v>0</v>
      </c>
      <c r="BW715" s="31"/>
      <c r="BX715" s="31"/>
      <c r="BZ715" s="34"/>
    </row>
    <row r="716" spans="36:78" x14ac:dyDescent="0.2">
      <c r="AJ716" s="3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49"/>
      <c r="AX716" s="33"/>
      <c r="AY716" s="33"/>
      <c r="AZ716" s="33"/>
      <c r="BA716" s="24"/>
      <c r="BB716" s="24"/>
      <c r="BC716" s="49"/>
      <c r="BD716" s="33"/>
      <c r="BE716" s="33"/>
      <c r="BF716" s="33"/>
      <c r="BG716" s="24"/>
      <c r="BT716" s="34"/>
      <c r="BU716" s="23" t="s">
        <v>426</v>
      </c>
      <c r="BV716" s="22">
        <v>0</v>
      </c>
      <c r="BW716" s="31"/>
      <c r="BX716" s="31"/>
      <c r="BZ716" s="34"/>
    </row>
    <row r="717" spans="36:78" x14ac:dyDescent="0.2">
      <c r="AJ717" s="3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  <c r="AW717" s="49"/>
      <c r="AX717" s="33"/>
      <c r="AY717" s="33"/>
      <c r="AZ717" s="33"/>
      <c r="BA717" s="24"/>
      <c r="BB717" s="24"/>
      <c r="BC717" s="49"/>
      <c r="BD717" s="33"/>
      <c r="BE717" s="33"/>
      <c r="BF717" s="33"/>
      <c r="BG717" s="24"/>
      <c r="BT717" s="34"/>
      <c r="BU717" s="23" t="s">
        <v>427</v>
      </c>
      <c r="BV717" s="22">
        <v>0</v>
      </c>
      <c r="BW717" s="31"/>
      <c r="BX717" s="31"/>
      <c r="BZ717" s="34"/>
    </row>
    <row r="718" spans="36:78" x14ac:dyDescent="0.2">
      <c r="AJ718" s="3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  <c r="AW718" s="49"/>
      <c r="AX718" s="33"/>
      <c r="AY718" s="33"/>
      <c r="AZ718" s="33"/>
      <c r="BA718" s="24"/>
      <c r="BB718" s="24"/>
      <c r="BC718" s="49"/>
      <c r="BD718" s="33"/>
      <c r="BE718" s="33"/>
      <c r="BF718" s="33"/>
      <c r="BG718" s="24"/>
      <c r="BT718" s="34"/>
      <c r="BU718" s="23" t="s">
        <v>428</v>
      </c>
      <c r="BV718" s="22">
        <v>1</v>
      </c>
      <c r="BW718" s="31"/>
      <c r="BX718" s="31"/>
      <c r="BZ718" s="34"/>
    </row>
    <row r="719" spans="36:78" x14ac:dyDescent="0.2">
      <c r="AJ719" s="3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  <c r="AW719" s="25"/>
      <c r="AX719" s="33"/>
      <c r="AY719" s="24"/>
      <c r="AZ719" s="24"/>
      <c r="BA719" s="24"/>
      <c r="BB719" s="24"/>
      <c r="BC719" s="25"/>
      <c r="BD719" s="33"/>
      <c r="BE719" s="24"/>
      <c r="BF719" s="24"/>
      <c r="BG719" s="24"/>
      <c r="BT719" s="34"/>
      <c r="BU719" s="23" t="s">
        <v>429</v>
      </c>
      <c r="BV719" s="22">
        <v>1</v>
      </c>
      <c r="BW719" s="31"/>
      <c r="BX719" s="31"/>
      <c r="BZ719" s="34"/>
    </row>
    <row r="720" spans="36:78" x14ac:dyDescent="0.2">
      <c r="AJ720" s="3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49"/>
      <c r="AX720" s="33"/>
      <c r="AY720" s="24"/>
      <c r="AZ720" s="24"/>
      <c r="BA720" s="24"/>
      <c r="BB720" s="24"/>
      <c r="BC720" s="49"/>
      <c r="BD720" s="33"/>
      <c r="BE720" s="24"/>
      <c r="BF720" s="24"/>
      <c r="BG720" s="24"/>
      <c r="BT720" s="34"/>
      <c r="BU720" s="23" t="s">
        <v>430</v>
      </c>
      <c r="BV720" s="22">
        <v>0</v>
      </c>
      <c r="BW720" s="31"/>
      <c r="BX720" s="31"/>
      <c r="BZ720" s="34"/>
    </row>
    <row r="721" spans="36:78" x14ac:dyDescent="0.2">
      <c r="AJ721" s="3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  <c r="AW721" s="49"/>
      <c r="AX721" s="33"/>
      <c r="AY721" s="24"/>
      <c r="AZ721" s="24"/>
      <c r="BA721" s="24"/>
      <c r="BB721" s="24"/>
      <c r="BC721" s="49"/>
      <c r="BD721" s="33"/>
      <c r="BE721" s="24"/>
      <c r="BF721" s="24"/>
      <c r="BG721" s="24"/>
      <c r="BT721" s="34"/>
      <c r="BU721" s="23" t="s">
        <v>431</v>
      </c>
      <c r="BV721" s="22">
        <v>0</v>
      </c>
      <c r="BW721" s="31"/>
      <c r="BX721" s="31"/>
      <c r="BZ721" s="34"/>
    </row>
    <row r="722" spans="36:78" x14ac:dyDescent="0.2">
      <c r="AJ722" s="3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  <c r="AW722" s="49"/>
      <c r="AX722" s="33"/>
      <c r="AY722" s="24"/>
      <c r="AZ722" s="24"/>
      <c r="BA722" s="24"/>
      <c r="BB722" s="24"/>
      <c r="BC722" s="49"/>
      <c r="BD722" s="33"/>
      <c r="BE722" s="24"/>
      <c r="BF722" s="24"/>
      <c r="BG722" s="24"/>
      <c r="BT722" s="34"/>
      <c r="BU722" s="23" t="s">
        <v>432</v>
      </c>
      <c r="BV722" s="22">
        <v>0</v>
      </c>
      <c r="BW722" s="31"/>
      <c r="BX722" s="31"/>
      <c r="BZ722" s="34"/>
    </row>
    <row r="723" spans="36:78" x14ac:dyDescent="0.2">
      <c r="AJ723" s="3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  <c r="AW723" s="49"/>
      <c r="AX723" s="33"/>
      <c r="AY723" s="24"/>
      <c r="AZ723" s="24"/>
      <c r="BA723" s="24"/>
      <c r="BB723" s="24"/>
      <c r="BC723" s="49"/>
      <c r="BD723" s="33"/>
      <c r="BE723" s="24"/>
      <c r="BF723" s="24"/>
      <c r="BG723" s="24"/>
      <c r="BT723" s="34"/>
      <c r="BU723" s="23" t="s">
        <v>433</v>
      </c>
      <c r="BV723" s="22">
        <v>0</v>
      </c>
      <c r="BW723" s="31"/>
      <c r="BX723" s="31"/>
      <c r="BZ723" s="34"/>
    </row>
    <row r="724" spans="36:78" x14ac:dyDescent="0.2">
      <c r="AJ724" s="3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  <c r="AW724" s="49"/>
      <c r="AX724" s="33"/>
      <c r="AY724" s="24"/>
      <c r="AZ724" s="24"/>
      <c r="BA724" s="24"/>
      <c r="BB724" s="24"/>
      <c r="BC724" s="49"/>
      <c r="BD724" s="33"/>
      <c r="BE724" s="24"/>
      <c r="BF724" s="24"/>
      <c r="BG724" s="24"/>
      <c r="BT724" s="34"/>
      <c r="BU724" s="23" t="s">
        <v>434</v>
      </c>
      <c r="BV724" s="22">
        <v>0</v>
      </c>
      <c r="BW724" s="31"/>
      <c r="BX724" s="31"/>
      <c r="BZ724" s="34"/>
    </row>
    <row r="725" spans="36:78" x14ac:dyDescent="0.2">
      <c r="AJ725" s="3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49"/>
      <c r="AX725" s="33"/>
      <c r="AY725" s="24"/>
      <c r="AZ725" s="24"/>
      <c r="BA725" s="24"/>
      <c r="BB725" s="24"/>
      <c r="BC725" s="49"/>
      <c r="BD725" s="33"/>
      <c r="BE725" s="24"/>
      <c r="BF725" s="24"/>
      <c r="BG725" s="24"/>
      <c r="BT725" s="34"/>
      <c r="BU725" s="34"/>
      <c r="BV725" s="34"/>
      <c r="BW725" s="34"/>
      <c r="BX725" s="34"/>
      <c r="BY725" s="34"/>
      <c r="BZ725" s="34"/>
    </row>
    <row r="726" spans="36:78" x14ac:dyDescent="0.2">
      <c r="AJ726" s="3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  <c r="AW726" s="49"/>
      <c r="AX726" s="33"/>
      <c r="AY726" s="24"/>
      <c r="AZ726" s="24"/>
      <c r="BA726" s="24"/>
      <c r="BB726" s="24"/>
      <c r="BC726" s="49"/>
      <c r="BD726" s="33"/>
      <c r="BE726" s="24"/>
      <c r="BF726" s="24"/>
      <c r="BG726" s="24"/>
      <c r="BT726" s="34"/>
      <c r="BU726" s="19" t="s">
        <v>100</v>
      </c>
      <c r="BV726" s="35" t="s">
        <v>61</v>
      </c>
      <c r="BZ726" s="34"/>
    </row>
    <row r="727" spans="36:78" x14ac:dyDescent="0.2">
      <c r="AJ727" s="3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  <c r="AW727" s="49"/>
      <c r="AX727" s="33"/>
      <c r="AY727" s="24"/>
      <c r="AZ727" s="24"/>
      <c r="BA727" s="24"/>
      <c r="BB727" s="24"/>
      <c r="BC727" s="49"/>
      <c r="BD727" s="33"/>
      <c r="BE727" s="24"/>
      <c r="BF727" s="24"/>
      <c r="BG727" s="24"/>
      <c r="BT727" s="34"/>
      <c r="BV727" s="12" t="s">
        <v>31</v>
      </c>
      <c r="BZ727" s="34"/>
    </row>
    <row r="728" spans="36:78" x14ac:dyDescent="0.2">
      <c r="AJ728" s="3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  <c r="AW728" s="49"/>
      <c r="AX728" s="33"/>
      <c r="AY728" s="24"/>
      <c r="AZ728" s="24"/>
      <c r="BA728" s="24"/>
      <c r="BB728" s="24"/>
      <c r="BC728" s="49"/>
      <c r="BD728" s="33"/>
      <c r="BE728" s="24"/>
      <c r="BF728" s="24"/>
      <c r="BG728" s="24"/>
      <c r="BT728" s="34"/>
      <c r="BU728" s="31" t="s">
        <v>102</v>
      </c>
      <c r="BV728" s="31" t="s">
        <v>71</v>
      </c>
      <c r="BW728" s="31" t="s">
        <v>103</v>
      </c>
      <c r="BX728" s="31" t="s">
        <v>104</v>
      </c>
      <c r="BZ728" s="34"/>
    </row>
    <row r="729" spans="36:78" x14ac:dyDescent="0.2">
      <c r="AJ729" s="3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  <c r="AW729" s="49"/>
      <c r="AX729" s="33"/>
      <c r="AY729" s="24"/>
      <c r="AZ729" s="24"/>
      <c r="BA729" s="24"/>
      <c r="BB729" s="24"/>
      <c r="BC729" s="49"/>
      <c r="BD729" s="33"/>
      <c r="BE729" s="24"/>
      <c r="BF729" s="24"/>
      <c r="BG729" s="24"/>
      <c r="BT729" s="34"/>
      <c r="BU729" s="23" t="s">
        <v>412</v>
      </c>
      <c r="BV729" s="22">
        <v>0</v>
      </c>
      <c r="BW729" s="31" t="s">
        <v>106</v>
      </c>
      <c r="BX729" s="31">
        <f>SUM(BV729:BV753)</f>
        <v>3</v>
      </c>
      <c r="BZ729" s="34"/>
    </row>
    <row r="730" spans="36:78" x14ac:dyDescent="0.2">
      <c r="AJ730" s="3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49"/>
      <c r="AX730" s="33"/>
      <c r="AY730" s="24"/>
      <c r="AZ730" s="24"/>
      <c r="BA730" s="24"/>
      <c r="BB730" s="24"/>
      <c r="BC730" s="49"/>
      <c r="BD730" s="33"/>
      <c r="BE730" s="24"/>
      <c r="BF730" s="24"/>
      <c r="BG730" s="24"/>
      <c r="BT730" s="34"/>
      <c r="BU730" s="22" t="s">
        <v>244</v>
      </c>
      <c r="BV730" s="22">
        <v>0</v>
      </c>
      <c r="BW730" s="31" t="s">
        <v>115</v>
      </c>
      <c r="BX730" s="31">
        <f>MIN(BV729:BV753)</f>
        <v>0</v>
      </c>
      <c r="BZ730" s="34"/>
    </row>
    <row r="731" spans="36:78" x14ac:dyDescent="0.2">
      <c r="AJ731" s="3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49"/>
      <c r="AX731" s="33"/>
      <c r="AY731" s="24"/>
      <c r="AZ731" s="24"/>
      <c r="BA731" s="24"/>
      <c r="BB731" s="24"/>
      <c r="BC731" s="49"/>
      <c r="BD731" s="33"/>
      <c r="BE731" s="24"/>
      <c r="BF731" s="24"/>
      <c r="BG731" s="24"/>
      <c r="BT731" s="34"/>
      <c r="BU731" s="22" t="s">
        <v>119</v>
      </c>
      <c r="BV731" s="22">
        <v>0</v>
      </c>
      <c r="BW731" s="31" t="s">
        <v>122</v>
      </c>
      <c r="BX731" s="31">
        <f>MAX(BV729:BV753)</f>
        <v>1</v>
      </c>
      <c r="BZ731" s="34"/>
    </row>
    <row r="732" spans="36:78" x14ac:dyDescent="0.2">
      <c r="AJ732" s="3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49"/>
      <c r="AX732" s="33"/>
      <c r="AY732" s="24"/>
      <c r="AZ732" s="24"/>
      <c r="BA732" s="24"/>
      <c r="BB732" s="24"/>
      <c r="BC732" s="49"/>
      <c r="BD732" s="33"/>
      <c r="BE732" s="24"/>
      <c r="BF732" s="24"/>
      <c r="BG732" s="24"/>
      <c r="BT732" s="34"/>
      <c r="BU732" s="22" t="s">
        <v>413</v>
      </c>
      <c r="BV732" s="22">
        <v>0</v>
      </c>
      <c r="BW732" s="31" t="s">
        <v>129</v>
      </c>
      <c r="BX732" s="31">
        <f>VAR(BV729:BV753)</f>
        <v>0.11</v>
      </c>
      <c r="BZ732" s="34"/>
    </row>
    <row r="733" spans="36:78" x14ac:dyDescent="0.2">
      <c r="AJ733" s="3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  <c r="AW733" s="49"/>
      <c r="AX733" s="33"/>
      <c r="AY733" s="24"/>
      <c r="AZ733" s="24"/>
      <c r="BA733" s="24"/>
      <c r="BB733" s="24"/>
      <c r="BC733" s="49"/>
      <c r="BD733" s="33"/>
      <c r="BE733" s="24"/>
      <c r="BF733" s="24"/>
      <c r="BG733" s="24"/>
      <c r="BT733" s="34"/>
      <c r="BU733" s="22" t="s">
        <v>414</v>
      </c>
      <c r="BV733" s="22">
        <v>0</v>
      </c>
      <c r="BW733" s="31" t="s">
        <v>138</v>
      </c>
      <c r="BX733" s="31">
        <f>AVERAGE(BV729:BV753)</f>
        <v>0.12</v>
      </c>
      <c r="BZ733" s="34"/>
    </row>
    <row r="734" spans="36:78" x14ac:dyDescent="0.2">
      <c r="AJ734" s="3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  <c r="AW734" s="49"/>
      <c r="AX734" s="33"/>
      <c r="AY734" s="24"/>
      <c r="AZ734" s="24"/>
      <c r="BA734" s="24"/>
      <c r="BB734" s="24"/>
      <c r="BC734" s="49"/>
      <c r="BD734" s="33"/>
      <c r="BE734" s="24"/>
      <c r="BF734" s="24"/>
      <c r="BG734" s="24"/>
      <c r="BT734" s="34"/>
      <c r="BU734" s="22" t="s">
        <v>415</v>
      </c>
      <c r="BV734" s="22">
        <v>0</v>
      </c>
      <c r="BW734" s="31" t="s">
        <v>144</v>
      </c>
      <c r="BX734" s="31">
        <f>STDEV(BV729:BV753)</f>
        <v>0.33166247903553997</v>
      </c>
      <c r="BZ734" s="34"/>
    </row>
    <row r="735" spans="36:78" x14ac:dyDescent="0.2">
      <c r="AJ735" s="3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  <c r="AW735" s="49"/>
      <c r="AX735" s="33"/>
      <c r="AY735" s="24"/>
      <c r="AZ735" s="24"/>
      <c r="BA735" s="24"/>
      <c r="BB735" s="24"/>
      <c r="BC735" s="49"/>
      <c r="BD735" s="33"/>
      <c r="BE735" s="24"/>
      <c r="BF735" s="24"/>
      <c r="BG735" s="24"/>
      <c r="BT735" s="34"/>
      <c r="BU735" s="22" t="s">
        <v>416</v>
      </c>
      <c r="BV735" s="22">
        <v>0</v>
      </c>
      <c r="BW735" s="31"/>
      <c r="BX735" s="31"/>
      <c r="BZ735" s="34"/>
    </row>
    <row r="736" spans="36:78" x14ac:dyDescent="0.2">
      <c r="AJ736" s="3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  <c r="AW736" s="49"/>
      <c r="AX736" s="33"/>
      <c r="AY736" s="24"/>
      <c r="AZ736" s="24"/>
      <c r="BA736" s="24"/>
      <c r="BB736" s="24"/>
      <c r="BC736" s="49"/>
      <c r="BD736" s="33"/>
      <c r="BE736" s="24"/>
      <c r="BF736" s="24"/>
      <c r="BG736" s="24"/>
      <c r="BT736" s="34"/>
      <c r="BU736" s="22" t="s">
        <v>417</v>
      </c>
      <c r="BV736" s="22">
        <v>0</v>
      </c>
      <c r="BW736" s="31"/>
      <c r="BX736" s="31"/>
      <c r="BZ736" s="34"/>
    </row>
    <row r="737" spans="36:78" x14ac:dyDescent="0.2">
      <c r="AJ737" s="3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  <c r="AW737" s="49"/>
      <c r="AX737" s="33"/>
      <c r="AY737" s="24"/>
      <c r="AZ737" s="24"/>
      <c r="BA737" s="24"/>
      <c r="BB737" s="24"/>
      <c r="BC737" s="49"/>
      <c r="BD737" s="33"/>
      <c r="BE737" s="24"/>
      <c r="BF737" s="24"/>
      <c r="BG737" s="24"/>
      <c r="BT737" s="34"/>
      <c r="BU737" s="22" t="s">
        <v>418</v>
      </c>
      <c r="BV737" s="22">
        <v>0</v>
      </c>
      <c r="BW737" s="31"/>
      <c r="BX737" s="31"/>
      <c r="BZ737" s="34"/>
    </row>
    <row r="738" spans="36:78" x14ac:dyDescent="0.2">
      <c r="AJ738" s="3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  <c r="AW738" s="49"/>
      <c r="AX738" s="33"/>
      <c r="AY738" s="24"/>
      <c r="AZ738" s="24"/>
      <c r="BA738" s="24"/>
      <c r="BB738" s="24"/>
      <c r="BC738" s="49"/>
      <c r="BD738" s="33"/>
      <c r="BE738" s="24"/>
      <c r="BF738" s="24"/>
      <c r="BG738" s="24"/>
      <c r="BT738" s="34"/>
      <c r="BU738" s="22" t="s">
        <v>419</v>
      </c>
      <c r="BV738" s="22">
        <v>0</v>
      </c>
      <c r="BW738" s="31"/>
      <c r="BX738" s="31"/>
      <c r="BZ738" s="34"/>
    </row>
    <row r="739" spans="36:78" x14ac:dyDescent="0.2">
      <c r="AJ739" s="3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  <c r="AW739" s="49"/>
      <c r="AX739" s="33"/>
      <c r="AY739" s="24"/>
      <c r="AZ739" s="24"/>
      <c r="BA739" s="24"/>
      <c r="BB739" s="24"/>
      <c r="BC739" s="49"/>
      <c r="BD739" s="33"/>
      <c r="BE739" s="24"/>
      <c r="BF739" s="24"/>
      <c r="BG739" s="24"/>
      <c r="BT739" s="34"/>
      <c r="BU739" s="22" t="s">
        <v>420</v>
      </c>
      <c r="BV739" s="22">
        <v>0</v>
      </c>
      <c r="BW739" s="31"/>
      <c r="BX739" s="31"/>
      <c r="BZ739" s="34"/>
    </row>
    <row r="740" spans="36:78" x14ac:dyDescent="0.2">
      <c r="AJ740" s="3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  <c r="AW740" s="49"/>
      <c r="AX740" s="33"/>
      <c r="AY740" s="24"/>
      <c r="AZ740" s="24"/>
      <c r="BA740" s="24"/>
      <c r="BB740" s="24"/>
      <c r="BC740" s="49"/>
      <c r="BD740" s="33"/>
      <c r="BE740" s="24"/>
      <c r="BF740" s="24"/>
      <c r="BG740" s="24"/>
      <c r="BT740" s="34"/>
      <c r="BU740" s="22" t="s">
        <v>421</v>
      </c>
      <c r="BV740" s="22">
        <v>1</v>
      </c>
      <c r="BW740" s="31"/>
      <c r="BX740" s="31"/>
      <c r="BZ740" s="34"/>
    </row>
    <row r="741" spans="36:78" x14ac:dyDescent="0.2">
      <c r="AJ741" s="3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  <c r="AW741" s="49"/>
      <c r="AX741" s="33"/>
      <c r="AY741" s="24"/>
      <c r="AZ741" s="24"/>
      <c r="BA741" s="24"/>
      <c r="BB741" s="24"/>
      <c r="BC741" s="49"/>
      <c r="BD741" s="33"/>
      <c r="BE741" s="24"/>
      <c r="BF741" s="24"/>
      <c r="BG741" s="24"/>
      <c r="BT741" s="34"/>
      <c r="BU741" s="22" t="s">
        <v>422</v>
      </c>
      <c r="BV741" s="22">
        <v>0</v>
      </c>
      <c r="BW741" s="31"/>
      <c r="BX741" s="31"/>
      <c r="BZ741" s="34"/>
    </row>
    <row r="742" spans="36:78" x14ac:dyDescent="0.2">
      <c r="AJ742" s="3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  <c r="AW742" s="49"/>
      <c r="AX742" s="33"/>
      <c r="AY742" s="24"/>
      <c r="AZ742" s="24"/>
      <c r="BA742" s="24"/>
      <c r="BB742" s="24"/>
      <c r="BC742" s="49"/>
      <c r="BD742" s="33"/>
      <c r="BE742" s="24"/>
      <c r="BF742" s="24"/>
      <c r="BG742" s="24"/>
      <c r="BT742" s="34"/>
      <c r="BU742" s="23" t="s">
        <v>423</v>
      </c>
      <c r="BV742" s="22">
        <v>0</v>
      </c>
      <c r="BW742" s="31"/>
      <c r="BX742" s="31"/>
      <c r="BZ742" s="34"/>
    </row>
    <row r="743" spans="36:78" x14ac:dyDescent="0.2">
      <c r="AJ743" s="3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  <c r="AW743" s="49"/>
      <c r="AX743" s="33"/>
      <c r="AY743" s="24"/>
      <c r="AZ743" s="24"/>
      <c r="BA743" s="24"/>
      <c r="BB743" s="24"/>
      <c r="BC743" s="49"/>
      <c r="BD743" s="33"/>
      <c r="BE743" s="24"/>
      <c r="BF743" s="24"/>
      <c r="BG743" s="24"/>
      <c r="BT743" s="34"/>
      <c r="BU743" s="22" t="s">
        <v>424</v>
      </c>
      <c r="BV743" s="22">
        <v>0</v>
      </c>
      <c r="BW743" s="31"/>
      <c r="BX743" s="31"/>
      <c r="BZ743" s="34"/>
    </row>
    <row r="744" spans="36:78" x14ac:dyDescent="0.2">
      <c r="AJ744" s="3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  <c r="AW744" s="49"/>
      <c r="AX744" s="33"/>
      <c r="AY744" s="24"/>
      <c r="AZ744" s="24"/>
      <c r="BA744" s="24"/>
      <c r="BB744" s="24"/>
      <c r="BC744" s="49"/>
      <c r="BD744" s="33"/>
      <c r="BE744" s="24"/>
      <c r="BF744" s="24"/>
      <c r="BG744" s="24"/>
      <c r="BT744" s="34"/>
      <c r="BU744" s="23" t="s">
        <v>425</v>
      </c>
      <c r="BV744" s="22">
        <v>0</v>
      </c>
      <c r="BW744" s="31"/>
      <c r="BX744" s="31"/>
      <c r="BZ744" s="34"/>
    </row>
    <row r="745" spans="36:78" x14ac:dyDescent="0.2">
      <c r="AJ745" s="3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  <c r="AW745" s="49"/>
      <c r="AX745" s="33"/>
      <c r="AY745" s="24"/>
      <c r="AZ745" s="24"/>
      <c r="BA745" s="24"/>
      <c r="BB745" s="24"/>
      <c r="BC745" s="49"/>
      <c r="BD745" s="33"/>
      <c r="BE745" s="24"/>
      <c r="BF745" s="24"/>
      <c r="BG745" s="24"/>
      <c r="BT745" s="34"/>
      <c r="BU745" s="23" t="s">
        <v>426</v>
      </c>
      <c r="BV745" s="22">
        <v>0</v>
      </c>
      <c r="BW745" s="31"/>
      <c r="BX745" s="31"/>
      <c r="BZ745" s="34"/>
    </row>
    <row r="746" spans="36:78" x14ac:dyDescent="0.2">
      <c r="AJ746" s="3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  <c r="AW746" s="49"/>
      <c r="AX746" s="33"/>
      <c r="AY746" s="24"/>
      <c r="AZ746" s="24"/>
      <c r="BA746" s="24"/>
      <c r="BB746" s="24"/>
      <c r="BC746" s="49"/>
      <c r="BD746" s="33"/>
      <c r="BE746" s="24"/>
      <c r="BF746" s="24"/>
      <c r="BG746" s="24"/>
      <c r="BT746" s="34"/>
      <c r="BU746" s="23" t="s">
        <v>427</v>
      </c>
      <c r="BV746" s="22">
        <v>0</v>
      </c>
      <c r="BW746" s="31"/>
      <c r="BX746" s="31"/>
      <c r="BZ746" s="34"/>
    </row>
    <row r="747" spans="36:78" x14ac:dyDescent="0.2">
      <c r="AJ747" s="3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  <c r="AW747" s="49"/>
      <c r="AX747" s="33"/>
      <c r="AY747" s="24"/>
      <c r="AZ747" s="24"/>
      <c r="BA747" s="24"/>
      <c r="BB747" s="24"/>
      <c r="BC747" s="49"/>
      <c r="BD747" s="33"/>
      <c r="BE747" s="24"/>
      <c r="BF747" s="24"/>
      <c r="BG747" s="24"/>
      <c r="BT747" s="34"/>
      <c r="BU747" s="23" t="s">
        <v>428</v>
      </c>
      <c r="BV747" s="22">
        <v>0</v>
      </c>
      <c r="BW747" s="31"/>
      <c r="BX747" s="31"/>
      <c r="BZ747" s="34"/>
    </row>
    <row r="748" spans="36:78" x14ac:dyDescent="0.2"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  <c r="AW748" s="49"/>
      <c r="AX748" s="33"/>
      <c r="AY748" s="24"/>
      <c r="AZ748" s="24"/>
      <c r="BA748" s="24"/>
      <c r="BB748" s="24"/>
      <c r="BC748" s="49"/>
      <c r="BD748" s="33"/>
      <c r="BE748" s="24"/>
      <c r="BF748" s="24"/>
      <c r="BG748" s="24"/>
      <c r="BT748" s="34"/>
      <c r="BU748" s="23" t="s">
        <v>429</v>
      </c>
      <c r="BV748" s="22">
        <v>0</v>
      </c>
      <c r="BW748" s="31"/>
      <c r="BX748" s="31"/>
      <c r="BZ748" s="34"/>
    </row>
    <row r="749" spans="36:78" x14ac:dyDescent="0.2"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  <c r="AW749" s="49"/>
      <c r="AX749" s="33"/>
      <c r="AY749" s="24"/>
      <c r="AZ749" s="24"/>
      <c r="BA749" s="24"/>
      <c r="BB749" s="24"/>
      <c r="BC749" s="49"/>
      <c r="BD749" s="33"/>
      <c r="BE749" s="24"/>
      <c r="BF749" s="24"/>
      <c r="BG749" s="24"/>
      <c r="BT749" s="34"/>
      <c r="BU749" s="23" t="s">
        <v>430</v>
      </c>
      <c r="BV749" s="22">
        <v>1</v>
      </c>
      <c r="BW749" s="31"/>
      <c r="BX749" s="31"/>
      <c r="BZ749" s="34"/>
    </row>
    <row r="750" spans="36:78" x14ac:dyDescent="0.2"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  <c r="AW750" s="49"/>
      <c r="AX750" s="33"/>
      <c r="AY750" s="24"/>
      <c r="AZ750" s="24"/>
      <c r="BA750" s="24"/>
      <c r="BB750" s="24"/>
      <c r="BC750" s="49"/>
      <c r="BD750" s="33"/>
      <c r="BE750" s="24"/>
      <c r="BF750" s="24"/>
      <c r="BG750" s="24"/>
      <c r="BT750" s="34"/>
      <c r="BU750" s="23" t="s">
        <v>431</v>
      </c>
      <c r="BV750" s="22">
        <v>0</v>
      </c>
      <c r="BW750" s="31"/>
      <c r="BX750" s="31"/>
      <c r="BZ750" s="34"/>
    </row>
    <row r="751" spans="36:78" x14ac:dyDescent="0.2"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  <c r="AW751" s="49"/>
      <c r="AX751" s="33"/>
      <c r="AY751" s="24"/>
      <c r="AZ751" s="24"/>
      <c r="BA751" s="24"/>
      <c r="BB751" s="24"/>
      <c r="BC751" s="49"/>
      <c r="BD751" s="33"/>
      <c r="BE751" s="24"/>
      <c r="BF751" s="24"/>
      <c r="BG751" s="24"/>
      <c r="BT751" s="34"/>
      <c r="BU751" s="23" t="s">
        <v>432</v>
      </c>
      <c r="BV751" s="22">
        <v>0</v>
      </c>
      <c r="BW751" s="31"/>
      <c r="BX751" s="31"/>
      <c r="BZ751" s="34"/>
    </row>
    <row r="752" spans="36:78" x14ac:dyDescent="0.2"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  <c r="AW752" s="25"/>
      <c r="AX752" s="33"/>
      <c r="AY752" s="24"/>
      <c r="AZ752" s="24"/>
      <c r="BA752" s="24"/>
      <c r="BB752" s="24"/>
      <c r="BC752" s="25"/>
      <c r="BD752" s="33"/>
      <c r="BE752" s="24"/>
      <c r="BF752" s="24"/>
      <c r="BG752" s="24"/>
      <c r="BT752" s="34"/>
      <c r="BU752" s="23" t="s">
        <v>433</v>
      </c>
      <c r="BV752" s="22">
        <v>0</v>
      </c>
      <c r="BW752" s="31"/>
      <c r="BX752" s="31"/>
      <c r="BZ752" s="34"/>
    </row>
    <row r="753" spans="37:78" x14ac:dyDescent="0.2"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  <c r="AW753" s="25"/>
      <c r="AX753" s="33"/>
      <c r="AY753" s="24"/>
      <c r="AZ753" s="24"/>
      <c r="BA753" s="24"/>
      <c r="BB753" s="24"/>
      <c r="BC753" s="25"/>
      <c r="BD753" s="33"/>
      <c r="BE753" s="24"/>
      <c r="BF753" s="24"/>
      <c r="BG753" s="24"/>
      <c r="BT753" s="34"/>
      <c r="BU753" s="23" t="s">
        <v>434</v>
      </c>
      <c r="BV753" s="22">
        <v>1</v>
      </c>
      <c r="BW753" s="31"/>
      <c r="BX753" s="31"/>
      <c r="BZ753" s="34"/>
    </row>
    <row r="754" spans="37:78" x14ac:dyDescent="0.2"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  <c r="AW754" s="25"/>
      <c r="AX754" s="33"/>
      <c r="AY754" s="24"/>
      <c r="AZ754" s="24"/>
      <c r="BA754" s="24"/>
      <c r="BB754" s="24"/>
      <c r="BC754" s="25"/>
      <c r="BD754" s="33"/>
      <c r="BE754" s="24"/>
      <c r="BF754" s="24"/>
      <c r="BG754" s="24"/>
      <c r="BT754" s="34"/>
      <c r="BU754" s="34"/>
      <c r="BV754" s="34"/>
      <c r="BW754" s="34"/>
      <c r="BX754" s="34"/>
      <c r="BY754" s="34"/>
      <c r="BZ754" s="34"/>
    </row>
    <row r="755" spans="37:78" x14ac:dyDescent="0.2"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  <c r="AW755" s="25"/>
      <c r="AX755" s="33"/>
      <c r="AY755" s="24"/>
      <c r="AZ755" s="24"/>
      <c r="BA755" s="24"/>
      <c r="BB755" s="24"/>
      <c r="BC755" s="25"/>
      <c r="BD755" s="33"/>
      <c r="BE755" s="24"/>
      <c r="BF755" s="24"/>
      <c r="BG755" s="24"/>
      <c r="BT755" s="34"/>
      <c r="BU755" s="19" t="s">
        <v>100</v>
      </c>
      <c r="BV755" s="35" t="s">
        <v>61</v>
      </c>
      <c r="BZ755" s="34"/>
    </row>
    <row r="756" spans="37:78" x14ac:dyDescent="0.2"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  <c r="AW756" s="25"/>
      <c r="AX756" s="33"/>
      <c r="AY756" s="24"/>
      <c r="AZ756" s="24"/>
      <c r="BA756" s="24"/>
      <c r="BB756" s="24"/>
      <c r="BC756" s="25"/>
      <c r="BD756" s="33"/>
      <c r="BE756" s="24"/>
      <c r="BF756" s="24"/>
      <c r="BG756" s="24"/>
      <c r="BT756" s="34"/>
      <c r="BV756" s="12" t="s">
        <v>68</v>
      </c>
      <c r="BZ756" s="34"/>
    </row>
    <row r="757" spans="37:78" x14ac:dyDescent="0.2"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  <c r="AW757" s="25"/>
      <c r="AX757" s="33"/>
      <c r="AY757" s="24"/>
      <c r="AZ757" s="24"/>
      <c r="BA757" s="24"/>
      <c r="BB757" s="24"/>
      <c r="BC757" s="25"/>
      <c r="BD757" s="33"/>
      <c r="BE757" s="24"/>
      <c r="BF757" s="24"/>
      <c r="BG757" s="24"/>
      <c r="BT757" s="34"/>
      <c r="BU757" s="31" t="s">
        <v>102</v>
      </c>
      <c r="BV757" s="31" t="s">
        <v>71</v>
      </c>
      <c r="BW757" s="31" t="s">
        <v>103</v>
      </c>
      <c r="BX757" s="31" t="s">
        <v>104</v>
      </c>
      <c r="BZ757" s="34"/>
    </row>
    <row r="758" spans="37:78" x14ac:dyDescent="0.2"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  <c r="AW758" s="25"/>
      <c r="AX758" s="33"/>
      <c r="AY758" s="24"/>
      <c r="AZ758" s="24"/>
      <c r="BA758" s="24"/>
      <c r="BB758" s="24"/>
      <c r="BC758" s="25"/>
      <c r="BD758" s="33"/>
      <c r="BE758" s="24"/>
      <c r="BF758" s="24"/>
      <c r="BG758" s="24"/>
      <c r="BT758" s="34"/>
      <c r="BU758" s="23" t="s">
        <v>412</v>
      </c>
      <c r="BV758" s="22">
        <v>0</v>
      </c>
      <c r="BW758" s="31" t="s">
        <v>106</v>
      </c>
      <c r="BX758" s="31">
        <f>SUM(BV758:BV782)</f>
        <v>1</v>
      </c>
      <c r="BZ758" s="34"/>
    </row>
    <row r="759" spans="37:78" x14ac:dyDescent="0.2"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  <c r="AW759" s="25"/>
      <c r="AX759" s="33"/>
      <c r="AY759" s="24"/>
      <c r="AZ759" s="24"/>
      <c r="BA759" s="24"/>
      <c r="BB759" s="24"/>
      <c r="BC759" s="25"/>
      <c r="BD759" s="33"/>
      <c r="BE759" s="24"/>
      <c r="BF759" s="24"/>
      <c r="BG759" s="24"/>
      <c r="BT759" s="34"/>
      <c r="BU759" s="22" t="s">
        <v>244</v>
      </c>
      <c r="BV759" s="22">
        <v>0</v>
      </c>
      <c r="BW759" s="31" t="s">
        <v>115</v>
      </c>
      <c r="BX759" s="31">
        <f>MIN(BV758:BV782)</f>
        <v>0</v>
      </c>
      <c r="BZ759" s="34"/>
    </row>
    <row r="760" spans="37:78" x14ac:dyDescent="0.2"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  <c r="AW760" s="25"/>
      <c r="AX760" s="33"/>
      <c r="AY760" s="24"/>
      <c r="AZ760" s="24"/>
      <c r="BA760" s="24"/>
      <c r="BB760" s="24"/>
      <c r="BC760" s="25"/>
      <c r="BD760" s="33"/>
      <c r="BE760" s="24"/>
      <c r="BF760" s="24"/>
      <c r="BG760" s="24"/>
      <c r="BT760" s="34"/>
      <c r="BU760" s="22" t="s">
        <v>119</v>
      </c>
      <c r="BV760" s="22">
        <v>0</v>
      </c>
      <c r="BW760" s="31" t="s">
        <v>122</v>
      </c>
      <c r="BX760" s="31">
        <f>MAX(BV758:BV782)</f>
        <v>1</v>
      </c>
      <c r="BZ760" s="34"/>
    </row>
    <row r="761" spans="37:78" x14ac:dyDescent="0.2"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  <c r="AW761" s="25"/>
      <c r="AX761" s="33"/>
      <c r="AY761" s="24"/>
      <c r="AZ761" s="24"/>
      <c r="BA761" s="24"/>
      <c r="BB761" s="24"/>
      <c r="BC761" s="25"/>
      <c r="BD761" s="33"/>
      <c r="BE761" s="24"/>
      <c r="BF761" s="24"/>
      <c r="BG761" s="24"/>
      <c r="BT761" s="34"/>
      <c r="BU761" s="22" t="s">
        <v>413</v>
      </c>
      <c r="BV761" s="22">
        <v>0</v>
      </c>
      <c r="BW761" s="31" t="s">
        <v>129</v>
      </c>
      <c r="BX761" s="31">
        <f>VAR(BV758:BV782)</f>
        <v>0.04</v>
      </c>
      <c r="BZ761" s="34"/>
    </row>
    <row r="762" spans="37:78" x14ac:dyDescent="0.2"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  <c r="AW762" s="25"/>
      <c r="AX762" s="33"/>
      <c r="AY762" s="24"/>
      <c r="AZ762" s="24"/>
      <c r="BA762" s="24"/>
      <c r="BB762" s="24"/>
      <c r="BC762" s="25"/>
      <c r="BD762" s="33"/>
      <c r="BE762" s="24"/>
      <c r="BF762" s="24"/>
      <c r="BG762" s="24"/>
      <c r="BT762" s="34"/>
      <c r="BU762" s="22" t="s">
        <v>414</v>
      </c>
      <c r="BV762" s="22">
        <v>0</v>
      </c>
      <c r="BW762" s="31" t="s">
        <v>138</v>
      </c>
      <c r="BX762" s="31">
        <f>AVERAGE(BV758:BV782)</f>
        <v>0.04</v>
      </c>
      <c r="BZ762" s="34"/>
    </row>
    <row r="763" spans="37:78" x14ac:dyDescent="0.2"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  <c r="AW763" s="25"/>
      <c r="AX763" s="33"/>
      <c r="AY763" s="24"/>
      <c r="AZ763" s="24"/>
      <c r="BA763" s="24"/>
      <c r="BB763" s="24"/>
      <c r="BC763" s="25"/>
      <c r="BD763" s="33"/>
      <c r="BE763" s="24"/>
      <c r="BF763" s="24"/>
      <c r="BG763" s="24"/>
      <c r="BT763" s="34"/>
      <c r="BU763" s="22" t="s">
        <v>415</v>
      </c>
      <c r="BV763" s="22">
        <v>0</v>
      </c>
      <c r="BW763" s="31" t="s">
        <v>144</v>
      </c>
      <c r="BX763" s="31">
        <f>STDEV(BV758:BV782)</f>
        <v>0.2</v>
      </c>
      <c r="BZ763" s="34"/>
    </row>
    <row r="764" spans="37:78" x14ac:dyDescent="0.2"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  <c r="AW764" s="25"/>
      <c r="AX764" s="33"/>
      <c r="AY764" s="24"/>
      <c r="AZ764" s="24"/>
      <c r="BA764" s="24"/>
      <c r="BB764" s="24"/>
      <c r="BC764" s="25"/>
      <c r="BD764" s="33"/>
      <c r="BE764" s="24"/>
      <c r="BF764" s="24"/>
      <c r="BG764" s="24"/>
      <c r="BT764" s="34"/>
      <c r="BU764" s="22" t="s">
        <v>416</v>
      </c>
      <c r="BV764" s="22">
        <v>0</v>
      </c>
      <c r="BW764" s="31"/>
      <c r="BX764" s="31"/>
      <c r="BZ764" s="34"/>
    </row>
    <row r="765" spans="37:78" x14ac:dyDescent="0.2"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  <c r="AW765" s="25"/>
      <c r="AX765" s="33"/>
      <c r="AY765" s="24"/>
      <c r="AZ765" s="24"/>
      <c r="BA765" s="24"/>
      <c r="BB765" s="24"/>
      <c r="BC765" s="25"/>
      <c r="BD765" s="33"/>
      <c r="BE765" s="24"/>
      <c r="BF765" s="24"/>
      <c r="BG765" s="24"/>
      <c r="BT765" s="34"/>
      <c r="BU765" s="22" t="s">
        <v>417</v>
      </c>
      <c r="BV765" s="22">
        <v>0</v>
      </c>
      <c r="BW765" s="31"/>
      <c r="BX765" s="31"/>
      <c r="BZ765" s="34"/>
    </row>
    <row r="766" spans="37:78" x14ac:dyDescent="0.2"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  <c r="AW766" s="25"/>
      <c r="AX766" s="33"/>
      <c r="AY766" s="24"/>
      <c r="AZ766" s="24"/>
      <c r="BA766" s="24"/>
      <c r="BB766" s="24"/>
      <c r="BC766" s="25"/>
      <c r="BD766" s="33"/>
      <c r="BE766" s="24"/>
      <c r="BF766" s="24"/>
      <c r="BG766" s="24"/>
      <c r="BT766" s="34"/>
      <c r="BU766" s="22" t="s">
        <v>418</v>
      </c>
      <c r="BV766" s="22">
        <v>0</v>
      </c>
      <c r="BW766" s="31"/>
      <c r="BX766" s="31"/>
      <c r="BZ766" s="34"/>
    </row>
    <row r="767" spans="37:78" x14ac:dyDescent="0.2"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  <c r="AW767" s="25"/>
      <c r="AX767" s="33"/>
      <c r="AY767" s="24"/>
      <c r="AZ767" s="24"/>
      <c r="BA767" s="24"/>
      <c r="BB767" s="24"/>
      <c r="BC767" s="25"/>
      <c r="BD767" s="33"/>
      <c r="BE767" s="24"/>
      <c r="BF767" s="24"/>
      <c r="BG767" s="24"/>
      <c r="BT767" s="34"/>
      <c r="BU767" s="22" t="s">
        <v>419</v>
      </c>
      <c r="BV767" s="22">
        <v>0</v>
      </c>
      <c r="BW767" s="31"/>
      <c r="BX767" s="31"/>
      <c r="BZ767" s="34"/>
    </row>
    <row r="768" spans="37:78" x14ac:dyDescent="0.2"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  <c r="AW768" s="25"/>
      <c r="AX768" s="33"/>
      <c r="AY768" s="24"/>
      <c r="AZ768" s="24"/>
      <c r="BA768" s="24"/>
      <c r="BB768" s="24"/>
      <c r="BC768" s="25"/>
      <c r="BD768" s="33"/>
      <c r="BE768" s="24"/>
      <c r="BF768" s="24"/>
      <c r="BG768" s="24"/>
      <c r="BT768" s="34"/>
      <c r="BU768" s="22" t="s">
        <v>420</v>
      </c>
      <c r="BV768" s="22">
        <v>0</v>
      </c>
      <c r="BW768" s="31"/>
      <c r="BX768" s="31"/>
      <c r="BZ768" s="34"/>
    </row>
    <row r="769" spans="37:78" x14ac:dyDescent="0.2"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  <c r="AW769" s="25"/>
      <c r="AX769" s="33"/>
      <c r="AY769" s="24"/>
      <c r="AZ769" s="24"/>
      <c r="BA769" s="24"/>
      <c r="BB769" s="24"/>
      <c r="BC769" s="25"/>
      <c r="BD769" s="33"/>
      <c r="BE769" s="24"/>
      <c r="BF769" s="24"/>
      <c r="BG769" s="24"/>
      <c r="BT769" s="34"/>
      <c r="BU769" s="22" t="s">
        <v>421</v>
      </c>
      <c r="BV769" s="22">
        <v>0</v>
      </c>
      <c r="BW769" s="31"/>
      <c r="BX769" s="31"/>
      <c r="BZ769" s="34"/>
    </row>
    <row r="770" spans="37:78" x14ac:dyDescent="0.2"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  <c r="AW770" s="25"/>
      <c r="AX770" s="33"/>
      <c r="AY770" s="24"/>
      <c r="AZ770" s="24"/>
      <c r="BA770" s="24"/>
      <c r="BB770" s="24"/>
      <c r="BC770" s="25"/>
      <c r="BD770" s="33"/>
      <c r="BE770" s="24"/>
      <c r="BF770" s="24"/>
      <c r="BG770" s="24"/>
      <c r="BT770" s="34"/>
      <c r="BU770" s="22" t="s">
        <v>422</v>
      </c>
      <c r="BV770" s="22">
        <v>0</v>
      </c>
      <c r="BW770" s="31"/>
      <c r="BX770" s="31"/>
      <c r="BZ770" s="34"/>
    </row>
    <row r="771" spans="37:78" x14ac:dyDescent="0.2"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  <c r="AW771" s="25"/>
      <c r="AX771" s="33"/>
      <c r="AY771" s="24"/>
      <c r="AZ771" s="24"/>
      <c r="BA771" s="24"/>
      <c r="BB771" s="24"/>
      <c r="BC771" s="25"/>
      <c r="BD771" s="33"/>
      <c r="BE771" s="24"/>
      <c r="BF771" s="24"/>
      <c r="BG771" s="24"/>
      <c r="BT771" s="34"/>
      <c r="BU771" s="23" t="s">
        <v>423</v>
      </c>
      <c r="BV771" s="22">
        <v>0</v>
      </c>
      <c r="BW771" s="31"/>
      <c r="BX771" s="31"/>
      <c r="BZ771" s="34"/>
    </row>
    <row r="772" spans="37:78" x14ac:dyDescent="0.2"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  <c r="AW772" s="25"/>
      <c r="AX772" s="33"/>
      <c r="AY772" s="24"/>
      <c r="AZ772" s="24"/>
      <c r="BA772" s="24"/>
      <c r="BB772" s="24"/>
      <c r="BC772" s="25"/>
      <c r="BD772" s="33"/>
      <c r="BE772" s="24"/>
      <c r="BF772" s="24"/>
      <c r="BG772" s="24"/>
      <c r="BT772" s="34"/>
      <c r="BU772" s="22" t="s">
        <v>424</v>
      </c>
      <c r="BV772" s="22">
        <v>0</v>
      </c>
      <c r="BW772" s="31"/>
      <c r="BX772" s="31"/>
      <c r="BZ772" s="34"/>
    </row>
    <row r="773" spans="37:78" x14ac:dyDescent="0.2"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  <c r="AW773" s="25"/>
      <c r="AX773" s="33"/>
      <c r="AY773" s="24"/>
      <c r="AZ773" s="24"/>
      <c r="BA773" s="24"/>
      <c r="BB773" s="24"/>
      <c r="BC773" s="25"/>
      <c r="BD773" s="33"/>
      <c r="BE773" s="24"/>
      <c r="BF773" s="24"/>
      <c r="BG773" s="24"/>
      <c r="BT773" s="34"/>
      <c r="BU773" s="23" t="s">
        <v>425</v>
      </c>
      <c r="BV773" s="22">
        <v>0</v>
      </c>
      <c r="BW773" s="31"/>
      <c r="BX773" s="31"/>
      <c r="BZ773" s="34"/>
    </row>
    <row r="774" spans="37:78" x14ac:dyDescent="0.2"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  <c r="AW774" s="25"/>
      <c r="AX774" s="33"/>
      <c r="AY774" s="24"/>
      <c r="AZ774" s="24"/>
      <c r="BA774" s="24"/>
      <c r="BB774" s="24"/>
      <c r="BC774" s="25"/>
      <c r="BD774" s="33"/>
      <c r="BE774" s="24"/>
      <c r="BF774" s="24"/>
      <c r="BG774" s="24"/>
      <c r="BT774" s="34"/>
      <c r="BU774" s="23" t="s">
        <v>426</v>
      </c>
      <c r="BV774" s="22">
        <v>0</v>
      </c>
      <c r="BW774" s="31"/>
      <c r="BX774" s="31"/>
      <c r="BZ774" s="34"/>
    </row>
    <row r="775" spans="37:78" x14ac:dyDescent="0.2"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  <c r="AW775" s="25"/>
      <c r="AX775" s="33"/>
      <c r="AY775" s="24"/>
      <c r="AZ775" s="24"/>
      <c r="BA775" s="24"/>
      <c r="BB775" s="24"/>
      <c r="BC775" s="25"/>
      <c r="BD775" s="33"/>
      <c r="BE775" s="24"/>
      <c r="BF775" s="24"/>
      <c r="BG775" s="24"/>
      <c r="BT775" s="34"/>
      <c r="BU775" s="23" t="s">
        <v>427</v>
      </c>
      <c r="BV775" s="22">
        <v>0</v>
      </c>
      <c r="BW775" s="31"/>
      <c r="BX775" s="31"/>
      <c r="BZ775" s="34"/>
    </row>
    <row r="776" spans="37:78" x14ac:dyDescent="0.2"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  <c r="AW776" s="25"/>
      <c r="AX776" s="33"/>
      <c r="AY776" s="24"/>
      <c r="AZ776" s="24"/>
      <c r="BA776" s="24"/>
      <c r="BB776" s="24"/>
      <c r="BC776" s="25"/>
      <c r="BD776" s="33"/>
      <c r="BE776" s="24"/>
      <c r="BF776" s="24"/>
      <c r="BG776" s="24"/>
      <c r="BT776" s="34"/>
      <c r="BU776" s="23" t="s">
        <v>428</v>
      </c>
      <c r="BV776" s="22">
        <v>0</v>
      </c>
      <c r="BW776" s="31"/>
      <c r="BX776" s="31"/>
      <c r="BZ776" s="34"/>
    </row>
    <row r="777" spans="37:78" x14ac:dyDescent="0.2"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  <c r="AW777" s="25"/>
      <c r="AX777" s="33"/>
      <c r="AY777" s="24"/>
      <c r="AZ777" s="24"/>
      <c r="BA777" s="24"/>
      <c r="BB777" s="24"/>
      <c r="BC777" s="25"/>
      <c r="BD777" s="33"/>
      <c r="BE777" s="24"/>
      <c r="BF777" s="24"/>
      <c r="BG777" s="24"/>
      <c r="BT777" s="34"/>
      <c r="BU777" s="23" t="s">
        <v>429</v>
      </c>
      <c r="BV777" s="22">
        <v>0</v>
      </c>
      <c r="BW777" s="31"/>
      <c r="BX777" s="31"/>
      <c r="BZ777" s="34"/>
    </row>
    <row r="778" spans="37:78" x14ac:dyDescent="0.2"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  <c r="AW778" s="25"/>
      <c r="AX778" s="33"/>
      <c r="AY778" s="24"/>
      <c r="AZ778" s="24"/>
      <c r="BA778" s="24"/>
      <c r="BB778" s="24"/>
      <c r="BC778" s="25"/>
      <c r="BD778" s="33"/>
      <c r="BE778" s="24"/>
      <c r="BF778" s="24"/>
      <c r="BG778" s="24"/>
      <c r="BT778" s="34"/>
      <c r="BU778" s="23" t="s">
        <v>430</v>
      </c>
      <c r="BV778" s="22">
        <v>0</v>
      </c>
      <c r="BW778" s="31"/>
      <c r="BX778" s="31"/>
      <c r="BZ778" s="34"/>
    </row>
    <row r="779" spans="37:78" x14ac:dyDescent="0.2"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  <c r="AW779" s="25"/>
      <c r="AX779" s="33"/>
      <c r="AY779" s="24"/>
      <c r="AZ779" s="24"/>
      <c r="BA779" s="24"/>
      <c r="BB779" s="24"/>
      <c r="BC779" s="25"/>
      <c r="BD779" s="33"/>
      <c r="BE779" s="24"/>
      <c r="BF779" s="24"/>
      <c r="BG779" s="24"/>
      <c r="BT779" s="34"/>
      <c r="BU779" s="23" t="s">
        <v>431</v>
      </c>
      <c r="BV779" s="22">
        <v>0</v>
      </c>
      <c r="BW779" s="31"/>
      <c r="BX779" s="31"/>
      <c r="BZ779" s="34"/>
    </row>
    <row r="780" spans="37:78" x14ac:dyDescent="0.2"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  <c r="AW780" s="25"/>
      <c r="AX780" s="33"/>
      <c r="AY780" s="24"/>
      <c r="AZ780" s="24"/>
      <c r="BA780" s="24"/>
      <c r="BB780" s="24"/>
      <c r="BC780" s="25"/>
      <c r="BD780" s="33"/>
      <c r="BE780" s="24"/>
      <c r="BF780" s="24"/>
      <c r="BG780" s="24"/>
      <c r="BT780" s="34"/>
      <c r="BU780" s="23" t="s">
        <v>432</v>
      </c>
      <c r="BV780" s="22">
        <v>0</v>
      </c>
      <c r="BW780" s="31"/>
      <c r="BX780" s="31"/>
      <c r="BZ780" s="34"/>
    </row>
    <row r="781" spans="37:78" x14ac:dyDescent="0.2"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  <c r="AW781" s="24"/>
      <c r="AX781" s="24"/>
      <c r="AY781" s="24"/>
      <c r="AZ781" s="24"/>
      <c r="BA781" s="24"/>
      <c r="BB781" s="24"/>
      <c r="BC781" s="24"/>
      <c r="BD781" s="24"/>
      <c r="BE781" s="24"/>
      <c r="BF781" s="24"/>
      <c r="BG781" s="24"/>
      <c r="BT781" s="34"/>
      <c r="BU781" s="23" t="s">
        <v>433</v>
      </c>
      <c r="BV781" s="22">
        <v>1</v>
      </c>
      <c r="BW781" s="31"/>
      <c r="BX781" s="31"/>
      <c r="BZ781" s="34"/>
    </row>
    <row r="782" spans="37:78" x14ac:dyDescent="0.2"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  <c r="AW782" s="24"/>
      <c r="AX782" s="24"/>
      <c r="AY782" s="24"/>
      <c r="AZ782" s="24"/>
      <c r="BA782" s="24"/>
      <c r="BB782" s="24"/>
      <c r="BC782" s="24"/>
      <c r="BD782" s="24"/>
      <c r="BE782" s="24"/>
      <c r="BF782" s="24"/>
      <c r="BG782" s="24"/>
      <c r="BT782" s="34"/>
      <c r="BU782" s="23" t="s">
        <v>434</v>
      </c>
      <c r="BV782" s="22">
        <v>0</v>
      </c>
      <c r="BW782" s="31"/>
      <c r="BX782" s="31"/>
      <c r="BZ782" s="34"/>
    </row>
    <row r="783" spans="37:78" x14ac:dyDescent="0.2"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  <c r="AW783" s="33"/>
      <c r="AX783" s="24"/>
      <c r="AY783" s="24"/>
      <c r="AZ783" s="24"/>
      <c r="BA783" s="24"/>
      <c r="BB783" s="24"/>
      <c r="BC783" s="33"/>
      <c r="BD783" s="24"/>
      <c r="BE783" s="24"/>
      <c r="BF783" s="24"/>
      <c r="BG783" s="24"/>
      <c r="BT783" s="34"/>
      <c r="BU783" s="34"/>
      <c r="BV783" s="34"/>
      <c r="BW783" s="34"/>
      <c r="BX783" s="34"/>
      <c r="BY783" s="34"/>
      <c r="BZ783" s="34"/>
    </row>
    <row r="784" spans="37:78" x14ac:dyDescent="0.2"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  <c r="AW784" s="33"/>
      <c r="AX784" s="33"/>
      <c r="AY784" s="33"/>
      <c r="AZ784" s="33"/>
      <c r="BA784" s="24"/>
      <c r="BB784" s="24"/>
      <c r="BC784" s="33"/>
      <c r="BD784" s="33"/>
      <c r="BE784" s="33"/>
      <c r="BF784" s="33"/>
      <c r="BG784" s="24"/>
      <c r="BT784" s="34"/>
      <c r="BU784" s="19" t="s">
        <v>100</v>
      </c>
      <c r="BV784" s="35" t="s">
        <v>61</v>
      </c>
      <c r="BZ784" s="34"/>
    </row>
    <row r="785" spans="37:78" x14ac:dyDescent="0.2"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  <c r="AW785" s="49"/>
      <c r="AX785" s="33"/>
      <c r="AY785" s="33"/>
      <c r="AZ785" s="33"/>
      <c r="BA785" s="24"/>
      <c r="BB785" s="24"/>
      <c r="BC785" s="49"/>
      <c r="BD785" s="33"/>
      <c r="BE785" s="33"/>
      <c r="BF785" s="33"/>
      <c r="BG785" s="24"/>
      <c r="BT785" s="34"/>
      <c r="BV785" s="12" t="s">
        <v>33</v>
      </c>
      <c r="BZ785" s="34"/>
    </row>
    <row r="786" spans="37:78" x14ac:dyDescent="0.2"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  <c r="AW786" s="49"/>
      <c r="AX786" s="33"/>
      <c r="AY786" s="33"/>
      <c r="AZ786" s="33"/>
      <c r="BA786" s="24"/>
      <c r="BB786" s="24"/>
      <c r="BC786" s="49"/>
      <c r="BD786" s="33"/>
      <c r="BE786" s="33"/>
      <c r="BF786" s="33"/>
      <c r="BG786" s="24"/>
      <c r="BT786" s="34"/>
      <c r="BU786" s="31" t="s">
        <v>102</v>
      </c>
      <c r="BV786" s="31" t="s">
        <v>71</v>
      </c>
      <c r="BW786" s="31" t="s">
        <v>103</v>
      </c>
      <c r="BX786" s="31" t="s">
        <v>104</v>
      </c>
      <c r="BZ786" s="34"/>
    </row>
    <row r="787" spans="37:78" x14ac:dyDescent="0.2"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  <c r="AW787" s="49"/>
      <c r="AX787" s="33"/>
      <c r="AY787" s="33"/>
      <c r="AZ787" s="33"/>
      <c r="BA787" s="24"/>
      <c r="BB787" s="24"/>
      <c r="BC787" s="49"/>
      <c r="BD787" s="33"/>
      <c r="BE787" s="33"/>
      <c r="BF787" s="33"/>
      <c r="BG787" s="24"/>
      <c r="BT787" s="34"/>
      <c r="BU787" s="23" t="s">
        <v>412</v>
      </c>
      <c r="BV787" s="22">
        <v>0</v>
      </c>
      <c r="BW787" s="31" t="s">
        <v>106</v>
      </c>
      <c r="BX787" s="31">
        <f>SUM(BV787:BV811)</f>
        <v>8</v>
      </c>
      <c r="BZ787" s="34"/>
    </row>
    <row r="788" spans="37:78" x14ac:dyDescent="0.2"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  <c r="AW788" s="49"/>
      <c r="AX788" s="33"/>
      <c r="AY788" s="33"/>
      <c r="AZ788" s="33"/>
      <c r="BA788" s="24"/>
      <c r="BB788" s="24"/>
      <c r="BC788" s="49"/>
      <c r="BD788" s="33"/>
      <c r="BE788" s="33"/>
      <c r="BF788" s="33"/>
      <c r="BG788" s="24"/>
      <c r="BT788" s="34"/>
      <c r="BU788" s="22" t="s">
        <v>244</v>
      </c>
      <c r="BV788" s="22">
        <v>0</v>
      </c>
      <c r="BW788" s="31" t="s">
        <v>115</v>
      </c>
      <c r="BX788" s="31">
        <f>MIN(BV787:BV811)</f>
        <v>0</v>
      </c>
      <c r="BZ788" s="34"/>
    </row>
    <row r="789" spans="37:78" x14ac:dyDescent="0.2"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  <c r="AW789" s="49"/>
      <c r="AX789" s="33"/>
      <c r="AY789" s="33"/>
      <c r="AZ789" s="33"/>
      <c r="BA789" s="24"/>
      <c r="BB789" s="24"/>
      <c r="BC789" s="49"/>
      <c r="BD789" s="33"/>
      <c r="BE789" s="33"/>
      <c r="BF789" s="33"/>
      <c r="BG789" s="24"/>
      <c r="BT789" s="34"/>
      <c r="BU789" s="22" t="s">
        <v>119</v>
      </c>
      <c r="BV789" s="22">
        <v>0</v>
      </c>
      <c r="BW789" s="31" t="s">
        <v>122</v>
      </c>
      <c r="BX789" s="31">
        <f>MAX(BV787:BV811)</f>
        <v>2</v>
      </c>
      <c r="BZ789" s="34"/>
    </row>
    <row r="790" spans="37:78" x14ac:dyDescent="0.2"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  <c r="AW790" s="49"/>
      <c r="AX790" s="33"/>
      <c r="AY790" s="33"/>
      <c r="AZ790" s="33"/>
      <c r="BA790" s="24"/>
      <c r="BB790" s="24"/>
      <c r="BC790" s="49"/>
      <c r="BD790" s="33"/>
      <c r="BE790" s="33"/>
      <c r="BF790" s="33"/>
      <c r="BG790" s="24"/>
      <c r="BT790" s="34"/>
      <c r="BU790" s="22" t="s">
        <v>413</v>
      </c>
      <c r="BV790" s="22">
        <v>0</v>
      </c>
      <c r="BW790" s="31" t="s">
        <v>129</v>
      </c>
      <c r="BX790" s="31">
        <f>VAR(BV787:BV811)</f>
        <v>0.31</v>
      </c>
      <c r="BZ790" s="34"/>
    </row>
    <row r="791" spans="37:78" x14ac:dyDescent="0.2"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  <c r="AW791" s="49"/>
      <c r="AX791" s="33"/>
      <c r="AY791" s="33"/>
      <c r="AZ791" s="33"/>
      <c r="BA791" s="24"/>
      <c r="BB791" s="24"/>
      <c r="BC791" s="49"/>
      <c r="BD791" s="33"/>
      <c r="BE791" s="33"/>
      <c r="BF791" s="33"/>
      <c r="BG791" s="24"/>
      <c r="BT791" s="34"/>
      <c r="BU791" s="22" t="s">
        <v>414</v>
      </c>
      <c r="BV791" s="22">
        <v>0</v>
      </c>
      <c r="BW791" s="31" t="s">
        <v>138</v>
      </c>
      <c r="BX791" s="31">
        <f>AVERAGE(BV787:BV811)</f>
        <v>0.32</v>
      </c>
      <c r="BZ791" s="34"/>
    </row>
    <row r="792" spans="37:78" x14ac:dyDescent="0.2"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  <c r="AW792" s="49"/>
      <c r="AX792" s="33"/>
      <c r="AY792" s="33"/>
      <c r="AZ792" s="33"/>
      <c r="BA792" s="24"/>
      <c r="BB792" s="24"/>
      <c r="BC792" s="49"/>
      <c r="BD792" s="33"/>
      <c r="BE792" s="33"/>
      <c r="BF792" s="33"/>
      <c r="BG792" s="24"/>
      <c r="BT792" s="34"/>
      <c r="BU792" s="22" t="s">
        <v>415</v>
      </c>
      <c r="BV792" s="22">
        <v>1</v>
      </c>
      <c r="BW792" s="31" t="s">
        <v>144</v>
      </c>
      <c r="BX792" s="31">
        <f>STDEV(BV787:BV811)</f>
        <v>0.55677643628300222</v>
      </c>
      <c r="BZ792" s="34"/>
    </row>
    <row r="793" spans="37:78" x14ac:dyDescent="0.2"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  <c r="AW793" s="49"/>
      <c r="AX793" s="33"/>
      <c r="AY793" s="33"/>
      <c r="AZ793" s="33"/>
      <c r="BA793" s="24"/>
      <c r="BB793" s="24"/>
      <c r="BC793" s="49"/>
      <c r="BD793" s="33"/>
      <c r="BE793" s="33"/>
      <c r="BF793" s="33"/>
      <c r="BG793" s="24"/>
      <c r="BT793" s="34"/>
      <c r="BU793" s="22" t="s">
        <v>416</v>
      </c>
      <c r="BV793" s="22">
        <v>0</v>
      </c>
      <c r="BW793" s="31"/>
      <c r="BX793" s="31"/>
      <c r="BZ793" s="34"/>
    </row>
    <row r="794" spans="37:78" x14ac:dyDescent="0.2"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  <c r="AW794" s="49"/>
      <c r="AX794" s="33"/>
      <c r="AY794" s="33"/>
      <c r="AZ794" s="33"/>
      <c r="BA794" s="24"/>
      <c r="BB794" s="24"/>
      <c r="BC794" s="49"/>
      <c r="BD794" s="33"/>
      <c r="BE794" s="33"/>
      <c r="BF794" s="33"/>
      <c r="BG794" s="24"/>
      <c r="BT794" s="34"/>
      <c r="BU794" s="22" t="s">
        <v>417</v>
      </c>
      <c r="BV794" s="22">
        <v>0</v>
      </c>
      <c r="BW794" s="31"/>
      <c r="BX794" s="31"/>
      <c r="BZ794" s="34"/>
    </row>
    <row r="795" spans="37:78" x14ac:dyDescent="0.2"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49"/>
      <c r="AX795" s="33"/>
      <c r="AY795" s="33"/>
      <c r="AZ795" s="33"/>
      <c r="BA795" s="24"/>
      <c r="BB795" s="24"/>
      <c r="BC795" s="49"/>
      <c r="BD795" s="33"/>
      <c r="BE795" s="33"/>
      <c r="BF795" s="33"/>
      <c r="BG795" s="24"/>
      <c r="BT795" s="34"/>
      <c r="BU795" s="22" t="s">
        <v>418</v>
      </c>
      <c r="BV795" s="22">
        <v>1</v>
      </c>
      <c r="BW795" s="31"/>
      <c r="BX795" s="31"/>
      <c r="BZ795" s="34"/>
    </row>
    <row r="796" spans="37:78" x14ac:dyDescent="0.2"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  <c r="AW796" s="49"/>
      <c r="AX796" s="33"/>
      <c r="AY796" s="33"/>
      <c r="AZ796" s="33"/>
      <c r="BA796" s="24"/>
      <c r="BB796" s="24"/>
      <c r="BC796" s="49"/>
      <c r="BD796" s="33"/>
      <c r="BE796" s="33"/>
      <c r="BF796" s="33"/>
      <c r="BG796" s="24"/>
      <c r="BT796" s="34"/>
      <c r="BU796" s="22" t="s">
        <v>419</v>
      </c>
      <c r="BV796" s="22">
        <v>0</v>
      </c>
      <c r="BW796" s="31"/>
      <c r="BX796" s="31"/>
      <c r="BZ796" s="34"/>
    </row>
    <row r="797" spans="37:78" x14ac:dyDescent="0.2"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  <c r="AW797" s="25"/>
      <c r="AX797" s="33"/>
      <c r="AY797" s="24"/>
      <c r="AZ797" s="24"/>
      <c r="BA797" s="24"/>
      <c r="BB797" s="24"/>
      <c r="BC797" s="25"/>
      <c r="BD797" s="33"/>
      <c r="BE797" s="24"/>
      <c r="BF797" s="24"/>
      <c r="BG797" s="24"/>
      <c r="BT797" s="34"/>
      <c r="BU797" s="22" t="s">
        <v>420</v>
      </c>
      <c r="BV797" s="22">
        <v>0</v>
      </c>
      <c r="BW797" s="31"/>
      <c r="BX797" s="31"/>
      <c r="BZ797" s="34"/>
    </row>
    <row r="798" spans="37:78" x14ac:dyDescent="0.2"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  <c r="AW798" s="49"/>
      <c r="AX798" s="33"/>
      <c r="AY798" s="24"/>
      <c r="AZ798" s="24"/>
      <c r="BA798" s="24"/>
      <c r="BB798" s="24"/>
      <c r="BC798" s="49"/>
      <c r="BD798" s="33"/>
      <c r="BE798" s="24"/>
      <c r="BF798" s="24"/>
      <c r="BG798" s="24"/>
      <c r="BT798" s="34"/>
      <c r="BU798" s="22" t="s">
        <v>421</v>
      </c>
      <c r="BV798" s="22">
        <v>2</v>
      </c>
      <c r="BW798" s="31"/>
      <c r="BX798" s="31"/>
      <c r="BZ798" s="34"/>
    </row>
    <row r="799" spans="37:78" x14ac:dyDescent="0.2"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  <c r="AW799" s="49"/>
      <c r="AX799" s="33"/>
      <c r="AY799" s="24"/>
      <c r="AZ799" s="24"/>
      <c r="BA799" s="24"/>
      <c r="BB799" s="24"/>
      <c r="BC799" s="49"/>
      <c r="BD799" s="33"/>
      <c r="BE799" s="24"/>
      <c r="BF799" s="24"/>
      <c r="BG799" s="24"/>
      <c r="BT799" s="34"/>
      <c r="BU799" s="22" t="s">
        <v>422</v>
      </c>
      <c r="BV799" s="22">
        <v>1</v>
      </c>
      <c r="BW799" s="31"/>
      <c r="BX799" s="31"/>
      <c r="BZ799" s="34"/>
    </row>
    <row r="800" spans="37:78" x14ac:dyDescent="0.2"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49"/>
      <c r="AX800" s="33"/>
      <c r="AY800" s="24"/>
      <c r="AZ800" s="24"/>
      <c r="BA800" s="24"/>
      <c r="BB800" s="24"/>
      <c r="BC800" s="49"/>
      <c r="BD800" s="33"/>
      <c r="BE800" s="24"/>
      <c r="BF800" s="24"/>
      <c r="BG800" s="24"/>
      <c r="BT800" s="34"/>
      <c r="BU800" s="23" t="s">
        <v>423</v>
      </c>
      <c r="BV800" s="22">
        <v>0</v>
      </c>
      <c r="BW800" s="31"/>
      <c r="BX800" s="31"/>
      <c r="BZ800" s="34"/>
    </row>
    <row r="801" spans="37:78" x14ac:dyDescent="0.2"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  <c r="AW801" s="49"/>
      <c r="AX801" s="33"/>
      <c r="AY801" s="24"/>
      <c r="AZ801" s="24"/>
      <c r="BA801" s="24"/>
      <c r="BB801" s="24"/>
      <c r="BC801" s="49"/>
      <c r="BD801" s="33"/>
      <c r="BE801" s="24"/>
      <c r="BF801" s="24"/>
      <c r="BG801" s="24"/>
      <c r="BT801" s="34"/>
      <c r="BU801" s="22" t="s">
        <v>424</v>
      </c>
      <c r="BV801" s="22">
        <v>0</v>
      </c>
      <c r="BW801" s="31"/>
      <c r="BX801" s="31"/>
      <c r="BZ801" s="34"/>
    </row>
    <row r="802" spans="37:78" x14ac:dyDescent="0.2"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  <c r="AW802" s="49"/>
      <c r="AX802" s="33"/>
      <c r="AY802" s="24"/>
      <c r="AZ802" s="24"/>
      <c r="BA802" s="24"/>
      <c r="BB802" s="24"/>
      <c r="BC802" s="49"/>
      <c r="BD802" s="33"/>
      <c r="BE802" s="24"/>
      <c r="BF802" s="24"/>
      <c r="BG802" s="24"/>
      <c r="BT802" s="34"/>
      <c r="BU802" s="23" t="s">
        <v>425</v>
      </c>
      <c r="BV802" s="22">
        <v>0</v>
      </c>
      <c r="BW802" s="31"/>
      <c r="BX802" s="31"/>
      <c r="BZ802" s="34"/>
    </row>
    <row r="803" spans="37:78" x14ac:dyDescent="0.2"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  <c r="AW803" s="49"/>
      <c r="AX803" s="33"/>
      <c r="AY803" s="24"/>
      <c r="AZ803" s="24"/>
      <c r="BA803" s="24"/>
      <c r="BB803" s="24"/>
      <c r="BC803" s="49"/>
      <c r="BD803" s="33"/>
      <c r="BE803" s="24"/>
      <c r="BF803" s="24"/>
      <c r="BG803" s="24"/>
      <c r="BT803" s="34"/>
      <c r="BU803" s="23" t="s">
        <v>426</v>
      </c>
      <c r="BV803" s="22">
        <v>0</v>
      </c>
      <c r="BW803" s="31"/>
      <c r="BX803" s="31"/>
      <c r="BZ803" s="34"/>
    </row>
    <row r="804" spans="37:78" x14ac:dyDescent="0.2"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  <c r="AW804" s="49"/>
      <c r="AX804" s="33"/>
      <c r="AY804" s="24"/>
      <c r="AZ804" s="24"/>
      <c r="BA804" s="24"/>
      <c r="BB804" s="24"/>
      <c r="BC804" s="49"/>
      <c r="BD804" s="33"/>
      <c r="BE804" s="24"/>
      <c r="BF804" s="24"/>
      <c r="BG804" s="24"/>
      <c r="BT804" s="34"/>
      <c r="BU804" s="23" t="s">
        <v>427</v>
      </c>
      <c r="BV804" s="22">
        <v>1</v>
      </c>
      <c r="BW804" s="31"/>
      <c r="BX804" s="31"/>
      <c r="BZ804" s="34"/>
    </row>
    <row r="805" spans="37:78" x14ac:dyDescent="0.2"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  <c r="AW805" s="49"/>
      <c r="AX805" s="33"/>
      <c r="AY805" s="24"/>
      <c r="AZ805" s="24"/>
      <c r="BA805" s="24"/>
      <c r="BB805" s="24"/>
      <c r="BC805" s="49"/>
      <c r="BD805" s="33"/>
      <c r="BE805" s="24"/>
      <c r="BF805" s="24"/>
      <c r="BG805" s="24"/>
      <c r="BT805" s="34"/>
      <c r="BU805" s="23" t="s">
        <v>428</v>
      </c>
      <c r="BV805" s="22">
        <v>0</v>
      </c>
      <c r="BW805" s="31"/>
      <c r="BX805" s="31"/>
      <c r="BZ805" s="34"/>
    </row>
    <row r="806" spans="37:78" x14ac:dyDescent="0.2"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  <c r="AW806" s="49"/>
      <c r="AX806" s="33"/>
      <c r="AY806" s="24"/>
      <c r="AZ806" s="24"/>
      <c r="BA806" s="24"/>
      <c r="BB806" s="24"/>
      <c r="BC806" s="49"/>
      <c r="BD806" s="33"/>
      <c r="BE806" s="24"/>
      <c r="BF806" s="24"/>
      <c r="BG806" s="24"/>
      <c r="BT806" s="34"/>
      <c r="BU806" s="23" t="s">
        <v>429</v>
      </c>
      <c r="BV806" s="22">
        <v>0</v>
      </c>
      <c r="BW806" s="31"/>
      <c r="BX806" s="31"/>
      <c r="BZ806" s="34"/>
    </row>
    <row r="807" spans="37:78" x14ac:dyDescent="0.2"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  <c r="AW807" s="49"/>
      <c r="AX807" s="33"/>
      <c r="AY807" s="24"/>
      <c r="AZ807" s="24"/>
      <c r="BA807" s="24"/>
      <c r="BB807" s="24"/>
      <c r="BC807" s="49"/>
      <c r="BD807" s="33"/>
      <c r="BE807" s="24"/>
      <c r="BF807" s="24"/>
      <c r="BG807" s="24"/>
      <c r="BT807" s="34"/>
      <c r="BU807" s="23" t="s">
        <v>430</v>
      </c>
      <c r="BV807" s="22">
        <v>0</v>
      </c>
      <c r="BW807" s="31"/>
      <c r="BX807" s="31"/>
      <c r="BZ807" s="34"/>
    </row>
    <row r="808" spans="37:78" x14ac:dyDescent="0.2"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  <c r="AW808" s="49"/>
      <c r="AX808" s="33"/>
      <c r="AY808" s="24"/>
      <c r="AZ808" s="24"/>
      <c r="BA808" s="24"/>
      <c r="BB808" s="24"/>
      <c r="BC808" s="49"/>
      <c r="BD808" s="33"/>
      <c r="BE808" s="24"/>
      <c r="BF808" s="24"/>
      <c r="BG808" s="24"/>
      <c r="BT808" s="34"/>
      <c r="BU808" s="23" t="s">
        <v>431</v>
      </c>
      <c r="BV808" s="22">
        <v>1</v>
      </c>
      <c r="BW808" s="31"/>
      <c r="BX808" s="31"/>
      <c r="BZ808" s="34"/>
    </row>
    <row r="809" spans="37:78" x14ac:dyDescent="0.2"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  <c r="AW809" s="49"/>
      <c r="AX809" s="33"/>
      <c r="AY809" s="24"/>
      <c r="AZ809" s="24"/>
      <c r="BA809" s="24"/>
      <c r="BB809" s="24"/>
      <c r="BC809" s="49"/>
      <c r="BD809" s="33"/>
      <c r="BE809" s="24"/>
      <c r="BF809" s="24"/>
      <c r="BG809" s="24"/>
      <c r="BT809" s="34"/>
      <c r="BU809" s="23" t="s">
        <v>432</v>
      </c>
      <c r="BV809" s="22">
        <v>0</v>
      </c>
      <c r="BW809" s="31"/>
      <c r="BX809" s="31"/>
      <c r="BZ809" s="34"/>
    </row>
    <row r="810" spans="37:78" x14ac:dyDescent="0.2"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  <c r="AW810" s="49"/>
      <c r="AX810" s="33"/>
      <c r="AY810" s="24"/>
      <c r="AZ810" s="24"/>
      <c r="BA810" s="24"/>
      <c r="BB810" s="24"/>
      <c r="BC810" s="49"/>
      <c r="BD810" s="33"/>
      <c r="BE810" s="24"/>
      <c r="BF810" s="24"/>
      <c r="BG810" s="24"/>
      <c r="BT810" s="34"/>
      <c r="BU810" s="23" t="s">
        <v>433</v>
      </c>
      <c r="BV810" s="22">
        <v>1</v>
      </c>
      <c r="BW810" s="31"/>
      <c r="BX810" s="31"/>
      <c r="BZ810" s="34"/>
    </row>
    <row r="811" spans="37:78" x14ac:dyDescent="0.2"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  <c r="AW811" s="49"/>
      <c r="AX811" s="33"/>
      <c r="AY811" s="24"/>
      <c r="AZ811" s="24"/>
      <c r="BA811" s="24"/>
      <c r="BB811" s="24"/>
      <c r="BC811" s="49"/>
      <c r="BD811" s="33"/>
      <c r="BE811" s="24"/>
      <c r="BF811" s="24"/>
      <c r="BG811" s="24"/>
      <c r="BT811" s="34"/>
      <c r="BU811" s="23" t="s">
        <v>434</v>
      </c>
      <c r="BV811" s="22">
        <v>0</v>
      </c>
      <c r="BW811" s="31"/>
      <c r="BX811" s="31"/>
      <c r="BZ811" s="34"/>
    </row>
    <row r="812" spans="37:78" x14ac:dyDescent="0.2"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  <c r="AW812" s="49"/>
      <c r="AX812" s="33"/>
      <c r="AY812" s="24"/>
      <c r="AZ812" s="24"/>
      <c r="BA812" s="24"/>
      <c r="BB812" s="24"/>
      <c r="BC812" s="49"/>
      <c r="BD812" s="33"/>
      <c r="BE812" s="24"/>
      <c r="BF812" s="24"/>
      <c r="BG812" s="24"/>
      <c r="BT812" s="34"/>
      <c r="BZ812" s="34"/>
    </row>
    <row r="813" spans="37:78" x14ac:dyDescent="0.2"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  <c r="AW813" s="49"/>
      <c r="AX813" s="33"/>
      <c r="AY813" s="24"/>
      <c r="AZ813" s="24"/>
      <c r="BA813" s="24"/>
      <c r="BB813" s="24"/>
      <c r="BC813" s="49"/>
      <c r="BD813" s="33"/>
      <c r="BE813" s="24"/>
      <c r="BF813" s="24"/>
      <c r="BG813" s="24"/>
      <c r="BT813" s="34"/>
      <c r="BU813" s="34"/>
      <c r="BV813" s="34"/>
      <c r="BW813" s="34"/>
      <c r="BX813" s="34"/>
      <c r="BY813" s="34"/>
      <c r="BZ813" s="34"/>
    </row>
    <row r="814" spans="37:78" x14ac:dyDescent="0.2"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  <c r="AW814" s="49"/>
      <c r="AX814" s="33"/>
      <c r="AY814" s="24"/>
      <c r="AZ814" s="24"/>
      <c r="BA814" s="24"/>
      <c r="BB814" s="24"/>
      <c r="BC814" s="49"/>
      <c r="BD814" s="33"/>
      <c r="BE814" s="24"/>
      <c r="BF814" s="24"/>
      <c r="BG814" s="24"/>
      <c r="BT814" s="34"/>
      <c r="BU814" s="34"/>
      <c r="BV814" s="34"/>
      <c r="BW814" s="34"/>
      <c r="BX814" s="34"/>
      <c r="BY814" s="34"/>
      <c r="BZ814" s="34"/>
    </row>
    <row r="815" spans="37:78" x14ac:dyDescent="0.2"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  <c r="AW815" s="49"/>
      <c r="AX815" s="33"/>
      <c r="AY815" s="24"/>
      <c r="AZ815" s="24"/>
      <c r="BA815" s="24"/>
      <c r="BB815" s="24"/>
      <c r="BC815" s="49"/>
      <c r="BD815" s="33"/>
      <c r="BE815" s="24"/>
      <c r="BF815" s="24"/>
      <c r="BG815" s="24"/>
    </row>
    <row r="816" spans="37:78" x14ac:dyDescent="0.2"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  <c r="AW816" s="49"/>
      <c r="AX816" s="33"/>
      <c r="AY816" s="24"/>
      <c r="AZ816" s="24"/>
      <c r="BA816" s="24"/>
      <c r="BB816" s="24"/>
      <c r="BC816" s="49"/>
      <c r="BD816" s="33"/>
      <c r="BE816" s="24"/>
      <c r="BF816" s="24"/>
      <c r="BG816" s="24"/>
    </row>
    <row r="817" spans="37:59" x14ac:dyDescent="0.2"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  <c r="AW817" s="49"/>
      <c r="AX817" s="33"/>
      <c r="AY817" s="24"/>
      <c r="AZ817" s="24"/>
      <c r="BA817" s="24"/>
      <c r="BB817" s="24"/>
      <c r="BC817" s="49"/>
      <c r="BD817" s="33"/>
      <c r="BE817" s="24"/>
      <c r="BF817" s="24"/>
      <c r="BG817" s="24"/>
    </row>
    <row r="818" spans="37:59" x14ac:dyDescent="0.2"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  <c r="AW818" s="49"/>
      <c r="AX818" s="33"/>
      <c r="AY818" s="24"/>
      <c r="AZ818" s="24"/>
      <c r="BA818" s="24"/>
      <c r="BB818" s="24"/>
      <c r="BC818" s="49"/>
      <c r="BD818" s="33"/>
      <c r="BE818" s="24"/>
      <c r="BF818" s="24"/>
      <c r="BG818" s="24"/>
    </row>
    <row r="819" spans="37:59" x14ac:dyDescent="0.2"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  <c r="AW819" s="49"/>
      <c r="AX819" s="33"/>
      <c r="AY819" s="24"/>
      <c r="AZ819" s="24"/>
      <c r="BA819" s="24"/>
      <c r="BB819" s="24"/>
      <c r="BC819" s="49"/>
      <c r="BD819" s="33"/>
      <c r="BE819" s="24"/>
      <c r="BF819" s="24"/>
      <c r="BG819" s="24"/>
    </row>
    <row r="820" spans="37:59" x14ac:dyDescent="0.2"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  <c r="AW820" s="49"/>
      <c r="AX820" s="33"/>
      <c r="AY820" s="24"/>
      <c r="AZ820" s="24"/>
      <c r="BA820" s="24"/>
      <c r="BB820" s="24"/>
      <c r="BC820" s="49"/>
      <c r="BD820" s="33"/>
      <c r="BE820" s="24"/>
      <c r="BF820" s="24"/>
      <c r="BG820" s="24"/>
    </row>
    <row r="821" spans="37:59" x14ac:dyDescent="0.2"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  <c r="AW821" s="49"/>
      <c r="AX821" s="33"/>
      <c r="AY821" s="24"/>
      <c r="AZ821" s="24"/>
      <c r="BA821" s="24"/>
      <c r="BB821" s="24"/>
      <c r="BC821" s="49"/>
      <c r="BD821" s="33"/>
      <c r="BE821" s="24"/>
      <c r="BF821" s="24"/>
      <c r="BG821" s="24"/>
    </row>
    <row r="822" spans="37:59" x14ac:dyDescent="0.2"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  <c r="AW822" s="49"/>
      <c r="AX822" s="33"/>
      <c r="AY822" s="24"/>
      <c r="AZ822" s="24"/>
      <c r="BA822" s="24"/>
      <c r="BB822" s="24"/>
      <c r="BC822" s="49"/>
      <c r="BD822" s="33"/>
      <c r="BE822" s="24"/>
      <c r="BF822" s="24"/>
      <c r="BG822" s="24"/>
    </row>
    <row r="823" spans="37:59" x14ac:dyDescent="0.2"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  <c r="AW823" s="49"/>
      <c r="AX823" s="33"/>
      <c r="AY823" s="24"/>
      <c r="AZ823" s="24"/>
      <c r="BA823" s="24"/>
      <c r="BB823" s="24"/>
      <c r="BC823" s="49"/>
      <c r="BD823" s="33"/>
      <c r="BE823" s="24"/>
      <c r="BF823" s="24"/>
      <c r="BG823" s="24"/>
    </row>
    <row r="824" spans="37:59" x14ac:dyDescent="0.2"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  <c r="AW824" s="49"/>
      <c r="AX824" s="33"/>
      <c r="AY824" s="24"/>
      <c r="AZ824" s="24"/>
      <c r="BA824" s="24"/>
      <c r="BB824" s="24"/>
      <c r="BC824" s="49"/>
      <c r="BD824" s="33"/>
      <c r="BE824" s="24"/>
      <c r="BF824" s="24"/>
      <c r="BG824" s="24"/>
    </row>
    <row r="825" spans="37:59" x14ac:dyDescent="0.2"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  <c r="AW825" s="49"/>
      <c r="AX825" s="33"/>
      <c r="AY825" s="24"/>
      <c r="AZ825" s="24"/>
      <c r="BA825" s="24"/>
      <c r="BB825" s="24"/>
      <c r="BC825" s="49"/>
      <c r="BD825" s="33"/>
      <c r="BE825" s="24"/>
      <c r="BF825" s="24"/>
      <c r="BG825" s="24"/>
    </row>
    <row r="826" spans="37:59" x14ac:dyDescent="0.2"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  <c r="AW826" s="49"/>
      <c r="AX826" s="33"/>
      <c r="AY826" s="24"/>
      <c r="AZ826" s="24"/>
      <c r="BA826" s="24"/>
      <c r="BB826" s="24"/>
      <c r="BC826" s="49"/>
      <c r="BD826" s="33"/>
      <c r="BE826" s="24"/>
      <c r="BF826" s="24"/>
      <c r="BG826" s="24"/>
    </row>
    <row r="827" spans="37:59" x14ac:dyDescent="0.2"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  <c r="AW827" s="49"/>
      <c r="AX827" s="33"/>
      <c r="AY827" s="24"/>
      <c r="AZ827" s="24"/>
      <c r="BA827" s="24"/>
      <c r="BB827" s="24"/>
      <c r="BC827" s="49"/>
      <c r="BD827" s="33"/>
      <c r="BE827" s="24"/>
      <c r="BF827" s="24"/>
      <c r="BG827" s="24"/>
    </row>
    <row r="828" spans="37:59" x14ac:dyDescent="0.2"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  <c r="AW828" s="49"/>
      <c r="AX828" s="33"/>
      <c r="AY828" s="24"/>
      <c r="AZ828" s="24"/>
      <c r="BA828" s="24"/>
      <c r="BB828" s="24"/>
      <c r="BC828" s="49"/>
      <c r="BD828" s="33"/>
      <c r="BE828" s="24"/>
      <c r="BF828" s="24"/>
      <c r="BG828" s="24"/>
    </row>
    <row r="829" spans="37:59" x14ac:dyDescent="0.2"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  <c r="AW829" s="49"/>
      <c r="AX829" s="33"/>
      <c r="AY829" s="24"/>
      <c r="AZ829" s="24"/>
      <c r="BA829" s="24"/>
      <c r="BB829" s="24"/>
      <c r="BC829" s="49"/>
      <c r="BD829" s="33"/>
      <c r="BE829" s="24"/>
      <c r="BF829" s="24"/>
      <c r="BG829" s="24"/>
    </row>
    <row r="830" spans="37:59" x14ac:dyDescent="0.2"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25"/>
      <c r="AX830" s="33"/>
      <c r="AY830" s="24"/>
      <c r="AZ830" s="24"/>
      <c r="BA830" s="24"/>
      <c r="BB830" s="24"/>
      <c r="BC830" s="25"/>
      <c r="BD830" s="33"/>
      <c r="BE830" s="24"/>
      <c r="BF830" s="24"/>
      <c r="BG830" s="24"/>
    </row>
    <row r="831" spans="37:59" x14ac:dyDescent="0.2"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  <c r="AW831" s="25"/>
      <c r="AX831" s="33"/>
      <c r="AY831" s="24"/>
      <c r="AZ831" s="24"/>
      <c r="BA831" s="24"/>
      <c r="BB831" s="24"/>
      <c r="BC831" s="25"/>
      <c r="BD831" s="33"/>
      <c r="BE831" s="24"/>
      <c r="BF831" s="24"/>
      <c r="BG831" s="24"/>
    </row>
    <row r="832" spans="37:59" x14ac:dyDescent="0.2"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  <c r="AW832" s="25"/>
      <c r="AX832" s="33"/>
      <c r="AY832" s="24"/>
      <c r="AZ832" s="24"/>
      <c r="BA832" s="24"/>
      <c r="BB832" s="24"/>
      <c r="BC832" s="25"/>
      <c r="BD832" s="33"/>
      <c r="BE832" s="24"/>
      <c r="BF832" s="24"/>
      <c r="BG832" s="24"/>
    </row>
    <row r="833" spans="37:59" x14ac:dyDescent="0.2"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  <c r="AW833" s="25"/>
      <c r="AX833" s="33"/>
      <c r="AY833" s="24"/>
      <c r="AZ833" s="24"/>
      <c r="BA833" s="24"/>
      <c r="BB833" s="24"/>
      <c r="BC833" s="25"/>
      <c r="BD833" s="33"/>
      <c r="BE833" s="24"/>
      <c r="BF833" s="24"/>
      <c r="BG833" s="24"/>
    </row>
    <row r="834" spans="37:59" x14ac:dyDescent="0.2"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  <c r="AW834" s="25"/>
      <c r="AX834" s="33"/>
      <c r="AY834" s="24"/>
      <c r="AZ834" s="24"/>
      <c r="BA834" s="24"/>
      <c r="BB834" s="24"/>
      <c r="BC834" s="25"/>
      <c r="BD834" s="33"/>
      <c r="BE834" s="24"/>
      <c r="BF834" s="24"/>
      <c r="BG834" s="24"/>
    </row>
    <row r="835" spans="37:59" x14ac:dyDescent="0.2"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  <c r="AW835" s="25"/>
      <c r="AX835" s="33"/>
      <c r="AY835" s="24"/>
      <c r="AZ835" s="24"/>
      <c r="BA835" s="24"/>
      <c r="BB835" s="24"/>
      <c r="BC835" s="25"/>
      <c r="BD835" s="33"/>
      <c r="BE835" s="24"/>
      <c r="BF835" s="24"/>
      <c r="BG835" s="24"/>
    </row>
    <row r="836" spans="37:59" x14ac:dyDescent="0.2"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  <c r="AW836" s="25"/>
      <c r="AX836" s="33"/>
      <c r="AY836" s="24"/>
      <c r="AZ836" s="24"/>
      <c r="BA836" s="24"/>
      <c r="BB836" s="24"/>
      <c r="BC836" s="25"/>
      <c r="BD836" s="33"/>
      <c r="BE836" s="24"/>
      <c r="BF836" s="24"/>
      <c r="BG836" s="24"/>
    </row>
    <row r="837" spans="37:59" x14ac:dyDescent="0.2"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  <c r="AW837" s="25"/>
      <c r="AX837" s="33"/>
      <c r="AY837" s="24"/>
      <c r="AZ837" s="24"/>
      <c r="BA837" s="24"/>
      <c r="BB837" s="24"/>
      <c r="BC837" s="25"/>
      <c r="BD837" s="33"/>
      <c r="BE837" s="24"/>
      <c r="BF837" s="24"/>
      <c r="BG837" s="24"/>
    </row>
    <row r="838" spans="37:59" x14ac:dyDescent="0.2"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  <c r="AW838" s="25"/>
      <c r="AX838" s="33"/>
      <c r="AY838" s="24"/>
      <c r="AZ838" s="24"/>
      <c r="BA838" s="24"/>
      <c r="BB838" s="24"/>
      <c r="BC838" s="25"/>
      <c r="BD838" s="33"/>
      <c r="BE838" s="24"/>
      <c r="BF838" s="24"/>
      <c r="BG838" s="24"/>
    </row>
    <row r="839" spans="37:59" x14ac:dyDescent="0.2"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  <c r="AW839" s="25"/>
      <c r="AX839" s="33"/>
      <c r="AY839" s="24"/>
      <c r="AZ839" s="24"/>
      <c r="BA839" s="24"/>
      <c r="BB839" s="24"/>
      <c r="BC839" s="25"/>
      <c r="BD839" s="33"/>
      <c r="BE839" s="24"/>
      <c r="BF839" s="24"/>
      <c r="BG839" s="24"/>
    </row>
    <row r="840" spans="37:59" x14ac:dyDescent="0.2"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  <c r="AW840" s="25"/>
      <c r="AX840" s="33"/>
      <c r="AY840" s="24"/>
      <c r="AZ840" s="24"/>
      <c r="BA840" s="24"/>
      <c r="BB840" s="24"/>
      <c r="BC840" s="25"/>
      <c r="BD840" s="33"/>
      <c r="BE840" s="24"/>
      <c r="BF840" s="24"/>
      <c r="BG840" s="24"/>
    </row>
    <row r="841" spans="37:59" x14ac:dyDescent="0.2"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  <c r="AW841" s="25"/>
      <c r="AX841" s="33"/>
      <c r="AY841" s="24"/>
      <c r="AZ841" s="24"/>
      <c r="BA841" s="24"/>
      <c r="BB841" s="24"/>
      <c r="BC841" s="25"/>
      <c r="BD841" s="33"/>
      <c r="BE841" s="24"/>
      <c r="BF841" s="24"/>
      <c r="BG841" s="24"/>
    </row>
    <row r="842" spans="37:59" x14ac:dyDescent="0.2"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  <c r="AW842" s="25"/>
      <c r="AX842" s="33"/>
      <c r="AY842" s="24"/>
      <c r="AZ842" s="24"/>
      <c r="BA842" s="24"/>
      <c r="BB842" s="24"/>
      <c r="BC842" s="25"/>
      <c r="BD842" s="33"/>
      <c r="BE842" s="24"/>
      <c r="BF842" s="24"/>
      <c r="BG842" s="24"/>
    </row>
    <row r="843" spans="37:59" x14ac:dyDescent="0.2"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  <c r="AW843" s="25"/>
      <c r="AX843" s="33"/>
      <c r="AY843" s="24"/>
      <c r="AZ843" s="24"/>
      <c r="BA843" s="24"/>
      <c r="BB843" s="24"/>
      <c r="BC843" s="25"/>
      <c r="BD843" s="33"/>
      <c r="BE843" s="24"/>
      <c r="BF843" s="24"/>
      <c r="BG843" s="24"/>
    </row>
    <row r="844" spans="37:59" x14ac:dyDescent="0.2"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  <c r="AW844" s="25"/>
      <c r="AX844" s="33"/>
      <c r="AY844" s="24"/>
      <c r="AZ844" s="24"/>
      <c r="BA844" s="24"/>
      <c r="BB844" s="24"/>
      <c r="BC844" s="25"/>
      <c r="BD844" s="33"/>
      <c r="BE844" s="24"/>
      <c r="BF844" s="24"/>
      <c r="BG844" s="24"/>
    </row>
    <row r="845" spans="37:59" x14ac:dyDescent="0.2"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  <c r="AW845" s="25"/>
      <c r="AX845" s="33"/>
      <c r="AY845" s="24"/>
      <c r="AZ845" s="24"/>
      <c r="BA845" s="24"/>
      <c r="BB845" s="24"/>
      <c r="BC845" s="25"/>
      <c r="BD845" s="33"/>
      <c r="BE845" s="24"/>
      <c r="BF845" s="24"/>
      <c r="BG845" s="24"/>
    </row>
    <row r="846" spans="37:59" x14ac:dyDescent="0.2"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  <c r="AW846" s="25"/>
      <c r="AX846" s="33"/>
      <c r="AY846" s="24"/>
      <c r="AZ846" s="24"/>
      <c r="BA846" s="24"/>
      <c r="BB846" s="24"/>
      <c r="BC846" s="25"/>
      <c r="BD846" s="33"/>
      <c r="BE846" s="24"/>
      <c r="BF846" s="24"/>
      <c r="BG846" s="24"/>
    </row>
    <row r="847" spans="37:59" x14ac:dyDescent="0.2"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  <c r="AW847" s="25"/>
      <c r="AX847" s="33"/>
      <c r="AY847" s="24"/>
      <c r="AZ847" s="24"/>
      <c r="BA847" s="24"/>
      <c r="BB847" s="24"/>
      <c r="BC847" s="25"/>
      <c r="BD847" s="33"/>
      <c r="BE847" s="24"/>
      <c r="BF847" s="24"/>
      <c r="BG847" s="24"/>
    </row>
    <row r="848" spans="37:59" x14ac:dyDescent="0.2"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  <c r="AW848" s="25"/>
      <c r="AX848" s="33"/>
      <c r="AY848" s="24"/>
      <c r="AZ848" s="24"/>
      <c r="BA848" s="24"/>
      <c r="BB848" s="24"/>
      <c r="BC848" s="25"/>
      <c r="BD848" s="33"/>
      <c r="BE848" s="24"/>
      <c r="BF848" s="24"/>
      <c r="BG848" s="24"/>
    </row>
    <row r="849" spans="31:59" x14ac:dyDescent="0.2"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  <c r="AW849" s="25"/>
      <c r="AX849" s="33"/>
      <c r="AY849" s="24"/>
      <c r="AZ849" s="24"/>
      <c r="BA849" s="24"/>
      <c r="BB849" s="24"/>
      <c r="BC849" s="25"/>
      <c r="BD849" s="33"/>
      <c r="BE849" s="24"/>
      <c r="BF849" s="24"/>
      <c r="BG849" s="24"/>
    </row>
    <row r="850" spans="31:59" x14ac:dyDescent="0.2"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  <c r="AW850" s="25"/>
      <c r="AX850" s="33"/>
      <c r="AY850" s="24"/>
      <c r="AZ850" s="24"/>
      <c r="BA850" s="24"/>
      <c r="BB850" s="24"/>
      <c r="BC850" s="25"/>
      <c r="BD850" s="33"/>
      <c r="BE850" s="24"/>
      <c r="BF850" s="24"/>
      <c r="BG850" s="24"/>
    </row>
    <row r="851" spans="31:59" x14ac:dyDescent="0.2"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  <c r="AW851" s="25"/>
      <c r="AX851" s="33"/>
      <c r="AY851" s="24"/>
      <c r="AZ851" s="24"/>
      <c r="BA851" s="24"/>
      <c r="BB851" s="24"/>
      <c r="BC851" s="25"/>
      <c r="BD851" s="33"/>
      <c r="BE851" s="24"/>
      <c r="BF851" s="24"/>
      <c r="BG851" s="24"/>
    </row>
    <row r="852" spans="31:59" x14ac:dyDescent="0.2"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  <c r="AW852" s="25"/>
      <c r="AX852" s="33"/>
      <c r="AY852" s="24"/>
      <c r="AZ852" s="24"/>
      <c r="BA852" s="24"/>
      <c r="BB852" s="24"/>
      <c r="BC852" s="25"/>
      <c r="BD852" s="33"/>
      <c r="BE852" s="24"/>
      <c r="BF852" s="24"/>
      <c r="BG852" s="24"/>
    </row>
    <row r="853" spans="31:59" x14ac:dyDescent="0.2"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  <c r="AW853" s="25"/>
      <c r="AX853" s="33"/>
      <c r="AY853" s="24"/>
      <c r="AZ853" s="24"/>
      <c r="BA853" s="24"/>
      <c r="BB853" s="24"/>
      <c r="BC853" s="25"/>
      <c r="BD853" s="33"/>
      <c r="BE853" s="24"/>
      <c r="BF853" s="24"/>
      <c r="BG853" s="24"/>
    </row>
    <row r="854" spans="31:59" x14ac:dyDescent="0.2"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  <c r="AW854" s="25"/>
      <c r="AX854" s="33"/>
      <c r="AY854" s="24"/>
      <c r="AZ854" s="24"/>
      <c r="BA854" s="24"/>
      <c r="BB854" s="24"/>
      <c r="BC854" s="25"/>
      <c r="BD854" s="33"/>
      <c r="BE854" s="24"/>
      <c r="BF854" s="24"/>
      <c r="BG854" s="24"/>
    </row>
    <row r="855" spans="31:59" x14ac:dyDescent="0.2"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  <c r="AW855" s="25"/>
      <c r="AX855" s="33"/>
      <c r="AY855" s="24"/>
      <c r="AZ855" s="24"/>
      <c r="BA855" s="24"/>
      <c r="BB855" s="24"/>
      <c r="BC855" s="25"/>
      <c r="BD855" s="33"/>
      <c r="BE855" s="24"/>
      <c r="BF855" s="24"/>
      <c r="BG855" s="24"/>
    </row>
    <row r="856" spans="31:59" x14ac:dyDescent="0.2"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  <c r="AW856" s="25"/>
      <c r="AX856" s="33"/>
      <c r="AY856" s="24"/>
      <c r="AZ856" s="24"/>
      <c r="BA856" s="24"/>
      <c r="BB856" s="24"/>
      <c r="BC856" s="25"/>
      <c r="BD856" s="33"/>
      <c r="BE856" s="24"/>
      <c r="BF856" s="24"/>
      <c r="BG856" s="24"/>
    </row>
    <row r="857" spans="31:59" x14ac:dyDescent="0.2"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  <c r="AW857" s="25"/>
      <c r="AX857" s="33"/>
      <c r="AY857" s="24"/>
      <c r="AZ857" s="24"/>
      <c r="BA857" s="24"/>
      <c r="BB857" s="24"/>
      <c r="BC857" s="25"/>
      <c r="BD857" s="33"/>
      <c r="BE857" s="24"/>
      <c r="BF857" s="24"/>
      <c r="BG857" s="24"/>
    </row>
    <row r="858" spans="31:59" x14ac:dyDescent="0.2"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  <c r="AW858" s="25"/>
      <c r="AX858" s="33"/>
      <c r="AY858" s="24"/>
      <c r="AZ858" s="24"/>
      <c r="BA858" s="24"/>
      <c r="BB858" s="24"/>
      <c r="BC858" s="25"/>
      <c r="BD858" s="33"/>
      <c r="BE858" s="24"/>
      <c r="BF858" s="24"/>
      <c r="BG858" s="24"/>
    </row>
    <row r="859" spans="31:59" x14ac:dyDescent="0.2">
      <c r="AE859" s="34"/>
      <c r="AF859" s="34"/>
      <c r="AG859" s="34"/>
      <c r="AH859" s="34"/>
      <c r="AI859" s="3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  <c r="AW859" s="24"/>
      <c r="AX859" s="24"/>
      <c r="AY859" s="24"/>
      <c r="AZ859" s="24"/>
      <c r="BA859" s="24"/>
      <c r="BB859" s="24"/>
      <c r="BC859" s="24"/>
      <c r="BD859" s="24"/>
      <c r="BE859" s="24"/>
      <c r="BF859" s="24"/>
      <c r="BG859" s="24"/>
    </row>
    <row r="860" spans="31:59" x14ac:dyDescent="0.2">
      <c r="AE860" s="34"/>
      <c r="AF860" s="34"/>
      <c r="AG860" s="34"/>
      <c r="AH860" s="34"/>
      <c r="AI860" s="3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  <c r="AW860" s="24"/>
      <c r="AX860" s="24"/>
      <c r="AY860" s="24"/>
      <c r="AZ860" s="24"/>
      <c r="BA860" s="24"/>
      <c r="BB860" s="24"/>
      <c r="BC860" s="24"/>
      <c r="BD860" s="24"/>
      <c r="BE860" s="24"/>
      <c r="BF860" s="24"/>
      <c r="BG860" s="24"/>
    </row>
    <row r="861" spans="31:59" x14ac:dyDescent="0.2"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  <c r="AW861" s="24"/>
      <c r="AX861" s="24"/>
      <c r="AY861" s="24"/>
      <c r="AZ861" s="24"/>
      <c r="BA861" s="24"/>
      <c r="BB861" s="24"/>
      <c r="BC861" s="24"/>
      <c r="BD861" s="24"/>
      <c r="BE861" s="24"/>
      <c r="BF861" s="24"/>
      <c r="BG861" s="24"/>
    </row>
    <row r="862" spans="31:59" x14ac:dyDescent="0.2"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  <c r="AW862" s="24"/>
      <c r="AX862" s="24"/>
      <c r="AY862" s="24"/>
      <c r="AZ862" s="24"/>
      <c r="BA862" s="24"/>
      <c r="BB862" s="24"/>
      <c r="BC862" s="24"/>
      <c r="BD862" s="24"/>
      <c r="BE862" s="24"/>
      <c r="BF862" s="24"/>
      <c r="BG862" s="24"/>
    </row>
    <row r="863" spans="31:59" x14ac:dyDescent="0.2"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  <c r="AW863" s="24"/>
      <c r="AX863" s="24"/>
      <c r="AY863" s="24"/>
      <c r="AZ863" s="24"/>
      <c r="BA863" s="24"/>
      <c r="BB863" s="24"/>
      <c r="BC863" s="24"/>
      <c r="BD863" s="24"/>
      <c r="BE863" s="24"/>
      <c r="BF863" s="24"/>
      <c r="BG863" s="24"/>
    </row>
    <row r="864" spans="31:59" x14ac:dyDescent="0.2"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  <c r="AW864" s="24"/>
      <c r="AX864" s="24"/>
      <c r="AY864" s="24"/>
      <c r="AZ864" s="24"/>
      <c r="BA864" s="24"/>
      <c r="BB864" s="24"/>
      <c r="BC864" s="24"/>
      <c r="BD864" s="24"/>
      <c r="BE864" s="24"/>
      <c r="BF864" s="24"/>
      <c r="BG864" s="24"/>
    </row>
    <row r="865" spans="37:59" x14ac:dyDescent="0.2"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  <c r="AW865" s="24"/>
      <c r="AX865" s="24"/>
      <c r="AY865" s="24"/>
      <c r="AZ865" s="24"/>
      <c r="BA865" s="24"/>
      <c r="BB865" s="24"/>
      <c r="BC865" s="24"/>
      <c r="BD865" s="24"/>
      <c r="BE865" s="24"/>
      <c r="BF865" s="24"/>
      <c r="BG865" s="24"/>
    </row>
    <row r="866" spans="37:59" x14ac:dyDescent="0.2"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  <c r="AW866" s="24"/>
      <c r="AX866" s="24"/>
      <c r="AY866" s="24"/>
      <c r="AZ866" s="24"/>
      <c r="BA866" s="24"/>
      <c r="BB866" s="24"/>
      <c r="BC866" s="24"/>
      <c r="BD866" s="24"/>
      <c r="BE866" s="24"/>
      <c r="BF866" s="24"/>
      <c r="BG866" s="24"/>
    </row>
    <row r="867" spans="37:59" x14ac:dyDescent="0.2"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  <c r="AW867" s="24"/>
      <c r="AX867" s="24"/>
      <c r="AY867" s="24"/>
      <c r="AZ867" s="24"/>
      <c r="BA867" s="24"/>
      <c r="BB867" s="24"/>
      <c r="BC867" s="24"/>
      <c r="BD867" s="24"/>
      <c r="BE867" s="24"/>
      <c r="BF867" s="24"/>
      <c r="BG867" s="24"/>
    </row>
    <row r="868" spans="37:59" x14ac:dyDescent="0.2"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  <c r="AW868" s="24"/>
      <c r="AX868" s="24"/>
      <c r="AY868" s="24"/>
      <c r="AZ868" s="24"/>
      <c r="BA868" s="24"/>
      <c r="BB868" s="24"/>
      <c r="BC868" s="24"/>
      <c r="BD868" s="24"/>
      <c r="BE868" s="24"/>
      <c r="BF868" s="24"/>
      <c r="BG868" s="24"/>
    </row>
    <row r="869" spans="37:59" x14ac:dyDescent="0.2"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  <c r="AW869" s="24"/>
      <c r="AX869" s="24"/>
      <c r="AY869" s="24"/>
      <c r="AZ869" s="24"/>
      <c r="BA869" s="24"/>
      <c r="BB869" s="24"/>
      <c r="BC869" s="24"/>
      <c r="BD869" s="24"/>
      <c r="BE869" s="24"/>
      <c r="BF869" s="24"/>
      <c r="BG869" s="24"/>
    </row>
    <row r="870" spans="37:59" x14ac:dyDescent="0.2"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  <c r="AW870" s="24"/>
      <c r="AX870" s="24"/>
      <c r="AY870" s="24"/>
      <c r="AZ870" s="24"/>
      <c r="BA870" s="24"/>
      <c r="BB870" s="24"/>
      <c r="BC870" s="24"/>
      <c r="BD870" s="24"/>
      <c r="BE870" s="24"/>
      <c r="BF870" s="24"/>
      <c r="BG870" s="24"/>
    </row>
    <row r="871" spans="37:59" x14ac:dyDescent="0.2"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  <c r="AW871" s="24"/>
      <c r="AX871" s="24"/>
      <c r="AY871" s="24"/>
      <c r="AZ871" s="24"/>
      <c r="BA871" s="24"/>
      <c r="BB871" s="24"/>
      <c r="BC871" s="24"/>
      <c r="BD871" s="24"/>
      <c r="BE871" s="24"/>
      <c r="BF871" s="24"/>
      <c r="BG871" s="24"/>
    </row>
    <row r="872" spans="37:59" x14ac:dyDescent="0.2"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  <c r="AW872" s="24"/>
      <c r="AX872" s="24"/>
      <c r="AY872" s="24"/>
      <c r="AZ872" s="24"/>
      <c r="BA872" s="24"/>
      <c r="BB872" s="24"/>
      <c r="BC872" s="24"/>
      <c r="BD872" s="24"/>
      <c r="BE872" s="24"/>
      <c r="BF872" s="24"/>
      <c r="BG872" s="24"/>
    </row>
    <row r="873" spans="37:59" x14ac:dyDescent="0.2"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  <c r="AW873" s="24"/>
      <c r="AX873" s="24"/>
      <c r="AY873" s="24"/>
      <c r="AZ873" s="24"/>
      <c r="BA873" s="24"/>
      <c r="BB873" s="24"/>
      <c r="BC873" s="24"/>
      <c r="BD873" s="24"/>
      <c r="BE873" s="24"/>
      <c r="BF873" s="24"/>
      <c r="BG873" s="24"/>
    </row>
    <row r="874" spans="37:59" x14ac:dyDescent="0.2"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  <c r="AW874" s="24"/>
      <c r="AX874" s="24"/>
      <c r="AY874" s="24"/>
      <c r="AZ874" s="24"/>
      <c r="BA874" s="24"/>
      <c r="BB874" s="24"/>
      <c r="BC874" s="24"/>
      <c r="BD874" s="24"/>
      <c r="BE874" s="24"/>
      <c r="BF874" s="24"/>
      <c r="BG874" s="24"/>
    </row>
    <row r="875" spans="37:59" x14ac:dyDescent="0.2"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  <c r="AW875" s="24"/>
      <c r="AX875" s="24"/>
      <c r="AY875" s="24"/>
      <c r="AZ875" s="24"/>
      <c r="BA875" s="24"/>
      <c r="BB875" s="24"/>
      <c r="BC875" s="24"/>
      <c r="BD875" s="24"/>
      <c r="BE875" s="24"/>
      <c r="BF875" s="24"/>
      <c r="BG875" s="24"/>
    </row>
    <row r="876" spans="37:59" x14ac:dyDescent="0.2"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  <c r="AW876" s="24"/>
      <c r="AX876" s="24"/>
      <c r="AY876" s="24"/>
      <c r="AZ876" s="24"/>
      <c r="BA876" s="24"/>
      <c r="BB876" s="24"/>
      <c r="BC876" s="24"/>
      <c r="BD876" s="24"/>
      <c r="BE876" s="24"/>
      <c r="BF876" s="24"/>
      <c r="BG876" s="24"/>
    </row>
    <row r="877" spans="37:59" x14ac:dyDescent="0.2"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  <c r="AW877" s="24"/>
      <c r="AX877" s="24"/>
      <c r="AY877" s="24"/>
      <c r="AZ877" s="24"/>
      <c r="BA877" s="24"/>
      <c r="BB877" s="24"/>
      <c r="BC877" s="24"/>
      <c r="BD877" s="24"/>
      <c r="BE877" s="24"/>
      <c r="BF877" s="24"/>
      <c r="BG877" s="24"/>
    </row>
    <row r="878" spans="37:59" x14ac:dyDescent="0.2"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  <c r="AW878" s="24"/>
      <c r="AX878" s="24"/>
      <c r="AY878" s="24"/>
      <c r="AZ878" s="24"/>
      <c r="BA878" s="24"/>
      <c r="BB878" s="24"/>
      <c r="BC878" s="24"/>
      <c r="BD878" s="24"/>
      <c r="BE878" s="24"/>
      <c r="BF878" s="24"/>
      <c r="BG878" s="24"/>
    </row>
    <row r="879" spans="37:59" x14ac:dyDescent="0.2"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  <c r="AW879" s="24"/>
      <c r="AX879" s="24"/>
      <c r="AY879" s="24"/>
      <c r="AZ879" s="24"/>
      <c r="BA879" s="24"/>
      <c r="BB879" s="24"/>
      <c r="BC879" s="24"/>
      <c r="BD879" s="24"/>
      <c r="BE879" s="24"/>
      <c r="BF879" s="24"/>
      <c r="BG879" s="24"/>
    </row>
    <row r="880" spans="37:59" x14ac:dyDescent="0.2"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  <c r="AW880" s="24"/>
      <c r="AX880" s="24"/>
      <c r="AY880" s="24"/>
      <c r="AZ880" s="24"/>
      <c r="BA880" s="24"/>
      <c r="BB880" s="24"/>
      <c r="BC880" s="24"/>
      <c r="BD880" s="24"/>
      <c r="BE880" s="24"/>
      <c r="BF880" s="24"/>
      <c r="BG880" s="24"/>
    </row>
    <row r="881" spans="37:59" x14ac:dyDescent="0.2"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  <c r="AW881" s="24"/>
      <c r="AX881" s="24"/>
      <c r="AY881" s="24"/>
      <c r="AZ881" s="24"/>
      <c r="BA881" s="24"/>
      <c r="BB881" s="24"/>
      <c r="BC881" s="24"/>
      <c r="BD881" s="24"/>
      <c r="BE881" s="24"/>
      <c r="BF881" s="24"/>
      <c r="BG881" s="24"/>
    </row>
    <row r="882" spans="37:59" x14ac:dyDescent="0.2"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  <c r="AW882" s="24"/>
      <c r="AX882" s="24"/>
      <c r="AY882" s="24"/>
      <c r="AZ882" s="24"/>
      <c r="BA882" s="24"/>
      <c r="BB882" s="24"/>
      <c r="BC882" s="24"/>
      <c r="BD882" s="24"/>
      <c r="BE882" s="24"/>
      <c r="BF882" s="24"/>
      <c r="BG882" s="24"/>
    </row>
    <row r="883" spans="37:59" x14ac:dyDescent="0.2"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  <c r="AW883" s="24"/>
      <c r="AX883" s="24"/>
      <c r="AY883" s="24"/>
      <c r="AZ883" s="24"/>
      <c r="BA883" s="24"/>
      <c r="BB883" s="24"/>
      <c r="BC883" s="24"/>
      <c r="BD883" s="24"/>
      <c r="BE883" s="24"/>
      <c r="BF883" s="24"/>
      <c r="BG883" s="24"/>
    </row>
    <row r="884" spans="37:59" x14ac:dyDescent="0.2"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  <c r="AW884" s="24"/>
      <c r="AX884" s="24"/>
      <c r="AY884" s="24"/>
      <c r="AZ884" s="24"/>
      <c r="BA884" s="24"/>
      <c r="BB884" s="24"/>
      <c r="BC884" s="24"/>
      <c r="BD884" s="24"/>
      <c r="BE884" s="24"/>
      <c r="BF884" s="24"/>
      <c r="BG884" s="24"/>
    </row>
    <row r="885" spans="37:59" x14ac:dyDescent="0.2"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  <c r="AW885" s="24"/>
      <c r="AX885" s="24"/>
      <c r="AY885" s="24"/>
      <c r="AZ885" s="24"/>
      <c r="BA885" s="24"/>
      <c r="BB885" s="24"/>
      <c r="BC885" s="24"/>
      <c r="BD885" s="24"/>
      <c r="BE885" s="24"/>
      <c r="BF885" s="24"/>
      <c r="BG885" s="24"/>
    </row>
    <row r="886" spans="37:59" x14ac:dyDescent="0.2"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  <c r="AW886" s="24"/>
      <c r="AX886" s="24"/>
      <c r="AY886" s="24"/>
      <c r="AZ886" s="24"/>
      <c r="BA886" s="24"/>
      <c r="BB886" s="24"/>
      <c r="BC886" s="24"/>
      <c r="BD886" s="24"/>
      <c r="BE886" s="24"/>
      <c r="BF886" s="24"/>
      <c r="BG886" s="24"/>
    </row>
    <row r="887" spans="37:59" x14ac:dyDescent="0.2"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  <c r="AW887" s="24"/>
      <c r="AX887" s="24"/>
      <c r="AY887" s="24"/>
      <c r="AZ887" s="24"/>
      <c r="BA887" s="24"/>
      <c r="BB887" s="24"/>
      <c r="BC887" s="24"/>
      <c r="BD887" s="24"/>
      <c r="BE887" s="24"/>
      <c r="BF887" s="24"/>
      <c r="BG887" s="24"/>
    </row>
    <row r="888" spans="37:59" x14ac:dyDescent="0.2"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  <c r="AW888" s="24"/>
      <c r="AX888" s="24"/>
      <c r="AY888" s="24"/>
      <c r="AZ888" s="24"/>
      <c r="BA888" s="24"/>
      <c r="BB888" s="24"/>
      <c r="BC888" s="24"/>
      <c r="BD888" s="24"/>
      <c r="BE888" s="24"/>
      <c r="BF888" s="24"/>
      <c r="BG888" s="24"/>
    </row>
    <row r="889" spans="37:59" x14ac:dyDescent="0.2"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  <c r="AW889" s="24"/>
      <c r="AX889" s="24"/>
      <c r="AY889" s="24"/>
      <c r="AZ889" s="24"/>
      <c r="BA889" s="24"/>
      <c r="BB889" s="24"/>
      <c r="BC889" s="24"/>
      <c r="BD889" s="24"/>
      <c r="BE889" s="24"/>
      <c r="BF889" s="24"/>
      <c r="BG889" s="24"/>
    </row>
    <row r="890" spans="37:59" x14ac:dyDescent="0.2"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  <c r="AW890" s="24"/>
      <c r="AX890" s="24"/>
      <c r="AY890" s="24"/>
      <c r="AZ890" s="24"/>
      <c r="BA890" s="24"/>
      <c r="BB890" s="24"/>
      <c r="BC890" s="24"/>
      <c r="BD890" s="24"/>
      <c r="BE890" s="24"/>
      <c r="BF890" s="24"/>
      <c r="BG890" s="24"/>
    </row>
    <row r="891" spans="37:59" x14ac:dyDescent="0.2"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  <c r="AW891" s="24"/>
      <c r="AX891" s="24"/>
      <c r="AY891" s="24"/>
      <c r="AZ891" s="24"/>
      <c r="BA891" s="24"/>
      <c r="BB891" s="24"/>
      <c r="BC891" s="24"/>
      <c r="BD891" s="24"/>
      <c r="BE891" s="24"/>
      <c r="BF891" s="24"/>
      <c r="BG891" s="24"/>
    </row>
    <row r="892" spans="37:59" x14ac:dyDescent="0.2"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  <c r="AW892" s="24"/>
      <c r="AX892" s="24"/>
      <c r="AY892" s="24"/>
      <c r="AZ892" s="24"/>
      <c r="BA892" s="24"/>
      <c r="BB892" s="24"/>
      <c r="BC892" s="24"/>
      <c r="BD892" s="24"/>
      <c r="BE892" s="24"/>
      <c r="BF892" s="24"/>
      <c r="BG892" s="24"/>
    </row>
    <row r="893" spans="37:59" x14ac:dyDescent="0.2"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  <c r="AW893" s="24"/>
      <c r="AX893" s="24"/>
      <c r="AY893" s="24"/>
      <c r="AZ893" s="24"/>
      <c r="BA893" s="24"/>
      <c r="BB893" s="24"/>
      <c r="BC893" s="24"/>
      <c r="BD893" s="24"/>
      <c r="BE893" s="24"/>
      <c r="BF893" s="24"/>
      <c r="BG893" s="24"/>
    </row>
    <row r="894" spans="37:59" x14ac:dyDescent="0.2"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  <c r="AW894" s="24"/>
      <c r="AX894" s="24"/>
      <c r="AY894" s="24"/>
      <c r="AZ894" s="24"/>
      <c r="BA894" s="24"/>
      <c r="BB894" s="24"/>
      <c r="BC894" s="24"/>
      <c r="BD894" s="24"/>
      <c r="BE894" s="24"/>
      <c r="BF894" s="24"/>
      <c r="BG894" s="24"/>
    </row>
    <row r="895" spans="37:59" x14ac:dyDescent="0.2"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  <c r="AW895" s="24"/>
      <c r="AX895" s="24"/>
      <c r="AY895" s="24"/>
      <c r="AZ895" s="24"/>
      <c r="BA895" s="24"/>
      <c r="BB895" s="24"/>
      <c r="BC895" s="24"/>
      <c r="BD895" s="24"/>
      <c r="BE895" s="24"/>
      <c r="BF895" s="24"/>
      <c r="BG895" s="24"/>
    </row>
    <row r="896" spans="37:59" x14ac:dyDescent="0.2"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  <c r="AW896" s="24"/>
      <c r="AX896" s="24"/>
      <c r="AY896" s="24"/>
      <c r="AZ896" s="24"/>
      <c r="BA896" s="24"/>
      <c r="BB896" s="24"/>
      <c r="BC896" s="24"/>
      <c r="BD896" s="24"/>
      <c r="BE896" s="24"/>
      <c r="BF896" s="24"/>
      <c r="BG896" s="24"/>
    </row>
    <row r="897" spans="37:59" x14ac:dyDescent="0.2"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  <c r="AW897" s="24"/>
      <c r="AX897" s="24"/>
      <c r="AY897" s="24"/>
      <c r="AZ897" s="24"/>
      <c r="BA897" s="24"/>
      <c r="BB897" s="24"/>
      <c r="BC897" s="24"/>
      <c r="BD897" s="24"/>
      <c r="BE897" s="24"/>
      <c r="BF897" s="24"/>
      <c r="BG897" s="24"/>
    </row>
    <row r="898" spans="37:59" x14ac:dyDescent="0.2"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  <c r="AW898" s="24"/>
      <c r="AX898" s="24"/>
      <c r="AY898" s="24"/>
      <c r="AZ898" s="24"/>
      <c r="BA898" s="24"/>
      <c r="BB898" s="24"/>
      <c r="BC898" s="24"/>
      <c r="BD898" s="24"/>
      <c r="BE898" s="24"/>
      <c r="BF898" s="24"/>
      <c r="BG898" s="24"/>
    </row>
    <row r="899" spans="37:59" x14ac:dyDescent="0.2"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  <c r="AW899" s="24"/>
      <c r="AX899" s="24"/>
      <c r="AY899" s="24"/>
      <c r="AZ899" s="24"/>
      <c r="BA899" s="24"/>
      <c r="BB899" s="24"/>
      <c r="BC899" s="24"/>
      <c r="BD899" s="24"/>
      <c r="BE899" s="24"/>
      <c r="BF899" s="24"/>
      <c r="BG899" s="24"/>
    </row>
    <row r="900" spans="37:59" x14ac:dyDescent="0.2"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  <c r="AV900" s="24"/>
      <c r="AW900" s="24"/>
      <c r="AX900" s="24"/>
      <c r="AY900" s="24"/>
      <c r="AZ900" s="24"/>
      <c r="BA900" s="24"/>
      <c r="BB900" s="24"/>
      <c r="BC900" s="24"/>
      <c r="BD900" s="24"/>
      <c r="BE900" s="24"/>
      <c r="BF900" s="24"/>
      <c r="BG900" s="24"/>
    </row>
    <row r="901" spans="37:59" x14ac:dyDescent="0.2"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  <c r="AW901" s="24"/>
      <c r="AX901" s="24"/>
      <c r="AY901" s="24"/>
      <c r="AZ901" s="24"/>
      <c r="BA901" s="24"/>
      <c r="BB901" s="24"/>
      <c r="BC901" s="24"/>
      <c r="BD901" s="24"/>
      <c r="BE901" s="24"/>
      <c r="BF901" s="24"/>
      <c r="BG901" s="24"/>
    </row>
    <row r="902" spans="37:59" x14ac:dyDescent="0.2"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  <c r="AV902" s="24"/>
      <c r="AW902" s="24"/>
      <c r="AX902" s="24"/>
      <c r="AY902" s="24"/>
      <c r="AZ902" s="24"/>
      <c r="BA902" s="24"/>
      <c r="BB902" s="24"/>
      <c r="BC902" s="24"/>
      <c r="BD902" s="24"/>
      <c r="BE902" s="24"/>
      <c r="BF902" s="24"/>
      <c r="BG902" s="24"/>
    </row>
    <row r="903" spans="37:59" x14ac:dyDescent="0.2"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  <c r="AV903" s="24"/>
      <c r="AW903" s="24"/>
      <c r="AX903" s="24"/>
      <c r="AY903" s="24"/>
      <c r="AZ903" s="24"/>
      <c r="BA903" s="24"/>
      <c r="BB903" s="24"/>
      <c r="BC903" s="24"/>
      <c r="BD903" s="24"/>
      <c r="BE903" s="24"/>
      <c r="BF903" s="24"/>
      <c r="BG903" s="24"/>
    </row>
    <row r="904" spans="37:59" x14ac:dyDescent="0.2"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  <c r="AW904" s="24"/>
      <c r="AX904" s="24"/>
      <c r="AY904" s="24"/>
      <c r="AZ904" s="24"/>
      <c r="BA904" s="24"/>
      <c r="BB904" s="24"/>
      <c r="BC904" s="24"/>
      <c r="BD904" s="24"/>
      <c r="BE904" s="24"/>
      <c r="BF904" s="24"/>
      <c r="BG904" s="24"/>
    </row>
    <row r="905" spans="37:59" x14ac:dyDescent="0.2"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  <c r="AV905" s="24"/>
      <c r="AW905" s="24"/>
      <c r="AX905" s="24"/>
      <c r="AY905" s="24"/>
      <c r="AZ905" s="24"/>
      <c r="BA905" s="24"/>
      <c r="BB905" s="24"/>
      <c r="BC905" s="24"/>
      <c r="BD905" s="24"/>
      <c r="BE905" s="24"/>
      <c r="BF905" s="24"/>
      <c r="BG905" s="24"/>
    </row>
    <row r="906" spans="37:59" x14ac:dyDescent="0.2"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  <c r="AW906" s="24"/>
      <c r="AX906" s="24"/>
      <c r="AY906" s="24"/>
      <c r="AZ906" s="24"/>
      <c r="BA906" s="24"/>
      <c r="BB906" s="24"/>
      <c r="BC906" s="24"/>
      <c r="BD906" s="24"/>
      <c r="BE906" s="24"/>
      <c r="BF906" s="24"/>
      <c r="BG906" s="24"/>
    </row>
    <row r="907" spans="37:59" x14ac:dyDescent="0.2"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  <c r="AW907" s="24"/>
      <c r="AX907" s="24"/>
      <c r="AY907" s="24"/>
      <c r="AZ907" s="24"/>
      <c r="BA907" s="24"/>
      <c r="BB907" s="24"/>
      <c r="BC907" s="24"/>
      <c r="BD907" s="24"/>
      <c r="BE907" s="24"/>
      <c r="BF907" s="24"/>
      <c r="BG907" s="24"/>
    </row>
    <row r="908" spans="37:59" x14ac:dyDescent="0.2"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  <c r="AW908" s="24"/>
      <c r="AX908" s="24"/>
      <c r="AY908" s="24"/>
      <c r="AZ908" s="24"/>
      <c r="BA908" s="24"/>
      <c r="BB908" s="24"/>
      <c r="BC908" s="24"/>
      <c r="BD908" s="24"/>
      <c r="BE908" s="24"/>
      <c r="BF908" s="24"/>
      <c r="BG908" s="24"/>
    </row>
    <row r="909" spans="37:59" x14ac:dyDescent="0.2"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  <c r="AW909" s="24"/>
      <c r="AX909" s="24"/>
      <c r="AY909" s="24"/>
      <c r="AZ909" s="24"/>
      <c r="BA909" s="24"/>
      <c r="BB909" s="24"/>
      <c r="BC909" s="24"/>
      <c r="BD909" s="24"/>
      <c r="BE909" s="24"/>
      <c r="BF909" s="24"/>
      <c r="BG909" s="24"/>
    </row>
    <row r="910" spans="37:59" x14ac:dyDescent="0.2"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  <c r="AW910" s="24"/>
      <c r="AX910" s="24"/>
      <c r="AY910" s="24"/>
      <c r="AZ910" s="24"/>
      <c r="BA910" s="24"/>
      <c r="BB910" s="24"/>
      <c r="BC910" s="24"/>
      <c r="BD910" s="24"/>
      <c r="BE910" s="24"/>
      <c r="BF910" s="24"/>
      <c r="BG910" s="24"/>
    </row>
    <row r="911" spans="37:59" x14ac:dyDescent="0.2"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  <c r="AV911" s="24"/>
      <c r="AW911" s="24"/>
      <c r="AX911" s="24"/>
      <c r="AY911" s="24"/>
      <c r="AZ911" s="24"/>
      <c r="BA911" s="24"/>
      <c r="BB911" s="24"/>
      <c r="BC911" s="24"/>
      <c r="BD911" s="24"/>
      <c r="BE911" s="24"/>
      <c r="BF911" s="24"/>
      <c r="BG911" s="24"/>
    </row>
    <row r="912" spans="37:59" x14ac:dyDescent="0.2"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  <c r="AV912" s="24"/>
      <c r="AW912" s="24"/>
      <c r="AX912" s="24"/>
      <c r="AY912" s="24"/>
      <c r="AZ912" s="24"/>
      <c r="BA912" s="24"/>
      <c r="BB912" s="24"/>
      <c r="BC912" s="24"/>
      <c r="BD912" s="24"/>
      <c r="BE912" s="24"/>
      <c r="BF912" s="24"/>
      <c r="BG912" s="24"/>
    </row>
    <row r="913" spans="37:59" x14ac:dyDescent="0.2"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  <c r="AW913" s="24"/>
      <c r="AX913" s="24"/>
      <c r="AY913" s="24"/>
      <c r="AZ913" s="24"/>
      <c r="BA913" s="24"/>
      <c r="BB913" s="24"/>
      <c r="BC913" s="24"/>
      <c r="BD913" s="24"/>
      <c r="BE913" s="24"/>
      <c r="BF913" s="24"/>
      <c r="BG913" s="24"/>
    </row>
    <row r="914" spans="37:59" x14ac:dyDescent="0.2"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  <c r="AW914" s="24"/>
      <c r="AX914" s="24"/>
      <c r="AY914" s="24"/>
      <c r="AZ914" s="24"/>
      <c r="BA914" s="24"/>
      <c r="BB914" s="24"/>
      <c r="BC914" s="24"/>
      <c r="BD914" s="24"/>
      <c r="BE914" s="24"/>
      <c r="BF914" s="24"/>
      <c r="BG914" s="24"/>
    </row>
    <row r="915" spans="37:59" x14ac:dyDescent="0.2"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  <c r="AW915" s="24"/>
      <c r="AX915" s="24"/>
      <c r="AY915" s="24"/>
      <c r="AZ915" s="24"/>
      <c r="BA915" s="24"/>
      <c r="BB915" s="24"/>
      <c r="BC915" s="24"/>
      <c r="BD915" s="24"/>
      <c r="BE915" s="24"/>
      <c r="BF915" s="24"/>
      <c r="BG915" s="24"/>
    </row>
    <row r="916" spans="37:59" x14ac:dyDescent="0.2"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  <c r="AW916" s="24"/>
      <c r="AX916" s="24"/>
      <c r="AY916" s="24"/>
      <c r="AZ916" s="24"/>
      <c r="BA916" s="24"/>
      <c r="BB916" s="24"/>
      <c r="BC916" s="24"/>
      <c r="BD916" s="24"/>
      <c r="BE916" s="24"/>
      <c r="BF916" s="24"/>
      <c r="BG916" s="24"/>
    </row>
    <row r="917" spans="37:59" x14ac:dyDescent="0.2"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  <c r="AW917" s="24"/>
      <c r="AX917" s="24"/>
      <c r="AY917" s="24"/>
      <c r="AZ917" s="24"/>
      <c r="BA917" s="24"/>
      <c r="BB917" s="24"/>
      <c r="BC917" s="24"/>
      <c r="BD917" s="24"/>
      <c r="BE917" s="24"/>
      <c r="BF917" s="24"/>
      <c r="BG917" s="24"/>
    </row>
    <row r="918" spans="37:59" x14ac:dyDescent="0.2"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  <c r="AV918" s="24"/>
      <c r="AW918" s="24"/>
      <c r="AX918" s="24"/>
      <c r="AY918" s="24"/>
      <c r="AZ918" s="24"/>
      <c r="BA918" s="24"/>
      <c r="BB918" s="24"/>
      <c r="BC918" s="24"/>
      <c r="BD918" s="24"/>
      <c r="BE918" s="24"/>
      <c r="BF918" s="24"/>
      <c r="BG918" s="24"/>
    </row>
    <row r="919" spans="37:59" x14ac:dyDescent="0.2"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  <c r="AW919" s="24"/>
      <c r="AX919" s="24"/>
      <c r="AY919" s="24"/>
      <c r="AZ919" s="24"/>
      <c r="BA919" s="24"/>
      <c r="BB919" s="24"/>
      <c r="BC919" s="24"/>
      <c r="BD919" s="24"/>
      <c r="BE919" s="24"/>
      <c r="BF919" s="24"/>
      <c r="BG919" s="24"/>
    </row>
    <row r="920" spans="37:59" x14ac:dyDescent="0.2"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  <c r="AW920" s="24"/>
      <c r="AX920" s="24"/>
      <c r="AY920" s="24"/>
      <c r="AZ920" s="24"/>
      <c r="BA920" s="24"/>
      <c r="BB920" s="24"/>
      <c r="BC920" s="24"/>
      <c r="BD920" s="24"/>
      <c r="BE920" s="24"/>
      <c r="BF920" s="24"/>
      <c r="BG920" s="24"/>
    </row>
    <row r="921" spans="37:59" x14ac:dyDescent="0.2"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  <c r="AW921" s="24"/>
      <c r="AX921" s="24"/>
      <c r="AY921" s="24"/>
      <c r="AZ921" s="24"/>
      <c r="BA921" s="24"/>
      <c r="BB921" s="24"/>
      <c r="BC921" s="24"/>
      <c r="BD921" s="24"/>
      <c r="BE921" s="24"/>
      <c r="BF921" s="24"/>
      <c r="BG921" s="24"/>
    </row>
    <row r="922" spans="37:59" x14ac:dyDescent="0.2"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  <c r="AW922" s="24"/>
      <c r="AX922" s="24"/>
      <c r="AY922" s="24"/>
      <c r="AZ922" s="24"/>
      <c r="BA922" s="24"/>
      <c r="BB922" s="24"/>
      <c r="BC922" s="24"/>
      <c r="BD922" s="24"/>
      <c r="BE922" s="24"/>
      <c r="BF922" s="24"/>
      <c r="BG922" s="24"/>
    </row>
    <row r="923" spans="37:59" x14ac:dyDescent="0.2"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  <c r="AW923" s="24"/>
      <c r="AX923" s="24"/>
      <c r="AY923" s="24"/>
      <c r="AZ923" s="24"/>
      <c r="BA923" s="24"/>
      <c r="BB923" s="24"/>
      <c r="BC923" s="24"/>
      <c r="BD923" s="24"/>
      <c r="BE923" s="24"/>
      <c r="BF923" s="24"/>
      <c r="BG923" s="24"/>
    </row>
    <row r="924" spans="37:59" x14ac:dyDescent="0.2"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  <c r="AW924" s="24"/>
      <c r="AX924" s="24"/>
      <c r="AY924" s="24"/>
      <c r="AZ924" s="24"/>
      <c r="BA924" s="24"/>
      <c r="BB924" s="24"/>
      <c r="BC924" s="24"/>
      <c r="BD924" s="24"/>
      <c r="BE924" s="24"/>
      <c r="BF924" s="24"/>
      <c r="BG924" s="24"/>
    </row>
    <row r="925" spans="37:59" x14ac:dyDescent="0.2"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  <c r="AW925" s="24"/>
      <c r="AX925" s="24"/>
      <c r="AY925" s="24"/>
      <c r="AZ925" s="24"/>
      <c r="BA925" s="24"/>
      <c r="BB925" s="24"/>
      <c r="BC925" s="24"/>
      <c r="BD925" s="24"/>
      <c r="BE925" s="24"/>
      <c r="BF925" s="24"/>
      <c r="BG925" s="24"/>
    </row>
    <row r="926" spans="37:59" x14ac:dyDescent="0.2"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  <c r="AV926" s="24"/>
      <c r="AW926" s="24"/>
      <c r="AX926" s="24"/>
      <c r="AY926" s="24"/>
      <c r="AZ926" s="24"/>
      <c r="BA926" s="24"/>
      <c r="BB926" s="24"/>
      <c r="BC926" s="24"/>
      <c r="BD926" s="24"/>
      <c r="BE926" s="24"/>
      <c r="BF926" s="24"/>
      <c r="BG926" s="24"/>
    </row>
    <row r="927" spans="37:59" x14ac:dyDescent="0.2"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  <c r="AV927" s="24"/>
      <c r="AW927" s="24"/>
      <c r="AX927" s="24"/>
      <c r="AY927" s="24"/>
      <c r="AZ927" s="24"/>
      <c r="BA927" s="24"/>
      <c r="BB927" s="24"/>
      <c r="BC927" s="24"/>
      <c r="BD927" s="24"/>
      <c r="BE927" s="24"/>
      <c r="BF927" s="24"/>
      <c r="BG927" s="24"/>
    </row>
    <row r="928" spans="37:59" x14ac:dyDescent="0.2"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  <c r="AW928" s="24"/>
      <c r="AX928" s="24"/>
      <c r="AY928" s="24"/>
      <c r="AZ928" s="24"/>
      <c r="BA928" s="24"/>
      <c r="BB928" s="24"/>
      <c r="BC928" s="24"/>
      <c r="BD928" s="24"/>
      <c r="BE928" s="24"/>
      <c r="BF928" s="24"/>
      <c r="BG928" s="24"/>
    </row>
    <row r="929" spans="37:59" x14ac:dyDescent="0.2"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  <c r="AW929" s="24"/>
      <c r="AX929" s="24"/>
      <c r="AY929" s="24"/>
      <c r="AZ929" s="24"/>
      <c r="BA929" s="24"/>
      <c r="BB929" s="24"/>
      <c r="BC929" s="24"/>
      <c r="BD929" s="24"/>
      <c r="BE929" s="24"/>
      <c r="BF929" s="24"/>
      <c r="BG929" s="24"/>
    </row>
    <row r="930" spans="37:59" x14ac:dyDescent="0.2"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  <c r="AW930" s="24"/>
      <c r="AX930" s="24"/>
      <c r="AY930" s="24"/>
      <c r="AZ930" s="24"/>
      <c r="BA930" s="24"/>
      <c r="BB930" s="24"/>
      <c r="BC930" s="24"/>
      <c r="BD930" s="24"/>
      <c r="BE930" s="24"/>
      <c r="BF930" s="24"/>
      <c r="BG930" s="24"/>
    </row>
    <row r="931" spans="37:59" x14ac:dyDescent="0.2"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  <c r="AV931" s="24"/>
      <c r="AW931" s="24"/>
      <c r="AX931" s="24"/>
      <c r="AY931" s="24"/>
      <c r="AZ931" s="24"/>
      <c r="BA931" s="24"/>
      <c r="BB931" s="24"/>
      <c r="BC931" s="24"/>
      <c r="BD931" s="24"/>
      <c r="BE931" s="24"/>
      <c r="BF931" s="24"/>
      <c r="BG931" s="24"/>
    </row>
    <row r="932" spans="37:59" x14ac:dyDescent="0.2"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  <c r="AW932" s="24"/>
      <c r="AX932" s="24"/>
      <c r="AY932" s="24"/>
      <c r="AZ932" s="24"/>
      <c r="BA932" s="24"/>
      <c r="BB932" s="24"/>
      <c r="BC932" s="24"/>
      <c r="BD932" s="24"/>
      <c r="BE932" s="24"/>
      <c r="BF932" s="24"/>
      <c r="BG932" s="24"/>
    </row>
    <row r="933" spans="37:59" x14ac:dyDescent="0.2"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  <c r="AV933" s="24"/>
      <c r="AW933" s="24"/>
      <c r="AX933" s="24"/>
      <c r="AY933" s="24"/>
      <c r="AZ933" s="24"/>
      <c r="BA933" s="24"/>
      <c r="BB933" s="24"/>
      <c r="BC933" s="24"/>
      <c r="BD933" s="24"/>
      <c r="BE933" s="24"/>
      <c r="BF933" s="24"/>
      <c r="BG933" s="24"/>
    </row>
    <row r="934" spans="37:59" x14ac:dyDescent="0.2"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  <c r="AW934" s="24"/>
      <c r="AX934" s="24"/>
      <c r="AY934" s="24"/>
      <c r="AZ934" s="24"/>
      <c r="BA934" s="24"/>
      <c r="BB934" s="24"/>
      <c r="BC934" s="24"/>
      <c r="BD934" s="24"/>
      <c r="BE934" s="24"/>
      <c r="BF934" s="24"/>
      <c r="BG934" s="24"/>
    </row>
    <row r="935" spans="37:59" x14ac:dyDescent="0.2"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  <c r="AV935" s="24"/>
      <c r="AW935" s="24"/>
      <c r="AX935" s="24"/>
      <c r="AY935" s="24"/>
      <c r="AZ935" s="24"/>
      <c r="BA935" s="24"/>
      <c r="BB935" s="24"/>
      <c r="BC935" s="24"/>
      <c r="BD935" s="24"/>
      <c r="BE935" s="24"/>
      <c r="BF935" s="24"/>
      <c r="BG935" s="24"/>
    </row>
    <row r="936" spans="37:59" x14ac:dyDescent="0.2"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  <c r="AW936" s="24"/>
      <c r="AX936" s="24"/>
      <c r="AY936" s="24"/>
      <c r="AZ936" s="24"/>
      <c r="BA936" s="24"/>
      <c r="BB936" s="24"/>
      <c r="BC936" s="24"/>
      <c r="BD936" s="24"/>
      <c r="BE936" s="24"/>
      <c r="BF936" s="24"/>
      <c r="BG936" s="24"/>
    </row>
    <row r="937" spans="37:59" x14ac:dyDescent="0.2"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  <c r="AV937" s="24"/>
      <c r="AW937" s="24"/>
      <c r="AX937" s="24"/>
      <c r="AY937" s="24"/>
      <c r="AZ937" s="24"/>
      <c r="BA937" s="24"/>
      <c r="BB937" s="24"/>
      <c r="BC937" s="24"/>
      <c r="BD937" s="24"/>
      <c r="BE937" s="24"/>
      <c r="BF937" s="24"/>
      <c r="BG937" s="24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/>
  </sheetViews>
  <sheetFormatPr defaultRowHeight="15" x14ac:dyDescent="0.25"/>
  <cols>
    <col min="1" max="1" width="11.28515625" bestFit="1" customWidth="1"/>
    <col min="2" max="2" width="12.28515625" bestFit="1" customWidth="1"/>
    <col min="4" max="4" width="12.7109375" customWidth="1"/>
  </cols>
  <sheetData>
    <row r="1" spans="1:12" x14ac:dyDescent="0.25">
      <c r="A1" t="s">
        <v>69</v>
      </c>
      <c r="B1" t="s">
        <v>41</v>
      </c>
      <c r="D1" t="s">
        <v>70</v>
      </c>
      <c r="E1" t="s">
        <v>42</v>
      </c>
    </row>
    <row r="3" spans="1:12" x14ac:dyDescent="0.25">
      <c r="A3" t="s">
        <v>43</v>
      </c>
    </row>
    <row r="4" spans="1:12" x14ac:dyDescent="0.25">
      <c r="A4" s="5" t="e">
        <f>AVERAGE(B2:B60)</f>
        <v>#DIV/0!</v>
      </c>
    </row>
    <row r="6" spans="1:12" x14ac:dyDescent="0.25">
      <c r="A6" t="s">
        <v>44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</row>
    <row r="7" spans="1:12" x14ac:dyDescent="0.25">
      <c r="A7" s="5">
        <f>MIN(B2:B60)</f>
        <v>0</v>
      </c>
      <c r="F7">
        <v>1</v>
      </c>
      <c r="G7">
        <v>1</v>
      </c>
      <c r="H7">
        <v>3</v>
      </c>
      <c r="I7">
        <v>8</v>
      </c>
      <c r="J7">
        <v>25</v>
      </c>
      <c r="K7">
        <v>15</v>
      </c>
      <c r="L7">
        <v>6</v>
      </c>
    </row>
    <row r="9" spans="1:12" x14ac:dyDescent="0.25">
      <c r="A9" t="s">
        <v>45</v>
      </c>
    </row>
    <row r="10" spans="1:12" x14ac:dyDescent="0.25">
      <c r="A10" s="6">
        <f>MAX(B2:B60)</f>
        <v>0</v>
      </c>
    </row>
  </sheetData>
  <sortState ref="B2:B60">
    <sortCondition ref="B2:B60"/>
  </sortState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/>
  </sheetViews>
  <sheetFormatPr defaultRowHeight="15" x14ac:dyDescent="0.25"/>
  <cols>
    <col min="1" max="1" width="26.5703125" style="8" bestFit="1" customWidth="1"/>
    <col min="2" max="3" width="11.5703125" style="9" bestFit="1" customWidth="1"/>
    <col min="4" max="4" width="12.140625" style="9" bestFit="1" customWidth="1"/>
    <col min="5" max="5" width="12.5703125" style="9" bestFit="1" customWidth="1"/>
    <col min="6" max="7" width="11.5703125" style="9" bestFit="1" customWidth="1"/>
    <col min="8" max="8" width="12.140625" style="9" bestFit="1" customWidth="1"/>
    <col min="9" max="9" width="11.5703125" style="9" bestFit="1" customWidth="1"/>
    <col min="10" max="11" width="12.140625" style="9" bestFit="1" customWidth="1"/>
  </cols>
  <sheetData>
    <row r="1" spans="1:11" x14ac:dyDescent="0.25">
      <c r="C1" s="10"/>
      <c r="D1" s="10"/>
      <c r="G1" s="10"/>
    </row>
    <row r="3" spans="1:11" x14ac:dyDescent="0.25">
      <c r="A3" s="12"/>
      <c r="B3" s="13"/>
      <c r="C3" s="13"/>
      <c r="D3" s="16"/>
      <c r="E3" s="16"/>
      <c r="F3" s="13"/>
      <c r="G3" s="13"/>
      <c r="H3" s="13"/>
      <c r="I3" s="13"/>
      <c r="J3" s="13"/>
      <c r="K3" s="13"/>
    </row>
    <row r="4" spans="1:11" x14ac:dyDescent="0.25">
      <c r="A4" s="12"/>
      <c r="B4" s="13"/>
      <c r="C4" s="13"/>
      <c r="D4" s="16"/>
      <c r="E4" s="16"/>
      <c r="F4" s="13"/>
      <c r="G4" s="13"/>
      <c r="H4" s="13"/>
      <c r="I4" s="13"/>
      <c r="J4" s="13"/>
      <c r="K4" s="13"/>
    </row>
    <row r="5" spans="1:11" x14ac:dyDescent="0.25">
      <c r="A5" s="12"/>
      <c r="B5" s="13"/>
      <c r="C5" s="13"/>
      <c r="D5" s="16"/>
      <c r="E5" s="16"/>
      <c r="F5" s="13"/>
      <c r="G5" s="13"/>
      <c r="H5" s="13"/>
      <c r="I5" s="13"/>
      <c r="J5" s="13"/>
      <c r="K5" s="13"/>
    </row>
    <row r="6" spans="1:11" x14ac:dyDescent="0.25">
      <c r="A6" s="12"/>
      <c r="B6" s="13"/>
      <c r="C6" s="13"/>
      <c r="D6" s="16"/>
      <c r="E6" s="16"/>
      <c r="F6" s="13"/>
      <c r="G6" s="13"/>
      <c r="H6" s="13"/>
      <c r="I6" s="13"/>
      <c r="J6" s="13"/>
      <c r="K6" s="13"/>
    </row>
    <row r="7" spans="1:11" x14ac:dyDescent="0.25">
      <c r="A7" s="12"/>
      <c r="B7" s="13"/>
      <c r="C7" s="13"/>
      <c r="D7" s="16"/>
      <c r="E7" s="16"/>
      <c r="F7" s="13"/>
      <c r="G7" s="13"/>
      <c r="H7" s="13"/>
      <c r="I7" s="13"/>
      <c r="J7" s="13"/>
      <c r="K7" s="13"/>
    </row>
    <row r="8" spans="1:11" x14ac:dyDescent="0.25">
      <c r="A8" s="12"/>
      <c r="B8" s="13"/>
      <c r="C8" s="13"/>
      <c r="D8" s="16"/>
      <c r="E8" s="16"/>
      <c r="F8" s="13"/>
      <c r="G8" s="13"/>
      <c r="H8" s="13"/>
      <c r="I8" s="13"/>
      <c r="J8" s="13"/>
      <c r="K8" s="13"/>
    </row>
    <row r="9" spans="1:11" x14ac:dyDescent="0.25">
      <c r="A9" s="12"/>
      <c r="B9" s="13"/>
      <c r="C9" s="13"/>
      <c r="D9" s="16"/>
      <c r="E9" s="16"/>
      <c r="F9" s="13"/>
      <c r="G9" s="13"/>
      <c r="H9" s="13"/>
      <c r="I9" s="13"/>
      <c r="J9" s="13"/>
      <c r="K9" s="13"/>
    </row>
    <row r="10" spans="1:11" x14ac:dyDescent="0.25">
      <c r="A10" s="12"/>
      <c r="B10" s="13"/>
      <c r="C10" s="13"/>
      <c r="D10" s="16"/>
      <c r="E10" s="16"/>
      <c r="F10" s="13"/>
      <c r="G10" s="13"/>
      <c r="H10" s="13"/>
      <c r="I10" s="13"/>
      <c r="J10" s="13"/>
      <c r="K10" s="13"/>
    </row>
    <row r="11" spans="1:11" x14ac:dyDescent="0.25">
      <c r="A11" s="12"/>
      <c r="B11" s="13"/>
      <c r="C11" s="13"/>
      <c r="D11" s="16"/>
      <c r="E11" s="16"/>
      <c r="F11" s="13"/>
      <c r="G11" s="13"/>
      <c r="H11" s="13"/>
      <c r="I11" s="13"/>
      <c r="J11" s="13"/>
      <c r="K11" s="13"/>
    </row>
    <row r="12" spans="1:11" x14ac:dyDescent="0.25">
      <c r="A12" s="12"/>
      <c r="B12" s="13"/>
      <c r="C12" s="13"/>
      <c r="D12" s="16"/>
      <c r="E12" s="16"/>
      <c r="F12" s="13"/>
      <c r="G12" s="13"/>
      <c r="H12" s="13"/>
      <c r="I12" s="13"/>
      <c r="J12" s="13"/>
      <c r="K12" s="13"/>
    </row>
    <row r="13" spans="1:11" x14ac:dyDescent="0.25">
      <c r="A13" s="12"/>
      <c r="B13" s="13"/>
      <c r="C13" s="13"/>
      <c r="D13" s="16"/>
      <c r="E13" s="16"/>
      <c r="F13" s="13"/>
      <c r="G13" s="13"/>
      <c r="H13" s="13"/>
      <c r="I13" s="13"/>
      <c r="J13" s="13"/>
      <c r="K13" s="13"/>
    </row>
    <row r="14" spans="1:11" x14ac:dyDescent="0.25">
      <c r="A14" s="12"/>
      <c r="B14" s="13"/>
      <c r="C14" s="13"/>
      <c r="D14" s="16"/>
      <c r="E14" s="16"/>
      <c r="F14" s="13"/>
      <c r="G14" s="13"/>
      <c r="H14" s="13"/>
      <c r="I14" s="13"/>
      <c r="J14" s="13"/>
      <c r="K14" s="13"/>
    </row>
    <row r="15" spans="1:11" x14ac:dyDescent="0.25">
      <c r="A15" s="12"/>
      <c r="B15" s="13"/>
      <c r="C15" s="13"/>
      <c r="D15" s="16"/>
      <c r="E15" s="16"/>
      <c r="F15" s="13"/>
      <c r="G15" s="13"/>
      <c r="H15" s="13"/>
      <c r="I15" s="13"/>
      <c r="J15" s="13"/>
      <c r="K15" s="13"/>
    </row>
    <row r="16" spans="1:11" x14ac:dyDescent="0.25">
      <c r="A16" s="12"/>
      <c r="B16" s="13"/>
      <c r="C16" s="13"/>
      <c r="D16" s="16"/>
      <c r="E16" s="16"/>
      <c r="F16" s="13"/>
      <c r="G16" s="13"/>
      <c r="H16" s="13"/>
      <c r="I16" s="13"/>
      <c r="J16" s="13"/>
      <c r="K16" s="13"/>
    </row>
    <row r="17" spans="1:11" x14ac:dyDescent="0.25">
      <c r="A17" s="12"/>
      <c r="B17" s="13"/>
      <c r="C17" s="13"/>
      <c r="D17" s="16"/>
      <c r="E17" s="16"/>
      <c r="F17" s="13"/>
      <c r="G17" s="13"/>
      <c r="H17" s="13"/>
      <c r="I17" s="13"/>
      <c r="J17" s="13"/>
      <c r="K17" s="13"/>
    </row>
    <row r="18" spans="1:11" x14ac:dyDescent="0.25">
      <c r="A18" s="12"/>
      <c r="B18" s="13"/>
      <c r="C18" s="13"/>
      <c r="D18" s="16"/>
      <c r="E18" s="16"/>
      <c r="F18" s="13"/>
      <c r="G18" s="13"/>
      <c r="H18" s="13"/>
      <c r="I18" s="13"/>
      <c r="J18" s="13"/>
      <c r="K18" s="13"/>
    </row>
    <row r="19" spans="1:11" x14ac:dyDescent="0.25">
      <c r="A19" s="12"/>
      <c r="B19" s="13"/>
      <c r="C19" s="13"/>
      <c r="D19" s="16"/>
      <c r="E19" s="16"/>
      <c r="F19" s="13"/>
      <c r="G19" s="13"/>
      <c r="H19" s="13"/>
      <c r="I19" s="13"/>
      <c r="J19" s="13"/>
      <c r="K19" s="13"/>
    </row>
    <row r="20" spans="1:11" x14ac:dyDescent="0.25">
      <c r="A20" s="12"/>
      <c r="B20" s="13"/>
      <c r="C20" s="13"/>
      <c r="D20" s="16"/>
      <c r="E20" s="16"/>
      <c r="F20" s="13"/>
      <c r="G20" s="13"/>
      <c r="H20" s="13"/>
      <c r="I20" s="13"/>
      <c r="J20" s="13"/>
      <c r="K20" s="13"/>
    </row>
    <row r="21" spans="1:11" x14ac:dyDescent="0.25">
      <c r="A21" s="12"/>
      <c r="B21" s="13"/>
      <c r="C21" s="13"/>
      <c r="D21" s="16"/>
      <c r="E21" s="16"/>
      <c r="F21" s="13"/>
      <c r="G21" s="13"/>
      <c r="H21" s="13"/>
      <c r="I21" s="13"/>
      <c r="J21" s="13"/>
      <c r="K21" s="13"/>
    </row>
    <row r="22" spans="1:11" x14ac:dyDescent="0.25">
      <c r="A22" s="12"/>
      <c r="B22" s="13"/>
      <c r="C22" s="13"/>
      <c r="D22" s="16"/>
      <c r="E22" s="16"/>
      <c r="F22" s="13"/>
      <c r="G22" s="13"/>
      <c r="H22" s="13"/>
      <c r="I22" s="13"/>
      <c r="J22" s="13"/>
      <c r="K22" s="13"/>
    </row>
    <row r="23" spans="1:11" x14ac:dyDescent="0.25">
      <c r="A23" s="12"/>
      <c r="B23" s="13"/>
      <c r="C23" s="13"/>
      <c r="D23" s="16"/>
      <c r="E23" s="16"/>
      <c r="F23" s="13"/>
      <c r="G23" s="13"/>
      <c r="H23" s="13"/>
      <c r="I23" s="13"/>
      <c r="J23" s="13"/>
      <c r="K23" s="13"/>
    </row>
    <row r="24" spans="1:11" x14ac:dyDescent="0.25">
      <c r="A24" s="12"/>
      <c r="B24" s="13"/>
      <c r="C24" s="13"/>
      <c r="D24" s="16"/>
      <c r="E24" s="16"/>
      <c r="F24" s="13"/>
      <c r="G24" s="13"/>
      <c r="H24" s="13"/>
      <c r="I24" s="13"/>
      <c r="J24" s="13"/>
      <c r="K24" s="13"/>
    </row>
    <row r="25" spans="1:11" x14ac:dyDescent="0.25">
      <c r="A25" s="12"/>
      <c r="B25" s="13"/>
      <c r="C25" s="13"/>
      <c r="D25" s="16"/>
      <c r="E25" s="16"/>
      <c r="F25" s="13"/>
      <c r="G25" s="13"/>
      <c r="H25" s="13"/>
      <c r="I25" s="13"/>
      <c r="J25" s="13"/>
      <c r="K25" s="13"/>
    </row>
    <row r="26" spans="1:11" x14ac:dyDescent="0.25">
      <c r="A26" s="12"/>
      <c r="B26" s="13"/>
      <c r="C26" s="13"/>
      <c r="D26" s="16"/>
      <c r="E26" s="16"/>
      <c r="F26" s="13"/>
      <c r="G26" s="13"/>
      <c r="H26" s="13"/>
      <c r="I26" s="13"/>
      <c r="J26" s="13"/>
      <c r="K26" s="13"/>
    </row>
    <row r="27" spans="1:11" x14ac:dyDescent="0.25">
      <c r="A27" s="12"/>
      <c r="B27" s="13"/>
      <c r="C27" s="13"/>
      <c r="D27" s="16"/>
      <c r="E27" s="16"/>
      <c r="F27" s="13"/>
      <c r="G27" s="13"/>
      <c r="H27" s="13"/>
      <c r="I27" s="13"/>
      <c r="J27" s="13"/>
      <c r="K27" s="13"/>
    </row>
    <row r="28" spans="1:11" x14ac:dyDescent="0.25">
      <c r="A28" s="12"/>
      <c r="B28" s="13"/>
      <c r="C28" s="13"/>
      <c r="D28" s="16"/>
      <c r="E28" s="16"/>
      <c r="F28" s="13"/>
      <c r="G28" s="13"/>
      <c r="H28" s="13"/>
      <c r="I28" s="13"/>
      <c r="J28" s="13"/>
      <c r="K28" s="13"/>
    </row>
    <row r="29" spans="1:11" x14ac:dyDescent="0.25">
      <c r="A29" s="12"/>
      <c r="B29" s="13"/>
      <c r="C29" s="13"/>
      <c r="D29" s="16"/>
      <c r="E29" s="16"/>
      <c r="F29" s="13"/>
      <c r="G29" s="13"/>
      <c r="H29" s="13"/>
      <c r="I29" s="13"/>
      <c r="J29" s="13"/>
      <c r="K29" s="13"/>
    </row>
    <row r="30" spans="1:11" x14ac:dyDescent="0.25">
      <c r="A30" s="12"/>
      <c r="B30" s="13"/>
      <c r="C30" s="13"/>
      <c r="D30" s="16"/>
      <c r="E30" s="16"/>
      <c r="F30" s="13"/>
      <c r="G30" s="13"/>
      <c r="H30" s="13"/>
      <c r="I30" s="13"/>
      <c r="J30" s="13"/>
      <c r="K30" s="13"/>
    </row>
    <row r="31" spans="1:11" x14ac:dyDescent="0.25">
      <c r="A31" s="12"/>
      <c r="B31" s="13"/>
      <c r="C31" s="13"/>
      <c r="D31" s="16"/>
      <c r="E31" s="16"/>
      <c r="F31" s="13"/>
      <c r="G31" s="13"/>
      <c r="H31" s="13"/>
      <c r="I31" s="13"/>
      <c r="J31" s="13"/>
      <c r="K31" s="13"/>
    </row>
    <row r="32" spans="1:11" x14ac:dyDescent="0.25">
      <c r="A32" s="12"/>
      <c r="B32" s="13"/>
      <c r="C32" s="13"/>
      <c r="D32" s="16"/>
      <c r="E32" s="16"/>
      <c r="F32" s="13"/>
      <c r="G32" s="13"/>
      <c r="H32" s="13"/>
      <c r="I32" s="13"/>
      <c r="J32" s="13"/>
      <c r="K32" s="13"/>
    </row>
    <row r="33" spans="1:11" x14ac:dyDescent="0.25">
      <c r="A33" s="12"/>
      <c r="B33" s="13"/>
      <c r="C33" s="13"/>
      <c r="D33" s="16"/>
      <c r="E33" s="16"/>
      <c r="F33" s="13"/>
      <c r="G33" s="13"/>
      <c r="H33" s="13"/>
      <c r="I33" s="13"/>
      <c r="J33" s="13"/>
      <c r="K33" s="13"/>
    </row>
    <row r="34" spans="1:11" x14ac:dyDescent="0.25">
      <c r="A34" s="12"/>
      <c r="B34" s="13"/>
      <c r="C34" s="13"/>
      <c r="D34" s="16"/>
      <c r="E34" s="16"/>
      <c r="F34" s="13"/>
      <c r="G34" s="13"/>
      <c r="H34" s="13"/>
      <c r="I34" s="13"/>
      <c r="J34" s="13"/>
      <c r="K34" s="13"/>
    </row>
    <row r="35" spans="1:11" x14ac:dyDescent="0.25">
      <c r="A35" s="12"/>
      <c r="B35" s="13"/>
      <c r="C35" s="13"/>
      <c r="D35" s="16"/>
      <c r="E35" s="16"/>
      <c r="F35" s="13"/>
      <c r="G35" s="13"/>
      <c r="H35" s="13"/>
      <c r="I35" s="13"/>
      <c r="J35" s="13"/>
      <c r="K35" s="13"/>
    </row>
    <row r="36" spans="1:11" x14ac:dyDescent="0.25">
      <c r="A36" s="12"/>
      <c r="B36" s="13"/>
      <c r="C36" s="13"/>
      <c r="D36" s="16"/>
      <c r="E36" s="16"/>
      <c r="F36" s="13"/>
      <c r="G36" s="13"/>
      <c r="H36" s="13"/>
      <c r="I36" s="13"/>
      <c r="J36" s="13"/>
      <c r="K36" s="13"/>
    </row>
    <row r="37" spans="1:11" x14ac:dyDescent="0.25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40" spans="1:11" x14ac:dyDescent="0.25">
      <c r="B40" s="14"/>
      <c r="D40" s="14"/>
      <c r="E40" s="14"/>
      <c r="F40" s="14"/>
      <c r="G40" s="14"/>
      <c r="H40" s="14"/>
      <c r="I40" s="14"/>
      <c r="J40" s="14"/>
      <c r="K40" s="14"/>
    </row>
    <row r="43" spans="1:11" x14ac:dyDescent="0.25">
      <c r="A4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Bed (Quantitative) Data</vt:lpstr>
      <vt:lpstr>Bed Site Data</vt:lpstr>
      <vt:lpstr>Site (Qualitative) Data</vt:lpstr>
      <vt:lpstr>Population Size Data</vt:lpstr>
      <vt:lpstr>Summary Stats for Entire Beds</vt:lpstr>
      <vt:lpstr>SRB0.0m 2014</vt:lpstr>
      <vt:lpstr>SRB0.5M 2014 Strat I</vt:lpstr>
      <vt:lpstr>SRB0.5M 2014 Strat II</vt:lpstr>
      <vt:lpstr>Pop Size 0.5M Strat 2</vt:lpstr>
      <vt:lpstr>SRB2m 2014</vt:lpstr>
      <vt:lpstr>SRB3M 2014 Strat 1</vt:lpstr>
      <vt:lpstr>SRB3M 2014 Strat 2</vt:lpstr>
      <vt:lpstr>SRB4m 2014</vt:lpstr>
      <vt:lpstr>SRB5M 2014</vt:lpstr>
      <vt:lpstr>SRB6M 2014 Strat 1</vt:lpstr>
      <vt:lpstr>SRB6M 2014 Strat 2</vt:lpstr>
      <vt:lpstr>SRB6.5M 2014</vt:lpstr>
      <vt:lpstr>SRB7M 2014</vt:lpstr>
      <vt:lpstr>SRB7.5M 2014</vt:lpstr>
      <vt:lpstr>SRB8M 2014</vt:lpstr>
      <vt:lpstr>SRB9m 2014</vt:lpstr>
      <vt:lpstr>SRB10M 2014</vt:lpstr>
      <vt:lpstr>Population Size</vt:lpstr>
      <vt:lpstr>Summary Stats for Each Species</vt:lpstr>
      <vt:lpstr>Measurements</vt:lpstr>
      <vt:lpstr>Statistics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Lombardi, Melissa D</dc:creator>
  <cp:lastModifiedBy>Chris L. Davidson</cp:lastModifiedBy>
  <dcterms:created xsi:type="dcterms:W3CDTF">2013-12-16T18:54:14Z</dcterms:created>
  <dcterms:modified xsi:type="dcterms:W3CDTF">2015-01-09T21:15:01Z</dcterms:modified>
</cp:coreProperties>
</file>