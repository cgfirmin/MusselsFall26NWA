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davidson\Documents\endangered_species\A. wheeleri\Little River\Pond Creek NWR I&amp;M 2016\"/>
    </mc:Choice>
  </mc:AlternateContent>
  <bookViews>
    <workbookView xWindow="6075" yWindow="0" windowWidth="18870" windowHeight="7815"/>
  </bookViews>
  <sheets>
    <sheet name="Bed (Quantitative) Data" sheetId="18" r:id="rId1"/>
    <sheet name="Measurements" sheetId="24" r:id="rId2"/>
    <sheet name="Summary Stats (Beds)" sheetId="19" r:id="rId3"/>
    <sheet name="Summary Stats (Species)" sheetId="20" r:id="rId4"/>
    <sheet name="Population Stats" sheetId="23" r:id="rId5"/>
    <sheet name="Population Equation" sheetId="22" r:id="rId6"/>
    <sheet name="FieldID#13-14" sheetId="1" r:id="rId7"/>
    <sheet name="FieldID#13-15" sheetId="2" r:id="rId8"/>
    <sheet name="FieldID#13-18" sheetId="3" r:id="rId9"/>
    <sheet name=" FieldID#13-20 " sheetId="4" r:id="rId10"/>
    <sheet name="FieldID#13-21" sheetId="6" r:id="rId11"/>
    <sheet name="FieldID#13-28" sheetId="7" r:id="rId12"/>
    <sheet name="FieldID#13-29" sheetId="8" r:id="rId13"/>
    <sheet name="FieldID#13-31" sheetId="9" r:id="rId14"/>
    <sheet name="FieldID#13-36" sheetId="10" r:id="rId15"/>
    <sheet name="FieldID#13-39" sheetId="11" r:id="rId16"/>
    <sheet name="FieldID#13-48" sheetId="12" r:id="rId17"/>
    <sheet name="FieldID#13-49" sheetId="13" r:id="rId18"/>
    <sheet name="FieldID#13-50" sheetId="15" r:id="rId19"/>
    <sheet name="FieldID#13-53" sheetId="16" r:id="rId20"/>
    <sheet name="Sheet1" sheetId="25" r:id="rId21"/>
    <sheet name="Sheet2" sheetId="26" r:id="rId2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150" i="20" l="1"/>
  <c r="X522" i="20"/>
  <c r="CZ801" i="20" l="1"/>
  <c r="CZ800" i="20"/>
  <c r="CZ799" i="20"/>
  <c r="CZ798" i="20"/>
  <c r="CZ797" i="20"/>
  <c r="CZ796" i="20"/>
  <c r="CZ757" i="20"/>
  <c r="CZ756" i="20"/>
  <c r="CZ755" i="20"/>
  <c r="CZ754" i="20"/>
  <c r="CZ753" i="20"/>
  <c r="CZ752" i="20"/>
  <c r="CZ713" i="20"/>
  <c r="CZ712" i="20"/>
  <c r="CZ711" i="20"/>
  <c r="CZ710" i="20"/>
  <c r="CZ709" i="20"/>
  <c r="CZ708" i="20"/>
  <c r="CZ669" i="20"/>
  <c r="CZ668" i="20"/>
  <c r="CZ667" i="20"/>
  <c r="CZ666" i="20"/>
  <c r="CZ665" i="20"/>
  <c r="CZ664" i="20"/>
  <c r="CZ625" i="20"/>
  <c r="CZ624" i="20"/>
  <c r="CZ623" i="20"/>
  <c r="CZ622" i="20"/>
  <c r="CZ621" i="20"/>
  <c r="CZ620" i="20"/>
  <c r="CZ581" i="20"/>
  <c r="CZ580" i="20"/>
  <c r="CZ579" i="20"/>
  <c r="CZ578" i="20"/>
  <c r="CZ577" i="20"/>
  <c r="CZ576" i="20"/>
  <c r="CZ537" i="20"/>
  <c r="CZ536" i="20"/>
  <c r="CZ535" i="20"/>
  <c r="CZ534" i="20"/>
  <c r="CZ533" i="20"/>
  <c r="CZ532" i="20"/>
  <c r="CZ493" i="20"/>
  <c r="CZ492" i="20"/>
  <c r="CZ491" i="20"/>
  <c r="CZ490" i="20"/>
  <c r="CZ489" i="20"/>
  <c r="CZ488" i="20"/>
  <c r="CZ449" i="20"/>
  <c r="CZ448" i="20"/>
  <c r="CZ447" i="20"/>
  <c r="CZ446" i="20"/>
  <c r="CZ445" i="20"/>
  <c r="CZ444" i="20"/>
  <c r="CZ405" i="20"/>
  <c r="CZ404" i="20"/>
  <c r="CZ403" i="20"/>
  <c r="CZ402" i="20"/>
  <c r="CZ401" i="20"/>
  <c r="CZ400" i="20"/>
  <c r="CZ361" i="20"/>
  <c r="CZ360" i="20"/>
  <c r="CZ359" i="20"/>
  <c r="CZ358" i="20"/>
  <c r="CZ357" i="20"/>
  <c r="CZ356" i="20"/>
  <c r="CZ317" i="20"/>
  <c r="CZ316" i="20"/>
  <c r="CZ315" i="20"/>
  <c r="CZ314" i="20"/>
  <c r="CZ313" i="20"/>
  <c r="CZ312" i="20"/>
  <c r="CZ273" i="20"/>
  <c r="CZ272" i="20"/>
  <c r="CZ271" i="20"/>
  <c r="CZ270" i="20"/>
  <c r="CZ269" i="20"/>
  <c r="CZ268" i="20"/>
  <c r="CZ229" i="20"/>
  <c r="CZ228" i="20"/>
  <c r="CZ227" i="20"/>
  <c r="CZ226" i="20"/>
  <c r="CZ225" i="20"/>
  <c r="CZ224" i="20"/>
  <c r="CZ185" i="20"/>
  <c r="CZ184" i="20"/>
  <c r="CZ183" i="20"/>
  <c r="CZ182" i="20"/>
  <c r="CZ181" i="20"/>
  <c r="CZ180" i="20"/>
  <c r="CZ141" i="20"/>
  <c r="CZ140" i="20"/>
  <c r="CZ139" i="20"/>
  <c r="CZ138" i="20"/>
  <c r="CZ137" i="20"/>
  <c r="CZ136" i="20"/>
  <c r="CZ97" i="20"/>
  <c r="CZ96" i="20"/>
  <c r="CZ95" i="20"/>
  <c r="CZ94" i="20"/>
  <c r="CZ93" i="20"/>
  <c r="CZ92" i="20"/>
  <c r="CZ53" i="20"/>
  <c r="CZ52" i="20"/>
  <c r="CZ51" i="20"/>
  <c r="CZ50" i="20"/>
  <c r="CZ49" i="20"/>
  <c r="CZ48" i="20"/>
  <c r="CZ9" i="20"/>
  <c r="CZ8" i="20"/>
  <c r="CZ7" i="20"/>
  <c r="CZ6" i="20"/>
  <c r="CZ5" i="20"/>
  <c r="CZ4" i="20"/>
  <c r="CA589" i="20"/>
  <c r="CA588" i="20"/>
  <c r="CA587" i="20"/>
  <c r="CA586" i="20"/>
  <c r="CA585" i="20"/>
  <c r="CA584" i="20"/>
  <c r="CA560" i="20"/>
  <c r="CA559" i="20"/>
  <c r="CA558" i="20"/>
  <c r="CA557" i="20"/>
  <c r="CA556" i="20"/>
  <c r="CA555" i="20"/>
  <c r="CA531" i="20"/>
  <c r="CA530" i="20"/>
  <c r="CA529" i="20"/>
  <c r="CA528" i="20"/>
  <c r="CA527" i="20"/>
  <c r="CA526" i="20"/>
  <c r="CA502" i="20"/>
  <c r="CA501" i="20"/>
  <c r="CA500" i="20"/>
  <c r="CA499" i="20"/>
  <c r="CA498" i="20"/>
  <c r="CA497" i="20"/>
  <c r="BQ324" i="20"/>
  <c r="BQ325" i="20"/>
  <c r="BQ326" i="20"/>
  <c r="BQ327" i="20"/>
  <c r="BQ328" i="20"/>
  <c r="BQ329" i="20"/>
  <c r="BQ344" i="20"/>
  <c r="BQ345" i="20"/>
  <c r="BQ346" i="20"/>
  <c r="BQ347" i="20"/>
  <c r="BQ348" i="20"/>
  <c r="BQ349" i="20"/>
  <c r="CA473" i="20"/>
  <c r="CA472" i="20"/>
  <c r="CA471" i="20"/>
  <c r="CA470" i="20"/>
  <c r="CA469" i="20"/>
  <c r="CA468" i="20"/>
  <c r="CA444" i="20"/>
  <c r="CA443" i="20"/>
  <c r="CA442" i="20"/>
  <c r="CA441" i="20"/>
  <c r="CA440" i="20"/>
  <c r="CA439" i="20"/>
  <c r="CA415" i="20"/>
  <c r="CA414" i="20"/>
  <c r="CA413" i="20"/>
  <c r="CA412" i="20"/>
  <c r="CA411" i="20"/>
  <c r="CA410" i="20"/>
  <c r="CA386" i="20"/>
  <c r="CA385" i="20"/>
  <c r="CA384" i="20"/>
  <c r="CA383" i="20"/>
  <c r="CA382" i="20"/>
  <c r="CA381" i="20"/>
  <c r="CA357" i="20"/>
  <c r="CA356" i="20"/>
  <c r="CA355" i="20"/>
  <c r="CA354" i="20"/>
  <c r="CA353" i="20"/>
  <c r="CA352" i="20"/>
  <c r="CA328" i="20"/>
  <c r="CA327" i="20"/>
  <c r="CA326" i="20"/>
  <c r="CA325" i="20"/>
  <c r="CA324" i="20"/>
  <c r="CA323" i="20"/>
  <c r="CA299" i="20"/>
  <c r="CA298" i="20"/>
  <c r="CA297" i="20"/>
  <c r="CA296" i="20"/>
  <c r="CA295" i="20"/>
  <c r="CA294" i="20"/>
  <c r="CA270" i="20"/>
  <c r="CA269" i="20"/>
  <c r="CA268" i="20"/>
  <c r="CA267" i="20"/>
  <c r="CA266" i="20"/>
  <c r="CA265" i="20"/>
  <c r="CA241" i="20"/>
  <c r="CA240" i="20"/>
  <c r="CA239" i="20"/>
  <c r="CA238" i="20"/>
  <c r="CA237" i="20"/>
  <c r="CA236" i="20"/>
  <c r="CA212" i="20"/>
  <c r="CA211" i="20"/>
  <c r="CA210" i="20"/>
  <c r="CA209" i="20"/>
  <c r="CA208" i="20"/>
  <c r="CA207" i="20"/>
  <c r="CA183" i="20"/>
  <c r="CA182" i="20"/>
  <c r="CA181" i="20"/>
  <c r="CA180" i="20"/>
  <c r="CA179" i="20"/>
  <c r="CA178" i="20"/>
  <c r="CA154" i="20"/>
  <c r="CA153" i="20"/>
  <c r="CA152" i="20"/>
  <c r="CA151" i="20"/>
  <c r="CA150" i="20"/>
  <c r="CA149" i="20"/>
  <c r="CA125" i="20"/>
  <c r="CA124" i="20"/>
  <c r="CA123" i="20"/>
  <c r="CA122" i="20"/>
  <c r="CA121" i="20"/>
  <c r="CA120" i="20"/>
  <c r="CA96" i="20"/>
  <c r="CA95" i="20"/>
  <c r="CA94" i="20"/>
  <c r="CA93" i="20"/>
  <c r="CA92" i="20"/>
  <c r="CA91" i="20"/>
  <c r="CA67" i="20"/>
  <c r="CA66" i="20"/>
  <c r="CA65" i="20"/>
  <c r="CA64" i="20"/>
  <c r="CA63" i="20"/>
  <c r="CA62" i="20"/>
  <c r="CA38" i="20"/>
  <c r="CA37" i="20"/>
  <c r="CA36" i="20"/>
  <c r="CA35" i="20"/>
  <c r="CA34" i="20"/>
  <c r="CA33" i="20"/>
  <c r="CA9" i="20"/>
  <c r="CA8" i="20"/>
  <c r="CA7" i="20"/>
  <c r="CA6" i="20"/>
  <c r="CA5" i="20"/>
  <c r="CA4" i="20"/>
  <c r="AC1065" i="20"/>
  <c r="AC1064" i="20"/>
  <c r="AC1063" i="20"/>
  <c r="AC1062" i="20"/>
  <c r="AC1061" i="20"/>
  <c r="AC1060" i="20"/>
  <c r="AC1021" i="20"/>
  <c r="AC1020" i="20"/>
  <c r="AC1019" i="20"/>
  <c r="AC1018" i="20"/>
  <c r="AC1017" i="20"/>
  <c r="AC1016" i="20"/>
  <c r="AC977" i="20"/>
  <c r="AC976" i="20"/>
  <c r="AC975" i="20"/>
  <c r="AC974" i="20"/>
  <c r="AC973" i="20"/>
  <c r="AC972" i="20"/>
  <c r="AC933" i="20"/>
  <c r="AC932" i="20"/>
  <c r="AC931" i="20"/>
  <c r="AC930" i="20"/>
  <c r="AC929" i="20"/>
  <c r="AC928" i="20"/>
  <c r="AC889" i="20"/>
  <c r="AC888" i="20"/>
  <c r="AC887" i="20"/>
  <c r="AC886" i="20"/>
  <c r="AC885" i="20"/>
  <c r="AC884" i="20"/>
  <c r="AC845" i="20"/>
  <c r="AC844" i="20"/>
  <c r="AC843" i="20"/>
  <c r="AC842" i="20"/>
  <c r="AC841" i="20"/>
  <c r="AC840" i="20"/>
  <c r="AC801" i="20"/>
  <c r="AC800" i="20"/>
  <c r="AC799" i="20"/>
  <c r="AC798" i="20"/>
  <c r="AC797" i="20"/>
  <c r="AC796" i="20"/>
  <c r="AC757" i="20"/>
  <c r="AC756" i="20"/>
  <c r="AC755" i="20"/>
  <c r="AC754" i="20"/>
  <c r="AC753" i="20"/>
  <c r="AC752" i="20"/>
  <c r="AC713" i="20"/>
  <c r="AC712" i="20"/>
  <c r="AC711" i="20"/>
  <c r="AC710" i="20"/>
  <c r="AC709" i="20"/>
  <c r="AC708" i="20"/>
  <c r="X559" i="20"/>
  <c r="X560" i="20"/>
  <c r="X561" i="20"/>
  <c r="X562" i="20"/>
  <c r="X563" i="20"/>
  <c r="X564" i="20"/>
  <c r="X596" i="20"/>
  <c r="X597" i="20"/>
  <c r="X598" i="20"/>
  <c r="X599" i="20"/>
  <c r="AC669" i="20"/>
  <c r="AC668" i="20"/>
  <c r="AC667" i="20"/>
  <c r="AC666" i="20"/>
  <c r="AC665" i="20"/>
  <c r="AC664" i="20"/>
  <c r="AC625" i="20"/>
  <c r="AC624" i="20"/>
  <c r="AC623" i="20"/>
  <c r="AC622" i="20"/>
  <c r="AC621" i="20"/>
  <c r="AC620" i="20"/>
  <c r="AC581" i="20"/>
  <c r="AC580" i="20"/>
  <c r="AC579" i="20"/>
  <c r="AC578" i="20"/>
  <c r="AC577" i="20"/>
  <c r="AC576" i="20"/>
  <c r="AC537" i="20"/>
  <c r="AC536" i="20"/>
  <c r="AC535" i="20"/>
  <c r="AC534" i="20"/>
  <c r="AC533" i="20"/>
  <c r="AC532" i="20"/>
  <c r="AC493" i="20"/>
  <c r="AC492" i="20"/>
  <c r="AC491" i="20"/>
  <c r="AC490" i="20"/>
  <c r="AC489" i="20"/>
  <c r="AC488" i="20"/>
  <c r="AC449" i="20"/>
  <c r="AC448" i="20"/>
  <c r="AC447" i="20"/>
  <c r="AC446" i="20"/>
  <c r="AC445" i="20"/>
  <c r="AC444" i="20"/>
  <c r="AC405" i="20"/>
  <c r="AC404" i="20"/>
  <c r="AC403" i="20"/>
  <c r="AC402" i="20"/>
  <c r="AC401" i="20"/>
  <c r="AC400" i="20"/>
  <c r="AC361" i="20"/>
  <c r="AC360" i="20"/>
  <c r="AC359" i="20"/>
  <c r="AC358" i="20"/>
  <c r="AC357" i="20"/>
  <c r="AC356" i="20"/>
  <c r="AC317" i="20"/>
  <c r="AC316" i="20"/>
  <c r="AC315" i="20"/>
  <c r="AC314" i="20"/>
  <c r="AC313" i="20"/>
  <c r="AC312" i="20"/>
  <c r="X226" i="20"/>
  <c r="X227" i="20"/>
  <c r="X228" i="20"/>
  <c r="X229" i="20"/>
  <c r="X230" i="20"/>
  <c r="X231" i="20"/>
  <c r="X263" i="20"/>
  <c r="X264" i="20"/>
  <c r="X265" i="20"/>
  <c r="X266" i="20"/>
  <c r="AC273" i="20"/>
  <c r="AC272" i="20"/>
  <c r="AC271" i="20"/>
  <c r="AC270" i="20"/>
  <c r="AC269" i="20"/>
  <c r="AC268" i="20"/>
  <c r="AC229" i="20"/>
  <c r="AC228" i="20"/>
  <c r="AC227" i="20"/>
  <c r="AC226" i="20"/>
  <c r="AC225" i="20"/>
  <c r="AC224" i="20"/>
  <c r="AC185" i="20"/>
  <c r="AC184" i="20"/>
  <c r="AC183" i="20"/>
  <c r="AC182" i="20"/>
  <c r="AC181" i="20"/>
  <c r="AC180" i="20"/>
  <c r="AC141" i="20"/>
  <c r="AC140" i="20"/>
  <c r="AC139" i="20"/>
  <c r="AC138" i="20"/>
  <c r="AC137" i="20"/>
  <c r="AC136" i="20"/>
  <c r="AC97" i="20"/>
  <c r="AC96" i="20"/>
  <c r="AC95" i="20"/>
  <c r="AC94" i="20"/>
  <c r="AC93" i="20"/>
  <c r="AC92" i="20"/>
  <c r="AC53" i="20"/>
  <c r="AC52" i="20"/>
  <c r="AC51" i="20"/>
  <c r="AC50" i="20"/>
  <c r="AC49" i="20"/>
  <c r="AC48" i="20"/>
  <c r="AC9" i="20"/>
  <c r="AC8" i="20"/>
  <c r="AC7" i="20"/>
  <c r="AC6" i="20"/>
  <c r="AC5" i="20"/>
  <c r="AC4" i="20"/>
  <c r="Z7" i="19"/>
  <c r="P31" i="18" l="1"/>
  <c r="Q28" i="18"/>
  <c r="Q27" i="18"/>
  <c r="Q26" i="18"/>
  <c r="Q25" i="18"/>
  <c r="Q24" i="18"/>
  <c r="Q23" i="18"/>
  <c r="Q22" i="18"/>
  <c r="Q21" i="18"/>
  <c r="Q20" i="18"/>
  <c r="Q19" i="18"/>
  <c r="Q18" i="18"/>
  <c r="Q17" i="18"/>
  <c r="Q16" i="18"/>
  <c r="Q15" i="18"/>
  <c r="Q14" i="18"/>
  <c r="Q13" i="18"/>
  <c r="Q12" i="18"/>
  <c r="Q11" i="18"/>
  <c r="Q10" i="18"/>
  <c r="Q9" i="18"/>
  <c r="Q8" i="18"/>
  <c r="Q7" i="18"/>
  <c r="Q6" i="18"/>
  <c r="Q5" i="18"/>
  <c r="Q4" i="18"/>
  <c r="Q3" i="18"/>
  <c r="N29" i="24"/>
  <c r="N28" i="24"/>
  <c r="N27" i="24"/>
  <c r="I48" i="24"/>
  <c r="I47" i="24"/>
  <c r="I46" i="24"/>
  <c r="B12" i="24"/>
  <c r="B11" i="24"/>
  <c r="B10" i="24"/>
  <c r="B9" i="24"/>
  <c r="I45" i="24"/>
  <c r="N26" i="24"/>
  <c r="O31" i="18"/>
  <c r="M31" i="18"/>
  <c r="E31" i="18"/>
  <c r="Q29" i="18" l="1"/>
  <c r="DD48" i="19"/>
  <c r="DD47" i="19"/>
  <c r="DD46" i="19"/>
  <c r="DD45" i="19"/>
  <c r="DD44" i="19"/>
  <c r="DD43" i="19"/>
  <c r="DD9" i="19"/>
  <c r="DD8" i="19"/>
  <c r="DD7" i="19"/>
  <c r="DD6" i="19"/>
  <c r="DD5" i="19"/>
  <c r="DD4" i="19"/>
  <c r="CZ10" i="19"/>
  <c r="CZ9" i="19"/>
  <c r="CZ8" i="19"/>
  <c r="CZ7" i="19"/>
  <c r="CZ6" i="19"/>
  <c r="CZ5" i="19"/>
  <c r="CE43" i="19"/>
  <c r="CE42" i="19"/>
  <c r="CE41" i="19"/>
  <c r="CE40" i="19"/>
  <c r="CE39" i="19"/>
  <c r="CE38" i="19"/>
  <c r="BW9" i="19"/>
  <c r="BW8" i="19"/>
  <c r="BW7" i="19"/>
  <c r="BW6" i="19"/>
  <c r="BW5" i="19"/>
  <c r="BW4" i="19"/>
  <c r="AU9" i="19"/>
  <c r="AU8" i="19"/>
  <c r="AU7" i="19"/>
  <c r="AU6" i="19"/>
  <c r="AU5" i="19"/>
  <c r="AU4" i="19"/>
  <c r="BI9" i="19"/>
  <c r="BI8" i="19"/>
  <c r="BI7" i="19"/>
  <c r="BI6" i="19"/>
  <c r="BI5" i="19"/>
  <c r="BI4" i="19"/>
  <c r="BP4" i="19"/>
  <c r="CE4" i="19"/>
  <c r="Z72" i="19"/>
  <c r="Z71" i="19"/>
  <c r="Z70" i="19"/>
  <c r="Z69" i="19"/>
  <c r="Z68" i="19"/>
  <c r="Z67" i="19"/>
  <c r="AQ23" i="16" l="1"/>
  <c r="AQ22" i="16"/>
  <c r="AO24" i="16"/>
  <c r="AN24" i="16"/>
  <c r="AM24" i="16"/>
  <c r="AL24" i="16"/>
  <c r="AK24" i="16"/>
  <c r="AJ24" i="16"/>
  <c r="AI24" i="16"/>
  <c r="AH24" i="16"/>
  <c r="AG24" i="16"/>
  <c r="AF24" i="16"/>
  <c r="AQ21" i="16"/>
  <c r="AQ20" i="16"/>
  <c r="AQ19" i="16"/>
  <c r="AQ18" i="16"/>
  <c r="AQ17" i="16"/>
  <c r="AQ16" i="16"/>
  <c r="AQ15" i="16"/>
  <c r="AQ14" i="16"/>
  <c r="AQ13" i="16"/>
  <c r="AQ12" i="16"/>
  <c r="AQ11" i="16"/>
  <c r="AQ10" i="16"/>
  <c r="AQ9" i="16"/>
  <c r="AQ8" i="16"/>
  <c r="AQ7" i="16"/>
  <c r="AQ6" i="16"/>
  <c r="AQ5" i="16"/>
  <c r="AQ4" i="16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AQ29" i="4"/>
  <c r="AQ28" i="4"/>
  <c r="AQ27" i="4"/>
  <c r="AQ26" i="4"/>
  <c r="AQ25" i="4"/>
  <c r="AQ24" i="4"/>
  <c r="AQ23" i="4"/>
  <c r="AQ22" i="4"/>
  <c r="AQ21" i="4"/>
  <c r="AQ20" i="4"/>
  <c r="AQ19" i="4"/>
  <c r="AQ18" i="4"/>
  <c r="AQ17" i="4"/>
  <c r="AQ16" i="4"/>
  <c r="AQ15" i="4"/>
  <c r="AQ14" i="4"/>
  <c r="AQ13" i="4"/>
  <c r="AQ12" i="4"/>
  <c r="AQ11" i="4"/>
  <c r="AQ10" i="4"/>
  <c r="AQ9" i="4"/>
  <c r="AQ8" i="4"/>
  <c r="AQ7" i="4"/>
  <c r="AQ6" i="4"/>
  <c r="AQ5" i="4"/>
  <c r="AQ4" i="4"/>
  <c r="AA6" i="1"/>
  <c r="F3" i="22" l="1"/>
  <c r="CU638" i="20"/>
  <c r="CU637" i="20"/>
  <c r="CU636" i="20"/>
  <c r="CU635" i="20"/>
  <c r="CU634" i="20"/>
  <c r="CU633" i="20"/>
  <c r="CU601" i="20"/>
  <c r="CU600" i="20"/>
  <c r="CU599" i="20"/>
  <c r="CU598" i="20"/>
  <c r="CU597" i="20"/>
  <c r="CU596" i="20"/>
  <c r="CU564" i="20"/>
  <c r="CU563" i="20"/>
  <c r="CU562" i="20"/>
  <c r="CU561" i="20"/>
  <c r="CU560" i="20"/>
  <c r="CU559" i="20"/>
  <c r="CU527" i="20"/>
  <c r="CU526" i="20"/>
  <c r="CU525" i="20"/>
  <c r="CU524" i="20"/>
  <c r="CU523" i="20"/>
  <c r="CU522" i="20"/>
  <c r="CU490" i="20"/>
  <c r="CU489" i="20"/>
  <c r="CU488" i="20"/>
  <c r="CU487" i="20"/>
  <c r="CU486" i="20"/>
  <c r="CU485" i="20"/>
  <c r="CU453" i="20"/>
  <c r="CU452" i="20"/>
  <c r="CU451" i="20"/>
  <c r="CU450" i="20"/>
  <c r="CU449" i="20"/>
  <c r="CU448" i="20"/>
  <c r="CU416" i="20"/>
  <c r="CU415" i="20"/>
  <c r="CU414" i="20"/>
  <c r="CU413" i="20"/>
  <c r="CU412" i="20"/>
  <c r="CU411" i="20"/>
  <c r="CU379" i="20"/>
  <c r="CU378" i="20"/>
  <c r="CU377" i="20"/>
  <c r="CU376" i="20"/>
  <c r="CU375" i="20"/>
  <c r="CU374" i="20"/>
  <c r="CU342" i="20"/>
  <c r="CU341" i="20"/>
  <c r="CU340" i="20"/>
  <c r="CU339" i="20"/>
  <c r="CU338" i="20"/>
  <c r="CU337" i="20"/>
  <c r="CU305" i="20"/>
  <c r="CU304" i="20"/>
  <c r="CU303" i="20"/>
  <c r="CU302" i="20"/>
  <c r="CU301" i="20"/>
  <c r="CU300" i="20"/>
  <c r="CU268" i="20"/>
  <c r="CU267" i="20"/>
  <c r="CU266" i="20"/>
  <c r="CU265" i="20"/>
  <c r="CU264" i="20"/>
  <c r="CU263" i="20"/>
  <c r="CU231" i="20"/>
  <c r="CU230" i="20"/>
  <c r="CU229" i="20"/>
  <c r="CU228" i="20"/>
  <c r="CU227" i="20"/>
  <c r="CU226" i="20"/>
  <c r="CU157" i="20"/>
  <c r="CU156" i="20"/>
  <c r="CU155" i="20"/>
  <c r="CU154" i="20"/>
  <c r="CU153" i="20"/>
  <c r="CU152" i="20"/>
  <c r="CU120" i="20"/>
  <c r="CU119" i="20"/>
  <c r="CU118" i="20"/>
  <c r="CU117" i="20"/>
  <c r="CU116" i="20"/>
  <c r="CU115" i="20"/>
  <c r="CU83" i="20"/>
  <c r="CU82" i="20"/>
  <c r="CU81" i="20"/>
  <c r="CU80" i="20"/>
  <c r="CU79" i="20"/>
  <c r="CU78" i="20"/>
  <c r="CU41" i="20"/>
  <c r="CU40" i="20"/>
  <c r="CU39" i="20"/>
  <c r="CU38" i="20"/>
  <c r="CU37" i="20"/>
  <c r="CU36" i="20"/>
  <c r="CU9" i="20"/>
  <c r="CU8" i="20"/>
  <c r="CU7" i="20"/>
  <c r="CU6" i="20"/>
  <c r="CU5" i="20"/>
  <c r="CU4" i="20"/>
  <c r="CT38" i="19"/>
  <c r="CT41" i="19"/>
  <c r="CT40" i="19"/>
  <c r="CT39" i="19"/>
  <c r="CT37" i="19"/>
  <c r="CT36" i="19"/>
  <c r="CT23" i="19"/>
  <c r="CT24" i="19"/>
  <c r="CT25" i="19"/>
  <c r="CT26" i="19"/>
  <c r="CT27" i="19"/>
  <c r="CT28" i="19"/>
  <c r="BB5" i="19"/>
  <c r="E5" i="19"/>
  <c r="AF3" i="15" l="1"/>
  <c r="CK153" i="20" l="1"/>
  <c r="CK152" i="20"/>
  <c r="CK151" i="20"/>
  <c r="CK150" i="20"/>
  <c r="CK149" i="20"/>
  <c r="CK148" i="20"/>
  <c r="CP638" i="20" l="1"/>
  <c r="CP637" i="20"/>
  <c r="CP636" i="20"/>
  <c r="CP635" i="20"/>
  <c r="CP634" i="20"/>
  <c r="CP633" i="20"/>
  <c r="CP601" i="20"/>
  <c r="CP600" i="20"/>
  <c r="CP599" i="20"/>
  <c r="CP598" i="20"/>
  <c r="CP597" i="20"/>
  <c r="CP596" i="20"/>
  <c r="CP564" i="20"/>
  <c r="CP563" i="20"/>
  <c r="CP562" i="20"/>
  <c r="CP561" i="20"/>
  <c r="CP560" i="20"/>
  <c r="CP559" i="20"/>
  <c r="CP527" i="20"/>
  <c r="CP526" i="20"/>
  <c r="CP525" i="20"/>
  <c r="CP524" i="20"/>
  <c r="CP523" i="20"/>
  <c r="CP522" i="20"/>
  <c r="CP490" i="20"/>
  <c r="CP489" i="20"/>
  <c r="CP488" i="20"/>
  <c r="CP487" i="20"/>
  <c r="CP486" i="20"/>
  <c r="CP485" i="20"/>
  <c r="CP448" i="20"/>
  <c r="CP449" i="20"/>
  <c r="CP450" i="20"/>
  <c r="CP451" i="20"/>
  <c r="CP452" i="20"/>
  <c r="CP453" i="20"/>
  <c r="CP416" i="20"/>
  <c r="CP415" i="20"/>
  <c r="CP414" i="20"/>
  <c r="CP413" i="20"/>
  <c r="CP412" i="20"/>
  <c r="CP411" i="20"/>
  <c r="CP379" i="20"/>
  <c r="CP378" i="20"/>
  <c r="CP377" i="20"/>
  <c r="CP376" i="20"/>
  <c r="CP375" i="20"/>
  <c r="CP374" i="20"/>
  <c r="CP342" i="20"/>
  <c r="CP341" i="20"/>
  <c r="CP340" i="20"/>
  <c r="CP339" i="20"/>
  <c r="CP338" i="20"/>
  <c r="CP337" i="20"/>
  <c r="CP305" i="20"/>
  <c r="CP304" i="20"/>
  <c r="CP303" i="20"/>
  <c r="CP302" i="20"/>
  <c r="CP301" i="20"/>
  <c r="CP300" i="20"/>
  <c r="CP268" i="20"/>
  <c r="CP267" i="20"/>
  <c r="CP266" i="20"/>
  <c r="CP265" i="20"/>
  <c r="CP264" i="20"/>
  <c r="CP263" i="20"/>
  <c r="CP231" i="20"/>
  <c r="CP230" i="20"/>
  <c r="CP229" i="20"/>
  <c r="CP228" i="20"/>
  <c r="CP227" i="20"/>
  <c r="CP226" i="20"/>
  <c r="CP194" i="20"/>
  <c r="CP193" i="20"/>
  <c r="CP192" i="20"/>
  <c r="CP191" i="20"/>
  <c r="CP190" i="20"/>
  <c r="CP189" i="20"/>
  <c r="CP157" i="20"/>
  <c r="CP156" i="20"/>
  <c r="CP155" i="20"/>
  <c r="CP154" i="20"/>
  <c r="CP153" i="20"/>
  <c r="CP152" i="20"/>
  <c r="CP120" i="20"/>
  <c r="CP119" i="20"/>
  <c r="CP118" i="20"/>
  <c r="CP117" i="20"/>
  <c r="CP116" i="20"/>
  <c r="CP115" i="20"/>
  <c r="CP83" i="20"/>
  <c r="CP82" i="20"/>
  <c r="CP81" i="20"/>
  <c r="CP80" i="20"/>
  <c r="CP79" i="20"/>
  <c r="CP78" i="20"/>
  <c r="CP46" i="20"/>
  <c r="CP45" i="20"/>
  <c r="CP44" i="20"/>
  <c r="CP43" i="20"/>
  <c r="CP42" i="20"/>
  <c r="CP41" i="20"/>
  <c r="CP9" i="20"/>
  <c r="CP8" i="20"/>
  <c r="CP7" i="20"/>
  <c r="CP6" i="20"/>
  <c r="CP5" i="20"/>
  <c r="CP4" i="20"/>
  <c r="CK142" i="20"/>
  <c r="CK141" i="20"/>
  <c r="CK140" i="20"/>
  <c r="CK139" i="20"/>
  <c r="CK138" i="20"/>
  <c r="CK137" i="20"/>
  <c r="CK131" i="20"/>
  <c r="CK130" i="20"/>
  <c r="CK129" i="20"/>
  <c r="CK128" i="20"/>
  <c r="CK127" i="20"/>
  <c r="CK126" i="20"/>
  <c r="CK119" i="20"/>
  <c r="CK118" i="20"/>
  <c r="CK117" i="20"/>
  <c r="CK116" i="20"/>
  <c r="CK115" i="20"/>
  <c r="CK114" i="20"/>
  <c r="CK108" i="20"/>
  <c r="CK107" i="20"/>
  <c r="CK106" i="20"/>
  <c r="CK105" i="20"/>
  <c r="CK104" i="20"/>
  <c r="CK103" i="20"/>
  <c r="CK97" i="20"/>
  <c r="CK96" i="20"/>
  <c r="CK95" i="20"/>
  <c r="CK94" i="20"/>
  <c r="CK93" i="20"/>
  <c r="CK92" i="20"/>
  <c r="CK86" i="20"/>
  <c r="CK85" i="20"/>
  <c r="CK84" i="20"/>
  <c r="CK83" i="20"/>
  <c r="CK82" i="20"/>
  <c r="CK81" i="20"/>
  <c r="CK75" i="20"/>
  <c r="CK74" i="20"/>
  <c r="CK73" i="20"/>
  <c r="CK72" i="20"/>
  <c r="CK71" i="20"/>
  <c r="CK70" i="20"/>
  <c r="CK64" i="20"/>
  <c r="CK63" i="20"/>
  <c r="CK62" i="20"/>
  <c r="CK61" i="20"/>
  <c r="CK60" i="20"/>
  <c r="CK59" i="20"/>
  <c r="CK53" i="20"/>
  <c r="CK52" i="20"/>
  <c r="CK51" i="20"/>
  <c r="CK50" i="20"/>
  <c r="CK49" i="20"/>
  <c r="CK48" i="20"/>
  <c r="CK42" i="20"/>
  <c r="CK41" i="20"/>
  <c r="CK40" i="20"/>
  <c r="CK39" i="20"/>
  <c r="CK38" i="20"/>
  <c r="CK37" i="20"/>
  <c r="CK31" i="20"/>
  <c r="CK30" i="20"/>
  <c r="CK29" i="20"/>
  <c r="CK28" i="20"/>
  <c r="CK27" i="20"/>
  <c r="CK26" i="20"/>
  <c r="CK20" i="20"/>
  <c r="CK19" i="20"/>
  <c r="CK18" i="20"/>
  <c r="CK17" i="20"/>
  <c r="CK16" i="20"/>
  <c r="CK15" i="20"/>
  <c r="CK9" i="20"/>
  <c r="CK8" i="20"/>
  <c r="CK7" i="20"/>
  <c r="CK6" i="20"/>
  <c r="CK5" i="20"/>
  <c r="CK4" i="20"/>
  <c r="CF468" i="20"/>
  <c r="CF467" i="20"/>
  <c r="CF466" i="20"/>
  <c r="CF465" i="20"/>
  <c r="CF464" i="20"/>
  <c r="CF463" i="20"/>
  <c r="CF441" i="20"/>
  <c r="CF440" i="20"/>
  <c r="CF439" i="20"/>
  <c r="CF438" i="20"/>
  <c r="CF437" i="20"/>
  <c r="CF436" i="20"/>
  <c r="CF414" i="20"/>
  <c r="CF413" i="20"/>
  <c r="CF412" i="20"/>
  <c r="CF411" i="20"/>
  <c r="CF410" i="20"/>
  <c r="CF409" i="20"/>
  <c r="CF387" i="20"/>
  <c r="CF386" i="20"/>
  <c r="CF385" i="20"/>
  <c r="CF384" i="20"/>
  <c r="CF383" i="20"/>
  <c r="CF382" i="20"/>
  <c r="CF360" i="20"/>
  <c r="CF359" i="20"/>
  <c r="CF358" i="20"/>
  <c r="CF357" i="20"/>
  <c r="CF356" i="20"/>
  <c r="CF355" i="20"/>
  <c r="CF333" i="20"/>
  <c r="CF332" i="20"/>
  <c r="CF331" i="20"/>
  <c r="CF330" i="20"/>
  <c r="CF329" i="20"/>
  <c r="CF328" i="20"/>
  <c r="CF306" i="20"/>
  <c r="CF305" i="20"/>
  <c r="CF304" i="20"/>
  <c r="CF303" i="20"/>
  <c r="CF302" i="20"/>
  <c r="CF301" i="20"/>
  <c r="CF279" i="20"/>
  <c r="CF278" i="20"/>
  <c r="CF277" i="20"/>
  <c r="CF276" i="20"/>
  <c r="CF275" i="20"/>
  <c r="CF274" i="20"/>
  <c r="CF252" i="20"/>
  <c r="CF251" i="20"/>
  <c r="CF250" i="20"/>
  <c r="CF249" i="20"/>
  <c r="CF248" i="20"/>
  <c r="CF247" i="20"/>
  <c r="CF225" i="20"/>
  <c r="CF224" i="20"/>
  <c r="CF223" i="20"/>
  <c r="CF222" i="20"/>
  <c r="CF221" i="20"/>
  <c r="CF220" i="20"/>
  <c r="CF198" i="20"/>
  <c r="CF197" i="20"/>
  <c r="CF196" i="20"/>
  <c r="CF195" i="20"/>
  <c r="CF194" i="20"/>
  <c r="CF193" i="20"/>
  <c r="CF171" i="20"/>
  <c r="CF170" i="20"/>
  <c r="CF169" i="20"/>
  <c r="CF168" i="20"/>
  <c r="CF167" i="20"/>
  <c r="CF166" i="20"/>
  <c r="CF144" i="20"/>
  <c r="CF143" i="20"/>
  <c r="CF142" i="20"/>
  <c r="CF141" i="20"/>
  <c r="CF140" i="20"/>
  <c r="CF139" i="20"/>
  <c r="CF117" i="20"/>
  <c r="CF116" i="20"/>
  <c r="CF115" i="20"/>
  <c r="CF114" i="20"/>
  <c r="CF113" i="20"/>
  <c r="CF112" i="20"/>
  <c r="CF90" i="20"/>
  <c r="CF89" i="20"/>
  <c r="CF88" i="20"/>
  <c r="CF87" i="20"/>
  <c r="CF86" i="20"/>
  <c r="CF85" i="20"/>
  <c r="CF63" i="20"/>
  <c r="CF62" i="20"/>
  <c r="CF61" i="20"/>
  <c r="CF60" i="20"/>
  <c r="CF59" i="20"/>
  <c r="CF58" i="20"/>
  <c r="CF36" i="20"/>
  <c r="CF35" i="20"/>
  <c r="CF34" i="20"/>
  <c r="CF33" i="20"/>
  <c r="CF32" i="20"/>
  <c r="CF31" i="20"/>
  <c r="CF9" i="20"/>
  <c r="CF8" i="20"/>
  <c r="CF7" i="20"/>
  <c r="CF6" i="20"/>
  <c r="CF5" i="20"/>
  <c r="CF4" i="20"/>
  <c r="BV178" i="20"/>
  <c r="BV177" i="20"/>
  <c r="BV176" i="20"/>
  <c r="BV175" i="20"/>
  <c r="BV174" i="20"/>
  <c r="BV173" i="20"/>
  <c r="BV165" i="20"/>
  <c r="BV164" i="20"/>
  <c r="BV163" i="20"/>
  <c r="BV162" i="20"/>
  <c r="BV161" i="20"/>
  <c r="BV160" i="20"/>
  <c r="BV152" i="20"/>
  <c r="BV151" i="20"/>
  <c r="BV150" i="20"/>
  <c r="BV149" i="20"/>
  <c r="BV148" i="20"/>
  <c r="BV147" i="20"/>
  <c r="BV139" i="20"/>
  <c r="BV138" i="20"/>
  <c r="BV137" i="20"/>
  <c r="BV136" i="20"/>
  <c r="BV135" i="20"/>
  <c r="BV134" i="20"/>
  <c r="BV126" i="20"/>
  <c r="BV125" i="20"/>
  <c r="BV124" i="20"/>
  <c r="BV123" i="20"/>
  <c r="BV122" i="20"/>
  <c r="BV121" i="20"/>
  <c r="BV113" i="20"/>
  <c r="BV112" i="20"/>
  <c r="BV111" i="20"/>
  <c r="BV110" i="20"/>
  <c r="BV109" i="20"/>
  <c r="BV108" i="20"/>
  <c r="BV100" i="20"/>
  <c r="BV99" i="20"/>
  <c r="BV98" i="20"/>
  <c r="BV97" i="20"/>
  <c r="BV96" i="20"/>
  <c r="BV95" i="20"/>
  <c r="BV87" i="20"/>
  <c r="BV86" i="20"/>
  <c r="BV85" i="20"/>
  <c r="BV84" i="20"/>
  <c r="BV83" i="20"/>
  <c r="BV82" i="20"/>
  <c r="BV74" i="20"/>
  <c r="BV73" i="20"/>
  <c r="BV72" i="20"/>
  <c r="BV71" i="20"/>
  <c r="BV70" i="20"/>
  <c r="BV69" i="20"/>
  <c r="BV61" i="20"/>
  <c r="BV60" i="20"/>
  <c r="BV59" i="20"/>
  <c r="BV58" i="20"/>
  <c r="BV57" i="20"/>
  <c r="BV56" i="20"/>
  <c r="BV48" i="20"/>
  <c r="BV47" i="20"/>
  <c r="BV46" i="20"/>
  <c r="BV45" i="20"/>
  <c r="BV44" i="20"/>
  <c r="BV43" i="20"/>
  <c r="BV35" i="20"/>
  <c r="BV34" i="20"/>
  <c r="BV33" i="20"/>
  <c r="BV32" i="20"/>
  <c r="BV31" i="20"/>
  <c r="BV30" i="20"/>
  <c r="BV22" i="20"/>
  <c r="BV21" i="20"/>
  <c r="BV20" i="20"/>
  <c r="BV19" i="20"/>
  <c r="BV18" i="20"/>
  <c r="BV17" i="20"/>
  <c r="BV9" i="20"/>
  <c r="BV8" i="20"/>
  <c r="BV7" i="20"/>
  <c r="BV6" i="20"/>
  <c r="BV5" i="20"/>
  <c r="BV4" i="20"/>
  <c r="BQ409" i="20"/>
  <c r="BQ408" i="20"/>
  <c r="BQ407" i="20"/>
  <c r="BQ406" i="20"/>
  <c r="BQ405" i="20"/>
  <c r="BQ404" i="20"/>
  <c r="BQ389" i="20"/>
  <c r="BQ388" i="20"/>
  <c r="BQ387" i="20"/>
  <c r="BQ386" i="20"/>
  <c r="BQ385" i="20"/>
  <c r="BQ384" i="20"/>
  <c r="BQ369" i="20"/>
  <c r="BQ368" i="20"/>
  <c r="BQ367" i="20"/>
  <c r="BQ366" i="20"/>
  <c r="BQ365" i="20"/>
  <c r="BQ364" i="20"/>
  <c r="BQ309" i="20"/>
  <c r="BQ308" i="20"/>
  <c r="BQ307" i="20"/>
  <c r="BQ306" i="20"/>
  <c r="BQ305" i="20"/>
  <c r="BQ304" i="20"/>
  <c r="BQ289" i="20"/>
  <c r="BQ288" i="20"/>
  <c r="BQ287" i="20"/>
  <c r="BQ286" i="20"/>
  <c r="BQ285" i="20"/>
  <c r="BQ284" i="20"/>
  <c r="BQ269" i="20"/>
  <c r="BQ268" i="20"/>
  <c r="BQ267" i="20"/>
  <c r="BQ266" i="20"/>
  <c r="BQ265" i="20"/>
  <c r="BQ264" i="20"/>
  <c r="BQ249" i="20"/>
  <c r="BQ248" i="20"/>
  <c r="BQ247" i="20"/>
  <c r="BQ246" i="20"/>
  <c r="BQ245" i="20"/>
  <c r="BQ244" i="20"/>
  <c r="BQ229" i="20"/>
  <c r="BQ228" i="20"/>
  <c r="BQ227" i="20"/>
  <c r="BQ226" i="20"/>
  <c r="BQ225" i="20"/>
  <c r="BQ224" i="20"/>
  <c r="BQ209" i="20"/>
  <c r="BQ208" i="20"/>
  <c r="BQ207" i="20"/>
  <c r="BQ206" i="20"/>
  <c r="BQ205" i="20"/>
  <c r="BQ204" i="20"/>
  <c r="BQ189" i="20"/>
  <c r="BQ188" i="20"/>
  <c r="BQ187" i="20"/>
  <c r="BQ186" i="20"/>
  <c r="BQ185" i="20"/>
  <c r="BQ184" i="20"/>
  <c r="BQ169" i="20"/>
  <c r="BQ168" i="20"/>
  <c r="BQ167" i="20"/>
  <c r="BQ166" i="20"/>
  <c r="BQ165" i="20"/>
  <c r="BQ164" i="20"/>
  <c r="BQ149" i="20"/>
  <c r="BQ148" i="20"/>
  <c r="BQ147" i="20"/>
  <c r="BQ146" i="20"/>
  <c r="BQ145" i="20"/>
  <c r="BQ144" i="20"/>
  <c r="BQ129" i="20"/>
  <c r="BQ128" i="20"/>
  <c r="BQ127" i="20"/>
  <c r="BQ126" i="20"/>
  <c r="BQ125" i="20"/>
  <c r="BQ124" i="20"/>
  <c r="BQ109" i="20"/>
  <c r="BQ108" i="20"/>
  <c r="BQ107" i="20"/>
  <c r="BQ106" i="20"/>
  <c r="BQ105" i="20"/>
  <c r="BQ104" i="20"/>
  <c r="BQ89" i="20"/>
  <c r="BQ88" i="20"/>
  <c r="BQ87" i="20"/>
  <c r="BQ86" i="20"/>
  <c r="BQ85" i="20"/>
  <c r="BQ84" i="20"/>
  <c r="BQ69" i="20"/>
  <c r="BQ68" i="20"/>
  <c r="BQ67" i="20"/>
  <c r="BQ66" i="20"/>
  <c r="BQ65" i="20"/>
  <c r="BQ64" i="20"/>
  <c r="BQ49" i="20"/>
  <c r="BQ48" i="20"/>
  <c r="BQ47" i="20"/>
  <c r="BQ46" i="20"/>
  <c r="BQ45" i="20"/>
  <c r="BQ44" i="20"/>
  <c r="BQ29" i="20"/>
  <c r="BQ28" i="20"/>
  <c r="BQ27" i="20"/>
  <c r="BQ26" i="20"/>
  <c r="BQ25" i="20"/>
  <c r="BQ24" i="20"/>
  <c r="BQ9" i="20"/>
  <c r="BQ8" i="20"/>
  <c r="BQ7" i="20"/>
  <c r="BQ6" i="20"/>
  <c r="BQ5" i="20"/>
  <c r="BQ4" i="20"/>
  <c r="BL655" i="20"/>
  <c r="BL654" i="20"/>
  <c r="BL653" i="20"/>
  <c r="BL652" i="20"/>
  <c r="BL651" i="20"/>
  <c r="BL650" i="20"/>
  <c r="BL621" i="20"/>
  <c r="BL620" i="20"/>
  <c r="BL619" i="20"/>
  <c r="BL618" i="20"/>
  <c r="BL617" i="20"/>
  <c r="BL616" i="20"/>
  <c r="BL587" i="20"/>
  <c r="BL586" i="20"/>
  <c r="BL585" i="20"/>
  <c r="BL584" i="20"/>
  <c r="BL583" i="20"/>
  <c r="BL582" i="20"/>
  <c r="BL553" i="20"/>
  <c r="BL552" i="20"/>
  <c r="BL551" i="20"/>
  <c r="BL550" i="20"/>
  <c r="BL549" i="20"/>
  <c r="BL548" i="20"/>
  <c r="BL519" i="20"/>
  <c r="BL518" i="20"/>
  <c r="BL517" i="20"/>
  <c r="BL516" i="20"/>
  <c r="BL515" i="20"/>
  <c r="BL514" i="20"/>
  <c r="BL485" i="20"/>
  <c r="BL484" i="20"/>
  <c r="BL483" i="20"/>
  <c r="BL482" i="20"/>
  <c r="BL481" i="20"/>
  <c r="BL480" i="20"/>
  <c r="BL451" i="20"/>
  <c r="BL450" i="20"/>
  <c r="BL449" i="20"/>
  <c r="BL448" i="20"/>
  <c r="BL447" i="20"/>
  <c r="BL446" i="20"/>
  <c r="BL417" i="20"/>
  <c r="BL416" i="20"/>
  <c r="BL415" i="20"/>
  <c r="BL414" i="20"/>
  <c r="BL413" i="20"/>
  <c r="BL412" i="20"/>
  <c r="BL383" i="20"/>
  <c r="BL382" i="20"/>
  <c r="BL381" i="20"/>
  <c r="BL380" i="20"/>
  <c r="BL379" i="20"/>
  <c r="BL378" i="20"/>
  <c r="BL349" i="20"/>
  <c r="BL348" i="20"/>
  <c r="BL347" i="20"/>
  <c r="BL346" i="20"/>
  <c r="BL345" i="20"/>
  <c r="BL344" i="20"/>
  <c r="BL310" i="20"/>
  <c r="BL315" i="20"/>
  <c r="BL314" i="20"/>
  <c r="BL313" i="20"/>
  <c r="BL312" i="20"/>
  <c r="BL311" i="20"/>
  <c r="BL281" i="20"/>
  <c r="BL280" i="20"/>
  <c r="BL279" i="20"/>
  <c r="BL278" i="20"/>
  <c r="BL277" i="20"/>
  <c r="BL276" i="20"/>
  <c r="BL247" i="20"/>
  <c r="BL246" i="20"/>
  <c r="BL245" i="20"/>
  <c r="BL244" i="20"/>
  <c r="BL243" i="20"/>
  <c r="BL242" i="20"/>
  <c r="BL213" i="20"/>
  <c r="BL212" i="20"/>
  <c r="BL211" i="20"/>
  <c r="BL210" i="20"/>
  <c r="BL209" i="20"/>
  <c r="BL208" i="20"/>
  <c r="BL179" i="20"/>
  <c r="BL178" i="20"/>
  <c r="BL177" i="20"/>
  <c r="BL176" i="20"/>
  <c r="BL175" i="20"/>
  <c r="BL174" i="20"/>
  <c r="BL145" i="20"/>
  <c r="BL144" i="20"/>
  <c r="BL143" i="20"/>
  <c r="BL142" i="20"/>
  <c r="BL141" i="20"/>
  <c r="BL140" i="20"/>
  <c r="BL111" i="20"/>
  <c r="BL110" i="20"/>
  <c r="BL109" i="20"/>
  <c r="BL108" i="20"/>
  <c r="BL107" i="20"/>
  <c r="BL106" i="20"/>
  <c r="BL77" i="20"/>
  <c r="BL76" i="20"/>
  <c r="BL75" i="20"/>
  <c r="BL74" i="20"/>
  <c r="BL73" i="20"/>
  <c r="BL72" i="20"/>
  <c r="BL43" i="20"/>
  <c r="BL42" i="20"/>
  <c r="BL41" i="20"/>
  <c r="BL40" i="20"/>
  <c r="BL39" i="20"/>
  <c r="BL38" i="20"/>
  <c r="BL9" i="20"/>
  <c r="BL8" i="20"/>
  <c r="BL7" i="20"/>
  <c r="BL6" i="20"/>
  <c r="BL5" i="20"/>
  <c r="BL4" i="20"/>
  <c r="BG531" i="20"/>
  <c r="BG530" i="20"/>
  <c r="BG529" i="20"/>
  <c r="BG528" i="20"/>
  <c r="BG527" i="20"/>
  <c r="BG526" i="20"/>
  <c r="BG502" i="20"/>
  <c r="BG501" i="20"/>
  <c r="BG500" i="20"/>
  <c r="BG499" i="20"/>
  <c r="BG498" i="20"/>
  <c r="BG497" i="20"/>
  <c r="BG473" i="20"/>
  <c r="BG472" i="20"/>
  <c r="BG471" i="20"/>
  <c r="BG470" i="20"/>
  <c r="BG469" i="20"/>
  <c r="BG468" i="20"/>
  <c r="BG444" i="20"/>
  <c r="BG443" i="20"/>
  <c r="BG442" i="20"/>
  <c r="BG441" i="20"/>
  <c r="BG440" i="20"/>
  <c r="BG439" i="20"/>
  <c r="BG415" i="20"/>
  <c r="BG414" i="20"/>
  <c r="BG413" i="20"/>
  <c r="BG412" i="20"/>
  <c r="BG411" i="20"/>
  <c r="BG410" i="20"/>
  <c r="BG386" i="20"/>
  <c r="BG385" i="20"/>
  <c r="BG384" i="20"/>
  <c r="BG383" i="20"/>
  <c r="BG382" i="20"/>
  <c r="BG381" i="20"/>
  <c r="BG357" i="20"/>
  <c r="BG356" i="20"/>
  <c r="BG355" i="20"/>
  <c r="BG354" i="20"/>
  <c r="BG353" i="20"/>
  <c r="BG352" i="20"/>
  <c r="BG328" i="20"/>
  <c r="BG327" i="20"/>
  <c r="BG326" i="20"/>
  <c r="BG325" i="20"/>
  <c r="BG324" i="20"/>
  <c r="BG323" i="20"/>
  <c r="BG299" i="20"/>
  <c r="BG298" i="20"/>
  <c r="BG297" i="20"/>
  <c r="BG296" i="20"/>
  <c r="BG295" i="20"/>
  <c r="BG294" i="20"/>
  <c r="BG270" i="20"/>
  <c r="BG269" i="20"/>
  <c r="BG268" i="20"/>
  <c r="BG267" i="20"/>
  <c r="BG266" i="20"/>
  <c r="BG265" i="20"/>
  <c r="BG241" i="20"/>
  <c r="BG240" i="20"/>
  <c r="BG239" i="20"/>
  <c r="BG238" i="20"/>
  <c r="BG237" i="20"/>
  <c r="BG236" i="20"/>
  <c r="BG212" i="20"/>
  <c r="BG211" i="20"/>
  <c r="BG210" i="20"/>
  <c r="BG209" i="20"/>
  <c r="BG208" i="20"/>
  <c r="BG207" i="20"/>
  <c r="BG183" i="20"/>
  <c r="BG182" i="20"/>
  <c r="BG181" i="20"/>
  <c r="BG180" i="20"/>
  <c r="BG179" i="20"/>
  <c r="BG178" i="20"/>
  <c r="BG154" i="20"/>
  <c r="BG153" i="20"/>
  <c r="BG152" i="20"/>
  <c r="BG151" i="20"/>
  <c r="BG150" i="20"/>
  <c r="BG149" i="20"/>
  <c r="BG125" i="20"/>
  <c r="BG124" i="20"/>
  <c r="BG123" i="20"/>
  <c r="BG122" i="20"/>
  <c r="BG121" i="20"/>
  <c r="BG120" i="20"/>
  <c r="BG96" i="20"/>
  <c r="BG95" i="20"/>
  <c r="BG94" i="20"/>
  <c r="BG93" i="20"/>
  <c r="BG92" i="20"/>
  <c r="BG91" i="20"/>
  <c r="BG67" i="20"/>
  <c r="BG66" i="20"/>
  <c r="BG65" i="20"/>
  <c r="BG64" i="20"/>
  <c r="BG63" i="20"/>
  <c r="BG62" i="20"/>
  <c r="BG38" i="20"/>
  <c r="BG37" i="20"/>
  <c r="BG36" i="20"/>
  <c r="BG35" i="20"/>
  <c r="BG34" i="20"/>
  <c r="BG33" i="20"/>
  <c r="BG9" i="20"/>
  <c r="BG8" i="20"/>
  <c r="BG7" i="20"/>
  <c r="BG6" i="20"/>
  <c r="BG5" i="20"/>
  <c r="BG4" i="20"/>
  <c r="BB621" i="20"/>
  <c r="BB620" i="20"/>
  <c r="BB619" i="20"/>
  <c r="BB618" i="20"/>
  <c r="BB617" i="20"/>
  <c r="BB616" i="20"/>
  <c r="BB587" i="20"/>
  <c r="BB586" i="20"/>
  <c r="BB585" i="20"/>
  <c r="BB584" i="20"/>
  <c r="BB583" i="20"/>
  <c r="BB582" i="20"/>
  <c r="BB553" i="20"/>
  <c r="BB552" i="20"/>
  <c r="BB551" i="20"/>
  <c r="BB550" i="20"/>
  <c r="BB549" i="20"/>
  <c r="BB548" i="20"/>
  <c r="BB519" i="20"/>
  <c r="BB518" i="20"/>
  <c r="BB517" i="20"/>
  <c r="BB516" i="20"/>
  <c r="BB515" i="20"/>
  <c r="BB514" i="20"/>
  <c r="BB485" i="20"/>
  <c r="BB484" i="20"/>
  <c r="BB483" i="20"/>
  <c r="BB482" i="20"/>
  <c r="BB481" i="20"/>
  <c r="BB480" i="20"/>
  <c r="BB451" i="20"/>
  <c r="BB450" i="20"/>
  <c r="BB449" i="20"/>
  <c r="BB448" i="20"/>
  <c r="BB447" i="20"/>
  <c r="BB446" i="20"/>
  <c r="BB417" i="20"/>
  <c r="BB416" i="20"/>
  <c r="BB415" i="20"/>
  <c r="BB414" i="20"/>
  <c r="BB413" i="20"/>
  <c r="BB412" i="20"/>
  <c r="BB383" i="20"/>
  <c r="BB382" i="20"/>
  <c r="BB381" i="20"/>
  <c r="BB380" i="20"/>
  <c r="BB379" i="20"/>
  <c r="BB378" i="20"/>
  <c r="BB349" i="20"/>
  <c r="BB348" i="20"/>
  <c r="BB347" i="20"/>
  <c r="BB346" i="20"/>
  <c r="BB345" i="20"/>
  <c r="BB344" i="20"/>
  <c r="BB315" i="20"/>
  <c r="BB314" i="20"/>
  <c r="BB313" i="20"/>
  <c r="BB312" i="20"/>
  <c r="BB311" i="20"/>
  <c r="BB310" i="20"/>
  <c r="BB281" i="20"/>
  <c r="BB280" i="20"/>
  <c r="BB279" i="20"/>
  <c r="BB278" i="20"/>
  <c r="BB277" i="20"/>
  <c r="BB276" i="20"/>
  <c r="BB247" i="20"/>
  <c r="BB246" i="20"/>
  <c r="BB245" i="20"/>
  <c r="BB244" i="20"/>
  <c r="BB243" i="20"/>
  <c r="BB242" i="20"/>
  <c r="BB213" i="20"/>
  <c r="BB212" i="20"/>
  <c r="BB211" i="20"/>
  <c r="BB210" i="20"/>
  <c r="BB209" i="20"/>
  <c r="BB208" i="20"/>
  <c r="BB179" i="20"/>
  <c r="BB178" i="20"/>
  <c r="BB177" i="20"/>
  <c r="BB176" i="20"/>
  <c r="BB175" i="20"/>
  <c r="BB174" i="20"/>
  <c r="BB145" i="20"/>
  <c r="BB144" i="20"/>
  <c r="BB143" i="20"/>
  <c r="BB142" i="20"/>
  <c r="BB141" i="20"/>
  <c r="BB140" i="20"/>
  <c r="BB111" i="20"/>
  <c r="BB110" i="20"/>
  <c r="BB109" i="20"/>
  <c r="BB108" i="20"/>
  <c r="BB107" i="20"/>
  <c r="BB106" i="20"/>
  <c r="BB77" i="20"/>
  <c r="BB76" i="20"/>
  <c r="BB75" i="20"/>
  <c r="BB74" i="20"/>
  <c r="BB73" i="20"/>
  <c r="BB72" i="20"/>
  <c r="BB43" i="20"/>
  <c r="BB42" i="20"/>
  <c r="BB41" i="20"/>
  <c r="BB40" i="20"/>
  <c r="BB39" i="20"/>
  <c r="BB38" i="20"/>
  <c r="BB9" i="20"/>
  <c r="BB8" i="20"/>
  <c r="BB7" i="20"/>
  <c r="BB6" i="20"/>
  <c r="BB5" i="20"/>
  <c r="BB4" i="20"/>
  <c r="AW361" i="20"/>
  <c r="AW360" i="20"/>
  <c r="AW359" i="20"/>
  <c r="AW358" i="20"/>
  <c r="AW357" i="20"/>
  <c r="AW356" i="20"/>
  <c r="AW339" i="20"/>
  <c r="AW338" i="20"/>
  <c r="AW337" i="20"/>
  <c r="AW336" i="20"/>
  <c r="AW335" i="20"/>
  <c r="AW334" i="20"/>
  <c r="AW317" i="20"/>
  <c r="AW316" i="20"/>
  <c r="AW315" i="20"/>
  <c r="AW314" i="20"/>
  <c r="AW313" i="20"/>
  <c r="AW312" i="20"/>
  <c r="AW295" i="20"/>
  <c r="AW294" i="20"/>
  <c r="AW293" i="20"/>
  <c r="AW292" i="20"/>
  <c r="AW291" i="20"/>
  <c r="AW290" i="20"/>
  <c r="AW273" i="20"/>
  <c r="AW272" i="20"/>
  <c r="AW271" i="20"/>
  <c r="AW270" i="20"/>
  <c r="AW269" i="20"/>
  <c r="AW268" i="20"/>
  <c r="AW251" i="20"/>
  <c r="AW250" i="20"/>
  <c r="AW249" i="20"/>
  <c r="AW248" i="20"/>
  <c r="AW247" i="20"/>
  <c r="AW246" i="20"/>
  <c r="AW229" i="20"/>
  <c r="AW228" i="20"/>
  <c r="AW227" i="20"/>
  <c r="AW226" i="20"/>
  <c r="AW225" i="20"/>
  <c r="AW224" i="20"/>
  <c r="AW207" i="20"/>
  <c r="AW206" i="20"/>
  <c r="AW205" i="20"/>
  <c r="AW204" i="20"/>
  <c r="AW203" i="20"/>
  <c r="AW202" i="20"/>
  <c r="AW185" i="20"/>
  <c r="AW184" i="20"/>
  <c r="AW183" i="20"/>
  <c r="AW182" i="20"/>
  <c r="AW181" i="20"/>
  <c r="AW180" i="20"/>
  <c r="AW163" i="20"/>
  <c r="AW162" i="20"/>
  <c r="AW161" i="20"/>
  <c r="AW160" i="20"/>
  <c r="AW159" i="20"/>
  <c r="AW158" i="20"/>
  <c r="AW141" i="20"/>
  <c r="AW140" i="20"/>
  <c r="AW139" i="20"/>
  <c r="AW138" i="20"/>
  <c r="AW137" i="20"/>
  <c r="AW136" i="20"/>
  <c r="AW119" i="20"/>
  <c r="AW118" i="20"/>
  <c r="AW117" i="20"/>
  <c r="AW116" i="20"/>
  <c r="AW115" i="20"/>
  <c r="AW114" i="20"/>
  <c r="AW97" i="20"/>
  <c r="AW96" i="20"/>
  <c r="AW95" i="20"/>
  <c r="AW94" i="20"/>
  <c r="AW93" i="20"/>
  <c r="AW92" i="20"/>
  <c r="AW75" i="20"/>
  <c r="AW74" i="20"/>
  <c r="AW73" i="20"/>
  <c r="AW72" i="20"/>
  <c r="AW71" i="20"/>
  <c r="AW70" i="20"/>
  <c r="AW53" i="20"/>
  <c r="AW52" i="20"/>
  <c r="AW51" i="20"/>
  <c r="AW50" i="20"/>
  <c r="AW49" i="20"/>
  <c r="AW48" i="20"/>
  <c r="AW31" i="20"/>
  <c r="AW30" i="20"/>
  <c r="AW29" i="20"/>
  <c r="AW28" i="20"/>
  <c r="AW27" i="20"/>
  <c r="AW26" i="20"/>
  <c r="AW9" i="20" l="1"/>
  <c r="AW8" i="20"/>
  <c r="AW7" i="20"/>
  <c r="AW6" i="20"/>
  <c r="AW5" i="20"/>
  <c r="AW4" i="20"/>
  <c r="F8" i="22"/>
  <c r="AF4" i="15"/>
  <c r="AF5" i="15"/>
  <c r="AF6" i="15"/>
  <c r="AF7" i="15"/>
  <c r="AF8" i="15"/>
  <c r="AF9" i="15"/>
  <c r="AF10" i="15"/>
  <c r="AF11" i="15"/>
  <c r="AF12" i="15"/>
  <c r="AF13" i="15"/>
  <c r="AF14" i="15"/>
  <c r="AF15" i="15"/>
  <c r="AF16" i="15"/>
  <c r="AF17" i="15"/>
  <c r="AF18" i="15"/>
  <c r="AF19" i="15"/>
  <c r="AF20" i="15"/>
  <c r="AF21" i="15"/>
  <c r="AF5" i="13"/>
  <c r="AF6" i="13"/>
  <c r="AF7" i="13"/>
  <c r="AF8" i="13"/>
  <c r="AF9" i="13"/>
  <c r="AF10" i="13"/>
  <c r="AF11" i="13"/>
  <c r="AF12" i="13"/>
  <c r="AF13" i="13"/>
  <c r="AF14" i="13"/>
  <c r="AF15" i="13"/>
  <c r="AF16" i="13"/>
  <c r="AF17" i="13"/>
  <c r="AF18" i="13"/>
  <c r="AF19" i="13"/>
  <c r="AF20" i="13"/>
  <c r="AF21" i="13"/>
  <c r="AF22" i="13"/>
  <c r="AF23" i="13"/>
  <c r="AF24" i="13"/>
  <c r="AF25" i="13"/>
  <c r="AF4" i="12"/>
  <c r="AF5" i="12"/>
  <c r="AF6" i="12"/>
  <c r="AF7" i="12"/>
  <c r="AF8" i="12"/>
  <c r="AF9" i="12"/>
  <c r="AF10" i="12"/>
  <c r="AF11" i="12"/>
  <c r="AF12" i="12"/>
  <c r="AF13" i="12"/>
  <c r="AF14" i="12"/>
  <c r="AF15" i="12"/>
  <c r="AF16" i="12"/>
  <c r="AF17" i="12"/>
  <c r="AF18" i="12"/>
  <c r="AF19" i="12"/>
  <c r="AF20" i="12"/>
  <c r="AF21" i="12"/>
  <c r="AF22" i="12"/>
  <c r="AF23" i="12"/>
  <c r="AA4" i="11"/>
  <c r="AA5" i="11"/>
  <c r="AA6" i="11"/>
  <c r="AA7" i="11"/>
  <c r="AA8" i="11"/>
  <c r="AA9" i="11"/>
  <c r="AA10" i="11"/>
  <c r="AA11" i="11"/>
  <c r="AA12" i="11"/>
  <c r="AA13" i="11"/>
  <c r="AA14" i="11"/>
  <c r="AA15" i="11"/>
  <c r="AA16" i="11"/>
  <c r="AA17" i="11"/>
  <c r="AA18" i="11"/>
  <c r="AA19" i="11"/>
  <c r="AA20" i="11"/>
  <c r="AA21" i="11"/>
  <c r="AA22" i="11"/>
  <c r="AF4" i="10"/>
  <c r="AF5" i="10"/>
  <c r="AF6" i="10"/>
  <c r="AF7" i="10"/>
  <c r="AF8" i="10"/>
  <c r="AF9" i="10"/>
  <c r="AF10" i="10"/>
  <c r="AF11" i="10"/>
  <c r="AF12" i="10"/>
  <c r="AF13" i="10"/>
  <c r="AF14" i="10"/>
  <c r="AF15" i="10"/>
  <c r="AF16" i="10"/>
  <c r="AF17" i="10"/>
  <c r="AF18" i="10"/>
  <c r="AF19" i="10"/>
  <c r="AF20" i="10"/>
  <c r="AF21" i="10"/>
  <c r="AF22" i="10"/>
  <c r="AA4" i="9"/>
  <c r="AA5" i="9"/>
  <c r="AA6" i="9"/>
  <c r="AA7" i="9"/>
  <c r="AA8" i="9"/>
  <c r="AA9" i="9"/>
  <c r="AA10" i="9"/>
  <c r="AA11" i="9"/>
  <c r="AA12" i="9"/>
  <c r="AA13" i="9"/>
  <c r="AA14" i="9"/>
  <c r="AA15" i="9"/>
  <c r="AA16" i="9"/>
  <c r="AA17" i="9"/>
  <c r="AA18" i="9"/>
  <c r="AA19" i="9"/>
  <c r="AA20" i="9"/>
  <c r="AA4" i="7"/>
  <c r="AA5" i="7"/>
  <c r="AA6" i="7"/>
  <c r="AA7" i="7"/>
  <c r="AA8" i="7"/>
  <c r="AA9" i="7"/>
  <c r="AA10" i="7"/>
  <c r="AA11" i="7"/>
  <c r="AA12" i="7"/>
  <c r="AA4" i="6"/>
  <c r="AA5" i="6"/>
  <c r="AA6" i="6"/>
  <c r="AA7" i="6"/>
  <c r="AA8" i="6"/>
  <c r="AA9" i="6"/>
  <c r="AA10" i="6"/>
  <c r="AA11" i="6"/>
  <c r="AA12" i="6"/>
  <c r="AA13" i="6"/>
  <c r="AA14" i="6"/>
  <c r="AA15" i="6"/>
  <c r="AA16" i="6"/>
  <c r="AA17" i="6"/>
  <c r="AA18" i="6"/>
  <c r="AA19" i="6"/>
  <c r="AA20" i="6"/>
  <c r="AA21" i="6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4" i="2"/>
  <c r="AA5" i="2"/>
  <c r="AA6" i="2"/>
  <c r="AA7" i="2"/>
  <c r="AA8" i="2"/>
  <c r="AA9" i="2"/>
  <c r="AA10" i="2"/>
  <c r="AA11" i="2"/>
  <c r="AA12" i="2"/>
  <c r="AA4" i="1"/>
  <c r="AA5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R589" i="20"/>
  <c r="AR588" i="20"/>
  <c r="AR587" i="20"/>
  <c r="AR586" i="20"/>
  <c r="AR585" i="20"/>
  <c r="AR584" i="20"/>
  <c r="AR560" i="20"/>
  <c r="AR559" i="20"/>
  <c r="AR558" i="20"/>
  <c r="AR557" i="20"/>
  <c r="AR556" i="20"/>
  <c r="AR555" i="20"/>
  <c r="AR531" i="20"/>
  <c r="AR530" i="20"/>
  <c r="AR529" i="20"/>
  <c r="AR528" i="20"/>
  <c r="AR527" i="20"/>
  <c r="AR526" i="20"/>
  <c r="AR502" i="20"/>
  <c r="AR501" i="20"/>
  <c r="AR500" i="20"/>
  <c r="AR499" i="20"/>
  <c r="AR498" i="20"/>
  <c r="AR497" i="20"/>
  <c r="AR473" i="20"/>
  <c r="AR472" i="20"/>
  <c r="AR471" i="20"/>
  <c r="AR470" i="20"/>
  <c r="AR469" i="20"/>
  <c r="AR468" i="20"/>
  <c r="AR444" i="20"/>
  <c r="AR443" i="20"/>
  <c r="AR442" i="20"/>
  <c r="AR441" i="20"/>
  <c r="AR440" i="20"/>
  <c r="AR439" i="20"/>
  <c r="AR415" i="20"/>
  <c r="AR414" i="20"/>
  <c r="AR413" i="20"/>
  <c r="AR412" i="20"/>
  <c r="AR411" i="20"/>
  <c r="AR410" i="20"/>
  <c r="AR386" i="20"/>
  <c r="AR385" i="20"/>
  <c r="AR384" i="20"/>
  <c r="AR383" i="20"/>
  <c r="AR382" i="20"/>
  <c r="AR381" i="20"/>
  <c r="AR357" i="20"/>
  <c r="AR356" i="20"/>
  <c r="AR355" i="20"/>
  <c r="AR354" i="20"/>
  <c r="AR353" i="20"/>
  <c r="AR352" i="20"/>
  <c r="AR328" i="20"/>
  <c r="AR327" i="20"/>
  <c r="AR326" i="20"/>
  <c r="AR325" i="20"/>
  <c r="AR324" i="20"/>
  <c r="AR323" i="20"/>
  <c r="AR299" i="20"/>
  <c r="AR298" i="20"/>
  <c r="AR297" i="20"/>
  <c r="AR296" i="20"/>
  <c r="AR295" i="20"/>
  <c r="AR294" i="20"/>
  <c r="AR270" i="20"/>
  <c r="AR269" i="20"/>
  <c r="AR268" i="20"/>
  <c r="AR267" i="20"/>
  <c r="AR266" i="20"/>
  <c r="AR265" i="20"/>
  <c r="AR241" i="20"/>
  <c r="AR240" i="20"/>
  <c r="AR239" i="20"/>
  <c r="AR238" i="20"/>
  <c r="AR237" i="20"/>
  <c r="AR236" i="20"/>
  <c r="AR212" i="20"/>
  <c r="AR211" i="20"/>
  <c r="AR210" i="20"/>
  <c r="AR209" i="20"/>
  <c r="AR208" i="20"/>
  <c r="AR207" i="20"/>
  <c r="AR183" i="20"/>
  <c r="AR182" i="20"/>
  <c r="AR181" i="20"/>
  <c r="AR180" i="20"/>
  <c r="AR179" i="20"/>
  <c r="AR178" i="20"/>
  <c r="AR154" i="20"/>
  <c r="AR153" i="20"/>
  <c r="AR152" i="20"/>
  <c r="AR151" i="20"/>
  <c r="AR150" i="20"/>
  <c r="AR149" i="20"/>
  <c r="AR125" i="20"/>
  <c r="AR124" i="20"/>
  <c r="AR123" i="20"/>
  <c r="AR122" i="20"/>
  <c r="AR121" i="20"/>
  <c r="AR120" i="20"/>
  <c r="AR96" i="20"/>
  <c r="AR95" i="20"/>
  <c r="AR94" i="20"/>
  <c r="AR93" i="20"/>
  <c r="AR92" i="20"/>
  <c r="AR91" i="20"/>
  <c r="AR67" i="20"/>
  <c r="AR66" i="20"/>
  <c r="AR65" i="20"/>
  <c r="AR64" i="20"/>
  <c r="AR63" i="20"/>
  <c r="AR62" i="20"/>
  <c r="AR38" i="20"/>
  <c r="AR37" i="20"/>
  <c r="AR36" i="20"/>
  <c r="AR35" i="20"/>
  <c r="AR34" i="20"/>
  <c r="AR33" i="20"/>
  <c r="AR9" i="20"/>
  <c r="AR8" i="20"/>
  <c r="AR7" i="20"/>
  <c r="AR6" i="20"/>
  <c r="AR5" i="20"/>
  <c r="AR4" i="20"/>
  <c r="AM97" i="20"/>
  <c r="AM96" i="20"/>
  <c r="AM95" i="20"/>
  <c r="AM94" i="20"/>
  <c r="AM93" i="20"/>
  <c r="AM92" i="20"/>
  <c r="AM86" i="20"/>
  <c r="AM85" i="20"/>
  <c r="AM84" i="20"/>
  <c r="AM83" i="20"/>
  <c r="AM82" i="20"/>
  <c r="AM81" i="20"/>
  <c r="AM75" i="20"/>
  <c r="AM74" i="20"/>
  <c r="AM73" i="20"/>
  <c r="AM72" i="20"/>
  <c r="AM71" i="20"/>
  <c r="AM70" i="20"/>
  <c r="AM64" i="20"/>
  <c r="AM63" i="20"/>
  <c r="AM62" i="20"/>
  <c r="AM61" i="20"/>
  <c r="AM60" i="20"/>
  <c r="AM59" i="20"/>
  <c r="AM53" i="20"/>
  <c r="AM52" i="20"/>
  <c r="AM51" i="20"/>
  <c r="AM50" i="20"/>
  <c r="AM49" i="20"/>
  <c r="AM48" i="20"/>
  <c r="AM42" i="20"/>
  <c r="AM41" i="20"/>
  <c r="AM40" i="20"/>
  <c r="AM39" i="20"/>
  <c r="AM38" i="20"/>
  <c r="AM37" i="20"/>
  <c r="AM31" i="20"/>
  <c r="AM30" i="20"/>
  <c r="AM29" i="20"/>
  <c r="AM28" i="20"/>
  <c r="AM27" i="20"/>
  <c r="AM26" i="20"/>
  <c r="AM20" i="20"/>
  <c r="AM19" i="20"/>
  <c r="AM18" i="20"/>
  <c r="AM17" i="20"/>
  <c r="AM16" i="20"/>
  <c r="AM15" i="20"/>
  <c r="AM9" i="20"/>
  <c r="AM8" i="20"/>
  <c r="AM7" i="20"/>
  <c r="AM6" i="20"/>
  <c r="AM5" i="20"/>
  <c r="AM4" i="20"/>
  <c r="AH332" i="20"/>
  <c r="AH331" i="20"/>
  <c r="AH330" i="20"/>
  <c r="AH329" i="20"/>
  <c r="AH328" i="20"/>
  <c r="AH327" i="20"/>
  <c r="AH313" i="20"/>
  <c r="AH312" i="20"/>
  <c r="AH311" i="20"/>
  <c r="AH310" i="20"/>
  <c r="AH309" i="20"/>
  <c r="AH308" i="20"/>
  <c r="AH294" i="20"/>
  <c r="AH293" i="20"/>
  <c r="AH292" i="20"/>
  <c r="AH291" i="20"/>
  <c r="AH290" i="20"/>
  <c r="AH289" i="20"/>
  <c r="AH275" i="20"/>
  <c r="AH274" i="20"/>
  <c r="AH273" i="20"/>
  <c r="AH272" i="20"/>
  <c r="AH271" i="20"/>
  <c r="AH270" i="20"/>
  <c r="AH256" i="20"/>
  <c r="AH255" i="20"/>
  <c r="AH254" i="20"/>
  <c r="AH253" i="20"/>
  <c r="AH252" i="20"/>
  <c r="AH251" i="20"/>
  <c r="AH237" i="20"/>
  <c r="AH236" i="20"/>
  <c r="AH235" i="20"/>
  <c r="AH234" i="20"/>
  <c r="AH233" i="20"/>
  <c r="AH232" i="20"/>
  <c r="AH218" i="20"/>
  <c r="AH217" i="20"/>
  <c r="AH216" i="20"/>
  <c r="AH215" i="20"/>
  <c r="AH214" i="20"/>
  <c r="AH213" i="20"/>
  <c r="AH199" i="20"/>
  <c r="AH198" i="20"/>
  <c r="AH197" i="20"/>
  <c r="AH196" i="20"/>
  <c r="AH195" i="20"/>
  <c r="AH194" i="20"/>
  <c r="AH180" i="20"/>
  <c r="AH179" i="20"/>
  <c r="AH178" i="20"/>
  <c r="AH177" i="20"/>
  <c r="AH176" i="20"/>
  <c r="AH175" i="20"/>
  <c r="AH161" i="20"/>
  <c r="AH160" i="20"/>
  <c r="AH159" i="20"/>
  <c r="AH158" i="20"/>
  <c r="AH157" i="20"/>
  <c r="AH156" i="20"/>
  <c r="AH142" i="20"/>
  <c r="AH141" i="20"/>
  <c r="AH140" i="20"/>
  <c r="AH139" i="20"/>
  <c r="AH138" i="20"/>
  <c r="AH137" i="20"/>
  <c r="AH123" i="20"/>
  <c r="AH122" i="20"/>
  <c r="AH121" i="20"/>
  <c r="AH120" i="20"/>
  <c r="AH119" i="20"/>
  <c r="AH118" i="20"/>
  <c r="AH104" i="20"/>
  <c r="AH103" i="20"/>
  <c r="AH102" i="20"/>
  <c r="AH101" i="20"/>
  <c r="AH100" i="20"/>
  <c r="AH99" i="20"/>
  <c r="AH85" i="20"/>
  <c r="AH84" i="20"/>
  <c r="AH83" i="20"/>
  <c r="AH82" i="20"/>
  <c r="AH81" i="20"/>
  <c r="AH80" i="20"/>
  <c r="AH66" i="20"/>
  <c r="AH65" i="20"/>
  <c r="AH64" i="20"/>
  <c r="AH63" i="20"/>
  <c r="AH62" i="20"/>
  <c r="AH61" i="20"/>
  <c r="AH47" i="20"/>
  <c r="AH46" i="20"/>
  <c r="AH45" i="20"/>
  <c r="AH44" i="20"/>
  <c r="AH43" i="20"/>
  <c r="AH42" i="20"/>
  <c r="AH28" i="20"/>
  <c r="AH27" i="20"/>
  <c r="AH26" i="20"/>
  <c r="AH25" i="20"/>
  <c r="AH24" i="20"/>
  <c r="AH23" i="20"/>
  <c r="AH9" i="20"/>
  <c r="AH8" i="20"/>
  <c r="AH7" i="20"/>
  <c r="AH6" i="20"/>
  <c r="AH5" i="20"/>
  <c r="AH4" i="20"/>
  <c r="X897" i="20"/>
  <c r="X896" i="20"/>
  <c r="X895" i="20"/>
  <c r="X894" i="20"/>
  <c r="X893" i="20"/>
  <c r="X892" i="20"/>
  <c r="X860" i="20"/>
  <c r="X859" i="20"/>
  <c r="X858" i="20"/>
  <c r="X857" i="20"/>
  <c r="X856" i="20"/>
  <c r="X855" i="20"/>
  <c r="X823" i="20"/>
  <c r="X822" i="20"/>
  <c r="X821" i="20"/>
  <c r="X820" i="20"/>
  <c r="X819" i="20"/>
  <c r="X818" i="20"/>
  <c r="X786" i="20"/>
  <c r="X785" i="20"/>
  <c r="X784" i="20"/>
  <c r="X783" i="20"/>
  <c r="X782" i="20"/>
  <c r="X781" i="20"/>
  <c r="X749" i="20"/>
  <c r="X748" i="20"/>
  <c r="X747" i="20"/>
  <c r="X746" i="20"/>
  <c r="X745" i="20"/>
  <c r="X744" i="20"/>
  <c r="X712" i="20"/>
  <c r="X711" i="20"/>
  <c r="X710" i="20"/>
  <c r="X709" i="20"/>
  <c r="X708" i="20"/>
  <c r="X707" i="20"/>
  <c r="X675" i="20"/>
  <c r="X674" i="20"/>
  <c r="X673" i="20"/>
  <c r="X672" i="20"/>
  <c r="X671" i="20"/>
  <c r="X670" i="20"/>
  <c r="X638" i="20"/>
  <c r="X637" i="20"/>
  <c r="X636" i="20"/>
  <c r="X635" i="20"/>
  <c r="X634" i="20"/>
  <c r="X633" i="20"/>
  <c r="X601" i="20"/>
  <c r="X600" i="20"/>
  <c r="X527" i="20"/>
  <c r="X526" i="20"/>
  <c r="X525" i="20"/>
  <c r="X524" i="20"/>
  <c r="X523" i="20"/>
  <c r="X490" i="20"/>
  <c r="X489" i="20"/>
  <c r="X488" i="20"/>
  <c r="X487" i="20"/>
  <c r="X486" i="20"/>
  <c r="X485" i="20"/>
  <c r="X453" i="20"/>
  <c r="X452" i="20"/>
  <c r="X451" i="20"/>
  <c r="X450" i="20"/>
  <c r="X449" i="20"/>
  <c r="X448" i="20"/>
  <c r="X411" i="20"/>
  <c r="X374" i="20"/>
  <c r="X337" i="20"/>
  <c r="X300" i="20"/>
  <c r="X189" i="20"/>
  <c r="X152" i="20"/>
  <c r="X416" i="20"/>
  <c r="X415" i="20"/>
  <c r="X414" i="20"/>
  <c r="X413" i="20"/>
  <c r="X412" i="20"/>
  <c r="X379" i="20"/>
  <c r="X378" i="20"/>
  <c r="X377" i="20"/>
  <c r="X376" i="20"/>
  <c r="X375" i="20"/>
  <c r="X342" i="20"/>
  <c r="X341" i="20"/>
  <c r="X340" i="20"/>
  <c r="X339" i="20"/>
  <c r="X338" i="20"/>
  <c r="X305" i="20"/>
  <c r="X304" i="20"/>
  <c r="X303" i="20"/>
  <c r="X302" i="20"/>
  <c r="X301" i="20"/>
  <c r="X268" i="20"/>
  <c r="X267" i="20"/>
  <c r="X194" i="20"/>
  <c r="X193" i="20"/>
  <c r="X192" i="20"/>
  <c r="X191" i="20"/>
  <c r="X190" i="20"/>
  <c r="X157" i="20"/>
  <c r="X156" i="20"/>
  <c r="X155" i="20"/>
  <c r="X154" i="20"/>
  <c r="X153" i="20"/>
  <c r="X120" i="20"/>
  <c r="X119" i="20"/>
  <c r="X118" i="20"/>
  <c r="X117" i="20"/>
  <c r="X116" i="20"/>
  <c r="X115" i="20"/>
  <c r="X78" i="20"/>
  <c r="X83" i="20"/>
  <c r="X82" i="20"/>
  <c r="X81" i="20"/>
  <c r="X80" i="20"/>
  <c r="X79" i="20"/>
  <c r="X46" i="20"/>
  <c r="X45" i="20"/>
  <c r="X44" i="20"/>
  <c r="X43" i="20"/>
  <c r="X42" i="20"/>
  <c r="X41" i="20"/>
  <c r="X9" i="20"/>
  <c r="X8" i="20"/>
  <c r="X7" i="20"/>
  <c r="X6" i="20"/>
  <c r="X5" i="20"/>
  <c r="X4" i="20"/>
  <c r="I3" i="22" l="1"/>
  <c r="G3" i="22"/>
  <c r="S174" i="20"/>
  <c r="S173" i="20"/>
  <c r="S172" i="20"/>
  <c r="S171" i="20"/>
  <c r="S170" i="20"/>
  <c r="S169" i="20"/>
  <c r="S163" i="20"/>
  <c r="S162" i="20"/>
  <c r="S161" i="20"/>
  <c r="S160" i="20"/>
  <c r="S159" i="20"/>
  <c r="S158" i="20"/>
  <c r="S152" i="20"/>
  <c r="S151" i="20"/>
  <c r="S149" i="20"/>
  <c r="S148" i="20"/>
  <c r="S147" i="20"/>
  <c r="S141" i="20"/>
  <c r="S140" i="20"/>
  <c r="S139" i="20"/>
  <c r="S138" i="20"/>
  <c r="S137" i="20"/>
  <c r="S136" i="20"/>
  <c r="S130" i="20"/>
  <c r="S129" i="20"/>
  <c r="S128" i="20"/>
  <c r="S127" i="20"/>
  <c r="S126" i="20"/>
  <c r="S125" i="20"/>
  <c r="S119" i="20"/>
  <c r="S118" i="20"/>
  <c r="S117" i="20"/>
  <c r="S116" i="20"/>
  <c r="S115" i="20"/>
  <c r="S114" i="20"/>
  <c r="S108" i="20"/>
  <c r="S107" i="20"/>
  <c r="S106" i="20"/>
  <c r="S105" i="20"/>
  <c r="S104" i="20"/>
  <c r="S103" i="20"/>
  <c r="S97" i="20"/>
  <c r="S96" i="20"/>
  <c r="S95" i="20"/>
  <c r="S94" i="20"/>
  <c r="S93" i="20"/>
  <c r="S92" i="20"/>
  <c r="S86" i="20"/>
  <c r="S85" i="20"/>
  <c r="S84" i="20"/>
  <c r="S83" i="20"/>
  <c r="S82" i="20"/>
  <c r="S81" i="20"/>
  <c r="S70" i="20"/>
  <c r="S75" i="20"/>
  <c r="S74" i="20"/>
  <c r="S73" i="20"/>
  <c r="S72" i="20"/>
  <c r="S71" i="20"/>
  <c r="S64" i="20"/>
  <c r="S63" i="20"/>
  <c r="S62" i="20"/>
  <c r="S61" i="20"/>
  <c r="S60" i="20"/>
  <c r="S59" i="20"/>
  <c r="S53" i="20"/>
  <c r="S52" i="20"/>
  <c r="S51" i="20"/>
  <c r="S50" i="20"/>
  <c r="S49" i="20"/>
  <c r="S48" i="20"/>
  <c r="S42" i="20"/>
  <c r="S41" i="20"/>
  <c r="S40" i="20"/>
  <c r="S39" i="20"/>
  <c r="S38" i="20"/>
  <c r="S37" i="20"/>
  <c r="S31" i="20"/>
  <c r="S30" i="20"/>
  <c r="S29" i="20"/>
  <c r="S28" i="20"/>
  <c r="S27" i="20"/>
  <c r="S26" i="20"/>
  <c r="S20" i="20"/>
  <c r="S19" i="20"/>
  <c r="S18" i="20"/>
  <c r="S17" i="20"/>
  <c r="S16" i="20"/>
  <c r="S15" i="20"/>
  <c r="S9" i="20"/>
  <c r="S8" i="20"/>
  <c r="S7" i="20"/>
  <c r="S6" i="20"/>
  <c r="S5" i="20"/>
  <c r="S4" i="20"/>
  <c r="N329" i="20"/>
  <c r="N328" i="20"/>
  <c r="N327" i="20"/>
  <c r="N326" i="20"/>
  <c r="N325" i="20"/>
  <c r="N324" i="20"/>
  <c r="N309" i="20"/>
  <c r="N308" i="20"/>
  <c r="N307" i="20"/>
  <c r="N306" i="20"/>
  <c r="N305" i="20"/>
  <c r="N304" i="20"/>
  <c r="N289" i="20"/>
  <c r="N288" i="20"/>
  <c r="N287" i="20"/>
  <c r="N286" i="20"/>
  <c r="N285" i="20"/>
  <c r="N284" i="20"/>
  <c r="N269" i="20"/>
  <c r="N268" i="20"/>
  <c r="N267" i="20"/>
  <c r="N266" i="20"/>
  <c r="N265" i="20"/>
  <c r="N264" i="20"/>
  <c r="N244" i="20"/>
  <c r="N249" i="20"/>
  <c r="N248" i="20"/>
  <c r="N247" i="20"/>
  <c r="N246" i="20"/>
  <c r="N245" i="20"/>
  <c r="N224" i="20"/>
  <c r="N229" i="20"/>
  <c r="N228" i="20"/>
  <c r="N227" i="20"/>
  <c r="N226" i="20"/>
  <c r="N225" i="20"/>
  <c r="N209" i="20"/>
  <c r="N208" i="20"/>
  <c r="N207" i="20"/>
  <c r="N206" i="20"/>
  <c r="N205" i="20"/>
  <c r="N204" i="20"/>
  <c r="N189" i="20"/>
  <c r="N188" i="20"/>
  <c r="N187" i="20"/>
  <c r="N186" i="20"/>
  <c r="N185" i="20"/>
  <c r="N184" i="20"/>
  <c r="N169" i="20"/>
  <c r="N168" i="20"/>
  <c r="N167" i="20"/>
  <c r="N166" i="20"/>
  <c r="N165" i="20"/>
  <c r="N164" i="20"/>
  <c r="N144" i="20"/>
  <c r="N149" i="20"/>
  <c r="N148" i="20"/>
  <c r="N147" i="20"/>
  <c r="N146" i="20"/>
  <c r="N145" i="20"/>
  <c r="N129" i="20"/>
  <c r="N128" i="20"/>
  <c r="N127" i="20"/>
  <c r="N126" i="20"/>
  <c r="N125" i="20"/>
  <c r="N124" i="20"/>
  <c r="N109" i="20"/>
  <c r="N108" i="20"/>
  <c r="N107" i="20"/>
  <c r="N106" i="20"/>
  <c r="N105" i="20"/>
  <c r="N104" i="20"/>
  <c r="N89" i="20"/>
  <c r="N88" i="20"/>
  <c r="N87" i="20"/>
  <c r="N86" i="20"/>
  <c r="N85" i="20"/>
  <c r="N84" i="20"/>
  <c r="N69" i="20"/>
  <c r="N68" i="20"/>
  <c r="N67" i="20"/>
  <c r="N66" i="20"/>
  <c r="N65" i="20"/>
  <c r="N64" i="20"/>
  <c r="N49" i="20"/>
  <c r="N48" i="20"/>
  <c r="N47" i="20"/>
  <c r="N46" i="20"/>
  <c r="N45" i="20"/>
  <c r="N44" i="20"/>
  <c r="N29" i="20"/>
  <c r="N28" i="20"/>
  <c r="N27" i="20"/>
  <c r="N26" i="20"/>
  <c r="N25" i="20"/>
  <c r="N24" i="20"/>
  <c r="N9" i="20"/>
  <c r="N8" i="20"/>
  <c r="N7" i="20"/>
  <c r="N6" i="20"/>
  <c r="N5" i="20"/>
  <c r="N4" i="20"/>
  <c r="I108" i="20"/>
  <c r="I107" i="20"/>
  <c r="I106" i="20"/>
  <c r="I105" i="20"/>
  <c r="I104" i="20"/>
  <c r="I103" i="20"/>
  <c r="I97" i="20"/>
  <c r="I96" i="20"/>
  <c r="I95" i="20"/>
  <c r="I94" i="20"/>
  <c r="I93" i="20"/>
  <c r="I92" i="20"/>
  <c r="I86" i="20"/>
  <c r="I85" i="20"/>
  <c r="I84" i="20"/>
  <c r="I83" i="20"/>
  <c r="I82" i="20"/>
  <c r="I81" i="20"/>
  <c r="I75" i="20"/>
  <c r="I74" i="20"/>
  <c r="I73" i="20"/>
  <c r="I72" i="20"/>
  <c r="I71" i="20"/>
  <c r="I70" i="20"/>
  <c r="I64" i="20"/>
  <c r="I63" i="20"/>
  <c r="I62" i="20"/>
  <c r="I61" i="20"/>
  <c r="I60" i="20"/>
  <c r="I59" i="20"/>
  <c r="I53" i="20"/>
  <c r="I52" i="20"/>
  <c r="I51" i="20"/>
  <c r="I50" i="20"/>
  <c r="I49" i="20"/>
  <c r="I48" i="20"/>
  <c r="I42" i="20"/>
  <c r="I41" i="20"/>
  <c r="I40" i="20"/>
  <c r="I39" i="20"/>
  <c r="I38" i="20"/>
  <c r="I37" i="20"/>
  <c r="I31" i="20"/>
  <c r="I30" i="20"/>
  <c r="I29" i="20"/>
  <c r="I28" i="20"/>
  <c r="I27" i="20"/>
  <c r="I26" i="20"/>
  <c r="I20" i="20"/>
  <c r="I19" i="20"/>
  <c r="I18" i="20"/>
  <c r="I17" i="20"/>
  <c r="I16" i="20"/>
  <c r="I15" i="20"/>
  <c r="I9" i="20"/>
  <c r="I8" i="20"/>
  <c r="I7" i="20"/>
  <c r="I6" i="20"/>
  <c r="I5" i="20"/>
  <c r="I4" i="20"/>
  <c r="D522" i="20"/>
  <c r="D521" i="20"/>
  <c r="D520" i="20"/>
  <c r="D519" i="20"/>
  <c r="D518" i="20"/>
  <c r="D517" i="20"/>
  <c r="D495" i="20"/>
  <c r="D494" i="20"/>
  <c r="D493" i="20"/>
  <c r="D492" i="20"/>
  <c r="D491" i="20"/>
  <c r="D490" i="20"/>
  <c r="D468" i="20"/>
  <c r="D467" i="20"/>
  <c r="D466" i="20"/>
  <c r="D465" i="20"/>
  <c r="D464" i="20"/>
  <c r="D463" i="20"/>
  <c r="D441" i="20"/>
  <c r="D440" i="20"/>
  <c r="D439" i="20"/>
  <c r="D438" i="20"/>
  <c r="D437" i="20"/>
  <c r="D436" i="20"/>
  <c r="D409" i="20"/>
  <c r="D414" i="20"/>
  <c r="D413" i="20"/>
  <c r="D412" i="20"/>
  <c r="D411" i="20"/>
  <c r="D410" i="20"/>
  <c r="D387" i="20"/>
  <c r="D386" i="20"/>
  <c r="D385" i="20"/>
  <c r="D384" i="20"/>
  <c r="D383" i="20"/>
  <c r="D382" i="20"/>
  <c r="D360" i="20"/>
  <c r="D359" i="20"/>
  <c r="D358" i="20"/>
  <c r="D357" i="20"/>
  <c r="D356" i="20"/>
  <c r="D355" i="20"/>
  <c r="D333" i="20"/>
  <c r="D332" i="20"/>
  <c r="D331" i="20"/>
  <c r="D330" i="20"/>
  <c r="D329" i="20"/>
  <c r="D328" i="20"/>
  <c r="D301" i="20"/>
  <c r="D302" i="20"/>
  <c r="D303" i="20"/>
  <c r="D304" i="20"/>
  <c r="D305" i="20"/>
  <c r="D306" i="20"/>
  <c r="D279" i="20"/>
  <c r="D278" i="20"/>
  <c r="D277" i="20"/>
  <c r="D276" i="20"/>
  <c r="D275" i="20"/>
  <c r="D274" i="20"/>
  <c r="D252" i="20"/>
  <c r="D251" i="20"/>
  <c r="D250" i="20"/>
  <c r="D249" i="20"/>
  <c r="D248" i="20"/>
  <c r="D247" i="20"/>
  <c r="D225" i="20"/>
  <c r="D224" i="20"/>
  <c r="D223" i="20"/>
  <c r="D222" i="20"/>
  <c r="D221" i="20"/>
  <c r="D220" i="20"/>
  <c r="D198" i="20"/>
  <c r="D197" i="20"/>
  <c r="D196" i="20"/>
  <c r="D195" i="20"/>
  <c r="D194" i="20"/>
  <c r="D193" i="20"/>
  <c r="D171" i="20"/>
  <c r="D170" i="20"/>
  <c r="D169" i="20"/>
  <c r="D168" i="20"/>
  <c r="D167" i="20"/>
  <c r="D166" i="20"/>
  <c r="D144" i="20"/>
  <c r="D143" i="20"/>
  <c r="D142" i="20"/>
  <c r="D141" i="20"/>
  <c r="D140" i="20"/>
  <c r="D139" i="20"/>
  <c r="D117" i="20"/>
  <c r="D116" i="20"/>
  <c r="D115" i="20"/>
  <c r="D114" i="20"/>
  <c r="D113" i="20"/>
  <c r="D112" i="20"/>
  <c r="D90" i="20"/>
  <c r="D89" i="20"/>
  <c r="D88" i="20"/>
  <c r="D87" i="20"/>
  <c r="D86" i="20"/>
  <c r="D85" i="20"/>
  <c r="D63" i="20"/>
  <c r="D62" i="20"/>
  <c r="D61" i="20"/>
  <c r="D60" i="20"/>
  <c r="D59" i="20"/>
  <c r="D58" i="20"/>
  <c r="D36" i="20"/>
  <c r="D35" i="20"/>
  <c r="D34" i="20"/>
  <c r="D33" i="20"/>
  <c r="D32" i="20"/>
  <c r="D31" i="20"/>
  <c r="D9" i="20"/>
  <c r="D8" i="20"/>
  <c r="D7" i="20"/>
  <c r="D6" i="20"/>
  <c r="D5" i="20"/>
  <c r="D4" i="20"/>
  <c r="CT9" i="19"/>
  <c r="CT8" i="19"/>
  <c r="CT7" i="19"/>
  <c r="CT6" i="19"/>
  <c r="CT5" i="19"/>
  <c r="CT4" i="19"/>
  <c r="CL9" i="19"/>
  <c r="CL8" i="19"/>
  <c r="CL7" i="19"/>
  <c r="CL6" i="19"/>
  <c r="CL5" i="19"/>
  <c r="CL4" i="19"/>
  <c r="CE9" i="19"/>
  <c r="CE8" i="19"/>
  <c r="CE7" i="19"/>
  <c r="CE6" i="19"/>
  <c r="CE5" i="19"/>
  <c r="CE28" i="19"/>
  <c r="CE27" i="19"/>
  <c r="CE26" i="19"/>
  <c r="CE25" i="19"/>
  <c r="CE24" i="19"/>
  <c r="CE23" i="19"/>
  <c r="BP9" i="19"/>
  <c r="BP8" i="19"/>
  <c r="BP7" i="19"/>
  <c r="BP6" i="19"/>
  <c r="BP5" i="19"/>
  <c r="BB6" i="19"/>
  <c r="BB9" i="19"/>
  <c r="BB8" i="19"/>
  <c r="Z27" i="19"/>
  <c r="Z26" i="19"/>
  <c r="Z25" i="19"/>
  <c r="Z24" i="19"/>
  <c r="Z23" i="19"/>
  <c r="Z22" i="19"/>
  <c r="AN9" i="19"/>
  <c r="AN8" i="19"/>
  <c r="AN7" i="19"/>
  <c r="AN6" i="19"/>
  <c r="AN5" i="19"/>
  <c r="AN4" i="19"/>
  <c r="AG9" i="19"/>
  <c r="AG8" i="19"/>
  <c r="AG7" i="19"/>
  <c r="AG6" i="19"/>
  <c r="AG5" i="19"/>
  <c r="AG4" i="19"/>
  <c r="Z9" i="19"/>
  <c r="Z8" i="19"/>
  <c r="Z6" i="19"/>
  <c r="Z5" i="19"/>
  <c r="Z4" i="19"/>
  <c r="S9" i="19"/>
  <c r="S8" i="19"/>
  <c r="S7" i="19"/>
  <c r="S6" i="19"/>
  <c r="S5" i="19"/>
  <c r="S4" i="19"/>
  <c r="L4" i="19"/>
  <c r="L5" i="19"/>
  <c r="L6" i="19"/>
  <c r="L7" i="19"/>
  <c r="L8" i="19"/>
  <c r="L9" i="19"/>
  <c r="E4" i="19"/>
  <c r="Y24" i="1"/>
  <c r="Z24" i="1"/>
  <c r="E6" i="19"/>
  <c r="E7" i="19"/>
  <c r="E8" i="19"/>
  <c r="E9" i="19"/>
  <c r="C31" i="18"/>
  <c r="D31" i="18"/>
  <c r="F31" i="18"/>
  <c r="G31" i="18"/>
  <c r="H31" i="18"/>
  <c r="I31" i="18"/>
  <c r="J31" i="18"/>
  <c r="K31" i="18"/>
  <c r="L31" i="18"/>
  <c r="N31" i="18"/>
  <c r="B31" i="18"/>
  <c r="Q31" i="18" l="1"/>
  <c r="H3" i="22"/>
  <c r="H8" i="22" s="1"/>
  <c r="D10" i="22" s="1"/>
  <c r="G8" i="22"/>
  <c r="I8" i="22"/>
  <c r="S26" i="18"/>
  <c r="BB7" i="19"/>
  <c r="BB4" i="19"/>
  <c r="J3" i="22" l="1"/>
  <c r="K3" i="22" s="1"/>
  <c r="S15" i="18"/>
  <c r="S13" i="18"/>
  <c r="S21" i="18"/>
  <c r="S23" i="18"/>
  <c r="S18" i="18"/>
  <c r="S4" i="18"/>
  <c r="S25" i="18"/>
  <c r="S11" i="18"/>
  <c r="S14" i="18"/>
  <c r="S5" i="18"/>
  <c r="S19" i="18"/>
  <c r="S8" i="18"/>
  <c r="S12" i="18"/>
  <c r="S9" i="18"/>
  <c r="S20" i="18"/>
  <c r="S7" i="18"/>
  <c r="S6" i="18"/>
  <c r="S10" i="18"/>
  <c r="S3" i="18"/>
  <c r="S16" i="18"/>
  <c r="S27" i="18"/>
  <c r="S28" i="18"/>
  <c r="S24" i="18"/>
  <c r="S17" i="18"/>
  <c r="S22" i="18"/>
  <c r="R5" i="18"/>
  <c r="R8" i="18"/>
  <c r="R14" i="18"/>
  <c r="R17" i="18"/>
  <c r="R21" i="18"/>
  <c r="R26" i="18"/>
  <c r="R28" i="18"/>
  <c r="R6" i="18"/>
  <c r="R12" i="18"/>
  <c r="R15" i="18"/>
  <c r="R18" i="18"/>
  <c r="R22" i="18"/>
  <c r="R24" i="18"/>
  <c r="R9" i="18"/>
  <c r="R19" i="18"/>
  <c r="R4" i="18"/>
  <c r="R7" i="18"/>
  <c r="R10" i="18"/>
  <c r="R11" i="18"/>
  <c r="R13" i="18"/>
  <c r="R16" i="18"/>
  <c r="R20" i="18"/>
  <c r="R25" i="18"/>
  <c r="R27" i="18"/>
  <c r="R23" i="18"/>
  <c r="E16" i="22"/>
  <c r="R3" i="18"/>
  <c r="K8" i="22" l="1"/>
  <c r="D11" i="22" s="1"/>
  <c r="B14" i="22" s="1"/>
  <c r="E17" i="22" s="1"/>
  <c r="J8" i="22"/>
  <c r="S29" i="18"/>
  <c r="R29" i="18"/>
  <c r="B16" i="22" l="1"/>
  <c r="B17" i="22"/>
  <c r="AE24" i="16"/>
  <c r="AD24" i="16"/>
  <c r="AC24" i="16"/>
  <c r="AB24" i="16"/>
  <c r="AA24" i="16"/>
  <c r="Z24" i="16"/>
  <c r="Y24" i="16"/>
  <c r="X24" i="16"/>
  <c r="W24" i="16"/>
  <c r="V24" i="16"/>
  <c r="U24" i="16"/>
  <c r="T24" i="16"/>
  <c r="S24" i="16"/>
  <c r="R24" i="16"/>
  <c r="Q24" i="16"/>
  <c r="P24" i="16"/>
  <c r="O24" i="16"/>
  <c r="N24" i="16"/>
  <c r="M24" i="16"/>
  <c r="L24" i="16"/>
  <c r="K24" i="16"/>
  <c r="J24" i="16"/>
  <c r="I24" i="16"/>
  <c r="H24" i="16"/>
  <c r="G24" i="16"/>
  <c r="F24" i="16"/>
  <c r="E24" i="16"/>
  <c r="D24" i="16"/>
  <c r="C24" i="16"/>
  <c r="B24" i="16"/>
  <c r="AE22" i="15"/>
  <c r="AD22" i="15"/>
  <c r="AC22" i="15"/>
  <c r="AB22" i="15"/>
  <c r="AA22" i="15"/>
  <c r="Z22" i="15"/>
  <c r="Y22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R26" i="13"/>
  <c r="S26" i="13"/>
  <c r="AE26" i="13"/>
  <c r="AD26" i="13"/>
  <c r="AC26" i="13"/>
  <c r="AB26" i="13"/>
  <c r="AA26" i="13"/>
  <c r="Z26" i="13"/>
  <c r="Y26" i="13"/>
  <c r="X26" i="13"/>
  <c r="W26" i="13"/>
  <c r="V26" i="13"/>
  <c r="U26" i="13"/>
  <c r="T26" i="13"/>
  <c r="Q26" i="13"/>
  <c r="P26" i="13"/>
  <c r="O26" i="13"/>
  <c r="N26" i="13"/>
  <c r="M26" i="13"/>
  <c r="L26" i="13"/>
  <c r="K26" i="13"/>
  <c r="J26" i="13"/>
  <c r="I26" i="13"/>
  <c r="H26" i="13"/>
  <c r="G26" i="13"/>
  <c r="F26" i="13"/>
  <c r="E26" i="13"/>
  <c r="D26" i="13"/>
  <c r="C26" i="13"/>
  <c r="B26" i="13"/>
  <c r="AF4" i="13"/>
  <c r="AQ24" i="16" l="1"/>
  <c r="AR12" i="16" s="1"/>
  <c r="AF22" i="15"/>
  <c r="AF26" i="13"/>
  <c r="Z24" i="12"/>
  <c r="AA24" i="12"/>
  <c r="AB24" i="12"/>
  <c r="AC24" i="12"/>
  <c r="AD24" i="12"/>
  <c r="AE24" i="12"/>
  <c r="Y24" i="12"/>
  <c r="X24" i="12"/>
  <c r="W24" i="12"/>
  <c r="V24" i="12"/>
  <c r="U24" i="12"/>
  <c r="T24" i="12"/>
  <c r="S24" i="12"/>
  <c r="R24" i="12"/>
  <c r="Q24" i="12"/>
  <c r="P24" i="12"/>
  <c r="O24" i="12"/>
  <c r="N24" i="12"/>
  <c r="M24" i="12"/>
  <c r="L24" i="12"/>
  <c r="K24" i="12"/>
  <c r="J24" i="12"/>
  <c r="I24" i="12"/>
  <c r="H24" i="12"/>
  <c r="G24" i="12"/>
  <c r="F24" i="12"/>
  <c r="E24" i="12"/>
  <c r="D24" i="12"/>
  <c r="C24" i="12"/>
  <c r="B24" i="12"/>
  <c r="AF3" i="12"/>
  <c r="Z23" i="11"/>
  <c r="Y23" i="11"/>
  <c r="X23" i="11"/>
  <c r="W23" i="11"/>
  <c r="V23" i="11"/>
  <c r="U23" i="11"/>
  <c r="T23" i="11"/>
  <c r="S23" i="11"/>
  <c r="R23" i="11"/>
  <c r="Q23" i="11"/>
  <c r="P23" i="11"/>
  <c r="O23" i="11"/>
  <c r="N23" i="11"/>
  <c r="M23" i="11"/>
  <c r="L23" i="11"/>
  <c r="K23" i="11"/>
  <c r="J23" i="11"/>
  <c r="I23" i="11"/>
  <c r="H23" i="11"/>
  <c r="G23" i="11"/>
  <c r="F23" i="11"/>
  <c r="E23" i="11"/>
  <c r="D23" i="11"/>
  <c r="C23" i="11"/>
  <c r="B23" i="11"/>
  <c r="AA3" i="11"/>
  <c r="Z23" i="10"/>
  <c r="AA23" i="10"/>
  <c r="AB23" i="10"/>
  <c r="AC23" i="10"/>
  <c r="AD23" i="10"/>
  <c r="AE23" i="10"/>
  <c r="Y23" i="10"/>
  <c r="X23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B23" i="10"/>
  <c r="AF3" i="10"/>
  <c r="Z21" i="9"/>
  <c r="Y21" i="9"/>
  <c r="X21" i="9"/>
  <c r="W21" i="9"/>
  <c r="V21" i="9"/>
  <c r="U21" i="9"/>
  <c r="T21" i="9"/>
  <c r="S21" i="9"/>
  <c r="R21" i="9"/>
  <c r="Q21" i="9"/>
  <c r="P21" i="9"/>
  <c r="O21" i="9"/>
  <c r="N21" i="9"/>
  <c r="M21" i="9"/>
  <c r="L21" i="9"/>
  <c r="K21" i="9"/>
  <c r="J21" i="9"/>
  <c r="I21" i="9"/>
  <c r="H21" i="9"/>
  <c r="G21" i="9"/>
  <c r="F21" i="9"/>
  <c r="E21" i="9"/>
  <c r="D21" i="9"/>
  <c r="C21" i="9"/>
  <c r="B21" i="9"/>
  <c r="AA3" i="9"/>
  <c r="Z26" i="8"/>
  <c r="Y26" i="8"/>
  <c r="X26" i="8"/>
  <c r="W26" i="8"/>
  <c r="V26" i="8"/>
  <c r="U26" i="8"/>
  <c r="T26" i="8"/>
  <c r="S26" i="8"/>
  <c r="R26" i="8"/>
  <c r="Q26" i="8"/>
  <c r="P26" i="8"/>
  <c r="O26" i="8"/>
  <c r="N26" i="8"/>
  <c r="M26" i="8"/>
  <c r="L26" i="8"/>
  <c r="K26" i="8"/>
  <c r="J26" i="8"/>
  <c r="I26" i="8"/>
  <c r="H26" i="8"/>
  <c r="G26" i="8"/>
  <c r="F26" i="8"/>
  <c r="E26" i="8"/>
  <c r="D26" i="8"/>
  <c r="C26" i="8"/>
  <c r="B26" i="8"/>
  <c r="AA25" i="8"/>
  <c r="AA24" i="8"/>
  <c r="AA23" i="8"/>
  <c r="AA22" i="8"/>
  <c r="AA21" i="8"/>
  <c r="AA19" i="8"/>
  <c r="AA18" i="8"/>
  <c r="AA17" i="8"/>
  <c r="AA16" i="8"/>
  <c r="AA15" i="8"/>
  <c r="AA13" i="8"/>
  <c r="AA12" i="8"/>
  <c r="AA10" i="8"/>
  <c r="AA9" i="8"/>
  <c r="AA8" i="8"/>
  <c r="AA7" i="8"/>
  <c r="AA6" i="8"/>
  <c r="AA4" i="8"/>
  <c r="AA3" i="8"/>
  <c r="Z13" i="7"/>
  <c r="Y13" i="7"/>
  <c r="X13" i="7"/>
  <c r="W13" i="7"/>
  <c r="V13" i="7"/>
  <c r="U13" i="7"/>
  <c r="T13" i="7"/>
  <c r="S13" i="7"/>
  <c r="R13" i="7"/>
  <c r="Q13" i="7"/>
  <c r="P13" i="7"/>
  <c r="O13" i="7"/>
  <c r="N13" i="7"/>
  <c r="M13" i="7"/>
  <c r="L13" i="7"/>
  <c r="K13" i="7"/>
  <c r="J13" i="7"/>
  <c r="I13" i="7"/>
  <c r="H13" i="7"/>
  <c r="G13" i="7"/>
  <c r="F13" i="7"/>
  <c r="E13" i="7"/>
  <c r="D13" i="7"/>
  <c r="C13" i="7"/>
  <c r="B13" i="7"/>
  <c r="AA3" i="7"/>
  <c r="Z22" i="6"/>
  <c r="Y22" i="6"/>
  <c r="X22" i="6"/>
  <c r="W22" i="6"/>
  <c r="V22" i="6"/>
  <c r="U22" i="6"/>
  <c r="T22" i="6"/>
  <c r="S22" i="6"/>
  <c r="R22" i="6"/>
  <c r="Q22" i="6"/>
  <c r="P22" i="6"/>
  <c r="O22" i="6"/>
  <c r="N22" i="6"/>
  <c r="M22" i="6"/>
  <c r="L22" i="6"/>
  <c r="K22" i="6"/>
  <c r="J22" i="6"/>
  <c r="I22" i="6"/>
  <c r="H22" i="6"/>
  <c r="G22" i="6"/>
  <c r="F22" i="6"/>
  <c r="E22" i="6"/>
  <c r="D22" i="6"/>
  <c r="C22" i="6"/>
  <c r="B22" i="6"/>
  <c r="AA3" i="6"/>
  <c r="Z30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Z21" i="3"/>
  <c r="Y21" i="3"/>
  <c r="X21" i="3"/>
  <c r="W21" i="3"/>
  <c r="V21" i="3"/>
  <c r="U21" i="3"/>
  <c r="T21" i="3"/>
  <c r="S21" i="3"/>
  <c r="R21" i="3"/>
  <c r="Q21" i="3"/>
  <c r="P21" i="3"/>
  <c r="O21" i="3"/>
  <c r="N21" i="3"/>
  <c r="M21" i="3"/>
  <c r="L21" i="3"/>
  <c r="K21" i="3"/>
  <c r="J21" i="3"/>
  <c r="I21" i="3"/>
  <c r="H21" i="3"/>
  <c r="G21" i="3"/>
  <c r="F21" i="3"/>
  <c r="E21" i="3"/>
  <c r="D21" i="3"/>
  <c r="C21" i="3"/>
  <c r="B21" i="3"/>
  <c r="AA3" i="3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C14" i="2"/>
  <c r="B14" i="2"/>
  <c r="D14" i="2" s="1"/>
  <c r="AA3" i="2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AA3" i="1"/>
  <c r="AQ30" i="4" l="1"/>
  <c r="AR4" i="16"/>
  <c r="AR6" i="16"/>
  <c r="AR19" i="16"/>
  <c r="AG12" i="15"/>
  <c r="AG9" i="15"/>
  <c r="AG10" i="13"/>
  <c r="AG20" i="13"/>
  <c r="AG12" i="13"/>
  <c r="AA24" i="1"/>
  <c r="AR23" i="16"/>
  <c r="AR20" i="16"/>
  <c r="AR18" i="16"/>
  <c r="AR16" i="16"/>
  <c r="AR14" i="16"/>
  <c r="AR10" i="16"/>
  <c r="AR7" i="16"/>
  <c r="AR21" i="16"/>
  <c r="AR15" i="16"/>
  <c r="AR11" i="16"/>
  <c r="AR22" i="16"/>
  <c r="AR17" i="16"/>
  <c r="AR9" i="16"/>
  <c r="AR13" i="16"/>
  <c r="AR8" i="16"/>
  <c r="AR5" i="16"/>
  <c r="AG17" i="15"/>
  <c r="AG15" i="15"/>
  <c r="AG11" i="15"/>
  <c r="AG18" i="15"/>
  <c r="AG13" i="15"/>
  <c r="AG8" i="15"/>
  <c r="AG4" i="15"/>
  <c r="AG20" i="15"/>
  <c r="AG7" i="15"/>
  <c r="AG21" i="15"/>
  <c r="AG5" i="15"/>
  <c r="AG14" i="15"/>
  <c r="AG6" i="15"/>
  <c r="AG16" i="15"/>
  <c r="AG10" i="15"/>
  <c r="AG19" i="15"/>
  <c r="AG3" i="15"/>
  <c r="AG24" i="13"/>
  <c r="AG19" i="13"/>
  <c r="AG13" i="13"/>
  <c r="AG15" i="13"/>
  <c r="AG8" i="13"/>
  <c r="AG5" i="13"/>
  <c r="AG23" i="13"/>
  <c r="AG17" i="13"/>
  <c r="AG11" i="13"/>
  <c r="AG7" i="13"/>
  <c r="AG16" i="13"/>
  <c r="AG4" i="13"/>
  <c r="AG18" i="13"/>
  <c r="AG21" i="13"/>
  <c r="AG22" i="13"/>
  <c r="AG9" i="13"/>
  <c r="AG25" i="13"/>
  <c r="AG14" i="13"/>
  <c r="AG6" i="13"/>
  <c r="AF24" i="12"/>
  <c r="AA23" i="11"/>
  <c r="AF23" i="10"/>
  <c r="AA21" i="9"/>
  <c r="AA26" i="8"/>
  <c r="AA13" i="7"/>
  <c r="AA22" i="6"/>
  <c r="AA21" i="3"/>
  <c r="AB8" i="3" s="1"/>
  <c r="AA14" i="2"/>
  <c r="AG9" i="12" l="1"/>
  <c r="AG18" i="12"/>
  <c r="AG12" i="12"/>
  <c r="AB10" i="11"/>
  <c r="AB16" i="11"/>
  <c r="AG8" i="10"/>
  <c r="AG17" i="10"/>
  <c r="AG11" i="10"/>
  <c r="AB16" i="9"/>
  <c r="AB10" i="9"/>
  <c r="AB23" i="8"/>
  <c r="AB14" i="8"/>
  <c r="AB5" i="8"/>
  <c r="AB20" i="8"/>
  <c r="AB11" i="8"/>
  <c r="AB8" i="7"/>
  <c r="AB4" i="6"/>
  <c r="AB9" i="6"/>
  <c r="AB5" i="6"/>
  <c r="AB7" i="2"/>
  <c r="AB8" i="2"/>
  <c r="AB6" i="1"/>
  <c r="AB8" i="1"/>
  <c r="AB17" i="1"/>
  <c r="AB3" i="1"/>
  <c r="AB21" i="1"/>
  <c r="AR6" i="4"/>
  <c r="AB12" i="6"/>
  <c r="AR24" i="16"/>
  <c r="AG22" i="15"/>
  <c r="AG26" i="13"/>
  <c r="AG17" i="12"/>
  <c r="AG19" i="12"/>
  <c r="AG6" i="12"/>
  <c r="AG16" i="12"/>
  <c r="AG22" i="12"/>
  <c r="AG14" i="12"/>
  <c r="AG23" i="12"/>
  <c r="AG4" i="12"/>
  <c r="AG8" i="12"/>
  <c r="AG7" i="12"/>
  <c r="AG20" i="12"/>
  <c r="AG10" i="12"/>
  <c r="AG21" i="12"/>
  <c r="AG5" i="12"/>
  <c r="AG13" i="12"/>
  <c r="AG15" i="12"/>
  <c r="AG3" i="12"/>
  <c r="AG11" i="12"/>
  <c r="AB19" i="11"/>
  <c r="AB6" i="11"/>
  <c r="AB13" i="11"/>
  <c r="AB22" i="11"/>
  <c r="AB11" i="11"/>
  <c r="AB15" i="11"/>
  <c r="AB8" i="11"/>
  <c r="AB12" i="11"/>
  <c r="AB7" i="11"/>
  <c r="AB18" i="11"/>
  <c r="AB5" i="11"/>
  <c r="AB4" i="11"/>
  <c r="AB9" i="11"/>
  <c r="AB14" i="11"/>
  <c r="AB21" i="11"/>
  <c r="AB20" i="11"/>
  <c r="AB3" i="11"/>
  <c r="AB17" i="11"/>
  <c r="AG16" i="10"/>
  <c r="AG22" i="10"/>
  <c r="AG21" i="10"/>
  <c r="AG20" i="10"/>
  <c r="AG7" i="10"/>
  <c r="AG19" i="10"/>
  <c r="AG10" i="10"/>
  <c r="AG18" i="10"/>
  <c r="AG4" i="10"/>
  <c r="AG9" i="10"/>
  <c r="AG12" i="10"/>
  <c r="AG3" i="10"/>
  <c r="AG14" i="10"/>
  <c r="AG13" i="10"/>
  <c r="AG5" i="10"/>
  <c r="AG15" i="10"/>
  <c r="AG6" i="10"/>
  <c r="AB6" i="9"/>
  <c r="AB15" i="9"/>
  <c r="AB20" i="9"/>
  <c r="AB11" i="9"/>
  <c r="AB8" i="9"/>
  <c r="AB13" i="9"/>
  <c r="AB9" i="9"/>
  <c r="AB12" i="9"/>
  <c r="AB17" i="9"/>
  <c r="AB5" i="9"/>
  <c r="AB14" i="9"/>
  <c r="AB7" i="9"/>
  <c r="AB19" i="9"/>
  <c r="AB4" i="9"/>
  <c r="AB18" i="9"/>
  <c r="AB3" i="9"/>
  <c r="AB24" i="8"/>
  <c r="AB16" i="8"/>
  <c r="AB18" i="8"/>
  <c r="AB4" i="8"/>
  <c r="AB13" i="8"/>
  <c r="AB7" i="8"/>
  <c r="AB17" i="8"/>
  <c r="AB6" i="8"/>
  <c r="AB25" i="8"/>
  <c r="AB12" i="8"/>
  <c r="AB21" i="8"/>
  <c r="AB9" i="8"/>
  <c r="AB15" i="8"/>
  <c r="AB3" i="8"/>
  <c r="AB10" i="8"/>
  <c r="AB22" i="8"/>
  <c r="AB8" i="8"/>
  <c r="AB19" i="8"/>
  <c r="AB7" i="7"/>
  <c r="AB6" i="7"/>
  <c r="AB12" i="7"/>
  <c r="AB9" i="7"/>
  <c r="AB3" i="7"/>
  <c r="AB5" i="7"/>
  <c r="AB11" i="7"/>
  <c r="AB10" i="7"/>
  <c r="AB4" i="7"/>
  <c r="AB8" i="6"/>
  <c r="AB7" i="6"/>
  <c r="AB14" i="6"/>
  <c r="AB15" i="6"/>
  <c r="AB21" i="6"/>
  <c r="AB20" i="6"/>
  <c r="AB6" i="6"/>
  <c r="AB13" i="6"/>
  <c r="AB17" i="6"/>
  <c r="AB18" i="6"/>
  <c r="AB11" i="6"/>
  <c r="AB3" i="6"/>
  <c r="AB16" i="6"/>
  <c r="AB19" i="6"/>
  <c r="AB10" i="6"/>
  <c r="AR26" i="4"/>
  <c r="AR21" i="4"/>
  <c r="AR12" i="4"/>
  <c r="AR25" i="4"/>
  <c r="AR16" i="4"/>
  <c r="AR22" i="4"/>
  <c r="AR13" i="4"/>
  <c r="AR10" i="4"/>
  <c r="AR8" i="4"/>
  <c r="AR19" i="4"/>
  <c r="AR28" i="4"/>
  <c r="AR5" i="4"/>
  <c r="AR18" i="4"/>
  <c r="AR4" i="4"/>
  <c r="AR15" i="4"/>
  <c r="AR27" i="4"/>
  <c r="AR14" i="4"/>
  <c r="AR7" i="4"/>
  <c r="AR17" i="4"/>
  <c r="AR24" i="4"/>
  <c r="AR20" i="4"/>
  <c r="AR9" i="4"/>
  <c r="AB16" i="3"/>
  <c r="AB11" i="3"/>
  <c r="AB18" i="3"/>
  <c r="AB15" i="3"/>
  <c r="AB7" i="3"/>
  <c r="AB20" i="3"/>
  <c r="AB5" i="3"/>
  <c r="AB17" i="3"/>
  <c r="AB14" i="3"/>
  <c r="AB6" i="3"/>
  <c r="AB13" i="3"/>
  <c r="AB12" i="3"/>
  <c r="AB19" i="3"/>
  <c r="AB10" i="3"/>
  <c r="AB4" i="3"/>
  <c r="AB9" i="3"/>
  <c r="AB3" i="3"/>
  <c r="AB4" i="2"/>
  <c r="AB12" i="2"/>
  <c r="AB9" i="2"/>
  <c r="AB5" i="2"/>
  <c r="AB10" i="2"/>
  <c r="AB6" i="2"/>
  <c r="AB3" i="2"/>
  <c r="AB11" i="2"/>
  <c r="AB10" i="1"/>
  <c r="AB15" i="1"/>
  <c r="AB13" i="1"/>
  <c r="AB4" i="1"/>
  <c r="AB22" i="1"/>
  <c r="AB11" i="1"/>
  <c r="AB16" i="1"/>
  <c r="AB9" i="1"/>
  <c r="AB18" i="1"/>
  <c r="AB5" i="1"/>
  <c r="AB14" i="1"/>
  <c r="AB20" i="1"/>
  <c r="AB19" i="1"/>
  <c r="AB7" i="1"/>
  <c r="AB12" i="1"/>
  <c r="AG24" i="12" l="1"/>
  <c r="AB23" i="11"/>
  <c r="AG23" i="10"/>
  <c r="AB21" i="9"/>
  <c r="AB26" i="8"/>
  <c r="AB13" i="7"/>
  <c r="AB22" i="6"/>
  <c r="AR30" i="4"/>
  <c r="AB21" i="3"/>
  <c r="AB14" i="2"/>
  <c r="AB24" i="1"/>
  <c r="CU190" i="20"/>
  <c r="CU191" i="20"/>
  <c r="CU192" i="20"/>
  <c r="CU193" i="20"/>
  <c r="CU194" i="20"/>
  <c r="CU189" i="20"/>
</calcChain>
</file>

<file path=xl/sharedStrings.xml><?xml version="1.0" encoding="utf-8"?>
<sst xmlns="http://schemas.openxmlformats.org/spreadsheetml/2006/main" count="15723" uniqueCount="757">
  <si>
    <t>Quadrats</t>
  </si>
  <si>
    <t>Species</t>
  </si>
  <si>
    <t>TOTAL</t>
  </si>
  <si>
    <t>% TOTAL</t>
  </si>
  <si>
    <t>Actinonaias ligamentina</t>
  </si>
  <si>
    <t>Amblema plicata</t>
  </si>
  <si>
    <t>Ellipsaria lineolata</t>
  </si>
  <si>
    <t>Elliptio dilatata</t>
  </si>
  <si>
    <t>Fusconaia ebena</t>
  </si>
  <si>
    <t>Fusconaia flava</t>
  </si>
  <si>
    <t>Lampsilis abrupta</t>
  </si>
  <si>
    <t>Lampsilis cardium</t>
  </si>
  <si>
    <t>Lampsilis hydiana</t>
  </si>
  <si>
    <t>Lampsilis ornata</t>
  </si>
  <si>
    <t>Lampsilis teres</t>
  </si>
  <si>
    <t>Lasmigona complanata</t>
  </si>
  <si>
    <t>Leptodea fragilis</t>
  </si>
  <si>
    <t>Ligumia recta</t>
  </si>
  <si>
    <t>Megalonaias nervosa</t>
  </si>
  <si>
    <t>Obliquaria reflexa</t>
  </si>
  <si>
    <t>Obovaria jacksoniana</t>
  </si>
  <si>
    <t>Plectomerus dombeyanus</t>
  </si>
  <si>
    <t>Pleurobema ridellii</t>
  </si>
  <si>
    <t>Pleurobema rubrum</t>
  </si>
  <si>
    <t>Pleurobema sintoxia</t>
  </si>
  <si>
    <t>Potamilus purpuratus</t>
  </si>
  <si>
    <t>Ptychobranchus occidentalis</t>
  </si>
  <si>
    <t>Quadrula apiculata</t>
  </si>
  <si>
    <t>Quadrula fragosa</t>
  </si>
  <si>
    <t>Quadrula metanevra</t>
  </si>
  <si>
    <t>Quadrula nobilis</t>
  </si>
  <si>
    <t>Quadrula nodulata</t>
  </si>
  <si>
    <t>Quadrula pustulosa</t>
  </si>
  <si>
    <t>Quadrula verrucosa</t>
  </si>
  <si>
    <t>Strophitus undulatus</t>
  </si>
  <si>
    <t>Toxolasma lividum</t>
  </si>
  <si>
    <t>Truncilla donaciformis</t>
  </si>
  <si>
    <t>Truncilla truncata</t>
  </si>
  <si>
    <t>Villosa lienosa</t>
  </si>
  <si>
    <t>Total</t>
  </si>
  <si>
    <t>1-8</t>
  </si>
  <si>
    <t>3-7</t>
  </si>
  <si>
    <t>7-3</t>
  </si>
  <si>
    <t>17-16</t>
  </si>
  <si>
    <t>42-12</t>
  </si>
  <si>
    <t>44-6</t>
  </si>
  <si>
    <t>Quadrula cylindrica</t>
  </si>
  <si>
    <t>44-15</t>
  </si>
  <si>
    <t>44-20</t>
  </si>
  <si>
    <t>45-1</t>
  </si>
  <si>
    <t>45-4</t>
  </si>
  <si>
    <t>46-20</t>
  </si>
  <si>
    <t>52-6</t>
  </si>
  <si>
    <t>56-13</t>
  </si>
  <si>
    <t>59-7</t>
  </si>
  <si>
    <t>60-7</t>
  </si>
  <si>
    <t>65-18</t>
  </si>
  <si>
    <t>70-5</t>
  </si>
  <si>
    <t>71-13</t>
  </si>
  <si>
    <t>Lasmigona costata</t>
  </si>
  <si>
    <t>80-9</t>
  </si>
  <si>
    <t>93-2</t>
  </si>
  <si>
    <t>106-8</t>
  </si>
  <si>
    <t>107-16</t>
  </si>
  <si>
    <t>108-19</t>
  </si>
  <si>
    <t>23-1</t>
  </si>
  <si>
    <t>34-8</t>
  </si>
  <si>
    <t>40-3</t>
  </si>
  <si>
    <t>53-3</t>
  </si>
  <si>
    <t>54-7</t>
  </si>
  <si>
    <t>62-7</t>
  </si>
  <si>
    <t>83-7</t>
  </si>
  <si>
    <t>13-4</t>
  </si>
  <si>
    <t>13-17</t>
  </si>
  <si>
    <t>16-6</t>
  </si>
  <si>
    <t>17-12</t>
  </si>
  <si>
    <t>17-23</t>
  </si>
  <si>
    <t>17-24</t>
  </si>
  <si>
    <t>34-12</t>
  </si>
  <si>
    <t>34-17</t>
  </si>
  <si>
    <t>35-3</t>
  </si>
  <si>
    <t>41-1</t>
  </si>
  <si>
    <t>49-17</t>
  </si>
  <si>
    <t>52-9</t>
  </si>
  <si>
    <t>57-18</t>
  </si>
  <si>
    <t>61-2</t>
  </si>
  <si>
    <t>64-16</t>
  </si>
  <si>
    <t>65-15</t>
  </si>
  <si>
    <t>42-2</t>
  </si>
  <si>
    <t>78-1</t>
  </si>
  <si>
    <t>78-7</t>
  </si>
  <si>
    <t>95-4</t>
  </si>
  <si>
    <t>99-9</t>
  </si>
  <si>
    <t>121-4</t>
  </si>
  <si>
    <t>182-6</t>
  </si>
  <si>
    <t>Arkansia wheeleri</t>
  </si>
  <si>
    <t>22-19</t>
  </si>
  <si>
    <t>38-30</t>
  </si>
  <si>
    <t>45-39</t>
  </si>
  <si>
    <t>51-33</t>
  </si>
  <si>
    <t>66-5</t>
  </si>
  <si>
    <t>69-31</t>
  </si>
  <si>
    <t>Qudrula cylindrica</t>
  </si>
  <si>
    <t>73-28</t>
  </si>
  <si>
    <t>81-26</t>
  </si>
  <si>
    <t>83-24</t>
  </si>
  <si>
    <t>91-22</t>
  </si>
  <si>
    <t>98-20</t>
  </si>
  <si>
    <t>127-9</t>
  </si>
  <si>
    <t>137-39</t>
  </si>
  <si>
    <t>149-26</t>
  </si>
  <si>
    <t>156-23</t>
  </si>
  <si>
    <t>158-8</t>
  </si>
  <si>
    <t>164-35</t>
  </si>
  <si>
    <t>166-32</t>
  </si>
  <si>
    <t>180-9</t>
  </si>
  <si>
    <t>205-13</t>
  </si>
  <si>
    <t>205-24</t>
  </si>
  <si>
    <t>208-34</t>
  </si>
  <si>
    <t>212-13</t>
  </si>
  <si>
    <t>214-13</t>
  </si>
  <si>
    <t>220-9</t>
  </si>
  <si>
    <t>220-40</t>
  </si>
  <si>
    <t>225-31</t>
  </si>
  <si>
    <t>228-20</t>
  </si>
  <si>
    <t>236-17</t>
  </si>
  <si>
    <t>238-15</t>
  </si>
  <si>
    <t>242-9</t>
  </si>
  <si>
    <t>245-28</t>
  </si>
  <si>
    <t>14-1</t>
  </si>
  <si>
    <t>15-13</t>
  </si>
  <si>
    <t>15-14</t>
  </si>
  <si>
    <t>22-2</t>
  </si>
  <si>
    <t>27-4</t>
  </si>
  <si>
    <t>28-8</t>
  </si>
  <si>
    <t>33-12</t>
  </si>
  <si>
    <t>37-3</t>
  </si>
  <si>
    <t>42-14</t>
  </si>
  <si>
    <t>78-13</t>
  </si>
  <si>
    <t>83-2</t>
  </si>
  <si>
    <t>84-7</t>
  </si>
  <si>
    <t>99-11</t>
  </si>
  <si>
    <t>99-15</t>
  </si>
  <si>
    <t>14-3</t>
  </si>
  <si>
    <t>71-4</t>
  </si>
  <si>
    <t>79-4</t>
  </si>
  <si>
    <t>92-3</t>
  </si>
  <si>
    <t>134-3</t>
  </si>
  <si>
    <t>146-1</t>
  </si>
  <si>
    <t>1-1</t>
  </si>
  <si>
    <t>13-11</t>
  </si>
  <si>
    <t>16-15</t>
  </si>
  <si>
    <t>21-6</t>
  </si>
  <si>
    <t>27-2</t>
  </si>
  <si>
    <t>31-9</t>
  </si>
  <si>
    <t>47-8</t>
  </si>
  <si>
    <t>51-10</t>
  </si>
  <si>
    <t>52-15</t>
  </si>
  <si>
    <t>57-9</t>
  </si>
  <si>
    <t>65-11</t>
  </si>
  <si>
    <t>Lampsilis Sp. B</t>
  </si>
  <si>
    <t>69-4</t>
  </si>
  <si>
    <t>78-14</t>
  </si>
  <si>
    <t>121-5</t>
  </si>
  <si>
    <t>126-4</t>
  </si>
  <si>
    <t>130-8</t>
  </si>
  <si>
    <t>139-11</t>
  </si>
  <si>
    <t>Obovaria arkansasensis</t>
  </si>
  <si>
    <t>141-10</t>
  </si>
  <si>
    <t>143-15</t>
  </si>
  <si>
    <t>147-5</t>
  </si>
  <si>
    <t>152-5</t>
  </si>
  <si>
    <t>164-1</t>
  </si>
  <si>
    <t>166-6</t>
  </si>
  <si>
    <t>175-14</t>
  </si>
  <si>
    <t>15-5</t>
  </si>
  <si>
    <t>27-8</t>
  </si>
  <si>
    <t>29-12</t>
  </si>
  <si>
    <t>34-2</t>
  </si>
  <si>
    <t>36-10</t>
  </si>
  <si>
    <t>36-12</t>
  </si>
  <si>
    <t>62-10</t>
  </si>
  <si>
    <t>62-12</t>
  </si>
  <si>
    <t>75-11</t>
  </si>
  <si>
    <t>83-4</t>
  </si>
  <si>
    <t>87-8</t>
  </si>
  <si>
    <t>90-2</t>
  </si>
  <si>
    <t>95-2</t>
  </si>
  <si>
    <t>104-11</t>
  </si>
  <si>
    <t>125-7</t>
  </si>
  <si>
    <t>128-7</t>
  </si>
  <si>
    <t>131-11</t>
  </si>
  <si>
    <t>14-15</t>
  </si>
  <si>
    <t>29-2</t>
  </si>
  <si>
    <t>30-12</t>
  </si>
  <si>
    <t>33-1</t>
  </si>
  <si>
    <t>36-4</t>
  </si>
  <si>
    <t>43-16</t>
  </si>
  <si>
    <t>49-19</t>
  </si>
  <si>
    <t>105-9</t>
  </si>
  <si>
    <t>140-12</t>
  </si>
  <si>
    <t>161-20</t>
  </si>
  <si>
    <t>180-15</t>
  </si>
  <si>
    <t>191-15</t>
  </si>
  <si>
    <t>193-22</t>
  </si>
  <si>
    <t>226-29</t>
  </si>
  <si>
    <t>230-29</t>
  </si>
  <si>
    <t>231-11</t>
  </si>
  <si>
    <t>256-24</t>
  </si>
  <si>
    <t>273-16</t>
  </si>
  <si>
    <t>274-26</t>
  </si>
  <si>
    <t>312-20</t>
  </si>
  <si>
    <t>313-25</t>
  </si>
  <si>
    <t>316-18</t>
  </si>
  <si>
    <t>346-9</t>
  </si>
  <si>
    <t>363-20</t>
  </si>
  <si>
    <t>367-2</t>
  </si>
  <si>
    <t>380-15</t>
  </si>
  <si>
    <t>417-14</t>
  </si>
  <si>
    <t>436-19</t>
  </si>
  <si>
    <t>478-20</t>
  </si>
  <si>
    <t>3-1</t>
  </si>
  <si>
    <t>4-3</t>
  </si>
  <si>
    <t>12-5</t>
  </si>
  <si>
    <t>13-9</t>
  </si>
  <si>
    <t>16-2</t>
  </si>
  <si>
    <t>18-19</t>
  </si>
  <si>
    <t>20-4</t>
  </si>
  <si>
    <t>22-13</t>
  </si>
  <si>
    <t>22-17</t>
  </si>
  <si>
    <t>27-16</t>
  </si>
  <si>
    <t>36-19</t>
  </si>
  <si>
    <t>42-16</t>
  </si>
  <si>
    <t>42-17</t>
  </si>
  <si>
    <t>49-5</t>
  </si>
  <si>
    <t>77-9</t>
  </si>
  <si>
    <t>79-1</t>
  </si>
  <si>
    <t>80-16</t>
  </si>
  <si>
    <t>82-6</t>
  </si>
  <si>
    <t>88-8</t>
  </si>
  <si>
    <t>94-8</t>
  </si>
  <si>
    <t>106-14</t>
  </si>
  <si>
    <t>119-1</t>
  </si>
  <si>
    <t>119-8</t>
  </si>
  <si>
    <t>119-10</t>
  </si>
  <si>
    <t>2-8</t>
  </si>
  <si>
    <t>121-12</t>
  </si>
  <si>
    <t>173-15</t>
  </si>
  <si>
    <t>181-3</t>
  </si>
  <si>
    <t>188-8</t>
  </si>
  <si>
    <t>239-7</t>
  </si>
  <si>
    <t>244-11</t>
  </si>
  <si>
    <t>245-11</t>
  </si>
  <si>
    <t>253-45</t>
  </si>
  <si>
    <t>282-17</t>
  </si>
  <si>
    <t>302-5</t>
  </si>
  <si>
    <t>330-7</t>
  </si>
  <si>
    <t>332-1</t>
  </si>
  <si>
    <t>343-8</t>
  </si>
  <si>
    <t>357-1</t>
  </si>
  <si>
    <t>443-1</t>
  </si>
  <si>
    <t>510-16</t>
  </si>
  <si>
    <t>513-3</t>
  </si>
  <si>
    <t>513-16</t>
  </si>
  <si>
    <t>520-6</t>
  </si>
  <si>
    <t>556-7</t>
  </si>
  <si>
    <t>588-19</t>
  </si>
  <si>
    <t>594-4</t>
  </si>
  <si>
    <t>600-17</t>
  </si>
  <si>
    <t>630-13</t>
  </si>
  <si>
    <t>662-20</t>
  </si>
  <si>
    <t>670-9</t>
  </si>
  <si>
    <t>724-3</t>
  </si>
  <si>
    <t>725-6</t>
  </si>
  <si>
    <t>31-1</t>
  </si>
  <si>
    <t>40-12</t>
  </si>
  <si>
    <t>44-17</t>
  </si>
  <si>
    <t>72-21</t>
  </si>
  <si>
    <t>94-20</t>
  </si>
  <si>
    <t>75-5</t>
  </si>
  <si>
    <t>99-8</t>
  </si>
  <si>
    <t>111-21</t>
  </si>
  <si>
    <t>140-18</t>
  </si>
  <si>
    <t>186-15</t>
  </si>
  <si>
    <t>219-21</t>
  </si>
  <si>
    <t>217-4</t>
  </si>
  <si>
    <t>221-21</t>
  </si>
  <si>
    <t>226-22</t>
  </si>
  <si>
    <t>258-19</t>
  </si>
  <si>
    <t>272-6</t>
  </si>
  <si>
    <t>31-6</t>
  </si>
  <si>
    <t>54-9</t>
  </si>
  <si>
    <t>124-3</t>
  </si>
  <si>
    <t>136-12</t>
  </si>
  <si>
    <t>143-4</t>
  </si>
  <si>
    <t>167-1</t>
  </si>
  <si>
    <t>188-3</t>
  </si>
  <si>
    <t>212-9</t>
  </si>
  <si>
    <t>259-9</t>
  </si>
  <si>
    <t>19-4</t>
  </si>
  <si>
    <t>42-3</t>
  </si>
  <si>
    <t>43-4</t>
  </si>
  <si>
    <t>67-2</t>
  </si>
  <si>
    <t>70-6</t>
  </si>
  <si>
    <t>81-3</t>
  </si>
  <si>
    <t>100-1</t>
  </si>
  <si>
    <t>101-5</t>
  </si>
  <si>
    <t>124-4</t>
  </si>
  <si>
    <t>150-3</t>
  </si>
  <si>
    <t>158-2</t>
  </si>
  <si>
    <t>186-5</t>
  </si>
  <si>
    <t>214-2</t>
  </si>
  <si>
    <t>255-3</t>
  </si>
  <si>
    <t>274-5</t>
  </si>
  <si>
    <t>274-1</t>
  </si>
  <si>
    <t>291-6</t>
  </si>
  <si>
    <t>306-5</t>
  </si>
  <si>
    <t>316-4</t>
  </si>
  <si>
    <t>339-2</t>
  </si>
  <si>
    <t>349-1</t>
  </si>
  <si>
    <t>367-4</t>
  </si>
  <si>
    <t>67-5</t>
  </si>
  <si>
    <t>74-2</t>
  </si>
  <si>
    <t>217-3</t>
  </si>
  <si>
    <t>247-3</t>
  </si>
  <si>
    <t>269-5</t>
  </si>
  <si>
    <t>291-5</t>
  </si>
  <si>
    <t>348-6</t>
  </si>
  <si>
    <t>17-6</t>
  </si>
  <si>
    <t>27-19</t>
  </si>
  <si>
    <t>32-13</t>
  </si>
  <si>
    <t>54-5</t>
  </si>
  <si>
    <t>69-17</t>
  </si>
  <si>
    <t>6-14</t>
  </si>
  <si>
    <t>10-9</t>
  </si>
  <si>
    <t>11-4</t>
  </si>
  <si>
    <t>24-5</t>
  </si>
  <si>
    <t>39-5</t>
  </si>
  <si>
    <t>40-8</t>
  </si>
  <si>
    <t>82-12</t>
  </si>
  <si>
    <t>119-16</t>
  </si>
  <si>
    <t>114-16</t>
  </si>
  <si>
    <t>148-1</t>
  </si>
  <si>
    <t>162-13</t>
  </si>
  <si>
    <t>165-9</t>
  </si>
  <si>
    <t>181-7</t>
  </si>
  <si>
    <t>195-19</t>
  </si>
  <si>
    <t>200-10</t>
  </si>
  <si>
    <t>209-19</t>
  </si>
  <si>
    <t>246-13</t>
  </si>
  <si>
    <t>247-18</t>
  </si>
  <si>
    <t>248-5</t>
  </si>
  <si>
    <t>250-7</t>
  </si>
  <si>
    <t>295-20</t>
  </si>
  <si>
    <t>303-19</t>
  </si>
  <si>
    <t>308-17</t>
  </si>
  <si>
    <t>340-8</t>
  </si>
  <si>
    <t>347-16</t>
  </si>
  <si>
    <t>385-16</t>
  </si>
  <si>
    <t>416-15</t>
  </si>
  <si>
    <t>Site</t>
  </si>
  <si>
    <t>13-14</t>
  </si>
  <si>
    <t>13-15</t>
  </si>
  <si>
    <t>13-18</t>
  </si>
  <si>
    <t>13-20 strat I</t>
  </si>
  <si>
    <t>13-20 strat II</t>
  </si>
  <si>
    <t>13-21</t>
  </si>
  <si>
    <t>13-28</t>
  </si>
  <si>
    <t>13-29</t>
  </si>
  <si>
    <t>13-31</t>
  </si>
  <si>
    <t>13-36</t>
  </si>
  <si>
    <t>13-39</t>
  </si>
  <si>
    <t>13-48</t>
  </si>
  <si>
    <t>13-49 strat I</t>
  </si>
  <si>
    <t>13-49 strat II</t>
  </si>
  <si>
    <t>13-50</t>
  </si>
  <si>
    <t>13-53 strat I</t>
  </si>
  <si>
    <t>13-53 strat II</t>
  </si>
  <si>
    <t>Total Live Individuals</t>
  </si>
  <si>
    <t>Relative Abundance</t>
  </si>
  <si>
    <t>Total Individuals</t>
  </si>
  <si>
    <t>Bed Area (m2)</t>
  </si>
  <si>
    <t>Location:</t>
  </si>
  <si>
    <t>Totals</t>
  </si>
  <si>
    <t>Quad #</t>
  </si>
  <si>
    <t>Stats</t>
  </si>
  <si>
    <t>Results</t>
  </si>
  <si>
    <t>Sum</t>
  </si>
  <si>
    <t>min</t>
  </si>
  <si>
    <t>max</t>
  </si>
  <si>
    <t>var</t>
  </si>
  <si>
    <t>mean</t>
  </si>
  <si>
    <t>std</t>
  </si>
  <si>
    <t>13-20 Stratum I</t>
  </si>
  <si>
    <t>13-20 Stratum II</t>
  </si>
  <si>
    <t>119-7</t>
  </si>
  <si>
    <t>13-49 Stratum I</t>
  </si>
  <si>
    <t>13-49 Stratum II</t>
  </si>
  <si>
    <t>13-53 Stratum I</t>
  </si>
  <si>
    <t>13-53 Stratum II</t>
  </si>
  <si>
    <t>13-20 Strat II</t>
  </si>
  <si>
    <t>13-20 Strat I</t>
  </si>
  <si>
    <t>Bed Total</t>
  </si>
  <si>
    <t>Input</t>
  </si>
  <si>
    <t>n</t>
  </si>
  <si>
    <t>N</t>
  </si>
  <si>
    <t>y</t>
  </si>
  <si>
    <t>S</t>
  </si>
  <si>
    <t>f</t>
  </si>
  <si>
    <t>g</t>
  </si>
  <si>
    <t>x</t>
  </si>
  <si>
    <t>LU</t>
  </si>
  <si>
    <t>L</t>
  </si>
  <si>
    <t>temp deg</t>
  </si>
  <si>
    <t>Stratum I</t>
  </si>
  <si>
    <t>Stratum 2</t>
  </si>
  <si>
    <t>Stratum 3</t>
  </si>
  <si>
    <t>Stratum 4</t>
  </si>
  <si>
    <t xml:space="preserve"> </t>
  </si>
  <si>
    <t>Total number of shells is:</t>
  </si>
  <si>
    <t>x=</t>
  </si>
  <si>
    <t>n= number of samples taken</t>
  </si>
  <si>
    <t>Eff. Df</t>
  </si>
  <si>
    <t>Eff deg=</t>
  </si>
  <si>
    <t>N=total area for a given stratum (m2)</t>
  </si>
  <si>
    <t>Input Student's t</t>
  </si>
  <si>
    <t>y=number of mussels for a given stratum</t>
  </si>
  <si>
    <t>S=sample variance for a given stratum</t>
  </si>
  <si>
    <t>Student's t=</t>
  </si>
  <si>
    <t>t=Student's t from table</t>
  </si>
  <si>
    <t>Confidence intervals</t>
  </si>
  <si>
    <t>(x+t) case=</t>
  </si>
  <si>
    <t>x value=:</t>
  </si>
  <si>
    <t>(x-t) case=</t>
  </si>
  <si>
    <t>+/- value=:</t>
  </si>
  <si>
    <t>Community/Population Estimates for Mussel Beds</t>
  </si>
  <si>
    <t>2014 Data</t>
  </si>
  <si>
    <t>SRB 10M</t>
  </si>
  <si>
    <t>L. abrupta</t>
  </si>
  <si>
    <t>Q. fragosa</t>
  </si>
  <si>
    <t>13-49 Strat I</t>
  </si>
  <si>
    <t>13-49 Strat II</t>
  </si>
  <si>
    <t>13-53 Strat II</t>
  </si>
  <si>
    <t>13-53 Strat I</t>
  </si>
  <si>
    <t>5900±2632</t>
  </si>
  <si>
    <t>200±238</t>
  </si>
  <si>
    <t>100±168</t>
  </si>
  <si>
    <t>400±412</t>
  </si>
  <si>
    <t>900±657</t>
  </si>
  <si>
    <t>700±468</t>
  </si>
  <si>
    <t>700±394</t>
  </si>
  <si>
    <t>2000±853</t>
  </si>
  <si>
    <t>700±532</t>
  </si>
  <si>
    <t>1300±793</t>
  </si>
  <si>
    <t>500±437</t>
  </si>
  <si>
    <t>1100±714</t>
  </si>
  <si>
    <t>31400±4247</t>
  </si>
  <si>
    <t>1000±662</t>
  </si>
  <si>
    <t>8700±2912</t>
  </si>
  <si>
    <t>823±420</t>
  </si>
  <si>
    <t>206±251</t>
  </si>
  <si>
    <t>103±192</t>
  </si>
  <si>
    <t>617±462</t>
  </si>
  <si>
    <t>206±387</t>
  </si>
  <si>
    <t>4526±1315</t>
  </si>
  <si>
    <t>309±279</t>
  </si>
  <si>
    <t>5484±2219</t>
  </si>
  <si>
    <t>1117±629</t>
  </si>
  <si>
    <t>1016±582</t>
  </si>
  <si>
    <t>508±346</t>
  </si>
  <si>
    <t>203±250</t>
  </si>
  <si>
    <t>5586±2357</t>
  </si>
  <si>
    <t>508±433</t>
  </si>
  <si>
    <t>305±289</t>
  </si>
  <si>
    <t>102±177</t>
  </si>
  <si>
    <t>1219±617</t>
  </si>
  <si>
    <t>609±445</t>
  </si>
  <si>
    <t>305±395</t>
  </si>
  <si>
    <t>18180±4317</t>
  </si>
  <si>
    <t>4036±1688</t>
  </si>
  <si>
    <t>8469±3352</t>
  </si>
  <si>
    <t>651±798</t>
  </si>
  <si>
    <t>326±610</t>
  </si>
  <si>
    <t>2606±2384</t>
  </si>
  <si>
    <t>1954±1467</t>
  </si>
  <si>
    <t>651±1230</t>
  </si>
  <si>
    <t>7166±2384</t>
  </si>
  <si>
    <t>2606±1983</t>
  </si>
  <si>
    <t>36806±14978</t>
  </si>
  <si>
    <t>14331±7510</t>
  </si>
  <si>
    <t>1303±1283</t>
  </si>
  <si>
    <t>59697±12397</t>
  </si>
  <si>
    <t>3333±1795</t>
  </si>
  <si>
    <t>606±743</t>
  </si>
  <si>
    <t>15455±4682</t>
  </si>
  <si>
    <t>11212±4662</t>
  </si>
  <si>
    <t>2121±1662</t>
  </si>
  <si>
    <t>606±1051</t>
  </si>
  <si>
    <t>4242±2521</t>
  </si>
  <si>
    <t>53939±10647</t>
  </si>
  <si>
    <t>2424±1517</t>
  </si>
  <si>
    <t>2424±1690</t>
  </si>
  <si>
    <t>2727±1577</t>
  </si>
  <si>
    <t>14242±4429</t>
  </si>
  <si>
    <t>6970±2895</t>
  </si>
  <si>
    <t>1515±1094</t>
  </si>
  <si>
    <t>909±910</t>
  </si>
  <si>
    <t>2424±1871</t>
  </si>
  <si>
    <t>1212±1006</t>
  </si>
  <si>
    <t>247879±49747</t>
  </si>
  <si>
    <t>3636±1821</t>
  </si>
  <si>
    <t>303±526</t>
  </si>
  <si>
    <t>73636±14805</t>
  </si>
  <si>
    <t>100±183</t>
  </si>
  <si>
    <t>823±548</t>
  </si>
  <si>
    <t>309±404</t>
  </si>
  <si>
    <t>2674±643</t>
  </si>
  <si>
    <t>309±1276</t>
  </si>
  <si>
    <t>11314±4735</t>
  </si>
  <si>
    <t>1337±909</t>
  </si>
  <si>
    <t>108±189</t>
  </si>
  <si>
    <t>216±267</t>
  </si>
  <si>
    <t>40500±5669</t>
  </si>
  <si>
    <t>7107±2115</t>
  </si>
  <si>
    <t>520±445</t>
  </si>
  <si>
    <t>607±395</t>
  </si>
  <si>
    <t>433±373</t>
  </si>
  <si>
    <t>260±252</t>
  </si>
  <si>
    <t>347±356</t>
  </si>
  <si>
    <t>8580±2553</t>
  </si>
  <si>
    <t>693±507</t>
  </si>
  <si>
    <t>87±159</t>
  </si>
  <si>
    <t>173±205</t>
  </si>
  <si>
    <t>607±455</t>
  </si>
  <si>
    <t>31807±9525</t>
  </si>
  <si>
    <t>693±331</t>
  </si>
  <si>
    <t>4593±1453</t>
  </si>
  <si>
    <t>480±796</t>
  </si>
  <si>
    <t>960±1126</t>
  </si>
  <si>
    <t>1440±1379</t>
  </si>
  <si>
    <t>1040±643</t>
  </si>
  <si>
    <t>104±182</t>
  </si>
  <si>
    <t>208±257</t>
  </si>
  <si>
    <t>493±818</t>
  </si>
  <si>
    <t>987±1157</t>
  </si>
  <si>
    <t>32560±8449</t>
  </si>
  <si>
    <t>31570±9294</t>
  </si>
  <si>
    <t>3850±1981</t>
  </si>
  <si>
    <t>10780±5354</t>
  </si>
  <si>
    <t>1925±1317</t>
  </si>
  <si>
    <t>770±951</t>
  </si>
  <si>
    <t>385±373</t>
  </si>
  <si>
    <t>26950±6938</t>
  </si>
  <si>
    <t>1540±1578</t>
  </si>
  <si>
    <t>1925±1648</t>
  </si>
  <si>
    <t>2695±1737</t>
  </si>
  <si>
    <t>3465±1737</t>
  </si>
  <si>
    <t>128205±20486</t>
  </si>
  <si>
    <t>1155±1504</t>
  </si>
  <si>
    <t>17325±5233</t>
  </si>
  <si>
    <t>8000±3801</t>
  </si>
  <si>
    <t>400±735</t>
  </si>
  <si>
    <t>2800±1841</t>
  </si>
  <si>
    <t>1200±1567</t>
  </si>
  <si>
    <t>10400±4887</t>
  </si>
  <si>
    <t>1600±2250</t>
  </si>
  <si>
    <t>2000±1958</t>
  </si>
  <si>
    <t>800±966</t>
  </si>
  <si>
    <t>69200±17933</t>
  </si>
  <si>
    <t>8400±5079</t>
  </si>
  <si>
    <t>10683±2201</t>
  </si>
  <si>
    <t>509±445</t>
  </si>
  <si>
    <t>1119±623</t>
  </si>
  <si>
    <t>102±171</t>
  </si>
  <si>
    <t>712±541</t>
  </si>
  <si>
    <t>8953±3004</t>
  </si>
  <si>
    <t>305±296</t>
  </si>
  <si>
    <t>28080±6903</t>
  </si>
  <si>
    <t>407±331</t>
  </si>
  <si>
    <t>3256±990</t>
  </si>
  <si>
    <t>56300±9627</t>
  </si>
  <si>
    <t>7097±1712</t>
  </si>
  <si>
    <t>40016±9989</t>
  </si>
  <si>
    <t>79149±24959</t>
  </si>
  <si>
    <t>513333±80653</t>
  </si>
  <si>
    <t>17177±5268</t>
  </si>
  <si>
    <t>56940±15061</t>
  </si>
  <si>
    <t>236390±31981</t>
  </si>
  <si>
    <t>106800±28475</t>
  </si>
  <si>
    <t>55346±10842</t>
  </si>
  <si>
    <t>% Total</t>
  </si>
  <si>
    <t>13-53 Stratum III</t>
  </si>
  <si>
    <t>13-53 strat III</t>
  </si>
  <si>
    <t>13-53 Strat III</t>
  </si>
  <si>
    <t>15214±7535</t>
  </si>
  <si>
    <t>609±746</t>
  </si>
  <si>
    <t>2434±1852</t>
  </si>
  <si>
    <t>304±570</t>
  </si>
  <si>
    <t>15823±11186</t>
  </si>
  <si>
    <t>609±1149</t>
  </si>
  <si>
    <t>28299±15569</t>
  </si>
  <si>
    <t>2434±2206</t>
  </si>
  <si>
    <t>67856±33180</t>
  </si>
  <si>
    <t>10880±3376</t>
  </si>
  <si>
    <t>640±775</t>
  </si>
  <si>
    <t>2880±1183</t>
  </si>
  <si>
    <t>320±632</t>
  </si>
  <si>
    <t>2240±2366</t>
  </si>
  <si>
    <t>2240±2530</t>
  </si>
  <si>
    <t>29440±5158</t>
  </si>
  <si>
    <t>225600±22239</t>
  </si>
  <si>
    <t>54900±9860</t>
  </si>
  <si>
    <t>1200±878</t>
  </si>
  <si>
    <t>7200±3287</t>
  </si>
  <si>
    <t>3300±1757</t>
  </si>
  <si>
    <t>600±878</t>
  </si>
  <si>
    <t>1200±1002</t>
  </si>
  <si>
    <t>28800±5857</t>
  </si>
  <si>
    <t>900±878</t>
  </si>
  <si>
    <t>300±481</t>
  </si>
  <si>
    <t>1500±1242</t>
  </si>
  <si>
    <t>1800±1242</t>
  </si>
  <si>
    <t>101400±12108</t>
  </si>
  <si>
    <t>18000±3287</t>
  </si>
  <si>
    <t>Stratum 1</t>
  </si>
  <si>
    <t>1FD</t>
  </si>
  <si>
    <t>13-27</t>
  </si>
  <si>
    <t>13-20</t>
  </si>
  <si>
    <t>13-49</t>
  </si>
  <si>
    <t>13-53</t>
  </si>
  <si>
    <t>Ouachita Rock Pocketbook</t>
  </si>
  <si>
    <t>Rabbitsfoot</t>
  </si>
  <si>
    <t>Pyramid Pigtoe</t>
  </si>
  <si>
    <t>Mean</t>
  </si>
  <si>
    <t>Min</t>
  </si>
  <si>
    <t>Max</t>
  </si>
  <si>
    <t>std dev</t>
  </si>
  <si>
    <t>594659±86420</t>
  </si>
  <si>
    <t>68461±13062</t>
  </si>
  <si>
    <t>3991±1847</t>
  </si>
  <si>
    <t>921±892</t>
  </si>
  <si>
    <t>18113±5115</t>
  </si>
  <si>
    <t>614±754</t>
  </si>
  <si>
    <t>132012±4887</t>
  </si>
  <si>
    <t>2149±1847</t>
  </si>
  <si>
    <t>921±1067</t>
  </si>
  <si>
    <t>4912±2822</t>
  </si>
  <si>
    <t>61400±11236</t>
  </si>
  <si>
    <t>1228±1012</t>
  </si>
  <si>
    <t>2763±1508</t>
  </si>
  <si>
    <t>16885±4770</t>
  </si>
  <si>
    <t>8289±3017</t>
  </si>
  <si>
    <t>1535±1067</t>
  </si>
  <si>
    <t>2456±1847</t>
  </si>
  <si>
    <t>4298±1847</t>
  </si>
  <si>
    <t>285817±52746</t>
  </si>
  <si>
    <t>307±584</t>
  </si>
  <si>
    <t>88109±16174</t>
  </si>
  <si>
    <t>344723±43914</t>
  </si>
  <si>
    <t>39821±10945</t>
  </si>
  <si>
    <t>4294±2167</t>
  </si>
  <si>
    <t>13664±5735</t>
  </si>
  <si>
    <t>3123±1877</t>
  </si>
  <si>
    <t>781±1084</t>
  </si>
  <si>
    <t>390±685</t>
  </si>
  <si>
    <t>37478±8464</t>
  </si>
  <si>
    <t>3123±2655</t>
  </si>
  <si>
    <t>3123±2167</t>
  </si>
  <si>
    <t>781±969</t>
  </si>
  <si>
    <t>781±970</t>
  </si>
  <si>
    <t>3904±1877</t>
  </si>
  <si>
    <t>1562±1084</t>
  </si>
  <si>
    <t>197542±25919</t>
  </si>
  <si>
    <t>1952±1877</t>
  </si>
  <si>
    <t>27328±6502</t>
  </si>
  <si>
    <t>323871±38433</t>
  </si>
  <si>
    <t>80058±11965</t>
  </si>
  <si>
    <t>1820±1053</t>
  </si>
  <si>
    <t>303±471</t>
  </si>
  <si>
    <t>10614±3649</t>
  </si>
  <si>
    <t>3639±1825</t>
  </si>
  <si>
    <t>1213±999</t>
  </si>
  <si>
    <t>47004±12859</t>
  </si>
  <si>
    <t>1516±1053</t>
  </si>
  <si>
    <t>307±745</t>
  </si>
  <si>
    <t>2123±1490</t>
  </si>
  <si>
    <t>2426±1490</t>
  </si>
  <si>
    <t>2426±1825</t>
  </si>
  <si>
    <t>910±881</t>
  </si>
  <si>
    <t>1213±1053</t>
  </si>
  <si>
    <t>141011±19253</t>
  </si>
  <si>
    <t>2123±1053</t>
  </si>
  <si>
    <t>23350±4080</t>
  </si>
  <si>
    <t>36000±4876</t>
  </si>
  <si>
    <t>4700±2082</t>
  </si>
  <si>
    <t>1200±690</t>
  </si>
  <si>
    <t>800±617</t>
  </si>
  <si>
    <t>400±309</t>
  </si>
  <si>
    <t>300±309</t>
  </si>
  <si>
    <t>6300±1363</t>
  </si>
  <si>
    <t>200±218</t>
  </si>
  <si>
    <t>200±378</t>
  </si>
  <si>
    <t>16200±3024</t>
  </si>
  <si>
    <t>4600±1746</t>
  </si>
  <si>
    <t>80028±9028</t>
  </si>
  <si>
    <t>7128±1690</t>
  </si>
  <si>
    <t>1944±732</t>
  </si>
  <si>
    <t>2592±1157</t>
  </si>
  <si>
    <t>540±518</t>
  </si>
  <si>
    <t>540±423</t>
  </si>
  <si>
    <t>15768±3367</t>
  </si>
  <si>
    <t>324±299</t>
  </si>
  <si>
    <t>756±423</t>
  </si>
  <si>
    <t>1512±668</t>
  </si>
  <si>
    <t>6696±1817</t>
  </si>
  <si>
    <t>324480±66135</t>
  </si>
  <si>
    <t>53760±19059</t>
  </si>
  <si>
    <t>9120±3845</t>
  </si>
  <si>
    <t>3360±2055</t>
  </si>
  <si>
    <t>35520±12072</t>
  </si>
  <si>
    <t>5280±2907</t>
  </si>
  <si>
    <t>1920±2055</t>
  </si>
  <si>
    <t>174720±38532</t>
  </si>
  <si>
    <t>6240±3845</t>
  </si>
  <si>
    <t>22080±9305</t>
  </si>
  <si>
    <t>64376±12202</t>
  </si>
  <si>
    <t>9048±2034</t>
  </si>
  <si>
    <t>2080±997</t>
  </si>
  <si>
    <t>416±407</t>
  </si>
  <si>
    <t>832±575</t>
  </si>
  <si>
    <t>12272±3570</t>
  </si>
  <si>
    <t>520±498</t>
  </si>
  <si>
    <t>1144±575</t>
  </si>
  <si>
    <t>26728±6880</t>
  </si>
  <si>
    <t>416±288</t>
  </si>
  <si>
    <t>8840±2054</t>
  </si>
  <si>
    <t>453375±56464</t>
  </si>
  <si>
    <t>91267±16225</t>
  </si>
  <si>
    <t>6413±2987</t>
  </si>
  <si>
    <t>19240±7317</t>
  </si>
  <si>
    <t>4933±2987</t>
  </si>
  <si>
    <t>54267±10667</t>
  </si>
  <si>
    <t>1480±2112</t>
  </si>
  <si>
    <t>7893±3340</t>
  </si>
  <si>
    <t>2960±2112</t>
  </si>
  <si>
    <t>1973±2112</t>
  </si>
  <si>
    <t>1480±1494</t>
  </si>
  <si>
    <t>222987±35378</t>
  </si>
  <si>
    <t>Site ID</t>
  </si>
  <si>
    <t>Plus</t>
  </si>
  <si>
    <t>Minus</t>
  </si>
  <si>
    <t># Quads</t>
  </si>
  <si>
    <t>Semi-quantitative (2013)</t>
  </si>
  <si>
    <t>Quantitative (2016)</t>
  </si>
  <si>
    <t># of new species</t>
  </si>
  <si>
    <t># of Species</t>
  </si>
  <si>
    <t># Individuals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</si>
</sst>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000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i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sz val="10"/>
      <color indexed="8"/>
      <name val="Arial"/>
      <family val="2"/>
    </font>
    <font>
      <b/>
      <sz val="12"/>
      <name val="Helv"/>
    </font>
    <font>
      <b/>
      <sz val="10"/>
      <color rgb="FFFF0000"/>
      <name val="Arial"/>
      <family val="2"/>
    </font>
    <font>
      <b/>
      <sz val="10"/>
      <color indexed="8"/>
      <name val="Arial"/>
      <family val="2"/>
    </font>
    <font>
      <i/>
      <sz val="10"/>
      <color indexed="8"/>
      <name val="Arial"/>
      <family val="2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0" fontId="5" fillId="0" borderId="0"/>
    <xf numFmtId="0" fontId="7" fillId="0" borderId="0"/>
  </cellStyleXfs>
  <cellXfs count="71">
    <xf numFmtId="0" fontId="0" fillId="0" borderId="0" xfId="0"/>
    <xf numFmtId="0" fontId="1" fillId="0" borderId="0" xfId="1"/>
    <xf numFmtId="0" fontId="1" fillId="0" borderId="0" xfId="1" applyAlignment="1">
      <alignment horizontal="center"/>
    </xf>
    <xf numFmtId="0" fontId="1" fillId="0" borderId="0" xfId="1" applyFill="1" applyAlignment="1">
      <alignment horizontal="center"/>
    </xf>
    <xf numFmtId="49" fontId="1" fillId="0" borderId="0" xfId="1" applyNumberFormat="1" applyFill="1"/>
    <xf numFmtId="49" fontId="1" fillId="0" borderId="0" xfId="1" applyNumberFormat="1" applyAlignment="1">
      <alignment horizontal="center"/>
    </xf>
    <xf numFmtId="49" fontId="2" fillId="0" borderId="0" xfId="0" applyNumberFormat="1" applyFont="1" applyAlignment="1">
      <alignment horizontal="left"/>
    </xf>
    <xf numFmtId="2" fontId="1" fillId="0" borderId="0" xfId="1" applyNumberFormat="1" applyAlignment="1">
      <alignment horizontal="center"/>
    </xf>
    <xf numFmtId="49" fontId="3" fillId="0" borderId="0" xfId="0" applyNumberFormat="1" applyFont="1" applyAlignment="1">
      <alignment horizontal="left"/>
    </xf>
    <xf numFmtId="0" fontId="3" fillId="0" borderId="0" xfId="0" applyFont="1"/>
    <xf numFmtId="0" fontId="3" fillId="0" borderId="0" xfId="0" applyNumberFormat="1" applyFont="1" applyAlignment="1">
      <alignment horizontal="left"/>
    </xf>
    <xf numFmtId="0" fontId="3" fillId="0" borderId="0" xfId="0" applyFont="1" applyAlignment="1">
      <alignment horizontal="right"/>
    </xf>
    <xf numFmtId="0" fontId="0" fillId="0" borderId="1" xfId="0" applyBorder="1"/>
    <xf numFmtId="0" fontId="3" fillId="0" borderId="0" xfId="0" applyFont="1" applyAlignment="1">
      <alignment horizontal="left"/>
    </xf>
    <xf numFmtId="0" fontId="0" fillId="2" borderId="0" xfId="0" applyFill="1"/>
    <xf numFmtId="0" fontId="5" fillId="0" borderId="0" xfId="1" applyFont="1" applyFill="1"/>
    <xf numFmtId="0" fontId="6" fillId="0" borderId="0" xfId="1" applyFont="1" applyFill="1"/>
    <xf numFmtId="0" fontId="5" fillId="0" borderId="0" xfId="1" applyFont="1"/>
    <xf numFmtId="0" fontId="5" fillId="3" borderId="0" xfId="1" applyFont="1" applyFill="1"/>
    <xf numFmtId="0" fontId="0" fillId="3" borderId="0" xfId="0" applyFill="1"/>
    <xf numFmtId="0" fontId="5" fillId="0" borderId="0" xfId="1" applyFont="1" applyFill="1" applyAlignment="1">
      <alignment horizontal="center"/>
    </xf>
    <xf numFmtId="0" fontId="1" fillId="0" borderId="0" xfId="1" applyFill="1"/>
    <xf numFmtId="0" fontId="1" fillId="4" borderId="0" xfId="1" applyFill="1" applyAlignment="1"/>
    <xf numFmtId="0" fontId="6" fillId="4" borderId="0" xfId="1" applyFont="1" applyFill="1" applyAlignment="1">
      <alignment horizontal="center"/>
    </xf>
    <xf numFmtId="0" fontId="5" fillId="4" borderId="0" xfId="1" applyFont="1" applyFill="1"/>
    <xf numFmtId="0" fontId="1" fillId="4" borderId="0" xfId="1" applyFill="1"/>
    <xf numFmtId="0" fontId="0" fillId="0" borderId="0" xfId="0" applyAlignment="1">
      <alignment horizontal="center"/>
    </xf>
    <xf numFmtId="0" fontId="0" fillId="0" borderId="0" xfId="0" applyFill="1"/>
    <xf numFmtId="49" fontId="2" fillId="0" borderId="0" xfId="0" applyNumberFormat="1" applyFont="1" applyFill="1" applyAlignment="1">
      <alignment horizontal="left"/>
    </xf>
    <xf numFmtId="0" fontId="6" fillId="0" borderId="0" xfId="1" applyFont="1"/>
    <xf numFmtId="0" fontId="5" fillId="0" borderId="0" xfId="2"/>
    <xf numFmtId="0" fontId="4" fillId="0" borderId="0" xfId="0" applyFont="1"/>
    <xf numFmtId="0" fontId="7" fillId="0" borderId="0" xfId="3"/>
    <xf numFmtId="0" fontId="7" fillId="0" borderId="0" xfId="3" applyAlignment="1" applyProtection="1">
      <alignment horizontal="right"/>
    </xf>
    <xf numFmtId="0" fontId="7" fillId="0" borderId="0" xfId="3" applyAlignment="1" applyProtection="1">
      <alignment horizontal="left"/>
    </xf>
    <xf numFmtId="0" fontId="7" fillId="0" borderId="0" xfId="3" applyProtection="1"/>
    <xf numFmtId="2" fontId="7" fillId="0" borderId="0" xfId="3" applyNumberFormat="1" applyProtection="1"/>
    <xf numFmtId="0" fontId="8" fillId="0" borderId="0" xfId="3" applyFont="1" applyAlignment="1" applyProtection="1">
      <alignment horizontal="left"/>
    </xf>
    <xf numFmtId="0" fontId="8" fillId="0" borderId="0" xfId="3" applyFont="1"/>
    <xf numFmtId="1" fontId="7" fillId="0" borderId="0" xfId="3" applyNumberFormat="1" applyProtection="1"/>
    <xf numFmtId="0" fontId="7" fillId="0" borderId="0" xfId="3" quotePrefix="1" applyAlignment="1" applyProtection="1">
      <alignment horizontal="right"/>
    </xf>
    <xf numFmtId="0" fontId="7" fillId="0" borderId="2" xfId="3" applyBorder="1"/>
    <xf numFmtId="0" fontId="9" fillId="0" borderId="0" xfId="3" applyFont="1"/>
    <xf numFmtId="0" fontId="7" fillId="0" borderId="0" xfId="3" applyBorder="1"/>
    <xf numFmtId="0" fontId="10" fillId="0" borderId="0" xfId="3" applyFont="1"/>
    <xf numFmtId="1" fontId="7" fillId="0" borderId="0" xfId="3" applyNumberFormat="1"/>
    <xf numFmtId="0" fontId="11" fillId="0" borderId="0" xfId="3" applyFont="1"/>
    <xf numFmtId="0" fontId="11" fillId="0" borderId="3" xfId="3" applyFont="1" applyBorder="1"/>
    <xf numFmtId="0" fontId="7" fillId="0" borderId="3" xfId="3" applyBorder="1"/>
    <xf numFmtId="0" fontId="4" fillId="0" borderId="0" xfId="0" applyFont="1" applyFill="1"/>
    <xf numFmtId="0" fontId="0" fillId="0" borderId="4" xfId="0" applyBorder="1" applyAlignment="1">
      <alignment horizontal="right" vertical="center" wrapText="1"/>
    </xf>
    <xf numFmtId="0" fontId="0" fillId="0" borderId="5" xfId="0" applyBorder="1" applyAlignment="1">
      <alignment horizontal="right" vertical="center" wrapText="1"/>
    </xf>
    <xf numFmtId="0" fontId="0" fillId="0" borderId="0" xfId="0" applyAlignment="1">
      <alignment horizontal="center"/>
    </xf>
    <xf numFmtId="164" fontId="0" fillId="0" borderId="0" xfId="0" applyNumberFormat="1"/>
    <xf numFmtId="0" fontId="1" fillId="0" borderId="0" xfId="1" applyAlignment="1">
      <alignment horizontal="right"/>
    </xf>
    <xf numFmtId="0" fontId="1" fillId="0" borderId="0" xfId="1" applyAlignment="1">
      <alignment horizontal="left"/>
    </xf>
    <xf numFmtId="0" fontId="4" fillId="2" borderId="0" xfId="0" applyFont="1" applyFill="1"/>
    <xf numFmtId="0" fontId="5" fillId="0" borderId="0" xfId="1" applyFont="1" applyFill="1" applyAlignment="1">
      <alignment horizontal="right"/>
    </xf>
    <xf numFmtId="0" fontId="5" fillId="5" borderId="0" xfId="1" applyFont="1" applyFill="1"/>
    <xf numFmtId="0" fontId="6" fillId="5" borderId="0" xfId="1" applyFont="1" applyFill="1"/>
    <xf numFmtId="49" fontId="2" fillId="5" borderId="0" xfId="0" applyNumberFormat="1" applyFont="1" applyFill="1" applyAlignment="1">
      <alignment horizontal="left"/>
    </xf>
    <xf numFmtId="49" fontId="1" fillId="5" borderId="0" xfId="1" applyNumberFormat="1" applyFill="1" applyAlignment="1">
      <alignment horizontal="center"/>
    </xf>
    <xf numFmtId="0" fontId="0" fillId="5" borderId="0" xfId="0" applyFill="1"/>
    <xf numFmtId="0" fontId="5" fillId="5" borderId="0" xfId="2" applyFill="1"/>
    <xf numFmtId="0" fontId="0" fillId="5" borderId="0" xfId="0" applyFill="1" applyAlignment="1">
      <alignment horizontal="center"/>
    </xf>
    <xf numFmtId="0" fontId="12" fillId="5" borderId="0" xfId="0" applyFont="1" applyFill="1" applyBorder="1"/>
    <xf numFmtId="0" fontId="1" fillId="5" borderId="0" xfId="1" applyFill="1" applyAlignment="1">
      <alignment horizontal="center"/>
    </xf>
    <xf numFmtId="49" fontId="1" fillId="0" borderId="0" xfId="1" applyNumberFormat="1" applyAlignment="1">
      <alignment horizontal="right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4">
    <cellStyle name="Normal" xfId="0" builtinId="0"/>
    <cellStyle name="Normal 2" xfId="1"/>
    <cellStyle name="Normal_Book2" xfId="2"/>
    <cellStyle name="Normal_litt081602pos0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5867174103237095"/>
                  <c:y val="-0.1286475648877223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Sheet2!$B$3:$B$16</c:f>
              <c:numCache>
                <c:formatCode>General</c:formatCode>
                <c:ptCount val="14"/>
                <c:pt idx="0">
                  <c:v>23</c:v>
                </c:pt>
                <c:pt idx="1">
                  <c:v>7</c:v>
                </c:pt>
                <c:pt idx="2">
                  <c:v>16</c:v>
                </c:pt>
                <c:pt idx="3">
                  <c:v>40</c:v>
                </c:pt>
                <c:pt idx="4">
                  <c:v>15</c:v>
                </c:pt>
                <c:pt idx="5">
                  <c:v>7</c:v>
                </c:pt>
                <c:pt idx="6">
                  <c:v>25</c:v>
                </c:pt>
                <c:pt idx="7">
                  <c:v>17</c:v>
                </c:pt>
                <c:pt idx="8">
                  <c:v>30</c:v>
                </c:pt>
                <c:pt idx="9">
                  <c:v>25</c:v>
                </c:pt>
                <c:pt idx="10">
                  <c:v>30</c:v>
                </c:pt>
                <c:pt idx="11">
                  <c:v>25</c:v>
                </c:pt>
                <c:pt idx="12">
                  <c:v>23</c:v>
                </c:pt>
                <c:pt idx="13">
                  <c:v>40</c:v>
                </c:pt>
              </c:numCache>
            </c:numRef>
          </c:xVal>
          <c:yVal>
            <c:numRef>
              <c:f>Sheet2!$C$3:$C$16</c:f>
              <c:numCache>
                <c:formatCode>General</c:formatCode>
                <c:ptCount val="14"/>
                <c:pt idx="0">
                  <c:v>7</c:v>
                </c:pt>
                <c:pt idx="1">
                  <c:v>2</c:v>
                </c:pt>
                <c:pt idx="2">
                  <c:v>4</c:v>
                </c:pt>
                <c:pt idx="3">
                  <c:v>9</c:v>
                </c:pt>
                <c:pt idx="4">
                  <c:v>6</c:v>
                </c:pt>
                <c:pt idx="5">
                  <c:v>1</c:v>
                </c:pt>
                <c:pt idx="6">
                  <c:v>7</c:v>
                </c:pt>
                <c:pt idx="7">
                  <c:v>5</c:v>
                </c:pt>
                <c:pt idx="8">
                  <c:v>6</c:v>
                </c:pt>
                <c:pt idx="9">
                  <c:v>9</c:v>
                </c:pt>
                <c:pt idx="10">
                  <c:v>5</c:v>
                </c:pt>
                <c:pt idx="11">
                  <c:v>6</c:v>
                </c:pt>
                <c:pt idx="12">
                  <c:v>8</c:v>
                </c:pt>
                <c:pt idx="13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2C-4972-83F8-BCDC2B1D03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1011152"/>
        <c:axId val="251011544"/>
      </c:scatterChart>
      <c:valAx>
        <c:axId val="251011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# of Samples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1011544"/>
        <c:crosses val="autoZero"/>
        <c:crossBetween val="midCat"/>
      </c:valAx>
      <c:valAx>
        <c:axId val="251011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Additional Species Encountered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10111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05306360941866"/>
          <c:y val="3.7558685446009391E-2"/>
          <c:w val="0.84628111791232563"/>
          <c:h val="0.8120879819600014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Sheet2!$G$2</c:f>
              <c:strCache>
                <c:ptCount val="1"/>
                <c:pt idx="0">
                  <c:v>Semi-quantitative (2013)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Sheet2!$F$3:$F$17</c:f>
              <c:strCache>
                <c:ptCount val="15"/>
                <c:pt idx="0">
                  <c:v>13-14</c:v>
                </c:pt>
                <c:pt idx="1">
                  <c:v>13-15</c:v>
                </c:pt>
                <c:pt idx="2">
                  <c:v>13-18</c:v>
                </c:pt>
                <c:pt idx="3">
                  <c:v>13-20</c:v>
                </c:pt>
                <c:pt idx="4">
                  <c:v>13-21</c:v>
                </c:pt>
                <c:pt idx="5">
                  <c:v>13-27</c:v>
                </c:pt>
                <c:pt idx="6">
                  <c:v>13-28</c:v>
                </c:pt>
                <c:pt idx="7">
                  <c:v>13-29</c:v>
                </c:pt>
                <c:pt idx="8">
                  <c:v>13-31</c:v>
                </c:pt>
                <c:pt idx="9">
                  <c:v>13-36</c:v>
                </c:pt>
                <c:pt idx="10">
                  <c:v>13-39</c:v>
                </c:pt>
                <c:pt idx="11">
                  <c:v>13-48</c:v>
                </c:pt>
                <c:pt idx="12">
                  <c:v>13-49</c:v>
                </c:pt>
                <c:pt idx="13">
                  <c:v>13-50</c:v>
                </c:pt>
                <c:pt idx="14">
                  <c:v>13-53</c:v>
                </c:pt>
              </c:strCache>
            </c:strRef>
          </c:cat>
          <c:val>
            <c:numRef>
              <c:f>Sheet2!$G$3:$G$17</c:f>
              <c:numCache>
                <c:formatCode>General</c:formatCode>
                <c:ptCount val="15"/>
                <c:pt idx="0">
                  <c:v>16</c:v>
                </c:pt>
                <c:pt idx="1">
                  <c:v>12</c:v>
                </c:pt>
                <c:pt idx="2">
                  <c:v>15</c:v>
                </c:pt>
                <c:pt idx="3">
                  <c:v>17</c:v>
                </c:pt>
                <c:pt idx="4">
                  <c:v>14</c:v>
                </c:pt>
                <c:pt idx="6">
                  <c:v>12</c:v>
                </c:pt>
                <c:pt idx="7">
                  <c:v>15</c:v>
                </c:pt>
                <c:pt idx="8">
                  <c:v>12</c:v>
                </c:pt>
                <c:pt idx="9">
                  <c:v>15</c:v>
                </c:pt>
                <c:pt idx="10">
                  <c:v>10</c:v>
                </c:pt>
                <c:pt idx="11">
                  <c:v>15</c:v>
                </c:pt>
                <c:pt idx="12">
                  <c:v>15</c:v>
                </c:pt>
                <c:pt idx="13">
                  <c:v>14</c:v>
                </c:pt>
                <c:pt idx="14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BC-41FB-B2E8-D3C18A3A28E9}"/>
            </c:ext>
          </c:extLst>
        </c:ser>
        <c:ser>
          <c:idx val="1"/>
          <c:order val="1"/>
          <c:tx>
            <c:strRef>
              <c:f>Sheet2!$H$2</c:f>
              <c:strCache>
                <c:ptCount val="1"/>
                <c:pt idx="0">
                  <c:v>Quantitative (2016)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Sheet2!$F$3:$F$17</c:f>
              <c:strCache>
                <c:ptCount val="15"/>
                <c:pt idx="0">
                  <c:v>13-14</c:v>
                </c:pt>
                <c:pt idx="1">
                  <c:v>13-15</c:v>
                </c:pt>
                <c:pt idx="2">
                  <c:v>13-18</c:v>
                </c:pt>
                <c:pt idx="3">
                  <c:v>13-20</c:v>
                </c:pt>
                <c:pt idx="4">
                  <c:v>13-21</c:v>
                </c:pt>
                <c:pt idx="5">
                  <c:v>13-27</c:v>
                </c:pt>
                <c:pt idx="6">
                  <c:v>13-28</c:v>
                </c:pt>
                <c:pt idx="7">
                  <c:v>13-29</c:v>
                </c:pt>
                <c:pt idx="8">
                  <c:v>13-31</c:v>
                </c:pt>
                <c:pt idx="9">
                  <c:v>13-36</c:v>
                </c:pt>
                <c:pt idx="10">
                  <c:v>13-39</c:v>
                </c:pt>
                <c:pt idx="11">
                  <c:v>13-48</c:v>
                </c:pt>
                <c:pt idx="12">
                  <c:v>13-49</c:v>
                </c:pt>
                <c:pt idx="13">
                  <c:v>13-50</c:v>
                </c:pt>
                <c:pt idx="14">
                  <c:v>13-53</c:v>
                </c:pt>
              </c:strCache>
            </c:strRef>
          </c:cat>
          <c:val>
            <c:numRef>
              <c:f>Sheet2!$H$3:$H$17</c:f>
              <c:numCache>
                <c:formatCode>General</c:formatCode>
                <c:ptCount val="15"/>
                <c:pt idx="0">
                  <c:v>20</c:v>
                </c:pt>
                <c:pt idx="1">
                  <c:v>10</c:v>
                </c:pt>
                <c:pt idx="2">
                  <c:v>17</c:v>
                </c:pt>
                <c:pt idx="3">
                  <c:v>25</c:v>
                </c:pt>
                <c:pt idx="4">
                  <c:v>18</c:v>
                </c:pt>
                <c:pt idx="5">
                  <c:v>20</c:v>
                </c:pt>
                <c:pt idx="6">
                  <c:v>9</c:v>
                </c:pt>
                <c:pt idx="7">
                  <c:v>22</c:v>
                </c:pt>
                <c:pt idx="8">
                  <c:v>17</c:v>
                </c:pt>
                <c:pt idx="9">
                  <c:v>19</c:v>
                </c:pt>
                <c:pt idx="10">
                  <c:v>19</c:v>
                </c:pt>
                <c:pt idx="11">
                  <c:v>20</c:v>
                </c:pt>
                <c:pt idx="12">
                  <c:v>21</c:v>
                </c:pt>
                <c:pt idx="13">
                  <c:v>18</c:v>
                </c:pt>
                <c:pt idx="14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BC-41FB-B2E8-D3C18A3A28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axId val="251011936"/>
        <c:axId val="250511144"/>
      </c:barChart>
      <c:catAx>
        <c:axId val="2510119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Mussel Bed ID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511144"/>
        <c:crosses val="autoZero"/>
        <c:auto val="1"/>
        <c:lblAlgn val="ctr"/>
        <c:lblOffset val="100"/>
        <c:noMultiLvlLbl val="0"/>
      </c:catAx>
      <c:valAx>
        <c:axId val="250511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Species Richness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1011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911025978126164"/>
          <c:y val="0.10610269490961517"/>
          <c:w val="0.25560006973993599"/>
          <c:h val="0.1267614505933237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Mussel Bed 13-14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Sheet2!$U$2</c:f>
              <c:strCache>
                <c:ptCount val="1"/>
                <c:pt idx="0">
                  <c:v># of Species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forward val="100"/>
            <c:backward val="20"/>
            <c:dispRSqr val="1"/>
            <c:dispEq val="0"/>
            <c:trendlineLbl>
              <c:layout>
                <c:manualLayout>
                  <c:x val="-0.64303390201224842"/>
                  <c:y val="-5.969962088072324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Sheet2!$T$3:$T$25</c:f>
              <c:numCache>
                <c:formatCode>General</c:formatCode>
                <c:ptCount val="23"/>
                <c:pt idx="0">
                  <c:v>50</c:v>
                </c:pt>
                <c:pt idx="1">
                  <c:v>69</c:v>
                </c:pt>
                <c:pt idx="2">
                  <c:v>83</c:v>
                </c:pt>
                <c:pt idx="3">
                  <c:v>103</c:v>
                </c:pt>
                <c:pt idx="4">
                  <c:v>135</c:v>
                </c:pt>
                <c:pt idx="5">
                  <c:v>174</c:v>
                </c:pt>
                <c:pt idx="6">
                  <c:v>191</c:v>
                </c:pt>
                <c:pt idx="7">
                  <c:v>205</c:v>
                </c:pt>
                <c:pt idx="8">
                  <c:v>253</c:v>
                </c:pt>
                <c:pt idx="9">
                  <c:v>280</c:v>
                </c:pt>
                <c:pt idx="10">
                  <c:v>294</c:v>
                </c:pt>
                <c:pt idx="11">
                  <c:v>317</c:v>
                </c:pt>
                <c:pt idx="12">
                  <c:v>337</c:v>
                </c:pt>
                <c:pt idx="13">
                  <c:v>364</c:v>
                </c:pt>
                <c:pt idx="14">
                  <c:v>381</c:v>
                </c:pt>
                <c:pt idx="15">
                  <c:v>396</c:v>
                </c:pt>
                <c:pt idx="16">
                  <c:v>407</c:v>
                </c:pt>
                <c:pt idx="17">
                  <c:v>441</c:v>
                </c:pt>
                <c:pt idx="18">
                  <c:v>469</c:v>
                </c:pt>
                <c:pt idx="19">
                  <c:v>510</c:v>
                </c:pt>
                <c:pt idx="20">
                  <c:v>535</c:v>
                </c:pt>
                <c:pt idx="21">
                  <c:v>552</c:v>
                </c:pt>
                <c:pt idx="22">
                  <c:v>563</c:v>
                </c:pt>
              </c:numCache>
            </c:numRef>
          </c:xVal>
          <c:yVal>
            <c:numRef>
              <c:f>Sheet2!$U$3:$U$25</c:f>
              <c:numCache>
                <c:formatCode>General</c:formatCode>
                <c:ptCount val="23"/>
                <c:pt idx="0">
                  <c:v>6</c:v>
                </c:pt>
                <c:pt idx="1">
                  <c:v>8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13</c:v>
                </c:pt>
                <c:pt idx="6">
                  <c:v>13</c:v>
                </c:pt>
                <c:pt idx="7">
                  <c:v>14</c:v>
                </c:pt>
                <c:pt idx="8">
                  <c:v>14</c:v>
                </c:pt>
                <c:pt idx="9">
                  <c:v>15</c:v>
                </c:pt>
                <c:pt idx="10">
                  <c:v>17</c:v>
                </c:pt>
                <c:pt idx="11">
                  <c:v>17</c:v>
                </c:pt>
                <c:pt idx="12">
                  <c:v>17</c:v>
                </c:pt>
                <c:pt idx="13">
                  <c:v>17</c:v>
                </c:pt>
                <c:pt idx="14">
                  <c:v>17</c:v>
                </c:pt>
                <c:pt idx="15">
                  <c:v>17</c:v>
                </c:pt>
                <c:pt idx="16">
                  <c:v>18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F3-4E7E-8354-163C1F4909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0514280"/>
        <c:axId val="250513888"/>
      </c:scatterChart>
      <c:valAx>
        <c:axId val="250514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Individuals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513888"/>
        <c:crosses val="autoZero"/>
        <c:crossBetween val="midCat"/>
      </c:valAx>
      <c:valAx>
        <c:axId val="250513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Species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514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Mussel Bed 13-15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Sheet2!$W$2</c:f>
              <c:strCache>
                <c:ptCount val="1"/>
                <c:pt idx="0">
                  <c:v># of Species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Sheet2!$V$3:$V$9</c:f>
              <c:numCache>
                <c:formatCode>General</c:formatCode>
                <c:ptCount val="7"/>
                <c:pt idx="0">
                  <c:v>10</c:v>
                </c:pt>
                <c:pt idx="1">
                  <c:v>20</c:v>
                </c:pt>
                <c:pt idx="2">
                  <c:v>36</c:v>
                </c:pt>
                <c:pt idx="3">
                  <c:v>47</c:v>
                </c:pt>
                <c:pt idx="4">
                  <c:v>56</c:v>
                </c:pt>
                <c:pt idx="5">
                  <c:v>64</c:v>
                </c:pt>
                <c:pt idx="6">
                  <c:v>69</c:v>
                </c:pt>
              </c:numCache>
            </c:numRef>
          </c:xVal>
          <c:yVal>
            <c:numRef>
              <c:f>Sheet2!$W$3:$W$9</c:f>
              <c:numCache>
                <c:formatCode>General</c:formatCode>
                <c:ptCount val="7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19-4EBD-9F9F-E7DA00F4A7CB}"/>
            </c:ext>
          </c:extLst>
        </c:ser>
        <c:ser>
          <c:idx val="0"/>
          <c:order val="1"/>
          <c:tx>
            <c:strRef>
              <c:f>Sheet2!$W$2</c:f>
              <c:strCache>
                <c:ptCount val="1"/>
                <c:pt idx="0">
                  <c:v># of Species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forward val="20"/>
            <c:backward val="8"/>
            <c:dispRSqr val="1"/>
            <c:dispEq val="0"/>
            <c:trendlineLbl>
              <c:layout>
                <c:manualLayout>
                  <c:x val="-0.58322659667541554"/>
                  <c:y val="-8.368547681539807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Sheet2!$V$3:$V$9</c:f>
              <c:numCache>
                <c:formatCode>General</c:formatCode>
                <c:ptCount val="7"/>
                <c:pt idx="0">
                  <c:v>10</c:v>
                </c:pt>
                <c:pt idx="1">
                  <c:v>20</c:v>
                </c:pt>
                <c:pt idx="2">
                  <c:v>36</c:v>
                </c:pt>
                <c:pt idx="3">
                  <c:v>47</c:v>
                </c:pt>
                <c:pt idx="4">
                  <c:v>56</c:v>
                </c:pt>
                <c:pt idx="5">
                  <c:v>64</c:v>
                </c:pt>
                <c:pt idx="6">
                  <c:v>69</c:v>
                </c:pt>
              </c:numCache>
            </c:numRef>
          </c:xVal>
          <c:yVal>
            <c:numRef>
              <c:f>Sheet2!$W$3:$W$9</c:f>
              <c:numCache>
                <c:formatCode>General</c:formatCode>
                <c:ptCount val="7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D19-4EBD-9F9F-E7DA00F4A7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8905320"/>
        <c:axId val="448905712"/>
      </c:scatterChart>
      <c:valAx>
        <c:axId val="448905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Individuals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8905712"/>
        <c:crosses val="autoZero"/>
        <c:crossBetween val="midCat"/>
      </c:valAx>
      <c:valAx>
        <c:axId val="448905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Species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8905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Mussel Bed 13-18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Sheet2!$Y$2</c:f>
              <c:strCache>
                <c:ptCount val="1"/>
                <c:pt idx="0">
                  <c:v># of Species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og"/>
            <c:forward val="50"/>
            <c:backward val="20"/>
            <c:dispRSqr val="1"/>
            <c:dispEq val="0"/>
            <c:trendlineLbl>
              <c:layout>
                <c:manualLayout>
                  <c:x val="-0.57324321959755031"/>
                  <c:y val="-1.893518518518520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Sheet2!$X$3:$X$18</c:f>
              <c:numCache>
                <c:formatCode>General</c:formatCode>
                <c:ptCount val="16"/>
                <c:pt idx="0">
                  <c:v>33</c:v>
                </c:pt>
                <c:pt idx="1">
                  <c:v>43</c:v>
                </c:pt>
                <c:pt idx="2">
                  <c:v>56</c:v>
                </c:pt>
                <c:pt idx="3">
                  <c:v>98</c:v>
                </c:pt>
                <c:pt idx="4">
                  <c:v>113</c:v>
                </c:pt>
                <c:pt idx="5">
                  <c:v>128</c:v>
                </c:pt>
                <c:pt idx="6">
                  <c:v>164</c:v>
                </c:pt>
                <c:pt idx="7">
                  <c:v>184</c:v>
                </c:pt>
                <c:pt idx="8">
                  <c:v>227</c:v>
                </c:pt>
                <c:pt idx="9">
                  <c:v>256</c:v>
                </c:pt>
                <c:pt idx="10">
                  <c:v>306</c:v>
                </c:pt>
                <c:pt idx="11">
                  <c:v>339</c:v>
                </c:pt>
                <c:pt idx="12">
                  <c:v>348</c:v>
                </c:pt>
                <c:pt idx="13">
                  <c:v>357</c:v>
                </c:pt>
                <c:pt idx="14">
                  <c:v>385</c:v>
                </c:pt>
                <c:pt idx="15">
                  <c:v>394</c:v>
                </c:pt>
              </c:numCache>
            </c:numRef>
          </c:xVal>
          <c:yVal>
            <c:numRef>
              <c:f>Sheet2!$Y$3:$Y$18</c:f>
              <c:numCache>
                <c:formatCode>General</c:formatCode>
                <c:ptCount val="16"/>
                <c:pt idx="0">
                  <c:v>8</c:v>
                </c:pt>
                <c:pt idx="1">
                  <c:v>10</c:v>
                </c:pt>
                <c:pt idx="2">
                  <c:v>11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2A8-4B5F-A339-10669CC7F7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2342720"/>
        <c:axId val="452343112"/>
      </c:scatterChart>
      <c:valAx>
        <c:axId val="452342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Individuals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343112"/>
        <c:crosses val="autoZero"/>
        <c:crossBetween val="midCat"/>
      </c:valAx>
      <c:valAx>
        <c:axId val="452343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Species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3427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Mussel Bed 13-20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Sheet2!$AA$2</c:f>
              <c:strCache>
                <c:ptCount val="1"/>
                <c:pt idx="0">
                  <c:v># of Species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og"/>
            <c:forward val="400"/>
            <c:backward val="5"/>
            <c:dispRSqr val="1"/>
            <c:dispEq val="0"/>
            <c:trendlineLbl>
              <c:layout>
                <c:manualLayout>
                  <c:x val="-0.61426443569553801"/>
                  <c:y val="-2.938466025080200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Sheet2!$Z$3:$Z$42</c:f>
              <c:numCache>
                <c:formatCode>General</c:formatCode>
                <c:ptCount val="40"/>
                <c:pt idx="0">
                  <c:v>21</c:v>
                </c:pt>
                <c:pt idx="1">
                  <c:v>42</c:v>
                </c:pt>
                <c:pt idx="2">
                  <c:v>60</c:v>
                </c:pt>
                <c:pt idx="3">
                  <c:v>110</c:v>
                </c:pt>
                <c:pt idx="4">
                  <c:v>163</c:v>
                </c:pt>
                <c:pt idx="5">
                  <c:v>211</c:v>
                </c:pt>
                <c:pt idx="6">
                  <c:v>243</c:v>
                </c:pt>
                <c:pt idx="7">
                  <c:v>343</c:v>
                </c:pt>
                <c:pt idx="8">
                  <c:v>431</c:v>
                </c:pt>
                <c:pt idx="9">
                  <c:v>532</c:v>
                </c:pt>
                <c:pt idx="10">
                  <c:v>631</c:v>
                </c:pt>
                <c:pt idx="11">
                  <c:v>680</c:v>
                </c:pt>
                <c:pt idx="12">
                  <c:v>743</c:v>
                </c:pt>
                <c:pt idx="13">
                  <c:v>826</c:v>
                </c:pt>
                <c:pt idx="14">
                  <c:v>908</c:v>
                </c:pt>
                <c:pt idx="15">
                  <c:v>932</c:v>
                </c:pt>
                <c:pt idx="16">
                  <c:v>1026</c:v>
                </c:pt>
                <c:pt idx="17">
                  <c:v>1054</c:v>
                </c:pt>
                <c:pt idx="18">
                  <c:v>1125</c:v>
                </c:pt>
                <c:pt idx="19">
                  <c:v>1195</c:v>
                </c:pt>
                <c:pt idx="20">
                  <c:v>1227</c:v>
                </c:pt>
                <c:pt idx="21">
                  <c:v>1284</c:v>
                </c:pt>
                <c:pt idx="22">
                  <c:v>1336</c:v>
                </c:pt>
                <c:pt idx="23">
                  <c:v>1365</c:v>
                </c:pt>
                <c:pt idx="24">
                  <c:v>1388</c:v>
                </c:pt>
                <c:pt idx="25">
                  <c:v>1418</c:v>
                </c:pt>
                <c:pt idx="26">
                  <c:v>1473</c:v>
                </c:pt>
                <c:pt idx="27">
                  <c:v>1539</c:v>
                </c:pt>
                <c:pt idx="28">
                  <c:v>1564</c:v>
                </c:pt>
                <c:pt idx="29">
                  <c:v>1591</c:v>
                </c:pt>
                <c:pt idx="30">
                  <c:v>1604</c:v>
                </c:pt>
                <c:pt idx="31">
                  <c:v>1660</c:v>
                </c:pt>
                <c:pt idx="32">
                  <c:v>1697</c:v>
                </c:pt>
                <c:pt idx="33">
                  <c:v>1722</c:v>
                </c:pt>
                <c:pt idx="34">
                  <c:v>1764</c:v>
                </c:pt>
                <c:pt idx="35">
                  <c:v>1810</c:v>
                </c:pt>
                <c:pt idx="36">
                  <c:v>1840</c:v>
                </c:pt>
                <c:pt idx="37">
                  <c:v>1873</c:v>
                </c:pt>
                <c:pt idx="38">
                  <c:v>1921</c:v>
                </c:pt>
                <c:pt idx="39">
                  <c:v>1937</c:v>
                </c:pt>
              </c:numCache>
            </c:numRef>
          </c:xVal>
          <c:yVal>
            <c:numRef>
              <c:f>Sheet2!$AA$3:$AA$42</c:f>
              <c:numCache>
                <c:formatCode>General</c:formatCode>
                <c:ptCount val="40"/>
                <c:pt idx="0">
                  <c:v>5</c:v>
                </c:pt>
                <c:pt idx="1">
                  <c:v>6</c:v>
                </c:pt>
                <c:pt idx="2">
                  <c:v>8</c:v>
                </c:pt>
                <c:pt idx="3">
                  <c:v>11</c:v>
                </c:pt>
                <c:pt idx="4">
                  <c:v>14</c:v>
                </c:pt>
                <c:pt idx="5">
                  <c:v>14</c:v>
                </c:pt>
                <c:pt idx="6">
                  <c:v>16</c:v>
                </c:pt>
                <c:pt idx="7">
                  <c:v>18</c:v>
                </c:pt>
                <c:pt idx="8">
                  <c:v>18</c:v>
                </c:pt>
                <c:pt idx="9">
                  <c:v>19</c:v>
                </c:pt>
                <c:pt idx="10">
                  <c:v>19</c:v>
                </c:pt>
                <c:pt idx="11">
                  <c:v>21</c:v>
                </c:pt>
                <c:pt idx="12">
                  <c:v>21</c:v>
                </c:pt>
                <c:pt idx="13">
                  <c:v>21</c:v>
                </c:pt>
                <c:pt idx="14">
                  <c:v>21</c:v>
                </c:pt>
                <c:pt idx="15">
                  <c:v>21</c:v>
                </c:pt>
                <c:pt idx="16">
                  <c:v>23</c:v>
                </c:pt>
                <c:pt idx="17">
                  <c:v>23</c:v>
                </c:pt>
                <c:pt idx="18">
                  <c:v>23</c:v>
                </c:pt>
                <c:pt idx="19">
                  <c:v>24</c:v>
                </c:pt>
                <c:pt idx="20">
                  <c:v>24</c:v>
                </c:pt>
                <c:pt idx="21">
                  <c:v>24</c:v>
                </c:pt>
                <c:pt idx="22">
                  <c:v>24</c:v>
                </c:pt>
                <c:pt idx="23">
                  <c:v>24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  <c:pt idx="28">
                  <c:v>25</c:v>
                </c:pt>
                <c:pt idx="29">
                  <c:v>25</c:v>
                </c:pt>
                <c:pt idx="30">
                  <c:v>25</c:v>
                </c:pt>
                <c:pt idx="31">
                  <c:v>25</c:v>
                </c:pt>
                <c:pt idx="32">
                  <c:v>25</c:v>
                </c:pt>
                <c:pt idx="33">
                  <c:v>25</c:v>
                </c:pt>
                <c:pt idx="34">
                  <c:v>25</c:v>
                </c:pt>
                <c:pt idx="35">
                  <c:v>25</c:v>
                </c:pt>
                <c:pt idx="36">
                  <c:v>25</c:v>
                </c:pt>
                <c:pt idx="37">
                  <c:v>25</c:v>
                </c:pt>
                <c:pt idx="38">
                  <c:v>25</c:v>
                </c:pt>
                <c:pt idx="39">
                  <c:v>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B0-40F5-8661-5681C7A15A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2343896"/>
        <c:axId val="452344288"/>
      </c:scatterChart>
      <c:valAx>
        <c:axId val="452343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Individuals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344288"/>
        <c:crosses val="autoZero"/>
        <c:crossBetween val="midCat"/>
      </c:valAx>
      <c:valAx>
        <c:axId val="452344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Species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3438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Mussel Bed 13-21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Sheet2!$AC$2</c:f>
              <c:strCache>
                <c:ptCount val="1"/>
                <c:pt idx="0">
                  <c:v># of Species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og"/>
            <c:forward val="100"/>
            <c:backward val="18"/>
            <c:dispRSqr val="1"/>
            <c:dispEq val="0"/>
            <c:trendlineLbl>
              <c:layout>
                <c:manualLayout>
                  <c:x val="-0.59964195100612427"/>
                  <c:y val="-9.764873140857392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Sheet2!$AB$3:$AB$17</c:f>
              <c:numCache>
                <c:formatCode>General</c:formatCode>
                <c:ptCount val="15"/>
                <c:pt idx="0">
                  <c:v>28</c:v>
                </c:pt>
                <c:pt idx="1">
                  <c:v>37</c:v>
                </c:pt>
                <c:pt idx="2">
                  <c:v>54</c:v>
                </c:pt>
                <c:pt idx="3">
                  <c:v>91</c:v>
                </c:pt>
                <c:pt idx="4">
                  <c:v>114</c:v>
                </c:pt>
                <c:pt idx="5">
                  <c:v>139</c:v>
                </c:pt>
                <c:pt idx="6">
                  <c:v>161</c:v>
                </c:pt>
                <c:pt idx="7">
                  <c:v>189</c:v>
                </c:pt>
                <c:pt idx="8">
                  <c:v>216</c:v>
                </c:pt>
                <c:pt idx="9">
                  <c:v>239</c:v>
                </c:pt>
                <c:pt idx="10">
                  <c:v>266</c:v>
                </c:pt>
                <c:pt idx="11">
                  <c:v>286</c:v>
                </c:pt>
                <c:pt idx="12">
                  <c:v>301</c:v>
                </c:pt>
                <c:pt idx="13">
                  <c:v>326</c:v>
                </c:pt>
                <c:pt idx="14">
                  <c:v>360</c:v>
                </c:pt>
              </c:numCache>
            </c:numRef>
          </c:xVal>
          <c:yVal>
            <c:numRef>
              <c:f>Sheet2!$AC$3:$AC$17</c:f>
              <c:numCache>
                <c:formatCode>General</c:formatCode>
                <c:ptCount val="15"/>
                <c:pt idx="0">
                  <c:v>6</c:v>
                </c:pt>
                <c:pt idx="1">
                  <c:v>7</c:v>
                </c:pt>
                <c:pt idx="2">
                  <c:v>11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16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18</c:v>
                </c:pt>
                <c:pt idx="13">
                  <c:v>18</c:v>
                </c:pt>
                <c:pt idx="14">
                  <c:v>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7BE-4D63-9E40-494DB6E595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2345072"/>
        <c:axId val="452345464"/>
      </c:scatterChart>
      <c:valAx>
        <c:axId val="452345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Individuals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345464"/>
        <c:crosses val="autoZero"/>
        <c:crossBetween val="midCat"/>
      </c:valAx>
      <c:valAx>
        <c:axId val="452345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Species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345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Mussel Bed 13-28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Sheet2!$AE$2</c:f>
              <c:strCache>
                <c:ptCount val="1"/>
                <c:pt idx="0">
                  <c:v># of Species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og"/>
            <c:forward val="50"/>
            <c:backward val="25"/>
            <c:dispRSqr val="1"/>
            <c:dispEq val="0"/>
            <c:trendlineLbl>
              <c:layout>
                <c:manualLayout>
                  <c:x val="-0.55952187226596672"/>
                  <c:y val="-6.76990376202974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Sheet2!$AD$3:$AD$9</c:f>
              <c:numCache>
                <c:formatCode>General</c:formatCode>
                <c:ptCount val="7"/>
                <c:pt idx="0">
                  <c:v>39</c:v>
                </c:pt>
                <c:pt idx="1">
                  <c:v>76</c:v>
                </c:pt>
                <c:pt idx="2">
                  <c:v>90</c:v>
                </c:pt>
                <c:pt idx="3">
                  <c:v>107</c:v>
                </c:pt>
                <c:pt idx="4">
                  <c:v>123</c:v>
                </c:pt>
                <c:pt idx="5">
                  <c:v>148</c:v>
                </c:pt>
                <c:pt idx="6">
                  <c:v>167</c:v>
                </c:pt>
              </c:numCache>
            </c:numRef>
          </c:xVal>
          <c:yVal>
            <c:numRef>
              <c:f>Sheet2!$AE$3:$AE$9</c:f>
              <c:numCache>
                <c:formatCode>General</c:formatCode>
                <c:ptCount val="7"/>
                <c:pt idx="0">
                  <c:v>4</c:v>
                </c:pt>
                <c:pt idx="1">
                  <c:v>7</c:v>
                </c:pt>
                <c:pt idx="2">
                  <c:v>7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79-4483-828F-38DA8B220F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2342328"/>
        <c:axId val="250511536"/>
      </c:scatterChart>
      <c:valAx>
        <c:axId val="452342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Individuals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511536"/>
        <c:crosses val="autoZero"/>
        <c:crossBetween val="midCat"/>
      </c:valAx>
      <c:valAx>
        <c:axId val="250511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Species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3423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Mussel Bed 13-29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Sheet2!$AG$2</c:f>
              <c:strCache>
                <c:ptCount val="1"/>
                <c:pt idx="0">
                  <c:v># of Species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og"/>
            <c:forward val="200"/>
            <c:backward val="40"/>
            <c:dispRSqr val="1"/>
            <c:dispEq val="0"/>
            <c:trendlineLbl>
              <c:layout>
                <c:manualLayout>
                  <c:x val="-0.61433595800524932"/>
                  <c:y val="-8.224482356372120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Sheet2!$AF$3:$AF$27</c:f>
              <c:numCache>
                <c:formatCode>General</c:formatCode>
                <c:ptCount val="25"/>
                <c:pt idx="0">
                  <c:v>52</c:v>
                </c:pt>
                <c:pt idx="1">
                  <c:v>79</c:v>
                </c:pt>
                <c:pt idx="2">
                  <c:v>96</c:v>
                </c:pt>
                <c:pt idx="3">
                  <c:v>118</c:v>
                </c:pt>
                <c:pt idx="4">
                  <c:v>137</c:v>
                </c:pt>
                <c:pt idx="5">
                  <c:v>157</c:v>
                </c:pt>
                <c:pt idx="6">
                  <c:v>202</c:v>
                </c:pt>
                <c:pt idx="7">
                  <c:v>238</c:v>
                </c:pt>
                <c:pt idx="8">
                  <c:v>277</c:v>
                </c:pt>
                <c:pt idx="9">
                  <c:v>319</c:v>
                </c:pt>
                <c:pt idx="10">
                  <c:v>328</c:v>
                </c:pt>
                <c:pt idx="11">
                  <c:v>358</c:v>
                </c:pt>
                <c:pt idx="12">
                  <c:v>387</c:v>
                </c:pt>
                <c:pt idx="13">
                  <c:v>417</c:v>
                </c:pt>
                <c:pt idx="14">
                  <c:v>446</c:v>
                </c:pt>
                <c:pt idx="15">
                  <c:v>469</c:v>
                </c:pt>
                <c:pt idx="16">
                  <c:v>496</c:v>
                </c:pt>
                <c:pt idx="17">
                  <c:v>537</c:v>
                </c:pt>
                <c:pt idx="18">
                  <c:v>571</c:v>
                </c:pt>
                <c:pt idx="19">
                  <c:v>602</c:v>
                </c:pt>
                <c:pt idx="20">
                  <c:v>627</c:v>
                </c:pt>
                <c:pt idx="21">
                  <c:v>653</c:v>
                </c:pt>
                <c:pt idx="22">
                  <c:v>675</c:v>
                </c:pt>
                <c:pt idx="23">
                  <c:v>708</c:v>
                </c:pt>
                <c:pt idx="24">
                  <c:v>741</c:v>
                </c:pt>
              </c:numCache>
            </c:numRef>
          </c:xVal>
          <c:yVal>
            <c:numRef>
              <c:f>Sheet2!$AG$3:$AG$27</c:f>
              <c:numCache>
                <c:formatCode>General</c:formatCode>
                <c:ptCount val="25"/>
                <c:pt idx="0">
                  <c:v>11</c:v>
                </c:pt>
                <c:pt idx="1">
                  <c:v>11</c:v>
                </c:pt>
                <c:pt idx="2">
                  <c:v>11</c:v>
                </c:pt>
                <c:pt idx="3">
                  <c:v>12</c:v>
                </c:pt>
                <c:pt idx="4">
                  <c:v>13</c:v>
                </c:pt>
                <c:pt idx="5">
                  <c:v>13</c:v>
                </c:pt>
                <c:pt idx="6">
                  <c:v>13</c:v>
                </c:pt>
                <c:pt idx="7">
                  <c:v>14</c:v>
                </c:pt>
                <c:pt idx="8">
                  <c:v>14</c:v>
                </c:pt>
                <c:pt idx="9">
                  <c:v>15</c:v>
                </c:pt>
                <c:pt idx="10">
                  <c:v>15</c:v>
                </c:pt>
                <c:pt idx="11">
                  <c:v>16</c:v>
                </c:pt>
                <c:pt idx="12">
                  <c:v>16</c:v>
                </c:pt>
                <c:pt idx="13">
                  <c:v>17</c:v>
                </c:pt>
                <c:pt idx="14">
                  <c:v>17</c:v>
                </c:pt>
                <c:pt idx="15">
                  <c:v>17</c:v>
                </c:pt>
                <c:pt idx="16">
                  <c:v>18</c:v>
                </c:pt>
                <c:pt idx="17">
                  <c:v>18</c:v>
                </c:pt>
                <c:pt idx="18">
                  <c:v>18</c:v>
                </c:pt>
                <c:pt idx="19">
                  <c:v>19</c:v>
                </c:pt>
                <c:pt idx="20">
                  <c:v>19</c:v>
                </c:pt>
                <c:pt idx="21">
                  <c:v>19</c:v>
                </c:pt>
                <c:pt idx="22">
                  <c:v>20</c:v>
                </c:pt>
                <c:pt idx="23">
                  <c:v>21</c:v>
                </c:pt>
                <c:pt idx="24">
                  <c:v>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154-4A6D-B177-A8FD003723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8904536"/>
        <c:axId val="452678400"/>
      </c:scatterChart>
      <c:valAx>
        <c:axId val="448904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Individuals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678400"/>
        <c:crosses val="autoZero"/>
        <c:crossBetween val="midCat"/>
      </c:valAx>
      <c:valAx>
        <c:axId val="452678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Species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89045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Mussel Bed 13-31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Sheet2!$AI$2</c:f>
              <c:strCache>
                <c:ptCount val="1"/>
                <c:pt idx="0">
                  <c:v># of Species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og"/>
            <c:forward val="100"/>
            <c:backward val="10"/>
            <c:dispRSqr val="1"/>
            <c:dispEq val="0"/>
            <c:trendlineLbl>
              <c:layout>
                <c:manualLayout>
                  <c:x val="-0.63951946631671042"/>
                  <c:y val="-4.753536016331291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Sheet2!$AH$3:$AH$19</c:f>
              <c:numCache>
                <c:formatCode>General</c:formatCode>
                <c:ptCount val="17"/>
                <c:pt idx="0">
                  <c:v>18</c:v>
                </c:pt>
                <c:pt idx="1">
                  <c:v>32</c:v>
                </c:pt>
                <c:pt idx="2">
                  <c:v>53</c:v>
                </c:pt>
                <c:pt idx="3">
                  <c:v>87</c:v>
                </c:pt>
                <c:pt idx="4">
                  <c:v>115</c:v>
                </c:pt>
                <c:pt idx="5">
                  <c:v>134</c:v>
                </c:pt>
                <c:pt idx="6">
                  <c:v>171</c:v>
                </c:pt>
                <c:pt idx="7">
                  <c:v>205</c:v>
                </c:pt>
                <c:pt idx="8">
                  <c:v>278</c:v>
                </c:pt>
                <c:pt idx="9">
                  <c:v>334</c:v>
                </c:pt>
                <c:pt idx="10">
                  <c:v>385</c:v>
                </c:pt>
                <c:pt idx="11">
                  <c:v>468</c:v>
                </c:pt>
                <c:pt idx="12">
                  <c:v>512</c:v>
                </c:pt>
                <c:pt idx="13">
                  <c:v>577</c:v>
                </c:pt>
                <c:pt idx="14">
                  <c:v>630</c:v>
                </c:pt>
                <c:pt idx="15">
                  <c:v>648</c:v>
                </c:pt>
                <c:pt idx="16">
                  <c:v>657</c:v>
                </c:pt>
              </c:numCache>
            </c:numRef>
          </c:xVal>
          <c:yVal>
            <c:numRef>
              <c:f>Sheet2!$AI$3:$AI$19</c:f>
              <c:numCache>
                <c:formatCode>General</c:formatCode>
                <c:ptCount val="17"/>
                <c:pt idx="0">
                  <c:v>6</c:v>
                </c:pt>
                <c:pt idx="1">
                  <c:v>7</c:v>
                </c:pt>
                <c:pt idx="2">
                  <c:v>9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11</c:v>
                </c:pt>
                <c:pt idx="7">
                  <c:v>12</c:v>
                </c:pt>
                <c:pt idx="8">
                  <c:v>14</c:v>
                </c:pt>
                <c:pt idx="9">
                  <c:v>16</c:v>
                </c:pt>
                <c:pt idx="10">
                  <c:v>16</c:v>
                </c:pt>
                <c:pt idx="11">
                  <c:v>16</c:v>
                </c:pt>
                <c:pt idx="12">
                  <c:v>16</c:v>
                </c:pt>
                <c:pt idx="13">
                  <c:v>16</c:v>
                </c:pt>
                <c:pt idx="14">
                  <c:v>17</c:v>
                </c:pt>
                <c:pt idx="15">
                  <c:v>17</c:v>
                </c:pt>
                <c:pt idx="16">
                  <c:v>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F1-44EB-96CB-2F367A5C6E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2679184"/>
        <c:axId val="452679576"/>
      </c:scatterChart>
      <c:valAx>
        <c:axId val="452679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Individuals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679576"/>
        <c:crosses val="autoZero"/>
        <c:crossBetween val="midCat"/>
      </c:valAx>
      <c:valAx>
        <c:axId val="452679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Species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6791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Mussel Bed 13-36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Sheet2!$AK$2</c:f>
              <c:strCache>
                <c:ptCount val="1"/>
                <c:pt idx="0">
                  <c:v># of Species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og"/>
            <c:forward val="100"/>
            <c:backward val="5"/>
            <c:dispRSqr val="1"/>
            <c:dispEq val="0"/>
            <c:trendlineLbl>
              <c:layout>
                <c:manualLayout>
                  <c:x val="-0.55753324584426944"/>
                  <c:y val="-9.64249781277340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Sheet2!$AJ$3:$AJ$32</c:f>
              <c:numCache>
                <c:formatCode>General</c:formatCode>
                <c:ptCount val="30"/>
                <c:pt idx="0">
                  <c:v>19</c:v>
                </c:pt>
                <c:pt idx="1">
                  <c:v>25</c:v>
                </c:pt>
                <c:pt idx="2">
                  <c:v>55</c:v>
                </c:pt>
                <c:pt idx="3">
                  <c:v>92</c:v>
                </c:pt>
                <c:pt idx="4">
                  <c:v>128</c:v>
                </c:pt>
                <c:pt idx="5">
                  <c:v>128</c:v>
                </c:pt>
                <c:pt idx="6">
                  <c:v>154</c:v>
                </c:pt>
                <c:pt idx="7">
                  <c:v>167</c:v>
                </c:pt>
                <c:pt idx="8">
                  <c:v>211</c:v>
                </c:pt>
                <c:pt idx="9">
                  <c:v>223</c:v>
                </c:pt>
                <c:pt idx="10">
                  <c:v>240</c:v>
                </c:pt>
                <c:pt idx="11">
                  <c:v>264</c:v>
                </c:pt>
                <c:pt idx="12">
                  <c:v>294</c:v>
                </c:pt>
                <c:pt idx="13">
                  <c:v>335</c:v>
                </c:pt>
                <c:pt idx="14">
                  <c:v>370</c:v>
                </c:pt>
                <c:pt idx="15">
                  <c:v>410</c:v>
                </c:pt>
                <c:pt idx="16">
                  <c:v>431</c:v>
                </c:pt>
                <c:pt idx="17">
                  <c:v>482</c:v>
                </c:pt>
                <c:pt idx="18">
                  <c:v>513</c:v>
                </c:pt>
                <c:pt idx="19">
                  <c:v>550</c:v>
                </c:pt>
                <c:pt idx="20">
                  <c:v>581</c:v>
                </c:pt>
                <c:pt idx="21">
                  <c:v>593</c:v>
                </c:pt>
                <c:pt idx="22">
                  <c:v>606</c:v>
                </c:pt>
                <c:pt idx="23">
                  <c:v>614</c:v>
                </c:pt>
                <c:pt idx="24">
                  <c:v>648</c:v>
                </c:pt>
                <c:pt idx="25">
                  <c:v>660</c:v>
                </c:pt>
                <c:pt idx="26">
                  <c:v>664</c:v>
                </c:pt>
                <c:pt idx="27">
                  <c:v>667</c:v>
                </c:pt>
                <c:pt idx="28">
                  <c:v>670</c:v>
                </c:pt>
                <c:pt idx="29">
                  <c:v>676</c:v>
                </c:pt>
              </c:numCache>
            </c:numRef>
          </c:xVal>
          <c:yVal>
            <c:numRef>
              <c:f>Sheet2!$AK$3:$AK$32</c:f>
              <c:numCache>
                <c:formatCode>General</c:formatCode>
                <c:ptCount val="30"/>
                <c:pt idx="0">
                  <c:v>5</c:v>
                </c:pt>
                <c:pt idx="1">
                  <c:v>6</c:v>
                </c:pt>
                <c:pt idx="2">
                  <c:v>6</c:v>
                </c:pt>
                <c:pt idx="3">
                  <c:v>9</c:v>
                </c:pt>
                <c:pt idx="4">
                  <c:v>11</c:v>
                </c:pt>
                <c:pt idx="5">
                  <c:v>11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13</c:v>
                </c:pt>
                <c:pt idx="10">
                  <c:v>14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16</c:v>
                </c:pt>
                <c:pt idx="16">
                  <c:v>16</c:v>
                </c:pt>
                <c:pt idx="17">
                  <c:v>16</c:v>
                </c:pt>
                <c:pt idx="18">
                  <c:v>16</c:v>
                </c:pt>
                <c:pt idx="19">
                  <c:v>18</c:v>
                </c:pt>
                <c:pt idx="20">
                  <c:v>18</c:v>
                </c:pt>
                <c:pt idx="21">
                  <c:v>19</c:v>
                </c:pt>
                <c:pt idx="22">
                  <c:v>19</c:v>
                </c:pt>
                <c:pt idx="23">
                  <c:v>19</c:v>
                </c:pt>
                <c:pt idx="24">
                  <c:v>19</c:v>
                </c:pt>
                <c:pt idx="25">
                  <c:v>19</c:v>
                </c:pt>
                <c:pt idx="26">
                  <c:v>19</c:v>
                </c:pt>
                <c:pt idx="27">
                  <c:v>19</c:v>
                </c:pt>
                <c:pt idx="28">
                  <c:v>19</c:v>
                </c:pt>
                <c:pt idx="29">
                  <c:v>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2A-4C99-BF38-6F89EC135D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2680360"/>
        <c:axId val="452680752"/>
      </c:scatterChart>
      <c:valAx>
        <c:axId val="452680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Individuals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680752"/>
        <c:crosses val="autoZero"/>
        <c:crossBetween val="midCat"/>
      </c:valAx>
      <c:valAx>
        <c:axId val="452680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Species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680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Mussel Bed 13-39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Sheet2!$AM$2</c:f>
              <c:strCache>
                <c:ptCount val="1"/>
                <c:pt idx="0">
                  <c:v># of Species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og"/>
            <c:forward val="100"/>
            <c:dispRSqr val="1"/>
            <c:dispEq val="0"/>
            <c:trendlineLbl>
              <c:layout>
                <c:manualLayout>
                  <c:x val="-0.5848893263342082"/>
                  <c:y val="-8.670239136774569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Sheet2!$AL$3:$AL$27</c:f>
              <c:numCache>
                <c:formatCode>General</c:formatCode>
                <c:ptCount val="25"/>
                <c:pt idx="0">
                  <c:v>15</c:v>
                </c:pt>
                <c:pt idx="1">
                  <c:v>32</c:v>
                </c:pt>
                <c:pt idx="2">
                  <c:v>83</c:v>
                </c:pt>
                <c:pt idx="3">
                  <c:v>112</c:v>
                </c:pt>
                <c:pt idx="4">
                  <c:v>120</c:v>
                </c:pt>
                <c:pt idx="5">
                  <c:v>125</c:v>
                </c:pt>
                <c:pt idx="6">
                  <c:v>158</c:v>
                </c:pt>
                <c:pt idx="7">
                  <c:v>183</c:v>
                </c:pt>
                <c:pt idx="8">
                  <c:v>215</c:v>
                </c:pt>
                <c:pt idx="9">
                  <c:v>231</c:v>
                </c:pt>
                <c:pt idx="10">
                  <c:v>235</c:v>
                </c:pt>
                <c:pt idx="11">
                  <c:v>239</c:v>
                </c:pt>
                <c:pt idx="12">
                  <c:v>252</c:v>
                </c:pt>
                <c:pt idx="13">
                  <c:v>288</c:v>
                </c:pt>
                <c:pt idx="14">
                  <c:v>316</c:v>
                </c:pt>
                <c:pt idx="15">
                  <c:v>333</c:v>
                </c:pt>
                <c:pt idx="16">
                  <c:v>355</c:v>
                </c:pt>
                <c:pt idx="17">
                  <c:v>381</c:v>
                </c:pt>
                <c:pt idx="18">
                  <c:v>415</c:v>
                </c:pt>
                <c:pt idx="19">
                  <c:v>460</c:v>
                </c:pt>
                <c:pt idx="20">
                  <c:v>488</c:v>
                </c:pt>
                <c:pt idx="21">
                  <c:v>512</c:v>
                </c:pt>
                <c:pt idx="22">
                  <c:v>536</c:v>
                </c:pt>
                <c:pt idx="23">
                  <c:v>590</c:v>
                </c:pt>
                <c:pt idx="24">
                  <c:v>619</c:v>
                </c:pt>
              </c:numCache>
            </c:numRef>
          </c:xVal>
          <c:yVal>
            <c:numRef>
              <c:f>Sheet2!$AM$3:$AM$27</c:f>
              <c:numCache>
                <c:formatCode>General</c:formatCode>
                <c:ptCount val="25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7</c:v>
                </c:pt>
                <c:pt idx="4">
                  <c:v>9</c:v>
                </c:pt>
                <c:pt idx="5">
                  <c:v>9</c:v>
                </c:pt>
                <c:pt idx="6">
                  <c:v>10</c:v>
                </c:pt>
                <c:pt idx="7">
                  <c:v>10</c:v>
                </c:pt>
                <c:pt idx="8">
                  <c:v>13</c:v>
                </c:pt>
                <c:pt idx="9">
                  <c:v>13</c:v>
                </c:pt>
                <c:pt idx="10">
                  <c:v>13</c:v>
                </c:pt>
                <c:pt idx="11">
                  <c:v>13</c:v>
                </c:pt>
                <c:pt idx="12">
                  <c:v>16</c:v>
                </c:pt>
                <c:pt idx="13">
                  <c:v>16</c:v>
                </c:pt>
                <c:pt idx="14">
                  <c:v>17</c:v>
                </c:pt>
                <c:pt idx="15">
                  <c:v>17</c:v>
                </c:pt>
                <c:pt idx="16">
                  <c:v>17</c:v>
                </c:pt>
                <c:pt idx="17">
                  <c:v>18</c:v>
                </c:pt>
                <c:pt idx="18">
                  <c:v>18</c:v>
                </c:pt>
                <c:pt idx="19">
                  <c:v>18</c:v>
                </c:pt>
                <c:pt idx="20">
                  <c:v>18</c:v>
                </c:pt>
                <c:pt idx="21">
                  <c:v>18</c:v>
                </c:pt>
                <c:pt idx="22">
                  <c:v>18</c:v>
                </c:pt>
                <c:pt idx="23">
                  <c:v>18</c:v>
                </c:pt>
                <c:pt idx="24">
                  <c:v>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35-4E5B-8E5C-001327FCCF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2681536"/>
        <c:axId val="452681928"/>
      </c:scatterChart>
      <c:valAx>
        <c:axId val="452681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Individuals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681928"/>
        <c:crosses val="autoZero"/>
        <c:crossBetween val="midCat"/>
      </c:valAx>
      <c:valAx>
        <c:axId val="452681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Species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6815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Mussel Bed 13-48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Sheet2!$AO$2</c:f>
              <c:strCache>
                <c:ptCount val="1"/>
                <c:pt idx="0">
                  <c:v># of Species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og"/>
            <c:forward val="100"/>
            <c:backward val="5"/>
            <c:dispRSqr val="1"/>
            <c:dispEq val="0"/>
            <c:trendlineLbl>
              <c:layout>
                <c:manualLayout>
                  <c:x val="-0.53860695538057746"/>
                  <c:y val="-0.1644597550306211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Sheet2!$AN$3:$AN$32</c:f>
              <c:numCache>
                <c:formatCode>General</c:formatCode>
                <c:ptCount val="30"/>
                <c:pt idx="0">
                  <c:v>21</c:v>
                </c:pt>
                <c:pt idx="1">
                  <c:v>31</c:v>
                </c:pt>
                <c:pt idx="2">
                  <c:v>50</c:v>
                </c:pt>
                <c:pt idx="3">
                  <c:v>75</c:v>
                </c:pt>
                <c:pt idx="4">
                  <c:v>119</c:v>
                </c:pt>
                <c:pt idx="5">
                  <c:v>154</c:v>
                </c:pt>
                <c:pt idx="6">
                  <c:v>191</c:v>
                </c:pt>
                <c:pt idx="7">
                  <c:v>228</c:v>
                </c:pt>
                <c:pt idx="8">
                  <c:v>258</c:v>
                </c:pt>
                <c:pt idx="9">
                  <c:v>293</c:v>
                </c:pt>
                <c:pt idx="10">
                  <c:v>314</c:v>
                </c:pt>
                <c:pt idx="11">
                  <c:v>339</c:v>
                </c:pt>
                <c:pt idx="12">
                  <c:v>357</c:v>
                </c:pt>
                <c:pt idx="13">
                  <c:v>376</c:v>
                </c:pt>
                <c:pt idx="14">
                  <c:v>394</c:v>
                </c:pt>
                <c:pt idx="15">
                  <c:v>416</c:v>
                </c:pt>
                <c:pt idx="16">
                  <c:v>434</c:v>
                </c:pt>
                <c:pt idx="17">
                  <c:v>466</c:v>
                </c:pt>
                <c:pt idx="18">
                  <c:v>485</c:v>
                </c:pt>
                <c:pt idx="19">
                  <c:v>543</c:v>
                </c:pt>
                <c:pt idx="20">
                  <c:v>582</c:v>
                </c:pt>
                <c:pt idx="21">
                  <c:v>636</c:v>
                </c:pt>
                <c:pt idx="22">
                  <c:v>663</c:v>
                </c:pt>
                <c:pt idx="23">
                  <c:v>702</c:v>
                </c:pt>
                <c:pt idx="24">
                  <c:v>721</c:v>
                </c:pt>
                <c:pt idx="25">
                  <c:v>759</c:v>
                </c:pt>
                <c:pt idx="26">
                  <c:v>795</c:v>
                </c:pt>
                <c:pt idx="27">
                  <c:v>826</c:v>
                </c:pt>
                <c:pt idx="28">
                  <c:v>868</c:v>
                </c:pt>
                <c:pt idx="29">
                  <c:v>919</c:v>
                </c:pt>
              </c:numCache>
            </c:numRef>
          </c:xVal>
          <c:yVal>
            <c:numRef>
              <c:f>Sheet2!$AO$3:$AO$32</c:f>
              <c:numCache>
                <c:formatCode>General</c:formatCode>
                <c:ptCount val="30"/>
                <c:pt idx="0">
                  <c:v>6</c:v>
                </c:pt>
                <c:pt idx="1">
                  <c:v>8</c:v>
                </c:pt>
                <c:pt idx="2">
                  <c:v>9</c:v>
                </c:pt>
                <c:pt idx="3">
                  <c:v>9</c:v>
                </c:pt>
                <c:pt idx="4">
                  <c:v>9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11</c:v>
                </c:pt>
                <c:pt idx="12">
                  <c:v>11</c:v>
                </c:pt>
                <c:pt idx="13">
                  <c:v>11</c:v>
                </c:pt>
                <c:pt idx="14">
                  <c:v>11</c:v>
                </c:pt>
                <c:pt idx="15">
                  <c:v>11</c:v>
                </c:pt>
                <c:pt idx="16">
                  <c:v>11</c:v>
                </c:pt>
                <c:pt idx="17">
                  <c:v>11</c:v>
                </c:pt>
                <c:pt idx="18">
                  <c:v>11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16</c:v>
                </c:pt>
                <c:pt idx="24">
                  <c:v>16</c:v>
                </c:pt>
                <c:pt idx="25">
                  <c:v>18</c:v>
                </c:pt>
                <c:pt idx="26">
                  <c:v>18</c:v>
                </c:pt>
                <c:pt idx="27">
                  <c:v>19</c:v>
                </c:pt>
                <c:pt idx="28">
                  <c:v>20</c:v>
                </c:pt>
                <c:pt idx="29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19-4AB4-AEE5-AA56710E94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2682712"/>
        <c:axId val="452683104"/>
      </c:scatterChart>
      <c:valAx>
        <c:axId val="452682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Individuals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683104"/>
        <c:crosses val="autoZero"/>
        <c:crossBetween val="midCat"/>
      </c:valAx>
      <c:valAx>
        <c:axId val="452683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Species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6827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Mussel Bed 13-49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Sheet2!$AQ$2</c:f>
              <c:strCache>
                <c:ptCount val="1"/>
                <c:pt idx="0">
                  <c:v># of Species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og"/>
            <c:forward val="100"/>
            <c:backward val="10"/>
            <c:dispRSqr val="1"/>
            <c:dispEq val="0"/>
            <c:trendlineLbl>
              <c:layout>
                <c:manualLayout>
                  <c:x val="-0.51682611548556434"/>
                  <c:y val="-1.430555555555555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Sheet2!$AP$3:$AP$27</c:f>
              <c:numCache>
                <c:formatCode>General</c:formatCode>
                <c:ptCount val="25"/>
                <c:pt idx="0">
                  <c:v>27</c:v>
                </c:pt>
                <c:pt idx="1">
                  <c:v>48</c:v>
                </c:pt>
                <c:pt idx="2">
                  <c:v>73</c:v>
                </c:pt>
                <c:pt idx="3">
                  <c:v>119</c:v>
                </c:pt>
                <c:pt idx="4">
                  <c:v>178</c:v>
                </c:pt>
                <c:pt idx="5">
                  <c:v>206</c:v>
                </c:pt>
                <c:pt idx="6">
                  <c:v>252</c:v>
                </c:pt>
                <c:pt idx="7">
                  <c:v>273</c:v>
                </c:pt>
                <c:pt idx="8">
                  <c:v>311</c:v>
                </c:pt>
                <c:pt idx="9">
                  <c:v>358</c:v>
                </c:pt>
                <c:pt idx="10">
                  <c:v>399</c:v>
                </c:pt>
                <c:pt idx="11">
                  <c:v>457</c:v>
                </c:pt>
                <c:pt idx="12">
                  <c:v>496</c:v>
                </c:pt>
                <c:pt idx="13">
                  <c:v>532</c:v>
                </c:pt>
                <c:pt idx="14">
                  <c:v>570</c:v>
                </c:pt>
                <c:pt idx="15">
                  <c:v>618</c:v>
                </c:pt>
                <c:pt idx="16">
                  <c:v>651</c:v>
                </c:pt>
                <c:pt idx="17">
                  <c:v>680</c:v>
                </c:pt>
                <c:pt idx="18">
                  <c:v>724</c:v>
                </c:pt>
                <c:pt idx="19">
                  <c:v>759</c:v>
                </c:pt>
                <c:pt idx="20">
                  <c:v>808</c:v>
                </c:pt>
                <c:pt idx="21">
                  <c:v>834</c:v>
                </c:pt>
                <c:pt idx="22">
                  <c:v>860</c:v>
                </c:pt>
                <c:pt idx="23">
                  <c:v>868</c:v>
                </c:pt>
                <c:pt idx="24">
                  <c:v>883</c:v>
                </c:pt>
              </c:numCache>
            </c:numRef>
          </c:xVal>
          <c:yVal>
            <c:numRef>
              <c:f>Sheet2!$AQ$3:$AQ$27</c:f>
              <c:numCache>
                <c:formatCode>General</c:formatCode>
                <c:ptCount val="25"/>
                <c:pt idx="0">
                  <c:v>5</c:v>
                </c:pt>
                <c:pt idx="1">
                  <c:v>5</c:v>
                </c:pt>
                <c:pt idx="2">
                  <c:v>9</c:v>
                </c:pt>
                <c:pt idx="3">
                  <c:v>11</c:v>
                </c:pt>
                <c:pt idx="4">
                  <c:v>14</c:v>
                </c:pt>
                <c:pt idx="5">
                  <c:v>16</c:v>
                </c:pt>
                <c:pt idx="6">
                  <c:v>18</c:v>
                </c:pt>
                <c:pt idx="7">
                  <c:v>19</c:v>
                </c:pt>
                <c:pt idx="8">
                  <c:v>19</c:v>
                </c:pt>
                <c:pt idx="9">
                  <c:v>20</c:v>
                </c:pt>
                <c:pt idx="10">
                  <c:v>21</c:v>
                </c:pt>
                <c:pt idx="11">
                  <c:v>21</c:v>
                </c:pt>
                <c:pt idx="12">
                  <c:v>21</c:v>
                </c:pt>
                <c:pt idx="13">
                  <c:v>21</c:v>
                </c:pt>
                <c:pt idx="14">
                  <c:v>21</c:v>
                </c:pt>
                <c:pt idx="15">
                  <c:v>21</c:v>
                </c:pt>
                <c:pt idx="16">
                  <c:v>21</c:v>
                </c:pt>
                <c:pt idx="17">
                  <c:v>21</c:v>
                </c:pt>
                <c:pt idx="18">
                  <c:v>21</c:v>
                </c:pt>
                <c:pt idx="19">
                  <c:v>21</c:v>
                </c:pt>
                <c:pt idx="20">
                  <c:v>21</c:v>
                </c:pt>
                <c:pt idx="21">
                  <c:v>21</c:v>
                </c:pt>
                <c:pt idx="22">
                  <c:v>21</c:v>
                </c:pt>
                <c:pt idx="23">
                  <c:v>21</c:v>
                </c:pt>
                <c:pt idx="24">
                  <c:v>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D7-4703-8A8F-1BC95EDC1F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2683888"/>
        <c:axId val="452684280"/>
      </c:scatterChart>
      <c:valAx>
        <c:axId val="452683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Individuals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684280"/>
        <c:crosses val="autoZero"/>
        <c:crossBetween val="midCat"/>
      </c:valAx>
      <c:valAx>
        <c:axId val="452684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Species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6838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Mussel Bed 13-50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Sheet2!$AS$2</c:f>
              <c:strCache>
                <c:ptCount val="1"/>
                <c:pt idx="0">
                  <c:v># of Species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og"/>
            <c:forward val="100"/>
            <c:backward val="15"/>
            <c:dispRSqr val="1"/>
            <c:dispEq val="0"/>
            <c:trendlineLbl>
              <c:layout>
                <c:manualLayout>
                  <c:x val="-0.60519750656167981"/>
                  <c:y val="-9.769757946923303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Sheet2!$AR$3:$AR$25</c:f>
              <c:numCache>
                <c:formatCode>General</c:formatCode>
                <c:ptCount val="23"/>
                <c:pt idx="0">
                  <c:v>24</c:v>
                </c:pt>
                <c:pt idx="1">
                  <c:v>31</c:v>
                </c:pt>
                <c:pt idx="2">
                  <c:v>43</c:v>
                </c:pt>
                <c:pt idx="3">
                  <c:v>62</c:v>
                </c:pt>
                <c:pt idx="4">
                  <c:v>73</c:v>
                </c:pt>
                <c:pt idx="5">
                  <c:v>84</c:v>
                </c:pt>
                <c:pt idx="6">
                  <c:v>102</c:v>
                </c:pt>
                <c:pt idx="7">
                  <c:v>123</c:v>
                </c:pt>
                <c:pt idx="8">
                  <c:v>134</c:v>
                </c:pt>
                <c:pt idx="9">
                  <c:v>150</c:v>
                </c:pt>
                <c:pt idx="10">
                  <c:v>162</c:v>
                </c:pt>
                <c:pt idx="11">
                  <c:v>183</c:v>
                </c:pt>
                <c:pt idx="12">
                  <c:v>227</c:v>
                </c:pt>
                <c:pt idx="13">
                  <c:v>248</c:v>
                </c:pt>
                <c:pt idx="14">
                  <c:v>267</c:v>
                </c:pt>
                <c:pt idx="15">
                  <c:v>296</c:v>
                </c:pt>
                <c:pt idx="16">
                  <c:v>313</c:v>
                </c:pt>
                <c:pt idx="17">
                  <c:v>334</c:v>
                </c:pt>
                <c:pt idx="18">
                  <c:v>372</c:v>
                </c:pt>
                <c:pt idx="19">
                  <c:v>415</c:v>
                </c:pt>
                <c:pt idx="20">
                  <c:v>462</c:v>
                </c:pt>
                <c:pt idx="21">
                  <c:v>495</c:v>
                </c:pt>
                <c:pt idx="22">
                  <c:v>544</c:v>
                </c:pt>
              </c:numCache>
            </c:numRef>
          </c:xVal>
          <c:yVal>
            <c:numRef>
              <c:f>Sheet2!$AS$3:$AS$25</c:f>
              <c:numCache>
                <c:formatCode>General</c:formatCode>
                <c:ptCount val="23"/>
                <c:pt idx="0">
                  <c:v>5</c:v>
                </c:pt>
                <c:pt idx="1">
                  <c:v>6</c:v>
                </c:pt>
                <c:pt idx="2">
                  <c:v>10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13</c:v>
                </c:pt>
                <c:pt idx="8">
                  <c:v>15</c:v>
                </c:pt>
                <c:pt idx="9">
                  <c:v>15</c:v>
                </c:pt>
                <c:pt idx="10">
                  <c:v>16</c:v>
                </c:pt>
                <c:pt idx="11">
                  <c:v>16</c:v>
                </c:pt>
                <c:pt idx="12">
                  <c:v>16</c:v>
                </c:pt>
                <c:pt idx="13">
                  <c:v>16</c:v>
                </c:pt>
                <c:pt idx="14">
                  <c:v>16</c:v>
                </c:pt>
                <c:pt idx="15">
                  <c:v>16</c:v>
                </c:pt>
                <c:pt idx="16">
                  <c:v>16</c:v>
                </c:pt>
                <c:pt idx="17">
                  <c:v>16</c:v>
                </c:pt>
                <c:pt idx="18">
                  <c:v>16</c:v>
                </c:pt>
                <c:pt idx="19">
                  <c:v>17</c:v>
                </c:pt>
                <c:pt idx="20">
                  <c:v>18</c:v>
                </c:pt>
                <c:pt idx="21">
                  <c:v>18</c:v>
                </c:pt>
                <c:pt idx="22">
                  <c:v>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494-4911-A4EF-FB97AA1112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2685064"/>
        <c:axId val="452685456"/>
      </c:scatterChart>
      <c:valAx>
        <c:axId val="452685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Individuals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685456"/>
        <c:crosses val="autoZero"/>
        <c:crossBetween val="midCat"/>
      </c:valAx>
      <c:valAx>
        <c:axId val="452685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Species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6850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Mussel Bed 13-53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Sheet2!$AU$2</c:f>
              <c:strCache>
                <c:ptCount val="1"/>
                <c:pt idx="0">
                  <c:v># of Species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og"/>
            <c:forward val="250"/>
            <c:backward val="5"/>
            <c:dispRSqr val="1"/>
            <c:dispEq val="0"/>
            <c:trendlineLbl>
              <c:layout>
                <c:manualLayout>
                  <c:x val="-0.61691294838145228"/>
                  <c:y val="-6.769028871391076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Sheet2!$AT$3:$AT$42</c:f>
              <c:numCache>
                <c:formatCode>General</c:formatCode>
                <c:ptCount val="40"/>
                <c:pt idx="0">
                  <c:v>12</c:v>
                </c:pt>
                <c:pt idx="1">
                  <c:v>24</c:v>
                </c:pt>
                <c:pt idx="2">
                  <c:v>73</c:v>
                </c:pt>
                <c:pt idx="3">
                  <c:v>143</c:v>
                </c:pt>
                <c:pt idx="4">
                  <c:v>162</c:v>
                </c:pt>
                <c:pt idx="5">
                  <c:v>184</c:v>
                </c:pt>
                <c:pt idx="6">
                  <c:v>223</c:v>
                </c:pt>
                <c:pt idx="7">
                  <c:v>247</c:v>
                </c:pt>
                <c:pt idx="8">
                  <c:v>264</c:v>
                </c:pt>
                <c:pt idx="9">
                  <c:v>282</c:v>
                </c:pt>
                <c:pt idx="10">
                  <c:v>296</c:v>
                </c:pt>
                <c:pt idx="11">
                  <c:v>315</c:v>
                </c:pt>
                <c:pt idx="12">
                  <c:v>336</c:v>
                </c:pt>
                <c:pt idx="13">
                  <c:v>371</c:v>
                </c:pt>
                <c:pt idx="14">
                  <c:v>384</c:v>
                </c:pt>
                <c:pt idx="15">
                  <c:v>424</c:v>
                </c:pt>
                <c:pt idx="16">
                  <c:v>462</c:v>
                </c:pt>
                <c:pt idx="17">
                  <c:v>502</c:v>
                </c:pt>
                <c:pt idx="18">
                  <c:v>526</c:v>
                </c:pt>
                <c:pt idx="19">
                  <c:v>556</c:v>
                </c:pt>
                <c:pt idx="20">
                  <c:v>580</c:v>
                </c:pt>
                <c:pt idx="21">
                  <c:v>607</c:v>
                </c:pt>
                <c:pt idx="22">
                  <c:v>641</c:v>
                </c:pt>
                <c:pt idx="23">
                  <c:v>669</c:v>
                </c:pt>
                <c:pt idx="24">
                  <c:v>703</c:v>
                </c:pt>
                <c:pt idx="25">
                  <c:v>723</c:v>
                </c:pt>
                <c:pt idx="26">
                  <c:v>758</c:v>
                </c:pt>
                <c:pt idx="27">
                  <c:v>795</c:v>
                </c:pt>
                <c:pt idx="28">
                  <c:v>824</c:v>
                </c:pt>
                <c:pt idx="29">
                  <c:v>853</c:v>
                </c:pt>
                <c:pt idx="30">
                  <c:v>866</c:v>
                </c:pt>
                <c:pt idx="31">
                  <c:v>886</c:v>
                </c:pt>
                <c:pt idx="32">
                  <c:v>913</c:v>
                </c:pt>
                <c:pt idx="33">
                  <c:v>938</c:v>
                </c:pt>
                <c:pt idx="34">
                  <c:v>959</c:v>
                </c:pt>
                <c:pt idx="35">
                  <c:v>981</c:v>
                </c:pt>
                <c:pt idx="36">
                  <c:v>1016</c:v>
                </c:pt>
                <c:pt idx="37">
                  <c:v>1033</c:v>
                </c:pt>
                <c:pt idx="38">
                  <c:v>1051</c:v>
                </c:pt>
                <c:pt idx="39">
                  <c:v>1068</c:v>
                </c:pt>
              </c:numCache>
            </c:numRef>
          </c:xVal>
          <c:yVal>
            <c:numRef>
              <c:f>Sheet2!$AU$3:$AU$42</c:f>
              <c:numCache>
                <c:formatCode>General</c:formatCode>
                <c:ptCount val="40"/>
                <c:pt idx="0">
                  <c:v>3</c:v>
                </c:pt>
                <c:pt idx="1">
                  <c:v>6</c:v>
                </c:pt>
                <c:pt idx="2">
                  <c:v>8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17</c:v>
                </c:pt>
                <c:pt idx="8">
                  <c:v>17</c:v>
                </c:pt>
                <c:pt idx="9">
                  <c:v>17</c:v>
                </c:pt>
                <c:pt idx="10">
                  <c:v>17</c:v>
                </c:pt>
                <c:pt idx="11">
                  <c:v>17</c:v>
                </c:pt>
                <c:pt idx="12">
                  <c:v>17</c:v>
                </c:pt>
                <c:pt idx="13">
                  <c:v>17</c:v>
                </c:pt>
                <c:pt idx="14">
                  <c:v>17</c:v>
                </c:pt>
                <c:pt idx="15">
                  <c:v>17</c:v>
                </c:pt>
                <c:pt idx="16">
                  <c:v>17</c:v>
                </c:pt>
                <c:pt idx="17">
                  <c:v>17</c:v>
                </c:pt>
                <c:pt idx="18">
                  <c:v>17</c:v>
                </c:pt>
                <c:pt idx="19">
                  <c:v>17</c:v>
                </c:pt>
                <c:pt idx="20">
                  <c:v>18</c:v>
                </c:pt>
                <c:pt idx="21">
                  <c:v>18</c:v>
                </c:pt>
                <c:pt idx="22">
                  <c:v>18</c:v>
                </c:pt>
                <c:pt idx="23">
                  <c:v>18</c:v>
                </c:pt>
                <c:pt idx="24">
                  <c:v>18</c:v>
                </c:pt>
                <c:pt idx="25">
                  <c:v>18</c:v>
                </c:pt>
                <c:pt idx="26">
                  <c:v>18</c:v>
                </c:pt>
                <c:pt idx="27">
                  <c:v>18</c:v>
                </c:pt>
                <c:pt idx="28">
                  <c:v>18</c:v>
                </c:pt>
                <c:pt idx="29">
                  <c:v>18</c:v>
                </c:pt>
                <c:pt idx="30">
                  <c:v>18</c:v>
                </c:pt>
                <c:pt idx="31">
                  <c:v>18</c:v>
                </c:pt>
                <c:pt idx="32">
                  <c:v>18</c:v>
                </c:pt>
                <c:pt idx="33">
                  <c:v>18</c:v>
                </c:pt>
                <c:pt idx="34">
                  <c:v>18</c:v>
                </c:pt>
                <c:pt idx="35">
                  <c:v>19</c:v>
                </c:pt>
                <c:pt idx="36">
                  <c:v>19</c:v>
                </c:pt>
                <c:pt idx="37">
                  <c:v>19</c:v>
                </c:pt>
                <c:pt idx="38">
                  <c:v>19</c:v>
                </c:pt>
                <c:pt idx="39">
                  <c:v>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72-4AD9-981E-2D174E9ABC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0512712"/>
        <c:axId val="511377440"/>
      </c:scatterChart>
      <c:valAx>
        <c:axId val="250512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Individuals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1377440"/>
        <c:crosses val="autoZero"/>
        <c:crossBetween val="midCat"/>
      </c:valAx>
      <c:valAx>
        <c:axId val="51137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Species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5127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olid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50920100612423447"/>
                  <c:y val="-0.2230438903470399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Sheet2!$H$3:$H$17</c:f>
              <c:numCache>
                <c:formatCode>General</c:formatCode>
                <c:ptCount val="15"/>
                <c:pt idx="0">
                  <c:v>20</c:v>
                </c:pt>
                <c:pt idx="1">
                  <c:v>10</c:v>
                </c:pt>
                <c:pt idx="2">
                  <c:v>17</c:v>
                </c:pt>
                <c:pt idx="3">
                  <c:v>25</c:v>
                </c:pt>
                <c:pt idx="4">
                  <c:v>18</c:v>
                </c:pt>
                <c:pt idx="5">
                  <c:v>20</c:v>
                </c:pt>
                <c:pt idx="6">
                  <c:v>9</c:v>
                </c:pt>
                <c:pt idx="7">
                  <c:v>22</c:v>
                </c:pt>
                <c:pt idx="8">
                  <c:v>17</c:v>
                </c:pt>
                <c:pt idx="9">
                  <c:v>19</c:v>
                </c:pt>
                <c:pt idx="10">
                  <c:v>19</c:v>
                </c:pt>
                <c:pt idx="11">
                  <c:v>20</c:v>
                </c:pt>
                <c:pt idx="12">
                  <c:v>21</c:v>
                </c:pt>
                <c:pt idx="13">
                  <c:v>18</c:v>
                </c:pt>
                <c:pt idx="14">
                  <c:v>19</c:v>
                </c:pt>
              </c:numCache>
            </c:numRef>
          </c:xVal>
          <c:yVal>
            <c:numRef>
              <c:f>Sheet2!$I$3:$I$17</c:f>
              <c:numCache>
                <c:formatCode>General</c:formatCode>
                <c:ptCount val="15"/>
                <c:pt idx="0">
                  <c:v>2300</c:v>
                </c:pt>
                <c:pt idx="1">
                  <c:v>720</c:v>
                </c:pt>
                <c:pt idx="2">
                  <c:v>1625</c:v>
                </c:pt>
                <c:pt idx="3">
                  <c:v>12280</c:v>
                </c:pt>
                <c:pt idx="4">
                  <c:v>1500</c:v>
                </c:pt>
                <c:pt idx="5">
                  <c:v>15525</c:v>
                </c:pt>
                <c:pt idx="6">
                  <c:v>720</c:v>
                </c:pt>
                <c:pt idx="7">
                  <c:v>2700</c:v>
                </c:pt>
                <c:pt idx="8">
                  <c:v>1560</c:v>
                </c:pt>
                <c:pt idx="9">
                  <c:v>14400</c:v>
                </c:pt>
                <c:pt idx="10">
                  <c:v>2600</c:v>
                </c:pt>
                <c:pt idx="11">
                  <c:v>14800</c:v>
                </c:pt>
                <c:pt idx="12">
                  <c:v>9760</c:v>
                </c:pt>
                <c:pt idx="13">
                  <c:v>2340</c:v>
                </c:pt>
                <c:pt idx="14">
                  <c:v>12130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39-45F2-922A-4C37D72C9E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0512320"/>
        <c:axId val="448902184"/>
      </c:scatterChart>
      <c:valAx>
        <c:axId val="250512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Species Richness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8902184"/>
        <c:crosses val="autoZero"/>
        <c:crossBetween val="midCat"/>
      </c:valAx>
      <c:valAx>
        <c:axId val="44890218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Mussel Bed Area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512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19</xdr:row>
      <xdr:rowOff>133350</xdr:rowOff>
    </xdr:from>
    <xdr:to>
      <xdr:col>8</xdr:col>
      <xdr:colOff>314325</xdr:colOff>
      <xdr:row>34</xdr:row>
      <xdr:rowOff>19050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161924</xdr:colOff>
      <xdr:row>2</xdr:row>
      <xdr:rowOff>123825</xdr:rowOff>
    </xdr:from>
    <xdr:to>
      <xdr:col>17</xdr:col>
      <xdr:colOff>590549</xdr:colOff>
      <xdr:row>20</xdr:row>
      <xdr:rowOff>76200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323850</xdr:colOff>
      <xdr:row>20</xdr:row>
      <xdr:rowOff>123825</xdr:rowOff>
    </xdr:from>
    <xdr:to>
      <xdr:col>16</xdr:col>
      <xdr:colOff>19050</xdr:colOff>
      <xdr:row>35</xdr:row>
      <xdr:rowOff>9525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314325</xdr:colOff>
      <xdr:row>35</xdr:row>
      <xdr:rowOff>123825</xdr:rowOff>
    </xdr:from>
    <xdr:to>
      <xdr:col>16</xdr:col>
      <xdr:colOff>9525</xdr:colOff>
      <xdr:row>50</xdr:row>
      <xdr:rowOff>9525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295275</xdr:colOff>
      <xdr:row>50</xdr:row>
      <xdr:rowOff>161925</xdr:rowOff>
    </xdr:from>
    <xdr:to>
      <xdr:col>15</xdr:col>
      <xdr:colOff>600075</xdr:colOff>
      <xdr:row>65</xdr:row>
      <xdr:rowOff>47625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323850</xdr:colOff>
      <xdr:row>66</xdr:row>
      <xdr:rowOff>57150</xdr:rowOff>
    </xdr:from>
    <xdr:to>
      <xdr:col>16</xdr:col>
      <xdr:colOff>19050</xdr:colOff>
      <xdr:row>80</xdr:row>
      <xdr:rowOff>133350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314325</xdr:colOff>
      <xdr:row>81</xdr:row>
      <xdr:rowOff>114300</xdr:rowOff>
    </xdr:from>
    <xdr:to>
      <xdr:col>16</xdr:col>
      <xdr:colOff>9525</xdr:colOff>
      <xdr:row>96</xdr:row>
      <xdr:rowOff>0</xdr:rowOff>
    </xdr:to>
    <xdr:graphicFrame macro="">
      <xdr:nvGraphicFramePr>
        <xdr:cNvPr id="1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17</xdr:col>
      <xdr:colOff>0</xdr:colOff>
      <xdr:row>43</xdr:row>
      <xdr:rowOff>0</xdr:rowOff>
    </xdr:from>
    <xdr:to>
      <xdr:col>24</xdr:col>
      <xdr:colOff>304800</xdr:colOff>
      <xdr:row>57</xdr:row>
      <xdr:rowOff>76200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17</xdr:col>
      <xdr:colOff>0</xdr:colOff>
      <xdr:row>59</xdr:row>
      <xdr:rowOff>0</xdr:rowOff>
    </xdr:from>
    <xdr:to>
      <xdr:col>24</xdr:col>
      <xdr:colOff>304800</xdr:colOff>
      <xdr:row>73</xdr:row>
      <xdr:rowOff>76200</xdr:rowOff>
    </xdr:to>
    <xdr:graphicFrame macro="">
      <xdr:nvGraphicFramePr>
        <xdr:cNvPr id="16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17</xdr:col>
      <xdr:colOff>0</xdr:colOff>
      <xdr:row>75</xdr:row>
      <xdr:rowOff>0</xdr:rowOff>
    </xdr:from>
    <xdr:to>
      <xdr:col>24</xdr:col>
      <xdr:colOff>304800</xdr:colOff>
      <xdr:row>89</xdr:row>
      <xdr:rowOff>76200</xdr:rowOff>
    </xdr:to>
    <xdr:graphicFrame macro="">
      <xdr:nvGraphicFramePr>
        <xdr:cNvPr id="17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25</xdr:col>
      <xdr:colOff>0</xdr:colOff>
      <xdr:row>43</xdr:row>
      <xdr:rowOff>0</xdr:rowOff>
    </xdr:from>
    <xdr:to>
      <xdr:col>32</xdr:col>
      <xdr:colOff>304800</xdr:colOff>
      <xdr:row>57</xdr:row>
      <xdr:rowOff>76200</xdr:rowOff>
    </xdr:to>
    <xdr:graphicFrame macro="">
      <xdr:nvGraphicFramePr>
        <xdr:cNvPr id="18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25</xdr:col>
      <xdr:colOff>0</xdr:colOff>
      <xdr:row>59</xdr:row>
      <xdr:rowOff>0</xdr:rowOff>
    </xdr:from>
    <xdr:to>
      <xdr:col>32</xdr:col>
      <xdr:colOff>304800</xdr:colOff>
      <xdr:row>73</xdr:row>
      <xdr:rowOff>76200</xdr:rowOff>
    </xdr:to>
    <xdr:graphicFrame macro="">
      <xdr:nvGraphicFramePr>
        <xdr:cNvPr id="19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25</xdr:col>
      <xdr:colOff>0</xdr:colOff>
      <xdr:row>75</xdr:row>
      <xdr:rowOff>0</xdr:rowOff>
    </xdr:from>
    <xdr:to>
      <xdr:col>32</xdr:col>
      <xdr:colOff>304800</xdr:colOff>
      <xdr:row>89</xdr:row>
      <xdr:rowOff>76200</xdr:rowOff>
    </xdr:to>
    <xdr:graphicFrame macro="">
      <xdr:nvGraphicFramePr>
        <xdr:cNvPr id="20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43</xdr:row>
      <xdr:rowOff>0</xdr:rowOff>
    </xdr:from>
    <xdr:to>
      <xdr:col>40</xdr:col>
      <xdr:colOff>304800</xdr:colOff>
      <xdr:row>57</xdr:row>
      <xdr:rowOff>76200</xdr:rowOff>
    </xdr:to>
    <xdr:graphicFrame macro="">
      <xdr:nvGraphicFramePr>
        <xdr:cNvPr id="21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33</xdr:col>
      <xdr:colOff>0</xdr:colOff>
      <xdr:row>59</xdr:row>
      <xdr:rowOff>0</xdr:rowOff>
    </xdr:from>
    <xdr:to>
      <xdr:col>40</xdr:col>
      <xdr:colOff>304800</xdr:colOff>
      <xdr:row>73</xdr:row>
      <xdr:rowOff>76200</xdr:rowOff>
    </xdr:to>
    <xdr:graphicFrame macro="">
      <xdr:nvGraphicFramePr>
        <xdr:cNvPr id="22" name="Chart 2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33</xdr:col>
      <xdr:colOff>0</xdr:colOff>
      <xdr:row>75</xdr:row>
      <xdr:rowOff>0</xdr:rowOff>
    </xdr:from>
    <xdr:to>
      <xdr:col>40</xdr:col>
      <xdr:colOff>304800</xdr:colOff>
      <xdr:row>89</xdr:row>
      <xdr:rowOff>76200</xdr:rowOff>
    </xdr:to>
    <xdr:graphicFrame macro="">
      <xdr:nvGraphicFramePr>
        <xdr:cNvPr id="23" name="Chart 2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9</xdr:col>
      <xdr:colOff>471487</xdr:colOff>
      <xdr:row>10</xdr:row>
      <xdr:rowOff>171450</xdr:rowOff>
    </xdr:from>
    <xdr:to>
      <xdr:col>17</xdr:col>
      <xdr:colOff>166687</xdr:colOff>
      <xdr:row>25</xdr:row>
      <xdr:rowOff>57150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3"/>
  <sheetViews>
    <sheetView tabSelected="1" workbookViewId="0">
      <pane xSplit="1" topLeftCell="B1" activePane="topRight" state="frozen"/>
      <selection pane="topRight" activeCell="D34" sqref="D34"/>
    </sheetView>
  </sheetViews>
  <sheetFormatPr defaultRowHeight="15" x14ac:dyDescent="0.25"/>
  <cols>
    <col min="1" max="1" width="25" customWidth="1"/>
    <col min="8" max="8" width="9.140625" style="27"/>
    <col min="10" max="13" width="9.140625" style="27"/>
    <col min="15" max="15" width="9.140625" style="27"/>
    <col min="17" max="17" width="19.28515625" customWidth="1"/>
    <col min="18" max="18" width="18.140625" customWidth="1"/>
  </cols>
  <sheetData>
    <row r="1" spans="1:19" x14ac:dyDescent="0.25">
      <c r="A1" s="1" t="s">
        <v>360</v>
      </c>
      <c r="B1" t="s">
        <v>361</v>
      </c>
      <c r="C1" t="s">
        <v>362</v>
      </c>
      <c r="D1" t="s">
        <v>363</v>
      </c>
      <c r="E1" t="s">
        <v>627</v>
      </c>
      <c r="F1" t="s">
        <v>366</v>
      </c>
      <c r="G1" t="s">
        <v>367</v>
      </c>
      <c r="H1" s="27" t="s">
        <v>368</v>
      </c>
      <c r="I1" t="s">
        <v>369</v>
      </c>
      <c r="J1" s="27" t="s">
        <v>370</v>
      </c>
      <c r="K1" s="27" t="s">
        <v>371</v>
      </c>
      <c r="L1" s="27" t="s">
        <v>372</v>
      </c>
      <c r="M1" s="27" t="s">
        <v>628</v>
      </c>
      <c r="N1" t="s">
        <v>375</v>
      </c>
      <c r="O1" s="27" t="s">
        <v>629</v>
      </c>
      <c r="P1" t="s">
        <v>626</v>
      </c>
      <c r="Q1" s="11" t="s">
        <v>378</v>
      </c>
      <c r="R1" s="11" t="s">
        <v>379</v>
      </c>
      <c r="S1" t="s">
        <v>590</v>
      </c>
    </row>
    <row r="2" spans="1:19" x14ac:dyDescent="0.25">
      <c r="A2" s="4" t="s">
        <v>1</v>
      </c>
    </row>
    <row r="3" spans="1:19" x14ac:dyDescent="0.25">
      <c r="A3" s="6" t="s">
        <v>4</v>
      </c>
      <c r="B3">
        <v>59</v>
      </c>
      <c r="C3">
        <v>8</v>
      </c>
      <c r="D3">
        <v>54</v>
      </c>
      <c r="E3">
        <v>223</v>
      </c>
      <c r="F3">
        <v>47</v>
      </c>
      <c r="G3">
        <v>8</v>
      </c>
      <c r="H3" s="27">
        <v>66</v>
      </c>
      <c r="I3">
        <v>82</v>
      </c>
      <c r="J3" s="27">
        <v>112</v>
      </c>
      <c r="K3" s="27">
        <v>87</v>
      </c>
      <c r="L3" s="27">
        <v>185</v>
      </c>
      <c r="M3" s="27">
        <v>102</v>
      </c>
      <c r="N3">
        <v>105</v>
      </c>
      <c r="O3" s="27">
        <v>264</v>
      </c>
      <c r="P3">
        <v>159</v>
      </c>
      <c r="Q3">
        <f t="shared" ref="Q3:Q28" si="0">SUM(B3:P3)</f>
        <v>1561</v>
      </c>
      <c r="R3">
        <f t="shared" ref="R3:R28" si="1">Q3/Q$29</f>
        <v>0.14646275098517544</v>
      </c>
      <c r="S3" s="14">
        <f t="shared" ref="S3:S28" si="2">(Q3/Q$29)*100</f>
        <v>14.646275098517544</v>
      </c>
    </row>
    <row r="4" spans="1:19" x14ac:dyDescent="0.25">
      <c r="A4" s="6" t="s">
        <v>5</v>
      </c>
      <c r="B4">
        <v>2</v>
      </c>
      <c r="C4">
        <v>2</v>
      </c>
      <c r="D4">
        <v>11</v>
      </c>
      <c r="E4">
        <v>13</v>
      </c>
      <c r="F4">
        <v>12</v>
      </c>
      <c r="G4">
        <v>3</v>
      </c>
      <c r="H4" s="27">
        <v>18</v>
      </c>
      <c r="I4">
        <v>6</v>
      </c>
      <c r="J4" s="27">
        <v>1</v>
      </c>
      <c r="K4" s="27">
        <v>10</v>
      </c>
      <c r="L4" s="27">
        <v>13</v>
      </c>
      <c r="M4" s="27">
        <v>11</v>
      </c>
      <c r="N4">
        <v>5</v>
      </c>
      <c r="O4" s="27">
        <v>6</v>
      </c>
      <c r="P4">
        <v>10</v>
      </c>
      <c r="Q4">
        <f t="shared" si="0"/>
        <v>123</v>
      </c>
      <c r="R4">
        <f t="shared" si="1"/>
        <v>1.1540626759241885E-2</v>
      </c>
      <c r="S4">
        <f t="shared" si="2"/>
        <v>1.1540626759241885</v>
      </c>
    </row>
    <row r="5" spans="1:19" x14ac:dyDescent="0.25">
      <c r="A5" s="6" t="s">
        <v>95</v>
      </c>
      <c r="B5">
        <v>0</v>
      </c>
      <c r="C5">
        <v>0</v>
      </c>
      <c r="D5">
        <v>0</v>
      </c>
      <c r="E5">
        <v>3</v>
      </c>
      <c r="F5">
        <v>1</v>
      </c>
      <c r="G5">
        <v>0</v>
      </c>
      <c r="H5" s="27">
        <v>0</v>
      </c>
      <c r="I5">
        <v>0</v>
      </c>
      <c r="J5" s="27">
        <v>0</v>
      </c>
      <c r="K5" s="27">
        <v>0</v>
      </c>
      <c r="L5" s="27">
        <v>0</v>
      </c>
      <c r="M5" s="27">
        <v>0</v>
      </c>
      <c r="N5">
        <v>0</v>
      </c>
      <c r="O5" s="27">
        <v>1</v>
      </c>
      <c r="P5">
        <v>1</v>
      </c>
      <c r="Q5">
        <f t="shared" si="0"/>
        <v>6</v>
      </c>
      <c r="R5">
        <f t="shared" si="1"/>
        <v>5.62957402889848E-4</v>
      </c>
      <c r="S5">
        <f t="shared" si="2"/>
        <v>5.6295740288984798E-2</v>
      </c>
    </row>
    <row r="6" spans="1:19" x14ac:dyDescent="0.25">
      <c r="A6" s="6" t="s">
        <v>6</v>
      </c>
      <c r="B6">
        <v>1</v>
      </c>
      <c r="C6">
        <v>1</v>
      </c>
      <c r="D6">
        <v>10</v>
      </c>
      <c r="E6">
        <v>59</v>
      </c>
      <c r="F6">
        <v>8</v>
      </c>
      <c r="G6">
        <v>2</v>
      </c>
      <c r="H6" s="27">
        <v>24</v>
      </c>
      <c r="I6">
        <v>7</v>
      </c>
      <c r="J6" s="27">
        <v>19</v>
      </c>
      <c r="K6" s="27">
        <v>20</v>
      </c>
      <c r="L6" s="27">
        <v>39</v>
      </c>
      <c r="M6" s="27">
        <v>35</v>
      </c>
      <c r="N6">
        <v>11</v>
      </c>
      <c r="O6" s="27">
        <v>35</v>
      </c>
      <c r="P6">
        <v>11</v>
      </c>
      <c r="Q6">
        <f t="shared" si="0"/>
        <v>282</v>
      </c>
      <c r="R6">
        <f t="shared" si="1"/>
        <v>2.6458997935822855E-2</v>
      </c>
      <c r="S6">
        <f t="shared" si="2"/>
        <v>2.6458997935822857</v>
      </c>
    </row>
    <row r="7" spans="1:19" x14ac:dyDescent="0.25">
      <c r="A7" s="6" t="s">
        <v>8</v>
      </c>
      <c r="B7">
        <v>0</v>
      </c>
      <c r="C7">
        <v>0</v>
      </c>
      <c r="D7">
        <v>0</v>
      </c>
      <c r="E7">
        <v>2</v>
      </c>
      <c r="F7">
        <v>0</v>
      </c>
      <c r="G7">
        <v>0</v>
      </c>
      <c r="H7" s="27">
        <v>1</v>
      </c>
      <c r="I7">
        <v>0</v>
      </c>
      <c r="J7" s="27">
        <v>0</v>
      </c>
      <c r="K7" s="27">
        <v>0</v>
      </c>
      <c r="L7" s="27">
        <v>1</v>
      </c>
      <c r="M7" s="27">
        <v>0</v>
      </c>
      <c r="N7">
        <v>1</v>
      </c>
      <c r="O7" s="27">
        <v>0</v>
      </c>
      <c r="P7">
        <v>1</v>
      </c>
      <c r="Q7">
        <f t="shared" si="0"/>
        <v>6</v>
      </c>
      <c r="R7">
        <f t="shared" si="1"/>
        <v>5.62957402889848E-4</v>
      </c>
      <c r="S7">
        <f t="shared" si="2"/>
        <v>5.6295740288984798E-2</v>
      </c>
    </row>
    <row r="8" spans="1:19" x14ac:dyDescent="0.25">
      <c r="A8" s="6" t="s">
        <v>9</v>
      </c>
      <c r="B8">
        <v>4</v>
      </c>
      <c r="C8">
        <v>0</v>
      </c>
      <c r="D8">
        <v>5</v>
      </c>
      <c r="E8">
        <v>43</v>
      </c>
      <c r="F8">
        <v>4</v>
      </c>
      <c r="G8">
        <v>0</v>
      </c>
      <c r="H8" s="27">
        <v>5</v>
      </c>
      <c r="I8">
        <v>5</v>
      </c>
      <c r="J8" s="27">
        <v>7</v>
      </c>
      <c r="K8" s="27">
        <v>4</v>
      </c>
      <c r="L8" s="27">
        <v>10</v>
      </c>
      <c r="M8" s="27">
        <v>8</v>
      </c>
      <c r="N8">
        <v>7</v>
      </c>
      <c r="O8" s="27">
        <v>12</v>
      </c>
      <c r="P8">
        <v>30</v>
      </c>
      <c r="Q8">
        <f t="shared" si="0"/>
        <v>144</v>
      </c>
      <c r="R8">
        <f t="shared" si="1"/>
        <v>1.3510977669356352E-2</v>
      </c>
      <c r="S8">
        <f t="shared" si="2"/>
        <v>1.3510977669356352</v>
      </c>
    </row>
    <row r="9" spans="1:19" x14ac:dyDescent="0.25">
      <c r="A9" s="6" t="s">
        <v>11</v>
      </c>
      <c r="B9">
        <v>9</v>
      </c>
      <c r="C9">
        <v>0</v>
      </c>
      <c r="D9">
        <v>2</v>
      </c>
      <c r="E9">
        <v>7</v>
      </c>
      <c r="F9">
        <v>3</v>
      </c>
      <c r="G9">
        <v>0</v>
      </c>
      <c r="H9" s="27">
        <v>1</v>
      </c>
      <c r="I9">
        <v>3</v>
      </c>
      <c r="J9" s="27">
        <v>2</v>
      </c>
      <c r="K9" s="27">
        <v>8</v>
      </c>
      <c r="L9" s="27">
        <v>1</v>
      </c>
      <c r="M9" s="27">
        <v>2</v>
      </c>
      <c r="N9">
        <v>1</v>
      </c>
      <c r="O9" s="27">
        <v>4</v>
      </c>
      <c r="P9">
        <v>10</v>
      </c>
      <c r="Q9">
        <f t="shared" si="0"/>
        <v>53</v>
      </c>
      <c r="R9">
        <f t="shared" si="1"/>
        <v>4.9727903921936573E-3</v>
      </c>
      <c r="S9">
        <f t="shared" si="2"/>
        <v>0.49727903921936573</v>
      </c>
    </row>
    <row r="10" spans="1:19" x14ac:dyDescent="0.25">
      <c r="A10" s="6" t="s">
        <v>160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 s="27">
        <v>1</v>
      </c>
      <c r="I10">
        <v>0</v>
      </c>
      <c r="J10" s="27">
        <v>0</v>
      </c>
      <c r="K10" s="27">
        <v>0</v>
      </c>
      <c r="L10" s="27">
        <v>0</v>
      </c>
      <c r="M10" s="27">
        <v>0</v>
      </c>
      <c r="N10">
        <v>0</v>
      </c>
      <c r="O10" s="27">
        <v>0</v>
      </c>
      <c r="P10">
        <v>0</v>
      </c>
      <c r="Q10">
        <f t="shared" si="0"/>
        <v>1</v>
      </c>
      <c r="R10">
        <f t="shared" si="1"/>
        <v>9.3826233814974671E-5</v>
      </c>
      <c r="S10">
        <f t="shared" si="2"/>
        <v>9.382623381497467E-3</v>
      </c>
    </row>
    <row r="11" spans="1:19" x14ac:dyDescent="0.25">
      <c r="A11" s="6" t="s">
        <v>59</v>
      </c>
      <c r="B11">
        <v>2</v>
      </c>
      <c r="C11">
        <v>0</v>
      </c>
      <c r="D11">
        <v>0</v>
      </c>
      <c r="E11">
        <v>2</v>
      </c>
      <c r="F11">
        <v>1</v>
      </c>
      <c r="G11">
        <v>0</v>
      </c>
      <c r="H11" s="27">
        <v>1</v>
      </c>
      <c r="I11">
        <v>0</v>
      </c>
      <c r="J11" s="27">
        <v>1</v>
      </c>
      <c r="K11" s="27">
        <v>0</v>
      </c>
      <c r="L11" s="27">
        <v>1</v>
      </c>
      <c r="M11" s="27">
        <v>0</v>
      </c>
      <c r="N11">
        <v>1</v>
      </c>
      <c r="O11" s="27">
        <v>0</v>
      </c>
      <c r="P11">
        <v>0</v>
      </c>
      <c r="Q11">
        <f t="shared" si="0"/>
        <v>9</v>
      </c>
      <c r="R11">
        <f t="shared" si="1"/>
        <v>8.44436104334772E-4</v>
      </c>
      <c r="S11">
        <f t="shared" si="2"/>
        <v>8.4443610433477201E-2</v>
      </c>
    </row>
    <row r="12" spans="1:19" x14ac:dyDescent="0.25">
      <c r="A12" s="6" t="s">
        <v>16</v>
      </c>
      <c r="B12">
        <v>7</v>
      </c>
      <c r="C12">
        <v>0</v>
      </c>
      <c r="D12">
        <v>0</v>
      </c>
      <c r="E12">
        <v>3</v>
      </c>
      <c r="F12">
        <v>1</v>
      </c>
      <c r="G12">
        <v>0</v>
      </c>
      <c r="H12" s="27">
        <v>0</v>
      </c>
      <c r="I12">
        <v>0</v>
      </c>
      <c r="J12" s="27">
        <v>0</v>
      </c>
      <c r="K12" s="27">
        <v>1</v>
      </c>
      <c r="L12" s="27">
        <v>0</v>
      </c>
      <c r="M12" s="27">
        <v>1</v>
      </c>
      <c r="N12">
        <v>0</v>
      </c>
      <c r="O12" s="27">
        <v>0</v>
      </c>
      <c r="P12">
        <v>3</v>
      </c>
      <c r="Q12">
        <f t="shared" si="0"/>
        <v>16</v>
      </c>
      <c r="R12">
        <f t="shared" si="1"/>
        <v>1.5012197410395947E-3</v>
      </c>
      <c r="S12">
        <f t="shared" si="2"/>
        <v>0.15012197410395947</v>
      </c>
    </row>
    <row r="13" spans="1:19" x14ac:dyDescent="0.25">
      <c r="A13" s="6" t="s">
        <v>18</v>
      </c>
      <c r="B13">
        <v>7</v>
      </c>
      <c r="C13">
        <v>0</v>
      </c>
      <c r="D13">
        <v>0</v>
      </c>
      <c r="E13">
        <v>16</v>
      </c>
      <c r="F13">
        <v>0</v>
      </c>
      <c r="G13">
        <v>0</v>
      </c>
      <c r="H13" s="27">
        <v>5</v>
      </c>
      <c r="I13">
        <v>4</v>
      </c>
      <c r="J13" s="27">
        <v>1</v>
      </c>
      <c r="K13" s="27">
        <v>0</v>
      </c>
      <c r="L13" s="27">
        <v>1</v>
      </c>
      <c r="M13" s="27">
        <v>1</v>
      </c>
      <c r="N13">
        <v>1</v>
      </c>
      <c r="O13" s="27">
        <v>4</v>
      </c>
      <c r="P13">
        <v>9</v>
      </c>
      <c r="Q13">
        <f t="shared" si="0"/>
        <v>49</v>
      </c>
      <c r="R13">
        <f t="shared" si="1"/>
        <v>4.5974854569337583E-3</v>
      </c>
      <c r="S13">
        <f t="shared" si="2"/>
        <v>0.45974854569337581</v>
      </c>
    </row>
    <row r="14" spans="1:19" x14ac:dyDescent="0.25">
      <c r="A14" s="6" t="s">
        <v>19</v>
      </c>
      <c r="B14">
        <v>20</v>
      </c>
      <c r="C14">
        <v>6</v>
      </c>
      <c r="D14">
        <v>55</v>
      </c>
      <c r="E14">
        <v>200</v>
      </c>
      <c r="F14">
        <v>63</v>
      </c>
      <c r="G14">
        <v>26</v>
      </c>
      <c r="H14" s="27">
        <v>146</v>
      </c>
      <c r="I14">
        <v>99</v>
      </c>
      <c r="J14" s="27">
        <v>74</v>
      </c>
      <c r="K14" s="27">
        <v>118</v>
      </c>
      <c r="L14" s="27">
        <v>110</v>
      </c>
      <c r="M14" s="27">
        <v>96</v>
      </c>
      <c r="N14">
        <v>88</v>
      </c>
      <c r="O14" s="27">
        <v>155</v>
      </c>
      <c r="P14">
        <v>114</v>
      </c>
      <c r="Q14">
        <f t="shared" si="0"/>
        <v>1370</v>
      </c>
      <c r="R14">
        <f t="shared" si="1"/>
        <v>0.12854194032651528</v>
      </c>
      <c r="S14" s="14">
        <f t="shared" si="2"/>
        <v>12.854194032651527</v>
      </c>
    </row>
    <row r="15" spans="1:19" x14ac:dyDescent="0.25">
      <c r="A15" s="6" t="s">
        <v>167</v>
      </c>
      <c r="B15">
        <v>0</v>
      </c>
      <c r="C15">
        <v>0</v>
      </c>
      <c r="D15">
        <v>2</v>
      </c>
      <c r="E15">
        <v>4</v>
      </c>
      <c r="F15">
        <v>2</v>
      </c>
      <c r="G15">
        <v>0</v>
      </c>
      <c r="H15" s="27">
        <v>3</v>
      </c>
      <c r="I15">
        <v>3</v>
      </c>
      <c r="J15" s="27">
        <v>1</v>
      </c>
      <c r="K15" s="27">
        <v>5</v>
      </c>
      <c r="L15" s="27">
        <v>2</v>
      </c>
      <c r="M15" s="27">
        <v>1</v>
      </c>
      <c r="N15">
        <v>3</v>
      </c>
      <c r="O15" s="27">
        <v>5</v>
      </c>
      <c r="P15">
        <v>1</v>
      </c>
      <c r="Q15">
        <f t="shared" si="0"/>
        <v>32</v>
      </c>
      <c r="R15">
        <f t="shared" si="1"/>
        <v>3.0024394820791895E-3</v>
      </c>
      <c r="S15">
        <f t="shared" si="2"/>
        <v>0.30024394820791894</v>
      </c>
    </row>
    <row r="16" spans="1:19" x14ac:dyDescent="0.25">
      <c r="A16" s="6" t="s">
        <v>21</v>
      </c>
      <c r="B16">
        <v>0</v>
      </c>
      <c r="C16">
        <v>0</v>
      </c>
      <c r="D16">
        <v>5</v>
      </c>
      <c r="E16">
        <v>9</v>
      </c>
      <c r="F16">
        <v>0</v>
      </c>
      <c r="G16">
        <v>1</v>
      </c>
      <c r="H16" s="27">
        <v>2</v>
      </c>
      <c r="I16">
        <v>8</v>
      </c>
      <c r="J16" s="27">
        <v>3</v>
      </c>
      <c r="K16" s="27">
        <v>2</v>
      </c>
      <c r="L16" s="27">
        <v>3</v>
      </c>
      <c r="M16" s="27">
        <v>8</v>
      </c>
      <c r="N16">
        <v>1</v>
      </c>
      <c r="O16" s="27">
        <v>2</v>
      </c>
      <c r="P16">
        <v>4</v>
      </c>
      <c r="Q16">
        <f t="shared" si="0"/>
        <v>48</v>
      </c>
      <c r="R16">
        <f t="shared" si="1"/>
        <v>4.503659223118784E-3</v>
      </c>
      <c r="S16">
        <f t="shared" si="2"/>
        <v>0.45036592231187839</v>
      </c>
    </row>
    <row r="17" spans="1:19" x14ac:dyDescent="0.25">
      <c r="A17" s="6" t="s">
        <v>22</v>
      </c>
      <c r="B17">
        <v>7</v>
      </c>
      <c r="C17">
        <v>0</v>
      </c>
      <c r="D17">
        <v>3</v>
      </c>
      <c r="E17">
        <v>9</v>
      </c>
      <c r="F17">
        <v>0</v>
      </c>
      <c r="G17">
        <v>0</v>
      </c>
      <c r="H17" s="27">
        <v>1</v>
      </c>
      <c r="I17">
        <v>0</v>
      </c>
      <c r="J17" s="27">
        <v>0</v>
      </c>
      <c r="K17" s="27">
        <v>2</v>
      </c>
      <c r="L17" s="27">
        <v>16</v>
      </c>
      <c r="M17" s="27">
        <v>8</v>
      </c>
      <c r="N17">
        <v>0</v>
      </c>
      <c r="O17" s="27">
        <v>7</v>
      </c>
      <c r="P17">
        <v>11</v>
      </c>
      <c r="Q17">
        <f t="shared" si="0"/>
        <v>64</v>
      </c>
      <c r="R17">
        <f t="shared" si="1"/>
        <v>6.004878964158379E-3</v>
      </c>
      <c r="S17">
        <f t="shared" si="2"/>
        <v>0.60048789641583789</v>
      </c>
    </row>
    <row r="18" spans="1:19" x14ac:dyDescent="0.25">
      <c r="A18" s="6" t="s">
        <v>23</v>
      </c>
      <c r="B18">
        <v>1</v>
      </c>
      <c r="C18">
        <v>0</v>
      </c>
      <c r="D18">
        <v>1</v>
      </c>
      <c r="E18">
        <v>8</v>
      </c>
      <c r="F18">
        <v>1</v>
      </c>
      <c r="G18">
        <v>0</v>
      </c>
      <c r="H18" s="27">
        <v>2</v>
      </c>
      <c r="I18">
        <v>1</v>
      </c>
      <c r="J18" s="27">
        <v>1</v>
      </c>
      <c r="K18" s="27">
        <v>1</v>
      </c>
      <c r="L18" s="27">
        <v>3</v>
      </c>
      <c r="M18" s="27">
        <v>2</v>
      </c>
      <c r="N18">
        <v>0</v>
      </c>
      <c r="O18" s="27">
        <v>8</v>
      </c>
      <c r="P18">
        <v>0</v>
      </c>
      <c r="Q18">
        <f t="shared" si="0"/>
        <v>29</v>
      </c>
      <c r="R18">
        <f t="shared" si="1"/>
        <v>2.7209607806342653E-3</v>
      </c>
      <c r="S18">
        <f t="shared" si="2"/>
        <v>0.27209607806342651</v>
      </c>
    </row>
    <row r="19" spans="1:19" x14ac:dyDescent="0.25">
      <c r="A19" s="6" t="s">
        <v>24</v>
      </c>
      <c r="B19">
        <v>13</v>
      </c>
      <c r="C19">
        <v>2</v>
      </c>
      <c r="D19">
        <v>12</v>
      </c>
      <c r="E19">
        <v>55</v>
      </c>
      <c r="F19">
        <v>2</v>
      </c>
      <c r="G19">
        <v>0</v>
      </c>
      <c r="H19" s="27">
        <v>5</v>
      </c>
      <c r="I19">
        <v>2</v>
      </c>
      <c r="J19" s="27">
        <v>3</v>
      </c>
      <c r="K19" s="27">
        <v>0</v>
      </c>
      <c r="L19" s="27">
        <v>6</v>
      </c>
      <c r="M19" s="27">
        <v>8</v>
      </c>
      <c r="N19">
        <v>1</v>
      </c>
      <c r="O19" s="27">
        <v>8</v>
      </c>
      <c r="P19">
        <v>2</v>
      </c>
      <c r="Q19">
        <f t="shared" si="0"/>
        <v>119</v>
      </c>
      <c r="R19">
        <f t="shared" si="1"/>
        <v>1.1165321823981986E-2</v>
      </c>
      <c r="S19">
        <f t="shared" si="2"/>
        <v>1.1165321823981986</v>
      </c>
    </row>
    <row r="20" spans="1:19" x14ac:dyDescent="0.25">
      <c r="A20" s="6" t="s">
        <v>25</v>
      </c>
      <c r="B20">
        <v>5</v>
      </c>
      <c r="C20">
        <v>0</v>
      </c>
      <c r="D20">
        <v>6</v>
      </c>
      <c r="E20">
        <v>27</v>
      </c>
      <c r="F20">
        <v>2</v>
      </c>
      <c r="G20">
        <v>0</v>
      </c>
      <c r="H20" s="27">
        <v>7</v>
      </c>
      <c r="I20">
        <v>7</v>
      </c>
      <c r="J20" s="27">
        <v>11</v>
      </c>
      <c r="K20" s="27">
        <v>11</v>
      </c>
      <c r="L20" s="27">
        <v>1</v>
      </c>
      <c r="M20" s="27">
        <v>10</v>
      </c>
      <c r="N20">
        <v>3</v>
      </c>
      <c r="O20" s="27">
        <v>1</v>
      </c>
      <c r="P20">
        <v>0</v>
      </c>
      <c r="Q20">
        <f t="shared" si="0"/>
        <v>91</v>
      </c>
      <c r="R20">
        <f t="shared" si="1"/>
        <v>8.5381872771626947E-3</v>
      </c>
      <c r="S20">
        <f t="shared" si="2"/>
        <v>0.85381872771626943</v>
      </c>
    </row>
    <row r="21" spans="1:19" x14ac:dyDescent="0.25">
      <c r="A21" s="6" t="s">
        <v>26</v>
      </c>
      <c r="B21">
        <v>1</v>
      </c>
      <c r="C21">
        <v>0</v>
      </c>
      <c r="D21">
        <v>0</v>
      </c>
      <c r="E21">
        <v>5</v>
      </c>
      <c r="F21">
        <v>1</v>
      </c>
      <c r="G21">
        <v>0</v>
      </c>
      <c r="H21" s="27">
        <v>0</v>
      </c>
      <c r="I21">
        <v>1</v>
      </c>
      <c r="J21" s="27">
        <v>1</v>
      </c>
      <c r="K21" s="27">
        <v>1</v>
      </c>
      <c r="L21" s="27">
        <v>0</v>
      </c>
      <c r="M21" s="27">
        <v>2</v>
      </c>
      <c r="N21">
        <v>3</v>
      </c>
      <c r="O21" s="27">
        <v>3</v>
      </c>
      <c r="P21">
        <v>3</v>
      </c>
      <c r="Q21">
        <f t="shared" si="0"/>
        <v>21</v>
      </c>
      <c r="R21">
        <f t="shared" si="1"/>
        <v>1.9703509101144682E-3</v>
      </c>
      <c r="S21">
        <f t="shared" si="2"/>
        <v>0.19703509101144681</v>
      </c>
    </row>
    <row r="22" spans="1:19" x14ac:dyDescent="0.25">
      <c r="A22" s="6" t="s">
        <v>27</v>
      </c>
      <c r="B22">
        <v>0</v>
      </c>
      <c r="C22">
        <v>0</v>
      </c>
      <c r="D22">
        <v>1</v>
      </c>
      <c r="E22">
        <v>3</v>
      </c>
      <c r="F22">
        <v>0</v>
      </c>
      <c r="G22">
        <v>0</v>
      </c>
      <c r="H22" s="27">
        <v>0</v>
      </c>
      <c r="I22">
        <v>0</v>
      </c>
      <c r="J22" s="27">
        <v>0</v>
      </c>
      <c r="K22" s="27">
        <v>0</v>
      </c>
      <c r="L22" s="27">
        <v>0</v>
      </c>
      <c r="M22" s="27">
        <v>1</v>
      </c>
      <c r="N22">
        <v>0</v>
      </c>
      <c r="O22" s="27">
        <v>0</v>
      </c>
      <c r="P22">
        <v>3</v>
      </c>
      <c r="Q22">
        <f t="shared" si="0"/>
        <v>8</v>
      </c>
      <c r="R22">
        <f t="shared" si="1"/>
        <v>7.5060987051979737E-4</v>
      </c>
      <c r="S22">
        <f t="shared" si="2"/>
        <v>7.5060987051979736E-2</v>
      </c>
    </row>
    <row r="23" spans="1:19" x14ac:dyDescent="0.25">
      <c r="A23" s="6" t="s">
        <v>46</v>
      </c>
      <c r="B23">
        <v>11</v>
      </c>
      <c r="C23">
        <v>1</v>
      </c>
      <c r="D23">
        <v>0</v>
      </c>
      <c r="E23">
        <v>8</v>
      </c>
      <c r="F23">
        <v>2</v>
      </c>
      <c r="G23">
        <v>3</v>
      </c>
      <c r="H23" s="27">
        <v>1</v>
      </c>
      <c r="I23">
        <v>1</v>
      </c>
      <c r="J23" s="27">
        <v>4</v>
      </c>
      <c r="K23" s="27">
        <v>1</v>
      </c>
      <c r="L23" s="27">
        <v>4</v>
      </c>
      <c r="M23" s="27">
        <v>4</v>
      </c>
      <c r="N23">
        <v>0</v>
      </c>
      <c r="O23" s="27">
        <v>4</v>
      </c>
      <c r="P23">
        <v>5</v>
      </c>
      <c r="Q23">
        <f t="shared" si="0"/>
        <v>49</v>
      </c>
      <c r="R23">
        <f t="shared" si="1"/>
        <v>4.5974854569337583E-3</v>
      </c>
      <c r="S23">
        <f t="shared" si="2"/>
        <v>0.45974854569337581</v>
      </c>
    </row>
    <row r="24" spans="1:19" x14ac:dyDescent="0.25">
      <c r="A24" s="6" t="s">
        <v>30</v>
      </c>
      <c r="B24">
        <v>2</v>
      </c>
      <c r="C24">
        <v>1</v>
      </c>
      <c r="D24">
        <v>3</v>
      </c>
      <c r="E24">
        <v>5</v>
      </c>
      <c r="F24">
        <v>0</v>
      </c>
      <c r="G24">
        <v>0</v>
      </c>
      <c r="H24" s="27">
        <v>1</v>
      </c>
      <c r="I24">
        <v>0</v>
      </c>
      <c r="J24" s="27">
        <v>2</v>
      </c>
      <c r="K24" s="27">
        <v>1</v>
      </c>
      <c r="L24" s="27">
        <v>3</v>
      </c>
      <c r="M24" s="27">
        <v>2</v>
      </c>
      <c r="N24">
        <v>0</v>
      </c>
      <c r="O24" s="27">
        <v>0</v>
      </c>
      <c r="P24">
        <v>0</v>
      </c>
      <c r="Q24">
        <f t="shared" si="0"/>
        <v>20</v>
      </c>
      <c r="R24">
        <f t="shared" si="1"/>
        <v>1.8765246762994933E-3</v>
      </c>
      <c r="S24">
        <f t="shared" si="2"/>
        <v>0.18765246762994933</v>
      </c>
    </row>
    <row r="25" spans="1:19" x14ac:dyDescent="0.25">
      <c r="A25" s="6" t="s">
        <v>32</v>
      </c>
      <c r="B25">
        <v>314</v>
      </c>
      <c r="C25">
        <v>44</v>
      </c>
      <c r="D25">
        <v>179</v>
      </c>
      <c r="E25">
        <v>931</v>
      </c>
      <c r="F25">
        <v>162</v>
      </c>
      <c r="G25">
        <v>110</v>
      </c>
      <c r="H25" s="27">
        <v>375</v>
      </c>
      <c r="I25">
        <v>367</v>
      </c>
      <c r="J25" s="27">
        <v>364</v>
      </c>
      <c r="K25" s="27">
        <v>257</v>
      </c>
      <c r="L25" s="27">
        <v>452</v>
      </c>
      <c r="M25" s="27">
        <v>506</v>
      </c>
      <c r="N25">
        <v>276</v>
      </c>
      <c r="O25" s="27">
        <v>465</v>
      </c>
      <c r="P25">
        <v>484</v>
      </c>
      <c r="Q25">
        <f t="shared" si="0"/>
        <v>5286</v>
      </c>
      <c r="R25">
        <f t="shared" si="1"/>
        <v>0.49596547194595608</v>
      </c>
      <c r="S25" s="14">
        <f t="shared" si="2"/>
        <v>49.596547194595608</v>
      </c>
    </row>
    <row r="26" spans="1:19" x14ac:dyDescent="0.25">
      <c r="A26" s="6" t="s">
        <v>33</v>
      </c>
      <c r="B26">
        <v>10</v>
      </c>
      <c r="C26">
        <v>1</v>
      </c>
      <c r="D26">
        <v>5</v>
      </c>
      <c r="E26">
        <v>14</v>
      </c>
      <c r="F26">
        <v>2</v>
      </c>
      <c r="G26">
        <v>1</v>
      </c>
      <c r="H26" s="27">
        <v>14</v>
      </c>
      <c r="I26">
        <v>8</v>
      </c>
      <c r="J26" s="27">
        <v>13</v>
      </c>
      <c r="K26" s="27">
        <v>4</v>
      </c>
      <c r="L26" s="27">
        <v>2</v>
      </c>
      <c r="M26" s="27">
        <v>5</v>
      </c>
      <c r="N26">
        <v>4</v>
      </c>
      <c r="O26" s="27">
        <v>7</v>
      </c>
      <c r="P26">
        <v>31</v>
      </c>
      <c r="Q26">
        <f t="shared" si="0"/>
        <v>121</v>
      </c>
      <c r="R26">
        <f t="shared" si="1"/>
        <v>1.1352974291611934E-2</v>
      </c>
      <c r="S26">
        <f t="shared" si="2"/>
        <v>1.1352974291611935</v>
      </c>
    </row>
    <row r="27" spans="1:19" x14ac:dyDescent="0.25">
      <c r="A27" s="6" t="s">
        <v>36</v>
      </c>
      <c r="B27">
        <v>1</v>
      </c>
      <c r="C27">
        <v>0</v>
      </c>
      <c r="D27">
        <v>0</v>
      </c>
      <c r="E27">
        <v>1</v>
      </c>
      <c r="F27">
        <v>0</v>
      </c>
      <c r="G27">
        <v>0</v>
      </c>
      <c r="H27" s="27">
        <v>0</v>
      </c>
      <c r="I27">
        <v>0</v>
      </c>
      <c r="J27" s="27">
        <v>0</v>
      </c>
      <c r="K27" s="27">
        <v>1</v>
      </c>
      <c r="L27" s="27">
        <v>0</v>
      </c>
      <c r="M27" s="27">
        <v>0</v>
      </c>
      <c r="N27">
        <v>1</v>
      </c>
      <c r="O27" s="27">
        <v>0</v>
      </c>
      <c r="P27">
        <v>0</v>
      </c>
      <c r="Q27">
        <f t="shared" si="0"/>
        <v>4</v>
      </c>
      <c r="R27">
        <f t="shared" si="1"/>
        <v>3.7530493525989868E-4</v>
      </c>
      <c r="S27">
        <f t="shared" si="2"/>
        <v>3.7530493525989868E-2</v>
      </c>
    </row>
    <row r="28" spans="1:19" x14ac:dyDescent="0.25">
      <c r="A28" s="6" t="s">
        <v>37</v>
      </c>
      <c r="B28">
        <v>87</v>
      </c>
      <c r="C28">
        <v>3</v>
      </c>
      <c r="D28">
        <v>40</v>
      </c>
      <c r="E28">
        <v>287</v>
      </c>
      <c r="F28">
        <v>46</v>
      </c>
      <c r="G28">
        <v>13</v>
      </c>
      <c r="H28" s="27">
        <v>62</v>
      </c>
      <c r="I28">
        <v>53</v>
      </c>
      <c r="J28" s="27">
        <v>56</v>
      </c>
      <c r="K28" s="27">
        <v>85</v>
      </c>
      <c r="L28" s="27">
        <v>66</v>
      </c>
      <c r="M28" s="27">
        <v>70</v>
      </c>
      <c r="N28">
        <v>32</v>
      </c>
      <c r="O28" s="27">
        <v>77</v>
      </c>
      <c r="P28">
        <v>169</v>
      </c>
      <c r="Q28">
        <f t="shared" si="0"/>
        <v>1146</v>
      </c>
      <c r="R28">
        <f t="shared" si="1"/>
        <v>0.10752486395196097</v>
      </c>
      <c r="S28" s="14">
        <f t="shared" si="2"/>
        <v>10.752486395196097</v>
      </c>
    </row>
    <row r="29" spans="1:19" x14ac:dyDescent="0.25">
      <c r="Q29" s="12">
        <f>SUM(Q3:Q28)</f>
        <v>10658</v>
      </c>
      <c r="R29" s="12">
        <f>SUM(R3:R28)</f>
        <v>1</v>
      </c>
      <c r="S29">
        <f>SUM(S3:S28)</f>
        <v>99.999999999999986</v>
      </c>
    </row>
    <row r="31" spans="1:19" x14ac:dyDescent="0.25">
      <c r="A31" s="13" t="s">
        <v>380</v>
      </c>
      <c r="B31">
        <f t="shared" ref="B31:P31" si="3">SUM(B3:B28)</f>
        <v>563</v>
      </c>
      <c r="C31">
        <f t="shared" si="3"/>
        <v>69</v>
      </c>
      <c r="D31">
        <f t="shared" si="3"/>
        <v>394</v>
      </c>
      <c r="E31">
        <f t="shared" si="3"/>
        <v>1937</v>
      </c>
      <c r="F31">
        <f t="shared" si="3"/>
        <v>360</v>
      </c>
      <c r="G31">
        <f t="shared" si="3"/>
        <v>167</v>
      </c>
      <c r="H31" s="27">
        <f t="shared" si="3"/>
        <v>741</v>
      </c>
      <c r="I31">
        <f t="shared" si="3"/>
        <v>657</v>
      </c>
      <c r="J31" s="27">
        <f t="shared" si="3"/>
        <v>676</v>
      </c>
      <c r="K31" s="27">
        <f t="shared" si="3"/>
        <v>619</v>
      </c>
      <c r="L31" s="27">
        <f t="shared" si="3"/>
        <v>919</v>
      </c>
      <c r="M31" s="27">
        <f t="shared" si="3"/>
        <v>883</v>
      </c>
      <c r="N31">
        <f t="shared" si="3"/>
        <v>544</v>
      </c>
      <c r="O31" s="27">
        <f t="shared" si="3"/>
        <v>1068</v>
      </c>
      <c r="P31">
        <f t="shared" si="3"/>
        <v>1061</v>
      </c>
      <c r="Q31">
        <f>SUM(B31:P31)</f>
        <v>10658</v>
      </c>
    </row>
    <row r="32" spans="1:19" x14ac:dyDescent="0.25">
      <c r="A32" s="13" t="s">
        <v>381</v>
      </c>
      <c r="B32">
        <v>2300</v>
      </c>
      <c r="C32">
        <v>720</v>
      </c>
      <c r="D32">
        <v>1625</v>
      </c>
      <c r="E32">
        <v>12280</v>
      </c>
      <c r="F32">
        <v>1500</v>
      </c>
      <c r="G32">
        <v>720</v>
      </c>
      <c r="H32" s="27">
        <v>2700</v>
      </c>
      <c r="I32">
        <v>1560</v>
      </c>
      <c r="J32" s="27">
        <v>14400</v>
      </c>
      <c r="K32" s="27">
        <v>2600</v>
      </c>
      <c r="L32" s="27">
        <v>14800</v>
      </c>
      <c r="M32" s="27">
        <v>9760</v>
      </c>
      <c r="N32">
        <v>2340</v>
      </c>
      <c r="O32" s="27">
        <v>12130</v>
      </c>
      <c r="P32">
        <v>15525</v>
      </c>
    </row>
    <row r="33" spans="1:1" x14ac:dyDescent="0.25">
      <c r="A33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8"/>
  <sheetViews>
    <sheetView workbookViewId="0">
      <selection activeCell="N30" sqref="N30"/>
    </sheetView>
  </sheetViews>
  <sheetFormatPr defaultRowHeight="15" x14ac:dyDescent="0.25"/>
  <sheetData>
    <row r="1" spans="1:12" x14ac:dyDescent="0.25">
      <c r="A1" t="s">
        <v>630</v>
      </c>
      <c r="F1" t="s">
        <v>631</v>
      </c>
      <c r="L1" t="s">
        <v>632</v>
      </c>
    </row>
    <row r="2" spans="1:12" x14ac:dyDescent="0.25">
      <c r="A2">
        <v>57</v>
      </c>
      <c r="F2">
        <v>100.4</v>
      </c>
      <c r="L2">
        <v>53.2</v>
      </c>
    </row>
    <row r="3" spans="1:12" x14ac:dyDescent="0.25">
      <c r="A3">
        <v>57.2</v>
      </c>
      <c r="F3">
        <v>95.5</v>
      </c>
      <c r="L3">
        <v>55.5</v>
      </c>
    </row>
    <row r="4" spans="1:12" x14ac:dyDescent="0.25">
      <c r="A4">
        <v>63.3</v>
      </c>
      <c r="F4">
        <v>70.5</v>
      </c>
      <c r="L4">
        <v>46.3</v>
      </c>
    </row>
    <row r="5" spans="1:12" x14ac:dyDescent="0.25">
      <c r="A5">
        <v>44</v>
      </c>
      <c r="F5">
        <v>81.3</v>
      </c>
      <c r="L5">
        <v>54.8</v>
      </c>
    </row>
    <row r="6" spans="1:12" x14ac:dyDescent="0.25">
      <c r="A6">
        <v>50.5</v>
      </c>
      <c r="F6">
        <v>82</v>
      </c>
      <c r="L6">
        <v>51</v>
      </c>
    </row>
    <row r="7" spans="1:12" x14ac:dyDescent="0.25">
      <c r="F7">
        <v>86.5</v>
      </c>
      <c r="L7">
        <v>58</v>
      </c>
    </row>
    <row r="8" spans="1:12" x14ac:dyDescent="0.25">
      <c r="F8">
        <v>96.8</v>
      </c>
      <c r="L8">
        <v>49.4</v>
      </c>
    </row>
    <row r="9" spans="1:12" x14ac:dyDescent="0.25">
      <c r="A9" t="s">
        <v>633</v>
      </c>
      <c r="B9">
        <f>AVERAGE(A2:A6)</f>
        <v>54.4</v>
      </c>
      <c r="F9">
        <v>90</v>
      </c>
      <c r="L9">
        <v>48.9</v>
      </c>
    </row>
    <row r="10" spans="1:12" x14ac:dyDescent="0.25">
      <c r="A10" t="s">
        <v>634</v>
      </c>
      <c r="B10">
        <f>MIN(A2:A6)</f>
        <v>44</v>
      </c>
      <c r="F10">
        <v>88</v>
      </c>
      <c r="L10">
        <v>64.3</v>
      </c>
    </row>
    <row r="11" spans="1:12" x14ac:dyDescent="0.25">
      <c r="A11" t="s">
        <v>635</v>
      </c>
      <c r="B11">
        <f>MAX(A2:A6)</f>
        <v>63.3</v>
      </c>
      <c r="F11">
        <v>99.7</v>
      </c>
      <c r="L11">
        <v>66.2</v>
      </c>
    </row>
    <row r="12" spans="1:12" x14ac:dyDescent="0.25">
      <c r="A12" t="s">
        <v>636</v>
      </c>
      <c r="B12">
        <f>STDEV(A2:A6)</f>
        <v>7.3685140971569076</v>
      </c>
      <c r="F12">
        <v>99.2</v>
      </c>
      <c r="L12">
        <v>52</v>
      </c>
    </row>
    <row r="13" spans="1:12" x14ac:dyDescent="0.25">
      <c r="F13">
        <v>92.7</v>
      </c>
      <c r="L13">
        <v>64.5</v>
      </c>
    </row>
    <row r="14" spans="1:12" x14ac:dyDescent="0.25">
      <c r="F14">
        <v>58.4</v>
      </c>
      <c r="L14">
        <v>70.400000000000006</v>
      </c>
    </row>
    <row r="15" spans="1:12" x14ac:dyDescent="0.25">
      <c r="F15">
        <v>85</v>
      </c>
      <c r="L15">
        <v>59</v>
      </c>
    </row>
    <row r="16" spans="1:12" x14ac:dyDescent="0.25">
      <c r="F16">
        <v>81.099999999999994</v>
      </c>
      <c r="L16">
        <v>59.5</v>
      </c>
    </row>
    <row r="17" spans="6:14" x14ac:dyDescent="0.25">
      <c r="F17">
        <v>75.099999999999994</v>
      </c>
      <c r="L17">
        <v>63.8</v>
      </c>
    </row>
    <row r="18" spans="6:14" x14ac:dyDescent="0.25">
      <c r="F18">
        <v>93.2</v>
      </c>
      <c r="L18">
        <v>55.7</v>
      </c>
    </row>
    <row r="19" spans="6:14" x14ac:dyDescent="0.25">
      <c r="F19">
        <v>100</v>
      </c>
      <c r="L19">
        <v>49.1</v>
      </c>
    </row>
    <row r="20" spans="6:14" x14ac:dyDescent="0.25">
      <c r="F20">
        <v>88.3</v>
      </c>
      <c r="L20">
        <v>63</v>
      </c>
    </row>
    <row r="21" spans="6:14" x14ac:dyDescent="0.25">
      <c r="F21">
        <v>86.3</v>
      </c>
      <c r="L21">
        <v>64.7</v>
      </c>
    </row>
    <row r="22" spans="6:14" x14ac:dyDescent="0.25">
      <c r="F22">
        <v>82.1</v>
      </c>
      <c r="L22">
        <v>69</v>
      </c>
    </row>
    <row r="23" spans="6:14" x14ac:dyDescent="0.25">
      <c r="F23">
        <v>87.3</v>
      </c>
      <c r="L23">
        <v>52.5</v>
      </c>
    </row>
    <row r="24" spans="6:14" x14ac:dyDescent="0.25">
      <c r="F24">
        <v>89.7</v>
      </c>
      <c r="L24">
        <v>57</v>
      </c>
    </row>
    <row r="25" spans="6:14" x14ac:dyDescent="0.25">
      <c r="F25">
        <v>87.6</v>
      </c>
      <c r="L25">
        <v>58.5</v>
      </c>
    </row>
    <row r="26" spans="6:14" x14ac:dyDescent="0.25">
      <c r="F26">
        <v>93.1</v>
      </c>
      <c r="M26" t="s">
        <v>633</v>
      </c>
      <c r="N26">
        <f>AVERAGE(L2:L25)</f>
        <v>57.762499999999996</v>
      </c>
    </row>
    <row r="27" spans="6:14" x14ac:dyDescent="0.25">
      <c r="F27">
        <v>86.5</v>
      </c>
      <c r="M27" t="s">
        <v>634</v>
      </c>
      <c r="N27">
        <f>MIN(L2:L25)</f>
        <v>46.3</v>
      </c>
    </row>
    <row r="28" spans="6:14" x14ac:dyDescent="0.25">
      <c r="F28">
        <v>98.3</v>
      </c>
      <c r="M28" t="s">
        <v>635</v>
      </c>
      <c r="N28">
        <f>MAX(L2:L25)</f>
        <v>70.400000000000006</v>
      </c>
    </row>
    <row r="29" spans="6:14" x14ac:dyDescent="0.25">
      <c r="F29">
        <v>96.2</v>
      </c>
      <c r="M29" t="s">
        <v>636</v>
      </c>
      <c r="N29">
        <f>STDEV(L2:L25)</f>
        <v>6.8001158877593335</v>
      </c>
    </row>
    <row r="30" spans="6:14" x14ac:dyDescent="0.25">
      <c r="F30">
        <v>107.6</v>
      </c>
    </row>
    <row r="31" spans="6:14" x14ac:dyDescent="0.25">
      <c r="F31">
        <v>93.5</v>
      </c>
    </row>
    <row r="32" spans="6:14" x14ac:dyDescent="0.25">
      <c r="F32">
        <v>87.3</v>
      </c>
    </row>
    <row r="33" spans="6:9" x14ac:dyDescent="0.25">
      <c r="F33">
        <v>98.9</v>
      </c>
    </row>
    <row r="34" spans="6:9" x14ac:dyDescent="0.25">
      <c r="F34">
        <v>96.8</v>
      </c>
    </row>
    <row r="35" spans="6:9" x14ac:dyDescent="0.25">
      <c r="F35">
        <v>91.5</v>
      </c>
    </row>
    <row r="36" spans="6:9" x14ac:dyDescent="0.25">
      <c r="F36">
        <v>82</v>
      </c>
    </row>
    <row r="37" spans="6:9" x14ac:dyDescent="0.25">
      <c r="F37">
        <v>96.7</v>
      </c>
    </row>
    <row r="38" spans="6:9" x14ac:dyDescent="0.25">
      <c r="F38">
        <v>79.8</v>
      </c>
    </row>
    <row r="39" spans="6:9" x14ac:dyDescent="0.25">
      <c r="F39">
        <v>106.8</v>
      </c>
    </row>
    <row r="40" spans="6:9" x14ac:dyDescent="0.25">
      <c r="F40">
        <v>75.3</v>
      </c>
    </row>
    <row r="41" spans="6:9" x14ac:dyDescent="0.25">
      <c r="F41">
        <v>98.8</v>
      </c>
    </row>
    <row r="42" spans="6:9" x14ac:dyDescent="0.25">
      <c r="F42">
        <v>97.8</v>
      </c>
    </row>
    <row r="43" spans="6:9" x14ac:dyDescent="0.25">
      <c r="F43">
        <v>96.5</v>
      </c>
    </row>
    <row r="44" spans="6:9" x14ac:dyDescent="0.25">
      <c r="F44">
        <v>80.7</v>
      </c>
    </row>
    <row r="45" spans="6:9" x14ac:dyDescent="0.25">
      <c r="H45" t="s">
        <v>633</v>
      </c>
      <c r="I45">
        <f>AVERAGE(F2:F44)</f>
        <v>89.786046511627916</v>
      </c>
    </row>
    <row r="46" spans="6:9" x14ac:dyDescent="0.25">
      <c r="H46" t="s">
        <v>634</v>
      </c>
      <c r="I46">
        <f>MIN(F2:F44)</f>
        <v>58.4</v>
      </c>
    </row>
    <row r="47" spans="6:9" x14ac:dyDescent="0.25">
      <c r="H47" t="s">
        <v>635</v>
      </c>
      <c r="I47">
        <f>MAX(F2:F44)</f>
        <v>107.6</v>
      </c>
    </row>
    <row r="48" spans="6:9" x14ac:dyDescent="0.25">
      <c r="H48" t="s">
        <v>636</v>
      </c>
      <c r="I48">
        <f>STDEV(F2:F44)</f>
        <v>9.7547444230839542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D98"/>
  <sheetViews>
    <sheetView topLeftCell="S1" workbookViewId="0">
      <selection activeCell="Z25" sqref="Z25"/>
    </sheetView>
  </sheetViews>
  <sheetFormatPr defaultRowHeight="15" x14ac:dyDescent="0.25"/>
  <cols>
    <col min="7" max="7" width="9.140625" style="19"/>
    <col min="14" max="14" width="9.140625" style="19"/>
    <col min="21" max="21" width="9.140625" style="19"/>
    <col min="24" max="24" width="11" customWidth="1"/>
    <col min="28" max="28" width="9.140625" style="19"/>
    <col min="35" max="35" width="9.140625" style="19"/>
    <col min="42" max="42" width="9.140625" style="19"/>
    <col min="49" max="49" width="9.140625" style="19"/>
    <col min="56" max="56" width="9.140625" style="19"/>
    <col min="63" max="63" width="9.140625" style="19"/>
    <col min="70" max="70" width="9.140625" style="19"/>
    <col min="77" max="77" width="9.140625" style="19"/>
    <col min="85" max="85" width="9.140625" style="19"/>
    <col min="92" max="92" width="9.140625" style="19"/>
  </cols>
  <sheetData>
    <row r="1" spans="2:108" x14ac:dyDescent="0.25">
      <c r="B1" s="15" t="s">
        <v>382</v>
      </c>
      <c r="C1" s="16" t="s">
        <v>361</v>
      </c>
      <c r="D1" s="17">
        <v>2016</v>
      </c>
      <c r="E1" s="17"/>
      <c r="F1" s="17"/>
      <c r="I1" s="15" t="s">
        <v>382</v>
      </c>
      <c r="J1" s="16" t="s">
        <v>362</v>
      </c>
      <c r="K1" s="17">
        <v>2016</v>
      </c>
      <c r="L1" s="17"/>
      <c r="P1" s="15" t="s">
        <v>382</v>
      </c>
      <c r="Q1" s="16" t="s">
        <v>363</v>
      </c>
      <c r="R1" s="17">
        <v>2016</v>
      </c>
      <c r="S1" s="17"/>
      <c r="W1" s="15" t="s">
        <v>382</v>
      </c>
      <c r="X1" s="16" t="s">
        <v>393</v>
      </c>
      <c r="Y1" s="17"/>
      <c r="Z1" s="17">
        <v>2016</v>
      </c>
      <c r="AA1" s="17"/>
      <c r="AD1" s="15" t="s">
        <v>382</v>
      </c>
      <c r="AE1" s="16" t="s">
        <v>366</v>
      </c>
      <c r="AF1" s="17">
        <v>2016</v>
      </c>
      <c r="AG1" s="17"/>
      <c r="AK1" s="15" t="s">
        <v>382</v>
      </c>
      <c r="AL1" s="16" t="s">
        <v>367</v>
      </c>
      <c r="AM1" s="17">
        <v>2016</v>
      </c>
      <c r="AN1" s="17"/>
      <c r="AR1" s="15" t="s">
        <v>382</v>
      </c>
      <c r="AS1" s="16" t="s">
        <v>368</v>
      </c>
      <c r="AT1" s="17">
        <v>2016</v>
      </c>
      <c r="AU1" s="17"/>
      <c r="AY1" s="15" t="s">
        <v>382</v>
      </c>
      <c r="AZ1" s="16" t="s">
        <v>369</v>
      </c>
      <c r="BA1" s="17">
        <v>2016</v>
      </c>
      <c r="BB1" s="17"/>
      <c r="BF1" s="15" t="s">
        <v>382</v>
      </c>
      <c r="BG1" s="16" t="s">
        <v>370</v>
      </c>
      <c r="BH1" s="17">
        <v>2016</v>
      </c>
      <c r="BI1" s="17"/>
      <c r="BM1" s="15" t="s">
        <v>382</v>
      </c>
      <c r="BN1" s="16" t="s">
        <v>371</v>
      </c>
      <c r="BO1" s="17">
        <v>2016</v>
      </c>
      <c r="BP1" s="17"/>
      <c r="BT1" s="15" t="s">
        <v>382</v>
      </c>
      <c r="BU1" s="16" t="s">
        <v>372</v>
      </c>
      <c r="BV1" s="17">
        <v>2016</v>
      </c>
      <c r="BW1" s="17"/>
      <c r="CB1" s="15" t="s">
        <v>382</v>
      </c>
      <c r="CC1" s="16" t="s">
        <v>396</v>
      </c>
      <c r="CD1" s="17"/>
      <c r="CE1" s="17">
        <v>2016</v>
      </c>
      <c r="CF1" s="17"/>
      <c r="CI1" s="15" t="s">
        <v>382</v>
      </c>
      <c r="CJ1" s="16" t="s">
        <v>375</v>
      </c>
      <c r="CK1" s="17">
        <v>2016</v>
      </c>
      <c r="CL1" s="17"/>
      <c r="CQ1" s="15" t="s">
        <v>382</v>
      </c>
      <c r="CR1" s="16" t="s">
        <v>398</v>
      </c>
      <c r="CS1" s="17"/>
      <c r="CT1" s="17">
        <v>2016</v>
      </c>
      <c r="DB1" t="s">
        <v>626</v>
      </c>
      <c r="DD1">
        <v>2008</v>
      </c>
    </row>
    <row r="2" spans="2:108" x14ac:dyDescent="0.25">
      <c r="B2" s="15" t="s">
        <v>383</v>
      </c>
      <c r="C2" s="15"/>
      <c r="D2" s="17"/>
      <c r="E2" s="17"/>
      <c r="F2" s="17"/>
      <c r="I2" s="15" t="s">
        <v>383</v>
      </c>
      <c r="J2" s="15"/>
      <c r="K2" s="17"/>
      <c r="L2" s="17"/>
      <c r="P2" s="15" t="s">
        <v>383</v>
      </c>
      <c r="Q2" s="15"/>
      <c r="R2" s="17"/>
      <c r="S2" s="17"/>
      <c r="W2" s="15" t="s">
        <v>383</v>
      </c>
      <c r="X2" s="15"/>
      <c r="Y2" s="17"/>
      <c r="Z2" s="17"/>
      <c r="AA2" s="17"/>
      <c r="AD2" s="15" t="s">
        <v>383</v>
      </c>
      <c r="AE2" s="15"/>
      <c r="AF2" s="17"/>
      <c r="AG2" s="17"/>
      <c r="AK2" s="15" t="s">
        <v>383</v>
      </c>
      <c r="AL2" s="15"/>
      <c r="AM2" s="17"/>
      <c r="AN2" s="17"/>
      <c r="AR2" s="15" t="s">
        <v>383</v>
      </c>
      <c r="AS2" s="15"/>
      <c r="AT2" s="17"/>
      <c r="AU2" s="17"/>
      <c r="AY2" s="15" t="s">
        <v>383</v>
      </c>
      <c r="AZ2" s="15"/>
      <c r="BA2" s="17"/>
      <c r="BB2" s="17"/>
      <c r="BF2" s="15" t="s">
        <v>383</v>
      </c>
      <c r="BG2" s="15"/>
      <c r="BH2" s="17"/>
      <c r="BI2" s="17"/>
      <c r="BM2" s="15" t="s">
        <v>383</v>
      </c>
      <c r="BN2" s="15"/>
      <c r="BO2" s="17"/>
      <c r="BP2" s="17"/>
      <c r="BT2" s="15" t="s">
        <v>383</v>
      </c>
      <c r="BU2" s="15"/>
      <c r="BV2" s="17"/>
      <c r="BW2" s="17"/>
      <c r="CB2" s="15" t="s">
        <v>383</v>
      </c>
      <c r="CC2" s="15"/>
      <c r="CD2" s="17"/>
      <c r="CE2" s="17"/>
      <c r="CF2" s="17"/>
      <c r="CI2" s="15" t="s">
        <v>383</v>
      </c>
      <c r="CJ2" s="15"/>
      <c r="CK2" s="17"/>
      <c r="CL2" s="17"/>
      <c r="CQ2" s="15" t="s">
        <v>383</v>
      </c>
      <c r="CR2" s="15"/>
      <c r="CS2" s="17"/>
      <c r="CT2" s="17"/>
    </row>
    <row r="3" spans="2:108" x14ac:dyDescent="0.25">
      <c r="B3" s="15" t="s">
        <v>384</v>
      </c>
      <c r="C3" s="15" t="s">
        <v>39</v>
      </c>
      <c r="D3" s="17" t="s">
        <v>385</v>
      </c>
      <c r="E3" s="17" t="s">
        <v>386</v>
      </c>
      <c r="F3" s="17"/>
      <c r="I3" s="15" t="s">
        <v>384</v>
      </c>
      <c r="J3" s="15" t="s">
        <v>39</v>
      </c>
      <c r="K3" s="17" t="s">
        <v>385</v>
      </c>
      <c r="L3" s="17" t="s">
        <v>386</v>
      </c>
      <c r="P3" s="15" t="s">
        <v>384</v>
      </c>
      <c r="Q3" s="15" t="s">
        <v>39</v>
      </c>
      <c r="R3" s="17" t="s">
        <v>385</v>
      </c>
      <c r="S3" s="17" t="s">
        <v>386</v>
      </c>
      <c r="W3" s="15" t="s">
        <v>384</v>
      </c>
      <c r="X3" s="15" t="s">
        <v>39</v>
      </c>
      <c r="Y3" s="17" t="s">
        <v>385</v>
      </c>
      <c r="Z3" s="17" t="s">
        <v>386</v>
      </c>
      <c r="AA3" s="17"/>
      <c r="AD3" s="15" t="s">
        <v>384</v>
      </c>
      <c r="AE3" s="15" t="s">
        <v>39</v>
      </c>
      <c r="AF3" s="17" t="s">
        <v>385</v>
      </c>
      <c r="AG3" s="17" t="s">
        <v>386</v>
      </c>
      <c r="AK3" s="15" t="s">
        <v>384</v>
      </c>
      <c r="AL3" s="15" t="s">
        <v>39</v>
      </c>
      <c r="AM3" s="17" t="s">
        <v>385</v>
      </c>
      <c r="AN3" s="17" t="s">
        <v>386</v>
      </c>
      <c r="AR3" s="15" t="s">
        <v>384</v>
      </c>
      <c r="AS3" s="15" t="s">
        <v>39</v>
      </c>
      <c r="AT3" s="17" t="s">
        <v>385</v>
      </c>
      <c r="AU3" s="17" t="s">
        <v>386</v>
      </c>
      <c r="AY3" s="15" t="s">
        <v>384</v>
      </c>
      <c r="AZ3" s="15" t="s">
        <v>39</v>
      </c>
      <c r="BA3" s="17" t="s">
        <v>385</v>
      </c>
      <c r="BB3" s="17" t="s">
        <v>386</v>
      </c>
      <c r="BF3" s="15" t="s">
        <v>384</v>
      </c>
      <c r="BG3" s="15" t="s">
        <v>39</v>
      </c>
      <c r="BH3" s="17" t="s">
        <v>385</v>
      </c>
      <c r="BI3" s="17" t="s">
        <v>386</v>
      </c>
      <c r="BM3" s="15" t="s">
        <v>384</v>
      </c>
      <c r="BN3" s="15" t="s">
        <v>39</v>
      </c>
      <c r="BO3" s="17" t="s">
        <v>385</v>
      </c>
      <c r="BP3" s="17" t="s">
        <v>386</v>
      </c>
      <c r="BT3" s="15" t="s">
        <v>384</v>
      </c>
      <c r="BU3" s="15" t="s">
        <v>39</v>
      </c>
      <c r="BV3" s="17" t="s">
        <v>385</v>
      </c>
      <c r="BW3" s="17" t="s">
        <v>386</v>
      </c>
      <c r="CB3" s="15" t="s">
        <v>384</v>
      </c>
      <c r="CC3" s="15" t="s">
        <v>39</v>
      </c>
      <c r="CD3" s="17" t="s">
        <v>385</v>
      </c>
      <c r="CE3" s="17" t="s">
        <v>386</v>
      </c>
      <c r="CF3" s="17"/>
      <c r="CI3" s="15" t="s">
        <v>384</v>
      </c>
      <c r="CJ3" s="15" t="s">
        <v>39</v>
      </c>
      <c r="CK3" s="17" t="s">
        <v>385</v>
      </c>
      <c r="CL3" s="17" t="s">
        <v>386</v>
      </c>
      <c r="CQ3" s="15" t="s">
        <v>384</v>
      </c>
      <c r="CR3" s="15" t="s">
        <v>39</v>
      </c>
      <c r="CS3" s="17" t="s">
        <v>385</v>
      </c>
      <c r="CT3" s="17" t="s">
        <v>386</v>
      </c>
    </row>
    <row r="4" spans="2:108" x14ac:dyDescent="0.25">
      <c r="B4" s="5" t="s">
        <v>40</v>
      </c>
      <c r="C4">
        <v>50</v>
      </c>
      <c r="D4" s="17" t="s">
        <v>387</v>
      </c>
      <c r="E4" s="1">
        <f>SUM(C4:C28)</f>
        <v>563</v>
      </c>
      <c r="F4" s="1"/>
      <c r="I4" s="5" t="s">
        <v>65</v>
      </c>
      <c r="J4">
        <v>10</v>
      </c>
      <c r="K4" s="17" t="s">
        <v>387</v>
      </c>
      <c r="L4" s="1">
        <f>SUM(J4:J28)</f>
        <v>69</v>
      </c>
      <c r="P4" s="5" t="s">
        <v>72</v>
      </c>
      <c r="Q4">
        <v>33</v>
      </c>
      <c r="R4" s="17" t="s">
        <v>387</v>
      </c>
      <c r="S4" s="1">
        <f>SUM(Q4:Q28)</f>
        <v>394</v>
      </c>
      <c r="W4" s="5" t="s">
        <v>88</v>
      </c>
      <c r="X4" s="57">
        <v>21</v>
      </c>
      <c r="Y4" s="17" t="s">
        <v>387</v>
      </c>
      <c r="Z4" s="17">
        <f>SUM(X4:X17)</f>
        <v>243</v>
      </c>
      <c r="AA4" s="17"/>
      <c r="AD4" s="5" t="s">
        <v>129</v>
      </c>
      <c r="AE4">
        <v>28</v>
      </c>
      <c r="AF4" s="2" t="s">
        <v>387</v>
      </c>
      <c r="AG4" s="2">
        <f>SUM(AE4:AE28)</f>
        <v>360</v>
      </c>
      <c r="AH4" s="2"/>
      <c r="AI4" s="2"/>
      <c r="AJ4" s="2"/>
      <c r="AK4" s="2" t="s">
        <v>143</v>
      </c>
      <c r="AL4" s="2">
        <v>39</v>
      </c>
      <c r="AM4" s="2" t="s">
        <v>387</v>
      </c>
      <c r="AN4" s="2">
        <f>SUM(AL4:AL28)</f>
        <v>167</v>
      </c>
      <c r="AO4" s="2"/>
      <c r="AP4" s="2"/>
      <c r="AQ4" s="2"/>
      <c r="AR4" s="2" t="s">
        <v>149</v>
      </c>
      <c r="AS4">
        <v>52</v>
      </c>
      <c r="AT4" s="17" t="s">
        <v>387</v>
      </c>
      <c r="AU4" s="1">
        <f>SUM(AS4:AS28)</f>
        <v>741</v>
      </c>
      <c r="AY4" s="5" t="s">
        <v>175</v>
      </c>
      <c r="AZ4">
        <v>18</v>
      </c>
      <c r="BA4" s="17" t="s">
        <v>387</v>
      </c>
      <c r="BB4" s="1">
        <f>SUM(AZ4:AZ28)</f>
        <v>657</v>
      </c>
      <c r="BF4" s="5" t="s">
        <v>192</v>
      </c>
      <c r="BG4">
        <v>19</v>
      </c>
      <c r="BH4" s="55" t="s">
        <v>387</v>
      </c>
      <c r="BI4" s="54">
        <f>SUM(BG4:BG33)</f>
        <v>676</v>
      </c>
      <c r="BJ4" s="54"/>
      <c r="BK4" s="54"/>
      <c r="BL4" s="54"/>
      <c r="BM4" s="2" t="s">
        <v>221</v>
      </c>
      <c r="BN4">
        <v>15</v>
      </c>
      <c r="BO4" s="54" t="s">
        <v>387</v>
      </c>
      <c r="BP4" s="54">
        <f>SUM(BN4:BN33)</f>
        <v>619</v>
      </c>
      <c r="BQ4" s="54"/>
      <c r="BR4" s="54"/>
      <c r="BS4" s="54"/>
      <c r="BT4" s="2" t="s">
        <v>245</v>
      </c>
      <c r="BU4">
        <v>21</v>
      </c>
      <c r="BV4" s="17" t="s">
        <v>387</v>
      </c>
      <c r="BW4" s="1">
        <f>SUM(BU4:BU33)</f>
        <v>919</v>
      </c>
      <c r="CB4" s="5" t="s">
        <v>274</v>
      </c>
      <c r="CC4">
        <v>27</v>
      </c>
      <c r="CD4" s="17" t="s">
        <v>387</v>
      </c>
      <c r="CE4" s="17">
        <f>SUM(CC4:CC19)</f>
        <v>618</v>
      </c>
      <c r="CF4" s="17"/>
      <c r="CI4" s="5" t="s">
        <v>299</v>
      </c>
      <c r="CJ4" s="5">
        <v>24</v>
      </c>
      <c r="CK4" s="17" t="s">
        <v>387</v>
      </c>
      <c r="CL4" s="1">
        <f>SUM(CJ4:CJ33)</f>
        <v>544</v>
      </c>
      <c r="CQ4" s="5" t="s">
        <v>321</v>
      </c>
      <c r="CR4">
        <v>12</v>
      </c>
      <c r="CS4" s="17" t="s">
        <v>387</v>
      </c>
      <c r="CT4" s="17">
        <f>SUM(CR4:CR19)</f>
        <v>223</v>
      </c>
      <c r="CW4" s="5" t="s">
        <v>321</v>
      </c>
      <c r="CX4">
        <v>12</v>
      </c>
      <c r="DB4">
        <v>17</v>
      </c>
      <c r="DC4" s="17" t="s">
        <v>387</v>
      </c>
      <c r="DD4" s="17">
        <f>SUM(DB4:DB40)</f>
        <v>1067</v>
      </c>
    </row>
    <row r="5" spans="2:108" x14ac:dyDescent="0.25">
      <c r="B5" s="5" t="s">
        <v>41</v>
      </c>
      <c r="C5">
        <v>19</v>
      </c>
      <c r="D5" s="17" t="s">
        <v>388</v>
      </c>
      <c r="E5" s="1">
        <f>MIN(C4:C26)</f>
        <v>11</v>
      </c>
      <c r="F5" s="1"/>
      <c r="I5" s="5" t="s">
        <v>66</v>
      </c>
      <c r="J5">
        <v>10</v>
      </c>
      <c r="K5" s="17" t="s">
        <v>388</v>
      </c>
      <c r="L5" s="1">
        <f>MIN(J4:J28)</f>
        <v>5</v>
      </c>
      <c r="P5" s="5" t="s">
        <v>73</v>
      </c>
      <c r="Q5">
        <v>10</v>
      </c>
      <c r="R5" s="17" t="s">
        <v>388</v>
      </c>
      <c r="S5" s="1">
        <f>MIN(Q4:Q28)</f>
        <v>9</v>
      </c>
      <c r="W5" s="5" t="s">
        <v>89</v>
      </c>
      <c r="X5" s="1">
        <v>21</v>
      </c>
      <c r="Y5" s="17" t="s">
        <v>388</v>
      </c>
      <c r="Z5" s="17">
        <f>MIN(X4:X17)</f>
        <v>18</v>
      </c>
      <c r="AA5" s="17"/>
      <c r="AD5" s="5" t="s">
        <v>130</v>
      </c>
      <c r="AE5">
        <v>9</v>
      </c>
      <c r="AF5" s="17" t="s">
        <v>388</v>
      </c>
      <c r="AG5" s="1">
        <f>MIN(AE4:AE28)</f>
        <v>9</v>
      </c>
      <c r="AK5" s="5" t="s">
        <v>67</v>
      </c>
      <c r="AL5">
        <v>37</v>
      </c>
      <c r="AM5" s="17" t="s">
        <v>388</v>
      </c>
      <c r="AN5" s="1">
        <f>MIN(AL4:AL28)</f>
        <v>14</v>
      </c>
      <c r="AR5" s="5" t="s">
        <v>150</v>
      </c>
      <c r="AS5">
        <v>27</v>
      </c>
      <c r="AT5" s="17" t="s">
        <v>388</v>
      </c>
      <c r="AU5" s="1">
        <f>MIN(AS4:AS28)</f>
        <v>9</v>
      </c>
      <c r="AY5" s="5" t="s">
        <v>176</v>
      </c>
      <c r="AZ5">
        <v>14</v>
      </c>
      <c r="BA5" s="17" t="s">
        <v>388</v>
      </c>
      <c r="BB5" s="1">
        <f>MIN(AZ4:AZ20)</f>
        <v>9</v>
      </c>
      <c r="BF5" s="5" t="s">
        <v>193</v>
      </c>
      <c r="BG5">
        <v>6</v>
      </c>
      <c r="BH5" s="17" t="s">
        <v>388</v>
      </c>
      <c r="BI5" s="1">
        <f>MIN(BG4:BG33)</f>
        <v>0</v>
      </c>
      <c r="BM5" s="5" t="s">
        <v>222</v>
      </c>
      <c r="BN5">
        <v>17</v>
      </c>
      <c r="BO5" s="17" t="s">
        <v>388</v>
      </c>
      <c r="BP5" s="1">
        <f>MIN(BN4:BN33)</f>
        <v>4</v>
      </c>
      <c r="BT5" s="5" t="s">
        <v>73</v>
      </c>
      <c r="BU5">
        <v>10</v>
      </c>
      <c r="BV5" s="17" t="s">
        <v>388</v>
      </c>
      <c r="BW5" s="1">
        <f>MIN(BU4:BU33)</f>
        <v>10</v>
      </c>
      <c r="CB5" s="5" t="s">
        <v>275</v>
      </c>
      <c r="CC5">
        <v>21</v>
      </c>
      <c r="CD5" s="17" t="s">
        <v>388</v>
      </c>
      <c r="CE5" s="17">
        <f>MIN(CC4:CC19)</f>
        <v>21</v>
      </c>
      <c r="CF5" s="17"/>
      <c r="CI5" s="5" t="s">
        <v>300</v>
      </c>
      <c r="CJ5">
        <v>7</v>
      </c>
      <c r="CK5" s="17" t="s">
        <v>388</v>
      </c>
      <c r="CL5" s="1">
        <f>MIN(CJ4:CJ33)</f>
        <v>7</v>
      </c>
      <c r="CQ5" s="5" t="s">
        <v>322</v>
      </c>
      <c r="CR5">
        <v>12</v>
      </c>
      <c r="CS5" s="17" t="s">
        <v>388</v>
      </c>
      <c r="CT5" s="17">
        <f>MIN(CR4:CR19)</f>
        <v>12</v>
      </c>
      <c r="CW5" s="5" t="s">
        <v>322</v>
      </c>
      <c r="CX5">
        <v>12</v>
      </c>
      <c r="CY5" s="17" t="s">
        <v>387</v>
      </c>
      <c r="CZ5" s="17">
        <f>SUM(CX4:CX43)</f>
        <v>1068</v>
      </c>
      <c r="DB5">
        <v>12</v>
      </c>
      <c r="DC5" s="17" t="s">
        <v>388</v>
      </c>
      <c r="DD5" s="17">
        <f>MIN(DB4:DB40)</f>
        <v>5</v>
      </c>
    </row>
    <row r="6" spans="2:108" x14ac:dyDescent="0.25">
      <c r="B6" s="5" t="s">
        <v>42</v>
      </c>
      <c r="C6">
        <v>14</v>
      </c>
      <c r="D6" s="17" t="s">
        <v>389</v>
      </c>
      <c r="E6" s="1">
        <f>MAX(C4:C28)</f>
        <v>50</v>
      </c>
      <c r="F6" s="1"/>
      <c r="I6" s="5" t="s">
        <v>67</v>
      </c>
      <c r="J6">
        <v>16</v>
      </c>
      <c r="K6" s="17" t="s">
        <v>389</v>
      </c>
      <c r="L6" s="1">
        <f>MAX(J4:J28)</f>
        <v>16</v>
      </c>
      <c r="P6" s="5" t="s">
        <v>74</v>
      </c>
      <c r="Q6">
        <v>13</v>
      </c>
      <c r="R6" s="17" t="s">
        <v>389</v>
      </c>
      <c r="S6" s="1">
        <f>MAX(Q4:Q28)</f>
        <v>50</v>
      </c>
      <c r="W6" s="5" t="s">
        <v>90</v>
      </c>
      <c r="X6" s="1">
        <v>18</v>
      </c>
      <c r="Y6" s="17" t="s">
        <v>389</v>
      </c>
      <c r="Z6" s="17">
        <f>MAX(X4:X17)</f>
        <v>53</v>
      </c>
      <c r="AA6" s="17"/>
      <c r="AD6" s="5" t="s">
        <v>131</v>
      </c>
      <c r="AE6">
        <v>17</v>
      </c>
      <c r="AF6" s="17" t="s">
        <v>389</v>
      </c>
      <c r="AG6" s="1">
        <f>MAX(AE4:AE28)</f>
        <v>37</v>
      </c>
      <c r="AK6" s="5" t="s">
        <v>144</v>
      </c>
      <c r="AL6">
        <v>14</v>
      </c>
      <c r="AM6" s="17" t="s">
        <v>389</v>
      </c>
      <c r="AN6" s="1">
        <f>MAX(AL4:AL28)</f>
        <v>39</v>
      </c>
      <c r="AR6" s="5" t="s">
        <v>151</v>
      </c>
      <c r="AS6">
        <v>17</v>
      </c>
      <c r="AT6" s="17" t="s">
        <v>389</v>
      </c>
      <c r="AU6" s="1">
        <f>MAX(AS4:AS28)</f>
        <v>52</v>
      </c>
      <c r="AY6" s="5" t="s">
        <v>177</v>
      </c>
      <c r="AZ6">
        <v>21</v>
      </c>
      <c r="BA6" s="17" t="s">
        <v>389</v>
      </c>
      <c r="BB6" s="1">
        <f>MAX(AZ4:AZ28)</f>
        <v>83</v>
      </c>
      <c r="BF6" s="5" t="s">
        <v>194</v>
      </c>
      <c r="BG6">
        <v>30</v>
      </c>
      <c r="BH6" s="17" t="s">
        <v>389</v>
      </c>
      <c r="BI6" s="1">
        <f>MAX(BG4:BG33)</f>
        <v>51</v>
      </c>
      <c r="BM6" s="5" t="s">
        <v>223</v>
      </c>
      <c r="BN6">
        <v>51</v>
      </c>
      <c r="BO6" s="17" t="s">
        <v>389</v>
      </c>
      <c r="BP6" s="1">
        <f>MAX(BN4:BN33)</f>
        <v>54</v>
      </c>
      <c r="BT6" s="5" t="s">
        <v>246</v>
      </c>
      <c r="BU6">
        <v>19</v>
      </c>
      <c r="BV6" s="17" t="s">
        <v>389</v>
      </c>
      <c r="BW6" s="1">
        <f>MAX(BU4:BU33)</f>
        <v>58</v>
      </c>
      <c r="CB6" s="5" t="s">
        <v>276</v>
      </c>
      <c r="CC6">
        <v>25</v>
      </c>
      <c r="CD6" s="17" t="s">
        <v>389</v>
      </c>
      <c r="CE6" s="17">
        <f>MAX(CC4:CC19)</f>
        <v>59</v>
      </c>
      <c r="CF6" s="17"/>
      <c r="CI6" s="5" t="s">
        <v>301</v>
      </c>
      <c r="CJ6">
        <v>12</v>
      </c>
      <c r="CK6" s="17" t="s">
        <v>389</v>
      </c>
      <c r="CL6" s="1">
        <f>MAX(CJ4:CJ33)</f>
        <v>49</v>
      </c>
      <c r="CQ6" s="5" t="s">
        <v>323</v>
      </c>
      <c r="CR6">
        <v>49</v>
      </c>
      <c r="CS6" s="17" t="s">
        <v>389</v>
      </c>
      <c r="CT6" s="17">
        <f>MAX(CR4:CR19)</f>
        <v>70</v>
      </c>
      <c r="CW6" s="5" t="s">
        <v>323</v>
      </c>
      <c r="CX6">
        <v>49</v>
      </c>
      <c r="CY6" s="17" t="s">
        <v>388</v>
      </c>
      <c r="CZ6" s="17">
        <f>MIN(CX4:CX43)</f>
        <v>12</v>
      </c>
      <c r="DB6">
        <v>33</v>
      </c>
      <c r="DC6" s="17" t="s">
        <v>389</v>
      </c>
      <c r="DD6" s="17">
        <f>MAX(DB4:DB40)</f>
        <v>78</v>
      </c>
    </row>
    <row r="7" spans="2:108" x14ac:dyDescent="0.25">
      <c r="B7" s="5" t="s">
        <v>43</v>
      </c>
      <c r="C7">
        <v>20</v>
      </c>
      <c r="D7" s="17" t="s">
        <v>390</v>
      </c>
      <c r="E7" s="1">
        <f>VAR(C4:C28)</f>
        <v>131.07905138339919</v>
      </c>
      <c r="F7" s="1"/>
      <c r="I7" s="5" t="s">
        <v>68</v>
      </c>
      <c r="J7">
        <v>11</v>
      </c>
      <c r="K7" s="17" t="s">
        <v>390</v>
      </c>
      <c r="L7" s="1">
        <f>VAR(J4:J28)</f>
        <v>11.142857142857148</v>
      </c>
      <c r="P7" s="5" t="s">
        <v>75</v>
      </c>
      <c r="Q7">
        <v>42</v>
      </c>
      <c r="R7" s="17" t="s">
        <v>390</v>
      </c>
      <c r="S7" s="1">
        <f>VAR(Q4:Q28)</f>
        <v>191.45</v>
      </c>
      <c r="W7" s="5" t="s">
        <v>91</v>
      </c>
      <c r="X7" s="1">
        <v>50</v>
      </c>
      <c r="Y7" s="17" t="s">
        <v>390</v>
      </c>
      <c r="Z7" s="17">
        <f>VAR(X4:X10)</f>
        <v>234.57142857142844</v>
      </c>
      <c r="AA7" s="17"/>
      <c r="AD7" s="5" t="s">
        <v>132</v>
      </c>
      <c r="AE7">
        <v>37</v>
      </c>
      <c r="AF7" s="17" t="s">
        <v>390</v>
      </c>
      <c r="AG7" s="1">
        <f>VAR(AE4:AE28)</f>
        <v>49.857142857142854</v>
      </c>
      <c r="AK7" s="5" t="s">
        <v>145</v>
      </c>
      <c r="AL7">
        <v>17</v>
      </c>
      <c r="AM7" s="17" t="s">
        <v>390</v>
      </c>
      <c r="AN7" s="1">
        <f>VAR(AL4:AL28)</f>
        <v>105.47619047619044</v>
      </c>
      <c r="AR7" s="5" t="s">
        <v>152</v>
      </c>
      <c r="AS7">
        <v>22</v>
      </c>
      <c r="AT7" s="17" t="s">
        <v>390</v>
      </c>
      <c r="AU7" s="1">
        <f>VAR(AS4:AS28)</f>
        <v>91.323333333333267</v>
      </c>
      <c r="AY7" s="5" t="s">
        <v>178</v>
      </c>
      <c r="AZ7">
        <v>34</v>
      </c>
      <c r="BA7" s="17" t="s">
        <v>390</v>
      </c>
      <c r="BB7" s="1">
        <f>VAR(AZ4:AZ28)</f>
        <v>482.86764705882342</v>
      </c>
      <c r="BF7" s="5" t="s">
        <v>195</v>
      </c>
      <c r="BG7" s="19">
        <v>37</v>
      </c>
      <c r="BH7" s="17" t="s">
        <v>390</v>
      </c>
      <c r="BI7" s="1">
        <f>VAR(BG4:BG33)</f>
        <v>207.08505747126438</v>
      </c>
      <c r="BM7" s="5" t="s">
        <v>224</v>
      </c>
      <c r="BN7">
        <v>29</v>
      </c>
      <c r="BO7" s="17" t="s">
        <v>390</v>
      </c>
      <c r="BP7" s="1">
        <f>VAR(BN4:BN33)</f>
        <v>179.85666666666665</v>
      </c>
      <c r="BT7" s="5" t="s">
        <v>247</v>
      </c>
      <c r="BU7">
        <v>25</v>
      </c>
      <c r="BV7" s="17" t="s">
        <v>390</v>
      </c>
      <c r="BW7" s="1">
        <f>VAR(BU4:BU33)</f>
        <v>142.92988505747127</v>
      </c>
      <c r="CB7" s="5" t="s">
        <v>277</v>
      </c>
      <c r="CC7" s="19">
        <v>46</v>
      </c>
      <c r="CD7" s="17" t="s">
        <v>390</v>
      </c>
      <c r="CE7" s="17">
        <f>VAR(CC4:CC19)</f>
        <v>141.71666666666667</v>
      </c>
      <c r="CF7" s="17"/>
      <c r="CI7" s="5" t="s">
        <v>302</v>
      </c>
      <c r="CJ7">
        <v>19</v>
      </c>
      <c r="CK7" s="17" t="s">
        <v>390</v>
      </c>
      <c r="CL7" s="1">
        <f>VAR(CJ4:CJ33)</f>
        <v>160.600790513834</v>
      </c>
      <c r="CQ7" s="5" t="s">
        <v>324</v>
      </c>
      <c r="CR7">
        <v>70</v>
      </c>
      <c r="CS7" s="17" t="s">
        <v>390</v>
      </c>
      <c r="CT7" s="17">
        <f>VAR(CR4:CR19)</f>
        <v>475.14285714285717</v>
      </c>
      <c r="CW7" s="5" t="s">
        <v>324</v>
      </c>
      <c r="CX7">
        <v>70</v>
      </c>
      <c r="CY7" s="17" t="s">
        <v>389</v>
      </c>
      <c r="CZ7" s="17">
        <f>MAX(CX4:CX43)</f>
        <v>70</v>
      </c>
      <c r="DB7">
        <v>15</v>
      </c>
      <c r="DC7" s="17" t="s">
        <v>390</v>
      </c>
      <c r="DD7" s="17">
        <f>_xlfn.VAR.S(DB4:DB40)</f>
        <v>270.63963963963965</v>
      </c>
    </row>
    <row r="8" spans="2:108" x14ac:dyDescent="0.25">
      <c r="B8" s="5" t="s">
        <v>44</v>
      </c>
      <c r="C8">
        <v>32</v>
      </c>
      <c r="D8" s="17" t="s">
        <v>391</v>
      </c>
      <c r="E8" s="1">
        <f>AVERAGE(C4:C28)</f>
        <v>24.478260869565219</v>
      </c>
      <c r="F8" s="1"/>
      <c r="I8" s="5" t="s">
        <v>69</v>
      </c>
      <c r="J8">
        <v>9</v>
      </c>
      <c r="K8" s="17" t="s">
        <v>391</v>
      </c>
      <c r="L8" s="1">
        <f>AVERAGE(J4:J28)</f>
        <v>9.8571428571428577</v>
      </c>
      <c r="P8" s="5" t="s">
        <v>76</v>
      </c>
      <c r="Q8">
        <v>15</v>
      </c>
      <c r="R8" s="17" t="s">
        <v>391</v>
      </c>
      <c r="S8" s="1">
        <f>AVERAGE(Q4:Q28)</f>
        <v>24.625</v>
      </c>
      <c r="W8" s="5" t="s">
        <v>92</v>
      </c>
      <c r="X8">
        <v>53</v>
      </c>
      <c r="Y8" s="17" t="s">
        <v>391</v>
      </c>
      <c r="Z8" s="17">
        <f>AVERAGE(X4:X17)</f>
        <v>34.714285714285715</v>
      </c>
      <c r="AA8" s="17"/>
      <c r="AD8" s="5" t="s">
        <v>133</v>
      </c>
      <c r="AE8" s="19">
        <v>23</v>
      </c>
      <c r="AF8" s="17" t="s">
        <v>391</v>
      </c>
      <c r="AG8" s="1">
        <f>AVERAGE(AE4:AE28)</f>
        <v>24</v>
      </c>
      <c r="AK8" s="5" t="s">
        <v>146</v>
      </c>
      <c r="AL8">
        <v>16</v>
      </c>
      <c r="AM8" s="17" t="s">
        <v>391</v>
      </c>
      <c r="AN8" s="1">
        <f>AVERAGE(AL4:AL28)</f>
        <v>23.857142857142858</v>
      </c>
      <c r="AR8" s="5" t="s">
        <v>153</v>
      </c>
      <c r="AS8">
        <v>19</v>
      </c>
      <c r="AT8" s="17" t="s">
        <v>391</v>
      </c>
      <c r="AU8" s="1">
        <f>AVERAGE(AS4:AS28)</f>
        <v>29.64</v>
      </c>
      <c r="AY8" s="5" t="s">
        <v>179</v>
      </c>
      <c r="AZ8">
        <v>28</v>
      </c>
      <c r="BA8" s="17" t="s">
        <v>391</v>
      </c>
      <c r="BB8" s="1">
        <f>AVERAGE(AZ4:AZ28)</f>
        <v>38.647058823529413</v>
      </c>
      <c r="BF8" s="5" t="s">
        <v>196</v>
      </c>
      <c r="BG8">
        <v>36</v>
      </c>
      <c r="BH8" s="17" t="s">
        <v>391</v>
      </c>
      <c r="BI8" s="1">
        <f>AVERAGE(BG4:BG33)</f>
        <v>22.533333333333335</v>
      </c>
      <c r="BM8" s="5" t="s">
        <v>225</v>
      </c>
      <c r="BN8" s="19">
        <v>8</v>
      </c>
      <c r="BO8" s="17" t="s">
        <v>391</v>
      </c>
      <c r="BP8" s="1">
        <f>AVERAGE(BN4:BN33)</f>
        <v>24.76</v>
      </c>
      <c r="BT8" s="5" t="s">
        <v>248</v>
      </c>
      <c r="BU8" s="19">
        <v>44</v>
      </c>
      <c r="BV8" s="17" t="s">
        <v>391</v>
      </c>
      <c r="BW8" s="1">
        <f>AVERAGE(BU4:BU33)</f>
        <v>30.633333333333333</v>
      </c>
      <c r="CB8" s="5" t="s">
        <v>279</v>
      </c>
      <c r="CC8">
        <v>59</v>
      </c>
      <c r="CD8" s="17" t="s">
        <v>391</v>
      </c>
      <c r="CE8" s="17">
        <f>AVERAGE(CC4:CC19)</f>
        <v>38.625</v>
      </c>
      <c r="CF8" s="17"/>
      <c r="CI8" s="5" t="s">
        <v>303</v>
      </c>
      <c r="CJ8">
        <v>11</v>
      </c>
      <c r="CK8" s="17" t="s">
        <v>391</v>
      </c>
      <c r="CL8" s="1">
        <f>AVERAGE(CJ4:CJ33)</f>
        <v>23.652173913043477</v>
      </c>
      <c r="CQ8" s="5" t="s">
        <v>325</v>
      </c>
      <c r="CR8">
        <v>19</v>
      </c>
      <c r="CS8" s="17" t="s">
        <v>391</v>
      </c>
      <c r="CT8" s="17">
        <f>AVERAGE(CR4:CR19)</f>
        <v>31.857142857142858</v>
      </c>
      <c r="CW8" s="5" t="s">
        <v>325</v>
      </c>
      <c r="CX8">
        <v>19</v>
      </c>
      <c r="CY8" s="17" t="s">
        <v>390</v>
      </c>
      <c r="CZ8" s="17">
        <f>_xlfn.VAR.S(CX4:CX43)</f>
        <v>133.13846153846157</v>
      </c>
      <c r="DB8">
        <v>5</v>
      </c>
      <c r="DC8" s="17" t="s">
        <v>391</v>
      </c>
      <c r="DD8" s="17">
        <f>AVERAGE(DB4:DB40)</f>
        <v>28.837837837837839</v>
      </c>
    </row>
    <row r="9" spans="2:108" x14ac:dyDescent="0.25">
      <c r="B9" s="5" t="s">
        <v>45</v>
      </c>
      <c r="C9">
        <v>39</v>
      </c>
      <c r="D9" s="17" t="s">
        <v>392</v>
      </c>
      <c r="E9" s="1">
        <f>STDEV(C4:C28)</f>
        <v>11.448975997153596</v>
      </c>
      <c r="F9" s="1"/>
      <c r="I9" s="5" t="s">
        <v>70</v>
      </c>
      <c r="J9">
        <v>8</v>
      </c>
      <c r="K9" s="17" t="s">
        <v>392</v>
      </c>
      <c r="L9" s="1">
        <f>STDEV(J4:J28)</f>
        <v>3.3380918415851215</v>
      </c>
      <c r="P9" s="5" t="s">
        <v>77</v>
      </c>
      <c r="Q9">
        <v>15</v>
      </c>
      <c r="R9" s="17" t="s">
        <v>392</v>
      </c>
      <c r="S9" s="1">
        <f>STDEV(Q4:Q28)</f>
        <v>13.836545811726277</v>
      </c>
      <c r="W9" s="5" t="s">
        <v>93</v>
      </c>
      <c r="X9">
        <v>48</v>
      </c>
      <c r="Y9" s="17" t="s">
        <v>392</v>
      </c>
      <c r="Z9" s="17">
        <f>STDEV(X4:X17)</f>
        <v>15.315724879072111</v>
      </c>
      <c r="AA9" s="17"/>
      <c r="AD9" s="5" t="s">
        <v>134</v>
      </c>
      <c r="AE9">
        <v>25</v>
      </c>
      <c r="AF9" s="17" t="s">
        <v>392</v>
      </c>
      <c r="AG9" s="1">
        <f>STDEV(AE4:AE28)</f>
        <v>7.0609590607185124</v>
      </c>
      <c r="AK9" s="5" t="s">
        <v>147</v>
      </c>
      <c r="AL9">
        <v>25</v>
      </c>
      <c r="AM9" s="17" t="s">
        <v>392</v>
      </c>
      <c r="AN9" s="1">
        <f>STDEV(AL4:AL28)</f>
        <v>10.270160197201912</v>
      </c>
      <c r="AR9" s="5" t="s">
        <v>154</v>
      </c>
      <c r="AS9" s="19">
        <v>20</v>
      </c>
      <c r="AT9" s="17" t="s">
        <v>392</v>
      </c>
      <c r="AU9" s="1">
        <f>STDEV(AS4:AS28)</f>
        <v>9.556324258486276</v>
      </c>
      <c r="AY9" s="5" t="s">
        <v>180</v>
      </c>
      <c r="AZ9">
        <v>19</v>
      </c>
      <c r="BA9" s="17" t="s">
        <v>392</v>
      </c>
      <c r="BB9" s="1">
        <f>STDEV(AZ4:AZ28)</f>
        <v>21.974249635853859</v>
      </c>
      <c r="BF9" s="5" t="s">
        <v>197</v>
      </c>
      <c r="BG9">
        <v>0</v>
      </c>
      <c r="BH9" s="17" t="s">
        <v>392</v>
      </c>
      <c r="BI9" s="1">
        <f>STDEV(BG4:BG33)</f>
        <v>14.390450217809878</v>
      </c>
      <c r="BM9" s="5" t="s">
        <v>226</v>
      </c>
      <c r="BN9">
        <v>5</v>
      </c>
      <c r="BO9" s="17" t="s">
        <v>392</v>
      </c>
      <c r="BP9" s="1">
        <f>STDEV(BN4:BN33)</f>
        <v>13.411065083231334</v>
      </c>
      <c r="BT9" s="5" t="s">
        <v>249</v>
      </c>
      <c r="BU9">
        <v>35</v>
      </c>
      <c r="BV9" s="17" t="s">
        <v>392</v>
      </c>
      <c r="BW9" s="1">
        <f>STDEV(BU4:BU33)</f>
        <v>11.955328730631846</v>
      </c>
      <c r="CB9" s="5" t="s">
        <v>278</v>
      </c>
      <c r="CC9">
        <v>28</v>
      </c>
      <c r="CD9" s="17" t="s">
        <v>392</v>
      </c>
      <c r="CE9" s="17">
        <f>STDEV(CC4:CC19)</f>
        <v>11.904480949065636</v>
      </c>
      <c r="CF9" s="17"/>
      <c r="CI9" s="5" t="s">
        <v>304</v>
      </c>
      <c r="CJ9">
        <v>11</v>
      </c>
      <c r="CK9" s="17" t="s">
        <v>392</v>
      </c>
      <c r="CL9" s="1">
        <f>STDEV(CJ4:CJ33)</f>
        <v>12.672836719291936</v>
      </c>
      <c r="CQ9" s="5" t="s">
        <v>326</v>
      </c>
      <c r="CR9">
        <v>22</v>
      </c>
      <c r="CS9" s="17" t="s">
        <v>392</v>
      </c>
      <c r="CT9" s="17">
        <f>STDEV(CR4:CR19)</f>
        <v>21.79777183894852</v>
      </c>
      <c r="CW9" s="5" t="s">
        <v>326</v>
      </c>
      <c r="CX9">
        <v>22</v>
      </c>
      <c r="CY9" s="17" t="s">
        <v>391</v>
      </c>
      <c r="CZ9" s="17">
        <f>AVERAGE(CX4:CX43)</f>
        <v>26.7</v>
      </c>
      <c r="DB9">
        <v>17</v>
      </c>
      <c r="DC9" s="17" t="s">
        <v>392</v>
      </c>
      <c r="DD9" s="17">
        <f>STDEV(DB4:DB40)</f>
        <v>16.451128825695811</v>
      </c>
    </row>
    <row r="10" spans="2:108" x14ac:dyDescent="0.25">
      <c r="B10" s="5" t="s">
        <v>47</v>
      </c>
      <c r="C10">
        <v>17</v>
      </c>
      <c r="D10" s="1"/>
      <c r="E10" s="1"/>
      <c r="F10" s="1"/>
      <c r="I10" s="5" t="s">
        <v>71</v>
      </c>
      <c r="J10">
        <v>5</v>
      </c>
      <c r="K10" s="1"/>
      <c r="L10" s="1"/>
      <c r="P10" s="5" t="s">
        <v>78</v>
      </c>
      <c r="Q10">
        <v>36</v>
      </c>
      <c r="R10" s="1"/>
      <c r="S10" s="1"/>
      <c r="W10" s="5" t="s">
        <v>94</v>
      </c>
      <c r="X10">
        <v>32</v>
      </c>
      <c r="Y10" s="17"/>
      <c r="Z10" s="17"/>
      <c r="AA10" s="17"/>
      <c r="AD10" s="5" t="s">
        <v>135</v>
      </c>
      <c r="AE10">
        <v>22</v>
      </c>
      <c r="AF10" s="1"/>
      <c r="AG10" s="1"/>
      <c r="AK10" s="5" t="s">
        <v>148</v>
      </c>
      <c r="AL10">
        <v>19</v>
      </c>
      <c r="AM10" s="1"/>
      <c r="AN10" s="1"/>
      <c r="AR10" s="5" t="s">
        <v>155</v>
      </c>
      <c r="AS10">
        <v>45</v>
      </c>
      <c r="AT10" s="1"/>
      <c r="AU10" s="1"/>
      <c r="AY10" s="5" t="s">
        <v>181</v>
      </c>
      <c r="AZ10">
        <v>37</v>
      </c>
      <c r="BA10" s="1"/>
      <c r="BB10" s="1"/>
      <c r="BF10" s="5" t="s">
        <v>198</v>
      </c>
      <c r="BG10">
        <v>26</v>
      </c>
      <c r="BH10" s="1"/>
      <c r="BI10" s="1"/>
      <c r="BM10" s="5" t="s">
        <v>227</v>
      </c>
      <c r="BN10">
        <v>33</v>
      </c>
      <c r="BO10" s="1"/>
      <c r="BP10" s="1"/>
      <c r="BT10" s="5" t="s">
        <v>250</v>
      </c>
      <c r="BU10">
        <v>37</v>
      </c>
      <c r="BV10" s="1"/>
      <c r="BW10" s="1"/>
      <c r="CB10" s="5" t="s">
        <v>280</v>
      </c>
      <c r="CC10">
        <v>46</v>
      </c>
      <c r="CD10" s="17"/>
      <c r="CE10" s="17"/>
      <c r="CF10" s="17"/>
      <c r="CI10" s="5" t="s">
        <v>305</v>
      </c>
      <c r="CJ10">
        <v>18</v>
      </c>
      <c r="CK10" s="1"/>
      <c r="CL10" s="1"/>
      <c r="CQ10" s="5" t="s">
        <v>327</v>
      </c>
      <c r="CR10">
        <v>39</v>
      </c>
      <c r="CS10" s="17"/>
      <c r="CT10" s="17"/>
      <c r="CW10" s="5" t="s">
        <v>327</v>
      </c>
      <c r="CX10">
        <v>39</v>
      </c>
      <c r="CY10" s="17" t="s">
        <v>392</v>
      </c>
      <c r="CZ10" s="17">
        <f>STDEV(CX4:CX43)</f>
        <v>11.538564102108268</v>
      </c>
      <c r="DB10">
        <v>17</v>
      </c>
    </row>
    <row r="11" spans="2:108" x14ac:dyDescent="0.25">
      <c r="B11" s="5" t="s">
        <v>48</v>
      </c>
      <c r="C11">
        <v>14</v>
      </c>
      <c r="D11" s="1"/>
      <c r="E11" s="1"/>
      <c r="F11" s="1"/>
      <c r="I11" s="5"/>
      <c r="K11" s="1"/>
      <c r="L11" s="1"/>
      <c r="P11" s="5" t="s">
        <v>79</v>
      </c>
      <c r="Q11">
        <v>20</v>
      </c>
      <c r="W11" s="5"/>
      <c r="X11" s="20"/>
      <c r="Y11" s="17"/>
      <c r="Z11" s="17"/>
      <c r="AA11" s="17"/>
      <c r="AD11" s="5" t="s">
        <v>136</v>
      </c>
      <c r="AE11">
        <v>28</v>
      </c>
      <c r="AK11" s="5"/>
      <c r="AR11" s="5" t="s">
        <v>156</v>
      </c>
      <c r="AS11">
        <v>36</v>
      </c>
      <c r="AY11" s="5" t="s">
        <v>182</v>
      </c>
      <c r="AZ11">
        <v>34</v>
      </c>
      <c r="BF11" s="5" t="s">
        <v>161</v>
      </c>
      <c r="BG11">
        <v>13</v>
      </c>
      <c r="BM11" s="5" t="s">
        <v>228</v>
      </c>
      <c r="BN11">
        <v>25</v>
      </c>
      <c r="BT11" s="5" t="s">
        <v>251</v>
      </c>
      <c r="BU11">
        <v>37</v>
      </c>
      <c r="CB11" s="5" t="s">
        <v>281</v>
      </c>
      <c r="CC11">
        <v>21</v>
      </c>
      <c r="CD11" s="17"/>
      <c r="CE11" s="17"/>
      <c r="CF11" s="17"/>
      <c r="CI11" s="5" t="s">
        <v>306</v>
      </c>
      <c r="CJ11">
        <v>21</v>
      </c>
      <c r="CQ11" s="5"/>
      <c r="CS11" s="17"/>
      <c r="CT11" s="17"/>
      <c r="CW11" s="5" t="s">
        <v>328</v>
      </c>
      <c r="CX11">
        <v>24</v>
      </c>
      <c r="DB11">
        <v>25</v>
      </c>
    </row>
    <row r="12" spans="2:108" x14ac:dyDescent="0.25">
      <c r="B12" s="5" t="s">
        <v>49</v>
      </c>
      <c r="C12">
        <v>48</v>
      </c>
      <c r="D12" s="1"/>
      <c r="E12" s="1"/>
      <c r="F12" s="1"/>
      <c r="I12" s="5"/>
      <c r="K12" s="1"/>
      <c r="L12" s="1"/>
      <c r="P12" s="5" t="s">
        <v>80</v>
      </c>
      <c r="Q12">
        <v>43</v>
      </c>
      <c r="W12" s="5"/>
      <c r="X12" s="20"/>
      <c r="Y12" s="17"/>
      <c r="Z12" s="17"/>
      <c r="AA12" s="17"/>
      <c r="AD12" s="5" t="s">
        <v>44</v>
      </c>
      <c r="AE12">
        <v>27</v>
      </c>
      <c r="AK12" s="5"/>
      <c r="AR12" s="5" t="s">
        <v>157</v>
      </c>
      <c r="AS12">
        <v>39</v>
      </c>
      <c r="AY12" s="5" t="s">
        <v>183</v>
      </c>
      <c r="AZ12">
        <v>73</v>
      </c>
      <c r="BF12" s="5" t="s">
        <v>199</v>
      </c>
      <c r="BG12">
        <v>44</v>
      </c>
      <c r="BM12" s="5" t="s">
        <v>229</v>
      </c>
      <c r="BN12">
        <v>32</v>
      </c>
      <c r="BT12" s="5" t="s">
        <v>252</v>
      </c>
      <c r="BU12">
        <v>30</v>
      </c>
      <c r="CB12" s="5" t="s">
        <v>282</v>
      </c>
      <c r="CC12">
        <v>38</v>
      </c>
      <c r="CD12" s="17"/>
      <c r="CE12" s="17"/>
      <c r="CF12" s="17"/>
      <c r="CI12" s="5" t="s">
        <v>93</v>
      </c>
      <c r="CJ12">
        <v>11</v>
      </c>
      <c r="CQ12" s="5"/>
      <c r="CS12" s="17"/>
      <c r="CT12" s="17"/>
      <c r="CW12" s="5" t="s">
        <v>329</v>
      </c>
      <c r="CX12">
        <v>17</v>
      </c>
      <c r="DB12">
        <v>16</v>
      </c>
    </row>
    <row r="13" spans="2:108" x14ac:dyDescent="0.25">
      <c r="B13" s="5" t="s">
        <v>50</v>
      </c>
      <c r="C13">
        <v>27</v>
      </c>
      <c r="D13" s="1"/>
      <c r="E13" s="1"/>
      <c r="F13" s="1"/>
      <c r="I13" s="5"/>
      <c r="K13" s="1"/>
      <c r="L13" s="1"/>
      <c r="P13" s="5" t="s">
        <v>81</v>
      </c>
      <c r="Q13">
        <v>29</v>
      </c>
      <c r="W13" s="5"/>
      <c r="X13" s="20"/>
      <c r="Y13" s="1"/>
      <c r="Z13" s="1"/>
      <c r="AA13" s="1"/>
      <c r="AD13" s="5" t="s">
        <v>137</v>
      </c>
      <c r="AE13">
        <v>23</v>
      </c>
      <c r="AK13" s="5"/>
      <c r="AR13" s="5" t="s">
        <v>158</v>
      </c>
      <c r="AS13">
        <v>42</v>
      </c>
      <c r="AY13" s="5" t="s">
        <v>184</v>
      </c>
      <c r="AZ13">
        <v>56</v>
      </c>
      <c r="BF13" s="5" t="s">
        <v>200</v>
      </c>
      <c r="BG13">
        <v>12</v>
      </c>
      <c r="BM13" s="5" t="s">
        <v>230</v>
      </c>
      <c r="BN13">
        <v>16</v>
      </c>
      <c r="BT13" s="5" t="s">
        <v>253</v>
      </c>
      <c r="BU13">
        <v>35</v>
      </c>
      <c r="CB13" s="5" t="s">
        <v>283</v>
      </c>
      <c r="CC13">
        <v>47</v>
      </c>
      <c r="CD13" s="1"/>
      <c r="CE13" s="1"/>
      <c r="CF13" s="1"/>
      <c r="CI13" s="5" t="s">
        <v>307</v>
      </c>
      <c r="CJ13">
        <v>16</v>
      </c>
      <c r="CQ13" s="5"/>
      <c r="CS13" s="1"/>
      <c r="CT13" s="1"/>
      <c r="CW13" s="5" t="s">
        <v>330</v>
      </c>
      <c r="CX13">
        <v>18</v>
      </c>
      <c r="DB13">
        <v>14</v>
      </c>
    </row>
    <row r="14" spans="2:108" x14ac:dyDescent="0.25">
      <c r="B14" s="5" t="s">
        <v>51</v>
      </c>
      <c r="C14">
        <v>14</v>
      </c>
      <c r="D14" s="1"/>
      <c r="E14" s="1"/>
      <c r="F14" s="1"/>
      <c r="I14" s="5"/>
      <c r="K14" s="1"/>
      <c r="L14" s="1"/>
      <c r="P14" s="5" t="s">
        <v>82</v>
      </c>
      <c r="Q14">
        <v>50</v>
      </c>
      <c r="W14" s="5"/>
      <c r="X14" s="20"/>
      <c r="Y14" s="1"/>
      <c r="Z14" s="1"/>
      <c r="AA14" s="1"/>
      <c r="AD14" s="5" t="s">
        <v>138</v>
      </c>
      <c r="AE14">
        <v>27</v>
      </c>
      <c r="AK14" s="5"/>
      <c r="AR14" s="5" t="s">
        <v>159</v>
      </c>
      <c r="AS14">
        <v>9</v>
      </c>
      <c r="AY14" s="5" t="s">
        <v>185</v>
      </c>
      <c r="AZ14">
        <v>51</v>
      </c>
      <c r="BF14" s="5" t="s">
        <v>201</v>
      </c>
      <c r="BG14" s="19">
        <v>17</v>
      </c>
      <c r="BM14" s="5" t="s">
        <v>231</v>
      </c>
      <c r="BN14">
        <v>4</v>
      </c>
      <c r="BT14" s="5" t="s">
        <v>254</v>
      </c>
      <c r="BU14">
        <v>21</v>
      </c>
      <c r="CB14" s="5" t="s">
        <v>285</v>
      </c>
      <c r="CC14" s="19">
        <v>41</v>
      </c>
      <c r="CD14" s="1"/>
      <c r="CE14" s="1"/>
      <c r="CF14" s="1"/>
      <c r="CI14" s="5" t="s">
        <v>308</v>
      </c>
      <c r="CJ14">
        <v>12</v>
      </c>
      <c r="CQ14" s="5"/>
      <c r="CS14" s="1"/>
      <c r="CT14" s="1"/>
      <c r="CW14" s="5" t="s">
        <v>331</v>
      </c>
      <c r="CX14">
        <v>14</v>
      </c>
      <c r="DB14">
        <v>18</v>
      </c>
    </row>
    <row r="15" spans="2:108" x14ac:dyDescent="0.25">
      <c r="B15" s="5" t="s">
        <v>52</v>
      </c>
      <c r="C15">
        <v>23</v>
      </c>
      <c r="D15" s="1"/>
      <c r="E15" s="1"/>
      <c r="F15" s="1"/>
      <c r="I15" s="5"/>
      <c r="K15" s="1"/>
      <c r="L15" s="1"/>
      <c r="P15" s="5" t="s">
        <v>83</v>
      </c>
      <c r="Q15">
        <v>33</v>
      </c>
      <c r="W15" s="5"/>
      <c r="X15" s="20"/>
      <c r="Y15" s="1"/>
      <c r="Z15" s="1"/>
      <c r="AA15" s="1"/>
      <c r="AD15" s="5" t="s">
        <v>139</v>
      </c>
      <c r="AE15" s="19">
        <v>20</v>
      </c>
      <c r="AK15" s="5"/>
      <c r="AR15" s="5" t="s">
        <v>100</v>
      </c>
      <c r="AS15">
        <v>30</v>
      </c>
      <c r="AY15" s="5" t="s">
        <v>186</v>
      </c>
      <c r="AZ15">
        <v>83</v>
      </c>
      <c r="BF15" s="5" t="s">
        <v>202</v>
      </c>
      <c r="BG15">
        <v>24</v>
      </c>
      <c r="BM15" s="5" t="s">
        <v>232</v>
      </c>
      <c r="BN15" s="19">
        <v>4</v>
      </c>
      <c r="BT15" s="5" t="s">
        <v>255</v>
      </c>
      <c r="BU15">
        <v>25</v>
      </c>
      <c r="CB15" s="5" t="s">
        <v>284</v>
      </c>
      <c r="CC15">
        <v>58</v>
      </c>
      <c r="CD15" s="1"/>
      <c r="CE15" s="1"/>
      <c r="CF15" s="1"/>
      <c r="CI15" s="5" t="s">
        <v>309</v>
      </c>
      <c r="CJ15">
        <v>21</v>
      </c>
      <c r="CQ15" s="5"/>
      <c r="CS15" s="1"/>
      <c r="CT15" s="1"/>
      <c r="CW15" s="5" t="s">
        <v>332</v>
      </c>
      <c r="CX15">
        <v>19</v>
      </c>
      <c r="DB15">
        <v>26</v>
      </c>
    </row>
    <row r="16" spans="2:108" x14ac:dyDescent="0.25">
      <c r="B16" s="5" t="s">
        <v>53</v>
      </c>
      <c r="C16">
        <v>20</v>
      </c>
      <c r="D16" s="1"/>
      <c r="E16" s="1"/>
      <c r="F16" s="1"/>
      <c r="I16" s="5"/>
      <c r="K16" s="1"/>
      <c r="L16" s="1"/>
      <c r="P16" s="5" t="s">
        <v>84</v>
      </c>
      <c r="Q16">
        <v>9</v>
      </c>
      <c r="W16" s="5"/>
      <c r="X16" s="20"/>
      <c r="Y16" s="1"/>
      <c r="Z16" s="1"/>
      <c r="AA16" s="1"/>
      <c r="AD16" s="5" t="s">
        <v>140</v>
      </c>
      <c r="AE16">
        <v>15</v>
      </c>
      <c r="AK16" s="5"/>
      <c r="AR16" s="5" t="s">
        <v>161</v>
      </c>
      <c r="AS16" s="19">
        <v>29</v>
      </c>
      <c r="AY16" s="5" t="s">
        <v>187</v>
      </c>
      <c r="AZ16">
        <v>44</v>
      </c>
      <c r="BF16" s="5" t="s">
        <v>203</v>
      </c>
      <c r="BG16">
        <v>30</v>
      </c>
      <c r="BM16" s="5" t="s">
        <v>233</v>
      </c>
      <c r="BN16">
        <v>13</v>
      </c>
      <c r="BT16" s="5" t="s">
        <v>256</v>
      </c>
      <c r="BU16" s="19">
        <v>18</v>
      </c>
      <c r="CB16" s="5" t="s">
        <v>286</v>
      </c>
      <c r="CC16">
        <v>39</v>
      </c>
      <c r="CD16" s="1"/>
      <c r="CE16" s="1"/>
      <c r="CF16" s="1"/>
      <c r="CI16" s="5" t="s">
        <v>310</v>
      </c>
      <c r="CJ16">
        <v>44</v>
      </c>
      <c r="CQ16" s="5"/>
      <c r="CS16" s="1"/>
      <c r="CT16" s="1"/>
      <c r="CW16" s="5" t="s">
        <v>333</v>
      </c>
      <c r="CX16">
        <v>21</v>
      </c>
      <c r="DB16">
        <v>10</v>
      </c>
    </row>
    <row r="17" spans="2:106" x14ac:dyDescent="0.25">
      <c r="B17" s="5" t="s">
        <v>54</v>
      </c>
      <c r="C17">
        <v>27</v>
      </c>
      <c r="I17" s="5"/>
      <c r="P17" s="5" t="s">
        <v>85</v>
      </c>
      <c r="Q17">
        <v>9</v>
      </c>
      <c r="AD17" s="5" t="s">
        <v>141</v>
      </c>
      <c r="AE17">
        <v>25</v>
      </c>
      <c r="AK17" s="5"/>
      <c r="AR17" s="5" t="s">
        <v>162</v>
      </c>
      <c r="AS17">
        <v>30</v>
      </c>
      <c r="AY17" s="5" t="s">
        <v>188</v>
      </c>
      <c r="AZ17">
        <v>65</v>
      </c>
      <c r="BF17" s="5" t="s">
        <v>204</v>
      </c>
      <c r="BG17">
        <v>41</v>
      </c>
      <c r="BM17" s="5" t="s">
        <v>234</v>
      </c>
      <c r="BN17">
        <v>36</v>
      </c>
      <c r="BT17" s="5" t="s">
        <v>257</v>
      </c>
      <c r="BU17">
        <v>19</v>
      </c>
      <c r="CB17" s="5" t="s">
        <v>287</v>
      </c>
      <c r="CC17">
        <v>36</v>
      </c>
      <c r="CI17" s="5" t="s">
        <v>311</v>
      </c>
      <c r="CJ17">
        <v>21</v>
      </c>
      <c r="CQ17" s="5"/>
      <c r="CW17" s="5" t="s">
        <v>334</v>
      </c>
      <c r="CX17">
        <v>35</v>
      </c>
      <c r="DB17">
        <v>32</v>
      </c>
    </row>
    <row r="18" spans="2:106" x14ac:dyDescent="0.25">
      <c r="B18" s="5" t="s">
        <v>55</v>
      </c>
      <c r="C18">
        <v>17</v>
      </c>
      <c r="D18" s="1"/>
      <c r="E18" s="1"/>
      <c r="F18" s="1"/>
      <c r="I18" s="5"/>
      <c r="K18" s="1"/>
      <c r="L18" s="1"/>
      <c r="P18" s="5" t="s">
        <v>86</v>
      </c>
      <c r="Q18">
        <v>28</v>
      </c>
      <c r="W18" s="21"/>
      <c r="X18" s="21"/>
      <c r="Y18" s="1"/>
      <c r="Z18" s="1"/>
      <c r="AA18" s="1"/>
      <c r="AD18" s="5" t="s">
        <v>142</v>
      </c>
      <c r="AE18">
        <v>34</v>
      </c>
      <c r="AK18" s="5"/>
      <c r="AR18" s="5" t="s">
        <v>163</v>
      </c>
      <c r="AS18">
        <v>29</v>
      </c>
      <c r="AY18" s="5" t="s">
        <v>395</v>
      </c>
      <c r="AZ18">
        <v>53</v>
      </c>
      <c r="BF18" s="5" t="s">
        <v>205</v>
      </c>
      <c r="BG18">
        <v>35</v>
      </c>
      <c r="BM18" s="5" t="s">
        <v>157</v>
      </c>
      <c r="BN18" s="5">
        <v>28</v>
      </c>
      <c r="BT18" s="5" t="s">
        <v>258</v>
      </c>
      <c r="BU18">
        <v>18</v>
      </c>
      <c r="CB18" s="5" t="s">
        <v>288</v>
      </c>
      <c r="CC18">
        <v>38</v>
      </c>
      <c r="CD18" s="1"/>
      <c r="CE18" s="1"/>
      <c r="CF18" s="1"/>
      <c r="CI18" s="5" t="s">
        <v>312</v>
      </c>
      <c r="CJ18">
        <v>19</v>
      </c>
      <c r="CQ18" s="5"/>
      <c r="CS18" s="1"/>
      <c r="CT18" s="1"/>
      <c r="CW18" s="5" t="s">
        <v>335</v>
      </c>
      <c r="CX18">
        <v>13</v>
      </c>
      <c r="DB18">
        <v>29</v>
      </c>
    </row>
    <row r="19" spans="2:106" x14ac:dyDescent="0.25">
      <c r="B19" s="5" t="s">
        <v>56</v>
      </c>
      <c r="C19">
        <v>15</v>
      </c>
      <c r="D19" s="1"/>
      <c r="E19" s="1"/>
      <c r="F19" s="1"/>
      <c r="I19" s="5"/>
      <c r="K19" s="1"/>
      <c r="L19" s="1"/>
      <c r="P19" s="5" t="s">
        <v>87</v>
      </c>
      <c r="Q19">
        <v>9</v>
      </c>
      <c r="W19" s="21"/>
      <c r="X19" s="21"/>
      <c r="Y19" s="1"/>
      <c r="Z19" s="1"/>
      <c r="AA19" s="1"/>
      <c r="AD19" s="5"/>
      <c r="AR19" s="5" t="s">
        <v>164</v>
      </c>
      <c r="AS19">
        <v>23</v>
      </c>
      <c r="AY19" s="5" t="s">
        <v>189</v>
      </c>
      <c r="AZ19">
        <v>18</v>
      </c>
      <c r="BF19" s="5" t="s">
        <v>206</v>
      </c>
      <c r="BG19">
        <v>40</v>
      </c>
      <c r="BM19" s="5" t="s">
        <v>235</v>
      </c>
      <c r="BN19" s="27">
        <v>17</v>
      </c>
      <c r="BT19" s="5" t="s">
        <v>259</v>
      </c>
      <c r="BU19">
        <v>22</v>
      </c>
      <c r="CB19" s="5" t="s">
        <v>289</v>
      </c>
      <c r="CC19">
        <v>48</v>
      </c>
      <c r="CD19" s="1"/>
      <c r="CE19" s="1"/>
      <c r="CF19" s="1"/>
      <c r="CI19" s="5" t="s">
        <v>313</v>
      </c>
      <c r="CJ19">
        <v>29</v>
      </c>
      <c r="CQ19" s="5"/>
      <c r="CS19" s="1"/>
      <c r="CT19" s="1"/>
      <c r="CW19" s="5" t="s">
        <v>43</v>
      </c>
      <c r="CX19">
        <v>40</v>
      </c>
      <c r="DB19">
        <v>78</v>
      </c>
    </row>
    <row r="20" spans="2:106" x14ac:dyDescent="0.25">
      <c r="B20" s="5" t="s">
        <v>57</v>
      </c>
      <c r="C20">
        <v>11</v>
      </c>
      <c r="D20" s="1"/>
      <c r="E20" s="1"/>
      <c r="F20" s="1"/>
      <c r="I20" s="5"/>
      <c r="K20" s="1"/>
      <c r="L20" s="1"/>
      <c r="W20" s="22"/>
      <c r="X20" s="23" t="s">
        <v>394</v>
      </c>
      <c r="Y20" s="23"/>
      <c r="Z20" s="24">
        <v>2016</v>
      </c>
      <c r="AA20" s="24"/>
      <c r="AR20" s="5" t="s">
        <v>165</v>
      </c>
      <c r="AS20">
        <v>27</v>
      </c>
      <c r="AY20" s="5" t="s">
        <v>190</v>
      </c>
      <c r="AZ20">
        <v>9</v>
      </c>
      <c r="BF20" s="5" t="s">
        <v>207</v>
      </c>
      <c r="BG20">
        <v>21</v>
      </c>
      <c r="BM20" s="5" t="s">
        <v>236</v>
      </c>
      <c r="BN20">
        <v>22</v>
      </c>
      <c r="BT20" s="5" t="s">
        <v>260</v>
      </c>
      <c r="BU20">
        <v>18</v>
      </c>
      <c r="CB20" s="22"/>
      <c r="CD20" s="23"/>
      <c r="CE20" s="24"/>
      <c r="CF20" s="24"/>
      <c r="CI20" s="5" t="s">
        <v>314</v>
      </c>
      <c r="CJ20">
        <v>17</v>
      </c>
      <c r="CQ20" s="22"/>
      <c r="CS20" s="23"/>
      <c r="CT20" s="24"/>
      <c r="CW20" s="5" t="s">
        <v>336</v>
      </c>
      <c r="CX20">
        <v>38</v>
      </c>
      <c r="DB20">
        <v>44</v>
      </c>
    </row>
    <row r="21" spans="2:106" x14ac:dyDescent="0.25">
      <c r="B21" s="5" t="s">
        <v>58</v>
      </c>
      <c r="C21">
        <v>34</v>
      </c>
      <c r="D21" s="1"/>
      <c r="E21" s="1"/>
      <c r="F21" s="1"/>
      <c r="I21" s="5"/>
      <c r="K21" s="1"/>
      <c r="L21" s="1"/>
      <c r="W21" s="5" t="s">
        <v>96</v>
      </c>
      <c r="X21">
        <v>100</v>
      </c>
      <c r="Y21" s="17" t="s">
        <v>385</v>
      </c>
      <c r="Z21" s="17" t="s">
        <v>386</v>
      </c>
      <c r="AA21" s="17"/>
      <c r="AR21" s="5" t="s">
        <v>166</v>
      </c>
      <c r="AS21">
        <v>41</v>
      </c>
      <c r="AY21" s="5"/>
      <c r="BF21" s="5" t="s">
        <v>208</v>
      </c>
      <c r="BG21" s="19">
        <v>51</v>
      </c>
      <c r="BM21" s="5" t="s">
        <v>237</v>
      </c>
      <c r="BN21">
        <v>26</v>
      </c>
      <c r="BT21" s="5" t="s">
        <v>261</v>
      </c>
      <c r="BU21">
        <v>32</v>
      </c>
      <c r="CB21" s="22"/>
      <c r="CC21" s="23" t="s">
        <v>397</v>
      </c>
      <c r="CD21" s="23"/>
      <c r="CE21" s="24">
        <v>2016</v>
      </c>
      <c r="CF21" s="17"/>
      <c r="CI21" s="5" t="s">
        <v>315</v>
      </c>
      <c r="CJ21">
        <v>21</v>
      </c>
      <c r="CQ21" s="22"/>
      <c r="CR21" s="23" t="s">
        <v>399</v>
      </c>
      <c r="CS21" s="23"/>
      <c r="CT21" s="24">
        <v>2016</v>
      </c>
      <c r="CW21" s="5" t="s">
        <v>337</v>
      </c>
      <c r="CX21">
        <v>40</v>
      </c>
      <c r="DB21">
        <v>58</v>
      </c>
    </row>
    <row r="22" spans="2:106" x14ac:dyDescent="0.25">
      <c r="B22" s="5" t="s">
        <v>60</v>
      </c>
      <c r="C22">
        <v>28</v>
      </c>
      <c r="I22" s="5"/>
      <c r="W22" s="5" t="s">
        <v>97</v>
      </c>
      <c r="X22">
        <v>88</v>
      </c>
      <c r="Y22" s="17" t="s">
        <v>387</v>
      </c>
      <c r="Z22" s="17">
        <f>SUM(X21:X53)</f>
        <v>1694</v>
      </c>
      <c r="AA22" s="17"/>
      <c r="AR22" s="5" t="s">
        <v>168</v>
      </c>
      <c r="AS22">
        <v>34</v>
      </c>
      <c r="BF22" s="5" t="s">
        <v>209</v>
      </c>
      <c r="BG22">
        <v>31</v>
      </c>
      <c r="BM22" s="5" t="s">
        <v>238</v>
      </c>
      <c r="BN22">
        <v>34</v>
      </c>
      <c r="BT22" s="5" t="s">
        <v>262</v>
      </c>
      <c r="BU22">
        <v>19</v>
      </c>
      <c r="CB22" s="5" t="s">
        <v>290</v>
      </c>
      <c r="CC22">
        <v>33</v>
      </c>
      <c r="CD22" s="17" t="s">
        <v>385</v>
      </c>
      <c r="CE22" s="17" t="s">
        <v>386</v>
      </c>
      <c r="CF22" s="17"/>
      <c r="CI22" s="5" t="s">
        <v>316</v>
      </c>
      <c r="CJ22">
        <v>38</v>
      </c>
      <c r="CQ22" s="5" t="s">
        <v>328</v>
      </c>
      <c r="CR22">
        <v>24</v>
      </c>
      <c r="CS22" s="17" t="s">
        <v>385</v>
      </c>
      <c r="CT22" s="17" t="s">
        <v>386</v>
      </c>
      <c r="CW22" s="5" t="s">
        <v>338</v>
      </c>
      <c r="CX22">
        <v>24</v>
      </c>
      <c r="DB22">
        <v>37</v>
      </c>
    </row>
    <row r="23" spans="2:106" x14ac:dyDescent="0.25">
      <c r="B23" s="5" t="s">
        <v>61</v>
      </c>
      <c r="C23">
        <v>41</v>
      </c>
      <c r="I23" s="5"/>
      <c r="W23" s="5" t="s">
        <v>98</v>
      </c>
      <c r="X23">
        <v>101</v>
      </c>
      <c r="Y23" s="17" t="s">
        <v>388</v>
      </c>
      <c r="Z23" s="17">
        <f>MIN(X21:X53)</f>
        <v>13</v>
      </c>
      <c r="AA23" s="17"/>
      <c r="AR23" s="5" t="s">
        <v>169</v>
      </c>
      <c r="AS23" s="19">
        <v>31</v>
      </c>
      <c r="BF23" s="5" t="s">
        <v>210</v>
      </c>
      <c r="BG23">
        <v>37</v>
      </c>
      <c r="BM23" s="5" t="s">
        <v>239</v>
      </c>
      <c r="BN23" s="19">
        <v>45</v>
      </c>
      <c r="BT23" s="5" t="s">
        <v>263</v>
      </c>
      <c r="BU23" s="19">
        <v>58</v>
      </c>
      <c r="CB23" s="5" t="s">
        <v>291</v>
      </c>
      <c r="CC23">
        <v>29</v>
      </c>
      <c r="CD23" s="17" t="s">
        <v>387</v>
      </c>
      <c r="CE23" s="17">
        <f>SUM(CC22:CC33)</f>
        <v>265</v>
      </c>
      <c r="CF23" s="17"/>
      <c r="CI23" s="5" t="s">
        <v>317</v>
      </c>
      <c r="CJ23">
        <v>43</v>
      </c>
      <c r="CQ23" s="5" t="s">
        <v>329</v>
      </c>
      <c r="CR23">
        <v>17</v>
      </c>
      <c r="CS23" s="17" t="s">
        <v>387</v>
      </c>
      <c r="CT23" s="17">
        <f>SUM(CR22:CR28)</f>
        <v>92</v>
      </c>
      <c r="CW23" s="5" t="s">
        <v>339</v>
      </c>
      <c r="CX23">
        <v>30</v>
      </c>
      <c r="DB23">
        <v>41</v>
      </c>
    </row>
    <row r="24" spans="2:106" x14ac:dyDescent="0.25">
      <c r="B24" s="5" t="s">
        <v>62</v>
      </c>
      <c r="C24">
        <v>25</v>
      </c>
      <c r="I24" s="5"/>
      <c r="W24" s="5" t="s">
        <v>99</v>
      </c>
      <c r="X24">
        <v>99</v>
      </c>
      <c r="Y24" s="17" t="s">
        <v>389</v>
      </c>
      <c r="Z24" s="17">
        <f>MAX(X21:X53)</f>
        <v>101</v>
      </c>
      <c r="AA24" s="17"/>
      <c r="AR24" s="5" t="s">
        <v>170</v>
      </c>
      <c r="AS24">
        <v>25</v>
      </c>
      <c r="BF24" s="5" t="s">
        <v>211</v>
      </c>
      <c r="BG24" s="67">
        <v>31</v>
      </c>
      <c r="BM24" s="5" t="s">
        <v>240</v>
      </c>
      <c r="BN24">
        <v>28</v>
      </c>
      <c r="BT24" s="5" t="s">
        <v>264</v>
      </c>
      <c r="BU24">
        <v>39</v>
      </c>
      <c r="CB24" s="5" t="s">
        <v>292</v>
      </c>
      <c r="CC24">
        <v>44</v>
      </c>
      <c r="CD24" s="17" t="s">
        <v>388</v>
      </c>
      <c r="CE24" s="17">
        <f>MIN(CC22:CC33)</f>
        <v>8</v>
      </c>
      <c r="CF24" s="17"/>
      <c r="CI24" s="5" t="s">
        <v>318</v>
      </c>
      <c r="CJ24">
        <v>47</v>
      </c>
      <c r="CQ24" s="5" t="s">
        <v>330</v>
      </c>
      <c r="CR24">
        <v>18</v>
      </c>
      <c r="CS24" s="17" t="s">
        <v>388</v>
      </c>
      <c r="CT24" s="17">
        <f>MIN(CR22:CR28)</f>
        <v>14</v>
      </c>
      <c r="CW24" s="5" t="s">
        <v>340</v>
      </c>
      <c r="CX24">
        <v>24</v>
      </c>
      <c r="DB24">
        <v>30</v>
      </c>
    </row>
    <row r="25" spans="2:106" x14ac:dyDescent="0.25">
      <c r="B25" s="5" t="s">
        <v>63</v>
      </c>
      <c r="C25">
        <v>17</v>
      </c>
      <c r="I25" s="5"/>
      <c r="W25" s="5" t="s">
        <v>100</v>
      </c>
      <c r="X25">
        <v>49</v>
      </c>
      <c r="Y25" s="17" t="s">
        <v>390</v>
      </c>
      <c r="Z25" s="17">
        <f>_xlfn.VAR.S(X21:X53)</f>
        <v>706.35416666666652</v>
      </c>
      <c r="AA25" s="17"/>
      <c r="AR25" s="5" t="s">
        <v>171</v>
      </c>
      <c r="AS25">
        <v>26</v>
      </c>
      <c r="BF25" s="5" t="s">
        <v>212</v>
      </c>
      <c r="BG25" s="27">
        <v>12</v>
      </c>
      <c r="BM25" s="5" t="s">
        <v>241</v>
      </c>
      <c r="BN25">
        <v>24</v>
      </c>
      <c r="BT25" s="5" t="s">
        <v>265</v>
      </c>
      <c r="BU25">
        <v>54</v>
      </c>
      <c r="CB25" s="5" t="s">
        <v>293</v>
      </c>
      <c r="CC25">
        <v>35</v>
      </c>
      <c r="CD25" s="17" t="s">
        <v>389</v>
      </c>
      <c r="CE25" s="17">
        <f>MAX(CC22:CC33)</f>
        <v>49</v>
      </c>
      <c r="CF25" s="17"/>
      <c r="CI25" s="5" t="s">
        <v>319</v>
      </c>
      <c r="CJ25">
        <v>33</v>
      </c>
      <c r="CQ25" s="5" t="s">
        <v>331</v>
      </c>
      <c r="CR25">
        <v>14</v>
      </c>
      <c r="CS25" s="17" t="s">
        <v>389</v>
      </c>
      <c r="CT25" s="17">
        <f>MAX(CR22:CR28)</f>
        <v>24</v>
      </c>
      <c r="CW25" s="5" t="s">
        <v>341</v>
      </c>
      <c r="CX25">
        <v>27</v>
      </c>
      <c r="DB25">
        <v>21</v>
      </c>
    </row>
    <row r="26" spans="2:106" x14ac:dyDescent="0.25">
      <c r="B26" s="5" t="s">
        <v>64</v>
      </c>
      <c r="C26">
        <v>11</v>
      </c>
      <c r="I26" s="5"/>
      <c r="W26" s="5" t="s">
        <v>101</v>
      </c>
      <c r="X26">
        <v>63</v>
      </c>
      <c r="Y26" s="17" t="s">
        <v>391</v>
      </c>
      <c r="Z26" s="17">
        <f>AVERAGE(X21:X53)</f>
        <v>51.333333333333336</v>
      </c>
      <c r="AA26" s="17"/>
      <c r="AR26" s="5" t="s">
        <v>172</v>
      </c>
      <c r="AS26">
        <v>22</v>
      </c>
      <c r="BF26" s="5" t="s">
        <v>213</v>
      </c>
      <c r="BG26">
        <v>13</v>
      </c>
      <c r="BM26" s="5" t="s">
        <v>242</v>
      </c>
      <c r="BN26">
        <v>24</v>
      </c>
      <c r="BT26" s="5" t="s">
        <v>266</v>
      </c>
      <c r="BU26">
        <v>27</v>
      </c>
      <c r="CB26" s="5" t="s">
        <v>294</v>
      </c>
      <c r="CC26">
        <v>49</v>
      </c>
      <c r="CD26" s="17" t="s">
        <v>390</v>
      </c>
      <c r="CE26" s="17">
        <f>_xlfn.VAR.S(CC22:CC33)</f>
        <v>166.27777777777783</v>
      </c>
      <c r="CF26" s="17"/>
      <c r="CI26" s="5" t="s">
        <v>320</v>
      </c>
      <c r="CJ26">
        <v>49</v>
      </c>
      <c r="CQ26" s="5" t="s">
        <v>332</v>
      </c>
      <c r="CR26">
        <v>19</v>
      </c>
      <c r="CS26" s="17" t="s">
        <v>390</v>
      </c>
      <c r="CT26" s="17">
        <f>_xlfn.VAR.S(CR22:CR28)</f>
        <v>13.300000000000011</v>
      </c>
      <c r="CW26" s="5" t="s">
        <v>342</v>
      </c>
      <c r="CX26">
        <v>34</v>
      </c>
      <c r="DB26">
        <v>8</v>
      </c>
    </row>
    <row r="27" spans="2:106" x14ac:dyDescent="0.25">
      <c r="W27" s="5" t="s">
        <v>103</v>
      </c>
      <c r="X27" s="27">
        <v>83</v>
      </c>
      <c r="Y27" s="17" t="s">
        <v>392</v>
      </c>
      <c r="Z27" s="17">
        <f>STDEV(X21:X53)</f>
        <v>26.577324294719109</v>
      </c>
      <c r="AA27" s="17"/>
      <c r="AR27" s="5" t="s">
        <v>173</v>
      </c>
      <c r="AS27">
        <v>33</v>
      </c>
      <c r="BF27" s="5" t="s">
        <v>214</v>
      </c>
      <c r="BG27">
        <v>8</v>
      </c>
      <c r="BM27" s="5" t="s">
        <v>243</v>
      </c>
      <c r="BN27">
        <v>54</v>
      </c>
      <c r="BT27" s="5" t="s">
        <v>267</v>
      </c>
      <c r="BU27">
        <v>39</v>
      </c>
      <c r="CB27" s="5" t="s">
        <v>295</v>
      </c>
      <c r="CC27">
        <v>26</v>
      </c>
      <c r="CD27" s="17" t="s">
        <v>391</v>
      </c>
      <c r="CE27" s="17">
        <f>AVERAGE(CC22:CC33)</f>
        <v>29.444444444444443</v>
      </c>
      <c r="CF27" s="17"/>
      <c r="CI27" s="5"/>
      <c r="CS27" s="17" t="s">
        <v>391</v>
      </c>
      <c r="CT27" s="17">
        <f>AVERAGE(CR22:CR28)</f>
        <v>18.399999999999999</v>
      </c>
      <c r="CW27" s="5" t="s">
        <v>343</v>
      </c>
      <c r="CX27">
        <v>28</v>
      </c>
      <c r="DB27">
        <v>28</v>
      </c>
    </row>
    <row r="28" spans="2:106" x14ac:dyDescent="0.25">
      <c r="W28" s="5" t="s">
        <v>104</v>
      </c>
      <c r="X28" s="27">
        <v>82</v>
      </c>
      <c r="Y28" s="17"/>
      <c r="Z28" s="17"/>
      <c r="AA28" s="17"/>
      <c r="AR28" s="5" t="s">
        <v>174</v>
      </c>
      <c r="AS28">
        <v>33</v>
      </c>
      <c r="BF28" s="5" t="s">
        <v>215</v>
      </c>
      <c r="BG28">
        <v>34</v>
      </c>
      <c r="BM28" s="5" t="s">
        <v>244</v>
      </c>
      <c r="BN28">
        <v>29</v>
      </c>
      <c r="BT28" s="5" t="s">
        <v>268</v>
      </c>
      <c r="BU28">
        <v>19</v>
      </c>
      <c r="CB28" s="5" t="s">
        <v>296</v>
      </c>
      <c r="CC28">
        <v>26</v>
      </c>
      <c r="CD28" s="17" t="s">
        <v>392</v>
      </c>
      <c r="CE28" s="17">
        <f>STDEV(CC22:CC33)</f>
        <v>12.894874089256469</v>
      </c>
      <c r="CF28" s="17"/>
      <c r="CI28" s="5"/>
      <c r="CS28" s="17" t="s">
        <v>392</v>
      </c>
      <c r="CT28" s="17">
        <f>STDEV(CR22:CR28)</f>
        <v>3.6469165057620954</v>
      </c>
      <c r="CW28" s="5" t="s">
        <v>344</v>
      </c>
      <c r="CX28">
        <v>34</v>
      </c>
      <c r="DB28">
        <v>33</v>
      </c>
    </row>
    <row r="29" spans="2:106" x14ac:dyDescent="0.25">
      <c r="W29" s="5" t="s">
        <v>105</v>
      </c>
      <c r="X29" s="27">
        <v>23</v>
      </c>
      <c r="Y29" s="17"/>
      <c r="Z29" s="17"/>
      <c r="AA29" s="17"/>
      <c r="BF29" s="5" t="s">
        <v>216</v>
      </c>
      <c r="BG29" s="19">
        <v>12</v>
      </c>
      <c r="BM29" s="5"/>
      <c r="BT29" s="5" t="s">
        <v>269</v>
      </c>
      <c r="BU29">
        <v>38</v>
      </c>
      <c r="CB29" s="5" t="s">
        <v>297</v>
      </c>
      <c r="CC29">
        <v>8</v>
      </c>
      <c r="CD29" s="17"/>
      <c r="CE29" s="17"/>
      <c r="CF29" s="17"/>
      <c r="CI29" s="5"/>
      <c r="CS29" s="17"/>
      <c r="CT29" s="17"/>
      <c r="CW29" s="5" t="s">
        <v>345</v>
      </c>
      <c r="CX29">
        <v>20</v>
      </c>
      <c r="DB29">
        <v>46</v>
      </c>
    </row>
    <row r="30" spans="2:106" x14ac:dyDescent="0.25">
      <c r="W30" s="5" t="s">
        <v>106</v>
      </c>
      <c r="X30" s="27">
        <v>94</v>
      </c>
      <c r="Y30" s="17"/>
      <c r="Z30" s="17"/>
      <c r="AA30" s="17"/>
      <c r="BF30" s="5" t="s">
        <v>217</v>
      </c>
      <c r="BG30">
        <v>4</v>
      </c>
      <c r="BM30" s="5"/>
      <c r="BT30" s="5" t="s">
        <v>270</v>
      </c>
      <c r="BU30">
        <v>36</v>
      </c>
      <c r="CB30" s="5" t="s">
        <v>298</v>
      </c>
      <c r="CC30">
        <v>15</v>
      </c>
      <c r="CD30" s="17"/>
      <c r="CE30" s="17"/>
      <c r="CF30" s="17"/>
      <c r="CI30" s="5"/>
      <c r="CS30" s="17"/>
      <c r="CT30" s="17"/>
      <c r="CW30" s="5" t="s">
        <v>346</v>
      </c>
      <c r="CX30">
        <v>35</v>
      </c>
      <c r="DB30">
        <v>35</v>
      </c>
    </row>
    <row r="31" spans="2:106" x14ac:dyDescent="0.25">
      <c r="W31" s="5" t="s">
        <v>61</v>
      </c>
      <c r="X31" s="27">
        <v>28</v>
      </c>
      <c r="Y31" s="17"/>
      <c r="Z31" s="17"/>
      <c r="AA31" s="17"/>
      <c r="BF31" s="5" t="s">
        <v>218</v>
      </c>
      <c r="BG31">
        <v>3</v>
      </c>
      <c r="BM31" s="5"/>
      <c r="BT31" s="5" t="s">
        <v>271</v>
      </c>
      <c r="BU31">
        <v>31</v>
      </c>
      <c r="CB31" s="5"/>
      <c r="CC31" s="27"/>
      <c r="CD31" s="17"/>
      <c r="CE31" s="17"/>
      <c r="CF31" s="17"/>
      <c r="CI31" s="5"/>
      <c r="CS31" s="17"/>
      <c r="CT31" s="17"/>
      <c r="CW31" s="5" t="s">
        <v>347</v>
      </c>
      <c r="CX31">
        <v>37</v>
      </c>
      <c r="DB31">
        <v>70</v>
      </c>
    </row>
    <row r="32" spans="2:106" x14ac:dyDescent="0.25">
      <c r="W32" s="5" t="s">
        <v>107</v>
      </c>
      <c r="X32" s="27">
        <v>71</v>
      </c>
      <c r="Y32" s="25"/>
      <c r="Z32" s="25"/>
      <c r="AA32" s="25"/>
      <c r="BF32" s="5" t="s">
        <v>219</v>
      </c>
      <c r="BG32">
        <v>3</v>
      </c>
      <c r="BM32" s="5"/>
      <c r="BT32" s="5" t="s">
        <v>272</v>
      </c>
      <c r="BU32">
        <v>42</v>
      </c>
      <c r="CB32" s="5"/>
      <c r="CC32" s="27"/>
      <c r="CD32" s="17"/>
      <c r="CE32" s="17"/>
      <c r="CF32" s="25"/>
      <c r="CI32" s="5"/>
      <c r="CW32" s="5" t="s">
        <v>348</v>
      </c>
      <c r="CX32">
        <v>29</v>
      </c>
      <c r="DB32">
        <v>19</v>
      </c>
    </row>
    <row r="33" spans="23:108" x14ac:dyDescent="0.25">
      <c r="W33" s="5" t="s">
        <v>108</v>
      </c>
      <c r="X33" s="27">
        <v>70</v>
      </c>
      <c r="BF33" s="5" t="s">
        <v>220</v>
      </c>
      <c r="BG33">
        <v>6</v>
      </c>
      <c r="BM33" s="5"/>
      <c r="BT33" s="5" t="s">
        <v>273</v>
      </c>
      <c r="BU33">
        <v>51</v>
      </c>
      <c r="CC33" s="27"/>
      <c r="CD33" s="25"/>
      <c r="CE33" s="25"/>
      <c r="CI33" s="5"/>
      <c r="CW33" s="5" t="s">
        <v>349</v>
      </c>
      <c r="CX33">
        <v>29</v>
      </c>
      <c r="DB33">
        <v>26</v>
      </c>
    </row>
    <row r="34" spans="23:108" x14ac:dyDescent="0.25">
      <c r="W34" s="5" t="s">
        <v>109</v>
      </c>
      <c r="X34" s="27">
        <v>32</v>
      </c>
      <c r="CC34">
        <v>27</v>
      </c>
      <c r="CW34" s="5" t="s">
        <v>350</v>
      </c>
      <c r="CX34">
        <v>13</v>
      </c>
      <c r="DB34">
        <v>26</v>
      </c>
    </row>
    <row r="35" spans="23:108" x14ac:dyDescent="0.25">
      <c r="W35" s="5" t="s">
        <v>110</v>
      </c>
      <c r="X35" s="27">
        <v>57</v>
      </c>
      <c r="CC35">
        <v>21</v>
      </c>
      <c r="CQ35" s="22"/>
      <c r="CR35" s="23" t="s">
        <v>591</v>
      </c>
      <c r="CS35" s="23"/>
      <c r="CT35" s="24">
        <v>2016</v>
      </c>
      <c r="CW35" s="5" t="s">
        <v>351</v>
      </c>
      <c r="CX35">
        <v>20</v>
      </c>
      <c r="DB35">
        <v>14</v>
      </c>
    </row>
    <row r="36" spans="23:108" x14ac:dyDescent="0.25">
      <c r="W36" s="5" t="s">
        <v>111</v>
      </c>
      <c r="X36" s="27">
        <v>52</v>
      </c>
      <c r="CC36">
        <v>25</v>
      </c>
      <c r="CQ36" s="5" t="s">
        <v>333</v>
      </c>
      <c r="CR36">
        <v>21</v>
      </c>
      <c r="CS36" s="17" t="s">
        <v>387</v>
      </c>
      <c r="CT36" s="17">
        <f>SUM(CR35:CR63)</f>
        <v>752</v>
      </c>
      <c r="CW36" s="5" t="s">
        <v>352</v>
      </c>
      <c r="CX36">
        <v>27</v>
      </c>
      <c r="DB36">
        <v>36</v>
      </c>
    </row>
    <row r="37" spans="23:108" x14ac:dyDescent="0.25">
      <c r="W37" s="5" t="s">
        <v>112</v>
      </c>
      <c r="X37" s="27">
        <v>29</v>
      </c>
      <c r="CC37" s="19">
        <v>46</v>
      </c>
      <c r="CD37" s="17" t="s">
        <v>385</v>
      </c>
      <c r="CE37" s="17" t="s">
        <v>386</v>
      </c>
      <c r="CQ37" s="5" t="s">
        <v>334</v>
      </c>
      <c r="CR37">
        <v>35</v>
      </c>
      <c r="CS37" s="17" t="s">
        <v>388</v>
      </c>
      <c r="CT37" s="17">
        <f>MIN(CR35:CR63)</f>
        <v>13</v>
      </c>
      <c r="CW37" s="5" t="s">
        <v>353</v>
      </c>
      <c r="CX37">
        <v>25</v>
      </c>
      <c r="DB37">
        <v>55</v>
      </c>
    </row>
    <row r="38" spans="23:108" x14ac:dyDescent="0.25">
      <c r="W38" s="5" t="s">
        <v>113</v>
      </c>
      <c r="X38" s="27">
        <v>23</v>
      </c>
      <c r="CC38">
        <v>59</v>
      </c>
      <c r="CD38" s="17" t="s">
        <v>387</v>
      </c>
      <c r="CE38" s="17">
        <f>SUM(CC34:CC58)</f>
        <v>883</v>
      </c>
      <c r="CQ38" s="5" t="s">
        <v>335</v>
      </c>
      <c r="CR38">
        <v>13</v>
      </c>
      <c r="CS38" s="17" t="s">
        <v>389</v>
      </c>
      <c r="CT38" s="17">
        <f>MAX(CR35:CR63)</f>
        <v>40</v>
      </c>
      <c r="CW38" s="5" t="s">
        <v>354</v>
      </c>
      <c r="CX38">
        <v>21</v>
      </c>
      <c r="DB38">
        <v>28</v>
      </c>
    </row>
    <row r="39" spans="23:108" x14ac:dyDescent="0.25">
      <c r="W39" s="26" t="s">
        <v>114</v>
      </c>
      <c r="X39" s="27">
        <v>30</v>
      </c>
      <c r="CC39">
        <v>28</v>
      </c>
      <c r="CD39" s="17" t="s">
        <v>388</v>
      </c>
      <c r="CE39" s="17">
        <f>MIN(CC34:CC58)</f>
        <v>8</v>
      </c>
      <c r="CQ39" s="5" t="s">
        <v>43</v>
      </c>
      <c r="CR39">
        <v>40</v>
      </c>
      <c r="CS39" s="17" t="s">
        <v>390</v>
      </c>
      <c r="CT39" s="17">
        <f>_xlfn.VAR.S(CR35:CR63)</f>
        <v>64.126984126984169</v>
      </c>
      <c r="CW39" s="5" t="s">
        <v>355</v>
      </c>
      <c r="CX39">
        <v>22</v>
      </c>
      <c r="DB39">
        <v>25</v>
      </c>
    </row>
    <row r="40" spans="23:108" x14ac:dyDescent="0.25">
      <c r="W40" s="26" t="s">
        <v>115</v>
      </c>
      <c r="X40" s="27">
        <v>55</v>
      </c>
      <c r="CC40">
        <v>46</v>
      </c>
      <c r="CD40" s="17" t="s">
        <v>389</v>
      </c>
      <c r="CE40" s="17">
        <f>MAX(CC34:CC58)</f>
        <v>59</v>
      </c>
      <c r="CQ40" s="5" t="s">
        <v>336</v>
      </c>
      <c r="CR40">
        <v>38</v>
      </c>
      <c r="CS40" s="17" t="s">
        <v>391</v>
      </c>
      <c r="CT40" s="17">
        <f>AVERAGE(CR35:CR63)</f>
        <v>26.857142857142858</v>
      </c>
      <c r="CW40" s="2" t="s">
        <v>356</v>
      </c>
      <c r="CX40">
        <v>35</v>
      </c>
      <c r="DB40">
        <v>23</v>
      </c>
    </row>
    <row r="41" spans="23:108" x14ac:dyDescent="0.25">
      <c r="W41" s="26" t="s">
        <v>116</v>
      </c>
      <c r="X41" s="27">
        <v>66</v>
      </c>
      <c r="CC41">
        <v>21</v>
      </c>
      <c r="CD41" s="17" t="s">
        <v>390</v>
      </c>
      <c r="CE41" s="17">
        <f>_xlfn.VAR.S(CC34:CC58)</f>
        <v>164.2266666666666</v>
      </c>
      <c r="CQ41" s="5" t="s">
        <v>337</v>
      </c>
      <c r="CR41">
        <v>39</v>
      </c>
      <c r="CS41" s="17" t="s">
        <v>392</v>
      </c>
      <c r="CT41" s="17">
        <f>STDEV(CR35:CR63)</f>
        <v>8.0079325750773016</v>
      </c>
      <c r="CW41" s="2" t="s">
        <v>357</v>
      </c>
      <c r="CX41">
        <v>17</v>
      </c>
    </row>
    <row r="42" spans="23:108" x14ac:dyDescent="0.25">
      <c r="W42" s="26" t="s">
        <v>117</v>
      </c>
      <c r="X42" s="27">
        <v>25</v>
      </c>
      <c r="CC42">
        <v>38</v>
      </c>
      <c r="CD42" s="17" t="s">
        <v>391</v>
      </c>
      <c r="CE42" s="17">
        <f>AVERAGE(CC34:CC58)</f>
        <v>35.32</v>
      </c>
      <c r="CQ42" s="5" t="s">
        <v>338</v>
      </c>
      <c r="CR42">
        <v>24</v>
      </c>
      <c r="CW42" s="2" t="s">
        <v>358</v>
      </c>
      <c r="CX42">
        <v>18</v>
      </c>
    </row>
    <row r="43" spans="23:108" x14ac:dyDescent="0.25">
      <c r="W43" s="26" t="s">
        <v>118</v>
      </c>
      <c r="X43" s="27">
        <v>27</v>
      </c>
      <c r="CC43">
        <v>47</v>
      </c>
      <c r="CD43" s="17" t="s">
        <v>392</v>
      </c>
      <c r="CE43" s="17">
        <f>STDEV(CC34:CC58)</f>
        <v>12.815095265610264</v>
      </c>
      <c r="CQ43" s="5" t="s">
        <v>339</v>
      </c>
      <c r="CR43">
        <v>30</v>
      </c>
      <c r="CW43" s="3" t="s">
        <v>359</v>
      </c>
      <c r="CX43">
        <v>17</v>
      </c>
      <c r="DB43">
        <v>4</v>
      </c>
      <c r="DC43" s="17" t="s">
        <v>387</v>
      </c>
      <c r="DD43" s="17">
        <f>SUM(DB43:DB79)</f>
        <v>114</v>
      </c>
    </row>
    <row r="44" spans="23:108" x14ac:dyDescent="0.25">
      <c r="W44" s="26" t="s">
        <v>119</v>
      </c>
      <c r="X44" s="27">
        <v>13</v>
      </c>
      <c r="CC44" s="19">
        <v>41</v>
      </c>
      <c r="CQ44" s="5" t="s">
        <v>340</v>
      </c>
      <c r="CR44">
        <v>24</v>
      </c>
      <c r="DB44">
        <v>5</v>
      </c>
      <c r="DC44" s="17" t="s">
        <v>388</v>
      </c>
      <c r="DD44" s="17">
        <f>MIN(DB43:DB79)</f>
        <v>0</v>
      </c>
    </row>
    <row r="45" spans="23:108" x14ac:dyDescent="0.25">
      <c r="W45" s="5" t="s">
        <v>120</v>
      </c>
      <c r="X45" s="27">
        <v>56</v>
      </c>
      <c r="CC45">
        <v>58</v>
      </c>
      <c r="CQ45" s="5" t="s">
        <v>341</v>
      </c>
      <c r="CR45">
        <v>27</v>
      </c>
      <c r="DB45">
        <v>3</v>
      </c>
      <c r="DC45" s="17" t="s">
        <v>389</v>
      </c>
      <c r="DD45" s="17">
        <f>MAX(DB43:DB79)</f>
        <v>10</v>
      </c>
    </row>
    <row r="46" spans="23:108" x14ac:dyDescent="0.25">
      <c r="W46" s="5" t="s">
        <v>121</v>
      </c>
      <c r="X46" s="27">
        <v>37</v>
      </c>
      <c r="CC46">
        <v>39</v>
      </c>
      <c r="CQ46" s="5" t="s">
        <v>342</v>
      </c>
      <c r="CR46">
        <v>34</v>
      </c>
      <c r="DB46">
        <v>1</v>
      </c>
      <c r="DC46" s="17" t="s">
        <v>390</v>
      </c>
      <c r="DD46" s="17">
        <f>_xlfn.VAR.S(DB43:DB79)</f>
        <v>7.1876876876876885</v>
      </c>
    </row>
    <row r="47" spans="23:108" x14ac:dyDescent="0.25">
      <c r="W47" s="5" t="s">
        <v>122</v>
      </c>
      <c r="X47" s="27">
        <v>25</v>
      </c>
      <c r="CC47">
        <v>36</v>
      </c>
      <c r="CQ47" s="5" t="s">
        <v>343</v>
      </c>
      <c r="CR47">
        <v>28</v>
      </c>
      <c r="DB47">
        <v>3</v>
      </c>
      <c r="DC47" s="17" t="s">
        <v>391</v>
      </c>
      <c r="DD47" s="17">
        <f>AVERAGE(DB43:DB79)</f>
        <v>3.0810810810810811</v>
      </c>
    </row>
    <row r="48" spans="23:108" x14ac:dyDescent="0.25">
      <c r="W48" s="5" t="s">
        <v>123</v>
      </c>
      <c r="X48" s="27">
        <v>42</v>
      </c>
      <c r="CC48">
        <v>38</v>
      </c>
      <c r="CQ48" s="5" t="s">
        <v>344</v>
      </c>
      <c r="CR48">
        <v>34</v>
      </c>
      <c r="DB48">
        <v>1</v>
      </c>
      <c r="DC48" s="17" t="s">
        <v>392</v>
      </c>
      <c r="DD48" s="17">
        <f>STDEV(DB43:DB79)</f>
        <v>2.6809863273966332</v>
      </c>
    </row>
    <row r="49" spans="23:106" x14ac:dyDescent="0.25">
      <c r="W49" s="5" t="s">
        <v>124</v>
      </c>
      <c r="X49">
        <v>46</v>
      </c>
      <c r="CC49">
        <v>48</v>
      </c>
      <c r="CQ49" s="5" t="s">
        <v>345</v>
      </c>
      <c r="CR49">
        <v>20</v>
      </c>
      <c r="DB49">
        <v>3</v>
      </c>
    </row>
    <row r="50" spans="23:106" x14ac:dyDescent="0.25">
      <c r="W50" s="5" t="s">
        <v>125</v>
      </c>
      <c r="X50">
        <v>30</v>
      </c>
      <c r="CC50">
        <v>33</v>
      </c>
      <c r="CQ50" s="5" t="s">
        <v>346</v>
      </c>
      <c r="CR50">
        <v>35</v>
      </c>
      <c r="DB50">
        <v>1</v>
      </c>
    </row>
    <row r="51" spans="23:106" x14ac:dyDescent="0.25">
      <c r="W51" s="5" t="s">
        <v>126</v>
      </c>
      <c r="X51">
        <v>33</v>
      </c>
      <c r="CC51">
        <v>29</v>
      </c>
      <c r="CQ51" s="5" t="s">
        <v>347</v>
      </c>
      <c r="CR51">
        <v>37</v>
      </c>
      <c r="DB51">
        <v>1</v>
      </c>
    </row>
    <row r="52" spans="23:106" x14ac:dyDescent="0.25">
      <c r="W52" s="5" t="s">
        <v>127</v>
      </c>
      <c r="X52">
        <v>48</v>
      </c>
      <c r="CC52">
        <v>44</v>
      </c>
      <c r="CQ52" s="5" t="s">
        <v>348</v>
      </c>
      <c r="CR52">
        <v>29</v>
      </c>
      <c r="DB52">
        <v>2</v>
      </c>
    </row>
    <row r="53" spans="23:106" x14ac:dyDescent="0.25">
      <c r="W53" s="5" t="s">
        <v>128</v>
      </c>
      <c r="X53">
        <v>17</v>
      </c>
      <c r="CC53">
        <v>35</v>
      </c>
      <c r="CQ53" s="5" t="s">
        <v>349</v>
      </c>
      <c r="CR53">
        <v>29</v>
      </c>
      <c r="DB53">
        <v>2</v>
      </c>
    </row>
    <row r="54" spans="23:106" x14ac:dyDescent="0.25">
      <c r="CC54">
        <v>49</v>
      </c>
      <c r="CQ54" s="5" t="s">
        <v>350</v>
      </c>
      <c r="CR54">
        <v>13</v>
      </c>
      <c r="DB54">
        <v>5</v>
      </c>
    </row>
    <row r="55" spans="23:106" x14ac:dyDescent="0.25">
      <c r="CC55">
        <v>26</v>
      </c>
      <c r="CQ55" s="5" t="s">
        <v>351</v>
      </c>
      <c r="CR55">
        <v>20</v>
      </c>
      <c r="DB55">
        <v>1</v>
      </c>
    </row>
    <row r="56" spans="23:106" x14ac:dyDescent="0.25">
      <c r="CC56">
        <v>26</v>
      </c>
      <c r="CQ56" s="5" t="s">
        <v>352</v>
      </c>
      <c r="CR56">
        <v>27</v>
      </c>
      <c r="DB56">
        <v>10</v>
      </c>
    </row>
    <row r="57" spans="23:106" x14ac:dyDescent="0.25">
      <c r="W57" s="22"/>
      <c r="X57" s="23" t="s">
        <v>394</v>
      </c>
      <c r="Y57" s="23"/>
      <c r="Z57" s="24">
        <v>2016</v>
      </c>
      <c r="CC57">
        <v>8</v>
      </c>
      <c r="CQ57" s="5" t="s">
        <v>353</v>
      </c>
      <c r="CR57">
        <v>25</v>
      </c>
      <c r="DB57">
        <v>9</v>
      </c>
    </row>
    <row r="58" spans="23:106" x14ac:dyDescent="0.25">
      <c r="CC58">
        <v>15</v>
      </c>
      <c r="CQ58" s="5" t="s">
        <v>354</v>
      </c>
      <c r="CR58">
        <v>21</v>
      </c>
      <c r="DB58">
        <v>5</v>
      </c>
    </row>
    <row r="59" spans="23:106" x14ac:dyDescent="0.25">
      <c r="W59" s="5" t="s">
        <v>88</v>
      </c>
      <c r="X59" s="20">
        <v>21</v>
      </c>
      <c r="CQ59" s="5" t="s">
        <v>355</v>
      </c>
      <c r="CR59">
        <v>22</v>
      </c>
      <c r="DB59">
        <v>2</v>
      </c>
    </row>
    <row r="60" spans="23:106" x14ac:dyDescent="0.25">
      <c r="W60" s="5" t="s">
        <v>89</v>
      </c>
      <c r="X60" s="1">
        <v>21</v>
      </c>
      <c r="CQ60" s="2" t="s">
        <v>356</v>
      </c>
      <c r="CR60">
        <v>35</v>
      </c>
      <c r="DB60">
        <v>9</v>
      </c>
    </row>
    <row r="61" spans="23:106" x14ac:dyDescent="0.25">
      <c r="W61" s="5" t="s">
        <v>90</v>
      </c>
      <c r="X61" s="1">
        <v>18</v>
      </c>
      <c r="CQ61" s="2" t="s">
        <v>357</v>
      </c>
      <c r="CR61">
        <v>17</v>
      </c>
      <c r="DB61">
        <v>7</v>
      </c>
    </row>
    <row r="62" spans="23:106" x14ac:dyDescent="0.25">
      <c r="W62" s="5" t="s">
        <v>91</v>
      </c>
      <c r="X62" s="1">
        <v>50</v>
      </c>
      <c r="CQ62" s="2" t="s">
        <v>358</v>
      </c>
      <c r="CR62">
        <v>18</v>
      </c>
      <c r="DB62">
        <v>2</v>
      </c>
    </row>
    <row r="63" spans="23:106" x14ac:dyDescent="0.25">
      <c r="W63" s="5" t="s">
        <v>92</v>
      </c>
      <c r="X63">
        <v>53</v>
      </c>
      <c r="CQ63" s="3" t="s">
        <v>359</v>
      </c>
      <c r="CR63">
        <v>17</v>
      </c>
      <c r="DB63">
        <v>3</v>
      </c>
    </row>
    <row r="64" spans="23:106" x14ac:dyDescent="0.25">
      <c r="W64" s="5" t="s">
        <v>93</v>
      </c>
      <c r="X64">
        <v>48</v>
      </c>
      <c r="DB64">
        <v>5</v>
      </c>
    </row>
    <row r="65" spans="23:106" x14ac:dyDescent="0.25">
      <c r="W65" s="5" t="s">
        <v>94</v>
      </c>
      <c r="X65">
        <v>32</v>
      </c>
      <c r="DB65">
        <v>3</v>
      </c>
    </row>
    <row r="66" spans="23:106" x14ac:dyDescent="0.25">
      <c r="W66" s="5" t="s">
        <v>96</v>
      </c>
      <c r="X66">
        <v>100</v>
      </c>
      <c r="Y66" s="17" t="s">
        <v>385</v>
      </c>
      <c r="Z66" s="17" t="s">
        <v>386</v>
      </c>
      <c r="DB66">
        <v>4</v>
      </c>
    </row>
    <row r="67" spans="23:106" x14ac:dyDescent="0.25">
      <c r="W67" s="5" t="s">
        <v>97</v>
      </c>
      <c r="X67">
        <v>88</v>
      </c>
      <c r="Y67" s="17" t="s">
        <v>387</v>
      </c>
      <c r="Z67" s="17">
        <f>SUM(X59:X98)</f>
        <v>1937</v>
      </c>
      <c r="DB67">
        <v>6</v>
      </c>
    </row>
    <row r="68" spans="23:106" x14ac:dyDescent="0.25">
      <c r="W68" s="5" t="s">
        <v>98</v>
      </c>
      <c r="X68">
        <v>101</v>
      </c>
      <c r="Y68" s="17" t="s">
        <v>388</v>
      </c>
      <c r="Z68" s="17">
        <f>MIN(X59:X98)</f>
        <v>13</v>
      </c>
      <c r="DB68">
        <v>1</v>
      </c>
    </row>
    <row r="69" spans="23:106" x14ac:dyDescent="0.25">
      <c r="W69" s="5" t="s">
        <v>99</v>
      </c>
      <c r="X69">
        <v>99</v>
      </c>
      <c r="Y69" s="17" t="s">
        <v>389</v>
      </c>
      <c r="Z69" s="17">
        <f>MAX(X59:X98)</f>
        <v>101</v>
      </c>
      <c r="DB69">
        <v>1</v>
      </c>
    </row>
    <row r="70" spans="23:106" x14ac:dyDescent="0.25">
      <c r="W70" s="5" t="s">
        <v>100</v>
      </c>
      <c r="X70">
        <v>49</v>
      </c>
      <c r="Y70" s="17" t="s">
        <v>390</v>
      </c>
      <c r="Z70" s="17">
        <f>_xlfn.VAR.S(X59:X98)</f>
        <v>656.55833333333317</v>
      </c>
      <c r="DB70">
        <v>4</v>
      </c>
    </row>
    <row r="71" spans="23:106" x14ac:dyDescent="0.25">
      <c r="W71" s="5" t="s">
        <v>101</v>
      </c>
      <c r="X71">
        <v>63</v>
      </c>
      <c r="Y71" s="17" t="s">
        <v>391</v>
      </c>
      <c r="Z71" s="17">
        <f>AVERAGE(X59:X98)</f>
        <v>48.424999999999997</v>
      </c>
      <c r="DB71">
        <v>3</v>
      </c>
    </row>
    <row r="72" spans="23:106" x14ac:dyDescent="0.25">
      <c r="W72" s="5" t="s">
        <v>103</v>
      </c>
      <c r="X72" s="27">
        <v>83</v>
      </c>
      <c r="Y72" s="17" t="s">
        <v>392</v>
      </c>
      <c r="Z72" s="17">
        <f>STDEV(X59:X98)</f>
        <v>25.623394258632739</v>
      </c>
      <c r="DB72">
        <v>6</v>
      </c>
    </row>
    <row r="73" spans="23:106" x14ac:dyDescent="0.25">
      <c r="W73" s="5" t="s">
        <v>104</v>
      </c>
      <c r="X73" s="27">
        <v>82</v>
      </c>
      <c r="Y73" s="17"/>
      <c r="Z73" s="17"/>
      <c r="DB73">
        <v>1</v>
      </c>
    </row>
    <row r="74" spans="23:106" x14ac:dyDescent="0.25">
      <c r="W74" s="5" t="s">
        <v>105</v>
      </c>
      <c r="X74" s="27">
        <v>23</v>
      </c>
      <c r="Y74" s="17"/>
      <c r="Z74" s="17"/>
      <c r="DB74">
        <v>1</v>
      </c>
    </row>
    <row r="75" spans="23:106" x14ac:dyDescent="0.25">
      <c r="W75" s="5" t="s">
        <v>106</v>
      </c>
      <c r="X75" s="27">
        <v>94</v>
      </c>
      <c r="Y75" s="17"/>
      <c r="Z75" s="17"/>
      <c r="DB75">
        <v>0</v>
      </c>
    </row>
    <row r="76" spans="23:106" x14ac:dyDescent="0.25">
      <c r="W76" s="5" t="s">
        <v>61</v>
      </c>
      <c r="X76" s="27">
        <v>28</v>
      </c>
      <c r="Y76" s="17"/>
      <c r="Z76" s="17"/>
      <c r="DB76">
        <v>0</v>
      </c>
    </row>
    <row r="77" spans="23:106" x14ac:dyDescent="0.25">
      <c r="W77" s="5" t="s">
        <v>107</v>
      </c>
      <c r="X77" s="27">
        <v>71</v>
      </c>
      <c r="Y77" s="25"/>
      <c r="Z77" s="25"/>
      <c r="DB77">
        <v>0</v>
      </c>
    </row>
    <row r="78" spans="23:106" x14ac:dyDescent="0.25">
      <c r="W78" s="5" t="s">
        <v>108</v>
      </c>
      <c r="X78" s="27">
        <v>70</v>
      </c>
      <c r="DB78">
        <v>0</v>
      </c>
    </row>
    <row r="79" spans="23:106" x14ac:dyDescent="0.25">
      <c r="W79" s="5" t="s">
        <v>109</v>
      </c>
      <c r="X79" s="27">
        <v>32</v>
      </c>
      <c r="DB79">
        <v>0</v>
      </c>
    </row>
    <row r="80" spans="23:106" x14ac:dyDescent="0.25">
      <c r="W80" s="5" t="s">
        <v>110</v>
      </c>
      <c r="X80" s="27">
        <v>57</v>
      </c>
    </row>
    <row r="81" spans="23:24" x14ac:dyDescent="0.25">
      <c r="W81" s="5" t="s">
        <v>111</v>
      </c>
      <c r="X81" s="27">
        <v>52</v>
      </c>
    </row>
    <row r="82" spans="23:24" x14ac:dyDescent="0.25">
      <c r="W82" s="5" t="s">
        <v>112</v>
      </c>
      <c r="X82" s="27">
        <v>29</v>
      </c>
    </row>
    <row r="83" spans="23:24" x14ac:dyDescent="0.25">
      <c r="W83" s="5" t="s">
        <v>113</v>
      </c>
      <c r="X83" s="27">
        <v>23</v>
      </c>
    </row>
    <row r="84" spans="23:24" x14ac:dyDescent="0.25">
      <c r="W84" s="52" t="s">
        <v>114</v>
      </c>
      <c r="X84" s="27">
        <v>30</v>
      </c>
    </row>
    <row r="85" spans="23:24" x14ac:dyDescent="0.25">
      <c r="W85" s="52" t="s">
        <v>115</v>
      </c>
      <c r="X85" s="27">
        <v>55</v>
      </c>
    </row>
    <row r="86" spans="23:24" x14ac:dyDescent="0.25">
      <c r="W86" s="52" t="s">
        <v>116</v>
      </c>
      <c r="X86" s="27">
        <v>66</v>
      </c>
    </row>
    <row r="87" spans="23:24" x14ac:dyDescent="0.25">
      <c r="W87" s="52" t="s">
        <v>117</v>
      </c>
      <c r="X87" s="27">
        <v>25</v>
      </c>
    </row>
    <row r="88" spans="23:24" x14ac:dyDescent="0.25">
      <c r="W88" s="52" t="s">
        <v>118</v>
      </c>
      <c r="X88" s="27">
        <v>27</v>
      </c>
    </row>
    <row r="89" spans="23:24" x14ac:dyDescent="0.25">
      <c r="W89" s="52" t="s">
        <v>119</v>
      </c>
      <c r="X89" s="27">
        <v>13</v>
      </c>
    </row>
    <row r="90" spans="23:24" x14ac:dyDescent="0.25">
      <c r="W90" s="5" t="s">
        <v>120</v>
      </c>
      <c r="X90" s="27">
        <v>56</v>
      </c>
    </row>
    <row r="91" spans="23:24" x14ac:dyDescent="0.25">
      <c r="W91" s="5" t="s">
        <v>121</v>
      </c>
      <c r="X91" s="27">
        <v>37</v>
      </c>
    </row>
    <row r="92" spans="23:24" x14ac:dyDescent="0.25">
      <c r="W92" s="5" t="s">
        <v>122</v>
      </c>
      <c r="X92" s="27">
        <v>25</v>
      </c>
    </row>
    <row r="93" spans="23:24" x14ac:dyDescent="0.25">
      <c r="W93" s="5" t="s">
        <v>123</v>
      </c>
      <c r="X93" s="27">
        <v>42</v>
      </c>
    </row>
    <row r="94" spans="23:24" x14ac:dyDescent="0.25">
      <c r="W94" s="5" t="s">
        <v>124</v>
      </c>
      <c r="X94">
        <v>46</v>
      </c>
    </row>
    <row r="95" spans="23:24" x14ac:dyDescent="0.25">
      <c r="W95" s="5" t="s">
        <v>125</v>
      </c>
      <c r="X95">
        <v>30</v>
      </c>
    </row>
    <row r="96" spans="23:24" x14ac:dyDescent="0.25">
      <c r="W96" s="5" t="s">
        <v>126</v>
      </c>
      <c r="X96">
        <v>33</v>
      </c>
    </row>
    <row r="97" spans="23:24" x14ac:dyDescent="0.25">
      <c r="W97" s="5" t="s">
        <v>127</v>
      </c>
      <c r="X97">
        <v>48</v>
      </c>
    </row>
    <row r="98" spans="23:24" x14ac:dyDescent="0.25">
      <c r="W98" s="5" t="s">
        <v>128</v>
      </c>
      <c r="X98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Z1099"/>
  <sheetViews>
    <sheetView topLeftCell="AD1" workbookViewId="0">
      <selection activeCell="AR7" sqref="AR7"/>
    </sheetView>
  </sheetViews>
  <sheetFormatPr defaultRowHeight="15" x14ac:dyDescent="0.25"/>
  <cols>
    <col min="5" max="5" width="9.140625" style="19"/>
    <col min="10" max="10" width="9.140625" style="19"/>
    <col min="15" max="15" width="9.140625" style="19"/>
    <col min="20" max="20" width="9.140625" style="19"/>
    <col min="25" max="25" width="9.140625" style="19"/>
    <col min="26" max="29" width="9.140625" style="62"/>
    <col min="30" max="30" width="9.140625" style="19"/>
    <col min="35" max="35" width="9.140625" style="19"/>
    <col min="40" max="40" width="9.140625" style="19"/>
    <col min="45" max="45" width="9.140625" style="19"/>
    <col min="50" max="50" width="9.140625" style="19"/>
    <col min="55" max="55" width="9.140625" style="19"/>
    <col min="60" max="60" width="9.140625" style="19"/>
    <col min="65" max="65" width="9.140625" style="19"/>
    <col min="70" max="70" width="9.140625" style="19"/>
    <col min="75" max="75" width="9.140625" style="19"/>
    <col min="76" max="79" width="9.140625" style="65"/>
    <col min="80" max="80" width="9.140625" style="19"/>
    <col min="85" max="85" width="9.140625" style="19"/>
    <col min="90" max="90" width="9.140625" style="19"/>
    <col min="95" max="95" width="9.140625" style="19"/>
    <col min="100" max="100" width="9.140625" style="19"/>
    <col min="101" max="104" width="9.140625" style="62"/>
  </cols>
  <sheetData>
    <row r="1" spans="1:104" x14ac:dyDescent="0.25">
      <c r="A1" s="17" t="s">
        <v>382</v>
      </c>
      <c r="B1" s="29" t="s">
        <v>361</v>
      </c>
      <c r="C1" s="17"/>
      <c r="D1" s="17">
        <v>2016</v>
      </c>
      <c r="E1" s="18"/>
      <c r="F1" s="17" t="s">
        <v>382</v>
      </c>
      <c r="G1" s="29" t="s">
        <v>362</v>
      </c>
      <c r="H1" s="17"/>
      <c r="I1" s="17">
        <v>2016</v>
      </c>
      <c r="K1" s="17" t="s">
        <v>382</v>
      </c>
      <c r="L1" s="29" t="s">
        <v>363</v>
      </c>
      <c r="M1" s="17"/>
      <c r="N1" s="17">
        <v>2016</v>
      </c>
      <c r="P1" s="17" t="s">
        <v>382</v>
      </c>
      <c r="Q1" s="29" t="s">
        <v>401</v>
      </c>
      <c r="R1" s="17"/>
      <c r="S1" s="17">
        <v>2016</v>
      </c>
      <c r="U1" s="17" t="s">
        <v>382</v>
      </c>
      <c r="V1" s="29" t="s">
        <v>400</v>
      </c>
      <c r="W1" s="17"/>
      <c r="X1" s="17">
        <v>2016</v>
      </c>
      <c r="Z1" s="58" t="s">
        <v>382</v>
      </c>
      <c r="AA1" s="59" t="s">
        <v>627</v>
      </c>
      <c r="AB1" s="58"/>
      <c r="AC1" s="58">
        <v>2016</v>
      </c>
      <c r="AE1" s="17" t="s">
        <v>382</v>
      </c>
      <c r="AF1" s="29" t="s">
        <v>366</v>
      </c>
      <c r="AG1" s="17"/>
      <c r="AH1" s="17">
        <v>2016</v>
      </c>
      <c r="AJ1" s="17" t="s">
        <v>382</v>
      </c>
      <c r="AK1" s="29" t="s">
        <v>367</v>
      </c>
      <c r="AL1" s="17"/>
      <c r="AM1" s="17">
        <v>2016</v>
      </c>
      <c r="AO1" s="17" t="s">
        <v>382</v>
      </c>
      <c r="AP1" s="29" t="s">
        <v>368</v>
      </c>
      <c r="AQ1" s="17"/>
      <c r="AR1" s="17">
        <v>2016</v>
      </c>
      <c r="AT1" s="17" t="s">
        <v>382</v>
      </c>
      <c r="AU1" s="29" t="s">
        <v>369</v>
      </c>
      <c r="AV1" s="17"/>
      <c r="AW1" s="17">
        <v>2016</v>
      </c>
      <c r="AY1" s="17" t="s">
        <v>382</v>
      </c>
      <c r="AZ1" s="29" t="s">
        <v>370</v>
      </c>
      <c r="BA1" s="17"/>
      <c r="BB1" s="17">
        <v>2016</v>
      </c>
      <c r="BD1" s="17" t="s">
        <v>382</v>
      </c>
      <c r="BE1" s="29" t="s">
        <v>371</v>
      </c>
      <c r="BF1" s="17"/>
      <c r="BG1" s="17">
        <v>2016</v>
      </c>
      <c r="BI1" s="17" t="s">
        <v>382</v>
      </c>
      <c r="BJ1" s="29" t="s">
        <v>372</v>
      </c>
      <c r="BK1" s="17"/>
      <c r="BL1" s="17">
        <v>2016</v>
      </c>
      <c r="BN1" s="17" t="s">
        <v>382</v>
      </c>
      <c r="BO1" s="29" t="s">
        <v>440</v>
      </c>
      <c r="BP1" s="17"/>
      <c r="BQ1" s="17">
        <v>2016</v>
      </c>
      <c r="BS1" s="17" t="s">
        <v>382</v>
      </c>
      <c r="BT1" s="29" t="s">
        <v>441</v>
      </c>
      <c r="BU1" s="17"/>
      <c r="BV1" s="17">
        <v>2016</v>
      </c>
      <c r="BX1" s="58" t="s">
        <v>382</v>
      </c>
      <c r="BY1" s="59" t="s">
        <v>628</v>
      </c>
      <c r="BZ1" s="58"/>
      <c r="CA1" s="58">
        <v>2016</v>
      </c>
      <c r="CC1" s="17" t="s">
        <v>382</v>
      </c>
      <c r="CD1" s="29" t="s">
        <v>375</v>
      </c>
      <c r="CE1" s="17"/>
      <c r="CF1" s="17">
        <v>2016</v>
      </c>
      <c r="CH1" s="17" t="s">
        <v>382</v>
      </c>
      <c r="CI1" s="29" t="s">
        <v>443</v>
      </c>
      <c r="CJ1" s="17"/>
      <c r="CK1" s="17">
        <v>2016</v>
      </c>
      <c r="CM1" s="17" t="s">
        <v>382</v>
      </c>
      <c r="CN1" s="29" t="s">
        <v>442</v>
      </c>
      <c r="CO1" s="17"/>
      <c r="CP1" s="17">
        <v>2016</v>
      </c>
      <c r="CR1" s="17" t="s">
        <v>382</v>
      </c>
      <c r="CS1" s="29" t="s">
        <v>593</v>
      </c>
      <c r="CT1" s="17"/>
      <c r="CU1" s="17">
        <v>2016</v>
      </c>
      <c r="CW1" s="58" t="s">
        <v>382</v>
      </c>
      <c r="CX1" s="59" t="s">
        <v>629</v>
      </c>
      <c r="CY1" s="58"/>
      <c r="CZ1" s="58">
        <v>2016</v>
      </c>
    </row>
    <row r="2" spans="1:104" x14ac:dyDescent="0.25">
      <c r="A2" s="17" t="s">
        <v>383</v>
      </c>
      <c r="B2" s="6" t="s">
        <v>4</v>
      </c>
      <c r="C2" s="17"/>
      <c r="D2" s="17"/>
      <c r="E2" s="18"/>
      <c r="F2" s="17" t="s">
        <v>383</v>
      </c>
      <c r="G2" s="6" t="s">
        <v>4</v>
      </c>
      <c r="H2" s="17"/>
      <c r="I2" s="17"/>
      <c r="K2" s="17" t="s">
        <v>383</v>
      </c>
      <c r="L2" s="6" t="s">
        <v>4</v>
      </c>
      <c r="M2" s="17"/>
      <c r="N2" s="17"/>
      <c r="P2" s="17" t="s">
        <v>383</v>
      </c>
      <c r="Q2" s="6" t="s">
        <v>4</v>
      </c>
      <c r="R2" s="17"/>
      <c r="S2" s="17"/>
      <c r="U2" s="17" t="s">
        <v>383</v>
      </c>
      <c r="V2" s="6" t="s">
        <v>4</v>
      </c>
      <c r="W2" s="17"/>
      <c r="X2" s="17"/>
      <c r="Z2" s="58" t="s">
        <v>383</v>
      </c>
      <c r="AA2" s="60" t="s">
        <v>4</v>
      </c>
      <c r="AB2" s="58"/>
      <c r="AC2" s="58"/>
      <c r="AE2" s="17" t="s">
        <v>383</v>
      </c>
      <c r="AF2" s="6" t="s">
        <v>4</v>
      </c>
      <c r="AG2" s="17"/>
      <c r="AH2" s="17"/>
      <c r="AJ2" s="17" t="s">
        <v>383</v>
      </c>
      <c r="AK2" s="6" t="s">
        <v>4</v>
      </c>
      <c r="AL2" s="17"/>
      <c r="AM2" s="17"/>
      <c r="AO2" s="17" t="s">
        <v>383</v>
      </c>
      <c r="AP2" s="6" t="s">
        <v>4</v>
      </c>
      <c r="AQ2" s="17"/>
      <c r="AR2" s="17"/>
      <c r="AT2" s="17" t="s">
        <v>383</v>
      </c>
      <c r="AU2" s="6" t="s">
        <v>4</v>
      </c>
      <c r="AV2" s="17"/>
      <c r="AW2" s="17"/>
      <c r="AY2" s="17" t="s">
        <v>383</v>
      </c>
      <c r="AZ2" s="6" t="s">
        <v>4</v>
      </c>
      <c r="BA2" s="17"/>
      <c r="BB2" s="17"/>
      <c r="BD2" s="17" t="s">
        <v>383</v>
      </c>
      <c r="BE2" s="6" t="s">
        <v>4</v>
      </c>
      <c r="BF2" s="17"/>
      <c r="BG2" s="17"/>
      <c r="BI2" s="17" t="s">
        <v>383</v>
      </c>
      <c r="BJ2" s="6" t="s">
        <v>4</v>
      </c>
      <c r="BK2" s="17"/>
      <c r="BL2" s="17"/>
      <c r="BN2" s="17" t="s">
        <v>383</v>
      </c>
      <c r="BO2" s="6" t="s">
        <v>4</v>
      </c>
      <c r="BP2" s="17"/>
      <c r="BQ2" s="17"/>
      <c r="BS2" s="17" t="s">
        <v>383</v>
      </c>
      <c r="BT2" s="6" t="s">
        <v>4</v>
      </c>
      <c r="BU2" s="17"/>
      <c r="BV2" s="17"/>
      <c r="BX2" s="58" t="s">
        <v>383</v>
      </c>
      <c r="BY2" s="60" t="s">
        <v>4</v>
      </c>
      <c r="BZ2" s="58"/>
      <c r="CA2" s="58"/>
      <c r="CC2" s="17" t="s">
        <v>383</v>
      </c>
      <c r="CD2" s="6" t="s">
        <v>4</v>
      </c>
      <c r="CE2" s="17"/>
      <c r="CF2" s="17"/>
      <c r="CH2" s="17" t="s">
        <v>383</v>
      </c>
      <c r="CI2" s="6" t="s">
        <v>4</v>
      </c>
      <c r="CJ2" s="17"/>
      <c r="CK2" s="17"/>
      <c r="CM2" s="17" t="s">
        <v>383</v>
      </c>
      <c r="CN2" s="6" t="s">
        <v>4</v>
      </c>
      <c r="CO2" s="17"/>
      <c r="CP2" s="17"/>
      <c r="CR2" s="17" t="s">
        <v>383</v>
      </c>
      <c r="CS2" s="6" t="s">
        <v>4</v>
      </c>
      <c r="CT2" s="17"/>
      <c r="CU2" s="17"/>
      <c r="CW2" s="58" t="s">
        <v>383</v>
      </c>
      <c r="CX2" s="60" t="s">
        <v>4</v>
      </c>
      <c r="CY2" s="58"/>
      <c r="CZ2" s="58"/>
    </row>
    <row r="3" spans="1:104" x14ac:dyDescent="0.25">
      <c r="A3" s="17" t="s">
        <v>384</v>
      </c>
      <c r="B3" s="17" t="s">
        <v>39</v>
      </c>
      <c r="C3" s="17" t="s">
        <v>385</v>
      </c>
      <c r="D3" s="17" t="s">
        <v>386</v>
      </c>
      <c r="E3" s="18"/>
      <c r="F3" s="17" t="s">
        <v>384</v>
      </c>
      <c r="G3" s="17" t="s">
        <v>39</v>
      </c>
      <c r="H3" s="17" t="s">
        <v>385</v>
      </c>
      <c r="I3" s="17" t="s">
        <v>386</v>
      </c>
      <c r="K3" s="17" t="s">
        <v>384</v>
      </c>
      <c r="L3" s="17" t="s">
        <v>39</v>
      </c>
      <c r="M3" s="17" t="s">
        <v>385</v>
      </c>
      <c r="N3" s="17" t="s">
        <v>386</v>
      </c>
      <c r="P3" s="17" t="s">
        <v>384</v>
      </c>
      <c r="Q3" s="17" t="s">
        <v>39</v>
      </c>
      <c r="R3" s="17" t="s">
        <v>385</v>
      </c>
      <c r="S3" s="17" t="s">
        <v>386</v>
      </c>
      <c r="U3" s="17" t="s">
        <v>384</v>
      </c>
      <c r="V3" s="17" t="s">
        <v>39</v>
      </c>
      <c r="W3" s="17" t="s">
        <v>385</v>
      </c>
      <c r="X3" s="17" t="s">
        <v>386</v>
      </c>
      <c r="Z3" s="58" t="s">
        <v>384</v>
      </c>
      <c r="AA3" s="58" t="s">
        <v>39</v>
      </c>
      <c r="AB3" s="58" t="s">
        <v>385</v>
      </c>
      <c r="AC3" s="58" t="s">
        <v>386</v>
      </c>
      <c r="AE3" s="17" t="s">
        <v>384</v>
      </c>
      <c r="AF3" s="17" t="s">
        <v>39</v>
      </c>
      <c r="AG3" s="17" t="s">
        <v>385</v>
      </c>
      <c r="AH3" s="17" t="s">
        <v>386</v>
      </c>
      <c r="AJ3" s="17" t="s">
        <v>384</v>
      </c>
      <c r="AK3" s="17" t="s">
        <v>39</v>
      </c>
      <c r="AL3" s="17" t="s">
        <v>385</v>
      </c>
      <c r="AM3" s="17" t="s">
        <v>386</v>
      </c>
      <c r="AO3" s="17" t="s">
        <v>384</v>
      </c>
      <c r="AP3" s="17" t="s">
        <v>39</v>
      </c>
      <c r="AQ3" s="17" t="s">
        <v>385</v>
      </c>
      <c r="AR3" s="17" t="s">
        <v>386</v>
      </c>
      <c r="AT3" s="17" t="s">
        <v>384</v>
      </c>
      <c r="AU3" s="17" t="s">
        <v>39</v>
      </c>
      <c r="AV3" s="17" t="s">
        <v>385</v>
      </c>
      <c r="AW3" s="17" t="s">
        <v>386</v>
      </c>
      <c r="AY3" s="17" t="s">
        <v>384</v>
      </c>
      <c r="AZ3" s="17" t="s">
        <v>39</v>
      </c>
      <c r="BA3" s="17" t="s">
        <v>385</v>
      </c>
      <c r="BB3" s="17" t="s">
        <v>386</v>
      </c>
      <c r="BD3" s="17" t="s">
        <v>384</v>
      </c>
      <c r="BE3" s="17" t="s">
        <v>39</v>
      </c>
      <c r="BF3" s="17" t="s">
        <v>385</v>
      </c>
      <c r="BG3" s="17" t="s">
        <v>386</v>
      </c>
      <c r="BI3" s="17" t="s">
        <v>384</v>
      </c>
      <c r="BJ3" s="17" t="s">
        <v>39</v>
      </c>
      <c r="BK3" s="17" t="s">
        <v>385</v>
      </c>
      <c r="BL3" s="17" t="s">
        <v>386</v>
      </c>
      <c r="BN3" s="17" t="s">
        <v>384</v>
      </c>
      <c r="BO3" s="17" t="s">
        <v>39</v>
      </c>
      <c r="BP3" s="17" t="s">
        <v>385</v>
      </c>
      <c r="BQ3" s="17" t="s">
        <v>386</v>
      </c>
      <c r="BS3" s="17" t="s">
        <v>384</v>
      </c>
      <c r="BT3" s="17" t="s">
        <v>39</v>
      </c>
      <c r="BU3" s="17" t="s">
        <v>385</v>
      </c>
      <c r="BV3" s="17" t="s">
        <v>386</v>
      </c>
      <c r="BX3" s="58" t="s">
        <v>384</v>
      </c>
      <c r="BY3" s="58" t="s">
        <v>39</v>
      </c>
      <c r="BZ3" s="58" t="s">
        <v>385</v>
      </c>
      <c r="CA3" s="58" t="s">
        <v>386</v>
      </c>
      <c r="CC3" s="17" t="s">
        <v>384</v>
      </c>
      <c r="CD3" s="17" t="s">
        <v>39</v>
      </c>
      <c r="CE3" s="17" t="s">
        <v>385</v>
      </c>
      <c r="CF3" s="17" t="s">
        <v>386</v>
      </c>
      <c r="CH3" s="17" t="s">
        <v>384</v>
      </c>
      <c r="CI3" s="17" t="s">
        <v>39</v>
      </c>
      <c r="CJ3" s="17" t="s">
        <v>385</v>
      </c>
      <c r="CK3" s="17" t="s">
        <v>386</v>
      </c>
      <c r="CM3" s="17" t="s">
        <v>384</v>
      </c>
      <c r="CN3" s="17" t="s">
        <v>39</v>
      </c>
      <c r="CO3" s="17" t="s">
        <v>385</v>
      </c>
      <c r="CP3" s="17" t="s">
        <v>386</v>
      </c>
      <c r="CR3" s="17" t="s">
        <v>384</v>
      </c>
      <c r="CS3" s="17" t="s">
        <v>39</v>
      </c>
      <c r="CT3" s="17" t="s">
        <v>385</v>
      </c>
      <c r="CU3" s="17" t="s">
        <v>386</v>
      </c>
      <c r="CW3" s="58" t="s">
        <v>384</v>
      </c>
      <c r="CX3" s="58" t="s">
        <v>39</v>
      </c>
      <c r="CY3" s="58" t="s">
        <v>385</v>
      </c>
      <c r="CZ3" s="58" t="s">
        <v>386</v>
      </c>
    </row>
    <row r="4" spans="1:104" x14ac:dyDescent="0.25">
      <c r="A4" s="5" t="s">
        <v>40</v>
      </c>
      <c r="B4">
        <v>11</v>
      </c>
      <c r="C4" s="30" t="s">
        <v>387</v>
      </c>
      <c r="D4" s="17">
        <f>SUM(B4:B26)</f>
        <v>59</v>
      </c>
      <c r="E4" s="18"/>
      <c r="F4" s="5" t="s">
        <v>65</v>
      </c>
      <c r="G4">
        <v>1</v>
      </c>
      <c r="H4" s="30" t="s">
        <v>387</v>
      </c>
      <c r="I4" s="17">
        <f>SUM(G4:G10)</f>
        <v>8</v>
      </c>
      <c r="K4" s="5" t="s">
        <v>72</v>
      </c>
      <c r="L4">
        <v>6</v>
      </c>
      <c r="M4" s="30" t="s">
        <v>387</v>
      </c>
      <c r="N4" s="17">
        <f>SUM(L4:L19)</f>
        <v>54</v>
      </c>
      <c r="P4" s="5" t="s">
        <v>88</v>
      </c>
      <c r="Q4">
        <v>3</v>
      </c>
      <c r="R4" s="30" t="s">
        <v>387</v>
      </c>
      <c r="S4" s="17">
        <f>SUM(Q4:Q10)</f>
        <v>26</v>
      </c>
      <c r="U4" s="5" t="s">
        <v>96</v>
      </c>
      <c r="V4">
        <v>8</v>
      </c>
      <c r="W4" s="30" t="s">
        <v>387</v>
      </c>
      <c r="X4" s="17">
        <f>SUM(V4:V36)</f>
        <v>197</v>
      </c>
      <c r="Z4" s="61" t="s">
        <v>88</v>
      </c>
      <c r="AA4" s="62">
        <v>3</v>
      </c>
      <c r="AB4" s="63" t="s">
        <v>387</v>
      </c>
      <c r="AC4" s="58">
        <f>SUM(AA4:AA43)</f>
        <v>223</v>
      </c>
      <c r="AE4" s="5" t="s">
        <v>129</v>
      </c>
      <c r="AF4">
        <v>6</v>
      </c>
      <c r="AG4" s="30" t="s">
        <v>387</v>
      </c>
      <c r="AH4" s="17">
        <f>SUM(AF4:AF18)</f>
        <v>47</v>
      </c>
      <c r="AJ4" s="5" t="s">
        <v>143</v>
      </c>
      <c r="AK4">
        <v>2</v>
      </c>
      <c r="AL4" s="30" t="s">
        <v>387</v>
      </c>
      <c r="AM4" s="17">
        <f>SUM(AK4:AK10)</f>
        <v>8</v>
      </c>
      <c r="AO4" s="5" t="s">
        <v>149</v>
      </c>
      <c r="AP4">
        <v>3</v>
      </c>
      <c r="AQ4" s="30" t="s">
        <v>387</v>
      </c>
      <c r="AR4" s="17">
        <f>SUM(AP4:AP28)</f>
        <v>66</v>
      </c>
      <c r="AT4" s="5" t="s">
        <v>175</v>
      </c>
      <c r="AU4">
        <v>2</v>
      </c>
      <c r="AV4" s="30" t="s">
        <v>387</v>
      </c>
      <c r="AW4" s="17">
        <f>SUM(AU4:AU21)</f>
        <v>82</v>
      </c>
      <c r="AY4" s="5" t="s">
        <v>192</v>
      </c>
      <c r="AZ4">
        <v>0</v>
      </c>
      <c r="BA4" s="30" t="s">
        <v>387</v>
      </c>
      <c r="BB4" s="17">
        <f>SUM(AZ4:AZ33)</f>
        <v>112</v>
      </c>
      <c r="BD4" s="5" t="s">
        <v>221</v>
      </c>
      <c r="BE4">
        <v>1</v>
      </c>
      <c r="BF4" s="30" t="s">
        <v>387</v>
      </c>
      <c r="BG4" s="17">
        <f>SUM(BE4:BE28)</f>
        <v>87</v>
      </c>
      <c r="BI4" s="5" t="s">
        <v>245</v>
      </c>
      <c r="BJ4">
        <v>4</v>
      </c>
      <c r="BK4" s="30" t="s">
        <v>387</v>
      </c>
      <c r="BL4" s="17">
        <f>SUM(BJ4:BJ33)</f>
        <v>185</v>
      </c>
      <c r="BN4" s="5" t="s">
        <v>274</v>
      </c>
      <c r="BO4">
        <v>1</v>
      </c>
      <c r="BP4" s="30" t="s">
        <v>387</v>
      </c>
      <c r="BQ4" s="17">
        <f>SUM(BO4:BO19)</f>
        <v>82</v>
      </c>
      <c r="BS4" s="5" t="s">
        <v>290</v>
      </c>
      <c r="BT4">
        <v>4</v>
      </c>
      <c r="BU4" s="30" t="s">
        <v>387</v>
      </c>
      <c r="BV4" s="17">
        <f>SUM(BT4:BT12)</f>
        <v>20</v>
      </c>
      <c r="BX4" s="61" t="s">
        <v>274</v>
      </c>
      <c r="BY4" s="62">
        <v>1</v>
      </c>
      <c r="BZ4" s="63" t="s">
        <v>387</v>
      </c>
      <c r="CA4" s="58">
        <f>SUM(BY4:BY28)</f>
        <v>102</v>
      </c>
      <c r="CC4" s="5" t="s">
        <v>299</v>
      </c>
      <c r="CD4">
        <v>4</v>
      </c>
      <c r="CE4" s="30" t="s">
        <v>387</v>
      </c>
      <c r="CF4" s="17">
        <f>SUM(CD4:CD26)</f>
        <v>105</v>
      </c>
      <c r="CH4" s="5" t="s">
        <v>321</v>
      </c>
      <c r="CI4">
        <v>5</v>
      </c>
      <c r="CJ4" s="30" t="s">
        <v>387</v>
      </c>
      <c r="CK4" s="17">
        <f>SUM(CI4:CI10)</f>
        <v>50</v>
      </c>
      <c r="CM4" s="5" t="s">
        <v>328</v>
      </c>
      <c r="CN4">
        <v>7</v>
      </c>
      <c r="CO4" s="30" t="s">
        <v>387</v>
      </c>
      <c r="CP4" s="17">
        <f>SUM(CN4:CN36)</f>
        <v>31</v>
      </c>
      <c r="CR4" s="5" t="s">
        <v>333</v>
      </c>
      <c r="CS4">
        <v>11</v>
      </c>
      <c r="CT4" s="30" t="s">
        <v>387</v>
      </c>
      <c r="CU4" s="17">
        <f>SUM(CS4:CS31)</f>
        <v>183</v>
      </c>
      <c r="CW4" s="61" t="s">
        <v>321</v>
      </c>
      <c r="CX4" s="62">
        <v>5</v>
      </c>
      <c r="CY4" s="63" t="s">
        <v>387</v>
      </c>
      <c r="CZ4" s="58">
        <f>SUM(CX4:CX43)</f>
        <v>264</v>
      </c>
    </row>
    <row r="5" spans="1:104" x14ac:dyDescent="0.25">
      <c r="A5" s="5" t="s">
        <v>41</v>
      </c>
      <c r="B5">
        <v>2</v>
      </c>
      <c r="C5" s="30" t="s">
        <v>388</v>
      </c>
      <c r="D5" s="17">
        <f>MIN(B4:B26)</f>
        <v>0</v>
      </c>
      <c r="E5" s="18"/>
      <c r="F5" s="5" t="s">
        <v>66</v>
      </c>
      <c r="G5">
        <v>1</v>
      </c>
      <c r="H5" s="30" t="s">
        <v>388</v>
      </c>
      <c r="I5" s="17">
        <f>MIN(G4:G10)</f>
        <v>1</v>
      </c>
      <c r="K5" s="5" t="s">
        <v>73</v>
      </c>
      <c r="L5">
        <v>0</v>
      </c>
      <c r="M5" s="30" t="s">
        <v>388</v>
      </c>
      <c r="N5" s="17">
        <f>MIN(L4:L19)</f>
        <v>0</v>
      </c>
      <c r="P5" s="5" t="s">
        <v>89</v>
      </c>
      <c r="Q5">
        <v>2</v>
      </c>
      <c r="R5" s="30" t="s">
        <v>388</v>
      </c>
      <c r="S5" s="17">
        <f>MIN(Q4:Q10)</f>
        <v>2</v>
      </c>
      <c r="U5" s="5" t="s">
        <v>97</v>
      </c>
      <c r="V5">
        <v>9</v>
      </c>
      <c r="W5" s="30" t="s">
        <v>388</v>
      </c>
      <c r="X5" s="17">
        <f>MIN(V4:V36)</f>
        <v>1</v>
      </c>
      <c r="Z5" s="61" t="s">
        <v>89</v>
      </c>
      <c r="AA5" s="62">
        <v>2</v>
      </c>
      <c r="AB5" s="63" t="s">
        <v>388</v>
      </c>
      <c r="AC5" s="58">
        <f>MIN(AA4:AA43)</f>
        <v>1</v>
      </c>
      <c r="AE5" s="5" t="s">
        <v>130</v>
      </c>
      <c r="AF5">
        <v>1</v>
      </c>
      <c r="AG5" s="30" t="s">
        <v>388</v>
      </c>
      <c r="AH5" s="17">
        <f>MIN(AF4:AF18)</f>
        <v>0</v>
      </c>
      <c r="AJ5" s="5" t="s">
        <v>67</v>
      </c>
      <c r="AK5">
        <v>3</v>
      </c>
      <c r="AL5" s="30" t="s">
        <v>388</v>
      </c>
      <c r="AM5" s="17">
        <f>MIN(AK4:AK10)</f>
        <v>0</v>
      </c>
      <c r="AO5" s="5" t="s">
        <v>150</v>
      </c>
      <c r="AP5">
        <v>6</v>
      </c>
      <c r="AQ5" s="30" t="s">
        <v>388</v>
      </c>
      <c r="AR5" s="17">
        <f>MIN(AP4:AP28)</f>
        <v>0</v>
      </c>
      <c r="AT5" s="5" t="s">
        <v>176</v>
      </c>
      <c r="AU5">
        <v>1</v>
      </c>
      <c r="AV5" s="30" t="s">
        <v>388</v>
      </c>
      <c r="AW5" s="17">
        <f>MIN(AU4:AU21)</f>
        <v>0</v>
      </c>
      <c r="AY5" s="5" t="s">
        <v>193</v>
      </c>
      <c r="AZ5">
        <v>0</v>
      </c>
      <c r="BA5" s="30" t="s">
        <v>388</v>
      </c>
      <c r="BB5" s="17">
        <f>MIN(AZ4:AZ33)</f>
        <v>0</v>
      </c>
      <c r="BD5" s="5" t="s">
        <v>222</v>
      </c>
      <c r="BE5">
        <v>4</v>
      </c>
      <c r="BF5" s="30" t="s">
        <v>388</v>
      </c>
      <c r="BG5" s="17">
        <f>MIN(BE4:BE28)</f>
        <v>0</v>
      </c>
      <c r="BI5" s="5" t="s">
        <v>73</v>
      </c>
      <c r="BJ5">
        <v>6</v>
      </c>
      <c r="BK5" s="30" t="s">
        <v>388</v>
      </c>
      <c r="BL5" s="17">
        <f>MIN(BJ4:BJ33)</f>
        <v>0</v>
      </c>
      <c r="BN5" s="5" t="s">
        <v>275</v>
      </c>
      <c r="BO5">
        <v>6</v>
      </c>
      <c r="BP5" s="30" t="s">
        <v>388</v>
      </c>
      <c r="BQ5" s="17">
        <f>MIN(BO4:BO19)</f>
        <v>1</v>
      </c>
      <c r="BS5" s="5" t="s">
        <v>291</v>
      </c>
      <c r="BT5">
        <v>3</v>
      </c>
      <c r="BU5" s="30" t="s">
        <v>388</v>
      </c>
      <c r="BV5" s="17">
        <f>MIN(BT4:BT12)</f>
        <v>0</v>
      </c>
      <c r="BX5" s="61" t="s">
        <v>275</v>
      </c>
      <c r="BY5" s="62">
        <v>6</v>
      </c>
      <c r="BZ5" s="63" t="s">
        <v>388</v>
      </c>
      <c r="CA5" s="58">
        <f>MIN(BY4:BY28)</f>
        <v>0</v>
      </c>
      <c r="CC5" s="5" t="s">
        <v>300</v>
      </c>
      <c r="CD5">
        <v>1</v>
      </c>
      <c r="CE5" s="30" t="s">
        <v>388</v>
      </c>
      <c r="CF5" s="17">
        <f>MIN(CD4:CD26)</f>
        <v>1</v>
      </c>
      <c r="CH5" s="5" t="s">
        <v>322</v>
      </c>
      <c r="CI5">
        <v>2</v>
      </c>
      <c r="CJ5" s="30" t="s">
        <v>388</v>
      </c>
      <c r="CK5" s="17">
        <f>MIN(CI4:CI10)</f>
        <v>2</v>
      </c>
      <c r="CM5" s="5" t="s">
        <v>329</v>
      </c>
      <c r="CN5">
        <v>5</v>
      </c>
      <c r="CO5" s="30" t="s">
        <v>388</v>
      </c>
      <c r="CP5" s="17">
        <f>MIN(CN4:CN36)</f>
        <v>5</v>
      </c>
      <c r="CR5" s="5" t="s">
        <v>334</v>
      </c>
      <c r="CS5">
        <v>11</v>
      </c>
      <c r="CT5" s="30" t="s">
        <v>388</v>
      </c>
      <c r="CU5" s="17">
        <f>MIN(CS4:CS31)</f>
        <v>1</v>
      </c>
      <c r="CW5" s="61" t="s">
        <v>322</v>
      </c>
      <c r="CX5" s="62">
        <v>2</v>
      </c>
      <c r="CY5" s="63" t="s">
        <v>388</v>
      </c>
      <c r="CZ5" s="58">
        <f>MIN(CX4:CX43)</f>
        <v>1</v>
      </c>
    </row>
    <row r="6" spans="1:104" x14ac:dyDescent="0.25">
      <c r="A6" s="5" t="s">
        <v>42</v>
      </c>
      <c r="B6">
        <v>2</v>
      </c>
      <c r="C6" s="30" t="s">
        <v>389</v>
      </c>
      <c r="D6" s="17">
        <f>MAX(B4:B26)</f>
        <v>11</v>
      </c>
      <c r="E6" s="18"/>
      <c r="F6" s="5" t="s">
        <v>67</v>
      </c>
      <c r="G6">
        <v>3</v>
      </c>
      <c r="H6" s="30" t="s">
        <v>389</v>
      </c>
      <c r="I6" s="17">
        <f>MAX(G4:G10)</f>
        <v>3</v>
      </c>
      <c r="K6" s="5" t="s">
        <v>74</v>
      </c>
      <c r="L6">
        <v>0</v>
      </c>
      <c r="M6" s="30" t="s">
        <v>389</v>
      </c>
      <c r="N6" s="17">
        <f>MAX(L4:L19)</f>
        <v>9</v>
      </c>
      <c r="P6" s="5" t="s">
        <v>90</v>
      </c>
      <c r="Q6">
        <v>2</v>
      </c>
      <c r="R6" s="30" t="s">
        <v>389</v>
      </c>
      <c r="S6" s="17">
        <f>MAX(Q4:Q10)</f>
        <v>7</v>
      </c>
      <c r="U6" s="5" t="s">
        <v>98</v>
      </c>
      <c r="V6">
        <v>7</v>
      </c>
      <c r="W6" s="30" t="s">
        <v>389</v>
      </c>
      <c r="X6" s="17">
        <f>MAX(V4:V36)</f>
        <v>16</v>
      </c>
      <c r="Z6" s="61" t="s">
        <v>90</v>
      </c>
      <c r="AA6" s="62">
        <v>2</v>
      </c>
      <c r="AB6" s="63" t="s">
        <v>389</v>
      </c>
      <c r="AC6" s="58">
        <f>MAX(AA4:AA43)</f>
        <v>16</v>
      </c>
      <c r="AE6" s="5" t="s">
        <v>131</v>
      </c>
      <c r="AF6">
        <v>0</v>
      </c>
      <c r="AG6" s="30" t="s">
        <v>389</v>
      </c>
      <c r="AH6" s="17">
        <f>MAX(AF4:AF18)</f>
        <v>11</v>
      </c>
      <c r="AJ6" s="5" t="s">
        <v>144</v>
      </c>
      <c r="AK6">
        <v>1</v>
      </c>
      <c r="AL6" s="30" t="s">
        <v>389</v>
      </c>
      <c r="AM6" s="17">
        <f>MAX(AK4:AK10)</f>
        <v>3</v>
      </c>
      <c r="AO6" s="5" t="s">
        <v>151</v>
      </c>
      <c r="AP6">
        <v>3</v>
      </c>
      <c r="AQ6" s="30" t="s">
        <v>389</v>
      </c>
      <c r="AR6" s="17">
        <f>MAX(AP4:AP28)</f>
        <v>6</v>
      </c>
      <c r="AT6" s="5" t="s">
        <v>177</v>
      </c>
      <c r="AU6">
        <v>1</v>
      </c>
      <c r="AV6" s="30" t="s">
        <v>389</v>
      </c>
      <c r="AW6" s="17">
        <f>MAX(AU4:AU21)</f>
        <v>11</v>
      </c>
      <c r="AY6" s="5" t="s">
        <v>194</v>
      </c>
      <c r="AZ6">
        <v>0</v>
      </c>
      <c r="BA6" s="30" t="s">
        <v>389</v>
      </c>
      <c r="BB6" s="17">
        <f>MAX(AZ4:AZ33)</f>
        <v>16</v>
      </c>
      <c r="BD6" s="5" t="s">
        <v>223</v>
      </c>
      <c r="BE6">
        <v>2</v>
      </c>
      <c r="BF6" s="30" t="s">
        <v>389</v>
      </c>
      <c r="BG6" s="17">
        <f>MAX(BE4:BE28)</f>
        <v>9</v>
      </c>
      <c r="BI6" s="5" t="s">
        <v>246</v>
      </c>
      <c r="BJ6">
        <v>7</v>
      </c>
      <c r="BK6" s="30" t="s">
        <v>389</v>
      </c>
      <c r="BL6" s="17">
        <f>MAX(BJ4:BJ33)</f>
        <v>16</v>
      </c>
      <c r="BN6" s="5" t="s">
        <v>276</v>
      </c>
      <c r="BO6">
        <v>2</v>
      </c>
      <c r="BP6" s="30" t="s">
        <v>389</v>
      </c>
      <c r="BQ6" s="17">
        <f>MAX(BO4:BO19)</f>
        <v>14</v>
      </c>
      <c r="BS6" s="5" t="s">
        <v>292</v>
      </c>
      <c r="BT6">
        <v>3</v>
      </c>
      <c r="BU6" s="30" t="s">
        <v>389</v>
      </c>
      <c r="BV6" s="17">
        <f>MAX(BT4:BT12)</f>
        <v>5</v>
      </c>
      <c r="BX6" s="61" t="s">
        <v>276</v>
      </c>
      <c r="BY6" s="62">
        <v>2</v>
      </c>
      <c r="BZ6" s="63" t="s">
        <v>389</v>
      </c>
      <c r="CA6" s="58">
        <f>MAX(BY4:BY28)</f>
        <v>14</v>
      </c>
      <c r="CC6" s="5" t="s">
        <v>301</v>
      </c>
      <c r="CD6">
        <v>4</v>
      </c>
      <c r="CE6" s="30" t="s">
        <v>389</v>
      </c>
      <c r="CF6" s="17">
        <f>MAX(CD4:CD26)</f>
        <v>12</v>
      </c>
      <c r="CH6" s="5" t="s">
        <v>323</v>
      </c>
      <c r="CI6">
        <v>8</v>
      </c>
      <c r="CJ6" s="30" t="s">
        <v>389</v>
      </c>
      <c r="CK6" s="17">
        <f>MAX(CI4:CI10)</f>
        <v>16</v>
      </c>
      <c r="CM6" s="5" t="s">
        <v>330</v>
      </c>
      <c r="CN6">
        <v>5</v>
      </c>
      <c r="CO6" s="30" t="s">
        <v>389</v>
      </c>
      <c r="CP6" s="17">
        <f>MAX(CN4:CN36)</f>
        <v>9</v>
      </c>
      <c r="CR6" s="5" t="s">
        <v>335</v>
      </c>
      <c r="CS6">
        <v>1</v>
      </c>
      <c r="CT6" s="30" t="s">
        <v>389</v>
      </c>
      <c r="CU6" s="17">
        <f>MAX(CS4:CS31)</f>
        <v>14</v>
      </c>
      <c r="CW6" s="61" t="s">
        <v>323</v>
      </c>
      <c r="CX6" s="62">
        <v>8</v>
      </c>
      <c r="CY6" s="63" t="s">
        <v>389</v>
      </c>
      <c r="CZ6" s="58">
        <f>MAX(CX4:CX43)</f>
        <v>16</v>
      </c>
    </row>
    <row r="7" spans="1:104" x14ac:dyDescent="0.25">
      <c r="A7" s="5" t="s">
        <v>43</v>
      </c>
      <c r="B7">
        <v>1</v>
      </c>
      <c r="C7" s="30" t="s">
        <v>390</v>
      </c>
      <c r="D7" s="17">
        <f>VAR(B4:B26)</f>
        <v>9.8023715415019765</v>
      </c>
      <c r="E7" s="18"/>
      <c r="F7" s="5" t="s">
        <v>68</v>
      </c>
      <c r="H7" s="30" t="s">
        <v>390</v>
      </c>
      <c r="I7" s="17">
        <f>VAR(G4:G10)</f>
        <v>0.66666666666666674</v>
      </c>
      <c r="K7" s="5" t="s">
        <v>75</v>
      </c>
      <c r="L7">
        <v>5</v>
      </c>
      <c r="M7" s="30" t="s">
        <v>390</v>
      </c>
      <c r="N7" s="17">
        <f>VAR(L4:L19)</f>
        <v>9.4499999999999993</v>
      </c>
      <c r="P7" s="5" t="s">
        <v>91</v>
      </c>
      <c r="Q7">
        <v>6</v>
      </c>
      <c r="R7" s="30" t="s">
        <v>390</v>
      </c>
      <c r="S7" s="17">
        <f>VAR(Q4:Q10)</f>
        <v>4.2380952380952381</v>
      </c>
      <c r="U7" s="5" t="s">
        <v>99</v>
      </c>
      <c r="V7">
        <v>12</v>
      </c>
      <c r="W7" s="30" t="s">
        <v>390</v>
      </c>
      <c r="X7" s="17">
        <f>VAR(V4:V36)</f>
        <v>16.530303030303031</v>
      </c>
      <c r="Z7" s="61" t="s">
        <v>91</v>
      </c>
      <c r="AA7" s="62">
        <v>6</v>
      </c>
      <c r="AB7" s="63" t="s">
        <v>390</v>
      </c>
      <c r="AC7" s="58">
        <f>VAR(AA4:AA43)</f>
        <v>14.968589743589746</v>
      </c>
      <c r="AE7" s="5" t="s">
        <v>132</v>
      </c>
      <c r="AF7">
        <v>11</v>
      </c>
      <c r="AG7" s="30" t="s">
        <v>390</v>
      </c>
      <c r="AH7" s="17">
        <f>VAR(AF4:AF18)</f>
        <v>9.1238095238095234</v>
      </c>
      <c r="AJ7" s="5" t="s">
        <v>145</v>
      </c>
      <c r="AK7">
        <v>0</v>
      </c>
      <c r="AL7" s="30" t="s">
        <v>390</v>
      </c>
      <c r="AM7" s="17">
        <f>VAR(AK4:AK10)</f>
        <v>1.142857142857143</v>
      </c>
      <c r="AO7" s="5" t="s">
        <v>152</v>
      </c>
      <c r="AP7">
        <v>4</v>
      </c>
      <c r="AQ7" s="30" t="s">
        <v>390</v>
      </c>
      <c r="AR7" s="17">
        <f>VAR(AP4:AP28)</f>
        <v>3.1566666666666663</v>
      </c>
      <c r="AT7" s="5" t="s">
        <v>178</v>
      </c>
      <c r="AU7">
        <v>3</v>
      </c>
      <c r="AV7" s="30" t="s">
        <v>390</v>
      </c>
      <c r="AW7" s="17">
        <f>VAR(AU4:AU21)</f>
        <v>10.614379084967322</v>
      </c>
      <c r="AY7" s="5" t="s">
        <v>195</v>
      </c>
      <c r="AZ7">
        <v>3</v>
      </c>
      <c r="BA7" s="30" t="s">
        <v>390</v>
      </c>
      <c r="BB7" s="17">
        <f>VAR(AZ4:AZ33)</f>
        <v>17.167816091954023</v>
      </c>
      <c r="BD7" s="5" t="s">
        <v>224</v>
      </c>
      <c r="BE7">
        <v>1</v>
      </c>
      <c r="BF7" s="30" t="s">
        <v>390</v>
      </c>
      <c r="BG7" s="17">
        <f>VAR(BE4:BE28)</f>
        <v>5.0100000000000007</v>
      </c>
      <c r="BI7" s="5" t="s">
        <v>247</v>
      </c>
      <c r="BJ7">
        <v>7</v>
      </c>
      <c r="BK7" s="30" t="s">
        <v>390</v>
      </c>
      <c r="BL7" s="17">
        <f>VAR(BJ4:BJ33)</f>
        <v>11.798850574712647</v>
      </c>
      <c r="BN7" s="5" t="s">
        <v>277</v>
      </c>
      <c r="BO7">
        <v>5</v>
      </c>
      <c r="BP7" s="30" t="s">
        <v>390</v>
      </c>
      <c r="BQ7" s="17">
        <f>VAR(BO4:BO19)</f>
        <v>11.45</v>
      </c>
      <c r="BS7" s="5" t="s">
        <v>293</v>
      </c>
      <c r="BT7">
        <v>5</v>
      </c>
      <c r="BU7" s="30" t="s">
        <v>390</v>
      </c>
      <c r="BV7" s="17">
        <f>VAR(BT4:BT12)</f>
        <v>2.9444444444444446</v>
      </c>
      <c r="BX7" s="61" t="s">
        <v>277</v>
      </c>
      <c r="BY7" s="62">
        <v>5</v>
      </c>
      <c r="BZ7" s="63" t="s">
        <v>390</v>
      </c>
      <c r="CA7" s="58">
        <f>VAR(BY4:BY28)</f>
        <v>10.159999999999998</v>
      </c>
      <c r="CC7" s="5" t="s">
        <v>302</v>
      </c>
      <c r="CD7">
        <v>2</v>
      </c>
      <c r="CE7" s="30" t="s">
        <v>390</v>
      </c>
      <c r="CF7" s="17">
        <f>VAR(CD4:CD26)</f>
        <v>6.6205533596837958</v>
      </c>
      <c r="CH7" s="5" t="s">
        <v>324</v>
      </c>
      <c r="CI7">
        <v>11</v>
      </c>
      <c r="CJ7" s="30" t="s">
        <v>390</v>
      </c>
      <c r="CK7" s="17">
        <f>VAR(CI4:CI10)</f>
        <v>24.476190476190471</v>
      </c>
      <c r="CM7" s="5" t="s">
        <v>331</v>
      </c>
      <c r="CN7">
        <v>5</v>
      </c>
      <c r="CO7" s="30" t="s">
        <v>390</v>
      </c>
      <c r="CP7" s="17">
        <f>VAR(CN4:CN36)</f>
        <v>3.2000000000000028</v>
      </c>
      <c r="CR7" s="5" t="s">
        <v>43</v>
      </c>
      <c r="CS7">
        <v>14</v>
      </c>
      <c r="CT7" s="30" t="s">
        <v>390</v>
      </c>
      <c r="CU7" s="17">
        <f>VAR(CS4:CS31)</f>
        <v>12.554232804232807</v>
      </c>
      <c r="CW7" s="61" t="s">
        <v>324</v>
      </c>
      <c r="CX7" s="62">
        <v>11</v>
      </c>
      <c r="CY7" s="63" t="s">
        <v>390</v>
      </c>
      <c r="CZ7" s="58">
        <f>VAR(CX4:CX43)</f>
        <v>12.861538461538458</v>
      </c>
    </row>
    <row r="8" spans="1:104" x14ac:dyDescent="0.25">
      <c r="A8" s="5" t="s">
        <v>44</v>
      </c>
      <c r="B8">
        <v>2</v>
      </c>
      <c r="C8" s="30" t="s">
        <v>391</v>
      </c>
      <c r="D8" s="17">
        <f>AVERAGE(B4:B26)</f>
        <v>2.5652173913043477</v>
      </c>
      <c r="E8" s="18"/>
      <c r="F8" s="5" t="s">
        <v>69</v>
      </c>
      <c r="G8">
        <v>1</v>
      </c>
      <c r="H8" s="30" t="s">
        <v>391</v>
      </c>
      <c r="I8" s="17">
        <f>AVERAGE(G4:G10)</f>
        <v>1.3333333333333333</v>
      </c>
      <c r="K8" s="5" t="s">
        <v>76</v>
      </c>
      <c r="L8">
        <v>2</v>
      </c>
      <c r="M8" s="30" t="s">
        <v>391</v>
      </c>
      <c r="N8" s="17">
        <f>AVERAGE(L4:L19)</f>
        <v>3.375</v>
      </c>
      <c r="P8" s="5" t="s">
        <v>92</v>
      </c>
      <c r="Q8">
        <v>4</v>
      </c>
      <c r="R8" s="30" t="s">
        <v>391</v>
      </c>
      <c r="S8" s="17">
        <f>AVERAGE(Q4:Q10)</f>
        <v>3.7142857142857144</v>
      </c>
      <c r="U8" s="5" t="s">
        <v>100</v>
      </c>
      <c r="V8">
        <v>1</v>
      </c>
      <c r="W8" s="30" t="s">
        <v>391</v>
      </c>
      <c r="X8" s="17">
        <f>AVERAGE(V4:V36)</f>
        <v>5.9696969696969697</v>
      </c>
      <c r="Z8" s="61" t="s">
        <v>92</v>
      </c>
      <c r="AA8" s="62">
        <v>4</v>
      </c>
      <c r="AB8" s="63" t="s">
        <v>391</v>
      </c>
      <c r="AC8" s="58">
        <f>AVERAGE(AA4:AA43)</f>
        <v>5.5750000000000002</v>
      </c>
      <c r="AE8" s="5" t="s">
        <v>133</v>
      </c>
      <c r="AF8">
        <v>1</v>
      </c>
      <c r="AG8" s="30" t="s">
        <v>391</v>
      </c>
      <c r="AH8" s="17">
        <f>AVERAGE(AF4:AF18)</f>
        <v>3.1333333333333333</v>
      </c>
      <c r="AJ8" s="5" t="s">
        <v>146</v>
      </c>
      <c r="AK8">
        <v>1</v>
      </c>
      <c r="AL8" s="30" t="s">
        <v>391</v>
      </c>
      <c r="AM8" s="17">
        <f>AVERAGE(AK4:AK10)</f>
        <v>1.1428571428571428</v>
      </c>
      <c r="AO8" s="5" t="s">
        <v>153</v>
      </c>
      <c r="AP8">
        <v>5</v>
      </c>
      <c r="AQ8" s="30" t="s">
        <v>391</v>
      </c>
      <c r="AR8" s="17">
        <f>AVERAGE(AP4:AP28)</f>
        <v>2.64</v>
      </c>
      <c r="AT8" s="5" t="s">
        <v>179</v>
      </c>
      <c r="AU8">
        <v>6</v>
      </c>
      <c r="AV8" s="30" t="s">
        <v>391</v>
      </c>
      <c r="AW8" s="17">
        <f>AVERAGE(AU4:AU21)</f>
        <v>4.5555555555555554</v>
      </c>
      <c r="AY8" s="5" t="s">
        <v>196</v>
      </c>
      <c r="AZ8">
        <v>3</v>
      </c>
      <c r="BA8" s="30" t="s">
        <v>391</v>
      </c>
      <c r="BB8" s="17">
        <f>AVERAGE(AZ4:AZ33)</f>
        <v>3.7333333333333334</v>
      </c>
      <c r="BD8" s="5" t="s">
        <v>225</v>
      </c>
      <c r="BE8">
        <v>1</v>
      </c>
      <c r="BF8" s="30" t="s">
        <v>391</v>
      </c>
      <c r="BG8" s="17">
        <f>AVERAGE(BE4:BE28)</f>
        <v>3.48</v>
      </c>
      <c r="BI8" s="5" t="s">
        <v>248</v>
      </c>
      <c r="BJ8">
        <v>10</v>
      </c>
      <c r="BK8" s="30" t="s">
        <v>391</v>
      </c>
      <c r="BL8" s="17">
        <f>AVERAGE(BJ4:BJ33)</f>
        <v>6.166666666666667</v>
      </c>
      <c r="BN8" s="5" t="s">
        <v>279</v>
      </c>
      <c r="BO8">
        <v>5</v>
      </c>
      <c r="BP8" s="30" t="s">
        <v>391</v>
      </c>
      <c r="BQ8" s="17">
        <f>AVERAGE(BO4:BO19)</f>
        <v>5.125</v>
      </c>
      <c r="BS8" s="5" t="s">
        <v>294</v>
      </c>
      <c r="BT8">
        <v>2</v>
      </c>
      <c r="BU8" s="30" t="s">
        <v>391</v>
      </c>
      <c r="BV8" s="17">
        <f>AVERAGE(BT4:BT12)</f>
        <v>2.2222222222222223</v>
      </c>
      <c r="BX8" s="61" t="s">
        <v>279</v>
      </c>
      <c r="BY8" s="62">
        <v>5</v>
      </c>
      <c r="BZ8" s="63" t="s">
        <v>391</v>
      </c>
      <c r="CA8" s="58">
        <f>AVERAGE(BY4:BY28)</f>
        <v>4.08</v>
      </c>
      <c r="CC8" s="5" t="s">
        <v>303</v>
      </c>
      <c r="CD8">
        <v>4</v>
      </c>
      <c r="CE8" s="30" t="s">
        <v>391</v>
      </c>
      <c r="CF8" s="17">
        <f>AVERAGE(CD4:CD26)</f>
        <v>4.5652173913043477</v>
      </c>
      <c r="CH8" s="5" t="s">
        <v>325</v>
      </c>
      <c r="CI8">
        <v>3</v>
      </c>
      <c r="CJ8" s="30" t="s">
        <v>391</v>
      </c>
      <c r="CK8" s="17">
        <f>AVERAGE(CI4:CI10)</f>
        <v>7.1428571428571432</v>
      </c>
      <c r="CM8" s="5" t="s">
        <v>332</v>
      </c>
      <c r="CN8">
        <v>9</v>
      </c>
      <c r="CO8" s="30" t="s">
        <v>391</v>
      </c>
      <c r="CP8" s="17">
        <f>AVERAGE(CN4:CN36)</f>
        <v>6.2</v>
      </c>
      <c r="CR8" s="5" t="s">
        <v>336</v>
      </c>
      <c r="CS8">
        <v>13</v>
      </c>
      <c r="CT8" s="30" t="s">
        <v>391</v>
      </c>
      <c r="CU8" s="17">
        <f>AVERAGE(CS4:CS31)</f>
        <v>6.5357142857142856</v>
      </c>
      <c r="CW8" s="61" t="s">
        <v>325</v>
      </c>
      <c r="CX8" s="62">
        <v>3</v>
      </c>
      <c r="CY8" s="63" t="s">
        <v>391</v>
      </c>
      <c r="CZ8" s="58">
        <f>AVERAGE(CX4:CX43)</f>
        <v>6.6</v>
      </c>
    </row>
    <row r="9" spans="1:104" x14ac:dyDescent="0.25">
      <c r="A9" s="5" t="s">
        <v>45</v>
      </c>
      <c r="B9">
        <v>8</v>
      </c>
      <c r="C9" s="30" t="s">
        <v>392</v>
      </c>
      <c r="D9" s="17">
        <f>STDEV(B4:B26)</f>
        <v>3.1308739261589529</v>
      </c>
      <c r="E9" s="18"/>
      <c r="F9" s="5" t="s">
        <v>70</v>
      </c>
      <c r="G9">
        <v>1</v>
      </c>
      <c r="H9" s="30" t="s">
        <v>392</v>
      </c>
      <c r="I9" s="17">
        <f>STDEV(G4:G10)</f>
        <v>0.81649658092772603</v>
      </c>
      <c r="K9" s="5" t="s">
        <v>77</v>
      </c>
      <c r="L9">
        <v>2</v>
      </c>
      <c r="M9" s="30" t="s">
        <v>392</v>
      </c>
      <c r="N9" s="17">
        <f>STDEV(L4:L19)</f>
        <v>3.0740852297878796</v>
      </c>
      <c r="P9" s="5" t="s">
        <v>93</v>
      </c>
      <c r="Q9">
        <v>2</v>
      </c>
      <c r="R9" s="30" t="s">
        <v>392</v>
      </c>
      <c r="S9" s="17">
        <f>STDEV(Q4:Q10)</f>
        <v>2.0586634591635513</v>
      </c>
      <c r="U9" s="5" t="s">
        <v>101</v>
      </c>
      <c r="V9">
        <v>14</v>
      </c>
      <c r="W9" s="30" t="s">
        <v>392</v>
      </c>
      <c r="X9" s="17">
        <f>STDEV(V4:V36)</f>
        <v>4.0657475364689128</v>
      </c>
      <c r="Z9" s="61" t="s">
        <v>93</v>
      </c>
      <c r="AA9" s="62">
        <v>2</v>
      </c>
      <c r="AB9" s="63" t="s">
        <v>392</v>
      </c>
      <c r="AC9" s="58">
        <f>STDEV(AA4:AA43)</f>
        <v>3.8689261744817185</v>
      </c>
      <c r="AE9" s="5" t="s">
        <v>134</v>
      </c>
      <c r="AF9">
        <v>3</v>
      </c>
      <c r="AG9" s="30" t="s">
        <v>392</v>
      </c>
      <c r="AH9" s="17">
        <f>STDEV(AF4:AF18)</f>
        <v>3.020564437950219</v>
      </c>
      <c r="AJ9" s="5" t="s">
        <v>147</v>
      </c>
      <c r="AK9">
        <v>1</v>
      </c>
      <c r="AL9" s="30" t="s">
        <v>392</v>
      </c>
      <c r="AM9" s="17">
        <f>STDEV(AK4:AK10)</f>
        <v>1.0690449676496976</v>
      </c>
      <c r="AO9" s="5" t="s">
        <v>154</v>
      </c>
      <c r="AP9">
        <v>2</v>
      </c>
      <c r="AQ9" s="30" t="s">
        <v>392</v>
      </c>
      <c r="AR9" s="17">
        <f>STDEV(AP4:AP28)</f>
        <v>1.7767010628315238</v>
      </c>
      <c r="AT9" s="5" t="s">
        <v>180</v>
      </c>
      <c r="AU9">
        <v>5</v>
      </c>
      <c r="AV9" s="30" t="s">
        <v>392</v>
      </c>
      <c r="AW9" s="17">
        <f>STDEV(AU4:AU21)</f>
        <v>3.2579716212648817</v>
      </c>
      <c r="AY9" s="5" t="s">
        <v>197</v>
      </c>
      <c r="AZ9">
        <v>0</v>
      </c>
      <c r="BA9" s="30" t="s">
        <v>392</v>
      </c>
      <c r="BB9" s="17">
        <f>STDEV(AZ4:AZ33)</f>
        <v>4.1434063392279095</v>
      </c>
      <c r="BD9" s="5" t="s">
        <v>226</v>
      </c>
      <c r="BE9">
        <v>1</v>
      </c>
      <c r="BF9" s="30" t="s">
        <v>392</v>
      </c>
      <c r="BG9" s="17">
        <f>STDEV(BE4:BE28)</f>
        <v>2.2383029285599392</v>
      </c>
      <c r="BI9" s="5" t="s">
        <v>249</v>
      </c>
      <c r="BJ9">
        <v>4</v>
      </c>
      <c r="BK9" s="30" t="s">
        <v>392</v>
      </c>
      <c r="BL9" s="17">
        <f>STDEV(BJ4:BJ33)</f>
        <v>3.4349454980701872</v>
      </c>
      <c r="BN9" s="5" t="s">
        <v>278</v>
      </c>
      <c r="BO9">
        <v>3</v>
      </c>
      <c r="BP9" s="30" t="s">
        <v>392</v>
      </c>
      <c r="BQ9" s="17">
        <f>STDEV(BO4:BO19)</f>
        <v>3.3837848631377261</v>
      </c>
      <c r="BS9" s="5" t="s">
        <v>295</v>
      </c>
      <c r="BT9">
        <v>1</v>
      </c>
      <c r="BU9" s="30" t="s">
        <v>392</v>
      </c>
      <c r="BV9" s="17">
        <f>STDEV(BT4:BT12)</f>
        <v>1.7159383568311668</v>
      </c>
      <c r="BX9" s="61" t="s">
        <v>278</v>
      </c>
      <c r="BY9" s="62">
        <v>3</v>
      </c>
      <c r="BZ9" s="63" t="s">
        <v>392</v>
      </c>
      <c r="CA9" s="58">
        <f>STDEV(BY4:BY28)</f>
        <v>3.1874754901018454</v>
      </c>
      <c r="CC9" s="5" t="s">
        <v>304</v>
      </c>
      <c r="CD9">
        <v>2</v>
      </c>
      <c r="CE9" s="30" t="s">
        <v>392</v>
      </c>
      <c r="CF9" s="17">
        <f>STDEV(CD4:CD26)</f>
        <v>2.5730435984809499</v>
      </c>
      <c r="CH9" s="5" t="s">
        <v>326</v>
      </c>
      <c r="CI9">
        <v>5</v>
      </c>
      <c r="CJ9" s="30" t="s">
        <v>392</v>
      </c>
      <c r="CK9" s="17">
        <f>STDEV(CI4:CI10)</f>
        <v>4.9473417585801034</v>
      </c>
      <c r="CO9" s="30" t="s">
        <v>392</v>
      </c>
      <c r="CP9" s="17">
        <f>STDEV(CN4:CN36)</f>
        <v>1.7888543819998326</v>
      </c>
      <c r="CR9" s="5" t="s">
        <v>337</v>
      </c>
      <c r="CS9">
        <v>12</v>
      </c>
      <c r="CT9" s="30" t="s">
        <v>392</v>
      </c>
      <c r="CU9" s="17">
        <f>STDEV(CS4:CS31)</f>
        <v>3.5431952816960015</v>
      </c>
      <c r="CW9" s="61" t="s">
        <v>326</v>
      </c>
      <c r="CX9" s="62">
        <v>5</v>
      </c>
      <c r="CY9" s="63" t="s">
        <v>392</v>
      </c>
      <c r="CZ9" s="58">
        <f>STDEV(CX4:CX43)</f>
        <v>3.5862987133726687</v>
      </c>
    </row>
    <row r="10" spans="1:104" x14ac:dyDescent="0.25">
      <c r="A10" s="5" t="s">
        <v>47</v>
      </c>
      <c r="B10">
        <v>1</v>
      </c>
      <c r="C10" s="17"/>
      <c r="D10" s="17"/>
      <c r="E10" s="18"/>
      <c r="F10" s="5" t="s">
        <v>71</v>
      </c>
      <c r="G10">
        <v>1</v>
      </c>
      <c r="H10" s="17"/>
      <c r="I10" s="17"/>
      <c r="K10" s="5" t="s">
        <v>78</v>
      </c>
      <c r="L10">
        <v>3</v>
      </c>
      <c r="M10" s="17"/>
      <c r="N10" s="17"/>
      <c r="P10" s="5" t="s">
        <v>94</v>
      </c>
      <c r="Q10">
        <v>7</v>
      </c>
      <c r="R10" s="17"/>
      <c r="S10" s="17"/>
      <c r="U10" s="5" t="s">
        <v>103</v>
      </c>
      <c r="V10">
        <v>16</v>
      </c>
      <c r="W10" s="17"/>
      <c r="X10" s="17"/>
      <c r="Z10" s="61" t="s">
        <v>94</v>
      </c>
      <c r="AA10" s="62">
        <v>7</v>
      </c>
      <c r="AB10" s="58"/>
      <c r="AC10" s="58"/>
      <c r="AE10" s="5" t="s">
        <v>135</v>
      </c>
      <c r="AF10">
        <v>1</v>
      </c>
      <c r="AG10" s="17"/>
      <c r="AH10" s="17"/>
      <c r="AJ10" s="5" t="s">
        <v>148</v>
      </c>
      <c r="AK10">
        <v>0</v>
      </c>
      <c r="AL10" s="17"/>
      <c r="AM10" s="17"/>
      <c r="AO10" s="5" t="s">
        <v>155</v>
      </c>
      <c r="AP10">
        <v>4</v>
      </c>
      <c r="AQ10" s="17"/>
      <c r="AR10" s="17"/>
      <c r="AT10" s="5" t="s">
        <v>181</v>
      </c>
      <c r="AU10">
        <v>3</v>
      </c>
      <c r="AV10" s="17"/>
      <c r="AW10" s="17"/>
      <c r="AY10" s="5" t="s">
        <v>198</v>
      </c>
      <c r="AZ10">
        <v>2</v>
      </c>
      <c r="BA10" s="17"/>
      <c r="BB10" s="17"/>
      <c r="BD10" s="5" t="s">
        <v>227</v>
      </c>
      <c r="BE10">
        <v>4</v>
      </c>
      <c r="BF10" s="17"/>
      <c r="BG10" s="17"/>
      <c r="BI10" s="5" t="s">
        <v>250</v>
      </c>
      <c r="BJ10">
        <v>7</v>
      </c>
      <c r="BK10" s="17"/>
      <c r="BL10" s="17"/>
      <c r="BN10" s="5" t="s">
        <v>280</v>
      </c>
      <c r="BO10">
        <v>7</v>
      </c>
      <c r="BP10" s="17"/>
      <c r="BQ10" s="17"/>
      <c r="BS10" s="5" t="s">
        <v>296</v>
      </c>
      <c r="BT10">
        <v>2</v>
      </c>
      <c r="BU10" s="17"/>
      <c r="BV10" s="17"/>
      <c r="BX10" s="61" t="s">
        <v>280</v>
      </c>
      <c r="BY10" s="62">
        <v>7</v>
      </c>
      <c r="BZ10" s="58"/>
      <c r="CA10" s="58"/>
      <c r="CC10" s="5" t="s">
        <v>305</v>
      </c>
      <c r="CD10">
        <v>9</v>
      </c>
      <c r="CE10" s="17"/>
      <c r="CF10" s="17"/>
      <c r="CH10" s="5" t="s">
        <v>327</v>
      </c>
      <c r="CI10">
        <v>16</v>
      </c>
      <c r="CJ10" s="17"/>
      <c r="CK10" s="17"/>
      <c r="CO10" s="17"/>
      <c r="CP10" s="17"/>
      <c r="CR10" s="5" t="s">
        <v>338</v>
      </c>
      <c r="CS10">
        <v>4</v>
      </c>
      <c r="CW10" s="61" t="s">
        <v>327</v>
      </c>
      <c r="CX10" s="62">
        <v>16</v>
      </c>
      <c r="CY10" s="58"/>
      <c r="CZ10" s="58"/>
    </row>
    <row r="11" spans="1:104" x14ac:dyDescent="0.25">
      <c r="A11" s="5" t="s">
        <v>48</v>
      </c>
      <c r="B11">
        <v>0</v>
      </c>
      <c r="C11" s="17"/>
      <c r="D11" s="17"/>
      <c r="E11" s="18"/>
      <c r="F11" s="5"/>
      <c r="H11" s="17"/>
      <c r="I11" s="17"/>
      <c r="K11" s="5" t="s">
        <v>79</v>
      </c>
      <c r="L11">
        <v>2</v>
      </c>
      <c r="M11" s="17"/>
      <c r="N11" s="17"/>
      <c r="P11" s="5"/>
      <c r="R11" s="17"/>
      <c r="S11" s="17"/>
      <c r="U11" s="5" t="s">
        <v>104</v>
      </c>
      <c r="V11">
        <v>5</v>
      </c>
      <c r="W11" s="17"/>
      <c r="X11" s="17"/>
      <c r="Z11" s="61" t="s">
        <v>96</v>
      </c>
      <c r="AA11" s="62">
        <v>8</v>
      </c>
      <c r="AE11" s="5" t="s">
        <v>136</v>
      </c>
      <c r="AF11">
        <v>1</v>
      </c>
      <c r="AG11" s="17"/>
      <c r="AH11" s="17"/>
      <c r="AJ11" s="5"/>
      <c r="AL11" s="17"/>
      <c r="AM11" s="17"/>
      <c r="AO11" s="5" t="s">
        <v>156</v>
      </c>
      <c r="AP11">
        <v>4</v>
      </c>
      <c r="AQ11" s="17"/>
      <c r="AR11" s="17"/>
      <c r="AT11" s="5" t="s">
        <v>182</v>
      </c>
      <c r="AU11">
        <v>6</v>
      </c>
      <c r="AV11" s="17"/>
      <c r="AW11" s="17"/>
      <c r="AY11" s="5" t="s">
        <v>161</v>
      </c>
      <c r="AZ11">
        <v>0</v>
      </c>
      <c r="BA11" s="17"/>
      <c r="BB11" s="17"/>
      <c r="BD11" s="5" t="s">
        <v>228</v>
      </c>
      <c r="BE11">
        <v>5</v>
      </c>
      <c r="BF11" s="17"/>
      <c r="BG11" s="17"/>
      <c r="BI11" s="5" t="s">
        <v>251</v>
      </c>
      <c r="BJ11">
        <v>7</v>
      </c>
      <c r="BK11" s="17"/>
      <c r="BL11" s="17"/>
      <c r="BN11" s="5" t="s">
        <v>281</v>
      </c>
      <c r="BO11">
        <v>1</v>
      </c>
      <c r="BP11" s="17"/>
      <c r="BQ11" s="17"/>
      <c r="BS11" s="5" t="s">
        <v>297</v>
      </c>
      <c r="BT11">
        <v>0</v>
      </c>
      <c r="BU11" s="17"/>
      <c r="BV11" s="17"/>
      <c r="BX11" s="61" t="s">
        <v>281</v>
      </c>
      <c r="BY11" s="62">
        <v>1</v>
      </c>
      <c r="BZ11" s="58"/>
      <c r="CA11" s="58"/>
      <c r="CC11" s="5" t="s">
        <v>306</v>
      </c>
      <c r="CD11">
        <v>5</v>
      </c>
      <c r="CE11" s="17"/>
      <c r="CF11" s="17"/>
      <c r="CH11" s="5"/>
      <c r="CJ11" s="17"/>
      <c r="CK11" s="17"/>
      <c r="CO11" s="17"/>
      <c r="CP11" s="17"/>
      <c r="CR11" s="5" t="s">
        <v>339</v>
      </c>
      <c r="CS11">
        <v>7</v>
      </c>
      <c r="CW11" s="61" t="s">
        <v>328</v>
      </c>
      <c r="CX11" s="62">
        <v>7</v>
      </c>
    </row>
    <row r="12" spans="1:104" x14ac:dyDescent="0.25">
      <c r="A12" s="5" t="s">
        <v>49</v>
      </c>
      <c r="B12">
        <v>7</v>
      </c>
      <c r="C12" s="17"/>
      <c r="D12" s="17"/>
      <c r="E12" s="18"/>
      <c r="F12" s="17" t="s">
        <v>382</v>
      </c>
      <c r="G12" s="29" t="s">
        <v>362</v>
      </c>
      <c r="H12" s="17"/>
      <c r="I12" s="17">
        <v>2016</v>
      </c>
      <c r="K12" s="5" t="s">
        <v>80</v>
      </c>
      <c r="L12">
        <v>5</v>
      </c>
      <c r="M12" s="17"/>
      <c r="N12" s="17"/>
      <c r="P12" s="17" t="s">
        <v>382</v>
      </c>
      <c r="Q12" s="29" t="s">
        <v>401</v>
      </c>
      <c r="R12" s="17"/>
      <c r="S12" s="17">
        <v>2016</v>
      </c>
      <c r="U12" s="5" t="s">
        <v>105</v>
      </c>
      <c r="V12">
        <v>5</v>
      </c>
      <c r="W12" s="17"/>
      <c r="X12" s="17"/>
      <c r="Z12" s="61" t="s">
        <v>97</v>
      </c>
      <c r="AA12" s="62">
        <v>9</v>
      </c>
      <c r="AE12" s="5" t="s">
        <v>44</v>
      </c>
      <c r="AF12">
        <v>2</v>
      </c>
      <c r="AG12" s="17"/>
      <c r="AH12" s="17"/>
      <c r="AJ12" s="17" t="s">
        <v>382</v>
      </c>
      <c r="AK12" s="29" t="s">
        <v>367</v>
      </c>
      <c r="AL12" s="17"/>
      <c r="AM12" s="17">
        <v>2016</v>
      </c>
      <c r="AO12" s="5" t="s">
        <v>157</v>
      </c>
      <c r="AP12">
        <v>5</v>
      </c>
      <c r="AQ12" s="17"/>
      <c r="AR12" s="17"/>
      <c r="AT12" s="5" t="s">
        <v>183</v>
      </c>
      <c r="AU12">
        <v>10</v>
      </c>
      <c r="AV12" s="17"/>
      <c r="AW12" s="17"/>
      <c r="AY12" s="5" t="s">
        <v>199</v>
      </c>
      <c r="AZ12">
        <v>9</v>
      </c>
      <c r="BA12" s="17"/>
      <c r="BB12" s="17"/>
      <c r="BD12" s="5" t="s">
        <v>229</v>
      </c>
      <c r="BE12">
        <v>3</v>
      </c>
      <c r="BF12" s="17"/>
      <c r="BG12" s="17"/>
      <c r="BI12" s="5" t="s">
        <v>252</v>
      </c>
      <c r="BJ12">
        <v>4</v>
      </c>
      <c r="BK12" s="17"/>
      <c r="BL12" s="17"/>
      <c r="BN12" s="5" t="s">
        <v>282</v>
      </c>
      <c r="BO12">
        <v>6</v>
      </c>
      <c r="BP12" s="17"/>
      <c r="BQ12" s="17"/>
      <c r="BS12" s="5" t="s">
        <v>298</v>
      </c>
      <c r="BT12">
        <v>0</v>
      </c>
      <c r="BU12" s="17"/>
      <c r="BV12" s="17"/>
      <c r="BX12" s="61" t="s">
        <v>282</v>
      </c>
      <c r="BY12" s="62">
        <v>6</v>
      </c>
      <c r="BZ12" s="58"/>
      <c r="CA12" s="58"/>
      <c r="CC12" s="5" t="s">
        <v>93</v>
      </c>
      <c r="CD12">
        <v>4</v>
      </c>
      <c r="CE12" s="17"/>
      <c r="CF12" s="17"/>
      <c r="CH12" s="17" t="s">
        <v>382</v>
      </c>
      <c r="CI12" s="29" t="s">
        <v>443</v>
      </c>
      <c r="CJ12" s="17"/>
      <c r="CK12" s="17">
        <v>2016</v>
      </c>
      <c r="CO12" s="17"/>
      <c r="CP12" s="17"/>
      <c r="CR12" s="5" t="s">
        <v>340</v>
      </c>
      <c r="CS12">
        <v>8</v>
      </c>
      <c r="CW12" s="61" t="s">
        <v>329</v>
      </c>
      <c r="CX12" s="62">
        <v>5</v>
      </c>
    </row>
    <row r="13" spans="1:104" x14ac:dyDescent="0.25">
      <c r="A13" s="5" t="s">
        <v>50</v>
      </c>
      <c r="B13">
        <v>1</v>
      </c>
      <c r="C13" s="17"/>
      <c r="D13" s="17"/>
      <c r="E13" s="18"/>
      <c r="F13" s="17" t="s">
        <v>383</v>
      </c>
      <c r="G13" s="6" t="s">
        <v>5</v>
      </c>
      <c r="H13" s="17"/>
      <c r="I13" s="17"/>
      <c r="K13" s="5" t="s">
        <v>81</v>
      </c>
      <c r="L13">
        <v>2</v>
      </c>
      <c r="M13" s="17"/>
      <c r="N13" s="17"/>
      <c r="P13" s="17" t="s">
        <v>383</v>
      </c>
      <c r="Q13" s="6" t="s">
        <v>5</v>
      </c>
      <c r="R13" s="17"/>
      <c r="S13" s="17"/>
      <c r="U13" s="5" t="s">
        <v>106</v>
      </c>
      <c r="V13">
        <v>11</v>
      </c>
      <c r="W13" s="17"/>
      <c r="X13" s="17"/>
      <c r="Z13" s="61" t="s">
        <v>98</v>
      </c>
      <c r="AA13" s="62">
        <v>7</v>
      </c>
      <c r="AE13" s="5" t="s">
        <v>137</v>
      </c>
      <c r="AF13">
        <v>3</v>
      </c>
      <c r="AG13" s="17"/>
      <c r="AH13" s="17"/>
      <c r="AJ13" s="17" t="s">
        <v>383</v>
      </c>
      <c r="AK13" s="6" t="s">
        <v>5</v>
      </c>
      <c r="AL13" s="17"/>
      <c r="AM13" s="17"/>
      <c r="AO13" s="5" t="s">
        <v>158</v>
      </c>
      <c r="AP13">
        <v>2</v>
      </c>
      <c r="AQ13" s="17"/>
      <c r="AR13" s="17"/>
      <c r="AT13" s="5" t="s">
        <v>184</v>
      </c>
      <c r="AU13">
        <v>8</v>
      </c>
      <c r="AV13" s="17"/>
      <c r="AW13" s="17"/>
      <c r="AY13" s="5" t="s">
        <v>200</v>
      </c>
      <c r="AZ13">
        <v>1</v>
      </c>
      <c r="BA13" s="17"/>
      <c r="BB13" s="17"/>
      <c r="BD13" s="5" t="s">
        <v>230</v>
      </c>
      <c r="BE13">
        <v>4</v>
      </c>
      <c r="BF13" s="17"/>
      <c r="BG13" s="17"/>
      <c r="BI13" s="5" t="s">
        <v>253</v>
      </c>
      <c r="BJ13">
        <v>9</v>
      </c>
      <c r="BK13" s="17"/>
      <c r="BL13" s="17"/>
      <c r="BN13" s="5" t="s">
        <v>283</v>
      </c>
      <c r="BO13">
        <v>6</v>
      </c>
      <c r="BP13" s="17"/>
      <c r="BQ13" s="17"/>
      <c r="BS13" s="5"/>
      <c r="BU13" s="17"/>
      <c r="BV13" s="17"/>
      <c r="BX13" s="61" t="s">
        <v>283</v>
      </c>
      <c r="BY13" s="62">
        <v>6</v>
      </c>
      <c r="BZ13" s="58"/>
      <c r="CA13" s="58"/>
      <c r="CC13" s="5" t="s">
        <v>307</v>
      </c>
      <c r="CD13">
        <v>3</v>
      </c>
      <c r="CE13" s="17"/>
      <c r="CF13" s="17"/>
      <c r="CH13" s="17" t="s">
        <v>383</v>
      </c>
      <c r="CI13" s="6" t="s">
        <v>5</v>
      </c>
      <c r="CJ13" s="17"/>
      <c r="CK13" s="17"/>
      <c r="CO13" s="17"/>
      <c r="CP13" s="17"/>
      <c r="CR13" s="5" t="s">
        <v>341</v>
      </c>
      <c r="CS13">
        <v>7</v>
      </c>
      <c r="CW13" s="61" t="s">
        <v>330</v>
      </c>
      <c r="CX13" s="62">
        <v>5</v>
      </c>
    </row>
    <row r="14" spans="1:104" x14ac:dyDescent="0.25">
      <c r="A14" s="5" t="s">
        <v>51</v>
      </c>
      <c r="B14">
        <v>0</v>
      </c>
      <c r="C14" s="17"/>
      <c r="D14" s="17"/>
      <c r="E14" s="18"/>
      <c r="F14" s="17" t="s">
        <v>384</v>
      </c>
      <c r="G14" s="17" t="s">
        <v>39</v>
      </c>
      <c r="H14" s="17" t="s">
        <v>385</v>
      </c>
      <c r="I14" s="17" t="s">
        <v>386</v>
      </c>
      <c r="K14" s="5" t="s">
        <v>82</v>
      </c>
      <c r="L14">
        <v>9</v>
      </c>
      <c r="M14" s="17"/>
      <c r="N14" s="17"/>
      <c r="P14" s="17" t="s">
        <v>384</v>
      </c>
      <c r="Q14" s="17" t="s">
        <v>39</v>
      </c>
      <c r="R14" s="17" t="s">
        <v>385</v>
      </c>
      <c r="S14" s="17" t="s">
        <v>386</v>
      </c>
      <c r="U14" s="5" t="s">
        <v>61</v>
      </c>
      <c r="V14">
        <v>3</v>
      </c>
      <c r="W14" s="17"/>
      <c r="X14" s="17"/>
      <c r="Z14" s="61" t="s">
        <v>99</v>
      </c>
      <c r="AA14" s="62">
        <v>12</v>
      </c>
      <c r="AE14" s="5" t="s">
        <v>138</v>
      </c>
      <c r="AF14">
        <v>8</v>
      </c>
      <c r="AG14" s="17"/>
      <c r="AH14" s="17"/>
      <c r="AJ14" s="17" t="s">
        <v>384</v>
      </c>
      <c r="AK14" s="17" t="s">
        <v>39</v>
      </c>
      <c r="AL14" s="17" t="s">
        <v>385</v>
      </c>
      <c r="AM14" s="17" t="s">
        <v>386</v>
      </c>
      <c r="AO14" s="5" t="s">
        <v>159</v>
      </c>
      <c r="AP14">
        <v>1</v>
      </c>
      <c r="AQ14" s="17"/>
      <c r="AR14" s="17"/>
      <c r="AT14" s="5" t="s">
        <v>185</v>
      </c>
      <c r="AU14">
        <v>3</v>
      </c>
      <c r="AV14" s="17"/>
      <c r="AW14" s="17"/>
      <c r="AY14" s="5" t="s">
        <v>201</v>
      </c>
      <c r="AZ14">
        <v>1</v>
      </c>
      <c r="BA14" s="17"/>
      <c r="BB14" s="17"/>
      <c r="BD14" s="5" t="s">
        <v>231</v>
      </c>
      <c r="BE14">
        <v>1</v>
      </c>
      <c r="BF14" s="17"/>
      <c r="BG14" s="17"/>
      <c r="BI14" s="5" t="s">
        <v>254</v>
      </c>
      <c r="BJ14">
        <v>6</v>
      </c>
      <c r="BK14" s="17"/>
      <c r="BL14" s="17"/>
      <c r="BN14" s="5" t="s">
        <v>285</v>
      </c>
      <c r="BO14">
        <v>2</v>
      </c>
      <c r="BP14" s="17"/>
      <c r="BQ14" s="17"/>
      <c r="BS14" s="17" t="s">
        <v>382</v>
      </c>
      <c r="BT14" s="29" t="s">
        <v>441</v>
      </c>
      <c r="BU14" s="17"/>
      <c r="BV14" s="17">
        <v>2016</v>
      </c>
      <c r="BX14" s="61" t="s">
        <v>285</v>
      </c>
      <c r="BY14" s="62">
        <v>2</v>
      </c>
      <c r="BZ14" s="58"/>
      <c r="CA14" s="58"/>
      <c r="CC14" s="5" t="s">
        <v>308</v>
      </c>
      <c r="CD14">
        <v>3</v>
      </c>
      <c r="CE14" s="17"/>
      <c r="CF14" s="17"/>
      <c r="CH14" s="17" t="s">
        <v>384</v>
      </c>
      <c r="CI14" s="17" t="s">
        <v>39</v>
      </c>
      <c r="CJ14" s="17" t="s">
        <v>385</v>
      </c>
      <c r="CK14" s="17" t="s">
        <v>386</v>
      </c>
      <c r="CO14" s="17"/>
      <c r="CP14" s="17"/>
      <c r="CR14" s="5" t="s">
        <v>342</v>
      </c>
      <c r="CS14">
        <v>4</v>
      </c>
      <c r="CW14" s="61" t="s">
        <v>331</v>
      </c>
      <c r="CX14" s="62">
        <v>5</v>
      </c>
    </row>
    <row r="15" spans="1:104" x14ac:dyDescent="0.25">
      <c r="A15" s="5" t="s">
        <v>52</v>
      </c>
      <c r="B15">
        <v>5</v>
      </c>
      <c r="C15" s="17"/>
      <c r="D15" s="17"/>
      <c r="E15" s="18"/>
      <c r="F15" s="5" t="s">
        <v>65</v>
      </c>
      <c r="G15">
        <v>0</v>
      </c>
      <c r="H15" s="30" t="s">
        <v>387</v>
      </c>
      <c r="I15" s="17">
        <f>SUM(G15:G21)</f>
        <v>2</v>
      </c>
      <c r="K15" s="5" t="s">
        <v>83</v>
      </c>
      <c r="L15">
        <v>8</v>
      </c>
      <c r="M15" s="17"/>
      <c r="N15" s="17"/>
      <c r="P15" s="5" t="s">
        <v>88</v>
      </c>
      <c r="Q15">
        <v>0</v>
      </c>
      <c r="R15" s="30" t="s">
        <v>387</v>
      </c>
      <c r="S15" s="17">
        <f>SUM(Q15:Q21)</f>
        <v>2</v>
      </c>
      <c r="U15" s="5" t="s">
        <v>107</v>
      </c>
      <c r="V15">
        <v>14</v>
      </c>
      <c r="W15" s="17"/>
      <c r="X15" s="17"/>
      <c r="Z15" s="61" t="s">
        <v>100</v>
      </c>
      <c r="AA15" s="62">
        <v>1</v>
      </c>
      <c r="AE15" s="5" t="s">
        <v>139</v>
      </c>
      <c r="AF15">
        <v>3</v>
      </c>
      <c r="AG15" s="17"/>
      <c r="AH15" s="17"/>
      <c r="AJ15" s="5" t="s">
        <v>143</v>
      </c>
      <c r="AK15">
        <v>0</v>
      </c>
      <c r="AL15" s="30" t="s">
        <v>387</v>
      </c>
      <c r="AM15" s="17">
        <f>SUM(AK15:AK21)</f>
        <v>3</v>
      </c>
      <c r="AO15" s="5" t="s">
        <v>100</v>
      </c>
      <c r="AP15">
        <v>1</v>
      </c>
      <c r="AQ15" s="17"/>
      <c r="AR15" s="17"/>
      <c r="AT15" s="5" t="s">
        <v>186</v>
      </c>
      <c r="AU15">
        <v>11</v>
      </c>
      <c r="AV15" s="17"/>
      <c r="AW15" s="17"/>
      <c r="AY15" s="5" t="s">
        <v>202</v>
      </c>
      <c r="AZ15">
        <v>3</v>
      </c>
      <c r="BA15" s="17"/>
      <c r="BB15" s="17"/>
      <c r="BD15" s="5" t="s">
        <v>232</v>
      </c>
      <c r="BE15">
        <v>0</v>
      </c>
      <c r="BF15" s="17"/>
      <c r="BG15" s="17"/>
      <c r="BI15" s="5" t="s">
        <v>255</v>
      </c>
      <c r="BJ15">
        <v>5</v>
      </c>
      <c r="BK15" s="17"/>
      <c r="BL15" s="17"/>
      <c r="BN15" s="5" t="s">
        <v>284</v>
      </c>
      <c r="BO15">
        <v>14</v>
      </c>
      <c r="BP15" s="17"/>
      <c r="BQ15" s="17"/>
      <c r="BS15" s="17" t="s">
        <v>383</v>
      </c>
      <c r="BT15" s="6" t="s">
        <v>5</v>
      </c>
      <c r="BU15" s="17"/>
      <c r="BV15" s="17"/>
      <c r="BX15" s="61" t="s">
        <v>284</v>
      </c>
      <c r="BY15" s="62">
        <v>14</v>
      </c>
      <c r="BZ15" s="58"/>
      <c r="CA15" s="58"/>
      <c r="CC15" s="5" t="s">
        <v>309</v>
      </c>
      <c r="CD15">
        <v>8</v>
      </c>
      <c r="CE15" s="17"/>
      <c r="CF15" s="17"/>
      <c r="CH15" s="5" t="s">
        <v>321</v>
      </c>
      <c r="CI15">
        <v>0</v>
      </c>
      <c r="CJ15" s="30" t="s">
        <v>387</v>
      </c>
      <c r="CK15" s="17">
        <f>SUM(CI15:CI21)</f>
        <v>2</v>
      </c>
      <c r="CO15" s="17"/>
      <c r="CP15" s="17"/>
      <c r="CR15" s="5" t="s">
        <v>343</v>
      </c>
      <c r="CS15">
        <v>8</v>
      </c>
      <c r="CW15" s="61" t="s">
        <v>332</v>
      </c>
      <c r="CX15" s="62">
        <v>9</v>
      </c>
    </row>
    <row r="16" spans="1:104" x14ac:dyDescent="0.25">
      <c r="A16" s="5" t="s">
        <v>53</v>
      </c>
      <c r="B16">
        <v>2</v>
      </c>
      <c r="C16" s="17"/>
      <c r="D16" s="17"/>
      <c r="E16" s="18"/>
      <c r="F16" s="5" t="s">
        <v>66</v>
      </c>
      <c r="G16">
        <v>0</v>
      </c>
      <c r="H16" s="30" t="s">
        <v>388</v>
      </c>
      <c r="I16" s="17">
        <f>MIN(G15:G21)</f>
        <v>0</v>
      </c>
      <c r="K16" s="5" t="s">
        <v>84</v>
      </c>
      <c r="L16">
        <v>0</v>
      </c>
      <c r="M16" s="17"/>
      <c r="N16" s="17"/>
      <c r="P16" s="5" t="s">
        <v>89</v>
      </c>
      <c r="Q16">
        <v>0</v>
      </c>
      <c r="R16" s="30" t="s">
        <v>388</v>
      </c>
      <c r="S16" s="17">
        <f>MIN(Q15:Q21)</f>
        <v>0</v>
      </c>
      <c r="U16" s="5" t="s">
        <v>108</v>
      </c>
      <c r="V16">
        <v>9</v>
      </c>
      <c r="W16" s="17"/>
      <c r="X16" s="17"/>
      <c r="Z16" s="61" t="s">
        <v>101</v>
      </c>
      <c r="AA16" s="62">
        <v>14</v>
      </c>
      <c r="AE16" s="5" t="s">
        <v>140</v>
      </c>
      <c r="AF16">
        <v>3</v>
      </c>
      <c r="AG16" s="17"/>
      <c r="AH16" s="17"/>
      <c r="AJ16" s="5" t="s">
        <v>67</v>
      </c>
      <c r="AK16">
        <v>2</v>
      </c>
      <c r="AL16" s="30" t="s">
        <v>388</v>
      </c>
      <c r="AM16" s="17">
        <f>MIN(AK15:AK21)</f>
        <v>0</v>
      </c>
      <c r="AO16" s="5" t="s">
        <v>161</v>
      </c>
      <c r="AP16">
        <v>0</v>
      </c>
      <c r="AQ16" s="17"/>
      <c r="AR16" s="17"/>
      <c r="AT16" s="5" t="s">
        <v>187</v>
      </c>
      <c r="AU16">
        <v>8</v>
      </c>
      <c r="AV16" s="17"/>
      <c r="AW16" s="17"/>
      <c r="AY16" s="5" t="s">
        <v>203</v>
      </c>
      <c r="AZ16">
        <v>7</v>
      </c>
      <c r="BA16" s="17"/>
      <c r="BB16" s="17"/>
      <c r="BD16" s="5" t="s">
        <v>233</v>
      </c>
      <c r="BE16">
        <v>3</v>
      </c>
      <c r="BF16" s="17"/>
      <c r="BG16" s="17"/>
      <c r="BI16" s="5" t="s">
        <v>256</v>
      </c>
      <c r="BJ16">
        <v>1</v>
      </c>
      <c r="BK16" s="17"/>
      <c r="BL16" s="17"/>
      <c r="BN16" s="5" t="s">
        <v>286</v>
      </c>
      <c r="BO16">
        <v>6</v>
      </c>
      <c r="BP16" s="17"/>
      <c r="BQ16" s="17"/>
      <c r="BS16" s="17" t="s">
        <v>384</v>
      </c>
      <c r="BT16" s="17" t="s">
        <v>39</v>
      </c>
      <c r="BU16" s="17" t="s">
        <v>385</v>
      </c>
      <c r="BV16" s="17" t="s">
        <v>386</v>
      </c>
      <c r="BX16" s="61" t="s">
        <v>286</v>
      </c>
      <c r="BY16" s="62">
        <v>6</v>
      </c>
      <c r="BZ16" s="58"/>
      <c r="CA16" s="58"/>
      <c r="CC16" s="5" t="s">
        <v>310</v>
      </c>
      <c r="CD16">
        <v>12</v>
      </c>
      <c r="CE16" s="17"/>
      <c r="CF16" s="17"/>
      <c r="CH16" s="5" t="s">
        <v>322</v>
      </c>
      <c r="CI16">
        <v>1</v>
      </c>
      <c r="CJ16" s="30" t="s">
        <v>388</v>
      </c>
      <c r="CK16" s="17">
        <f>MIN(CI15:CI21)</f>
        <v>0</v>
      </c>
      <c r="CO16" s="17"/>
      <c r="CP16" s="17"/>
      <c r="CR16" s="5" t="s">
        <v>344</v>
      </c>
      <c r="CS16">
        <v>6</v>
      </c>
      <c r="CW16" s="61" t="s">
        <v>333</v>
      </c>
      <c r="CX16" s="62">
        <v>11</v>
      </c>
    </row>
    <row r="17" spans="1:102" x14ac:dyDescent="0.25">
      <c r="A17" s="5" t="s">
        <v>54</v>
      </c>
      <c r="B17">
        <v>1</v>
      </c>
      <c r="C17" s="17"/>
      <c r="D17" s="17"/>
      <c r="E17" s="18"/>
      <c r="F17" s="5" t="s">
        <v>67</v>
      </c>
      <c r="G17">
        <v>1</v>
      </c>
      <c r="H17" s="30" t="s">
        <v>389</v>
      </c>
      <c r="I17" s="17">
        <f>MAX(G15:G21)</f>
        <v>1</v>
      </c>
      <c r="K17" s="5" t="s">
        <v>85</v>
      </c>
      <c r="L17">
        <v>0</v>
      </c>
      <c r="M17" s="17"/>
      <c r="N17" s="17"/>
      <c r="P17" s="5" t="s">
        <v>90</v>
      </c>
      <c r="Q17">
        <v>1</v>
      </c>
      <c r="R17" s="30" t="s">
        <v>389</v>
      </c>
      <c r="S17" s="17">
        <f>MAX(Q15:Q21)</f>
        <v>1</v>
      </c>
      <c r="U17" s="5" t="s">
        <v>109</v>
      </c>
      <c r="V17">
        <v>4</v>
      </c>
      <c r="W17" s="17"/>
      <c r="X17" s="17"/>
      <c r="Z17" s="61" t="s">
        <v>103</v>
      </c>
      <c r="AA17" s="62">
        <v>16</v>
      </c>
      <c r="AE17" s="5" t="s">
        <v>141</v>
      </c>
      <c r="AF17">
        <v>3</v>
      </c>
      <c r="AG17" s="17"/>
      <c r="AH17" s="17"/>
      <c r="AJ17" s="5" t="s">
        <v>144</v>
      </c>
      <c r="AK17">
        <v>0</v>
      </c>
      <c r="AL17" s="30" t="s">
        <v>389</v>
      </c>
      <c r="AM17" s="17">
        <f>MAX(AK15:AK21)</f>
        <v>2</v>
      </c>
      <c r="AO17" s="5" t="s">
        <v>162</v>
      </c>
      <c r="AP17">
        <v>3</v>
      </c>
      <c r="AQ17" s="17"/>
      <c r="AR17" s="17"/>
      <c r="AT17" s="5" t="s">
        <v>188</v>
      </c>
      <c r="AU17">
        <v>4</v>
      </c>
      <c r="AV17" s="17"/>
      <c r="AW17" s="17"/>
      <c r="AY17" s="5" t="s">
        <v>204</v>
      </c>
      <c r="AZ17">
        <v>7</v>
      </c>
      <c r="BA17" s="17"/>
      <c r="BB17" s="17"/>
      <c r="BD17" s="5" t="s">
        <v>234</v>
      </c>
      <c r="BE17">
        <v>6</v>
      </c>
      <c r="BF17" s="17"/>
      <c r="BG17" s="17"/>
      <c r="BI17" s="5" t="s">
        <v>257</v>
      </c>
      <c r="BJ17">
        <v>2</v>
      </c>
      <c r="BK17" s="17"/>
      <c r="BL17" s="17"/>
      <c r="BN17" s="5" t="s">
        <v>287</v>
      </c>
      <c r="BO17">
        <v>10</v>
      </c>
      <c r="BP17" s="17"/>
      <c r="BQ17" s="17"/>
      <c r="BS17" s="5" t="s">
        <v>290</v>
      </c>
      <c r="BT17">
        <v>0</v>
      </c>
      <c r="BU17" s="30" t="s">
        <v>387</v>
      </c>
      <c r="BV17" s="17">
        <f>SUM(BT17:BT25)</f>
        <v>1</v>
      </c>
      <c r="BX17" s="61" t="s">
        <v>287</v>
      </c>
      <c r="BY17" s="62">
        <v>10</v>
      </c>
      <c r="BZ17" s="58"/>
      <c r="CA17" s="58"/>
      <c r="CC17" s="5" t="s">
        <v>311</v>
      </c>
      <c r="CD17">
        <v>5</v>
      </c>
      <c r="CE17" s="17"/>
      <c r="CF17" s="17"/>
      <c r="CH17" s="5" t="s">
        <v>323</v>
      </c>
      <c r="CI17">
        <v>0</v>
      </c>
      <c r="CJ17" s="30" t="s">
        <v>389</v>
      </c>
      <c r="CK17" s="17">
        <f>MAX(CI15:CI21)</f>
        <v>1</v>
      </c>
      <c r="CO17" s="17"/>
      <c r="CP17" s="17"/>
      <c r="CR17" s="5" t="s">
        <v>345</v>
      </c>
      <c r="CS17">
        <v>8</v>
      </c>
      <c r="CW17" s="61" t="s">
        <v>334</v>
      </c>
      <c r="CX17" s="62">
        <v>11</v>
      </c>
    </row>
    <row r="18" spans="1:102" x14ac:dyDescent="0.25">
      <c r="A18" s="5" t="s">
        <v>55</v>
      </c>
      <c r="B18">
        <v>4</v>
      </c>
      <c r="C18" s="17"/>
      <c r="D18" s="17"/>
      <c r="E18" s="18"/>
      <c r="F18" s="5" t="s">
        <v>68</v>
      </c>
      <c r="G18">
        <v>0</v>
      </c>
      <c r="H18" s="30" t="s">
        <v>390</v>
      </c>
      <c r="I18" s="17">
        <f>VAR(G15:G21)</f>
        <v>0.23809523809523811</v>
      </c>
      <c r="K18" s="5" t="s">
        <v>86</v>
      </c>
      <c r="L18">
        <v>8</v>
      </c>
      <c r="M18" s="17"/>
      <c r="N18" s="17"/>
      <c r="P18" s="5" t="s">
        <v>91</v>
      </c>
      <c r="Q18">
        <v>0</v>
      </c>
      <c r="R18" s="30" t="s">
        <v>390</v>
      </c>
      <c r="S18" s="17">
        <f>VAR(Q15:Q21)</f>
        <v>0.23809523809523811</v>
      </c>
      <c r="U18" s="5" t="s">
        <v>110</v>
      </c>
      <c r="V18">
        <v>8</v>
      </c>
      <c r="W18" s="17"/>
      <c r="X18" s="17"/>
      <c r="Z18" s="61" t="s">
        <v>104</v>
      </c>
      <c r="AA18" s="62">
        <v>5</v>
      </c>
      <c r="AE18" s="5" t="s">
        <v>142</v>
      </c>
      <c r="AF18">
        <v>1</v>
      </c>
      <c r="AG18" s="17"/>
      <c r="AH18" s="17"/>
      <c r="AJ18" s="5" t="s">
        <v>145</v>
      </c>
      <c r="AK18">
        <v>0</v>
      </c>
      <c r="AL18" s="30" t="s">
        <v>390</v>
      </c>
      <c r="AM18" s="17">
        <f>VAR(AK15:AK21)</f>
        <v>0.61904761904761907</v>
      </c>
      <c r="AO18" s="5" t="s">
        <v>163</v>
      </c>
      <c r="AP18">
        <v>2</v>
      </c>
      <c r="AQ18" s="17"/>
      <c r="AR18" s="17"/>
      <c r="AT18" s="5" t="s">
        <v>395</v>
      </c>
      <c r="AU18">
        <v>7</v>
      </c>
      <c r="AV18" s="17"/>
      <c r="AW18" s="17"/>
      <c r="AY18" s="5" t="s">
        <v>205</v>
      </c>
      <c r="AZ18">
        <v>4</v>
      </c>
      <c r="BA18" s="17"/>
      <c r="BB18" s="17"/>
      <c r="BD18" s="5" t="s">
        <v>157</v>
      </c>
      <c r="BE18">
        <v>1</v>
      </c>
      <c r="BF18" s="17"/>
      <c r="BG18" s="17"/>
      <c r="BI18" s="5" t="s">
        <v>258</v>
      </c>
      <c r="BJ18">
        <v>2</v>
      </c>
      <c r="BK18" s="17"/>
      <c r="BL18" s="17"/>
      <c r="BN18" s="5" t="s">
        <v>288</v>
      </c>
      <c r="BO18">
        <v>3</v>
      </c>
      <c r="BP18" s="17"/>
      <c r="BQ18" s="17"/>
      <c r="BS18" s="5" t="s">
        <v>291</v>
      </c>
      <c r="BT18">
        <v>0</v>
      </c>
      <c r="BU18" s="30" t="s">
        <v>388</v>
      </c>
      <c r="BV18" s="17">
        <f>MIN(BT17:BT25)</f>
        <v>0</v>
      </c>
      <c r="BX18" s="61" t="s">
        <v>288</v>
      </c>
      <c r="BY18" s="62">
        <v>3</v>
      </c>
      <c r="BZ18" s="58"/>
      <c r="CA18" s="58"/>
      <c r="CC18" s="5" t="s">
        <v>312</v>
      </c>
      <c r="CD18">
        <v>5</v>
      </c>
      <c r="CE18" s="17"/>
      <c r="CF18" s="17"/>
      <c r="CH18" s="5" t="s">
        <v>324</v>
      </c>
      <c r="CI18">
        <v>0</v>
      </c>
      <c r="CJ18" s="30" t="s">
        <v>390</v>
      </c>
      <c r="CK18" s="17">
        <f>VAR(CI15:CI21)</f>
        <v>0.23809523809523811</v>
      </c>
      <c r="CO18" s="17"/>
      <c r="CP18" s="17"/>
      <c r="CR18" s="5" t="s">
        <v>346</v>
      </c>
      <c r="CS18">
        <v>6</v>
      </c>
      <c r="CW18" s="61" t="s">
        <v>335</v>
      </c>
      <c r="CX18" s="62">
        <v>1</v>
      </c>
    </row>
    <row r="19" spans="1:102" x14ac:dyDescent="0.25">
      <c r="A19" s="5" t="s">
        <v>56</v>
      </c>
      <c r="B19">
        <v>2</v>
      </c>
      <c r="C19" s="17"/>
      <c r="D19" s="17"/>
      <c r="E19" s="18"/>
      <c r="F19" s="5" t="s">
        <v>69</v>
      </c>
      <c r="G19">
        <v>0</v>
      </c>
      <c r="H19" s="30" t="s">
        <v>391</v>
      </c>
      <c r="I19" s="17">
        <f>AVERAGE(G15:G21)</f>
        <v>0.2857142857142857</v>
      </c>
      <c r="K19" s="5" t="s">
        <v>87</v>
      </c>
      <c r="L19">
        <v>2</v>
      </c>
      <c r="M19" s="17"/>
      <c r="N19" s="17"/>
      <c r="P19" s="5" t="s">
        <v>92</v>
      </c>
      <c r="Q19">
        <v>0</v>
      </c>
      <c r="R19" s="30" t="s">
        <v>391</v>
      </c>
      <c r="S19" s="17">
        <f>AVERAGE(Q15:Q21)</f>
        <v>0.2857142857142857</v>
      </c>
      <c r="U19" s="5" t="s">
        <v>111</v>
      </c>
      <c r="V19">
        <v>9</v>
      </c>
      <c r="W19" s="17"/>
      <c r="X19" s="17"/>
      <c r="Z19" s="61" t="s">
        <v>105</v>
      </c>
      <c r="AA19" s="62">
        <v>5</v>
      </c>
      <c r="AE19" s="5"/>
      <c r="AG19" s="17"/>
      <c r="AH19" s="17"/>
      <c r="AJ19" s="5" t="s">
        <v>146</v>
      </c>
      <c r="AK19">
        <v>0</v>
      </c>
      <c r="AL19" s="30" t="s">
        <v>391</v>
      </c>
      <c r="AM19" s="17">
        <f>AVERAGE(AK15:AK21)</f>
        <v>0.42857142857142855</v>
      </c>
      <c r="AO19" s="5" t="s">
        <v>164</v>
      </c>
      <c r="AP19">
        <v>1</v>
      </c>
      <c r="AQ19" s="17"/>
      <c r="AR19" s="17"/>
      <c r="AT19" s="5" t="s">
        <v>189</v>
      </c>
      <c r="AU19">
        <v>3</v>
      </c>
      <c r="AV19" s="17"/>
      <c r="AW19" s="17"/>
      <c r="AY19" s="5" t="s">
        <v>206</v>
      </c>
      <c r="AZ19">
        <v>4</v>
      </c>
      <c r="BA19" s="17"/>
      <c r="BB19" s="17"/>
      <c r="BD19" s="5" t="s">
        <v>235</v>
      </c>
      <c r="BE19">
        <v>4</v>
      </c>
      <c r="BF19" s="17"/>
      <c r="BG19" s="17"/>
      <c r="BI19" s="5" t="s">
        <v>259</v>
      </c>
      <c r="BJ19">
        <v>4</v>
      </c>
      <c r="BK19" s="17"/>
      <c r="BL19" s="17"/>
      <c r="BN19" s="5" t="s">
        <v>289</v>
      </c>
      <c r="BO19">
        <v>5</v>
      </c>
      <c r="BP19" s="17"/>
      <c r="BQ19" s="17"/>
      <c r="BS19" s="5" t="s">
        <v>292</v>
      </c>
      <c r="BT19">
        <v>1</v>
      </c>
      <c r="BU19" s="30" t="s">
        <v>389</v>
      </c>
      <c r="BV19" s="17">
        <f>MAX(BT17:BT25)</f>
        <v>1</v>
      </c>
      <c r="BX19" s="61" t="s">
        <v>289</v>
      </c>
      <c r="BY19" s="62">
        <v>5</v>
      </c>
      <c r="BZ19" s="58"/>
      <c r="CA19" s="58"/>
      <c r="CC19" s="5" t="s">
        <v>313</v>
      </c>
      <c r="CD19">
        <v>2</v>
      </c>
      <c r="CE19" s="17"/>
      <c r="CF19" s="17"/>
      <c r="CH19" s="5" t="s">
        <v>325</v>
      </c>
      <c r="CI19">
        <v>1</v>
      </c>
      <c r="CJ19" s="30" t="s">
        <v>391</v>
      </c>
      <c r="CK19" s="17">
        <f>AVERAGE(CI15:CI21)</f>
        <v>0.2857142857142857</v>
      </c>
      <c r="CO19" s="17"/>
      <c r="CP19" s="17"/>
      <c r="CR19" s="5" t="s">
        <v>347</v>
      </c>
      <c r="CS19">
        <v>9</v>
      </c>
      <c r="CW19" s="61" t="s">
        <v>43</v>
      </c>
      <c r="CX19" s="62">
        <v>14</v>
      </c>
    </row>
    <row r="20" spans="1:102" x14ac:dyDescent="0.25">
      <c r="A20" s="5" t="s">
        <v>57</v>
      </c>
      <c r="B20">
        <v>0</v>
      </c>
      <c r="C20" s="17"/>
      <c r="D20" s="17"/>
      <c r="E20" s="18"/>
      <c r="F20" s="5" t="s">
        <v>70</v>
      </c>
      <c r="G20">
        <v>0</v>
      </c>
      <c r="H20" s="30" t="s">
        <v>392</v>
      </c>
      <c r="I20" s="17">
        <f>STDEV(G15:G21)</f>
        <v>0.4879500364742666</v>
      </c>
      <c r="K20" s="5"/>
      <c r="M20" s="17"/>
      <c r="N20" s="17"/>
      <c r="P20" s="5" t="s">
        <v>93</v>
      </c>
      <c r="Q20">
        <v>1</v>
      </c>
      <c r="R20" s="30" t="s">
        <v>392</v>
      </c>
      <c r="S20" s="17">
        <f>STDEV(Q15:Q21)</f>
        <v>0.4879500364742666</v>
      </c>
      <c r="U20" s="5" t="s">
        <v>112</v>
      </c>
      <c r="V20">
        <v>2</v>
      </c>
      <c r="W20" s="17"/>
      <c r="X20" s="17"/>
      <c r="Z20" s="61" t="s">
        <v>106</v>
      </c>
      <c r="AA20" s="62">
        <v>11</v>
      </c>
      <c r="AE20" s="17" t="s">
        <v>382</v>
      </c>
      <c r="AF20" s="29" t="s">
        <v>366</v>
      </c>
      <c r="AG20" s="17"/>
      <c r="AH20" s="17">
        <v>2016</v>
      </c>
      <c r="AJ20" s="5" t="s">
        <v>147</v>
      </c>
      <c r="AK20">
        <v>1</v>
      </c>
      <c r="AL20" s="30" t="s">
        <v>392</v>
      </c>
      <c r="AM20" s="17">
        <f>STDEV(AK15:AK21)</f>
        <v>0.7867957924694432</v>
      </c>
      <c r="AO20" s="5" t="s">
        <v>165</v>
      </c>
      <c r="AP20">
        <v>4</v>
      </c>
      <c r="AQ20" s="17"/>
      <c r="AR20" s="17"/>
      <c r="AT20" s="5" t="s">
        <v>190</v>
      </c>
      <c r="AU20">
        <v>1</v>
      </c>
      <c r="AV20" s="17"/>
      <c r="AW20" s="17"/>
      <c r="AY20" s="5" t="s">
        <v>207</v>
      </c>
      <c r="AZ20">
        <v>3</v>
      </c>
      <c r="BA20" s="17"/>
      <c r="BB20" s="17"/>
      <c r="BD20" s="5" t="s">
        <v>236</v>
      </c>
      <c r="BE20">
        <v>3</v>
      </c>
      <c r="BF20" s="17"/>
      <c r="BG20" s="17"/>
      <c r="BI20" s="5" t="s">
        <v>260</v>
      </c>
      <c r="BJ20">
        <v>0</v>
      </c>
      <c r="BK20" s="17"/>
      <c r="BL20" s="17"/>
      <c r="BN20" s="5"/>
      <c r="BP20" s="17"/>
      <c r="BQ20" s="17"/>
      <c r="BS20" s="5" t="s">
        <v>293</v>
      </c>
      <c r="BT20">
        <v>0</v>
      </c>
      <c r="BU20" s="30" t="s">
        <v>390</v>
      </c>
      <c r="BV20" s="17">
        <f>VAR(BT17:BT25)</f>
        <v>0.1111111111111111</v>
      </c>
      <c r="BX20" s="61" t="s">
        <v>290</v>
      </c>
      <c r="BY20" s="62">
        <v>4</v>
      </c>
      <c r="CC20" s="5" t="s">
        <v>314</v>
      </c>
      <c r="CD20">
        <v>4</v>
      </c>
      <c r="CH20" s="5" t="s">
        <v>326</v>
      </c>
      <c r="CI20">
        <v>0</v>
      </c>
      <c r="CJ20" s="30" t="s">
        <v>392</v>
      </c>
      <c r="CK20" s="17">
        <f>STDEV(CI15:CI21)</f>
        <v>0.4879500364742666</v>
      </c>
      <c r="CR20" s="5" t="s">
        <v>348</v>
      </c>
      <c r="CS20">
        <v>9</v>
      </c>
      <c r="CW20" s="61" t="s">
        <v>336</v>
      </c>
      <c r="CX20" s="62">
        <v>13</v>
      </c>
    </row>
    <row r="21" spans="1:102" x14ac:dyDescent="0.25">
      <c r="A21" s="5" t="s">
        <v>58</v>
      </c>
      <c r="B21">
        <v>0</v>
      </c>
      <c r="C21" s="15"/>
      <c r="D21" s="15"/>
      <c r="E21" s="18"/>
      <c r="F21" s="5" t="s">
        <v>71</v>
      </c>
      <c r="G21">
        <v>1</v>
      </c>
      <c r="H21" s="17"/>
      <c r="I21" s="17"/>
      <c r="K21" s="17" t="s">
        <v>382</v>
      </c>
      <c r="L21" s="29" t="s">
        <v>363</v>
      </c>
      <c r="M21" s="17"/>
      <c r="N21" s="17">
        <v>2016</v>
      </c>
      <c r="P21" s="5" t="s">
        <v>94</v>
      </c>
      <c r="Q21">
        <v>0</v>
      </c>
      <c r="R21" s="17"/>
      <c r="S21" s="17"/>
      <c r="U21" s="5" t="s">
        <v>113</v>
      </c>
      <c r="V21">
        <v>4</v>
      </c>
      <c r="W21" s="15"/>
      <c r="X21" s="15"/>
      <c r="Z21" s="61" t="s">
        <v>61</v>
      </c>
      <c r="AA21" s="62">
        <v>3</v>
      </c>
      <c r="AE21" s="17" t="s">
        <v>383</v>
      </c>
      <c r="AF21" s="6" t="s">
        <v>5</v>
      </c>
      <c r="AG21" s="17"/>
      <c r="AH21" s="17"/>
      <c r="AJ21" s="5" t="s">
        <v>148</v>
      </c>
      <c r="AK21">
        <v>0</v>
      </c>
      <c r="AL21" s="17"/>
      <c r="AM21" s="17"/>
      <c r="AO21" s="5" t="s">
        <v>166</v>
      </c>
      <c r="AP21">
        <v>1</v>
      </c>
      <c r="AQ21" s="15"/>
      <c r="AR21" s="15"/>
      <c r="AT21" s="5" t="s">
        <v>191</v>
      </c>
      <c r="AU21">
        <v>0</v>
      </c>
      <c r="AV21" s="15"/>
      <c r="AW21" s="15"/>
      <c r="AY21" s="5" t="s">
        <v>208</v>
      </c>
      <c r="AZ21">
        <v>14</v>
      </c>
      <c r="BA21" s="15"/>
      <c r="BB21" s="15"/>
      <c r="BD21" s="5" t="s">
        <v>237</v>
      </c>
      <c r="BE21">
        <v>4</v>
      </c>
      <c r="BF21" s="15"/>
      <c r="BG21" s="15"/>
      <c r="BI21" s="5" t="s">
        <v>261</v>
      </c>
      <c r="BJ21">
        <v>7</v>
      </c>
      <c r="BK21" s="15"/>
      <c r="BL21" s="15"/>
      <c r="BN21" s="17" t="s">
        <v>382</v>
      </c>
      <c r="BO21" s="29" t="s">
        <v>440</v>
      </c>
      <c r="BP21" s="17"/>
      <c r="BQ21" s="17">
        <v>2016</v>
      </c>
      <c r="BS21" s="5" t="s">
        <v>294</v>
      </c>
      <c r="BT21">
        <v>0</v>
      </c>
      <c r="BU21" s="30" t="s">
        <v>391</v>
      </c>
      <c r="BV21" s="17">
        <f>AVERAGE(BT17:BT25)</f>
        <v>0.1111111111111111</v>
      </c>
      <c r="BX21" s="61" t="s">
        <v>291</v>
      </c>
      <c r="BY21" s="62">
        <v>3</v>
      </c>
      <c r="CC21" s="5" t="s">
        <v>315</v>
      </c>
      <c r="CD21">
        <v>4</v>
      </c>
      <c r="CH21" s="5" t="s">
        <v>327</v>
      </c>
      <c r="CI21">
        <v>0</v>
      </c>
      <c r="CJ21" s="17"/>
      <c r="CK21" s="17"/>
      <c r="CR21" s="5" t="s">
        <v>349</v>
      </c>
      <c r="CS21">
        <v>5</v>
      </c>
      <c r="CW21" s="61" t="s">
        <v>337</v>
      </c>
      <c r="CX21" s="62">
        <v>12</v>
      </c>
    </row>
    <row r="22" spans="1:102" x14ac:dyDescent="0.25">
      <c r="A22" s="5" t="s">
        <v>60</v>
      </c>
      <c r="B22">
        <v>0</v>
      </c>
      <c r="C22" s="17"/>
      <c r="D22" s="17"/>
      <c r="F22" s="5"/>
      <c r="H22" s="17"/>
      <c r="I22" s="17"/>
      <c r="K22" s="17" t="s">
        <v>383</v>
      </c>
      <c r="L22" s="6" t="s">
        <v>5</v>
      </c>
      <c r="M22" s="17"/>
      <c r="N22" s="17"/>
      <c r="U22" s="26" t="s">
        <v>114</v>
      </c>
      <c r="V22">
        <v>3</v>
      </c>
      <c r="W22" s="17"/>
      <c r="X22" s="17"/>
      <c r="Z22" s="61" t="s">
        <v>107</v>
      </c>
      <c r="AA22" s="62">
        <v>14</v>
      </c>
      <c r="AE22" s="17" t="s">
        <v>384</v>
      </c>
      <c r="AF22" s="17" t="s">
        <v>39</v>
      </c>
      <c r="AG22" s="17" t="s">
        <v>385</v>
      </c>
      <c r="AH22" s="17" t="s">
        <v>386</v>
      </c>
      <c r="AO22" s="5" t="s">
        <v>168</v>
      </c>
      <c r="AP22">
        <v>6</v>
      </c>
      <c r="AQ22" s="17"/>
      <c r="AR22" s="17"/>
      <c r="AT22" s="5"/>
      <c r="AV22" s="17"/>
      <c r="AW22" s="17"/>
      <c r="AY22" s="5" t="s">
        <v>209</v>
      </c>
      <c r="AZ22">
        <v>8</v>
      </c>
      <c r="BD22" s="5" t="s">
        <v>238</v>
      </c>
      <c r="BE22">
        <v>4</v>
      </c>
      <c r="BI22" s="5" t="s">
        <v>262</v>
      </c>
      <c r="BJ22">
        <v>9</v>
      </c>
      <c r="BN22" s="17" t="s">
        <v>383</v>
      </c>
      <c r="BO22" s="6" t="s">
        <v>5</v>
      </c>
      <c r="BP22" s="17"/>
      <c r="BQ22" s="17"/>
      <c r="BS22" s="5" t="s">
        <v>295</v>
      </c>
      <c r="BT22">
        <v>0</v>
      </c>
      <c r="BU22" s="30" t="s">
        <v>392</v>
      </c>
      <c r="BV22" s="17">
        <f>STDEV(BT17:BT25)</f>
        <v>0.33333333333333331</v>
      </c>
      <c r="BX22" s="61" t="s">
        <v>292</v>
      </c>
      <c r="BY22" s="62">
        <v>3</v>
      </c>
      <c r="CC22" s="5" t="s">
        <v>316</v>
      </c>
      <c r="CD22">
        <v>1</v>
      </c>
      <c r="CR22" s="5" t="s">
        <v>350</v>
      </c>
      <c r="CS22">
        <v>2</v>
      </c>
      <c r="CW22" s="61" t="s">
        <v>338</v>
      </c>
      <c r="CX22" s="62">
        <v>4</v>
      </c>
    </row>
    <row r="23" spans="1:102" x14ac:dyDescent="0.25">
      <c r="A23" s="5" t="s">
        <v>61</v>
      </c>
      <c r="B23">
        <v>8</v>
      </c>
      <c r="C23" s="17"/>
      <c r="D23" s="17"/>
      <c r="F23" s="17" t="s">
        <v>382</v>
      </c>
      <c r="G23" s="29" t="s">
        <v>362</v>
      </c>
      <c r="H23" s="17"/>
      <c r="I23" s="17">
        <v>2016</v>
      </c>
      <c r="K23" s="17" t="s">
        <v>384</v>
      </c>
      <c r="L23" s="17" t="s">
        <v>39</v>
      </c>
      <c r="M23" s="17" t="s">
        <v>385</v>
      </c>
      <c r="N23" s="17" t="s">
        <v>386</v>
      </c>
      <c r="P23" s="17" t="s">
        <v>382</v>
      </c>
      <c r="Q23" s="29" t="s">
        <v>401</v>
      </c>
      <c r="R23" s="17"/>
      <c r="S23" s="17">
        <v>2016</v>
      </c>
      <c r="U23" s="26" t="s">
        <v>115</v>
      </c>
      <c r="V23">
        <v>3</v>
      </c>
      <c r="W23" s="17"/>
      <c r="X23" s="17"/>
      <c r="Z23" s="61" t="s">
        <v>108</v>
      </c>
      <c r="AA23" s="62">
        <v>9</v>
      </c>
      <c r="AE23" s="5" t="s">
        <v>129</v>
      </c>
      <c r="AF23">
        <v>0</v>
      </c>
      <c r="AG23" s="30" t="s">
        <v>387</v>
      </c>
      <c r="AH23" s="17">
        <f>SUM(AF23:AF37)</f>
        <v>12</v>
      </c>
      <c r="AJ23" s="17" t="s">
        <v>382</v>
      </c>
      <c r="AK23" s="29" t="s">
        <v>367</v>
      </c>
      <c r="AL23" s="17"/>
      <c r="AM23" s="17">
        <v>2016</v>
      </c>
      <c r="AO23" s="5" t="s">
        <v>169</v>
      </c>
      <c r="AP23">
        <v>2</v>
      </c>
      <c r="AQ23" s="17"/>
      <c r="AR23" s="17"/>
      <c r="AT23" s="17" t="s">
        <v>382</v>
      </c>
      <c r="AU23" s="29" t="s">
        <v>369</v>
      </c>
      <c r="AV23" s="17"/>
      <c r="AW23" s="17">
        <v>2016</v>
      </c>
      <c r="AY23" s="5" t="s">
        <v>210</v>
      </c>
      <c r="AZ23">
        <v>16</v>
      </c>
      <c r="BD23" s="5" t="s">
        <v>239</v>
      </c>
      <c r="BE23">
        <v>3</v>
      </c>
      <c r="BI23" s="5" t="s">
        <v>263</v>
      </c>
      <c r="BJ23">
        <v>7</v>
      </c>
      <c r="BN23" s="17" t="s">
        <v>384</v>
      </c>
      <c r="BO23" s="17" t="s">
        <v>39</v>
      </c>
      <c r="BP23" s="17" t="s">
        <v>385</v>
      </c>
      <c r="BQ23" s="17" t="s">
        <v>386</v>
      </c>
      <c r="BS23" s="5" t="s">
        <v>296</v>
      </c>
      <c r="BT23">
        <v>0</v>
      </c>
      <c r="BU23" s="17"/>
      <c r="BV23" s="17"/>
      <c r="BX23" s="61" t="s">
        <v>293</v>
      </c>
      <c r="BY23" s="62">
        <v>5</v>
      </c>
      <c r="CC23" s="5" t="s">
        <v>317</v>
      </c>
      <c r="CD23">
        <v>5</v>
      </c>
      <c r="CH23" s="17" t="s">
        <v>382</v>
      </c>
      <c r="CI23" s="29" t="s">
        <v>443</v>
      </c>
      <c r="CJ23" s="17"/>
      <c r="CK23" s="17">
        <v>2016</v>
      </c>
      <c r="CR23" s="5" t="s">
        <v>351</v>
      </c>
      <c r="CS23">
        <v>3</v>
      </c>
      <c r="CW23" s="61" t="s">
        <v>339</v>
      </c>
      <c r="CX23" s="62">
        <v>7</v>
      </c>
    </row>
    <row r="24" spans="1:102" x14ac:dyDescent="0.25">
      <c r="A24" s="5" t="s">
        <v>62</v>
      </c>
      <c r="B24">
        <v>2</v>
      </c>
      <c r="C24" s="17"/>
      <c r="D24" s="1"/>
      <c r="F24" s="17" t="s">
        <v>383</v>
      </c>
      <c r="G24" s="6" t="s">
        <v>6</v>
      </c>
      <c r="H24" s="17"/>
      <c r="I24" s="17"/>
      <c r="K24" s="5" t="s">
        <v>72</v>
      </c>
      <c r="L24">
        <v>0</v>
      </c>
      <c r="M24" s="30" t="s">
        <v>387</v>
      </c>
      <c r="N24" s="17">
        <f>SUM(L24:L39)</f>
        <v>11</v>
      </c>
      <c r="P24" s="17" t="s">
        <v>383</v>
      </c>
      <c r="Q24" s="6" t="s">
        <v>95</v>
      </c>
      <c r="R24" s="17"/>
      <c r="S24" s="17"/>
      <c r="U24" s="26" t="s">
        <v>116</v>
      </c>
      <c r="V24">
        <v>6</v>
      </c>
      <c r="W24" s="17"/>
      <c r="X24" s="1"/>
      <c r="Z24" s="61" t="s">
        <v>109</v>
      </c>
      <c r="AA24" s="62">
        <v>4</v>
      </c>
      <c r="AE24" s="5" t="s">
        <v>130</v>
      </c>
      <c r="AF24">
        <v>1</v>
      </c>
      <c r="AG24" s="30" t="s">
        <v>388</v>
      </c>
      <c r="AH24" s="17">
        <f>MIN(AF23:AF37)</f>
        <v>0</v>
      </c>
      <c r="AJ24" s="17" t="s">
        <v>383</v>
      </c>
      <c r="AK24" s="6" t="s">
        <v>6</v>
      </c>
      <c r="AL24" s="17"/>
      <c r="AM24" s="17"/>
      <c r="AO24" s="5" t="s">
        <v>170</v>
      </c>
      <c r="AP24">
        <v>2</v>
      </c>
      <c r="AQ24" s="17"/>
      <c r="AR24" s="1"/>
      <c r="AT24" s="17" t="s">
        <v>383</v>
      </c>
      <c r="AU24" s="6" t="s">
        <v>5</v>
      </c>
      <c r="AV24" s="17"/>
      <c r="AW24" s="17"/>
      <c r="AY24" s="5" t="s">
        <v>211</v>
      </c>
      <c r="AZ24">
        <v>8</v>
      </c>
      <c r="BD24" s="5" t="s">
        <v>240</v>
      </c>
      <c r="BE24">
        <v>7</v>
      </c>
      <c r="BI24" s="5" t="s">
        <v>264</v>
      </c>
      <c r="BJ24">
        <v>3</v>
      </c>
      <c r="BN24" s="5" t="s">
        <v>274</v>
      </c>
      <c r="BO24">
        <v>0</v>
      </c>
      <c r="BP24" s="30" t="s">
        <v>387</v>
      </c>
      <c r="BQ24" s="17">
        <f>SUM(BO24:BO39)</f>
        <v>10</v>
      </c>
      <c r="BS24" s="5" t="s">
        <v>297</v>
      </c>
      <c r="BT24">
        <v>0</v>
      </c>
      <c r="BU24" s="17"/>
      <c r="BV24" s="17"/>
      <c r="BX24" s="61" t="s">
        <v>294</v>
      </c>
      <c r="BY24" s="62">
        <v>2</v>
      </c>
      <c r="CC24" s="5" t="s">
        <v>318</v>
      </c>
      <c r="CD24">
        <v>6</v>
      </c>
      <c r="CH24" s="17" t="s">
        <v>383</v>
      </c>
      <c r="CI24" s="6" t="s">
        <v>95</v>
      </c>
      <c r="CJ24" s="17"/>
      <c r="CK24" s="17"/>
      <c r="CR24" s="5" t="s">
        <v>352</v>
      </c>
      <c r="CS24">
        <v>5</v>
      </c>
      <c r="CW24" s="61" t="s">
        <v>340</v>
      </c>
      <c r="CX24" s="62">
        <v>8</v>
      </c>
    </row>
    <row r="25" spans="1:102" x14ac:dyDescent="0.25">
      <c r="A25" s="5" t="s">
        <v>63</v>
      </c>
      <c r="B25">
        <v>0</v>
      </c>
      <c r="C25" s="17"/>
      <c r="D25" s="1"/>
      <c r="F25" s="17" t="s">
        <v>384</v>
      </c>
      <c r="G25" s="17" t="s">
        <v>39</v>
      </c>
      <c r="H25" s="17" t="s">
        <v>385</v>
      </c>
      <c r="I25" s="17" t="s">
        <v>386</v>
      </c>
      <c r="K25" s="5" t="s">
        <v>73</v>
      </c>
      <c r="L25">
        <v>1</v>
      </c>
      <c r="M25" s="30" t="s">
        <v>388</v>
      </c>
      <c r="N25" s="17">
        <f>MIN(L24:L39)</f>
        <v>0</v>
      </c>
      <c r="P25" s="17" t="s">
        <v>384</v>
      </c>
      <c r="Q25" s="17" t="s">
        <v>39</v>
      </c>
      <c r="R25" s="17" t="s">
        <v>385</v>
      </c>
      <c r="S25" s="17" t="s">
        <v>386</v>
      </c>
      <c r="U25" s="26" t="s">
        <v>117</v>
      </c>
      <c r="V25">
        <v>3</v>
      </c>
      <c r="W25" s="17"/>
      <c r="X25" s="1"/>
      <c r="Z25" s="61" t="s">
        <v>110</v>
      </c>
      <c r="AA25" s="62">
        <v>8</v>
      </c>
      <c r="AE25" s="5" t="s">
        <v>131</v>
      </c>
      <c r="AF25">
        <v>0</v>
      </c>
      <c r="AG25" s="30" t="s">
        <v>389</v>
      </c>
      <c r="AH25" s="17">
        <f>MAX(AF23:AF37)</f>
        <v>3</v>
      </c>
      <c r="AJ25" s="17" t="s">
        <v>384</v>
      </c>
      <c r="AK25" s="17" t="s">
        <v>39</v>
      </c>
      <c r="AL25" s="17" t="s">
        <v>385</v>
      </c>
      <c r="AM25" s="17" t="s">
        <v>386</v>
      </c>
      <c r="AO25" s="5" t="s">
        <v>171</v>
      </c>
      <c r="AP25">
        <v>0</v>
      </c>
      <c r="AQ25" s="17"/>
      <c r="AR25" s="1"/>
      <c r="AT25" s="17" t="s">
        <v>384</v>
      </c>
      <c r="AU25" s="17" t="s">
        <v>39</v>
      </c>
      <c r="AV25" s="17" t="s">
        <v>385</v>
      </c>
      <c r="AW25" s="17" t="s">
        <v>386</v>
      </c>
      <c r="AY25" s="5" t="s">
        <v>212</v>
      </c>
      <c r="AZ25">
        <v>5</v>
      </c>
      <c r="BD25" s="5" t="s">
        <v>241</v>
      </c>
      <c r="BE25">
        <v>4</v>
      </c>
      <c r="BI25" s="5" t="s">
        <v>265</v>
      </c>
      <c r="BJ25">
        <v>9</v>
      </c>
      <c r="BN25" s="5" t="s">
        <v>275</v>
      </c>
      <c r="BO25">
        <v>0</v>
      </c>
      <c r="BP25" s="30" t="s">
        <v>388</v>
      </c>
      <c r="BQ25" s="17">
        <f>MIN(BO24:BO39)</f>
        <v>0</v>
      </c>
      <c r="BS25" s="5" t="s">
        <v>298</v>
      </c>
      <c r="BT25">
        <v>0</v>
      </c>
      <c r="BU25" s="17"/>
      <c r="BV25" s="17"/>
      <c r="BX25" s="61" t="s">
        <v>295</v>
      </c>
      <c r="BY25" s="62">
        <v>1</v>
      </c>
      <c r="CC25" s="5" t="s">
        <v>319</v>
      </c>
      <c r="CD25">
        <v>6</v>
      </c>
      <c r="CH25" s="17" t="s">
        <v>384</v>
      </c>
      <c r="CI25" s="17" t="s">
        <v>39</v>
      </c>
      <c r="CJ25" s="17" t="s">
        <v>385</v>
      </c>
      <c r="CK25" s="17" t="s">
        <v>386</v>
      </c>
      <c r="CR25" s="5" t="s">
        <v>353</v>
      </c>
      <c r="CS25">
        <v>5</v>
      </c>
      <c r="CW25" s="61" t="s">
        <v>341</v>
      </c>
      <c r="CX25" s="62">
        <v>7</v>
      </c>
    </row>
    <row r="26" spans="1:102" x14ac:dyDescent="0.25">
      <c r="A26" s="5" t="s">
        <v>64</v>
      </c>
      <c r="B26">
        <v>0</v>
      </c>
      <c r="C26" s="17"/>
      <c r="D26" s="1"/>
      <c r="F26" s="5" t="s">
        <v>65</v>
      </c>
      <c r="G26">
        <v>0</v>
      </c>
      <c r="H26" s="30" t="s">
        <v>387</v>
      </c>
      <c r="I26" s="17">
        <f>SUM(G26:G32)</f>
        <v>1</v>
      </c>
      <c r="K26" s="5" t="s">
        <v>74</v>
      </c>
      <c r="L26">
        <v>0</v>
      </c>
      <c r="M26" s="30" t="s">
        <v>389</v>
      </c>
      <c r="N26" s="17">
        <f>MAX(L24:L39)</f>
        <v>3</v>
      </c>
      <c r="P26" s="5" t="s">
        <v>88</v>
      </c>
      <c r="Q26">
        <v>0</v>
      </c>
      <c r="R26" s="30" t="s">
        <v>387</v>
      </c>
      <c r="S26" s="17">
        <f>SUM(Q26:Q32)</f>
        <v>1</v>
      </c>
      <c r="U26" s="26" t="s">
        <v>118</v>
      </c>
      <c r="V26">
        <v>3</v>
      </c>
      <c r="W26" s="17"/>
      <c r="X26" s="1"/>
      <c r="Z26" s="61" t="s">
        <v>111</v>
      </c>
      <c r="AA26" s="62">
        <v>9</v>
      </c>
      <c r="AE26" s="5" t="s">
        <v>132</v>
      </c>
      <c r="AF26">
        <v>0</v>
      </c>
      <c r="AG26" s="30" t="s">
        <v>390</v>
      </c>
      <c r="AH26" s="17">
        <f>VAR(AF23:AF37)</f>
        <v>1.0285714285714287</v>
      </c>
      <c r="AJ26" s="5" t="s">
        <v>143</v>
      </c>
      <c r="AK26">
        <v>0</v>
      </c>
      <c r="AL26" s="30" t="s">
        <v>387</v>
      </c>
      <c r="AM26" s="17">
        <f>SUM(AK26:AK32)</f>
        <v>2</v>
      </c>
      <c r="AO26" s="5" t="s">
        <v>172</v>
      </c>
      <c r="AP26">
        <v>3</v>
      </c>
      <c r="AQ26" s="17"/>
      <c r="AR26" s="1"/>
      <c r="AT26" s="5" t="s">
        <v>175</v>
      </c>
      <c r="AU26">
        <v>0</v>
      </c>
      <c r="AV26" s="30" t="s">
        <v>387</v>
      </c>
      <c r="AW26" s="17">
        <f>SUM(AU26:AU43)</f>
        <v>6</v>
      </c>
      <c r="AY26" s="5" t="s">
        <v>213</v>
      </c>
      <c r="AZ26">
        <v>1</v>
      </c>
      <c r="BD26" s="5" t="s">
        <v>242</v>
      </c>
      <c r="BE26">
        <v>7</v>
      </c>
      <c r="BI26" s="5" t="s">
        <v>266</v>
      </c>
      <c r="BJ26">
        <v>13</v>
      </c>
      <c r="BN26" s="5" t="s">
        <v>276</v>
      </c>
      <c r="BO26">
        <v>2</v>
      </c>
      <c r="BP26" s="30" t="s">
        <v>389</v>
      </c>
      <c r="BQ26" s="17">
        <f>MAX(BO24:BO39)</f>
        <v>2</v>
      </c>
      <c r="BX26" s="61" t="s">
        <v>296</v>
      </c>
      <c r="BY26" s="62">
        <v>2</v>
      </c>
      <c r="CC26" s="5" t="s">
        <v>320</v>
      </c>
      <c r="CD26">
        <v>6</v>
      </c>
      <c r="CH26" s="5" t="s">
        <v>321</v>
      </c>
      <c r="CI26">
        <v>0</v>
      </c>
      <c r="CJ26" s="30" t="s">
        <v>387</v>
      </c>
      <c r="CK26" s="17">
        <f>SUM(CI26:CI32)</f>
        <v>1</v>
      </c>
      <c r="CR26" s="5" t="s">
        <v>354</v>
      </c>
      <c r="CS26">
        <v>2</v>
      </c>
      <c r="CW26" s="61" t="s">
        <v>342</v>
      </c>
      <c r="CX26" s="62">
        <v>4</v>
      </c>
    </row>
    <row r="27" spans="1:102" x14ac:dyDescent="0.25">
      <c r="A27" s="5"/>
      <c r="C27" s="17"/>
      <c r="D27" s="1"/>
      <c r="F27" s="5" t="s">
        <v>66</v>
      </c>
      <c r="G27">
        <v>0</v>
      </c>
      <c r="H27" s="30" t="s">
        <v>388</v>
      </c>
      <c r="I27" s="17">
        <f>MIN(G26:G32)</f>
        <v>0</v>
      </c>
      <c r="K27" s="5" t="s">
        <v>75</v>
      </c>
      <c r="L27">
        <v>1</v>
      </c>
      <c r="M27" s="30" t="s">
        <v>390</v>
      </c>
      <c r="N27" s="17">
        <f>VAR(L24:L39)</f>
        <v>0.76249999999999996</v>
      </c>
      <c r="P27" s="5" t="s">
        <v>89</v>
      </c>
      <c r="Q27">
        <v>0</v>
      </c>
      <c r="R27" s="30" t="s">
        <v>388</v>
      </c>
      <c r="S27" s="17">
        <f>MIN(Q26:Q32)</f>
        <v>0</v>
      </c>
      <c r="U27" s="26" t="s">
        <v>119</v>
      </c>
      <c r="V27">
        <v>1</v>
      </c>
      <c r="Z27" s="61" t="s">
        <v>112</v>
      </c>
      <c r="AA27" s="62">
        <v>2</v>
      </c>
      <c r="AE27" s="5" t="s">
        <v>133</v>
      </c>
      <c r="AF27">
        <v>0</v>
      </c>
      <c r="AG27" s="30" t="s">
        <v>391</v>
      </c>
      <c r="AH27" s="17">
        <f>AVERAGE(AF23:AF37)</f>
        <v>0.8</v>
      </c>
      <c r="AJ27" s="5" t="s">
        <v>67</v>
      </c>
      <c r="AK27">
        <v>0</v>
      </c>
      <c r="AL27" s="30" t="s">
        <v>388</v>
      </c>
      <c r="AM27" s="17">
        <f>MIN(AK26:AK32)</f>
        <v>0</v>
      </c>
      <c r="AO27" s="5" t="s">
        <v>173</v>
      </c>
      <c r="AP27">
        <v>0</v>
      </c>
      <c r="AT27" s="5" t="s">
        <v>176</v>
      </c>
      <c r="AU27">
        <v>0</v>
      </c>
      <c r="AV27" s="30" t="s">
        <v>388</v>
      </c>
      <c r="AW27" s="17">
        <f>MIN(AU26:AU43)</f>
        <v>0</v>
      </c>
      <c r="AY27" s="5" t="s">
        <v>214</v>
      </c>
      <c r="AZ27">
        <v>0</v>
      </c>
      <c r="BD27" s="5" t="s">
        <v>243</v>
      </c>
      <c r="BE27">
        <v>5</v>
      </c>
      <c r="BI27" s="5" t="s">
        <v>267</v>
      </c>
      <c r="BJ27">
        <v>5</v>
      </c>
      <c r="BN27" s="5" t="s">
        <v>277</v>
      </c>
      <c r="BO27">
        <v>0</v>
      </c>
      <c r="BP27" s="30" t="s">
        <v>390</v>
      </c>
      <c r="BQ27" s="17">
        <f>VAR(BO24:BO39)</f>
        <v>0.51666666666666672</v>
      </c>
      <c r="BS27" s="17" t="s">
        <v>382</v>
      </c>
      <c r="BT27" s="29" t="s">
        <v>441</v>
      </c>
      <c r="BU27" s="17"/>
      <c r="BV27" s="17">
        <v>2016</v>
      </c>
      <c r="BX27" s="61" t="s">
        <v>297</v>
      </c>
      <c r="BY27" s="62">
        <v>0</v>
      </c>
      <c r="CH27" s="5" t="s">
        <v>322</v>
      </c>
      <c r="CI27">
        <v>0</v>
      </c>
      <c r="CJ27" s="30" t="s">
        <v>388</v>
      </c>
      <c r="CK27" s="17">
        <f>MIN(CI26:CI32)</f>
        <v>0</v>
      </c>
      <c r="CR27" s="5" t="s">
        <v>355</v>
      </c>
      <c r="CS27">
        <v>4</v>
      </c>
      <c r="CW27" s="61" t="s">
        <v>343</v>
      </c>
      <c r="CX27" s="62">
        <v>8</v>
      </c>
    </row>
    <row r="28" spans="1:102" x14ac:dyDescent="0.25">
      <c r="A28" s="17" t="s">
        <v>382</v>
      </c>
      <c r="B28" s="29" t="s">
        <v>361</v>
      </c>
      <c r="C28" s="17"/>
      <c r="D28" s="17">
        <v>2016</v>
      </c>
      <c r="F28" s="5" t="s">
        <v>67</v>
      </c>
      <c r="G28">
        <v>0</v>
      </c>
      <c r="H28" s="30" t="s">
        <v>389</v>
      </c>
      <c r="I28" s="17">
        <f>MAX(G26:G32)</f>
        <v>1</v>
      </c>
      <c r="K28" s="5" t="s">
        <v>76</v>
      </c>
      <c r="L28">
        <v>1</v>
      </c>
      <c r="M28" s="30" t="s">
        <v>391</v>
      </c>
      <c r="N28" s="17">
        <f>AVERAGE(L24:L39)</f>
        <v>0.6875</v>
      </c>
      <c r="P28" s="5" t="s">
        <v>90</v>
      </c>
      <c r="Q28">
        <v>0</v>
      </c>
      <c r="R28" s="30" t="s">
        <v>389</v>
      </c>
      <c r="S28" s="17">
        <f>MAX(Q26:Q32)</f>
        <v>1</v>
      </c>
      <c r="U28" s="5" t="s">
        <v>120</v>
      </c>
      <c r="V28">
        <v>5</v>
      </c>
      <c r="Z28" s="61" t="s">
        <v>113</v>
      </c>
      <c r="AA28" s="62">
        <v>4</v>
      </c>
      <c r="AE28" s="5" t="s">
        <v>134</v>
      </c>
      <c r="AF28">
        <v>1</v>
      </c>
      <c r="AG28" s="30" t="s">
        <v>392</v>
      </c>
      <c r="AH28" s="17">
        <f>STDEV(AF23:AF37)</f>
        <v>1.0141851056742199</v>
      </c>
      <c r="AJ28" s="5" t="s">
        <v>144</v>
      </c>
      <c r="AK28">
        <v>0</v>
      </c>
      <c r="AL28" s="30" t="s">
        <v>389</v>
      </c>
      <c r="AM28" s="17">
        <f>MAX(AK26:AK32)</f>
        <v>1</v>
      </c>
      <c r="AO28" s="5" t="s">
        <v>174</v>
      </c>
      <c r="AP28">
        <v>2</v>
      </c>
      <c r="AT28" s="5" t="s">
        <v>177</v>
      </c>
      <c r="AU28">
        <v>0</v>
      </c>
      <c r="AV28" s="30" t="s">
        <v>389</v>
      </c>
      <c r="AW28" s="17">
        <f>MAX(AU26:AU43)</f>
        <v>2</v>
      </c>
      <c r="AY28" s="5" t="s">
        <v>215</v>
      </c>
      <c r="AZ28">
        <v>7</v>
      </c>
      <c r="BD28" s="5" t="s">
        <v>244</v>
      </c>
      <c r="BE28">
        <v>9</v>
      </c>
      <c r="BI28" s="5" t="s">
        <v>268</v>
      </c>
      <c r="BJ28">
        <v>2</v>
      </c>
      <c r="BN28" s="5" t="s">
        <v>279</v>
      </c>
      <c r="BO28">
        <v>2</v>
      </c>
      <c r="BP28" s="30" t="s">
        <v>391</v>
      </c>
      <c r="BQ28" s="17">
        <f>AVERAGE(BO24:BO39)</f>
        <v>0.625</v>
      </c>
      <c r="BS28" s="17" t="s">
        <v>383</v>
      </c>
      <c r="BT28" s="6" t="s">
        <v>6</v>
      </c>
      <c r="BU28" s="17"/>
      <c r="BV28" s="17"/>
      <c r="BX28" s="61" t="s">
        <v>298</v>
      </c>
      <c r="BY28" s="62">
        <v>0</v>
      </c>
      <c r="CC28" s="17" t="s">
        <v>382</v>
      </c>
      <c r="CD28" s="29" t="s">
        <v>375</v>
      </c>
      <c r="CE28" s="17"/>
      <c r="CF28" s="17">
        <v>2016</v>
      </c>
      <c r="CH28" s="5" t="s">
        <v>323</v>
      </c>
      <c r="CI28">
        <v>0</v>
      </c>
      <c r="CJ28" s="30" t="s">
        <v>389</v>
      </c>
      <c r="CK28" s="17">
        <f>MAX(CI26:CI32)</f>
        <v>1</v>
      </c>
      <c r="CR28" s="2" t="s">
        <v>356</v>
      </c>
      <c r="CS28">
        <v>9</v>
      </c>
      <c r="CW28" s="61" t="s">
        <v>344</v>
      </c>
      <c r="CX28" s="62">
        <v>6</v>
      </c>
    </row>
    <row r="29" spans="1:102" x14ac:dyDescent="0.25">
      <c r="A29" s="17" t="s">
        <v>383</v>
      </c>
      <c r="B29" s="28" t="s">
        <v>5</v>
      </c>
      <c r="C29" s="17"/>
      <c r="D29" s="17"/>
      <c r="F29" s="5" t="s">
        <v>68</v>
      </c>
      <c r="G29">
        <v>0</v>
      </c>
      <c r="H29" s="30" t="s">
        <v>390</v>
      </c>
      <c r="I29" s="17">
        <f>VAR(G26:G32)</f>
        <v>0.14285714285714288</v>
      </c>
      <c r="K29" s="5" t="s">
        <v>77</v>
      </c>
      <c r="L29">
        <v>1</v>
      </c>
      <c r="M29" s="30" t="s">
        <v>392</v>
      </c>
      <c r="N29" s="17">
        <f>STDEV(L24:L39)</f>
        <v>0.87321245982864903</v>
      </c>
      <c r="P29" s="5" t="s">
        <v>91</v>
      </c>
      <c r="Q29">
        <v>0</v>
      </c>
      <c r="R29" s="30" t="s">
        <v>390</v>
      </c>
      <c r="S29" s="17">
        <f>VAR(Q26:Q32)</f>
        <v>0.14285714285714288</v>
      </c>
      <c r="U29" s="5" t="s">
        <v>121</v>
      </c>
      <c r="V29">
        <v>3</v>
      </c>
      <c r="Z29" s="64" t="s">
        <v>114</v>
      </c>
      <c r="AA29" s="62">
        <v>3</v>
      </c>
      <c r="AE29" s="5" t="s">
        <v>135</v>
      </c>
      <c r="AF29">
        <v>0</v>
      </c>
      <c r="AG29" s="17"/>
      <c r="AH29" s="17"/>
      <c r="AJ29" s="5" t="s">
        <v>145</v>
      </c>
      <c r="AK29">
        <v>1</v>
      </c>
      <c r="AL29" s="30" t="s">
        <v>390</v>
      </c>
      <c r="AM29" s="17">
        <f>VAR(AK26:AK32)</f>
        <v>0.23809523809523811</v>
      </c>
      <c r="AO29" s="5"/>
      <c r="AT29" s="5" t="s">
        <v>178</v>
      </c>
      <c r="AU29">
        <v>0</v>
      </c>
      <c r="AV29" s="30" t="s">
        <v>390</v>
      </c>
      <c r="AW29" s="17">
        <f>VAR(AU26:AU43)</f>
        <v>0.47058823529411764</v>
      </c>
      <c r="AY29" s="5" t="s">
        <v>216</v>
      </c>
      <c r="AZ29">
        <v>1</v>
      </c>
      <c r="BD29" s="5"/>
      <c r="BI29" s="5" t="s">
        <v>269</v>
      </c>
      <c r="BJ29">
        <v>16</v>
      </c>
      <c r="BN29" s="5" t="s">
        <v>278</v>
      </c>
      <c r="BO29">
        <v>0</v>
      </c>
      <c r="BP29" s="30" t="s">
        <v>392</v>
      </c>
      <c r="BQ29" s="17">
        <f>STDEV(BO24:BO39)</f>
        <v>0.7187952884282609</v>
      </c>
      <c r="BS29" s="17" t="s">
        <v>384</v>
      </c>
      <c r="BT29" s="17" t="s">
        <v>39</v>
      </c>
      <c r="BU29" s="17" t="s">
        <v>385</v>
      </c>
      <c r="BV29" s="17" t="s">
        <v>386</v>
      </c>
      <c r="CC29" s="17" t="s">
        <v>383</v>
      </c>
      <c r="CD29" s="6" t="s">
        <v>5</v>
      </c>
      <c r="CE29" s="17"/>
      <c r="CF29" s="17"/>
      <c r="CH29" s="5" t="s">
        <v>324</v>
      </c>
      <c r="CI29">
        <v>1</v>
      </c>
      <c r="CJ29" s="30" t="s">
        <v>390</v>
      </c>
      <c r="CK29" s="17">
        <f>VAR(CI26:CI32)</f>
        <v>0.14285714285714288</v>
      </c>
      <c r="CR29" s="2" t="s">
        <v>357</v>
      </c>
      <c r="CS29">
        <v>2</v>
      </c>
      <c r="CW29" s="61" t="s">
        <v>345</v>
      </c>
      <c r="CX29" s="62">
        <v>8</v>
      </c>
    </row>
    <row r="30" spans="1:102" x14ac:dyDescent="0.25">
      <c r="A30" s="17" t="s">
        <v>384</v>
      </c>
      <c r="B30" s="17" t="s">
        <v>39</v>
      </c>
      <c r="C30" s="17" t="s">
        <v>385</v>
      </c>
      <c r="D30" s="17" t="s">
        <v>386</v>
      </c>
      <c r="F30" s="5" t="s">
        <v>69</v>
      </c>
      <c r="G30">
        <v>0</v>
      </c>
      <c r="H30" s="30" t="s">
        <v>391</v>
      </c>
      <c r="I30" s="17">
        <f>AVERAGE(G26:G32)</f>
        <v>0.14285714285714285</v>
      </c>
      <c r="K30" s="5" t="s">
        <v>78</v>
      </c>
      <c r="L30">
        <v>1</v>
      </c>
      <c r="M30" s="17"/>
      <c r="N30" s="17"/>
      <c r="P30" s="5" t="s">
        <v>92</v>
      </c>
      <c r="Q30">
        <v>0</v>
      </c>
      <c r="R30" s="30" t="s">
        <v>391</v>
      </c>
      <c r="S30" s="17">
        <f>AVERAGE(Q26:Q32)</f>
        <v>0.14285714285714285</v>
      </c>
      <c r="U30" s="5" t="s">
        <v>122</v>
      </c>
      <c r="V30">
        <v>1</v>
      </c>
      <c r="Z30" s="64" t="s">
        <v>115</v>
      </c>
      <c r="AA30" s="62">
        <v>3</v>
      </c>
      <c r="AE30" s="5" t="s">
        <v>136</v>
      </c>
      <c r="AF30">
        <v>1</v>
      </c>
      <c r="AG30" s="17"/>
      <c r="AH30" s="17"/>
      <c r="AJ30" s="5" t="s">
        <v>146</v>
      </c>
      <c r="AK30">
        <v>1</v>
      </c>
      <c r="AL30" s="30" t="s">
        <v>391</v>
      </c>
      <c r="AM30" s="17">
        <f>AVERAGE(AK26:AK32)</f>
        <v>0.2857142857142857</v>
      </c>
      <c r="AO30" s="17" t="s">
        <v>382</v>
      </c>
      <c r="AP30" s="29" t="s">
        <v>368</v>
      </c>
      <c r="AQ30" s="17"/>
      <c r="AR30" s="17">
        <v>2016</v>
      </c>
      <c r="AT30" s="5" t="s">
        <v>179</v>
      </c>
      <c r="AU30">
        <v>0</v>
      </c>
      <c r="AV30" s="30" t="s">
        <v>391</v>
      </c>
      <c r="AW30" s="17">
        <f>AVERAGE(AU26:AU43)</f>
        <v>0.33333333333333331</v>
      </c>
      <c r="AY30" s="5" t="s">
        <v>217</v>
      </c>
      <c r="AZ30">
        <v>1</v>
      </c>
      <c r="BD30" s="17" t="s">
        <v>382</v>
      </c>
      <c r="BE30" s="29" t="s">
        <v>371</v>
      </c>
      <c r="BF30" s="17"/>
      <c r="BG30" s="17">
        <v>2016</v>
      </c>
      <c r="BI30" s="5" t="s">
        <v>270</v>
      </c>
      <c r="BJ30">
        <v>6</v>
      </c>
      <c r="BN30" s="5" t="s">
        <v>280</v>
      </c>
      <c r="BO30">
        <v>0</v>
      </c>
      <c r="BP30" s="17"/>
      <c r="BQ30" s="17"/>
      <c r="BS30" s="5" t="s">
        <v>290</v>
      </c>
      <c r="BT30">
        <v>1</v>
      </c>
      <c r="BU30" s="30" t="s">
        <v>387</v>
      </c>
      <c r="BV30" s="17">
        <f>SUM(BT30:BT38)</f>
        <v>7</v>
      </c>
      <c r="BX30" s="58" t="s">
        <v>382</v>
      </c>
      <c r="BY30" s="59" t="s">
        <v>628</v>
      </c>
      <c r="BZ30" s="58"/>
      <c r="CA30" s="58">
        <v>2016</v>
      </c>
      <c r="CC30" s="17" t="s">
        <v>384</v>
      </c>
      <c r="CD30" s="17" t="s">
        <v>39</v>
      </c>
      <c r="CE30" s="17" t="s">
        <v>385</v>
      </c>
      <c r="CF30" s="17" t="s">
        <v>386</v>
      </c>
      <c r="CH30" s="5" t="s">
        <v>325</v>
      </c>
      <c r="CI30">
        <v>0</v>
      </c>
      <c r="CJ30" s="30" t="s">
        <v>391</v>
      </c>
      <c r="CK30" s="17">
        <f>AVERAGE(CI26:CI32)</f>
        <v>0.14285714285714285</v>
      </c>
      <c r="CR30" s="2" t="s">
        <v>358</v>
      </c>
      <c r="CS30">
        <v>3</v>
      </c>
      <c r="CW30" s="61" t="s">
        <v>346</v>
      </c>
      <c r="CX30" s="62">
        <v>6</v>
      </c>
    </row>
    <row r="31" spans="1:102" x14ac:dyDescent="0.25">
      <c r="A31" s="5" t="s">
        <v>40</v>
      </c>
      <c r="B31" s="27">
        <v>1</v>
      </c>
      <c r="C31" s="30" t="s">
        <v>387</v>
      </c>
      <c r="D31" s="17">
        <f>SUM(B31:B53)</f>
        <v>2</v>
      </c>
      <c r="F31" s="5" t="s">
        <v>70</v>
      </c>
      <c r="G31">
        <v>1</v>
      </c>
      <c r="H31" s="30" t="s">
        <v>392</v>
      </c>
      <c r="I31" s="17">
        <f>STDEV(G26:G32)</f>
        <v>0.37796447300922725</v>
      </c>
      <c r="K31" s="5" t="s">
        <v>79</v>
      </c>
      <c r="L31">
        <v>0</v>
      </c>
      <c r="M31" s="17"/>
      <c r="N31" s="17"/>
      <c r="P31" s="5" t="s">
        <v>93</v>
      </c>
      <c r="Q31">
        <v>0</v>
      </c>
      <c r="R31" s="30" t="s">
        <v>392</v>
      </c>
      <c r="S31" s="17">
        <f>STDEV(Q26:Q32)</f>
        <v>0.37796447300922725</v>
      </c>
      <c r="U31" s="5" t="s">
        <v>123</v>
      </c>
      <c r="V31">
        <v>3</v>
      </c>
      <c r="Z31" s="64" t="s">
        <v>116</v>
      </c>
      <c r="AA31" s="62">
        <v>6</v>
      </c>
      <c r="AE31" s="5" t="s">
        <v>44</v>
      </c>
      <c r="AF31">
        <v>1</v>
      </c>
      <c r="AG31" s="17"/>
      <c r="AH31" s="17"/>
      <c r="AJ31" s="5" t="s">
        <v>147</v>
      </c>
      <c r="AK31">
        <v>0</v>
      </c>
      <c r="AL31" s="30" t="s">
        <v>392</v>
      </c>
      <c r="AM31" s="17">
        <f>STDEV(AK26:AK32)</f>
        <v>0.4879500364742666</v>
      </c>
      <c r="AO31" s="17" t="s">
        <v>383</v>
      </c>
      <c r="AP31" s="6" t="s">
        <v>5</v>
      </c>
      <c r="AQ31" s="17"/>
      <c r="AR31" s="17"/>
      <c r="AT31" s="5" t="s">
        <v>180</v>
      </c>
      <c r="AU31">
        <v>0</v>
      </c>
      <c r="AV31" s="30" t="s">
        <v>392</v>
      </c>
      <c r="AW31" s="17">
        <f>STDEV(AU26:AU43)</f>
        <v>0.68599434057003539</v>
      </c>
      <c r="AY31" s="5" t="s">
        <v>218</v>
      </c>
      <c r="AZ31">
        <v>1</v>
      </c>
      <c r="BD31" s="17" t="s">
        <v>383</v>
      </c>
      <c r="BE31" s="6" t="s">
        <v>5</v>
      </c>
      <c r="BF31" s="17"/>
      <c r="BG31" s="17"/>
      <c r="BI31" s="5" t="s">
        <v>271</v>
      </c>
      <c r="BJ31">
        <v>8</v>
      </c>
      <c r="BN31" s="5" t="s">
        <v>281</v>
      </c>
      <c r="BO31">
        <v>1</v>
      </c>
      <c r="BP31" s="17"/>
      <c r="BQ31" s="17"/>
      <c r="BS31" s="5" t="s">
        <v>291</v>
      </c>
      <c r="BT31">
        <v>0</v>
      </c>
      <c r="BU31" s="30" t="s">
        <v>388</v>
      </c>
      <c r="BV31" s="17">
        <f>MIN(BT30:BT38)</f>
        <v>0</v>
      </c>
      <c r="BX31" s="58" t="s">
        <v>383</v>
      </c>
      <c r="BY31" s="60" t="s">
        <v>5</v>
      </c>
      <c r="BZ31" s="58"/>
      <c r="CA31" s="58"/>
      <c r="CC31" s="5" t="s">
        <v>299</v>
      </c>
      <c r="CD31">
        <v>0</v>
      </c>
      <c r="CE31" s="30" t="s">
        <v>387</v>
      </c>
      <c r="CF31" s="17">
        <f>SUM(CD31:CD53)</f>
        <v>5</v>
      </c>
      <c r="CH31" s="5" t="s">
        <v>326</v>
      </c>
      <c r="CI31">
        <v>0</v>
      </c>
      <c r="CJ31" s="30" t="s">
        <v>392</v>
      </c>
      <c r="CK31" s="17">
        <f>STDEV(CI26:CI32)</f>
        <v>0.37796447300922725</v>
      </c>
      <c r="CR31" s="3" t="s">
        <v>359</v>
      </c>
      <c r="CS31">
        <v>5</v>
      </c>
      <c r="CW31" s="61" t="s">
        <v>347</v>
      </c>
      <c r="CX31" s="62">
        <v>9</v>
      </c>
    </row>
    <row r="32" spans="1:102" x14ac:dyDescent="0.25">
      <c r="A32" s="5" t="s">
        <v>41</v>
      </c>
      <c r="B32" s="27">
        <v>0</v>
      </c>
      <c r="C32" s="30" t="s">
        <v>388</v>
      </c>
      <c r="D32" s="17">
        <f>MIN(B31:B53)</f>
        <v>0</v>
      </c>
      <c r="F32" s="5" t="s">
        <v>71</v>
      </c>
      <c r="G32">
        <v>0</v>
      </c>
      <c r="H32" s="17"/>
      <c r="I32" s="17"/>
      <c r="K32" s="5" t="s">
        <v>80</v>
      </c>
      <c r="L32">
        <v>2</v>
      </c>
      <c r="M32" s="17"/>
      <c r="N32" s="17"/>
      <c r="P32" s="5" t="s">
        <v>94</v>
      </c>
      <c r="Q32">
        <v>1</v>
      </c>
      <c r="R32" s="17"/>
      <c r="S32" s="17"/>
      <c r="U32" s="5" t="s">
        <v>124</v>
      </c>
      <c r="V32">
        <v>7</v>
      </c>
      <c r="Z32" s="64" t="s">
        <v>117</v>
      </c>
      <c r="AA32" s="62">
        <v>3</v>
      </c>
      <c r="AE32" s="5" t="s">
        <v>137</v>
      </c>
      <c r="AF32">
        <v>3</v>
      </c>
      <c r="AG32" s="17"/>
      <c r="AH32" s="17"/>
      <c r="AJ32" s="5" t="s">
        <v>148</v>
      </c>
      <c r="AK32">
        <v>0</v>
      </c>
      <c r="AL32" s="17"/>
      <c r="AM32" s="17"/>
      <c r="AO32" s="17" t="s">
        <v>384</v>
      </c>
      <c r="AP32" s="17" t="s">
        <v>39</v>
      </c>
      <c r="AQ32" s="17" t="s">
        <v>385</v>
      </c>
      <c r="AR32" s="17" t="s">
        <v>386</v>
      </c>
      <c r="AT32" s="5" t="s">
        <v>181</v>
      </c>
      <c r="AU32">
        <v>0</v>
      </c>
      <c r="AV32" s="17"/>
      <c r="AW32" s="17"/>
      <c r="AY32" s="5" t="s">
        <v>219</v>
      </c>
      <c r="AZ32">
        <v>2</v>
      </c>
      <c r="BD32" s="17" t="s">
        <v>384</v>
      </c>
      <c r="BE32" s="17" t="s">
        <v>39</v>
      </c>
      <c r="BF32" s="17" t="s">
        <v>385</v>
      </c>
      <c r="BG32" s="17" t="s">
        <v>386</v>
      </c>
      <c r="BI32" s="5" t="s">
        <v>272</v>
      </c>
      <c r="BJ32">
        <v>7</v>
      </c>
      <c r="BN32" s="5" t="s">
        <v>282</v>
      </c>
      <c r="BO32">
        <v>1</v>
      </c>
      <c r="BP32" s="17"/>
      <c r="BQ32" s="17"/>
      <c r="BS32" s="5" t="s">
        <v>292</v>
      </c>
      <c r="BT32">
        <v>0</v>
      </c>
      <c r="BU32" s="30" t="s">
        <v>389</v>
      </c>
      <c r="BV32" s="17">
        <f>MAX(BT30:BT38)</f>
        <v>2</v>
      </c>
      <c r="BX32" s="58" t="s">
        <v>384</v>
      </c>
      <c r="BY32" s="58" t="s">
        <v>39</v>
      </c>
      <c r="BZ32" s="58" t="s">
        <v>385</v>
      </c>
      <c r="CA32" s="58" t="s">
        <v>386</v>
      </c>
      <c r="CC32" s="5" t="s">
        <v>300</v>
      </c>
      <c r="CD32">
        <v>0</v>
      </c>
      <c r="CE32" s="30" t="s">
        <v>388</v>
      </c>
      <c r="CF32" s="17">
        <f>MIN(CD31:CD53)</f>
        <v>0</v>
      </c>
      <c r="CH32" s="5" t="s">
        <v>327</v>
      </c>
      <c r="CI32">
        <v>0</v>
      </c>
      <c r="CJ32" s="17"/>
      <c r="CK32" s="17"/>
      <c r="CW32" s="61" t="s">
        <v>348</v>
      </c>
      <c r="CX32" s="62">
        <v>9</v>
      </c>
    </row>
    <row r="33" spans="1:104" x14ac:dyDescent="0.25">
      <c r="A33" s="5" t="s">
        <v>42</v>
      </c>
      <c r="B33" s="27">
        <v>0</v>
      </c>
      <c r="C33" s="30" t="s">
        <v>389</v>
      </c>
      <c r="D33" s="17">
        <f>MAX(B31:B53)</f>
        <v>1</v>
      </c>
      <c r="F33" s="15"/>
      <c r="G33" s="15"/>
      <c r="H33" s="17"/>
      <c r="I33" s="17"/>
      <c r="K33" s="5" t="s">
        <v>81</v>
      </c>
      <c r="L33">
        <v>0</v>
      </c>
      <c r="M33" s="17"/>
      <c r="N33" s="17"/>
      <c r="U33" s="5" t="s">
        <v>125</v>
      </c>
      <c r="V33">
        <v>6</v>
      </c>
      <c r="Z33" s="64" t="s">
        <v>118</v>
      </c>
      <c r="AA33" s="62">
        <v>3</v>
      </c>
      <c r="AE33" s="5" t="s">
        <v>138</v>
      </c>
      <c r="AF33">
        <v>3</v>
      </c>
      <c r="AG33" s="17"/>
      <c r="AH33" s="17"/>
      <c r="AO33" s="5" t="s">
        <v>149</v>
      </c>
      <c r="AP33">
        <v>1</v>
      </c>
      <c r="AQ33" s="30" t="s">
        <v>387</v>
      </c>
      <c r="AR33" s="17">
        <f>SUM(AP33:AP57)</f>
        <v>18</v>
      </c>
      <c r="AT33" s="5" t="s">
        <v>182</v>
      </c>
      <c r="AU33">
        <v>1</v>
      </c>
      <c r="AV33" s="17"/>
      <c r="AW33" s="17"/>
      <c r="AY33" s="5" t="s">
        <v>220</v>
      </c>
      <c r="AZ33">
        <v>1</v>
      </c>
      <c r="BD33" s="5" t="s">
        <v>221</v>
      </c>
      <c r="BE33">
        <v>0</v>
      </c>
      <c r="BF33" s="30" t="s">
        <v>387</v>
      </c>
      <c r="BG33" s="17">
        <f>SUM(BE33:BE57)</f>
        <v>10</v>
      </c>
      <c r="BI33" s="5" t="s">
        <v>273</v>
      </c>
      <c r="BJ33">
        <v>8</v>
      </c>
      <c r="BN33" s="5" t="s">
        <v>283</v>
      </c>
      <c r="BO33">
        <v>1</v>
      </c>
      <c r="BP33" s="17"/>
      <c r="BQ33" s="17"/>
      <c r="BS33" s="5" t="s">
        <v>293</v>
      </c>
      <c r="BT33">
        <v>2</v>
      </c>
      <c r="BU33" s="30" t="s">
        <v>390</v>
      </c>
      <c r="BV33" s="17">
        <f>VAR(BT30:BT38)</f>
        <v>0.69444444444444442</v>
      </c>
      <c r="BX33" s="61" t="s">
        <v>274</v>
      </c>
      <c r="BY33" s="62">
        <v>0</v>
      </c>
      <c r="BZ33" s="63" t="s">
        <v>387</v>
      </c>
      <c r="CA33" s="58">
        <f>SUM(BY33:BY57)</f>
        <v>11</v>
      </c>
      <c r="CC33" s="5" t="s">
        <v>301</v>
      </c>
      <c r="CD33">
        <v>0</v>
      </c>
      <c r="CE33" s="30" t="s">
        <v>389</v>
      </c>
      <c r="CF33" s="17">
        <f>MAX(CD31:CD53)</f>
        <v>2</v>
      </c>
      <c r="CR33" s="17" t="s">
        <v>382</v>
      </c>
      <c r="CS33" s="29" t="s">
        <v>442</v>
      </c>
      <c r="CT33" s="17"/>
      <c r="CU33" s="17">
        <v>2016</v>
      </c>
      <c r="CW33" s="61" t="s">
        <v>349</v>
      </c>
      <c r="CX33" s="62">
        <v>5</v>
      </c>
    </row>
    <row r="34" spans="1:104" x14ac:dyDescent="0.25">
      <c r="A34" s="5" t="s">
        <v>43</v>
      </c>
      <c r="B34" s="27">
        <v>0</v>
      </c>
      <c r="C34" s="30" t="s">
        <v>390</v>
      </c>
      <c r="D34" s="17">
        <f>VAR(B31:B53)</f>
        <v>8.3003952569169967E-2</v>
      </c>
      <c r="F34" s="17" t="s">
        <v>382</v>
      </c>
      <c r="G34" s="29" t="s">
        <v>362</v>
      </c>
      <c r="H34" s="17"/>
      <c r="I34" s="17">
        <v>2016</v>
      </c>
      <c r="K34" s="5" t="s">
        <v>82</v>
      </c>
      <c r="L34">
        <v>3</v>
      </c>
      <c r="M34" s="17"/>
      <c r="N34" s="17"/>
      <c r="P34" s="17" t="s">
        <v>382</v>
      </c>
      <c r="Q34" s="29" t="s">
        <v>401</v>
      </c>
      <c r="R34" s="17"/>
      <c r="S34" s="17">
        <v>2016</v>
      </c>
      <c r="U34" s="5" t="s">
        <v>126</v>
      </c>
      <c r="V34">
        <v>8</v>
      </c>
      <c r="Z34" s="64" t="s">
        <v>119</v>
      </c>
      <c r="AA34" s="62">
        <v>1</v>
      </c>
      <c r="AE34" s="5" t="s">
        <v>139</v>
      </c>
      <c r="AF34">
        <v>0</v>
      </c>
      <c r="AG34" s="17"/>
      <c r="AH34" s="17"/>
      <c r="AJ34" s="17" t="s">
        <v>382</v>
      </c>
      <c r="AK34" s="29" t="s">
        <v>367</v>
      </c>
      <c r="AL34" s="17"/>
      <c r="AM34" s="17">
        <v>2016</v>
      </c>
      <c r="AO34" s="5" t="s">
        <v>150</v>
      </c>
      <c r="AP34">
        <v>0</v>
      </c>
      <c r="AQ34" s="30" t="s">
        <v>388</v>
      </c>
      <c r="AR34" s="17">
        <f>MIN(AP33:AP57)</f>
        <v>0</v>
      </c>
      <c r="AT34" s="5" t="s">
        <v>183</v>
      </c>
      <c r="AU34">
        <v>2</v>
      </c>
      <c r="AV34" s="17"/>
      <c r="AW34" s="17"/>
      <c r="BD34" s="5" t="s">
        <v>222</v>
      </c>
      <c r="BE34">
        <v>0</v>
      </c>
      <c r="BF34" s="30" t="s">
        <v>388</v>
      </c>
      <c r="BG34" s="17">
        <f>MIN(BE33:BE57)</f>
        <v>0</v>
      </c>
      <c r="BN34" s="5" t="s">
        <v>285</v>
      </c>
      <c r="BO34">
        <v>0</v>
      </c>
      <c r="BP34" s="17"/>
      <c r="BQ34" s="17"/>
      <c r="BS34" s="5" t="s">
        <v>294</v>
      </c>
      <c r="BT34">
        <v>1</v>
      </c>
      <c r="BU34" s="30" t="s">
        <v>391</v>
      </c>
      <c r="BV34" s="17">
        <f>AVERAGE(BT30:BT38)</f>
        <v>0.77777777777777779</v>
      </c>
      <c r="BX34" s="61" t="s">
        <v>275</v>
      </c>
      <c r="BY34" s="62">
        <v>0</v>
      </c>
      <c r="BZ34" s="63" t="s">
        <v>388</v>
      </c>
      <c r="CA34" s="58">
        <f>MIN(BY33:BY57)</f>
        <v>0</v>
      </c>
      <c r="CC34" s="5" t="s">
        <v>302</v>
      </c>
      <c r="CD34">
        <v>0</v>
      </c>
      <c r="CE34" s="30" t="s">
        <v>390</v>
      </c>
      <c r="CF34" s="17">
        <f>VAR(CD31:CD53)</f>
        <v>0.26877470355731226</v>
      </c>
      <c r="CH34" s="17" t="s">
        <v>382</v>
      </c>
      <c r="CI34" s="29" t="s">
        <v>443</v>
      </c>
      <c r="CJ34" s="17"/>
      <c r="CK34" s="17">
        <v>2016</v>
      </c>
      <c r="CR34" s="17" t="s">
        <v>383</v>
      </c>
      <c r="CS34" s="6" t="s">
        <v>5</v>
      </c>
      <c r="CT34" s="17"/>
      <c r="CU34" s="17"/>
      <c r="CW34" s="61" t="s">
        <v>350</v>
      </c>
      <c r="CX34" s="62">
        <v>2</v>
      </c>
    </row>
    <row r="35" spans="1:104" x14ac:dyDescent="0.25">
      <c r="A35" s="5" t="s">
        <v>44</v>
      </c>
      <c r="B35" s="27">
        <v>0</v>
      </c>
      <c r="C35" s="30" t="s">
        <v>391</v>
      </c>
      <c r="D35" s="17">
        <f>AVERAGE(B31:B53)</f>
        <v>8.6956521739130432E-2</v>
      </c>
      <c r="F35" s="17" t="s">
        <v>383</v>
      </c>
      <c r="G35" s="6" t="s">
        <v>19</v>
      </c>
      <c r="H35" s="17"/>
      <c r="I35" s="17"/>
      <c r="K35" s="5" t="s">
        <v>83</v>
      </c>
      <c r="L35">
        <v>1</v>
      </c>
      <c r="M35" s="17"/>
      <c r="N35" s="17"/>
      <c r="P35" s="17" t="s">
        <v>383</v>
      </c>
      <c r="Q35" s="6" t="s">
        <v>6</v>
      </c>
      <c r="R35" s="17"/>
      <c r="S35" s="17"/>
      <c r="U35" s="5" t="s">
        <v>127</v>
      </c>
      <c r="V35">
        <v>1</v>
      </c>
      <c r="Z35" s="61" t="s">
        <v>120</v>
      </c>
      <c r="AA35" s="62">
        <v>5</v>
      </c>
      <c r="AE35" s="5" t="s">
        <v>140</v>
      </c>
      <c r="AF35">
        <v>0</v>
      </c>
      <c r="AG35" s="17"/>
      <c r="AH35" s="17"/>
      <c r="AJ35" s="17" t="s">
        <v>383</v>
      </c>
      <c r="AK35" s="6" t="s">
        <v>19</v>
      </c>
      <c r="AL35" s="17"/>
      <c r="AM35" s="17"/>
      <c r="AO35" s="5" t="s">
        <v>151</v>
      </c>
      <c r="AP35">
        <v>0</v>
      </c>
      <c r="AQ35" s="30" t="s">
        <v>389</v>
      </c>
      <c r="AR35" s="17">
        <f>MAX(AP33:AP57)</f>
        <v>3</v>
      </c>
      <c r="AT35" s="5" t="s">
        <v>184</v>
      </c>
      <c r="AU35">
        <v>2</v>
      </c>
      <c r="AV35" s="17"/>
      <c r="AW35" s="17"/>
      <c r="AY35" s="17" t="s">
        <v>382</v>
      </c>
      <c r="AZ35" s="29" t="s">
        <v>370</v>
      </c>
      <c r="BA35" s="17"/>
      <c r="BB35" s="17">
        <v>2016</v>
      </c>
      <c r="BD35" s="5" t="s">
        <v>223</v>
      </c>
      <c r="BE35">
        <v>0</v>
      </c>
      <c r="BF35" s="30" t="s">
        <v>389</v>
      </c>
      <c r="BG35" s="17">
        <f>MAX(BE33:BE57)</f>
        <v>3</v>
      </c>
      <c r="BI35" s="17" t="s">
        <v>382</v>
      </c>
      <c r="BJ35" s="29" t="s">
        <v>372</v>
      </c>
      <c r="BK35" s="17"/>
      <c r="BL35" s="17">
        <v>2016</v>
      </c>
      <c r="BN35" s="5" t="s">
        <v>284</v>
      </c>
      <c r="BO35">
        <v>1</v>
      </c>
      <c r="BP35" s="17"/>
      <c r="BQ35" s="17"/>
      <c r="BS35" s="5" t="s">
        <v>295</v>
      </c>
      <c r="BT35">
        <v>1</v>
      </c>
      <c r="BU35" s="30" t="s">
        <v>392</v>
      </c>
      <c r="BV35" s="17">
        <f>STDEV(BT30:BT38)</f>
        <v>0.83333333333333337</v>
      </c>
      <c r="BX35" s="61" t="s">
        <v>276</v>
      </c>
      <c r="BY35" s="62">
        <v>2</v>
      </c>
      <c r="BZ35" s="63" t="s">
        <v>389</v>
      </c>
      <c r="CA35" s="58">
        <f>MAX(BY33:BY57)</f>
        <v>2</v>
      </c>
      <c r="CC35" s="5" t="s">
        <v>303</v>
      </c>
      <c r="CD35">
        <v>0</v>
      </c>
      <c r="CE35" s="30" t="s">
        <v>391</v>
      </c>
      <c r="CF35" s="17">
        <f>AVERAGE(CD31:CD53)</f>
        <v>0.21739130434782608</v>
      </c>
      <c r="CH35" s="17" t="s">
        <v>383</v>
      </c>
      <c r="CI35" s="6" t="s">
        <v>6</v>
      </c>
      <c r="CJ35" s="17"/>
      <c r="CK35" s="17"/>
      <c r="CR35" s="17" t="s">
        <v>384</v>
      </c>
      <c r="CS35" s="17" t="s">
        <v>39</v>
      </c>
      <c r="CT35" s="17" t="s">
        <v>385</v>
      </c>
      <c r="CU35" s="17" t="s">
        <v>386</v>
      </c>
      <c r="CW35" s="61" t="s">
        <v>351</v>
      </c>
      <c r="CX35" s="62">
        <v>3</v>
      </c>
    </row>
    <row r="36" spans="1:104" x14ac:dyDescent="0.25">
      <c r="A36" s="5" t="s">
        <v>45</v>
      </c>
      <c r="B36" s="27">
        <v>0</v>
      </c>
      <c r="C36" s="30" t="s">
        <v>392</v>
      </c>
      <c r="D36" s="17">
        <f>STDEV(B31:B53)</f>
        <v>0.28810406552003037</v>
      </c>
      <c r="F36" s="17" t="s">
        <v>384</v>
      </c>
      <c r="G36" s="17" t="s">
        <v>39</v>
      </c>
      <c r="H36" s="17" t="s">
        <v>385</v>
      </c>
      <c r="I36" s="17" t="s">
        <v>386</v>
      </c>
      <c r="K36" s="5" t="s">
        <v>84</v>
      </c>
      <c r="L36">
        <v>0</v>
      </c>
      <c r="M36" s="17"/>
      <c r="N36" s="17"/>
      <c r="P36" s="17" t="s">
        <v>384</v>
      </c>
      <c r="Q36" s="17" t="s">
        <v>39</v>
      </c>
      <c r="R36" s="17" t="s">
        <v>385</v>
      </c>
      <c r="S36" s="17" t="s">
        <v>386</v>
      </c>
      <c r="U36" s="5" t="s">
        <v>128</v>
      </c>
      <c r="V36">
        <v>3</v>
      </c>
      <c r="Z36" s="61" t="s">
        <v>121</v>
      </c>
      <c r="AA36" s="62">
        <v>3</v>
      </c>
      <c r="AE36" s="5" t="s">
        <v>141</v>
      </c>
      <c r="AF36">
        <v>1</v>
      </c>
      <c r="AG36" s="17"/>
      <c r="AH36" s="17"/>
      <c r="AJ36" s="17" t="s">
        <v>384</v>
      </c>
      <c r="AK36" s="17" t="s">
        <v>39</v>
      </c>
      <c r="AL36" s="17" t="s">
        <v>385</v>
      </c>
      <c r="AM36" s="17" t="s">
        <v>386</v>
      </c>
      <c r="AO36" s="5" t="s">
        <v>152</v>
      </c>
      <c r="AP36">
        <v>0</v>
      </c>
      <c r="AQ36" s="30" t="s">
        <v>390</v>
      </c>
      <c r="AR36" s="17">
        <f>VAR(AP33:AP57)</f>
        <v>0.62666666666666659</v>
      </c>
      <c r="AT36" s="5" t="s">
        <v>185</v>
      </c>
      <c r="AU36">
        <v>0</v>
      </c>
      <c r="AV36" s="17"/>
      <c r="AW36" s="17"/>
      <c r="AY36" s="17" t="s">
        <v>383</v>
      </c>
      <c r="AZ36" s="6" t="s">
        <v>5</v>
      </c>
      <c r="BA36" s="17"/>
      <c r="BB36" s="17"/>
      <c r="BD36" s="5" t="s">
        <v>224</v>
      </c>
      <c r="BE36">
        <v>0</v>
      </c>
      <c r="BF36" s="30" t="s">
        <v>390</v>
      </c>
      <c r="BG36" s="17">
        <f>VAR(BE33:BE57)</f>
        <v>0.5</v>
      </c>
      <c r="BI36" s="17" t="s">
        <v>383</v>
      </c>
      <c r="BJ36" s="6" t="s">
        <v>5</v>
      </c>
      <c r="BK36" s="17"/>
      <c r="BL36" s="17"/>
      <c r="BN36" s="5" t="s">
        <v>286</v>
      </c>
      <c r="BO36">
        <v>1</v>
      </c>
      <c r="BP36" s="17"/>
      <c r="BQ36" s="17"/>
      <c r="BS36" s="5" t="s">
        <v>296</v>
      </c>
      <c r="BT36">
        <v>2</v>
      </c>
      <c r="BU36" s="17"/>
      <c r="BV36" s="17"/>
      <c r="BX36" s="61" t="s">
        <v>277</v>
      </c>
      <c r="BY36" s="62">
        <v>0</v>
      </c>
      <c r="BZ36" s="63" t="s">
        <v>390</v>
      </c>
      <c r="CA36" s="58">
        <f>VAR(BY33:BY57)</f>
        <v>0.42333333333333334</v>
      </c>
      <c r="CC36" s="5" t="s">
        <v>304</v>
      </c>
      <c r="CD36">
        <v>1</v>
      </c>
      <c r="CE36" s="30" t="s">
        <v>392</v>
      </c>
      <c r="CF36" s="17">
        <f>STDEV(CD31:CD53)</f>
        <v>0.51843485951208201</v>
      </c>
      <c r="CH36" s="17" t="s">
        <v>384</v>
      </c>
      <c r="CI36" s="17" t="s">
        <v>39</v>
      </c>
      <c r="CJ36" s="17" t="s">
        <v>385</v>
      </c>
      <c r="CK36" s="17" t="s">
        <v>386</v>
      </c>
      <c r="CR36" s="5" t="s">
        <v>333</v>
      </c>
      <c r="CS36">
        <v>0</v>
      </c>
      <c r="CT36" s="30" t="s">
        <v>387</v>
      </c>
      <c r="CU36" s="17">
        <f>SUM(CS36:CS63)</f>
        <v>4</v>
      </c>
      <c r="CW36" s="61" t="s">
        <v>352</v>
      </c>
      <c r="CX36" s="62">
        <v>5</v>
      </c>
    </row>
    <row r="37" spans="1:104" x14ac:dyDescent="0.25">
      <c r="A37" s="5" t="s">
        <v>47</v>
      </c>
      <c r="B37" s="27">
        <v>0</v>
      </c>
      <c r="C37" s="17"/>
      <c r="D37" s="17"/>
      <c r="F37" s="5" t="s">
        <v>65</v>
      </c>
      <c r="G37">
        <v>0</v>
      </c>
      <c r="H37" s="30" t="s">
        <v>387</v>
      </c>
      <c r="I37" s="17">
        <f>SUM(G37:G43)</f>
        <v>6</v>
      </c>
      <c r="K37" s="5" t="s">
        <v>85</v>
      </c>
      <c r="L37">
        <v>0</v>
      </c>
      <c r="M37" s="17"/>
      <c r="N37" s="17"/>
      <c r="P37" s="5" t="s">
        <v>88</v>
      </c>
      <c r="Q37">
        <v>4</v>
      </c>
      <c r="R37" s="30" t="s">
        <v>387</v>
      </c>
      <c r="S37" s="17">
        <f>SUM(Q37:Q43)</f>
        <v>8</v>
      </c>
      <c r="Z37" s="61" t="s">
        <v>122</v>
      </c>
      <c r="AA37" s="62">
        <v>1</v>
      </c>
      <c r="AE37" s="5" t="s">
        <v>142</v>
      </c>
      <c r="AF37">
        <v>1</v>
      </c>
      <c r="AG37" s="17"/>
      <c r="AH37" s="17"/>
      <c r="AJ37" s="5" t="s">
        <v>143</v>
      </c>
      <c r="AK37">
        <v>3</v>
      </c>
      <c r="AL37" s="30" t="s">
        <v>387</v>
      </c>
      <c r="AM37" s="17">
        <f>SUM(AK37:AK43)</f>
        <v>26</v>
      </c>
      <c r="AO37" s="5" t="s">
        <v>153</v>
      </c>
      <c r="AP37">
        <v>0</v>
      </c>
      <c r="AQ37" s="30" t="s">
        <v>391</v>
      </c>
      <c r="AR37" s="17">
        <f>AVERAGE(AP33:AP57)</f>
        <v>0.72</v>
      </c>
      <c r="AT37" s="5" t="s">
        <v>186</v>
      </c>
      <c r="AU37">
        <v>1</v>
      </c>
      <c r="AV37" s="17"/>
      <c r="AW37" s="17"/>
      <c r="AY37" s="17" t="s">
        <v>384</v>
      </c>
      <c r="AZ37" s="17" t="s">
        <v>39</v>
      </c>
      <c r="BA37" s="17" t="s">
        <v>385</v>
      </c>
      <c r="BB37" s="17" t="s">
        <v>386</v>
      </c>
      <c r="BD37" s="5" t="s">
        <v>225</v>
      </c>
      <c r="BE37">
        <v>1</v>
      </c>
      <c r="BF37" s="30" t="s">
        <v>391</v>
      </c>
      <c r="BG37" s="17">
        <f>AVERAGE(BE33:BE57)</f>
        <v>0.4</v>
      </c>
      <c r="BI37" s="17" t="s">
        <v>384</v>
      </c>
      <c r="BJ37" s="17" t="s">
        <v>39</v>
      </c>
      <c r="BK37" s="17" t="s">
        <v>385</v>
      </c>
      <c r="BL37" s="17" t="s">
        <v>386</v>
      </c>
      <c r="BN37" s="5" t="s">
        <v>287</v>
      </c>
      <c r="BO37">
        <v>0</v>
      </c>
      <c r="BP37" s="17"/>
      <c r="BQ37" s="17"/>
      <c r="BS37" s="5" t="s">
        <v>297</v>
      </c>
      <c r="BT37">
        <v>0</v>
      </c>
      <c r="BU37" s="17"/>
      <c r="BV37" s="17"/>
      <c r="BX37" s="61" t="s">
        <v>279</v>
      </c>
      <c r="BY37" s="62">
        <v>2</v>
      </c>
      <c r="BZ37" s="63" t="s">
        <v>391</v>
      </c>
      <c r="CA37" s="58">
        <f>AVERAGE(BY33:BY57)</f>
        <v>0.44</v>
      </c>
      <c r="CC37" s="5" t="s">
        <v>305</v>
      </c>
      <c r="CD37">
        <v>0</v>
      </c>
      <c r="CE37" s="17"/>
      <c r="CF37" s="17"/>
      <c r="CH37" s="5" t="s">
        <v>321</v>
      </c>
      <c r="CI37">
        <v>0</v>
      </c>
      <c r="CJ37" s="30" t="s">
        <v>387</v>
      </c>
      <c r="CK37" s="17">
        <f>SUM(CI37:CI43)</f>
        <v>8</v>
      </c>
      <c r="CR37" s="5" t="s">
        <v>334</v>
      </c>
      <c r="CS37">
        <v>0</v>
      </c>
      <c r="CT37" s="30" t="s">
        <v>388</v>
      </c>
      <c r="CU37" s="17">
        <f>MIN(CS36:CS63)</f>
        <v>0</v>
      </c>
      <c r="CW37" s="61" t="s">
        <v>353</v>
      </c>
      <c r="CX37" s="62">
        <v>5</v>
      </c>
    </row>
    <row r="38" spans="1:104" x14ac:dyDescent="0.25">
      <c r="A38" s="5" t="s">
        <v>48</v>
      </c>
      <c r="B38" s="27">
        <v>0</v>
      </c>
      <c r="C38" s="17"/>
      <c r="D38" s="17"/>
      <c r="F38" s="5" t="s">
        <v>66</v>
      </c>
      <c r="G38">
        <v>1</v>
      </c>
      <c r="H38" s="30" t="s">
        <v>388</v>
      </c>
      <c r="I38" s="17">
        <f>MIN(G37:G43)</f>
        <v>0</v>
      </c>
      <c r="K38" s="5" t="s">
        <v>86</v>
      </c>
      <c r="L38">
        <v>0</v>
      </c>
      <c r="M38" s="17"/>
      <c r="N38" s="17"/>
      <c r="P38" s="5" t="s">
        <v>89</v>
      </c>
      <c r="Q38">
        <v>1</v>
      </c>
      <c r="R38" s="30" t="s">
        <v>388</v>
      </c>
      <c r="S38" s="17">
        <f>MIN(Q37:Q43)</f>
        <v>0</v>
      </c>
      <c r="U38" s="17" t="s">
        <v>382</v>
      </c>
      <c r="V38" s="29" t="s">
        <v>400</v>
      </c>
      <c r="W38" s="17"/>
      <c r="X38" s="17">
        <v>2016</v>
      </c>
      <c r="Z38" s="61" t="s">
        <v>123</v>
      </c>
      <c r="AA38" s="62">
        <v>3</v>
      </c>
      <c r="AJ38" s="5" t="s">
        <v>67</v>
      </c>
      <c r="AK38">
        <v>4</v>
      </c>
      <c r="AL38" s="30" t="s">
        <v>388</v>
      </c>
      <c r="AM38" s="17">
        <f>MIN(AK37:AK43)</f>
        <v>2</v>
      </c>
      <c r="AO38" s="5" t="s">
        <v>154</v>
      </c>
      <c r="AP38">
        <v>0</v>
      </c>
      <c r="AQ38" s="30" t="s">
        <v>392</v>
      </c>
      <c r="AR38" s="17">
        <f>STDEV(AP33:AP57)</f>
        <v>0.79162280580252775</v>
      </c>
      <c r="AT38" s="5" t="s">
        <v>187</v>
      </c>
      <c r="AU38">
        <v>0</v>
      </c>
      <c r="AV38" s="17"/>
      <c r="AW38" s="17"/>
      <c r="AY38" s="5" t="s">
        <v>192</v>
      </c>
      <c r="AZ38">
        <v>0</v>
      </c>
      <c r="BA38" s="30" t="s">
        <v>387</v>
      </c>
      <c r="BB38" s="17">
        <f>SUM(AZ38:AZ67)</f>
        <v>1</v>
      </c>
      <c r="BD38" s="5" t="s">
        <v>226</v>
      </c>
      <c r="BE38">
        <v>0</v>
      </c>
      <c r="BF38" s="30" t="s">
        <v>392</v>
      </c>
      <c r="BG38" s="17">
        <f>STDEV(BE33:BE57)</f>
        <v>0.70710678118654757</v>
      </c>
      <c r="BI38" s="5" t="s">
        <v>245</v>
      </c>
      <c r="BJ38">
        <v>0</v>
      </c>
      <c r="BK38" s="30" t="s">
        <v>387</v>
      </c>
      <c r="BL38" s="17">
        <f>SUM(BJ38:BJ67)</f>
        <v>13</v>
      </c>
      <c r="BN38" s="5" t="s">
        <v>288</v>
      </c>
      <c r="BO38">
        <v>1</v>
      </c>
      <c r="BP38" s="17"/>
      <c r="BQ38" s="17"/>
      <c r="BS38" s="5" t="s">
        <v>298</v>
      </c>
      <c r="BT38">
        <v>0</v>
      </c>
      <c r="BU38" s="17"/>
      <c r="BV38" s="17"/>
      <c r="BX38" s="61" t="s">
        <v>278</v>
      </c>
      <c r="BY38" s="62">
        <v>0</v>
      </c>
      <c r="BZ38" s="63" t="s">
        <v>392</v>
      </c>
      <c r="CA38" s="58">
        <f>STDEV(BY33:BY57)</f>
        <v>0.65064070986477118</v>
      </c>
      <c r="CC38" s="5" t="s">
        <v>306</v>
      </c>
      <c r="CD38">
        <v>0</v>
      </c>
      <c r="CE38" s="17"/>
      <c r="CF38" s="17"/>
      <c r="CH38" s="5" t="s">
        <v>322</v>
      </c>
      <c r="CI38">
        <v>1</v>
      </c>
      <c r="CJ38" s="30" t="s">
        <v>388</v>
      </c>
      <c r="CK38" s="17">
        <f>MIN(CI37:CI43)</f>
        <v>0</v>
      </c>
      <c r="CM38" s="17" t="s">
        <v>382</v>
      </c>
      <c r="CN38" s="29" t="s">
        <v>442</v>
      </c>
      <c r="CO38" s="17"/>
      <c r="CP38" s="17">
        <v>2016</v>
      </c>
      <c r="CR38" s="5" t="s">
        <v>335</v>
      </c>
      <c r="CS38">
        <v>0</v>
      </c>
      <c r="CT38" s="30" t="s">
        <v>389</v>
      </c>
      <c r="CU38" s="17">
        <f>MAX(CS36:CS63)</f>
        <v>1</v>
      </c>
      <c r="CW38" s="61" t="s">
        <v>354</v>
      </c>
      <c r="CX38" s="62">
        <v>2</v>
      </c>
    </row>
    <row r="39" spans="1:104" x14ac:dyDescent="0.25">
      <c r="A39" s="5" t="s">
        <v>49</v>
      </c>
      <c r="B39" s="27">
        <v>0</v>
      </c>
      <c r="C39" s="17"/>
      <c r="D39" s="17"/>
      <c r="F39" s="5" t="s">
        <v>67</v>
      </c>
      <c r="G39">
        <v>2</v>
      </c>
      <c r="H39" s="30" t="s">
        <v>389</v>
      </c>
      <c r="I39" s="17">
        <f>MAX(G37:G43)</f>
        <v>2</v>
      </c>
      <c r="K39" s="5" t="s">
        <v>87</v>
      </c>
      <c r="L39">
        <v>0</v>
      </c>
      <c r="M39" s="17"/>
      <c r="N39" s="17"/>
      <c r="P39" s="5" t="s">
        <v>90</v>
      </c>
      <c r="Q39">
        <v>0</v>
      </c>
      <c r="R39" s="30" t="s">
        <v>389</v>
      </c>
      <c r="S39" s="17">
        <f>MAX(Q37:Q43)</f>
        <v>4</v>
      </c>
      <c r="U39" s="17" t="s">
        <v>383</v>
      </c>
      <c r="V39" s="6" t="s">
        <v>5</v>
      </c>
      <c r="W39" s="17"/>
      <c r="X39" s="17"/>
      <c r="Z39" s="61" t="s">
        <v>124</v>
      </c>
      <c r="AA39" s="62">
        <v>7</v>
      </c>
      <c r="AE39" s="17" t="s">
        <v>382</v>
      </c>
      <c r="AF39" s="29" t="s">
        <v>366</v>
      </c>
      <c r="AG39" s="17"/>
      <c r="AH39" s="17">
        <v>2016</v>
      </c>
      <c r="AJ39" s="5" t="s">
        <v>144</v>
      </c>
      <c r="AK39">
        <v>4</v>
      </c>
      <c r="AL39" s="30" t="s">
        <v>389</v>
      </c>
      <c r="AM39" s="17">
        <f>MAX(AK37:AK43)</f>
        <v>6</v>
      </c>
      <c r="AO39" s="5" t="s">
        <v>155</v>
      </c>
      <c r="AP39">
        <v>1</v>
      </c>
      <c r="AQ39" s="17"/>
      <c r="AR39" s="17"/>
      <c r="AT39" s="5" t="s">
        <v>188</v>
      </c>
      <c r="AU39">
        <v>0</v>
      </c>
      <c r="AV39" s="17"/>
      <c r="AW39" s="17"/>
      <c r="AY39" s="5" t="s">
        <v>193</v>
      </c>
      <c r="AZ39">
        <v>0</v>
      </c>
      <c r="BA39" s="30" t="s">
        <v>388</v>
      </c>
      <c r="BB39" s="17">
        <f>MIN(AZ38:AZ67)</f>
        <v>0</v>
      </c>
      <c r="BD39" s="5" t="s">
        <v>227</v>
      </c>
      <c r="BE39">
        <v>1</v>
      </c>
      <c r="BF39" s="17"/>
      <c r="BG39" s="17"/>
      <c r="BI39" s="5" t="s">
        <v>73</v>
      </c>
      <c r="BJ39">
        <v>2</v>
      </c>
      <c r="BK39" s="30" t="s">
        <v>388</v>
      </c>
      <c r="BL39" s="17">
        <f>MIN(BJ38:BJ67)</f>
        <v>0</v>
      </c>
      <c r="BN39" s="5" t="s">
        <v>289</v>
      </c>
      <c r="BO39">
        <v>0</v>
      </c>
      <c r="BP39" s="17"/>
      <c r="BQ39" s="17"/>
      <c r="BX39" s="61" t="s">
        <v>280</v>
      </c>
      <c r="BY39" s="62">
        <v>0</v>
      </c>
      <c r="BZ39" s="58"/>
      <c r="CA39" s="58"/>
      <c r="CC39" s="5" t="s">
        <v>93</v>
      </c>
      <c r="CD39">
        <v>0</v>
      </c>
      <c r="CE39" s="17"/>
      <c r="CF39" s="17"/>
      <c r="CH39" s="5" t="s">
        <v>323</v>
      </c>
      <c r="CI39">
        <v>2</v>
      </c>
      <c r="CJ39" s="30" t="s">
        <v>389</v>
      </c>
      <c r="CK39" s="17">
        <f>MAX(CI37:CI43)</f>
        <v>3</v>
      </c>
      <c r="CM39" s="17" t="s">
        <v>383</v>
      </c>
      <c r="CN39" s="6" t="s">
        <v>5</v>
      </c>
      <c r="CO39" s="17"/>
      <c r="CP39" s="17"/>
      <c r="CR39" s="5" t="s">
        <v>43</v>
      </c>
      <c r="CS39">
        <v>0</v>
      </c>
      <c r="CT39" s="30" t="s">
        <v>390</v>
      </c>
      <c r="CU39" s="17">
        <f>VAR(CS36:CS63)</f>
        <v>0.126984126984127</v>
      </c>
      <c r="CW39" s="61" t="s">
        <v>355</v>
      </c>
      <c r="CX39" s="62">
        <v>4</v>
      </c>
    </row>
    <row r="40" spans="1:104" x14ac:dyDescent="0.25">
      <c r="A40" s="5" t="s">
        <v>50</v>
      </c>
      <c r="B40" s="27">
        <v>0</v>
      </c>
      <c r="C40" s="17"/>
      <c r="D40" s="17"/>
      <c r="F40" s="5" t="s">
        <v>68</v>
      </c>
      <c r="G40">
        <v>2</v>
      </c>
      <c r="H40" s="30" t="s">
        <v>390</v>
      </c>
      <c r="I40" s="17">
        <f>VAR(G37:G43)</f>
        <v>0.80952380952380942</v>
      </c>
      <c r="P40" s="5" t="s">
        <v>91</v>
      </c>
      <c r="Q40">
        <v>0</v>
      </c>
      <c r="R40" s="30" t="s">
        <v>390</v>
      </c>
      <c r="S40" s="17">
        <f>VAR(Q37:Q43)</f>
        <v>2.1428571428571428</v>
      </c>
      <c r="U40" s="17" t="s">
        <v>384</v>
      </c>
      <c r="V40" s="17" t="s">
        <v>39</v>
      </c>
      <c r="W40" s="17" t="s">
        <v>385</v>
      </c>
      <c r="X40" s="17" t="s">
        <v>386</v>
      </c>
      <c r="Z40" s="61" t="s">
        <v>125</v>
      </c>
      <c r="AA40" s="62">
        <v>6</v>
      </c>
      <c r="AE40" s="17" t="s">
        <v>383</v>
      </c>
      <c r="AF40" s="6" t="s">
        <v>95</v>
      </c>
      <c r="AG40" s="17"/>
      <c r="AH40" s="17"/>
      <c r="AJ40" s="5" t="s">
        <v>145</v>
      </c>
      <c r="AK40">
        <v>4</v>
      </c>
      <c r="AL40" s="30" t="s">
        <v>390</v>
      </c>
      <c r="AM40" s="17">
        <f>VAR(AK37:AK43)</f>
        <v>1.5714285714285718</v>
      </c>
      <c r="AO40" s="5" t="s">
        <v>156</v>
      </c>
      <c r="AP40">
        <v>1</v>
      </c>
      <c r="AQ40" s="17"/>
      <c r="AR40" s="17"/>
      <c r="AT40" s="5" t="s">
        <v>395</v>
      </c>
      <c r="AU40">
        <v>0</v>
      </c>
      <c r="AV40" s="17"/>
      <c r="AW40" s="17"/>
      <c r="AY40" s="5" t="s">
        <v>194</v>
      </c>
      <c r="AZ40">
        <v>0</v>
      </c>
      <c r="BA40" s="30" t="s">
        <v>389</v>
      </c>
      <c r="BB40" s="17">
        <f>MAX(AZ38:AZ67)</f>
        <v>1</v>
      </c>
      <c r="BD40" s="5" t="s">
        <v>228</v>
      </c>
      <c r="BE40">
        <v>1</v>
      </c>
      <c r="BF40" s="17"/>
      <c r="BG40" s="17"/>
      <c r="BI40" s="5" t="s">
        <v>246</v>
      </c>
      <c r="BJ40">
        <v>0</v>
      </c>
      <c r="BK40" s="30" t="s">
        <v>389</v>
      </c>
      <c r="BL40" s="17">
        <f>MAX(BJ38:BJ67)</f>
        <v>2</v>
      </c>
      <c r="BS40" s="17" t="s">
        <v>382</v>
      </c>
      <c r="BT40" s="29" t="s">
        <v>441</v>
      </c>
      <c r="BU40" s="17"/>
      <c r="BV40" s="17">
        <v>2016</v>
      </c>
      <c r="BX40" s="61" t="s">
        <v>281</v>
      </c>
      <c r="BY40" s="62">
        <v>1</v>
      </c>
      <c r="BZ40" s="58"/>
      <c r="CA40" s="58"/>
      <c r="CC40" s="5" t="s">
        <v>307</v>
      </c>
      <c r="CD40">
        <v>0</v>
      </c>
      <c r="CE40" s="17"/>
      <c r="CF40" s="17"/>
      <c r="CH40" s="5" t="s">
        <v>324</v>
      </c>
      <c r="CI40">
        <v>3</v>
      </c>
      <c r="CJ40" s="30" t="s">
        <v>390</v>
      </c>
      <c r="CK40" s="17">
        <f>VAR(CI37:CI43)</f>
        <v>1.4761904761904763</v>
      </c>
      <c r="CM40" s="17" t="s">
        <v>384</v>
      </c>
      <c r="CN40" s="17" t="s">
        <v>39</v>
      </c>
      <c r="CO40" s="17" t="s">
        <v>385</v>
      </c>
      <c r="CP40" s="17" t="s">
        <v>386</v>
      </c>
      <c r="CR40" s="5" t="s">
        <v>336</v>
      </c>
      <c r="CS40">
        <v>0</v>
      </c>
      <c r="CT40" s="30" t="s">
        <v>391</v>
      </c>
      <c r="CU40" s="17">
        <f>AVERAGE(CS36:CS63)</f>
        <v>0.14285714285714285</v>
      </c>
      <c r="CW40" s="66" t="s">
        <v>356</v>
      </c>
      <c r="CX40" s="62">
        <v>9</v>
      </c>
    </row>
    <row r="41" spans="1:104" x14ac:dyDescent="0.25">
      <c r="A41" s="5" t="s">
        <v>51</v>
      </c>
      <c r="B41" s="27">
        <v>1</v>
      </c>
      <c r="C41" s="17"/>
      <c r="D41" s="17"/>
      <c r="F41" s="5" t="s">
        <v>69</v>
      </c>
      <c r="G41">
        <v>0</v>
      </c>
      <c r="H41" s="30" t="s">
        <v>391</v>
      </c>
      <c r="I41" s="17">
        <f>AVERAGE(G37:G43)</f>
        <v>0.8571428571428571</v>
      </c>
      <c r="K41" s="17" t="s">
        <v>382</v>
      </c>
      <c r="L41" s="29" t="s">
        <v>363</v>
      </c>
      <c r="M41" s="17"/>
      <c r="N41" s="17">
        <v>2016</v>
      </c>
      <c r="P41" s="5" t="s">
        <v>92</v>
      </c>
      <c r="Q41">
        <v>1</v>
      </c>
      <c r="R41" s="30" t="s">
        <v>391</v>
      </c>
      <c r="S41" s="17">
        <f>AVERAGE(Q37:Q43)</f>
        <v>1.1428571428571428</v>
      </c>
      <c r="U41" s="5" t="s">
        <v>96</v>
      </c>
      <c r="V41">
        <v>0</v>
      </c>
      <c r="W41" s="30" t="s">
        <v>387</v>
      </c>
      <c r="X41" s="17">
        <f>SUM(V41:V73)</f>
        <v>11</v>
      </c>
      <c r="Z41" s="61" t="s">
        <v>126</v>
      </c>
      <c r="AA41" s="62">
        <v>8</v>
      </c>
      <c r="AE41" s="17" t="s">
        <v>384</v>
      </c>
      <c r="AF41" s="17" t="s">
        <v>39</v>
      </c>
      <c r="AG41" s="17" t="s">
        <v>385</v>
      </c>
      <c r="AH41" s="17" t="s">
        <v>386</v>
      </c>
      <c r="AJ41" s="5" t="s">
        <v>146</v>
      </c>
      <c r="AK41">
        <v>2</v>
      </c>
      <c r="AL41" s="30" t="s">
        <v>391</v>
      </c>
      <c r="AM41" s="17">
        <f>AVERAGE(AK37:AK43)</f>
        <v>3.7142857142857144</v>
      </c>
      <c r="AO41" s="5" t="s">
        <v>157</v>
      </c>
      <c r="AP41">
        <v>0</v>
      </c>
      <c r="AQ41" s="17"/>
      <c r="AR41" s="17"/>
      <c r="AT41" s="5" t="s">
        <v>189</v>
      </c>
      <c r="AU41">
        <v>0</v>
      </c>
      <c r="AV41" s="17"/>
      <c r="AW41" s="17"/>
      <c r="AY41" s="5" t="s">
        <v>195</v>
      </c>
      <c r="AZ41">
        <v>1</v>
      </c>
      <c r="BA41" s="30" t="s">
        <v>390</v>
      </c>
      <c r="BB41" s="17">
        <f>VAR(AZ38:AZ67)</f>
        <v>3.3333333333333333E-2</v>
      </c>
      <c r="BD41" s="5" t="s">
        <v>229</v>
      </c>
      <c r="BE41">
        <v>0</v>
      </c>
      <c r="BF41" s="17"/>
      <c r="BG41" s="17"/>
      <c r="BI41" s="5" t="s">
        <v>247</v>
      </c>
      <c r="BJ41">
        <v>1</v>
      </c>
      <c r="BK41" s="30" t="s">
        <v>390</v>
      </c>
      <c r="BL41" s="17">
        <f>VAR(BJ38:BJ67)</f>
        <v>0.39195402298850579</v>
      </c>
      <c r="BN41" s="17" t="s">
        <v>382</v>
      </c>
      <c r="BO41" s="29" t="s">
        <v>440</v>
      </c>
      <c r="BP41" s="17"/>
      <c r="BQ41" s="17">
        <v>2016</v>
      </c>
      <c r="BS41" s="17" t="s">
        <v>383</v>
      </c>
      <c r="BT41" s="6" t="s">
        <v>9</v>
      </c>
      <c r="BU41" s="17"/>
      <c r="BV41" s="17"/>
      <c r="BX41" s="61" t="s">
        <v>282</v>
      </c>
      <c r="BY41" s="62">
        <v>1</v>
      </c>
      <c r="BZ41" s="58"/>
      <c r="CA41" s="58"/>
      <c r="CC41" s="5" t="s">
        <v>308</v>
      </c>
      <c r="CD41">
        <v>0</v>
      </c>
      <c r="CE41" s="17"/>
      <c r="CF41" s="17"/>
      <c r="CH41" s="5" t="s">
        <v>325</v>
      </c>
      <c r="CI41">
        <v>2</v>
      </c>
      <c r="CJ41" s="30" t="s">
        <v>391</v>
      </c>
      <c r="CK41" s="17">
        <f>AVERAGE(CI37:CI43)</f>
        <v>1.1428571428571428</v>
      </c>
      <c r="CM41" s="5" t="s">
        <v>328</v>
      </c>
      <c r="CN41">
        <v>0</v>
      </c>
      <c r="CO41" s="30" t="s">
        <v>387</v>
      </c>
      <c r="CP41" s="17">
        <f>SUM(CN41:CN73)</f>
        <v>0</v>
      </c>
      <c r="CR41" s="5" t="s">
        <v>337</v>
      </c>
      <c r="CS41">
        <v>0</v>
      </c>
      <c r="CT41" s="30" t="s">
        <v>392</v>
      </c>
      <c r="CU41" s="17">
        <f>STDEV(CS36:CS63)</f>
        <v>0.35634832254989923</v>
      </c>
      <c r="CW41" s="66" t="s">
        <v>357</v>
      </c>
      <c r="CX41" s="62">
        <v>2</v>
      </c>
    </row>
    <row r="42" spans="1:104" x14ac:dyDescent="0.25">
      <c r="A42" s="5" t="s">
        <v>52</v>
      </c>
      <c r="B42" s="27">
        <v>0</v>
      </c>
      <c r="C42" s="17"/>
      <c r="D42" s="17"/>
      <c r="F42" s="5" t="s">
        <v>70</v>
      </c>
      <c r="G42">
        <v>1</v>
      </c>
      <c r="H42" s="30" t="s">
        <v>392</v>
      </c>
      <c r="I42" s="17">
        <f>STDEV(G37:G43)</f>
        <v>0.89973541084243724</v>
      </c>
      <c r="K42" s="17" t="s">
        <v>383</v>
      </c>
      <c r="L42" s="6" t="s">
        <v>6</v>
      </c>
      <c r="M42" s="17"/>
      <c r="N42" s="17"/>
      <c r="P42" s="5" t="s">
        <v>93</v>
      </c>
      <c r="Q42">
        <v>2</v>
      </c>
      <c r="R42" s="30" t="s">
        <v>392</v>
      </c>
      <c r="S42" s="17">
        <f>STDEV(Q37:Q43)</f>
        <v>1.4638501094227998</v>
      </c>
      <c r="U42" s="5" t="s">
        <v>97</v>
      </c>
      <c r="V42">
        <v>0</v>
      </c>
      <c r="W42" s="30" t="s">
        <v>388</v>
      </c>
      <c r="X42" s="17">
        <f>MIN(V41:V73)</f>
        <v>0</v>
      </c>
      <c r="Z42" s="61" t="s">
        <v>127</v>
      </c>
      <c r="AA42" s="62">
        <v>1</v>
      </c>
      <c r="AE42" s="5" t="s">
        <v>129</v>
      </c>
      <c r="AF42">
        <v>0</v>
      </c>
      <c r="AG42" s="30" t="s">
        <v>387</v>
      </c>
      <c r="AH42" s="17">
        <f>SUM(AF42:AF56)</f>
        <v>1</v>
      </c>
      <c r="AJ42" s="5" t="s">
        <v>147</v>
      </c>
      <c r="AK42">
        <v>6</v>
      </c>
      <c r="AL42" s="30" t="s">
        <v>392</v>
      </c>
      <c r="AM42" s="17">
        <f>STDEV(AK37:AK43)</f>
        <v>1.2535663410560176</v>
      </c>
      <c r="AO42" s="5" t="s">
        <v>158</v>
      </c>
      <c r="AP42">
        <v>0</v>
      </c>
      <c r="AQ42" s="17"/>
      <c r="AR42" s="17"/>
      <c r="AT42" s="5" t="s">
        <v>190</v>
      </c>
      <c r="AU42">
        <v>0</v>
      </c>
      <c r="AV42" s="17"/>
      <c r="AW42" s="17"/>
      <c r="AY42" s="5" t="s">
        <v>196</v>
      </c>
      <c r="AZ42">
        <v>0</v>
      </c>
      <c r="BA42" s="30" t="s">
        <v>391</v>
      </c>
      <c r="BB42" s="17">
        <f>AVERAGE(AZ38:AZ67)</f>
        <v>3.3333333333333333E-2</v>
      </c>
      <c r="BD42" s="5" t="s">
        <v>230</v>
      </c>
      <c r="BE42">
        <v>3</v>
      </c>
      <c r="BF42" s="17"/>
      <c r="BG42" s="17"/>
      <c r="BI42" s="5" t="s">
        <v>248</v>
      </c>
      <c r="BJ42">
        <v>0</v>
      </c>
      <c r="BK42" s="30" t="s">
        <v>391</v>
      </c>
      <c r="BL42" s="17">
        <f>AVERAGE(BJ38:BJ67)</f>
        <v>0.43333333333333335</v>
      </c>
      <c r="BN42" s="17" t="s">
        <v>383</v>
      </c>
      <c r="BO42" s="6" t="s">
        <v>6</v>
      </c>
      <c r="BP42" s="17"/>
      <c r="BQ42" s="17"/>
      <c r="BS42" s="17" t="s">
        <v>384</v>
      </c>
      <c r="BT42" s="17" t="s">
        <v>39</v>
      </c>
      <c r="BU42" s="17" t="s">
        <v>385</v>
      </c>
      <c r="BV42" s="17" t="s">
        <v>386</v>
      </c>
      <c r="BX42" s="61" t="s">
        <v>283</v>
      </c>
      <c r="BY42" s="62">
        <v>1</v>
      </c>
      <c r="BZ42" s="58"/>
      <c r="CA42" s="58"/>
      <c r="CC42" s="5" t="s">
        <v>309</v>
      </c>
      <c r="CD42">
        <v>0</v>
      </c>
      <c r="CE42" s="17"/>
      <c r="CF42" s="17"/>
      <c r="CH42" s="5" t="s">
        <v>326</v>
      </c>
      <c r="CI42">
        <v>0</v>
      </c>
      <c r="CJ42" s="30" t="s">
        <v>392</v>
      </c>
      <c r="CK42" s="17">
        <f>STDEV(CI37:CI43)</f>
        <v>1.2149857925879117</v>
      </c>
      <c r="CM42" s="5" t="s">
        <v>329</v>
      </c>
      <c r="CN42">
        <v>0</v>
      </c>
      <c r="CO42" s="30" t="s">
        <v>388</v>
      </c>
      <c r="CP42" s="17">
        <f>MIN(CN41:CN73)</f>
        <v>0</v>
      </c>
      <c r="CR42" s="5" t="s">
        <v>338</v>
      </c>
      <c r="CS42">
        <v>0</v>
      </c>
      <c r="CW42" s="66" t="s">
        <v>358</v>
      </c>
      <c r="CX42" s="62">
        <v>3</v>
      </c>
    </row>
    <row r="43" spans="1:104" x14ac:dyDescent="0.25">
      <c r="A43" s="5" t="s">
        <v>53</v>
      </c>
      <c r="B43" s="27">
        <v>0</v>
      </c>
      <c r="C43" s="17"/>
      <c r="D43" s="17"/>
      <c r="F43" s="5" t="s">
        <v>71</v>
      </c>
      <c r="G43">
        <v>0</v>
      </c>
      <c r="H43" s="17"/>
      <c r="I43" s="17"/>
      <c r="K43" s="17" t="s">
        <v>384</v>
      </c>
      <c r="L43" s="17" t="s">
        <v>39</v>
      </c>
      <c r="M43" s="17" t="s">
        <v>385</v>
      </c>
      <c r="N43" s="17" t="s">
        <v>386</v>
      </c>
      <c r="P43" s="5" t="s">
        <v>94</v>
      </c>
      <c r="Q43">
        <v>0</v>
      </c>
      <c r="R43" s="17"/>
      <c r="S43" s="17"/>
      <c r="U43" s="5" t="s">
        <v>98</v>
      </c>
      <c r="V43">
        <v>0</v>
      </c>
      <c r="W43" s="30" t="s">
        <v>389</v>
      </c>
      <c r="X43" s="17">
        <f>MAX(V41:V73)</f>
        <v>2</v>
      </c>
      <c r="Z43" s="61" t="s">
        <v>128</v>
      </c>
      <c r="AA43" s="62">
        <v>3</v>
      </c>
      <c r="AE43" s="5" t="s">
        <v>130</v>
      </c>
      <c r="AF43">
        <v>0</v>
      </c>
      <c r="AG43" s="30" t="s">
        <v>388</v>
      </c>
      <c r="AH43" s="17">
        <f>MIN(AF42:AF56)</f>
        <v>0</v>
      </c>
      <c r="AJ43" s="5" t="s">
        <v>148</v>
      </c>
      <c r="AK43">
        <v>3</v>
      </c>
      <c r="AL43" s="17"/>
      <c r="AM43" s="17"/>
      <c r="AO43" s="5" t="s">
        <v>159</v>
      </c>
      <c r="AP43">
        <v>0</v>
      </c>
      <c r="AQ43" s="17"/>
      <c r="AR43" s="17"/>
      <c r="AT43" s="5" t="s">
        <v>191</v>
      </c>
      <c r="AU43">
        <v>0</v>
      </c>
      <c r="AV43" s="15"/>
      <c r="AW43" s="15"/>
      <c r="AY43" s="5" t="s">
        <v>197</v>
      </c>
      <c r="AZ43">
        <v>0</v>
      </c>
      <c r="BA43" s="30" t="s">
        <v>392</v>
      </c>
      <c r="BB43" s="17">
        <f>STDEV(AZ38:AZ67)</f>
        <v>0.18257418583505536</v>
      </c>
      <c r="BD43" s="5" t="s">
        <v>231</v>
      </c>
      <c r="BE43">
        <v>1</v>
      </c>
      <c r="BF43" s="17"/>
      <c r="BG43" s="17"/>
      <c r="BI43" s="5" t="s">
        <v>249</v>
      </c>
      <c r="BJ43">
        <v>1</v>
      </c>
      <c r="BK43" s="30" t="s">
        <v>392</v>
      </c>
      <c r="BL43" s="17">
        <f>STDEV(BJ38:BJ67)</f>
        <v>0.62606231557929259</v>
      </c>
      <c r="BN43" s="17" t="s">
        <v>384</v>
      </c>
      <c r="BO43" s="17" t="s">
        <v>39</v>
      </c>
      <c r="BP43" s="17" t="s">
        <v>385</v>
      </c>
      <c r="BQ43" s="17" t="s">
        <v>386</v>
      </c>
      <c r="BS43" s="5" t="s">
        <v>290</v>
      </c>
      <c r="BT43">
        <v>0</v>
      </c>
      <c r="BU43" s="30" t="s">
        <v>387</v>
      </c>
      <c r="BV43" s="17">
        <f>SUM(BT43:BT51)</f>
        <v>3</v>
      </c>
      <c r="BX43" s="61" t="s">
        <v>285</v>
      </c>
      <c r="BY43" s="62">
        <v>0</v>
      </c>
      <c r="BZ43" s="58"/>
      <c r="CA43" s="58"/>
      <c r="CC43" s="5" t="s">
        <v>310</v>
      </c>
      <c r="CD43">
        <v>2</v>
      </c>
      <c r="CE43" s="17"/>
      <c r="CF43" s="17"/>
      <c r="CH43" s="5" t="s">
        <v>327</v>
      </c>
      <c r="CI43">
        <v>0</v>
      </c>
      <c r="CJ43" s="17"/>
      <c r="CK43" s="17"/>
      <c r="CM43" s="5" t="s">
        <v>330</v>
      </c>
      <c r="CN43">
        <v>0</v>
      </c>
      <c r="CO43" s="30" t="s">
        <v>389</v>
      </c>
      <c r="CP43" s="17">
        <f>MAX(CN41:CN73)</f>
        <v>0</v>
      </c>
      <c r="CR43" s="5" t="s">
        <v>339</v>
      </c>
      <c r="CS43">
        <v>0</v>
      </c>
      <c r="CW43" s="66" t="s">
        <v>359</v>
      </c>
      <c r="CX43" s="62">
        <v>5</v>
      </c>
    </row>
    <row r="44" spans="1:104" x14ac:dyDescent="0.25">
      <c r="A44" s="5" t="s">
        <v>54</v>
      </c>
      <c r="B44" s="27">
        <v>0</v>
      </c>
      <c r="C44" s="17"/>
      <c r="D44" s="17"/>
      <c r="F44" s="5"/>
      <c r="H44" s="17"/>
      <c r="I44" s="1"/>
      <c r="K44" s="5" t="s">
        <v>72</v>
      </c>
      <c r="L44">
        <v>1</v>
      </c>
      <c r="M44" s="30" t="s">
        <v>387</v>
      </c>
      <c r="N44" s="17">
        <f>SUM(L44:L59)</f>
        <v>10</v>
      </c>
      <c r="U44" s="5" t="s">
        <v>99</v>
      </c>
      <c r="V44">
        <v>0</v>
      </c>
      <c r="W44" s="30" t="s">
        <v>390</v>
      </c>
      <c r="X44" s="17">
        <f>VAR(V41:V73)</f>
        <v>0.35416666666666669</v>
      </c>
      <c r="AE44" s="5" t="s">
        <v>131</v>
      </c>
      <c r="AF44">
        <v>0</v>
      </c>
      <c r="AG44" s="30" t="s">
        <v>389</v>
      </c>
      <c r="AH44" s="17">
        <f>MAX(AF42:AF56)</f>
        <v>1</v>
      </c>
      <c r="AO44" s="5" t="s">
        <v>100</v>
      </c>
      <c r="AP44">
        <v>1</v>
      </c>
      <c r="AQ44" s="17"/>
      <c r="AR44" s="17"/>
      <c r="AY44" s="5" t="s">
        <v>198</v>
      </c>
      <c r="AZ44">
        <v>0</v>
      </c>
      <c r="BA44" s="17"/>
      <c r="BB44" s="17"/>
      <c r="BD44" s="5" t="s">
        <v>232</v>
      </c>
      <c r="BE44">
        <v>0</v>
      </c>
      <c r="BF44" s="17"/>
      <c r="BG44" s="17"/>
      <c r="BI44" s="5" t="s">
        <v>250</v>
      </c>
      <c r="BJ44">
        <v>1</v>
      </c>
      <c r="BK44" s="17"/>
      <c r="BL44" s="17"/>
      <c r="BN44" s="5" t="s">
        <v>274</v>
      </c>
      <c r="BO44">
        <v>1</v>
      </c>
      <c r="BP44" s="30" t="s">
        <v>387</v>
      </c>
      <c r="BQ44" s="17">
        <f>SUM(BO44:BO59)</f>
        <v>28</v>
      </c>
      <c r="BS44" s="5" t="s">
        <v>291</v>
      </c>
      <c r="BT44">
        <v>0</v>
      </c>
      <c r="BU44" s="30" t="s">
        <v>388</v>
      </c>
      <c r="BV44" s="17">
        <f>MIN(BT43:BT51)</f>
        <v>0</v>
      </c>
      <c r="BX44" s="61" t="s">
        <v>284</v>
      </c>
      <c r="BY44" s="62">
        <v>1</v>
      </c>
      <c r="BZ44" s="58"/>
      <c r="CA44" s="58"/>
      <c r="CC44" s="5" t="s">
        <v>311</v>
      </c>
      <c r="CD44">
        <v>0</v>
      </c>
      <c r="CE44" s="17"/>
      <c r="CF44" s="17"/>
      <c r="CM44" s="5" t="s">
        <v>331</v>
      </c>
      <c r="CN44">
        <v>0</v>
      </c>
      <c r="CO44" s="30" t="s">
        <v>390</v>
      </c>
      <c r="CP44" s="17">
        <f>VAR(CN41:CN73)</f>
        <v>0</v>
      </c>
      <c r="CR44" s="5" t="s">
        <v>340</v>
      </c>
      <c r="CS44">
        <v>0</v>
      </c>
    </row>
    <row r="45" spans="1:104" x14ac:dyDescent="0.25">
      <c r="A45" s="5" t="s">
        <v>55</v>
      </c>
      <c r="B45" s="27">
        <v>0</v>
      </c>
      <c r="C45" s="17"/>
      <c r="D45" s="17"/>
      <c r="F45" s="17" t="s">
        <v>382</v>
      </c>
      <c r="G45" s="29" t="s">
        <v>362</v>
      </c>
      <c r="H45" s="17"/>
      <c r="I45" s="17">
        <v>2016</v>
      </c>
      <c r="K45" s="5" t="s">
        <v>73</v>
      </c>
      <c r="L45">
        <v>0</v>
      </c>
      <c r="M45" s="30" t="s">
        <v>388</v>
      </c>
      <c r="N45" s="17">
        <f>MIN(L44:L59)</f>
        <v>0</v>
      </c>
      <c r="P45" s="17" t="s">
        <v>382</v>
      </c>
      <c r="Q45" s="29" t="s">
        <v>401</v>
      </c>
      <c r="R45" s="17"/>
      <c r="S45" s="17">
        <v>2016</v>
      </c>
      <c r="U45" s="5" t="s">
        <v>100</v>
      </c>
      <c r="V45">
        <v>0</v>
      </c>
      <c r="W45" s="30" t="s">
        <v>391</v>
      </c>
      <c r="X45" s="17">
        <f>AVERAGE(V41:V73)</f>
        <v>0.33333333333333331</v>
      </c>
      <c r="Z45" s="58" t="s">
        <v>382</v>
      </c>
      <c r="AA45" s="59" t="s">
        <v>627</v>
      </c>
      <c r="AB45" s="58"/>
      <c r="AC45" s="58">
        <v>2016</v>
      </c>
      <c r="AE45" s="5" t="s">
        <v>132</v>
      </c>
      <c r="AF45">
        <v>0</v>
      </c>
      <c r="AG45" s="30" t="s">
        <v>390</v>
      </c>
      <c r="AH45" s="17">
        <f>VAR(AF42:AF56)</f>
        <v>6.6666666666666666E-2</v>
      </c>
      <c r="AJ45" s="17" t="s">
        <v>382</v>
      </c>
      <c r="AK45" s="29" t="s">
        <v>367</v>
      </c>
      <c r="AL45" s="17"/>
      <c r="AM45" s="17">
        <v>2016</v>
      </c>
      <c r="AO45" s="5" t="s">
        <v>161</v>
      </c>
      <c r="AP45">
        <v>1</v>
      </c>
      <c r="AQ45" s="17"/>
      <c r="AR45" s="17"/>
      <c r="AT45" s="17" t="s">
        <v>382</v>
      </c>
      <c r="AU45" s="29" t="s">
        <v>369</v>
      </c>
      <c r="AV45" s="17"/>
      <c r="AW45" s="17">
        <v>2016</v>
      </c>
      <c r="AY45" s="5" t="s">
        <v>161</v>
      </c>
      <c r="AZ45">
        <v>0</v>
      </c>
      <c r="BA45" s="17"/>
      <c r="BB45" s="17"/>
      <c r="BD45" s="5" t="s">
        <v>233</v>
      </c>
      <c r="BE45">
        <v>0</v>
      </c>
      <c r="BF45" s="17"/>
      <c r="BG45" s="17"/>
      <c r="BI45" s="5" t="s">
        <v>251</v>
      </c>
      <c r="BJ45">
        <v>0</v>
      </c>
      <c r="BK45" s="17"/>
      <c r="BL45" s="17"/>
      <c r="BN45" s="5" t="s">
        <v>275</v>
      </c>
      <c r="BO45">
        <v>2</v>
      </c>
      <c r="BP45" s="30" t="s">
        <v>388</v>
      </c>
      <c r="BQ45" s="17">
        <f>MIN(BO44:BO59)</f>
        <v>0</v>
      </c>
      <c r="BS45" s="5" t="s">
        <v>292</v>
      </c>
      <c r="BT45">
        <v>1</v>
      </c>
      <c r="BU45" s="30" t="s">
        <v>389</v>
      </c>
      <c r="BV45" s="17">
        <f>MAX(BT43:BT51)</f>
        <v>2</v>
      </c>
      <c r="BX45" s="61" t="s">
        <v>286</v>
      </c>
      <c r="BY45" s="62">
        <v>1</v>
      </c>
      <c r="BZ45" s="58"/>
      <c r="CA45" s="58"/>
      <c r="CC45" s="5" t="s">
        <v>312</v>
      </c>
      <c r="CD45">
        <v>0</v>
      </c>
      <c r="CE45" s="17"/>
      <c r="CF45" s="17"/>
      <c r="CH45" s="17" t="s">
        <v>382</v>
      </c>
      <c r="CI45" s="29" t="s">
        <v>443</v>
      </c>
      <c r="CJ45" s="17"/>
      <c r="CK45" s="17">
        <v>2016</v>
      </c>
      <c r="CM45" s="5" t="s">
        <v>332</v>
      </c>
      <c r="CN45">
        <v>0</v>
      </c>
      <c r="CO45" s="30" t="s">
        <v>391</v>
      </c>
      <c r="CP45" s="17">
        <f>AVERAGE(CN41:CN73)</f>
        <v>0</v>
      </c>
      <c r="CR45" s="5" t="s">
        <v>341</v>
      </c>
      <c r="CS45">
        <v>1</v>
      </c>
      <c r="CW45" s="58" t="s">
        <v>382</v>
      </c>
      <c r="CX45" s="59" t="s">
        <v>629</v>
      </c>
      <c r="CY45" s="58"/>
      <c r="CZ45" s="58">
        <v>2016</v>
      </c>
    </row>
    <row r="46" spans="1:104" x14ac:dyDescent="0.25">
      <c r="A46" s="5" t="s">
        <v>56</v>
      </c>
      <c r="B46" s="27">
        <v>0</v>
      </c>
      <c r="C46" s="17"/>
      <c r="D46" s="17"/>
      <c r="F46" s="17" t="s">
        <v>383</v>
      </c>
      <c r="G46" s="6" t="s">
        <v>24</v>
      </c>
      <c r="H46" s="17"/>
      <c r="I46" s="17"/>
      <c r="K46" s="5" t="s">
        <v>74</v>
      </c>
      <c r="L46">
        <v>1</v>
      </c>
      <c r="M46" s="30" t="s">
        <v>389</v>
      </c>
      <c r="N46" s="17">
        <f>MAX(L44:L59)</f>
        <v>2</v>
      </c>
      <c r="P46" s="17" t="s">
        <v>383</v>
      </c>
      <c r="Q46" s="6" t="s">
        <v>9</v>
      </c>
      <c r="R46" s="17"/>
      <c r="S46" s="17"/>
      <c r="U46" s="5" t="s">
        <v>101</v>
      </c>
      <c r="V46">
        <v>0</v>
      </c>
      <c r="W46" s="30" t="s">
        <v>392</v>
      </c>
      <c r="X46" s="17">
        <f>STDEV(V41:V73)</f>
        <v>0.59511903571190417</v>
      </c>
      <c r="Z46" s="58" t="s">
        <v>383</v>
      </c>
      <c r="AA46" s="60" t="s">
        <v>5</v>
      </c>
      <c r="AB46" s="58"/>
      <c r="AC46" s="58"/>
      <c r="AE46" s="5" t="s">
        <v>133</v>
      </c>
      <c r="AF46">
        <v>0</v>
      </c>
      <c r="AG46" s="30" t="s">
        <v>391</v>
      </c>
      <c r="AH46" s="17">
        <f>AVERAGE(AF42:AF56)</f>
        <v>6.6666666666666666E-2</v>
      </c>
      <c r="AJ46" s="17" t="s">
        <v>383</v>
      </c>
      <c r="AK46" s="6" t="s">
        <v>21</v>
      </c>
      <c r="AL46" s="17"/>
      <c r="AM46" s="17"/>
      <c r="AO46" s="5" t="s">
        <v>162</v>
      </c>
      <c r="AP46">
        <v>0</v>
      </c>
      <c r="AQ46" s="17"/>
      <c r="AR46" s="17"/>
      <c r="AT46" s="17" t="s">
        <v>383</v>
      </c>
      <c r="AU46" s="6" t="s">
        <v>6</v>
      </c>
      <c r="AV46" s="17"/>
      <c r="AW46" s="17"/>
      <c r="AY46" s="5" t="s">
        <v>199</v>
      </c>
      <c r="AZ46">
        <v>0</v>
      </c>
      <c r="BA46" s="17"/>
      <c r="BB46" s="17"/>
      <c r="BD46" s="5" t="s">
        <v>234</v>
      </c>
      <c r="BE46">
        <v>0</v>
      </c>
      <c r="BF46" s="17"/>
      <c r="BG46" s="17"/>
      <c r="BI46" s="5" t="s">
        <v>252</v>
      </c>
      <c r="BJ46">
        <v>0</v>
      </c>
      <c r="BK46" s="17"/>
      <c r="BL46" s="17"/>
      <c r="BN46" s="5" t="s">
        <v>276</v>
      </c>
      <c r="BO46">
        <v>2</v>
      </c>
      <c r="BP46" s="30" t="s">
        <v>389</v>
      </c>
      <c r="BQ46" s="17">
        <f>MAX(BO44:BO59)</f>
        <v>6</v>
      </c>
      <c r="BS46" s="5" t="s">
        <v>293</v>
      </c>
      <c r="BT46">
        <v>0</v>
      </c>
      <c r="BU46" s="30" t="s">
        <v>390</v>
      </c>
      <c r="BV46" s="17">
        <f>VAR(BT43:BT51)</f>
        <v>0.5</v>
      </c>
      <c r="BX46" s="61" t="s">
        <v>287</v>
      </c>
      <c r="BY46" s="62">
        <v>0</v>
      </c>
      <c r="BZ46" s="58"/>
      <c r="CA46" s="58"/>
      <c r="CC46" s="5" t="s">
        <v>313</v>
      </c>
      <c r="CD46">
        <v>0</v>
      </c>
      <c r="CE46" s="17"/>
      <c r="CF46" s="17"/>
      <c r="CH46" s="17" t="s">
        <v>383</v>
      </c>
      <c r="CI46" s="6" t="s">
        <v>9</v>
      </c>
      <c r="CJ46" s="17"/>
      <c r="CK46" s="17"/>
      <c r="CO46" s="30" t="s">
        <v>392</v>
      </c>
      <c r="CP46" s="17">
        <f>STDEV(CN41:CN73)</f>
        <v>0</v>
      </c>
      <c r="CR46" s="5" t="s">
        <v>342</v>
      </c>
      <c r="CS46">
        <v>0</v>
      </c>
      <c r="CW46" s="58" t="s">
        <v>383</v>
      </c>
      <c r="CX46" s="60" t="s">
        <v>5</v>
      </c>
      <c r="CY46" s="58"/>
      <c r="CZ46" s="58"/>
    </row>
    <row r="47" spans="1:104" x14ac:dyDescent="0.25">
      <c r="A47" s="5" t="s">
        <v>57</v>
      </c>
      <c r="B47" s="27">
        <v>0</v>
      </c>
      <c r="C47" s="17"/>
      <c r="D47" s="17"/>
      <c r="F47" s="17" t="s">
        <v>384</v>
      </c>
      <c r="G47" s="17" t="s">
        <v>39</v>
      </c>
      <c r="H47" s="17" t="s">
        <v>385</v>
      </c>
      <c r="I47" s="17" t="s">
        <v>386</v>
      </c>
      <c r="K47" s="5" t="s">
        <v>75</v>
      </c>
      <c r="L47">
        <v>0</v>
      </c>
      <c r="M47" s="30" t="s">
        <v>390</v>
      </c>
      <c r="N47" s="17">
        <f>VAR(L44:L59)</f>
        <v>0.65</v>
      </c>
      <c r="P47" s="17" t="s">
        <v>384</v>
      </c>
      <c r="Q47" s="17" t="s">
        <v>39</v>
      </c>
      <c r="R47" s="17" t="s">
        <v>385</v>
      </c>
      <c r="S47" s="17" t="s">
        <v>386</v>
      </c>
      <c r="U47" s="5" t="s">
        <v>103</v>
      </c>
      <c r="V47">
        <v>1</v>
      </c>
      <c r="W47" s="17"/>
      <c r="X47" s="17"/>
      <c r="Z47" s="58" t="s">
        <v>384</v>
      </c>
      <c r="AA47" s="58" t="s">
        <v>39</v>
      </c>
      <c r="AB47" s="58" t="s">
        <v>385</v>
      </c>
      <c r="AC47" s="58" t="s">
        <v>386</v>
      </c>
      <c r="AE47" s="5" t="s">
        <v>134</v>
      </c>
      <c r="AF47">
        <v>0</v>
      </c>
      <c r="AG47" s="30" t="s">
        <v>392</v>
      </c>
      <c r="AH47" s="17">
        <f>STDEV(AF42:AF56)</f>
        <v>0.2581988897471611</v>
      </c>
      <c r="AJ47" s="17" t="s">
        <v>384</v>
      </c>
      <c r="AK47" s="17" t="s">
        <v>39</v>
      </c>
      <c r="AL47" s="17" t="s">
        <v>385</v>
      </c>
      <c r="AM47" s="17" t="s">
        <v>386</v>
      </c>
      <c r="AO47" s="5" t="s">
        <v>163</v>
      </c>
      <c r="AP47">
        <v>1</v>
      </c>
      <c r="AQ47" s="17"/>
      <c r="AR47" s="17"/>
      <c r="AT47" s="17" t="s">
        <v>384</v>
      </c>
      <c r="AU47" s="17" t="s">
        <v>39</v>
      </c>
      <c r="AV47" s="17" t="s">
        <v>385</v>
      </c>
      <c r="AW47" s="17" t="s">
        <v>386</v>
      </c>
      <c r="AY47" s="5" t="s">
        <v>200</v>
      </c>
      <c r="AZ47">
        <v>0</v>
      </c>
      <c r="BA47" s="17"/>
      <c r="BB47" s="17"/>
      <c r="BD47" s="5" t="s">
        <v>157</v>
      </c>
      <c r="BE47">
        <v>0</v>
      </c>
      <c r="BF47" s="17"/>
      <c r="BG47" s="17"/>
      <c r="BI47" s="5" t="s">
        <v>253</v>
      </c>
      <c r="BJ47">
        <v>0</v>
      </c>
      <c r="BK47" s="17"/>
      <c r="BL47" s="17"/>
      <c r="BN47" s="5" t="s">
        <v>277</v>
      </c>
      <c r="BO47">
        <v>0</v>
      </c>
      <c r="BP47" s="30" t="s">
        <v>390</v>
      </c>
      <c r="BQ47" s="17">
        <f>VAR(BO44:BO59)</f>
        <v>3.8</v>
      </c>
      <c r="BS47" s="5" t="s">
        <v>294</v>
      </c>
      <c r="BT47">
        <v>0</v>
      </c>
      <c r="BU47" s="30" t="s">
        <v>391</v>
      </c>
      <c r="BV47" s="17">
        <f>AVERAGE(BT43:BT51)</f>
        <v>0.33333333333333331</v>
      </c>
      <c r="BX47" s="61" t="s">
        <v>288</v>
      </c>
      <c r="BY47" s="62">
        <v>1</v>
      </c>
      <c r="BZ47" s="58"/>
      <c r="CA47" s="58"/>
      <c r="CC47" s="5" t="s">
        <v>314</v>
      </c>
      <c r="CD47">
        <v>0</v>
      </c>
      <c r="CH47" s="17" t="s">
        <v>384</v>
      </c>
      <c r="CI47" s="17" t="s">
        <v>39</v>
      </c>
      <c r="CJ47" s="17" t="s">
        <v>385</v>
      </c>
      <c r="CK47" s="17" t="s">
        <v>386</v>
      </c>
      <c r="CO47" s="17"/>
      <c r="CP47" s="17"/>
      <c r="CR47" s="5" t="s">
        <v>343</v>
      </c>
      <c r="CS47">
        <v>0</v>
      </c>
      <c r="CW47" s="58" t="s">
        <v>384</v>
      </c>
      <c r="CX47" s="58" t="s">
        <v>39</v>
      </c>
      <c r="CY47" s="58" t="s">
        <v>385</v>
      </c>
      <c r="CZ47" s="58" t="s">
        <v>386</v>
      </c>
    </row>
    <row r="48" spans="1:104" x14ac:dyDescent="0.25">
      <c r="A48" s="5" t="s">
        <v>58</v>
      </c>
      <c r="B48" s="27">
        <v>0</v>
      </c>
      <c r="C48" s="15"/>
      <c r="D48" s="15"/>
      <c r="F48" s="5" t="s">
        <v>65</v>
      </c>
      <c r="G48">
        <v>2</v>
      </c>
      <c r="H48" s="30" t="s">
        <v>387</v>
      </c>
      <c r="I48" s="17">
        <f>SUM(G48:G54)</f>
        <v>2</v>
      </c>
      <c r="K48" s="5" t="s">
        <v>76</v>
      </c>
      <c r="L48">
        <v>2</v>
      </c>
      <c r="M48" s="30" t="s">
        <v>391</v>
      </c>
      <c r="N48" s="17">
        <f>AVERAGE(L44:L59)</f>
        <v>0.625</v>
      </c>
      <c r="P48" s="5" t="s">
        <v>88</v>
      </c>
      <c r="Q48">
        <v>0</v>
      </c>
      <c r="R48" s="30" t="s">
        <v>387</v>
      </c>
      <c r="S48" s="17">
        <f>SUM(Q48:Q54)</f>
        <v>6</v>
      </c>
      <c r="U48" s="5" t="s">
        <v>104</v>
      </c>
      <c r="V48">
        <v>1</v>
      </c>
      <c r="W48" s="17"/>
      <c r="X48" s="17"/>
      <c r="Z48" s="61" t="s">
        <v>88</v>
      </c>
      <c r="AA48" s="62">
        <v>0</v>
      </c>
      <c r="AB48" s="63" t="s">
        <v>387</v>
      </c>
      <c r="AC48" s="58">
        <f>SUM(AA48:AA87)</f>
        <v>13</v>
      </c>
      <c r="AE48" s="5" t="s">
        <v>135</v>
      </c>
      <c r="AF48">
        <v>0</v>
      </c>
      <c r="AG48" s="17"/>
      <c r="AH48" s="17"/>
      <c r="AJ48" s="5" t="s">
        <v>143</v>
      </c>
      <c r="AK48">
        <v>0</v>
      </c>
      <c r="AL48" s="30" t="s">
        <v>387</v>
      </c>
      <c r="AM48" s="17">
        <f>SUM(AK48:AK54)</f>
        <v>1</v>
      </c>
      <c r="AO48" s="5" t="s">
        <v>164</v>
      </c>
      <c r="AP48">
        <v>1</v>
      </c>
      <c r="AQ48" s="17"/>
      <c r="AR48" s="17"/>
      <c r="AT48" s="5" t="s">
        <v>175</v>
      </c>
      <c r="AU48">
        <v>0</v>
      </c>
      <c r="AV48" s="30" t="s">
        <v>387</v>
      </c>
      <c r="AW48" s="17">
        <f>SUM(AU48:AU65)</f>
        <v>7</v>
      </c>
      <c r="AY48" s="5" t="s">
        <v>201</v>
      </c>
      <c r="AZ48">
        <v>0</v>
      </c>
      <c r="BA48" s="17"/>
      <c r="BB48" s="17"/>
      <c r="BD48" s="5" t="s">
        <v>235</v>
      </c>
      <c r="BE48">
        <v>1</v>
      </c>
      <c r="BF48" s="17"/>
      <c r="BG48" s="17"/>
      <c r="BI48" s="5" t="s">
        <v>254</v>
      </c>
      <c r="BJ48">
        <v>0</v>
      </c>
      <c r="BK48" s="17"/>
      <c r="BL48" s="17"/>
      <c r="BN48" s="5" t="s">
        <v>279</v>
      </c>
      <c r="BO48">
        <v>4</v>
      </c>
      <c r="BP48" s="30" t="s">
        <v>391</v>
      </c>
      <c r="BQ48" s="17">
        <f>AVERAGE(BO44:BO59)</f>
        <v>1.75</v>
      </c>
      <c r="BS48" s="5" t="s">
        <v>295</v>
      </c>
      <c r="BT48">
        <v>0</v>
      </c>
      <c r="BU48" s="30" t="s">
        <v>392</v>
      </c>
      <c r="BV48" s="17">
        <f>STDEV(BT43:BT51)</f>
        <v>0.70710678118654757</v>
      </c>
      <c r="BX48" s="61" t="s">
        <v>289</v>
      </c>
      <c r="BY48" s="62">
        <v>0</v>
      </c>
      <c r="BZ48" s="58"/>
      <c r="CA48" s="58"/>
      <c r="CC48" s="5" t="s">
        <v>315</v>
      </c>
      <c r="CD48">
        <v>0</v>
      </c>
      <c r="CH48" s="5" t="s">
        <v>321</v>
      </c>
      <c r="CI48">
        <v>0</v>
      </c>
      <c r="CJ48" s="30" t="s">
        <v>387</v>
      </c>
      <c r="CK48" s="17">
        <f>SUM(CI48:CI54)</f>
        <v>1</v>
      </c>
      <c r="CO48" s="17"/>
      <c r="CP48" s="17"/>
      <c r="CR48" s="5" t="s">
        <v>344</v>
      </c>
      <c r="CS48">
        <v>0</v>
      </c>
      <c r="CW48" s="61" t="s">
        <v>321</v>
      </c>
      <c r="CX48" s="62">
        <v>0</v>
      </c>
      <c r="CY48" s="63" t="s">
        <v>387</v>
      </c>
      <c r="CZ48" s="58">
        <f>SUM(CX48:CX87)</f>
        <v>6</v>
      </c>
    </row>
    <row r="49" spans="1:104" x14ac:dyDescent="0.25">
      <c r="A49" s="5" t="s">
        <v>60</v>
      </c>
      <c r="B49" s="27">
        <v>0</v>
      </c>
      <c r="C49" s="17"/>
      <c r="D49" s="17"/>
      <c r="F49" s="5" t="s">
        <v>66</v>
      </c>
      <c r="G49">
        <v>0</v>
      </c>
      <c r="H49" s="30" t="s">
        <v>388</v>
      </c>
      <c r="I49" s="17">
        <f>MIN(G48:G54)</f>
        <v>0</v>
      </c>
      <c r="K49" s="5" t="s">
        <v>77</v>
      </c>
      <c r="L49">
        <v>0</v>
      </c>
      <c r="M49" s="30" t="s">
        <v>392</v>
      </c>
      <c r="N49" s="17">
        <f>STDEV(L44:L59)</f>
        <v>0.80622577482985502</v>
      </c>
      <c r="P49" s="5" t="s">
        <v>89</v>
      </c>
      <c r="Q49">
        <v>1</v>
      </c>
      <c r="R49" s="30" t="s">
        <v>388</v>
      </c>
      <c r="S49" s="17">
        <f>MIN(Q48:Q54)</f>
        <v>0</v>
      </c>
      <c r="U49" s="5" t="s">
        <v>105</v>
      </c>
      <c r="V49">
        <v>0</v>
      </c>
      <c r="W49" s="17"/>
      <c r="X49" s="17"/>
      <c r="Z49" s="61" t="s">
        <v>89</v>
      </c>
      <c r="AA49" s="62">
        <v>0</v>
      </c>
      <c r="AB49" s="63" t="s">
        <v>388</v>
      </c>
      <c r="AC49" s="58">
        <f>MIN(AA48:AA87)</f>
        <v>0</v>
      </c>
      <c r="AE49" s="5" t="s">
        <v>136</v>
      </c>
      <c r="AF49">
        <v>0</v>
      </c>
      <c r="AG49" s="17"/>
      <c r="AH49" s="17"/>
      <c r="AJ49" s="5" t="s">
        <v>67</v>
      </c>
      <c r="AK49">
        <v>0</v>
      </c>
      <c r="AL49" s="30" t="s">
        <v>388</v>
      </c>
      <c r="AM49" s="17">
        <f>MIN(AK48:AK54)</f>
        <v>0</v>
      </c>
      <c r="AO49" s="5" t="s">
        <v>165</v>
      </c>
      <c r="AP49">
        <v>2</v>
      </c>
      <c r="AQ49" s="17"/>
      <c r="AR49" s="17"/>
      <c r="AT49" s="5" t="s">
        <v>176</v>
      </c>
      <c r="AU49">
        <v>0</v>
      </c>
      <c r="AV49" s="30" t="s">
        <v>388</v>
      </c>
      <c r="AW49" s="17">
        <f>MIN(AU48:AU65)</f>
        <v>0</v>
      </c>
      <c r="AY49" s="5" t="s">
        <v>202</v>
      </c>
      <c r="AZ49">
        <v>0</v>
      </c>
      <c r="BA49" s="17"/>
      <c r="BB49" s="17"/>
      <c r="BD49" s="5" t="s">
        <v>236</v>
      </c>
      <c r="BE49">
        <v>0</v>
      </c>
      <c r="BF49" s="17"/>
      <c r="BG49" s="17"/>
      <c r="BI49" s="5" t="s">
        <v>255</v>
      </c>
      <c r="BJ49">
        <v>0</v>
      </c>
      <c r="BK49" s="17"/>
      <c r="BL49" s="17"/>
      <c r="BN49" s="5" t="s">
        <v>278</v>
      </c>
      <c r="BO49">
        <v>0</v>
      </c>
      <c r="BP49" s="30" t="s">
        <v>392</v>
      </c>
      <c r="BQ49" s="17">
        <f>STDEV(BO44:BO59)</f>
        <v>1.9493588689617927</v>
      </c>
      <c r="BS49" s="5" t="s">
        <v>296</v>
      </c>
      <c r="BT49">
        <v>0</v>
      </c>
      <c r="BU49" s="17"/>
      <c r="BV49" s="17"/>
      <c r="BX49" s="61" t="s">
        <v>290</v>
      </c>
      <c r="BY49" s="62">
        <v>0</v>
      </c>
      <c r="CC49" s="5" t="s">
        <v>316</v>
      </c>
      <c r="CD49">
        <v>0</v>
      </c>
      <c r="CH49" s="5" t="s">
        <v>322</v>
      </c>
      <c r="CI49">
        <v>0</v>
      </c>
      <c r="CJ49" s="30" t="s">
        <v>388</v>
      </c>
      <c r="CK49" s="17">
        <f>MIN(CI48:CI54)</f>
        <v>0</v>
      </c>
      <c r="CO49" s="17"/>
      <c r="CP49" s="17"/>
      <c r="CR49" s="5" t="s">
        <v>345</v>
      </c>
      <c r="CS49">
        <v>0</v>
      </c>
      <c r="CW49" s="61" t="s">
        <v>322</v>
      </c>
      <c r="CX49" s="62">
        <v>1</v>
      </c>
      <c r="CY49" s="63" t="s">
        <v>388</v>
      </c>
      <c r="CZ49" s="58">
        <f>MIN(CX48:CX87)</f>
        <v>0</v>
      </c>
    </row>
    <row r="50" spans="1:104" x14ac:dyDescent="0.25">
      <c r="A50" s="5" t="s">
        <v>61</v>
      </c>
      <c r="B50" s="27">
        <v>0</v>
      </c>
      <c r="C50" s="17"/>
      <c r="D50" s="17"/>
      <c r="F50" s="5" t="s">
        <v>67</v>
      </c>
      <c r="G50">
        <v>0</v>
      </c>
      <c r="H50" s="30" t="s">
        <v>389</v>
      </c>
      <c r="I50" s="17">
        <f>MAX(G48:G54)</f>
        <v>2</v>
      </c>
      <c r="K50" s="5" t="s">
        <v>78</v>
      </c>
      <c r="L50">
        <v>0</v>
      </c>
      <c r="M50" s="17"/>
      <c r="N50" s="17"/>
      <c r="P50" s="5" t="s">
        <v>90</v>
      </c>
      <c r="Q50">
        <v>0</v>
      </c>
      <c r="R50" s="30" t="s">
        <v>389</v>
      </c>
      <c r="S50" s="17">
        <f>MAX(Q48:Q54)</f>
        <v>2</v>
      </c>
      <c r="U50" s="5" t="s">
        <v>106</v>
      </c>
      <c r="V50">
        <v>0</v>
      </c>
      <c r="W50" s="17"/>
      <c r="X50" s="17"/>
      <c r="Z50" s="61" t="s">
        <v>90</v>
      </c>
      <c r="AA50" s="62">
        <v>1</v>
      </c>
      <c r="AB50" s="63" t="s">
        <v>389</v>
      </c>
      <c r="AC50" s="58">
        <f>MAX(AA48:AA87)</f>
        <v>2</v>
      </c>
      <c r="AE50" s="5" t="s">
        <v>44</v>
      </c>
      <c r="AF50">
        <v>1</v>
      </c>
      <c r="AG50" s="17"/>
      <c r="AH50" s="17"/>
      <c r="AJ50" s="5" t="s">
        <v>144</v>
      </c>
      <c r="AK50">
        <v>0</v>
      </c>
      <c r="AL50" s="30" t="s">
        <v>389</v>
      </c>
      <c r="AM50" s="17">
        <f>MAX(AK48:AK54)</f>
        <v>1</v>
      </c>
      <c r="AO50" s="5" t="s">
        <v>166</v>
      </c>
      <c r="AP50">
        <v>0</v>
      </c>
      <c r="AQ50" s="15"/>
      <c r="AR50" s="15"/>
      <c r="AT50" s="5" t="s">
        <v>177</v>
      </c>
      <c r="AU50">
        <v>1</v>
      </c>
      <c r="AV50" s="30" t="s">
        <v>389</v>
      </c>
      <c r="AW50" s="17">
        <f>MAX(AU48:AU65)</f>
        <v>2</v>
      </c>
      <c r="AY50" s="5" t="s">
        <v>203</v>
      </c>
      <c r="AZ50">
        <v>0</v>
      </c>
      <c r="BA50" s="17"/>
      <c r="BB50" s="17"/>
      <c r="BD50" s="5" t="s">
        <v>237</v>
      </c>
      <c r="BE50">
        <v>0</v>
      </c>
      <c r="BF50" s="15"/>
      <c r="BG50" s="15"/>
      <c r="BI50" s="5" t="s">
        <v>256</v>
      </c>
      <c r="BJ50">
        <v>1</v>
      </c>
      <c r="BK50" s="17"/>
      <c r="BL50" s="17"/>
      <c r="BN50" s="5" t="s">
        <v>280</v>
      </c>
      <c r="BO50">
        <v>0</v>
      </c>
      <c r="BP50" s="17"/>
      <c r="BQ50" s="17"/>
      <c r="BS50" s="5" t="s">
        <v>297</v>
      </c>
      <c r="BT50">
        <v>0</v>
      </c>
      <c r="BU50" s="17"/>
      <c r="BV50" s="17"/>
      <c r="BX50" s="61" t="s">
        <v>291</v>
      </c>
      <c r="BY50" s="62">
        <v>0</v>
      </c>
      <c r="CC50" s="5" t="s">
        <v>317</v>
      </c>
      <c r="CD50">
        <v>0</v>
      </c>
      <c r="CH50" s="5" t="s">
        <v>323</v>
      </c>
      <c r="CI50">
        <v>1</v>
      </c>
      <c r="CJ50" s="30" t="s">
        <v>389</v>
      </c>
      <c r="CK50" s="17">
        <f>MAX(CI48:CI54)</f>
        <v>1</v>
      </c>
      <c r="CO50" s="17"/>
      <c r="CP50" s="17"/>
      <c r="CR50" s="5" t="s">
        <v>346</v>
      </c>
      <c r="CS50">
        <v>0</v>
      </c>
      <c r="CW50" s="61" t="s">
        <v>323</v>
      </c>
      <c r="CX50" s="62">
        <v>0</v>
      </c>
      <c r="CY50" s="63" t="s">
        <v>389</v>
      </c>
      <c r="CZ50" s="58">
        <f>MAX(CX48:CX87)</f>
        <v>1</v>
      </c>
    </row>
    <row r="51" spans="1:104" x14ac:dyDescent="0.25">
      <c r="A51" s="5" t="s">
        <v>62</v>
      </c>
      <c r="B51" s="27">
        <v>0</v>
      </c>
      <c r="C51" s="17"/>
      <c r="D51" s="1"/>
      <c r="F51" s="5" t="s">
        <v>68</v>
      </c>
      <c r="G51">
        <v>0</v>
      </c>
      <c r="H51" s="30" t="s">
        <v>390</v>
      </c>
      <c r="I51" s="17">
        <f>VAR(G48:G54)</f>
        <v>0.57142857142857151</v>
      </c>
      <c r="K51" s="5" t="s">
        <v>79</v>
      </c>
      <c r="L51">
        <v>2</v>
      </c>
      <c r="M51" s="17"/>
      <c r="N51" s="17"/>
      <c r="P51" s="5" t="s">
        <v>91</v>
      </c>
      <c r="Q51">
        <v>2</v>
      </c>
      <c r="R51" s="30" t="s">
        <v>390</v>
      </c>
      <c r="S51" s="17">
        <f>VAR(Q48:Q54)</f>
        <v>0.80952380952380942</v>
      </c>
      <c r="U51" s="5" t="s">
        <v>61</v>
      </c>
      <c r="V51">
        <v>0</v>
      </c>
      <c r="W51" s="17"/>
      <c r="X51" s="17"/>
      <c r="Z51" s="61" t="s">
        <v>91</v>
      </c>
      <c r="AA51" s="62">
        <v>0</v>
      </c>
      <c r="AB51" s="63" t="s">
        <v>390</v>
      </c>
      <c r="AC51" s="58">
        <f>VAR(AA48:AA87)</f>
        <v>0.32756410256410257</v>
      </c>
      <c r="AE51" s="5" t="s">
        <v>137</v>
      </c>
      <c r="AF51">
        <v>0</v>
      </c>
      <c r="AG51" s="17"/>
      <c r="AH51" s="17"/>
      <c r="AJ51" s="5" t="s">
        <v>145</v>
      </c>
      <c r="AK51">
        <v>0</v>
      </c>
      <c r="AL51" s="30" t="s">
        <v>390</v>
      </c>
      <c r="AM51" s="17">
        <f>VAR(AK48:AK54)</f>
        <v>0.14285714285714288</v>
      </c>
      <c r="AO51" s="5" t="s">
        <v>168</v>
      </c>
      <c r="AP51">
        <v>0</v>
      </c>
      <c r="AQ51" s="17"/>
      <c r="AR51" s="17"/>
      <c r="AT51" s="5" t="s">
        <v>178</v>
      </c>
      <c r="AU51">
        <v>0</v>
      </c>
      <c r="AV51" s="30" t="s">
        <v>390</v>
      </c>
      <c r="AW51" s="17">
        <f>VAR(AU48:AU65)</f>
        <v>0.36928104575163401</v>
      </c>
      <c r="AY51" s="5" t="s">
        <v>204</v>
      </c>
      <c r="AZ51">
        <v>0</v>
      </c>
      <c r="BA51" s="17"/>
      <c r="BB51" s="17"/>
      <c r="BD51" s="5" t="s">
        <v>238</v>
      </c>
      <c r="BE51">
        <v>0</v>
      </c>
      <c r="BI51" s="5" t="s">
        <v>257</v>
      </c>
      <c r="BJ51">
        <v>1</v>
      </c>
      <c r="BK51" s="17"/>
      <c r="BL51" s="17"/>
      <c r="BN51" s="5" t="s">
        <v>281</v>
      </c>
      <c r="BO51">
        <v>1</v>
      </c>
      <c r="BP51" s="17"/>
      <c r="BQ51" s="17"/>
      <c r="BS51" s="5" t="s">
        <v>298</v>
      </c>
      <c r="BT51">
        <v>2</v>
      </c>
      <c r="BU51" s="17"/>
      <c r="BV51" s="17"/>
      <c r="BX51" s="61" t="s">
        <v>292</v>
      </c>
      <c r="BY51" s="62">
        <v>1</v>
      </c>
      <c r="CC51" s="5" t="s">
        <v>318</v>
      </c>
      <c r="CD51">
        <v>0</v>
      </c>
      <c r="CH51" s="5" t="s">
        <v>324</v>
      </c>
      <c r="CI51">
        <v>0</v>
      </c>
      <c r="CJ51" s="30" t="s">
        <v>390</v>
      </c>
      <c r="CK51" s="17">
        <f>VAR(CI48:CI54)</f>
        <v>0.14285714285714288</v>
      </c>
      <c r="CO51" s="17"/>
      <c r="CP51" s="17"/>
      <c r="CR51" s="5" t="s">
        <v>347</v>
      </c>
      <c r="CS51">
        <v>0</v>
      </c>
      <c r="CW51" s="61" t="s">
        <v>324</v>
      </c>
      <c r="CX51" s="62">
        <v>0</v>
      </c>
      <c r="CY51" s="63" t="s">
        <v>390</v>
      </c>
      <c r="CZ51" s="58">
        <f>VAR(CX48:CX87)</f>
        <v>0.13076923076923075</v>
      </c>
    </row>
    <row r="52" spans="1:104" x14ac:dyDescent="0.25">
      <c r="A52" s="5" t="s">
        <v>63</v>
      </c>
      <c r="B52" s="27">
        <v>0</v>
      </c>
      <c r="C52" s="17"/>
      <c r="D52" s="1"/>
      <c r="F52" s="5" t="s">
        <v>69</v>
      </c>
      <c r="G52">
        <v>0</v>
      </c>
      <c r="H52" s="30" t="s">
        <v>391</v>
      </c>
      <c r="I52" s="17">
        <f>AVERAGE(G48:G54)</f>
        <v>0.2857142857142857</v>
      </c>
      <c r="K52" s="5" t="s">
        <v>80</v>
      </c>
      <c r="L52">
        <v>0</v>
      </c>
      <c r="M52" s="17"/>
      <c r="N52" s="17"/>
      <c r="P52" s="5" t="s">
        <v>92</v>
      </c>
      <c r="Q52">
        <v>0</v>
      </c>
      <c r="R52" s="30" t="s">
        <v>391</v>
      </c>
      <c r="S52" s="17">
        <f>AVERAGE(Q48:Q54)</f>
        <v>0.8571428571428571</v>
      </c>
      <c r="U52" s="5" t="s">
        <v>107</v>
      </c>
      <c r="V52">
        <v>1</v>
      </c>
      <c r="W52" s="17"/>
      <c r="X52" s="17"/>
      <c r="Z52" s="61" t="s">
        <v>92</v>
      </c>
      <c r="AA52" s="62">
        <v>0</v>
      </c>
      <c r="AB52" s="63" t="s">
        <v>391</v>
      </c>
      <c r="AC52" s="58">
        <f>AVERAGE(AA48:AA87)</f>
        <v>0.32500000000000001</v>
      </c>
      <c r="AE52" s="5" t="s">
        <v>138</v>
      </c>
      <c r="AF52">
        <v>0</v>
      </c>
      <c r="AG52" s="17"/>
      <c r="AH52" s="17"/>
      <c r="AJ52" s="5" t="s">
        <v>146</v>
      </c>
      <c r="AK52">
        <v>0</v>
      </c>
      <c r="AL52" s="30" t="s">
        <v>391</v>
      </c>
      <c r="AM52" s="17">
        <f>AVERAGE(AK48:AK54)</f>
        <v>0.14285714285714285</v>
      </c>
      <c r="AO52" s="5" t="s">
        <v>169</v>
      </c>
      <c r="AP52">
        <v>1</v>
      </c>
      <c r="AQ52" s="17"/>
      <c r="AR52" s="17"/>
      <c r="AT52" s="5" t="s">
        <v>179</v>
      </c>
      <c r="AU52">
        <v>0</v>
      </c>
      <c r="AV52" s="30" t="s">
        <v>391</v>
      </c>
      <c r="AW52" s="17">
        <f>AVERAGE(AU48:AU65)</f>
        <v>0.3888888888888889</v>
      </c>
      <c r="AY52" s="5" t="s">
        <v>205</v>
      </c>
      <c r="AZ52">
        <v>0</v>
      </c>
      <c r="BA52" s="17"/>
      <c r="BB52" s="17"/>
      <c r="BD52" s="5" t="s">
        <v>239</v>
      </c>
      <c r="BE52">
        <v>0</v>
      </c>
      <c r="BI52" s="5" t="s">
        <v>258</v>
      </c>
      <c r="BJ52">
        <v>1</v>
      </c>
      <c r="BK52" s="17"/>
      <c r="BL52" s="17"/>
      <c r="BN52" s="5" t="s">
        <v>282</v>
      </c>
      <c r="BO52">
        <v>1</v>
      </c>
      <c r="BP52" s="17"/>
      <c r="BQ52" s="17"/>
      <c r="BX52" s="61" t="s">
        <v>293</v>
      </c>
      <c r="BY52" s="62">
        <v>0</v>
      </c>
      <c r="CC52" s="5" t="s">
        <v>319</v>
      </c>
      <c r="CD52">
        <v>1</v>
      </c>
      <c r="CH52" s="5" t="s">
        <v>325</v>
      </c>
      <c r="CI52">
        <v>0</v>
      </c>
      <c r="CJ52" s="30" t="s">
        <v>391</v>
      </c>
      <c r="CK52" s="17">
        <f>AVERAGE(CI48:CI54)</f>
        <v>0.14285714285714285</v>
      </c>
      <c r="CO52" s="17"/>
      <c r="CP52" s="17"/>
      <c r="CR52" s="5" t="s">
        <v>348</v>
      </c>
      <c r="CS52">
        <v>0</v>
      </c>
      <c r="CW52" s="61" t="s">
        <v>325</v>
      </c>
      <c r="CX52" s="62">
        <v>1</v>
      </c>
      <c r="CY52" s="63" t="s">
        <v>391</v>
      </c>
      <c r="CZ52" s="58">
        <f>AVERAGE(CX48:CX87)</f>
        <v>0.15</v>
      </c>
    </row>
    <row r="53" spans="1:104" x14ac:dyDescent="0.25">
      <c r="A53" s="5" t="s">
        <v>64</v>
      </c>
      <c r="B53" s="27">
        <v>0</v>
      </c>
      <c r="C53" s="17"/>
      <c r="D53" s="1"/>
      <c r="F53" s="5" t="s">
        <v>70</v>
      </c>
      <c r="G53">
        <v>0</v>
      </c>
      <c r="H53" s="30" t="s">
        <v>392</v>
      </c>
      <c r="I53" s="17">
        <f>STDEV(G48:G54)</f>
        <v>0.75592894601845451</v>
      </c>
      <c r="K53" s="5" t="s">
        <v>81</v>
      </c>
      <c r="L53">
        <v>1</v>
      </c>
      <c r="M53" s="17"/>
      <c r="N53" s="17"/>
      <c r="P53" s="5" t="s">
        <v>93</v>
      </c>
      <c r="Q53">
        <v>2</v>
      </c>
      <c r="R53" s="30" t="s">
        <v>392</v>
      </c>
      <c r="S53" s="17">
        <f>STDEV(Q48:Q54)</f>
        <v>0.89973541084243724</v>
      </c>
      <c r="U53" s="5" t="s">
        <v>108</v>
      </c>
      <c r="V53">
        <v>1</v>
      </c>
      <c r="W53" s="17"/>
      <c r="X53" s="17"/>
      <c r="Z53" s="61" t="s">
        <v>93</v>
      </c>
      <c r="AA53" s="62">
        <v>1</v>
      </c>
      <c r="AB53" s="63" t="s">
        <v>392</v>
      </c>
      <c r="AC53" s="58">
        <f>STDEV(AA48:AA87)</f>
        <v>0.57233216104295814</v>
      </c>
      <c r="AE53" s="5" t="s">
        <v>139</v>
      </c>
      <c r="AF53">
        <v>0</v>
      </c>
      <c r="AG53" s="17"/>
      <c r="AH53" s="17"/>
      <c r="AJ53" s="5" t="s">
        <v>147</v>
      </c>
      <c r="AK53">
        <v>0</v>
      </c>
      <c r="AL53" s="30" t="s">
        <v>392</v>
      </c>
      <c r="AM53" s="17">
        <f>STDEV(AK48:AK54)</f>
        <v>0.37796447300922725</v>
      </c>
      <c r="AO53" s="5" t="s">
        <v>170</v>
      </c>
      <c r="AP53">
        <v>1</v>
      </c>
      <c r="AQ53" s="17"/>
      <c r="AR53" s="1"/>
      <c r="AT53" s="5" t="s">
        <v>180</v>
      </c>
      <c r="AU53">
        <v>0</v>
      </c>
      <c r="AV53" s="30" t="s">
        <v>392</v>
      </c>
      <c r="AW53" s="17">
        <f>STDEV(AU48:AU65)</f>
        <v>0.60768498891418565</v>
      </c>
      <c r="AY53" s="5" t="s">
        <v>206</v>
      </c>
      <c r="AZ53">
        <v>0</v>
      </c>
      <c r="BA53" s="17"/>
      <c r="BB53" s="17"/>
      <c r="BD53" s="5" t="s">
        <v>240</v>
      </c>
      <c r="BE53">
        <v>1</v>
      </c>
      <c r="BI53" s="5" t="s">
        <v>259</v>
      </c>
      <c r="BJ53">
        <v>0</v>
      </c>
      <c r="BK53" s="17"/>
      <c r="BL53" s="17"/>
      <c r="BN53" s="5" t="s">
        <v>283</v>
      </c>
      <c r="BO53">
        <v>2</v>
      </c>
      <c r="BP53" s="17"/>
      <c r="BQ53" s="17"/>
      <c r="BS53" s="17" t="s">
        <v>382</v>
      </c>
      <c r="BT53" s="29" t="s">
        <v>441</v>
      </c>
      <c r="BU53" s="17"/>
      <c r="BV53" s="17">
        <v>2016</v>
      </c>
      <c r="BX53" s="61" t="s">
        <v>294</v>
      </c>
      <c r="BY53" s="62">
        <v>0</v>
      </c>
      <c r="CC53" s="5" t="s">
        <v>320</v>
      </c>
      <c r="CD53">
        <v>1</v>
      </c>
      <c r="CH53" s="5" t="s">
        <v>326</v>
      </c>
      <c r="CI53">
        <v>0</v>
      </c>
      <c r="CJ53" s="30" t="s">
        <v>392</v>
      </c>
      <c r="CK53" s="17">
        <f>STDEV(CI48:CI54)</f>
        <v>0.37796447300922725</v>
      </c>
      <c r="CO53" s="17"/>
      <c r="CP53" s="17"/>
      <c r="CR53" s="5" t="s">
        <v>349</v>
      </c>
      <c r="CS53">
        <v>0</v>
      </c>
      <c r="CW53" s="61" t="s">
        <v>326</v>
      </c>
      <c r="CX53" s="62">
        <v>0</v>
      </c>
      <c r="CY53" s="63" t="s">
        <v>392</v>
      </c>
      <c r="CZ53" s="58">
        <f>STDEV(CX48:CX87)</f>
        <v>0.36162028533978946</v>
      </c>
    </row>
    <row r="54" spans="1:104" x14ac:dyDescent="0.25">
      <c r="A54" s="5"/>
      <c r="C54" s="17"/>
      <c r="D54" s="1"/>
      <c r="F54" s="5" t="s">
        <v>71</v>
      </c>
      <c r="G54">
        <v>0</v>
      </c>
      <c r="H54" s="17"/>
      <c r="I54" s="17"/>
      <c r="K54" s="5" t="s">
        <v>82</v>
      </c>
      <c r="L54">
        <v>2</v>
      </c>
      <c r="M54" s="17"/>
      <c r="N54" s="17"/>
      <c r="P54" s="5" t="s">
        <v>94</v>
      </c>
      <c r="Q54">
        <v>1</v>
      </c>
      <c r="R54" s="17"/>
      <c r="S54" s="17"/>
      <c r="U54" s="5" t="s">
        <v>109</v>
      </c>
      <c r="V54">
        <v>0</v>
      </c>
      <c r="W54" s="17"/>
      <c r="X54" s="17"/>
      <c r="Z54" s="61" t="s">
        <v>94</v>
      </c>
      <c r="AA54" s="62">
        <v>0</v>
      </c>
      <c r="AB54" s="58"/>
      <c r="AC54" s="58"/>
      <c r="AE54" s="5" t="s">
        <v>140</v>
      </c>
      <c r="AF54">
        <v>0</v>
      </c>
      <c r="AG54" s="17"/>
      <c r="AH54" s="17"/>
      <c r="AJ54" s="5" t="s">
        <v>148</v>
      </c>
      <c r="AK54">
        <v>1</v>
      </c>
      <c r="AL54" s="17"/>
      <c r="AM54" s="17"/>
      <c r="AO54" s="5" t="s">
        <v>171</v>
      </c>
      <c r="AP54">
        <v>3</v>
      </c>
      <c r="AQ54" s="17"/>
      <c r="AR54" s="1"/>
      <c r="AT54" s="5" t="s">
        <v>181</v>
      </c>
      <c r="AU54">
        <v>0</v>
      </c>
      <c r="AV54" s="17"/>
      <c r="AW54" s="17"/>
      <c r="AY54" s="5" t="s">
        <v>207</v>
      </c>
      <c r="AZ54">
        <v>0</v>
      </c>
      <c r="BA54" s="17"/>
      <c r="BB54" s="17"/>
      <c r="BD54" s="5" t="s">
        <v>241</v>
      </c>
      <c r="BE54">
        <v>0</v>
      </c>
      <c r="BI54" s="5" t="s">
        <v>260</v>
      </c>
      <c r="BJ54">
        <v>0</v>
      </c>
      <c r="BK54" s="17"/>
      <c r="BL54" s="17"/>
      <c r="BN54" s="5" t="s">
        <v>285</v>
      </c>
      <c r="BO54">
        <v>0</v>
      </c>
      <c r="BP54" s="17"/>
      <c r="BQ54" s="17"/>
      <c r="BS54" s="17" t="s">
        <v>383</v>
      </c>
      <c r="BT54" s="6" t="s">
        <v>19</v>
      </c>
      <c r="BU54" s="17"/>
      <c r="BV54" s="17"/>
      <c r="BX54" s="61" t="s">
        <v>295</v>
      </c>
      <c r="BY54" s="62">
        <v>0</v>
      </c>
      <c r="CH54" s="5" t="s">
        <v>327</v>
      </c>
      <c r="CI54">
        <v>0</v>
      </c>
      <c r="CJ54" s="17"/>
      <c r="CK54" s="17"/>
      <c r="CO54" s="17"/>
      <c r="CP54" s="17"/>
      <c r="CR54" s="5" t="s">
        <v>350</v>
      </c>
      <c r="CS54">
        <v>0</v>
      </c>
      <c r="CW54" s="61" t="s">
        <v>327</v>
      </c>
      <c r="CX54" s="62">
        <v>0</v>
      </c>
      <c r="CY54" s="58"/>
      <c r="CZ54" s="58"/>
    </row>
    <row r="55" spans="1:104" x14ac:dyDescent="0.25">
      <c r="A55" s="17" t="s">
        <v>382</v>
      </c>
      <c r="B55" s="29" t="s">
        <v>361</v>
      </c>
      <c r="C55" s="17"/>
      <c r="D55" s="17">
        <v>2016</v>
      </c>
      <c r="F55" s="5"/>
      <c r="H55" s="17"/>
      <c r="I55" s="1"/>
      <c r="K55" s="5" t="s">
        <v>83</v>
      </c>
      <c r="L55">
        <v>0</v>
      </c>
      <c r="M55" s="17"/>
      <c r="N55" s="17"/>
      <c r="U55" s="5" t="s">
        <v>110</v>
      </c>
      <c r="V55">
        <v>0</v>
      </c>
      <c r="W55" s="17"/>
      <c r="X55" s="17"/>
      <c r="Z55" s="61" t="s">
        <v>96</v>
      </c>
      <c r="AA55" s="62">
        <v>0</v>
      </c>
      <c r="AE55" s="5" t="s">
        <v>141</v>
      </c>
      <c r="AF55">
        <v>0</v>
      </c>
      <c r="AG55" s="17"/>
      <c r="AH55" s="17"/>
      <c r="AO55" s="5" t="s">
        <v>172</v>
      </c>
      <c r="AP55">
        <v>2</v>
      </c>
      <c r="AQ55" s="17"/>
      <c r="AR55" s="1"/>
      <c r="AT55" s="5" t="s">
        <v>182</v>
      </c>
      <c r="AU55">
        <v>0</v>
      </c>
      <c r="AV55" s="17"/>
      <c r="AW55" s="17"/>
      <c r="AY55" s="5" t="s">
        <v>208</v>
      </c>
      <c r="AZ55">
        <v>0</v>
      </c>
      <c r="BA55" s="15"/>
      <c r="BB55" s="15"/>
      <c r="BD55" s="5" t="s">
        <v>242</v>
      </c>
      <c r="BE55">
        <v>0</v>
      </c>
      <c r="BI55" s="5" t="s">
        <v>261</v>
      </c>
      <c r="BJ55">
        <v>0</v>
      </c>
      <c r="BK55" s="15"/>
      <c r="BL55" s="15"/>
      <c r="BN55" s="5" t="s">
        <v>284</v>
      </c>
      <c r="BO55">
        <v>6</v>
      </c>
      <c r="BP55" s="17"/>
      <c r="BQ55" s="17"/>
      <c r="BS55" s="17" t="s">
        <v>384</v>
      </c>
      <c r="BT55" s="17" t="s">
        <v>39</v>
      </c>
      <c r="BU55" s="17" t="s">
        <v>385</v>
      </c>
      <c r="BV55" s="17" t="s">
        <v>386</v>
      </c>
      <c r="BX55" s="61" t="s">
        <v>296</v>
      </c>
      <c r="BY55" s="62">
        <v>0</v>
      </c>
      <c r="CC55" s="17" t="s">
        <v>382</v>
      </c>
      <c r="CD55" s="29" t="s">
        <v>375</v>
      </c>
      <c r="CE55" s="17"/>
      <c r="CF55" s="17">
        <v>2016</v>
      </c>
      <c r="CO55" s="17"/>
      <c r="CP55" s="17"/>
      <c r="CR55" s="5" t="s">
        <v>351</v>
      </c>
      <c r="CS55">
        <v>1</v>
      </c>
      <c r="CW55" s="61" t="s">
        <v>328</v>
      </c>
      <c r="CX55" s="62">
        <v>0</v>
      </c>
    </row>
    <row r="56" spans="1:104" x14ac:dyDescent="0.25">
      <c r="A56" s="17" t="s">
        <v>383</v>
      </c>
      <c r="B56" s="6" t="s">
        <v>6</v>
      </c>
      <c r="C56" s="17"/>
      <c r="D56" s="17"/>
      <c r="F56" s="17" t="s">
        <v>382</v>
      </c>
      <c r="G56" s="29" t="s">
        <v>362</v>
      </c>
      <c r="H56" s="17"/>
      <c r="I56" s="17">
        <v>2016</v>
      </c>
      <c r="K56" s="5" t="s">
        <v>84</v>
      </c>
      <c r="L56">
        <v>0</v>
      </c>
      <c r="M56" s="17"/>
      <c r="N56" s="17"/>
      <c r="P56" s="17" t="s">
        <v>382</v>
      </c>
      <c r="Q56" s="29" t="s">
        <v>401</v>
      </c>
      <c r="R56" s="17"/>
      <c r="S56" s="17">
        <v>2016</v>
      </c>
      <c r="U56" s="5" t="s">
        <v>111</v>
      </c>
      <c r="V56">
        <v>0</v>
      </c>
      <c r="W56" s="17"/>
      <c r="X56" s="17"/>
      <c r="Z56" s="61" t="s">
        <v>97</v>
      </c>
      <c r="AA56" s="62">
        <v>0</v>
      </c>
      <c r="AE56" s="5" t="s">
        <v>142</v>
      </c>
      <c r="AF56">
        <v>0</v>
      </c>
      <c r="AG56" s="17"/>
      <c r="AH56" s="17"/>
      <c r="AJ56" s="17" t="s">
        <v>382</v>
      </c>
      <c r="AK56" s="29" t="s">
        <v>367</v>
      </c>
      <c r="AL56" s="17"/>
      <c r="AM56" s="17">
        <v>2016</v>
      </c>
      <c r="AO56" s="5" t="s">
        <v>173</v>
      </c>
      <c r="AP56">
        <v>1</v>
      </c>
      <c r="AT56" s="5" t="s">
        <v>183</v>
      </c>
      <c r="AU56">
        <v>0</v>
      </c>
      <c r="AV56" s="17"/>
      <c r="AW56" s="17"/>
      <c r="AY56" s="5" t="s">
        <v>209</v>
      </c>
      <c r="AZ56">
        <v>0</v>
      </c>
      <c r="BD56" s="5" t="s">
        <v>243</v>
      </c>
      <c r="BE56">
        <v>1</v>
      </c>
      <c r="BI56" s="5" t="s">
        <v>262</v>
      </c>
      <c r="BJ56">
        <v>0</v>
      </c>
      <c r="BN56" s="5" t="s">
        <v>286</v>
      </c>
      <c r="BO56">
        <v>1</v>
      </c>
      <c r="BP56" s="17"/>
      <c r="BQ56" s="17"/>
      <c r="BS56" s="5" t="s">
        <v>290</v>
      </c>
      <c r="BT56">
        <v>4</v>
      </c>
      <c r="BU56" s="30" t="s">
        <v>387</v>
      </c>
      <c r="BV56" s="17">
        <f>SUM(BT56:BT64)</f>
        <v>26</v>
      </c>
      <c r="BX56" s="61" t="s">
        <v>297</v>
      </c>
      <c r="BY56" s="62">
        <v>0</v>
      </c>
      <c r="CC56" s="17" t="s">
        <v>383</v>
      </c>
      <c r="CD56" s="6" t="s">
        <v>6</v>
      </c>
      <c r="CE56" s="17"/>
      <c r="CF56" s="17"/>
      <c r="CH56" s="17" t="s">
        <v>382</v>
      </c>
      <c r="CI56" s="29" t="s">
        <v>443</v>
      </c>
      <c r="CJ56" s="17"/>
      <c r="CK56" s="17">
        <v>2016</v>
      </c>
      <c r="CO56" s="17"/>
      <c r="CP56" s="17"/>
      <c r="CR56" s="5" t="s">
        <v>352</v>
      </c>
      <c r="CS56">
        <v>1</v>
      </c>
      <c r="CW56" s="61" t="s">
        <v>329</v>
      </c>
      <c r="CX56" s="62">
        <v>0</v>
      </c>
    </row>
    <row r="57" spans="1:104" x14ac:dyDescent="0.25">
      <c r="A57" s="17" t="s">
        <v>384</v>
      </c>
      <c r="B57" s="17" t="s">
        <v>39</v>
      </c>
      <c r="C57" s="17" t="s">
        <v>385</v>
      </c>
      <c r="D57" s="17" t="s">
        <v>386</v>
      </c>
      <c r="F57" s="17" t="s">
        <v>383</v>
      </c>
      <c r="G57" s="6" t="s">
        <v>46</v>
      </c>
      <c r="H57" s="17"/>
      <c r="I57" s="17"/>
      <c r="K57" s="5" t="s">
        <v>85</v>
      </c>
      <c r="L57">
        <v>0</v>
      </c>
      <c r="M57" s="17"/>
      <c r="N57" s="17"/>
      <c r="P57" s="17" t="s">
        <v>383</v>
      </c>
      <c r="Q57" s="6" t="s">
        <v>16</v>
      </c>
      <c r="R57" s="17"/>
      <c r="S57" s="17"/>
      <c r="U57" s="5" t="s">
        <v>112</v>
      </c>
      <c r="V57">
        <v>0</v>
      </c>
      <c r="W57" s="17"/>
      <c r="X57" s="17"/>
      <c r="Z57" s="61" t="s">
        <v>98</v>
      </c>
      <c r="AA57" s="62">
        <v>0</v>
      </c>
      <c r="AJ57" s="17" t="s">
        <v>383</v>
      </c>
      <c r="AK57" s="6" t="s">
        <v>102</v>
      </c>
      <c r="AL57" s="17"/>
      <c r="AM57" s="17"/>
      <c r="AO57" s="5" t="s">
        <v>174</v>
      </c>
      <c r="AP57">
        <v>1</v>
      </c>
      <c r="AT57" s="5" t="s">
        <v>184</v>
      </c>
      <c r="AU57">
        <v>1</v>
      </c>
      <c r="AV57" s="17"/>
      <c r="AW57" s="17"/>
      <c r="AY57" s="5" t="s">
        <v>210</v>
      </c>
      <c r="AZ57">
        <v>0</v>
      </c>
      <c r="BD57" s="5" t="s">
        <v>244</v>
      </c>
      <c r="BE57">
        <v>0</v>
      </c>
      <c r="BI57" s="5" t="s">
        <v>263</v>
      </c>
      <c r="BJ57">
        <v>1</v>
      </c>
      <c r="BN57" s="5" t="s">
        <v>287</v>
      </c>
      <c r="BO57">
        <v>1</v>
      </c>
      <c r="BP57" s="17"/>
      <c r="BQ57" s="17"/>
      <c r="BS57" s="5" t="s">
        <v>291</v>
      </c>
      <c r="BT57">
        <v>3</v>
      </c>
      <c r="BU57" s="30" t="s">
        <v>388</v>
      </c>
      <c r="BV57" s="17">
        <f>MIN(BT56:BT64)</f>
        <v>0</v>
      </c>
      <c r="BX57" s="61" t="s">
        <v>298</v>
      </c>
      <c r="BY57" s="62">
        <v>0</v>
      </c>
      <c r="CC57" s="17" t="s">
        <v>384</v>
      </c>
      <c r="CD57" s="17" t="s">
        <v>39</v>
      </c>
      <c r="CE57" s="17" t="s">
        <v>385</v>
      </c>
      <c r="CF57" s="17" t="s">
        <v>386</v>
      </c>
      <c r="CH57" s="17" t="s">
        <v>383</v>
      </c>
      <c r="CI57" s="6" t="s">
        <v>11</v>
      </c>
      <c r="CJ57" s="17"/>
      <c r="CK57" s="17"/>
      <c r="CR57" s="5" t="s">
        <v>353</v>
      </c>
      <c r="CS57">
        <v>0</v>
      </c>
      <c r="CW57" s="61" t="s">
        <v>330</v>
      </c>
      <c r="CX57" s="62">
        <v>0</v>
      </c>
    </row>
    <row r="58" spans="1:104" x14ac:dyDescent="0.25">
      <c r="A58" s="5" t="s">
        <v>40</v>
      </c>
      <c r="B58" s="27">
        <v>0</v>
      </c>
      <c r="C58" s="30" t="s">
        <v>387</v>
      </c>
      <c r="D58" s="17">
        <f>SUM(B58:B80)</f>
        <v>1</v>
      </c>
      <c r="F58" s="17" t="s">
        <v>384</v>
      </c>
      <c r="G58" s="17" t="s">
        <v>39</v>
      </c>
      <c r="H58" s="17" t="s">
        <v>385</v>
      </c>
      <c r="I58" s="17" t="s">
        <v>386</v>
      </c>
      <c r="K58" s="5" t="s">
        <v>86</v>
      </c>
      <c r="L58">
        <v>1</v>
      </c>
      <c r="M58" s="17"/>
      <c r="N58" s="17"/>
      <c r="P58" s="17" t="s">
        <v>384</v>
      </c>
      <c r="Q58" s="17" t="s">
        <v>39</v>
      </c>
      <c r="R58" s="17" t="s">
        <v>385</v>
      </c>
      <c r="S58" s="17" t="s">
        <v>386</v>
      </c>
      <c r="U58" s="5" t="s">
        <v>113</v>
      </c>
      <c r="V58">
        <v>2</v>
      </c>
      <c r="W58" s="15"/>
      <c r="X58" s="15"/>
      <c r="Z58" s="61" t="s">
        <v>99</v>
      </c>
      <c r="AA58" s="62">
        <v>0</v>
      </c>
      <c r="AE58" s="17" t="s">
        <v>382</v>
      </c>
      <c r="AF58" s="29" t="s">
        <v>366</v>
      </c>
      <c r="AG58" s="17"/>
      <c r="AH58" s="17">
        <v>2016</v>
      </c>
      <c r="AJ58" s="17" t="s">
        <v>384</v>
      </c>
      <c r="AK58" s="17" t="s">
        <v>39</v>
      </c>
      <c r="AL58" s="17" t="s">
        <v>385</v>
      </c>
      <c r="AM58" s="17" t="s">
        <v>386</v>
      </c>
      <c r="AT58" s="5" t="s">
        <v>185</v>
      </c>
      <c r="AU58">
        <v>1</v>
      </c>
      <c r="AV58" s="17"/>
      <c r="AW58" s="17"/>
      <c r="AY58" s="5" t="s">
        <v>211</v>
      </c>
      <c r="AZ58">
        <v>0</v>
      </c>
      <c r="BI58" s="5" t="s">
        <v>264</v>
      </c>
      <c r="BJ58">
        <v>1</v>
      </c>
      <c r="BN58" s="5" t="s">
        <v>288</v>
      </c>
      <c r="BO58">
        <v>1</v>
      </c>
      <c r="BP58" s="17"/>
      <c r="BQ58" s="17"/>
      <c r="BS58" s="5" t="s">
        <v>292</v>
      </c>
      <c r="BT58">
        <v>7</v>
      </c>
      <c r="BU58" s="30" t="s">
        <v>389</v>
      </c>
      <c r="BV58" s="17">
        <f>MAX(BT56:BT64)</f>
        <v>7</v>
      </c>
      <c r="CC58" s="5" t="s">
        <v>299</v>
      </c>
      <c r="CD58">
        <v>0</v>
      </c>
      <c r="CE58" s="30" t="s">
        <v>387</v>
      </c>
      <c r="CF58" s="17">
        <f>SUM(CD58:CD80)</f>
        <v>11</v>
      </c>
      <c r="CH58" s="17" t="s">
        <v>384</v>
      </c>
      <c r="CI58" s="17" t="s">
        <v>39</v>
      </c>
      <c r="CJ58" s="17" t="s">
        <v>385</v>
      </c>
      <c r="CK58" s="17" t="s">
        <v>386</v>
      </c>
      <c r="CR58" s="5" t="s">
        <v>354</v>
      </c>
      <c r="CS58">
        <v>0</v>
      </c>
      <c r="CW58" s="61" t="s">
        <v>331</v>
      </c>
      <c r="CX58" s="62">
        <v>0</v>
      </c>
    </row>
    <row r="59" spans="1:104" x14ac:dyDescent="0.25">
      <c r="A59" s="5" t="s">
        <v>41</v>
      </c>
      <c r="B59" s="27">
        <v>0</v>
      </c>
      <c r="C59" s="30" t="s">
        <v>388</v>
      </c>
      <c r="D59" s="17">
        <f>MIN(B58:B80)</f>
        <v>0</v>
      </c>
      <c r="F59" s="5" t="s">
        <v>65</v>
      </c>
      <c r="G59">
        <v>0</v>
      </c>
      <c r="H59" s="30" t="s">
        <v>387</v>
      </c>
      <c r="I59" s="17">
        <f>SUM(G59:G65)</f>
        <v>1</v>
      </c>
      <c r="K59" s="5" t="s">
        <v>87</v>
      </c>
      <c r="L59">
        <v>0</v>
      </c>
      <c r="M59" s="17"/>
      <c r="N59" s="17"/>
      <c r="P59" s="5" t="s">
        <v>88</v>
      </c>
      <c r="Q59">
        <v>0</v>
      </c>
      <c r="R59" s="30" t="s">
        <v>387</v>
      </c>
      <c r="S59" s="17">
        <f>SUM(Q59:Q65)</f>
        <v>1</v>
      </c>
      <c r="U59" s="26" t="s">
        <v>114</v>
      </c>
      <c r="V59">
        <v>0</v>
      </c>
      <c r="W59" s="17"/>
      <c r="X59" s="17"/>
      <c r="Z59" s="61" t="s">
        <v>100</v>
      </c>
      <c r="AA59" s="62">
        <v>0</v>
      </c>
      <c r="AE59" s="17" t="s">
        <v>383</v>
      </c>
      <c r="AF59" s="6" t="s">
        <v>6</v>
      </c>
      <c r="AG59" s="17"/>
      <c r="AH59" s="17"/>
      <c r="AJ59" s="5" t="s">
        <v>143</v>
      </c>
      <c r="AK59">
        <v>0</v>
      </c>
      <c r="AL59" s="30" t="s">
        <v>387</v>
      </c>
      <c r="AM59" s="17">
        <f>SUM(AK59:AK65)</f>
        <v>3</v>
      </c>
      <c r="AO59" s="17" t="s">
        <v>382</v>
      </c>
      <c r="AP59" s="29" t="s">
        <v>368</v>
      </c>
      <c r="AQ59" s="17"/>
      <c r="AR59" s="17">
        <v>2016</v>
      </c>
      <c r="AT59" s="5" t="s">
        <v>186</v>
      </c>
      <c r="AU59">
        <v>0</v>
      </c>
      <c r="AV59" s="17"/>
      <c r="AW59" s="17"/>
      <c r="AY59" s="5" t="s">
        <v>212</v>
      </c>
      <c r="AZ59">
        <v>0</v>
      </c>
      <c r="BD59" s="17" t="s">
        <v>382</v>
      </c>
      <c r="BE59" s="29" t="s">
        <v>371</v>
      </c>
      <c r="BF59" s="17"/>
      <c r="BG59" s="17">
        <v>2016</v>
      </c>
      <c r="BI59" s="5" t="s">
        <v>265</v>
      </c>
      <c r="BJ59">
        <v>2</v>
      </c>
      <c r="BN59" s="5" t="s">
        <v>289</v>
      </c>
      <c r="BO59">
        <v>6</v>
      </c>
      <c r="BP59" s="17"/>
      <c r="BQ59" s="17"/>
      <c r="BS59" s="5" t="s">
        <v>293</v>
      </c>
      <c r="BT59">
        <v>5</v>
      </c>
      <c r="BU59" s="30" t="s">
        <v>390</v>
      </c>
      <c r="BV59" s="17">
        <f>VAR(BT56:BT64)</f>
        <v>4.8611111111111107</v>
      </c>
      <c r="BX59" s="58" t="s">
        <v>382</v>
      </c>
      <c r="BY59" s="59" t="s">
        <v>628</v>
      </c>
      <c r="BZ59" s="58"/>
      <c r="CA59" s="58">
        <v>2016</v>
      </c>
      <c r="CC59" s="5" t="s">
        <v>300</v>
      </c>
      <c r="CD59">
        <v>0</v>
      </c>
      <c r="CE59" s="30" t="s">
        <v>388</v>
      </c>
      <c r="CF59" s="17">
        <f>MIN(CD58:CD80)</f>
        <v>0</v>
      </c>
      <c r="CH59" s="5" t="s">
        <v>321</v>
      </c>
      <c r="CI59">
        <v>0</v>
      </c>
      <c r="CJ59" s="30" t="s">
        <v>387</v>
      </c>
      <c r="CK59" s="17">
        <f>SUM(CI59:CI65)</f>
        <v>1</v>
      </c>
      <c r="CR59" s="5" t="s">
        <v>355</v>
      </c>
      <c r="CS59">
        <v>0</v>
      </c>
      <c r="CW59" s="61" t="s">
        <v>332</v>
      </c>
      <c r="CX59" s="62">
        <v>0</v>
      </c>
    </row>
    <row r="60" spans="1:104" x14ac:dyDescent="0.25">
      <c r="A60" s="5" t="s">
        <v>42</v>
      </c>
      <c r="B60" s="27">
        <v>0</v>
      </c>
      <c r="C60" s="30" t="s">
        <v>389</v>
      </c>
      <c r="D60" s="17">
        <f>MAX(B58:B80)</f>
        <v>1</v>
      </c>
      <c r="F60" s="5" t="s">
        <v>66</v>
      </c>
      <c r="G60">
        <v>0</v>
      </c>
      <c r="H60" s="30" t="s">
        <v>388</v>
      </c>
      <c r="I60" s="17">
        <f>MIN(G59:G65)</f>
        <v>0</v>
      </c>
      <c r="P60" s="5" t="s">
        <v>89</v>
      </c>
      <c r="Q60">
        <v>0</v>
      </c>
      <c r="R60" s="30" t="s">
        <v>388</v>
      </c>
      <c r="S60" s="17">
        <f>MIN(Q59:Q65)</f>
        <v>0</v>
      </c>
      <c r="U60" s="26" t="s">
        <v>115</v>
      </c>
      <c r="V60">
        <v>0</v>
      </c>
      <c r="W60" s="17"/>
      <c r="X60" s="17"/>
      <c r="Z60" s="61" t="s">
        <v>101</v>
      </c>
      <c r="AA60" s="62">
        <v>0</v>
      </c>
      <c r="AE60" s="17" t="s">
        <v>384</v>
      </c>
      <c r="AF60" s="17" t="s">
        <v>39</v>
      </c>
      <c r="AG60" s="17" t="s">
        <v>385</v>
      </c>
      <c r="AH60" s="17" t="s">
        <v>386</v>
      </c>
      <c r="AJ60" s="5" t="s">
        <v>67</v>
      </c>
      <c r="AK60">
        <v>1</v>
      </c>
      <c r="AL60" s="30" t="s">
        <v>388</v>
      </c>
      <c r="AM60" s="17">
        <f>MIN(AK59:AK65)</f>
        <v>0</v>
      </c>
      <c r="AO60" s="17" t="s">
        <v>383</v>
      </c>
      <c r="AP60" s="6" t="s">
        <v>95</v>
      </c>
      <c r="AQ60" s="17"/>
      <c r="AR60" s="17"/>
      <c r="AT60" s="5" t="s">
        <v>187</v>
      </c>
      <c r="AU60">
        <v>1</v>
      </c>
      <c r="AV60" s="17"/>
      <c r="AW60" s="17"/>
      <c r="AY60" s="5" t="s">
        <v>213</v>
      </c>
      <c r="AZ60">
        <v>0</v>
      </c>
      <c r="BD60" s="17" t="s">
        <v>383</v>
      </c>
      <c r="BE60" s="6" t="s">
        <v>6</v>
      </c>
      <c r="BF60" s="17"/>
      <c r="BG60" s="17"/>
      <c r="BI60" s="5" t="s">
        <v>266</v>
      </c>
      <c r="BJ60">
        <v>0</v>
      </c>
      <c r="BS60" s="5" t="s">
        <v>294</v>
      </c>
      <c r="BT60">
        <v>3</v>
      </c>
      <c r="BU60" s="30" t="s">
        <v>391</v>
      </c>
      <c r="BV60" s="17">
        <f>AVERAGE(BT56:BT64)</f>
        <v>2.8888888888888888</v>
      </c>
      <c r="BX60" s="58" t="s">
        <v>383</v>
      </c>
      <c r="BY60" s="60" t="s">
        <v>6</v>
      </c>
      <c r="BZ60" s="58"/>
      <c r="CA60" s="58"/>
      <c r="CC60" s="5" t="s">
        <v>301</v>
      </c>
      <c r="CD60">
        <v>1</v>
      </c>
      <c r="CE60" s="30" t="s">
        <v>389</v>
      </c>
      <c r="CF60" s="17">
        <f>MAX(CD58:CD80)</f>
        <v>2</v>
      </c>
      <c r="CH60" s="5" t="s">
        <v>322</v>
      </c>
      <c r="CI60">
        <v>0</v>
      </c>
      <c r="CJ60" s="30" t="s">
        <v>388</v>
      </c>
      <c r="CK60" s="17">
        <f>MIN(CI59:CI65)</f>
        <v>0</v>
      </c>
      <c r="CR60" s="2" t="s">
        <v>356</v>
      </c>
      <c r="CS60">
        <v>1</v>
      </c>
      <c r="CW60" s="61" t="s">
        <v>333</v>
      </c>
      <c r="CX60" s="62">
        <v>0</v>
      </c>
    </row>
    <row r="61" spans="1:104" x14ac:dyDescent="0.25">
      <c r="A61" s="5" t="s">
        <v>43</v>
      </c>
      <c r="B61" s="27">
        <v>0</v>
      </c>
      <c r="C61" s="30" t="s">
        <v>390</v>
      </c>
      <c r="D61" s="17">
        <f>VAR(B58:B80)</f>
        <v>4.3478260869565216E-2</v>
      </c>
      <c r="F61" s="5" t="s">
        <v>67</v>
      </c>
      <c r="G61">
        <v>0</v>
      </c>
      <c r="H61" s="30" t="s">
        <v>389</v>
      </c>
      <c r="I61" s="17">
        <f>MAX(G59:G65)</f>
        <v>1</v>
      </c>
      <c r="K61" s="17" t="s">
        <v>382</v>
      </c>
      <c r="L61" s="29" t="s">
        <v>363</v>
      </c>
      <c r="M61" s="17"/>
      <c r="N61" s="17">
        <v>2016</v>
      </c>
      <c r="P61" s="5" t="s">
        <v>90</v>
      </c>
      <c r="Q61">
        <v>0</v>
      </c>
      <c r="R61" s="30" t="s">
        <v>389</v>
      </c>
      <c r="S61" s="17">
        <f>MAX(Q59:Q65)</f>
        <v>1</v>
      </c>
      <c r="U61" s="26" t="s">
        <v>116</v>
      </c>
      <c r="V61">
        <v>1</v>
      </c>
      <c r="W61" s="17"/>
      <c r="X61" s="1"/>
      <c r="Z61" s="61" t="s">
        <v>103</v>
      </c>
      <c r="AA61" s="62">
        <v>1</v>
      </c>
      <c r="AE61" s="5" t="s">
        <v>129</v>
      </c>
      <c r="AF61">
        <v>0</v>
      </c>
      <c r="AG61" s="30" t="s">
        <v>387</v>
      </c>
      <c r="AH61" s="17">
        <f>SUM(AF61:AF75)</f>
        <v>8</v>
      </c>
      <c r="AJ61" s="5" t="s">
        <v>144</v>
      </c>
      <c r="AK61">
        <v>0</v>
      </c>
      <c r="AL61" s="30" t="s">
        <v>389</v>
      </c>
      <c r="AM61" s="17">
        <f>MAX(AK59:AK65)</f>
        <v>1</v>
      </c>
      <c r="AO61" s="17" t="s">
        <v>384</v>
      </c>
      <c r="AP61" s="17" t="s">
        <v>39</v>
      </c>
      <c r="AQ61" s="17" t="s">
        <v>385</v>
      </c>
      <c r="AR61" s="17" t="s">
        <v>386</v>
      </c>
      <c r="AT61" s="5" t="s">
        <v>188</v>
      </c>
      <c r="AU61">
        <v>2</v>
      </c>
      <c r="AV61" s="17"/>
      <c r="AW61" s="17"/>
      <c r="AY61" s="5" t="s">
        <v>214</v>
      </c>
      <c r="AZ61">
        <v>0</v>
      </c>
      <c r="BD61" s="17" t="s">
        <v>384</v>
      </c>
      <c r="BE61" s="17" t="s">
        <v>39</v>
      </c>
      <c r="BF61" s="17" t="s">
        <v>385</v>
      </c>
      <c r="BG61" s="17" t="s">
        <v>386</v>
      </c>
      <c r="BI61" s="5" t="s">
        <v>267</v>
      </c>
      <c r="BJ61">
        <v>0</v>
      </c>
      <c r="BN61" s="17" t="s">
        <v>382</v>
      </c>
      <c r="BO61" s="29" t="s">
        <v>440</v>
      </c>
      <c r="BP61" s="17"/>
      <c r="BQ61" s="17">
        <v>2016</v>
      </c>
      <c r="BS61" s="5" t="s">
        <v>295</v>
      </c>
      <c r="BT61">
        <v>2</v>
      </c>
      <c r="BU61" s="30" t="s">
        <v>392</v>
      </c>
      <c r="BV61" s="17">
        <f>STDEV(BT56:BT64)</f>
        <v>2.2047927592204921</v>
      </c>
      <c r="BX61" s="58" t="s">
        <v>384</v>
      </c>
      <c r="BY61" s="58" t="s">
        <v>39</v>
      </c>
      <c r="BZ61" s="58" t="s">
        <v>385</v>
      </c>
      <c r="CA61" s="58" t="s">
        <v>386</v>
      </c>
      <c r="CC61" s="5" t="s">
        <v>302</v>
      </c>
      <c r="CD61">
        <v>0</v>
      </c>
      <c r="CE61" s="30" t="s">
        <v>390</v>
      </c>
      <c r="CF61" s="17">
        <f>VAR(CD58:CD80)</f>
        <v>0.53359683794466406</v>
      </c>
      <c r="CH61" s="5" t="s">
        <v>323</v>
      </c>
      <c r="CI61">
        <v>0</v>
      </c>
      <c r="CJ61" s="30" t="s">
        <v>389</v>
      </c>
      <c r="CK61" s="17">
        <f>MAX(CI59:CI65)</f>
        <v>1</v>
      </c>
      <c r="CR61" s="2" t="s">
        <v>357</v>
      </c>
      <c r="CS61">
        <v>0</v>
      </c>
      <c r="CW61" s="61" t="s">
        <v>334</v>
      </c>
      <c r="CX61" s="62">
        <v>0</v>
      </c>
    </row>
    <row r="62" spans="1:104" x14ac:dyDescent="0.25">
      <c r="A62" s="5" t="s">
        <v>44</v>
      </c>
      <c r="B62" s="27">
        <v>0</v>
      </c>
      <c r="C62" s="30" t="s">
        <v>391</v>
      </c>
      <c r="D62" s="17">
        <f>AVERAGE(B58:B80)</f>
        <v>4.3478260869565216E-2</v>
      </c>
      <c r="F62" s="5" t="s">
        <v>68</v>
      </c>
      <c r="G62">
        <v>0</v>
      </c>
      <c r="H62" s="30" t="s">
        <v>390</v>
      </c>
      <c r="I62" s="17">
        <f>VAR(G59:G65)</f>
        <v>0.14285714285714288</v>
      </c>
      <c r="K62" s="17" t="s">
        <v>383</v>
      </c>
      <c r="L62" s="6" t="s">
        <v>9</v>
      </c>
      <c r="M62" s="17"/>
      <c r="N62" s="17"/>
      <c r="P62" s="5" t="s">
        <v>91</v>
      </c>
      <c r="Q62">
        <v>0</v>
      </c>
      <c r="R62" s="30" t="s">
        <v>390</v>
      </c>
      <c r="S62" s="17">
        <f>VAR(Q59:Q65)</f>
        <v>0.14285714285714288</v>
      </c>
      <c r="U62" s="26" t="s">
        <v>117</v>
      </c>
      <c r="V62">
        <v>0</v>
      </c>
      <c r="W62" s="17"/>
      <c r="X62" s="1"/>
      <c r="Z62" s="61" t="s">
        <v>104</v>
      </c>
      <c r="AA62" s="62">
        <v>1</v>
      </c>
      <c r="AE62" s="5" t="s">
        <v>130</v>
      </c>
      <c r="AF62">
        <v>0</v>
      </c>
      <c r="AG62" s="30" t="s">
        <v>388</v>
      </c>
      <c r="AH62" s="17">
        <f>MIN(AF61:AF75)</f>
        <v>0</v>
      </c>
      <c r="AJ62" s="5" t="s">
        <v>145</v>
      </c>
      <c r="AK62">
        <v>0</v>
      </c>
      <c r="AL62" s="30" t="s">
        <v>390</v>
      </c>
      <c r="AM62" s="17">
        <f>VAR(AK59:AK65)</f>
        <v>0.2857142857142857</v>
      </c>
      <c r="AO62" s="5" t="s">
        <v>149</v>
      </c>
      <c r="AP62">
        <v>0</v>
      </c>
      <c r="AQ62" s="30" t="s">
        <v>387</v>
      </c>
      <c r="AR62" s="17">
        <f>SUM(AP62:AP86)</f>
        <v>1</v>
      </c>
      <c r="AT62" s="5" t="s">
        <v>395</v>
      </c>
      <c r="AU62">
        <v>1</v>
      </c>
      <c r="AV62" s="17"/>
      <c r="AW62" s="17"/>
      <c r="AY62" s="5" t="s">
        <v>215</v>
      </c>
      <c r="AZ62">
        <v>0</v>
      </c>
      <c r="BD62" s="5" t="s">
        <v>221</v>
      </c>
      <c r="BE62">
        <v>4</v>
      </c>
      <c r="BF62" s="30" t="s">
        <v>387</v>
      </c>
      <c r="BG62" s="17">
        <f>SUM(BE62:BE86)</f>
        <v>20</v>
      </c>
      <c r="BI62" s="5" t="s">
        <v>268</v>
      </c>
      <c r="BJ62">
        <v>0</v>
      </c>
      <c r="BN62" s="17" t="s">
        <v>383</v>
      </c>
      <c r="BO62" s="6" t="s">
        <v>9</v>
      </c>
      <c r="BP62" s="17"/>
      <c r="BQ62" s="17"/>
      <c r="BS62" s="5" t="s">
        <v>296</v>
      </c>
      <c r="BT62">
        <v>0</v>
      </c>
      <c r="BU62" s="17"/>
      <c r="BV62" s="17"/>
      <c r="BX62" s="61" t="s">
        <v>274</v>
      </c>
      <c r="BY62" s="62">
        <v>1</v>
      </c>
      <c r="BZ62" s="63" t="s">
        <v>387</v>
      </c>
      <c r="CA62" s="58">
        <f>SUM(BY62:BY86)</f>
        <v>35</v>
      </c>
      <c r="CC62" s="5" t="s">
        <v>303</v>
      </c>
      <c r="CD62">
        <v>0</v>
      </c>
      <c r="CE62" s="30" t="s">
        <v>391</v>
      </c>
      <c r="CF62" s="17">
        <f>AVERAGE(CD58:CD80)</f>
        <v>0.47826086956521741</v>
      </c>
      <c r="CH62" s="5" t="s">
        <v>324</v>
      </c>
      <c r="CI62">
        <v>0</v>
      </c>
      <c r="CJ62" s="30" t="s">
        <v>390</v>
      </c>
      <c r="CK62" s="17">
        <f>VAR(CI59:CI65)</f>
        <v>0.14285714285714288</v>
      </c>
      <c r="CR62" s="2" t="s">
        <v>358</v>
      </c>
      <c r="CS62">
        <v>0</v>
      </c>
      <c r="CW62" s="61" t="s">
        <v>335</v>
      </c>
      <c r="CX62" s="62">
        <v>0</v>
      </c>
    </row>
    <row r="63" spans="1:104" x14ac:dyDescent="0.25">
      <c r="A63" s="5" t="s">
        <v>45</v>
      </c>
      <c r="B63" s="27">
        <v>0</v>
      </c>
      <c r="C63" s="30" t="s">
        <v>392</v>
      </c>
      <c r="D63" s="17">
        <f>STDEV(B58:B80)</f>
        <v>0.20851441405707477</v>
      </c>
      <c r="F63" s="5" t="s">
        <v>69</v>
      </c>
      <c r="G63">
        <v>0</v>
      </c>
      <c r="H63" s="30" t="s">
        <v>391</v>
      </c>
      <c r="I63" s="17">
        <f>AVERAGE(G59:G65)</f>
        <v>0.14285714285714285</v>
      </c>
      <c r="K63" s="17" t="s">
        <v>384</v>
      </c>
      <c r="L63" s="17" t="s">
        <v>39</v>
      </c>
      <c r="M63" s="17" t="s">
        <v>385</v>
      </c>
      <c r="N63" s="17" t="s">
        <v>386</v>
      </c>
      <c r="P63" s="5" t="s">
        <v>92</v>
      </c>
      <c r="Q63">
        <v>1</v>
      </c>
      <c r="R63" s="30" t="s">
        <v>391</v>
      </c>
      <c r="S63" s="17">
        <f>AVERAGE(Q59:Q65)</f>
        <v>0.14285714285714285</v>
      </c>
      <c r="U63" s="26" t="s">
        <v>118</v>
      </c>
      <c r="V63">
        <v>0</v>
      </c>
      <c r="W63" s="17"/>
      <c r="X63" s="1"/>
      <c r="Z63" s="61" t="s">
        <v>105</v>
      </c>
      <c r="AA63" s="62">
        <v>0</v>
      </c>
      <c r="AE63" s="5" t="s">
        <v>131</v>
      </c>
      <c r="AF63">
        <v>3</v>
      </c>
      <c r="AG63" s="30" t="s">
        <v>389</v>
      </c>
      <c r="AH63" s="17">
        <f>MAX(AF61:AF75)</f>
        <v>3</v>
      </c>
      <c r="AJ63" s="5" t="s">
        <v>146</v>
      </c>
      <c r="AK63">
        <v>0</v>
      </c>
      <c r="AL63" s="30" t="s">
        <v>391</v>
      </c>
      <c r="AM63" s="17">
        <f>AVERAGE(AK59:AK65)</f>
        <v>0.42857142857142855</v>
      </c>
      <c r="AO63" s="5" t="s">
        <v>150</v>
      </c>
      <c r="AP63">
        <v>0</v>
      </c>
      <c r="AQ63" s="30" t="s">
        <v>388</v>
      </c>
      <c r="AR63" s="17">
        <f>MIN(AP62:AP86)</f>
        <v>0</v>
      </c>
      <c r="AT63" s="5" t="s">
        <v>189</v>
      </c>
      <c r="AU63">
        <v>0</v>
      </c>
      <c r="AV63" s="17"/>
      <c r="AW63" s="17"/>
      <c r="AY63" s="5" t="s">
        <v>216</v>
      </c>
      <c r="AZ63">
        <v>0</v>
      </c>
      <c r="BD63" s="5" t="s">
        <v>222</v>
      </c>
      <c r="BE63">
        <v>0</v>
      </c>
      <c r="BF63" s="30" t="s">
        <v>388</v>
      </c>
      <c r="BG63" s="17">
        <f>MIN(BE62:BE86)</f>
        <v>0</v>
      </c>
      <c r="BI63" s="5" t="s">
        <v>269</v>
      </c>
      <c r="BJ63">
        <v>1</v>
      </c>
      <c r="BN63" s="17" t="s">
        <v>384</v>
      </c>
      <c r="BO63" s="17" t="s">
        <v>39</v>
      </c>
      <c r="BP63" s="17" t="s">
        <v>385</v>
      </c>
      <c r="BQ63" s="17" t="s">
        <v>386</v>
      </c>
      <c r="BS63" s="5" t="s">
        <v>297</v>
      </c>
      <c r="BT63">
        <v>1</v>
      </c>
      <c r="BU63" s="17"/>
      <c r="BV63" s="17"/>
      <c r="BX63" s="61" t="s">
        <v>275</v>
      </c>
      <c r="BY63" s="62">
        <v>2</v>
      </c>
      <c r="BZ63" s="63" t="s">
        <v>388</v>
      </c>
      <c r="CA63" s="58">
        <f>MIN(BY62:BY86)</f>
        <v>0</v>
      </c>
      <c r="CC63" s="5" t="s">
        <v>304</v>
      </c>
      <c r="CD63">
        <v>0</v>
      </c>
      <c r="CE63" s="30" t="s">
        <v>392</v>
      </c>
      <c r="CF63" s="17">
        <f>STDEV(CD58:CD80)</f>
        <v>0.73047713033651096</v>
      </c>
      <c r="CH63" s="5" t="s">
        <v>325</v>
      </c>
      <c r="CI63">
        <v>0</v>
      </c>
      <c r="CJ63" s="30" t="s">
        <v>391</v>
      </c>
      <c r="CK63" s="17">
        <f>AVERAGE(CI59:CI65)</f>
        <v>0.14285714285714285</v>
      </c>
      <c r="CR63" s="3" t="s">
        <v>359</v>
      </c>
      <c r="CS63">
        <v>0</v>
      </c>
      <c r="CW63" s="61" t="s">
        <v>43</v>
      </c>
      <c r="CX63" s="62">
        <v>0</v>
      </c>
    </row>
    <row r="64" spans="1:104" x14ac:dyDescent="0.25">
      <c r="A64" s="5" t="s">
        <v>47</v>
      </c>
      <c r="B64" s="27">
        <v>0</v>
      </c>
      <c r="C64" s="17"/>
      <c r="D64" s="17"/>
      <c r="F64" s="5" t="s">
        <v>70</v>
      </c>
      <c r="G64">
        <v>0</v>
      </c>
      <c r="H64" s="30" t="s">
        <v>392</v>
      </c>
      <c r="I64" s="17">
        <f>STDEV(G59:G65)</f>
        <v>0.37796447300922725</v>
      </c>
      <c r="K64" s="5" t="s">
        <v>72</v>
      </c>
      <c r="L64">
        <v>1</v>
      </c>
      <c r="M64" s="30" t="s">
        <v>387</v>
      </c>
      <c r="N64" s="17">
        <f>SUM(L64:L79)</f>
        <v>5</v>
      </c>
      <c r="P64" s="5" t="s">
        <v>93</v>
      </c>
      <c r="Q64">
        <v>0</v>
      </c>
      <c r="R64" s="30" t="s">
        <v>392</v>
      </c>
      <c r="S64" s="17">
        <f>STDEV(Q59:Q65)</f>
        <v>0.37796447300922725</v>
      </c>
      <c r="U64" s="26" t="s">
        <v>119</v>
      </c>
      <c r="V64">
        <v>0</v>
      </c>
      <c r="Z64" s="61" t="s">
        <v>106</v>
      </c>
      <c r="AA64" s="62">
        <v>0</v>
      </c>
      <c r="AE64" s="5" t="s">
        <v>132</v>
      </c>
      <c r="AF64">
        <v>0</v>
      </c>
      <c r="AG64" s="30" t="s">
        <v>390</v>
      </c>
      <c r="AH64" s="17">
        <f>VAR(AF61:AF75)</f>
        <v>0.83809523809523812</v>
      </c>
      <c r="AJ64" s="5" t="s">
        <v>147</v>
      </c>
      <c r="AK64">
        <v>1</v>
      </c>
      <c r="AL64" s="30" t="s">
        <v>392</v>
      </c>
      <c r="AM64" s="17">
        <f>STDEV(AK59:AK65)</f>
        <v>0.53452248382484879</v>
      </c>
      <c r="AO64" s="5" t="s">
        <v>151</v>
      </c>
      <c r="AP64">
        <v>0</v>
      </c>
      <c r="AQ64" s="30" t="s">
        <v>389</v>
      </c>
      <c r="AR64" s="17">
        <f>MAX(AP62:AP86)</f>
        <v>1</v>
      </c>
      <c r="AT64" s="5" t="s">
        <v>190</v>
      </c>
      <c r="AU64">
        <v>0</v>
      </c>
      <c r="AV64" s="17"/>
      <c r="AW64" s="17"/>
      <c r="AY64" s="5" t="s">
        <v>217</v>
      </c>
      <c r="AZ64">
        <v>0</v>
      </c>
      <c r="BD64" s="5" t="s">
        <v>223</v>
      </c>
      <c r="BE64">
        <v>0</v>
      </c>
      <c r="BF64" s="30" t="s">
        <v>389</v>
      </c>
      <c r="BG64" s="17">
        <f>MAX(BE62:BE86)</f>
        <v>4</v>
      </c>
      <c r="BI64" s="5" t="s">
        <v>270</v>
      </c>
      <c r="BJ64">
        <v>0</v>
      </c>
      <c r="BN64" s="5" t="s">
        <v>274</v>
      </c>
      <c r="BO64">
        <v>0</v>
      </c>
      <c r="BP64" s="30" t="s">
        <v>387</v>
      </c>
      <c r="BQ64" s="17">
        <f>SUM(BO64:BO79)</f>
        <v>5</v>
      </c>
      <c r="BS64" s="5" t="s">
        <v>298</v>
      </c>
      <c r="BT64">
        <v>1</v>
      </c>
      <c r="BU64" s="17"/>
      <c r="BV64" s="17"/>
      <c r="BX64" s="61" t="s">
        <v>276</v>
      </c>
      <c r="BY64" s="62">
        <v>2</v>
      </c>
      <c r="BZ64" s="63" t="s">
        <v>389</v>
      </c>
      <c r="CA64" s="58">
        <f>MAX(BY62:BY86)</f>
        <v>6</v>
      </c>
      <c r="CC64" s="5" t="s">
        <v>305</v>
      </c>
      <c r="CD64">
        <v>0</v>
      </c>
      <c r="CE64" s="17"/>
      <c r="CF64" s="17"/>
      <c r="CH64" s="5" t="s">
        <v>326</v>
      </c>
      <c r="CI64">
        <v>0</v>
      </c>
      <c r="CJ64" s="30" t="s">
        <v>392</v>
      </c>
      <c r="CK64" s="17">
        <f>STDEV(CI59:CI65)</f>
        <v>0.37796447300922725</v>
      </c>
      <c r="CW64" s="61" t="s">
        <v>336</v>
      </c>
      <c r="CX64" s="62">
        <v>0</v>
      </c>
    </row>
    <row r="65" spans="1:102" x14ac:dyDescent="0.25">
      <c r="A65" s="5" t="s">
        <v>48</v>
      </c>
      <c r="B65" s="27">
        <v>0</v>
      </c>
      <c r="C65" s="17"/>
      <c r="D65" s="17"/>
      <c r="F65" s="5" t="s">
        <v>71</v>
      </c>
      <c r="G65">
        <v>1</v>
      </c>
      <c r="H65" s="17"/>
      <c r="I65" s="17"/>
      <c r="K65" s="5" t="s">
        <v>73</v>
      </c>
      <c r="L65">
        <v>1</v>
      </c>
      <c r="M65" s="30" t="s">
        <v>388</v>
      </c>
      <c r="N65" s="17">
        <f>MIN(L64:L79)</f>
        <v>0</v>
      </c>
      <c r="P65" s="5" t="s">
        <v>94</v>
      </c>
      <c r="Q65">
        <v>0</v>
      </c>
      <c r="R65" s="17"/>
      <c r="S65" s="17"/>
      <c r="U65" s="5" t="s">
        <v>120</v>
      </c>
      <c r="V65">
        <v>0</v>
      </c>
      <c r="Z65" s="61" t="s">
        <v>61</v>
      </c>
      <c r="AA65" s="62">
        <v>0</v>
      </c>
      <c r="AE65" s="5" t="s">
        <v>133</v>
      </c>
      <c r="AF65">
        <v>1</v>
      </c>
      <c r="AG65" s="30" t="s">
        <v>391</v>
      </c>
      <c r="AH65" s="17">
        <f>AVERAGE(AF61:AF75)</f>
        <v>0.53333333333333333</v>
      </c>
      <c r="AJ65" s="5" t="s">
        <v>148</v>
      </c>
      <c r="AK65">
        <v>1</v>
      </c>
      <c r="AL65" s="17"/>
      <c r="AM65" s="17"/>
      <c r="AO65" s="5" t="s">
        <v>152</v>
      </c>
      <c r="AP65">
        <v>0</v>
      </c>
      <c r="AQ65" s="30" t="s">
        <v>390</v>
      </c>
      <c r="AR65" s="17">
        <f>VAR(AP62:AP86)</f>
        <v>0.04</v>
      </c>
      <c r="AT65" s="5" t="s">
        <v>191</v>
      </c>
      <c r="AU65">
        <v>0</v>
      </c>
      <c r="AV65" s="15"/>
      <c r="AW65" s="15"/>
      <c r="AY65" s="5" t="s">
        <v>218</v>
      </c>
      <c r="AZ65">
        <v>0</v>
      </c>
      <c r="BD65" s="5" t="s">
        <v>224</v>
      </c>
      <c r="BE65">
        <v>0</v>
      </c>
      <c r="BF65" s="30" t="s">
        <v>390</v>
      </c>
      <c r="BG65" s="17">
        <f>VAR(BE62:BE86)</f>
        <v>1.1666666666666667</v>
      </c>
      <c r="BI65" s="5" t="s">
        <v>271</v>
      </c>
      <c r="BJ65">
        <v>0</v>
      </c>
      <c r="BN65" s="5" t="s">
        <v>275</v>
      </c>
      <c r="BO65">
        <v>0</v>
      </c>
      <c r="BP65" s="30" t="s">
        <v>388</v>
      </c>
      <c r="BQ65" s="17">
        <f>MIN(BO64:BO79)</f>
        <v>0</v>
      </c>
      <c r="BX65" s="61" t="s">
        <v>277</v>
      </c>
      <c r="BY65" s="62">
        <v>0</v>
      </c>
      <c r="BZ65" s="63" t="s">
        <v>390</v>
      </c>
      <c r="CA65" s="58">
        <f>VAR(BY62:BY86)</f>
        <v>2.8333333333333335</v>
      </c>
      <c r="CC65" s="5" t="s">
        <v>306</v>
      </c>
      <c r="CD65">
        <v>0</v>
      </c>
      <c r="CE65" s="17"/>
      <c r="CF65" s="17"/>
      <c r="CH65" s="5" t="s">
        <v>327</v>
      </c>
      <c r="CI65">
        <v>1</v>
      </c>
      <c r="CJ65" s="17"/>
      <c r="CK65" s="17"/>
      <c r="CW65" s="61" t="s">
        <v>337</v>
      </c>
      <c r="CX65" s="62">
        <v>0</v>
      </c>
    </row>
    <row r="66" spans="1:102" x14ac:dyDescent="0.25">
      <c r="A66" s="5" t="s">
        <v>49</v>
      </c>
      <c r="B66" s="27">
        <v>0</v>
      </c>
      <c r="C66" s="17"/>
      <c r="D66" s="17"/>
      <c r="F66" s="5"/>
      <c r="H66" s="17"/>
      <c r="I66" s="1"/>
      <c r="K66" s="5" t="s">
        <v>74</v>
      </c>
      <c r="L66">
        <v>0</v>
      </c>
      <c r="M66" s="30" t="s">
        <v>389</v>
      </c>
      <c r="N66" s="17">
        <f>MAX(L64:L79)</f>
        <v>1</v>
      </c>
      <c r="U66" s="5" t="s">
        <v>121</v>
      </c>
      <c r="V66">
        <v>0</v>
      </c>
      <c r="Z66" s="61" t="s">
        <v>107</v>
      </c>
      <c r="AA66" s="62">
        <v>1</v>
      </c>
      <c r="AE66" s="5" t="s">
        <v>134</v>
      </c>
      <c r="AF66">
        <v>0</v>
      </c>
      <c r="AG66" s="30" t="s">
        <v>392</v>
      </c>
      <c r="AH66" s="17">
        <f>STDEV(AF61:AF75)</f>
        <v>0.91547541643412689</v>
      </c>
      <c r="AO66" s="5" t="s">
        <v>153</v>
      </c>
      <c r="AP66">
        <v>0</v>
      </c>
      <c r="AQ66" s="30" t="s">
        <v>391</v>
      </c>
      <c r="AR66" s="17">
        <f>AVERAGE(AP62:AP86)</f>
        <v>0.04</v>
      </c>
      <c r="AY66" s="5" t="s">
        <v>219</v>
      </c>
      <c r="AZ66">
        <v>0</v>
      </c>
      <c r="BD66" s="5" t="s">
        <v>225</v>
      </c>
      <c r="BE66">
        <v>1</v>
      </c>
      <c r="BF66" s="30" t="s">
        <v>391</v>
      </c>
      <c r="BG66" s="17">
        <f>AVERAGE(BE62:BE86)</f>
        <v>0.8</v>
      </c>
      <c r="BI66" s="5" t="s">
        <v>272</v>
      </c>
      <c r="BJ66">
        <v>0</v>
      </c>
      <c r="BN66" s="5" t="s">
        <v>276</v>
      </c>
      <c r="BO66">
        <v>0</v>
      </c>
      <c r="BP66" s="30" t="s">
        <v>389</v>
      </c>
      <c r="BQ66" s="17">
        <f>MAX(BO64:BO79)</f>
        <v>1</v>
      </c>
      <c r="BS66" s="17" t="s">
        <v>382</v>
      </c>
      <c r="BT66" s="29" t="s">
        <v>441</v>
      </c>
      <c r="BU66" s="17"/>
      <c r="BV66" s="17">
        <v>2016</v>
      </c>
      <c r="BX66" s="61" t="s">
        <v>279</v>
      </c>
      <c r="BY66" s="62">
        <v>4</v>
      </c>
      <c r="BZ66" s="63" t="s">
        <v>391</v>
      </c>
      <c r="CA66" s="58">
        <f>AVERAGE(BY62:BY86)</f>
        <v>1.4</v>
      </c>
      <c r="CC66" s="5" t="s">
        <v>93</v>
      </c>
      <c r="CD66">
        <v>0</v>
      </c>
      <c r="CE66" s="17"/>
      <c r="CF66" s="17"/>
      <c r="CW66" s="61" t="s">
        <v>338</v>
      </c>
      <c r="CX66" s="62">
        <v>0</v>
      </c>
    </row>
    <row r="67" spans="1:102" x14ac:dyDescent="0.25">
      <c r="A67" s="5" t="s">
        <v>50</v>
      </c>
      <c r="B67" s="27">
        <v>0</v>
      </c>
      <c r="C67" s="17"/>
      <c r="D67" s="17"/>
      <c r="F67" s="17" t="s">
        <v>382</v>
      </c>
      <c r="G67" s="29" t="s">
        <v>362</v>
      </c>
      <c r="H67" s="17"/>
      <c r="I67" s="17">
        <v>2016</v>
      </c>
      <c r="K67" s="5" t="s">
        <v>75</v>
      </c>
      <c r="L67">
        <v>1</v>
      </c>
      <c r="M67" s="30" t="s">
        <v>390</v>
      </c>
      <c r="N67" s="17">
        <f>VAR(L64:L79)</f>
        <v>0.22916666666666666</v>
      </c>
      <c r="P67" s="17" t="s">
        <v>382</v>
      </c>
      <c r="Q67" s="29" t="s">
        <v>401</v>
      </c>
      <c r="R67" s="17"/>
      <c r="S67" s="17">
        <v>2016</v>
      </c>
      <c r="U67" s="5" t="s">
        <v>122</v>
      </c>
      <c r="V67">
        <v>0</v>
      </c>
      <c r="Z67" s="61" t="s">
        <v>108</v>
      </c>
      <c r="AA67" s="62">
        <v>1</v>
      </c>
      <c r="AE67" s="5" t="s">
        <v>135</v>
      </c>
      <c r="AF67">
        <v>0</v>
      </c>
      <c r="AG67" s="17"/>
      <c r="AH67" s="17"/>
      <c r="AJ67" s="17" t="s">
        <v>382</v>
      </c>
      <c r="AK67" s="29" t="s">
        <v>367</v>
      </c>
      <c r="AL67" s="17"/>
      <c r="AM67" s="17">
        <v>2016</v>
      </c>
      <c r="AO67" s="5" t="s">
        <v>154</v>
      </c>
      <c r="AP67">
        <v>0</v>
      </c>
      <c r="AQ67" s="30" t="s">
        <v>392</v>
      </c>
      <c r="AR67" s="17">
        <f>STDEV(AP62:AP86)</f>
        <v>0.2</v>
      </c>
      <c r="AT67" s="17" t="s">
        <v>382</v>
      </c>
      <c r="AU67" s="29" t="s">
        <v>369</v>
      </c>
      <c r="AV67" s="17"/>
      <c r="AW67" s="17">
        <v>2016</v>
      </c>
      <c r="AY67" s="5" t="s">
        <v>220</v>
      </c>
      <c r="AZ67">
        <v>0</v>
      </c>
      <c r="BD67" s="5" t="s">
        <v>226</v>
      </c>
      <c r="BE67">
        <v>0</v>
      </c>
      <c r="BF67" s="30" t="s">
        <v>392</v>
      </c>
      <c r="BG67" s="17">
        <f>STDEV(BE62:BE86)</f>
        <v>1.0801234497346435</v>
      </c>
      <c r="BI67" s="5" t="s">
        <v>273</v>
      </c>
      <c r="BJ67">
        <v>0</v>
      </c>
      <c r="BN67" s="5" t="s">
        <v>277</v>
      </c>
      <c r="BO67">
        <v>1</v>
      </c>
      <c r="BP67" s="30" t="s">
        <v>390</v>
      </c>
      <c r="BQ67" s="17">
        <f>VAR(BO64:BO79)</f>
        <v>0.22916666666666666</v>
      </c>
      <c r="BS67" s="17" t="s">
        <v>383</v>
      </c>
      <c r="BT67" s="6" t="s">
        <v>21</v>
      </c>
      <c r="BU67" s="17"/>
      <c r="BV67" s="17"/>
      <c r="BX67" s="61" t="s">
        <v>278</v>
      </c>
      <c r="BY67" s="62">
        <v>0</v>
      </c>
      <c r="BZ67" s="63" t="s">
        <v>392</v>
      </c>
      <c r="CA67" s="58">
        <f>STDEV(BY62:BY86)</f>
        <v>1.6832508230603465</v>
      </c>
      <c r="CC67" s="5" t="s">
        <v>307</v>
      </c>
      <c r="CD67">
        <v>1</v>
      </c>
      <c r="CE67" s="17"/>
      <c r="CF67" s="17"/>
      <c r="CH67" s="17" t="s">
        <v>382</v>
      </c>
      <c r="CI67" s="29" t="s">
        <v>443</v>
      </c>
      <c r="CJ67" s="17"/>
      <c r="CK67" s="17">
        <v>2016</v>
      </c>
      <c r="CW67" s="61" t="s">
        <v>339</v>
      </c>
      <c r="CX67" s="62">
        <v>0</v>
      </c>
    </row>
    <row r="68" spans="1:102" x14ac:dyDescent="0.25">
      <c r="A68" s="5" t="s">
        <v>51</v>
      </c>
      <c r="B68" s="27">
        <v>1</v>
      </c>
      <c r="C68" s="17"/>
      <c r="D68" s="17"/>
      <c r="F68" s="17" t="s">
        <v>383</v>
      </c>
      <c r="G68" s="6" t="s">
        <v>30</v>
      </c>
      <c r="H68" s="17"/>
      <c r="I68" s="17"/>
      <c r="K68" s="5" t="s">
        <v>76</v>
      </c>
      <c r="L68">
        <v>0</v>
      </c>
      <c r="M68" s="30" t="s">
        <v>391</v>
      </c>
      <c r="N68" s="17">
        <f>AVERAGE(L64:L79)</f>
        <v>0.3125</v>
      </c>
      <c r="P68" s="17" t="s">
        <v>383</v>
      </c>
      <c r="Q68" s="6" t="s">
        <v>18</v>
      </c>
      <c r="R68" s="17"/>
      <c r="S68" s="17"/>
      <c r="U68" s="5" t="s">
        <v>123</v>
      </c>
      <c r="V68">
        <v>1</v>
      </c>
      <c r="Z68" s="61" t="s">
        <v>109</v>
      </c>
      <c r="AA68" s="62">
        <v>0</v>
      </c>
      <c r="AE68" s="5" t="s">
        <v>136</v>
      </c>
      <c r="AF68">
        <v>0</v>
      </c>
      <c r="AG68" s="17"/>
      <c r="AH68" s="17"/>
      <c r="AJ68" s="17" t="s">
        <v>383</v>
      </c>
      <c r="AK68" s="6" t="s">
        <v>32</v>
      </c>
      <c r="AL68" s="17"/>
      <c r="AM68" s="17"/>
      <c r="AO68" s="5" t="s">
        <v>155</v>
      </c>
      <c r="AP68">
        <v>0</v>
      </c>
      <c r="AQ68" s="17"/>
      <c r="AR68" s="17"/>
      <c r="AT68" s="17" t="s">
        <v>383</v>
      </c>
      <c r="AU68" s="6" t="s">
        <v>9</v>
      </c>
      <c r="AV68" s="17"/>
      <c r="AW68" s="17"/>
      <c r="BD68" s="5" t="s">
        <v>227</v>
      </c>
      <c r="BE68">
        <v>1</v>
      </c>
      <c r="BF68" s="17"/>
      <c r="BG68" s="17"/>
      <c r="BN68" s="5" t="s">
        <v>279</v>
      </c>
      <c r="BO68">
        <v>0</v>
      </c>
      <c r="BP68" s="30" t="s">
        <v>391</v>
      </c>
      <c r="BQ68" s="17">
        <f>AVERAGE(BO64:BO79)</f>
        <v>0.3125</v>
      </c>
      <c r="BS68" s="17" t="s">
        <v>384</v>
      </c>
      <c r="BT68" s="17" t="s">
        <v>39</v>
      </c>
      <c r="BU68" s="17" t="s">
        <v>385</v>
      </c>
      <c r="BV68" s="17" t="s">
        <v>386</v>
      </c>
      <c r="BX68" s="61" t="s">
        <v>280</v>
      </c>
      <c r="BY68" s="62">
        <v>0</v>
      </c>
      <c r="BZ68" s="58"/>
      <c r="CA68" s="58"/>
      <c r="CC68" s="5" t="s">
        <v>308</v>
      </c>
      <c r="CD68">
        <v>0</v>
      </c>
      <c r="CE68" s="17"/>
      <c r="CF68" s="17"/>
      <c r="CH68" s="17" t="s">
        <v>383</v>
      </c>
      <c r="CI68" s="6" t="s">
        <v>19</v>
      </c>
      <c r="CJ68" s="17"/>
      <c r="CK68" s="17"/>
      <c r="CW68" s="61" t="s">
        <v>340</v>
      </c>
      <c r="CX68" s="62">
        <v>0</v>
      </c>
    </row>
    <row r="69" spans="1:102" x14ac:dyDescent="0.25">
      <c r="A69" s="5" t="s">
        <v>52</v>
      </c>
      <c r="B69" s="27">
        <v>0</v>
      </c>
      <c r="C69" s="17"/>
      <c r="D69" s="17"/>
      <c r="F69" s="17" t="s">
        <v>384</v>
      </c>
      <c r="G69" s="17" t="s">
        <v>39</v>
      </c>
      <c r="H69" s="17" t="s">
        <v>385</v>
      </c>
      <c r="I69" s="17" t="s">
        <v>386</v>
      </c>
      <c r="K69" s="5" t="s">
        <v>77</v>
      </c>
      <c r="L69">
        <v>0</v>
      </c>
      <c r="M69" s="30" t="s">
        <v>392</v>
      </c>
      <c r="N69" s="17">
        <f>STDEV(L64:L79)</f>
        <v>0.47871355387816905</v>
      </c>
      <c r="P69" s="17" t="s">
        <v>384</v>
      </c>
      <c r="Q69" s="17" t="s">
        <v>39</v>
      </c>
      <c r="R69" s="17" t="s">
        <v>385</v>
      </c>
      <c r="S69" s="17" t="s">
        <v>386</v>
      </c>
      <c r="U69" s="5" t="s">
        <v>124</v>
      </c>
      <c r="V69">
        <v>1</v>
      </c>
      <c r="Z69" s="61" t="s">
        <v>110</v>
      </c>
      <c r="AA69" s="62">
        <v>0</v>
      </c>
      <c r="AE69" s="5" t="s">
        <v>44</v>
      </c>
      <c r="AF69">
        <v>0</v>
      </c>
      <c r="AG69" s="17"/>
      <c r="AH69" s="17"/>
      <c r="AJ69" s="17" t="s">
        <v>384</v>
      </c>
      <c r="AK69" s="17" t="s">
        <v>39</v>
      </c>
      <c r="AL69" s="17" t="s">
        <v>385</v>
      </c>
      <c r="AM69" s="17" t="s">
        <v>386</v>
      </c>
      <c r="AO69" s="5" t="s">
        <v>156</v>
      </c>
      <c r="AP69">
        <v>0</v>
      </c>
      <c r="AQ69" s="17"/>
      <c r="AR69" s="17"/>
      <c r="AT69" s="17" t="s">
        <v>384</v>
      </c>
      <c r="AU69" s="17" t="s">
        <v>39</v>
      </c>
      <c r="AV69" s="17" t="s">
        <v>385</v>
      </c>
      <c r="AW69" s="17" t="s">
        <v>386</v>
      </c>
      <c r="AY69" s="17" t="s">
        <v>382</v>
      </c>
      <c r="AZ69" s="29" t="s">
        <v>370</v>
      </c>
      <c r="BA69" s="17"/>
      <c r="BB69" s="17">
        <v>2016</v>
      </c>
      <c r="BD69" s="5" t="s">
        <v>228</v>
      </c>
      <c r="BE69">
        <v>0</v>
      </c>
      <c r="BF69" s="17"/>
      <c r="BG69" s="17"/>
      <c r="BI69" s="17" t="s">
        <v>382</v>
      </c>
      <c r="BJ69" s="29" t="s">
        <v>372</v>
      </c>
      <c r="BK69" s="17"/>
      <c r="BL69" s="17">
        <v>2016</v>
      </c>
      <c r="BN69" s="5" t="s">
        <v>278</v>
      </c>
      <c r="BO69">
        <v>0</v>
      </c>
      <c r="BP69" s="30" t="s">
        <v>392</v>
      </c>
      <c r="BQ69" s="17">
        <f>STDEV(BO64:BO79)</f>
        <v>0.47871355387816905</v>
      </c>
      <c r="BS69" s="5" t="s">
        <v>290</v>
      </c>
      <c r="BT69">
        <v>0</v>
      </c>
      <c r="BU69" s="30" t="s">
        <v>387</v>
      </c>
      <c r="BV69" s="17">
        <f>SUM(BT69:BT77)</f>
        <v>4</v>
      </c>
      <c r="BX69" s="61" t="s">
        <v>281</v>
      </c>
      <c r="BY69" s="62">
        <v>1</v>
      </c>
      <c r="BZ69" s="58"/>
      <c r="CA69" s="58"/>
      <c r="CC69" s="5" t="s">
        <v>309</v>
      </c>
      <c r="CD69">
        <v>0</v>
      </c>
      <c r="CE69" s="17"/>
      <c r="CF69" s="17"/>
      <c r="CH69" s="17" t="s">
        <v>384</v>
      </c>
      <c r="CI69" s="17" t="s">
        <v>39</v>
      </c>
      <c r="CJ69" s="17" t="s">
        <v>385</v>
      </c>
      <c r="CK69" s="17" t="s">
        <v>386</v>
      </c>
      <c r="CW69" s="61" t="s">
        <v>341</v>
      </c>
      <c r="CX69" s="62">
        <v>1</v>
      </c>
    </row>
    <row r="70" spans="1:102" x14ac:dyDescent="0.25">
      <c r="A70" s="5" t="s">
        <v>53</v>
      </c>
      <c r="B70" s="27">
        <v>0</v>
      </c>
      <c r="C70" s="17"/>
      <c r="D70" s="17"/>
      <c r="F70" s="5" t="s">
        <v>65</v>
      </c>
      <c r="G70">
        <v>0</v>
      </c>
      <c r="H70" s="30" t="s">
        <v>387</v>
      </c>
      <c r="I70" s="17">
        <f>SUM(G70:G76)</f>
        <v>1</v>
      </c>
      <c r="K70" s="5" t="s">
        <v>78</v>
      </c>
      <c r="L70">
        <v>0</v>
      </c>
      <c r="M70" s="17"/>
      <c r="N70" s="17"/>
      <c r="P70" s="5" t="s">
        <v>88</v>
      </c>
      <c r="Q70">
        <v>0</v>
      </c>
      <c r="R70" s="30" t="s">
        <v>387</v>
      </c>
      <c r="S70" s="17">
        <f>SUM(Q70:Q76)</f>
        <v>2</v>
      </c>
      <c r="U70" s="5" t="s">
        <v>125</v>
      </c>
      <c r="V70">
        <v>0</v>
      </c>
      <c r="Z70" s="61" t="s">
        <v>111</v>
      </c>
      <c r="AA70" s="62">
        <v>0</v>
      </c>
      <c r="AE70" s="5" t="s">
        <v>137</v>
      </c>
      <c r="AF70">
        <v>1</v>
      </c>
      <c r="AG70" s="17"/>
      <c r="AH70" s="17"/>
      <c r="AJ70" s="5" t="s">
        <v>143</v>
      </c>
      <c r="AK70">
        <v>31</v>
      </c>
      <c r="AL70" s="30" t="s">
        <v>387</v>
      </c>
      <c r="AM70" s="17">
        <f>SUM(AK70:AK76)</f>
        <v>110</v>
      </c>
      <c r="AO70" s="5" t="s">
        <v>157</v>
      </c>
      <c r="AP70">
        <v>0</v>
      </c>
      <c r="AQ70" s="17"/>
      <c r="AR70" s="17"/>
      <c r="AT70" s="5" t="s">
        <v>175</v>
      </c>
      <c r="AU70">
        <v>0</v>
      </c>
      <c r="AV70" s="30" t="s">
        <v>387</v>
      </c>
      <c r="AW70" s="17">
        <f>SUM(AU70:AU87)</f>
        <v>5</v>
      </c>
      <c r="AY70" s="17" t="s">
        <v>383</v>
      </c>
      <c r="AZ70" s="6" t="s">
        <v>6</v>
      </c>
      <c r="BA70" s="17"/>
      <c r="BB70" s="17"/>
      <c r="BD70" s="5" t="s">
        <v>229</v>
      </c>
      <c r="BE70">
        <v>1</v>
      </c>
      <c r="BF70" s="17"/>
      <c r="BG70" s="17"/>
      <c r="BI70" s="17" t="s">
        <v>383</v>
      </c>
      <c r="BJ70" s="6" t="s">
        <v>6</v>
      </c>
      <c r="BK70" s="17"/>
      <c r="BL70" s="17"/>
      <c r="BN70" s="5" t="s">
        <v>280</v>
      </c>
      <c r="BO70">
        <v>0</v>
      </c>
      <c r="BP70" s="17"/>
      <c r="BQ70" s="17"/>
      <c r="BS70" s="5" t="s">
        <v>291</v>
      </c>
      <c r="BT70">
        <v>0</v>
      </c>
      <c r="BU70" s="30" t="s">
        <v>388</v>
      </c>
      <c r="BV70" s="17">
        <f>MIN(BT69:BT77)</f>
        <v>0</v>
      </c>
      <c r="BX70" s="61" t="s">
        <v>282</v>
      </c>
      <c r="BY70" s="62">
        <v>1</v>
      </c>
      <c r="BZ70" s="58"/>
      <c r="CA70" s="58"/>
      <c r="CC70" s="5" t="s">
        <v>310</v>
      </c>
      <c r="CD70">
        <v>0</v>
      </c>
      <c r="CE70" s="17"/>
      <c r="CF70" s="17"/>
      <c r="CH70" s="5" t="s">
        <v>321</v>
      </c>
      <c r="CI70">
        <v>4</v>
      </c>
      <c r="CJ70" s="30" t="s">
        <v>387</v>
      </c>
      <c r="CK70" s="17">
        <f>SUM(CI70:CI76)</f>
        <v>52</v>
      </c>
      <c r="CW70" s="61" t="s">
        <v>342</v>
      </c>
      <c r="CX70" s="62">
        <v>0</v>
      </c>
    </row>
    <row r="71" spans="1:102" x14ac:dyDescent="0.25">
      <c r="A71" s="5" t="s">
        <v>54</v>
      </c>
      <c r="B71" s="27">
        <v>0</v>
      </c>
      <c r="C71" s="17"/>
      <c r="D71" s="17"/>
      <c r="F71" s="5" t="s">
        <v>66</v>
      </c>
      <c r="G71">
        <v>0</v>
      </c>
      <c r="H71" s="30" t="s">
        <v>388</v>
      </c>
      <c r="I71" s="17">
        <f>MIN(G70:G76)</f>
        <v>0</v>
      </c>
      <c r="K71" s="5" t="s">
        <v>79</v>
      </c>
      <c r="L71">
        <v>0</v>
      </c>
      <c r="M71" s="17"/>
      <c r="N71" s="17"/>
      <c r="P71" s="5" t="s">
        <v>89</v>
      </c>
      <c r="Q71">
        <v>0</v>
      </c>
      <c r="R71" s="30" t="s">
        <v>388</v>
      </c>
      <c r="S71" s="17">
        <f>MIN(Q70:Q76)</f>
        <v>0</v>
      </c>
      <c r="U71" s="5" t="s">
        <v>126</v>
      </c>
      <c r="V71">
        <v>0</v>
      </c>
      <c r="Z71" s="61" t="s">
        <v>112</v>
      </c>
      <c r="AA71" s="62">
        <v>0</v>
      </c>
      <c r="AE71" s="5" t="s">
        <v>138</v>
      </c>
      <c r="AF71">
        <v>0</v>
      </c>
      <c r="AG71" s="17"/>
      <c r="AH71" s="17"/>
      <c r="AJ71" s="5" t="s">
        <v>67</v>
      </c>
      <c r="AK71">
        <v>26</v>
      </c>
      <c r="AL71" s="30" t="s">
        <v>388</v>
      </c>
      <c r="AM71" s="17">
        <f>MIN(AK70:AK76)</f>
        <v>8</v>
      </c>
      <c r="AO71" s="5" t="s">
        <v>158</v>
      </c>
      <c r="AP71">
        <v>0</v>
      </c>
      <c r="AQ71" s="17"/>
      <c r="AR71" s="17"/>
      <c r="AT71" s="5" t="s">
        <v>176</v>
      </c>
      <c r="AU71">
        <v>0</v>
      </c>
      <c r="AV71" s="30" t="s">
        <v>388</v>
      </c>
      <c r="AW71" s="17">
        <f>MIN(AU70:AU87)</f>
        <v>0</v>
      </c>
      <c r="AY71" s="17" t="s">
        <v>384</v>
      </c>
      <c r="AZ71" s="17" t="s">
        <v>39</v>
      </c>
      <c r="BA71" s="17" t="s">
        <v>385</v>
      </c>
      <c r="BB71" s="17" t="s">
        <v>386</v>
      </c>
      <c r="BD71" s="5" t="s">
        <v>230</v>
      </c>
      <c r="BE71">
        <v>0</v>
      </c>
      <c r="BF71" s="17"/>
      <c r="BG71" s="17"/>
      <c r="BI71" s="17" t="s">
        <v>384</v>
      </c>
      <c r="BJ71" s="17" t="s">
        <v>39</v>
      </c>
      <c r="BK71" s="17" t="s">
        <v>385</v>
      </c>
      <c r="BL71" s="17" t="s">
        <v>386</v>
      </c>
      <c r="BN71" s="5" t="s">
        <v>281</v>
      </c>
      <c r="BO71">
        <v>1</v>
      </c>
      <c r="BP71" s="17"/>
      <c r="BQ71" s="17"/>
      <c r="BS71" s="5" t="s">
        <v>292</v>
      </c>
      <c r="BT71">
        <v>3</v>
      </c>
      <c r="BU71" s="30" t="s">
        <v>389</v>
      </c>
      <c r="BV71" s="17">
        <f>MAX(BT69:BT77)</f>
        <v>3</v>
      </c>
      <c r="BX71" s="61" t="s">
        <v>283</v>
      </c>
      <c r="BY71" s="62">
        <v>2</v>
      </c>
      <c r="BZ71" s="58"/>
      <c r="CA71" s="58"/>
      <c r="CC71" s="5" t="s">
        <v>311</v>
      </c>
      <c r="CD71">
        <v>0</v>
      </c>
      <c r="CE71" s="17"/>
      <c r="CF71" s="17"/>
      <c r="CH71" s="5" t="s">
        <v>322</v>
      </c>
      <c r="CI71">
        <v>3</v>
      </c>
      <c r="CJ71" s="30" t="s">
        <v>388</v>
      </c>
      <c r="CK71" s="17">
        <f>MIN(CI70:CI76)</f>
        <v>2</v>
      </c>
      <c r="CW71" s="61" t="s">
        <v>343</v>
      </c>
      <c r="CX71" s="62">
        <v>0</v>
      </c>
    </row>
    <row r="72" spans="1:102" x14ac:dyDescent="0.25">
      <c r="A72" s="5" t="s">
        <v>55</v>
      </c>
      <c r="B72" s="27">
        <v>0</v>
      </c>
      <c r="C72" s="17"/>
      <c r="D72" s="17"/>
      <c r="F72" s="5" t="s">
        <v>67</v>
      </c>
      <c r="G72">
        <v>0</v>
      </c>
      <c r="H72" s="30" t="s">
        <v>389</v>
      </c>
      <c r="I72" s="17">
        <f>MAX(G70:G76)</f>
        <v>1</v>
      </c>
      <c r="K72" s="5" t="s">
        <v>80</v>
      </c>
      <c r="L72">
        <v>0</v>
      </c>
      <c r="M72" s="17"/>
      <c r="N72" s="17"/>
      <c r="P72" s="5" t="s">
        <v>90</v>
      </c>
      <c r="Q72">
        <v>0</v>
      </c>
      <c r="R72" s="30" t="s">
        <v>389</v>
      </c>
      <c r="S72" s="17">
        <f>MAX(Q70:Q76)</f>
        <v>2</v>
      </c>
      <c r="U72" s="5" t="s">
        <v>127</v>
      </c>
      <c r="V72">
        <v>2</v>
      </c>
      <c r="Z72" s="61" t="s">
        <v>113</v>
      </c>
      <c r="AA72" s="62">
        <v>2</v>
      </c>
      <c r="AE72" s="5" t="s">
        <v>139</v>
      </c>
      <c r="AF72">
        <v>0</v>
      </c>
      <c r="AG72" s="17"/>
      <c r="AH72" s="17"/>
      <c r="AJ72" s="5" t="s">
        <v>144</v>
      </c>
      <c r="AK72">
        <v>9</v>
      </c>
      <c r="AL72" s="30" t="s">
        <v>389</v>
      </c>
      <c r="AM72" s="17">
        <f>MAX(AK70:AK76)</f>
        <v>31</v>
      </c>
      <c r="AO72" s="5" t="s">
        <v>159</v>
      </c>
      <c r="AP72">
        <v>1</v>
      </c>
      <c r="AQ72" s="17"/>
      <c r="AR72" s="17"/>
      <c r="AT72" s="5" t="s">
        <v>177</v>
      </c>
      <c r="AU72">
        <v>0</v>
      </c>
      <c r="AV72" s="30" t="s">
        <v>389</v>
      </c>
      <c r="AW72" s="17">
        <f>MAX(AU70:AU87)</f>
        <v>2</v>
      </c>
      <c r="AY72" s="5" t="s">
        <v>192</v>
      </c>
      <c r="AZ72">
        <v>0</v>
      </c>
      <c r="BA72" s="30" t="s">
        <v>387</v>
      </c>
      <c r="BB72" s="17">
        <f>SUM(AZ72:AZ101)</f>
        <v>19</v>
      </c>
      <c r="BD72" s="5" t="s">
        <v>231</v>
      </c>
      <c r="BE72">
        <v>1</v>
      </c>
      <c r="BF72" s="17"/>
      <c r="BG72" s="17"/>
      <c r="BI72" s="5" t="s">
        <v>245</v>
      </c>
      <c r="BJ72">
        <v>3</v>
      </c>
      <c r="BK72" s="30" t="s">
        <v>387</v>
      </c>
      <c r="BL72" s="17">
        <f>SUM(BJ72:BJ101)</f>
        <v>39</v>
      </c>
      <c r="BN72" s="5" t="s">
        <v>282</v>
      </c>
      <c r="BO72">
        <v>0</v>
      </c>
      <c r="BP72" s="17"/>
      <c r="BQ72" s="17"/>
      <c r="BS72" s="5" t="s">
        <v>293</v>
      </c>
      <c r="BT72">
        <v>0</v>
      </c>
      <c r="BU72" s="30" t="s">
        <v>390</v>
      </c>
      <c r="BV72" s="17">
        <f>VAR(BT69:BT77)</f>
        <v>1.0277777777777777</v>
      </c>
      <c r="BX72" s="61" t="s">
        <v>285</v>
      </c>
      <c r="BY72" s="62">
        <v>0</v>
      </c>
      <c r="BZ72" s="58"/>
      <c r="CA72" s="58"/>
      <c r="CC72" s="5" t="s">
        <v>312</v>
      </c>
      <c r="CD72">
        <v>0</v>
      </c>
      <c r="CE72" s="17"/>
      <c r="CF72" s="17"/>
      <c r="CH72" s="5" t="s">
        <v>323</v>
      </c>
      <c r="CI72">
        <v>10</v>
      </c>
      <c r="CJ72" s="30" t="s">
        <v>389</v>
      </c>
      <c r="CK72" s="17">
        <f>MAX(CI70:CI76)</f>
        <v>23</v>
      </c>
      <c r="CW72" s="61" t="s">
        <v>344</v>
      </c>
      <c r="CX72" s="62">
        <v>0</v>
      </c>
    </row>
    <row r="73" spans="1:102" x14ac:dyDescent="0.25">
      <c r="A73" s="5" t="s">
        <v>56</v>
      </c>
      <c r="B73" s="27">
        <v>0</v>
      </c>
      <c r="C73" s="17"/>
      <c r="D73" s="17"/>
      <c r="F73" s="5" t="s">
        <v>68</v>
      </c>
      <c r="G73">
        <v>0</v>
      </c>
      <c r="H73" s="30" t="s">
        <v>390</v>
      </c>
      <c r="I73" s="17">
        <f>VAR(G70:G76)</f>
        <v>0.14285714285714288</v>
      </c>
      <c r="K73" s="5" t="s">
        <v>81</v>
      </c>
      <c r="L73">
        <v>0</v>
      </c>
      <c r="M73" s="17"/>
      <c r="N73" s="17"/>
      <c r="P73" s="5" t="s">
        <v>91</v>
      </c>
      <c r="Q73">
        <v>0</v>
      </c>
      <c r="R73" s="30" t="s">
        <v>390</v>
      </c>
      <c r="S73" s="17">
        <f>VAR(Q70:Q76)</f>
        <v>0.57142857142857151</v>
      </c>
      <c r="U73" s="5" t="s">
        <v>128</v>
      </c>
      <c r="V73">
        <v>0</v>
      </c>
      <c r="Z73" s="64" t="s">
        <v>114</v>
      </c>
      <c r="AA73" s="62">
        <v>0</v>
      </c>
      <c r="AE73" s="5" t="s">
        <v>140</v>
      </c>
      <c r="AF73">
        <v>0</v>
      </c>
      <c r="AG73" s="17"/>
      <c r="AH73" s="17"/>
      <c r="AJ73" s="5" t="s">
        <v>145</v>
      </c>
      <c r="AK73">
        <v>8</v>
      </c>
      <c r="AL73" s="30" t="s">
        <v>390</v>
      </c>
      <c r="AM73" s="17">
        <f>VAR(AK70:AK76)</f>
        <v>85.238095238095227</v>
      </c>
      <c r="AO73" s="5" t="s">
        <v>100</v>
      </c>
      <c r="AP73">
        <v>0</v>
      </c>
      <c r="AQ73" s="17"/>
      <c r="AR73" s="17"/>
      <c r="AT73" s="5" t="s">
        <v>178</v>
      </c>
      <c r="AU73">
        <v>0</v>
      </c>
      <c r="AV73" s="30" t="s">
        <v>390</v>
      </c>
      <c r="AW73" s="17">
        <f>VAR(AU70:AU87)</f>
        <v>0.33006535947712418</v>
      </c>
      <c r="AY73" s="5" t="s">
        <v>193</v>
      </c>
      <c r="AZ73">
        <v>1</v>
      </c>
      <c r="BA73" s="30" t="s">
        <v>388</v>
      </c>
      <c r="BB73" s="17">
        <f>MIN(AZ72:AZ101)</f>
        <v>0</v>
      </c>
      <c r="BD73" s="5" t="s">
        <v>232</v>
      </c>
      <c r="BE73">
        <v>1</v>
      </c>
      <c r="BF73" s="17"/>
      <c r="BG73" s="17"/>
      <c r="BI73" s="5" t="s">
        <v>73</v>
      </c>
      <c r="BJ73">
        <v>0</v>
      </c>
      <c r="BK73" s="30" t="s">
        <v>388</v>
      </c>
      <c r="BL73" s="17">
        <f>MIN(BJ72:BJ101)</f>
        <v>0</v>
      </c>
      <c r="BN73" s="5" t="s">
        <v>283</v>
      </c>
      <c r="BO73">
        <v>1</v>
      </c>
      <c r="BP73" s="17"/>
      <c r="BQ73" s="17"/>
      <c r="BS73" s="5" t="s">
        <v>294</v>
      </c>
      <c r="BT73">
        <v>0</v>
      </c>
      <c r="BU73" s="30" t="s">
        <v>391</v>
      </c>
      <c r="BV73" s="17">
        <f>AVERAGE(BT69:BT77)</f>
        <v>0.44444444444444442</v>
      </c>
      <c r="BX73" s="61" t="s">
        <v>284</v>
      </c>
      <c r="BY73" s="62">
        <v>6</v>
      </c>
      <c r="BZ73" s="58"/>
      <c r="CA73" s="58"/>
      <c r="CC73" s="5" t="s">
        <v>313</v>
      </c>
      <c r="CD73">
        <v>1</v>
      </c>
      <c r="CE73" s="17"/>
      <c r="CF73" s="17"/>
      <c r="CH73" s="5" t="s">
        <v>324</v>
      </c>
      <c r="CI73">
        <v>23</v>
      </c>
      <c r="CJ73" s="30" t="s">
        <v>390</v>
      </c>
      <c r="CK73" s="17">
        <f>VAR(CI70:CI76)</f>
        <v>53.952380952380956</v>
      </c>
      <c r="CW73" s="61" t="s">
        <v>345</v>
      </c>
      <c r="CX73" s="62">
        <v>0</v>
      </c>
    </row>
    <row r="74" spans="1:102" x14ac:dyDescent="0.25">
      <c r="A74" s="5" t="s">
        <v>57</v>
      </c>
      <c r="B74" s="27">
        <v>0</v>
      </c>
      <c r="C74" s="17"/>
      <c r="D74" s="17"/>
      <c r="F74" s="5" t="s">
        <v>69</v>
      </c>
      <c r="G74">
        <v>1</v>
      </c>
      <c r="H74" s="30" t="s">
        <v>391</v>
      </c>
      <c r="I74" s="17">
        <f>AVERAGE(G70:G76)</f>
        <v>0.14285714285714285</v>
      </c>
      <c r="K74" s="5" t="s">
        <v>82</v>
      </c>
      <c r="L74">
        <v>1</v>
      </c>
      <c r="M74" s="17"/>
      <c r="N74" s="17"/>
      <c r="P74" s="5" t="s">
        <v>92</v>
      </c>
      <c r="Q74">
        <v>0</v>
      </c>
      <c r="R74" s="30" t="s">
        <v>391</v>
      </c>
      <c r="S74" s="17">
        <f>AVERAGE(Q70:Q76)</f>
        <v>0.2857142857142857</v>
      </c>
      <c r="Z74" s="64" t="s">
        <v>115</v>
      </c>
      <c r="AA74" s="62">
        <v>0</v>
      </c>
      <c r="AE74" s="5" t="s">
        <v>141</v>
      </c>
      <c r="AF74">
        <v>1</v>
      </c>
      <c r="AG74" s="17"/>
      <c r="AH74" s="17"/>
      <c r="AJ74" s="5" t="s">
        <v>146</v>
      </c>
      <c r="AK74">
        <v>8</v>
      </c>
      <c r="AL74" s="30" t="s">
        <v>391</v>
      </c>
      <c r="AM74" s="17">
        <f>AVERAGE(AK70:AK76)</f>
        <v>15.714285714285714</v>
      </c>
      <c r="AO74" s="5" t="s">
        <v>161</v>
      </c>
      <c r="AP74">
        <v>0</v>
      </c>
      <c r="AQ74" s="17"/>
      <c r="AR74" s="17"/>
      <c r="AT74" s="5" t="s">
        <v>179</v>
      </c>
      <c r="AU74">
        <v>0</v>
      </c>
      <c r="AV74" s="30" t="s">
        <v>391</v>
      </c>
      <c r="AW74" s="17">
        <f>AVERAGE(AU70:AU87)</f>
        <v>0.27777777777777779</v>
      </c>
      <c r="AY74" s="5" t="s">
        <v>194</v>
      </c>
      <c r="AZ74">
        <v>2</v>
      </c>
      <c r="BA74" s="30" t="s">
        <v>389</v>
      </c>
      <c r="BB74" s="17">
        <f>MAX(AZ72:AZ101)</f>
        <v>3</v>
      </c>
      <c r="BD74" s="5" t="s">
        <v>233</v>
      </c>
      <c r="BE74">
        <v>1</v>
      </c>
      <c r="BF74" s="17"/>
      <c r="BG74" s="17"/>
      <c r="BI74" s="5" t="s">
        <v>246</v>
      </c>
      <c r="BJ74">
        <v>1</v>
      </c>
      <c r="BK74" s="30" t="s">
        <v>389</v>
      </c>
      <c r="BL74" s="17">
        <f>MAX(BJ72:BJ101)</f>
        <v>6</v>
      </c>
      <c r="BN74" s="5" t="s">
        <v>285</v>
      </c>
      <c r="BO74">
        <v>1</v>
      </c>
      <c r="BP74" s="17"/>
      <c r="BQ74" s="17"/>
      <c r="BS74" s="5" t="s">
        <v>295</v>
      </c>
      <c r="BT74">
        <v>0</v>
      </c>
      <c r="BU74" s="30" t="s">
        <v>392</v>
      </c>
      <c r="BV74" s="17">
        <f>STDEV(BT69:BT77)</f>
        <v>1.0137937550497031</v>
      </c>
      <c r="BX74" s="61" t="s">
        <v>286</v>
      </c>
      <c r="BY74" s="62">
        <v>1</v>
      </c>
      <c r="BZ74" s="58"/>
      <c r="CA74" s="58"/>
      <c r="CC74" s="5" t="s">
        <v>314</v>
      </c>
      <c r="CD74">
        <v>0</v>
      </c>
      <c r="CH74" s="5" t="s">
        <v>325</v>
      </c>
      <c r="CI74">
        <v>2</v>
      </c>
      <c r="CJ74" s="30" t="s">
        <v>391</v>
      </c>
      <c r="CK74" s="17">
        <f>AVERAGE(CI70:CI76)</f>
        <v>7.4285714285714288</v>
      </c>
      <c r="CW74" s="61" t="s">
        <v>346</v>
      </c>
      <c r="CX74" s="62">
        <v>0</v>
      </c>
    </row>
    <row r="75" spans="1:102" x14ac:dyDescent="0.25">
      <c r="A75" s="5" t="s">
        <v>58</v>
      </c>
      <c r="B75" s="27">
        <v>0</v>
      </c>
      <c r="C75" s="15"/>
      <c r="D75" s="15"/>
      <c r="F75" s="5" t="s">
        <v>70</v>
      </c>
      <c r="G75">
        <v>0</v>
      </c>
      <c r="H75" s="30" t="s">
        <v>392</v>
      </c>
      <c r="I75" s="17">
        <f>STDEV(G70:G76)</f>
        <v>0.37796447300922725</v>
      </c>
      <c r="K75" s="5" t="s">
        <v>83</v>
      </c>
      <c r="L75">
        <v>0</v>
      </c>
      <c r="M75" s="17"/>
      <c r="N75" s="17"/>
      <c r="P75" s="5" t="s">
        <v>93</v>
      </c>
      <c r="Q75">
        <v>0</v>
      </c>
      <c r="R75" s="30" t="s">
        <v>392</v>
      </c>
      <c r="S75" s="17">
        <f>STDEV(Q70:Q76)</f>
        <v>0.75592894601845451</v>
      </c>
      <c r="U75" s="17" t="s">
        <v>382</v>
      </c>
      <c r="V75" s="29" t="s">
        <v>400</v>
      </c>
      <c r="W75" s="17"/>
      <c r="X75" s="17">
        <v>2016</v>
      </c>
      <c r="Z75" s="64" t="s">
        <v>116</v>
      </c>
      <c r="AA75" s="62">
        <v>1</v>
      </c>
      <c r="AE75" s="5" t="s">
        <v>142</v>
      </c>
      <c r="AF75">
        <v>2</v>
      </c>
      <c r="AG75" s="17"/>
      <c r="AH75" s="17"/>
      <c r="AJ75" s="5" t="s">
        <v>147</v>
      </c>
      <c r="AK75">
        <v>15</v>
      </c>
      <c r="AL75" s="30" t="s">
        <v>392</v>
      </c>
      <c r="AM75" s="17">
        <f>STDEV(AK70:AK76)</f>
        <v>9.2324479548002447</v>
      </c>
      <c r="AO75" s="5" t="s">
        <v>162</v>
      </c>
      <c r="AP75">
        <v>0</v>
      </c>
      <c r="AQ75" s="17"/>
      <c r="AR75" s="17"/>
      <c r="AT75" s="5" t="s">
        <v>180</v>
      </c>
      <c r="AU75">
        <v>0</v>
      </c>
      <c r="AV75" s="30" t="s">
        <v>392</v>
      </c>
      <c r="AW75" s="17">
        <f>STDEV(AU70:AU87)</f>
        <v>0.57451314996014158</v>
      </c>
      <c r="AY75" s="5" t="s">
        <v>195</v>
      </c>
      <c r="AZ75">
        <v>1</v>
      </c>
      <c r="BA75" s="30" t="s">
        <v>390</v>
      </c>
      <c r="BB75" s="17">
        <f>VAR(AZ72:AZ101)</f>
        <v>0.65402298850574714</v>
      </c>
      <c r="BD75" s="5" t="s">
        <v>234</v>
      </c>
      <c r="BE75">
        <v>1</v>
      </c>
      <c r="BF75" s="17"/>
      <c r="BG75" s="17"/>
      <c r="BI75" s="5" t="s">
        <v>247</v>
      </c>
      <c r="BJ75">
        <v>1</v>
      </c>
      <c r="BK75" s="30" t="s">
        <v>390</v>
      </c>
      <c r="BL75" s="17">
        <f>VAR(BJ72:BJ101)</f>
        <v>2.3551724137931034</v>
      </c>
      <c r="BN75" s="5" t="s">
        <v>284</v>
      </c>
      <c r="BO75">
        <v>1</v>
      </c>
      <c r="BP75" s="17"/>
      <c r="BQ75" s="17"/>
      <c r="BS75" s="5" t="s">
        <v>296</v>
      </c>
      <c r="BT75">
        <v>0</v>
      </c>
      <c r="BU75" s="17"/>
      <c r="BV75" s="17"/>
      <c r="BX75" s="61" t="s">
        <v>287</v>
      </c>
      <c r="BY75" s="62">
        <v>1</v>
      </c>
      <c r="BZ75" s="58"/>
      <c r="CA75" s="58"/>
      <c r="CC75" s="5" t="s">
        <v>315</v>
      </c>
      <c r="CD75">
        <v>2</v>
      </c>
      <c r="CH75" s="5" t="s">
        <v>326</v>
      </c>
      <c r="CI75">
        <v>4</v>
      </c>
      <c r="CJ75" s="30" t="s">
        <v>392</v>
      </c>
      <c r="CK75" s="17">
        <f>STDEV(CI70:CI76)</f>
        <v>7.3452284479368615</v>
      </c>
      <c r="CM75" s="17" t="s">
        <v>382</v>
      </c>
      <c r="CN75" s="29" t="s">
        <v>442</v>
      </c>
      <c r="CO75" s="17"/>
      <c r="CP75" s="17">
        <v>2016</v>
      </c>
      <c r="CR75" s="17" t="s">
        <v>382</v>
      </c>
      <c r="CS75" s="29" t="s">
        <v>442</v>
      </c>
      <c r="CT75" s="17"/>
      <c r="CU75" s="17">
        <v>2016</v>
      </c>
      <c r="CW75" s="61" t="s">
        <v>347</v>
      </c>
      <c r="CX75" s="62">
        <v>0</v>
      </c>
    </row>
    <row r="76" spans="1:102" x14ac:dyDescent="0.25">
      <c r="A76" s="5" t="s">
        <v>60</v>
      </c>
      <c r="B76" s="27">
        <v>0</v>
      </c>
      <c r="C76" s="17"/>
      <c r="D76" s="17"/>
      <c r="F76" s="5" t="s">
        <v>71</v>
      </c>
      <c r="G76">
        <v>0</v>
      </c>
      <c r="H76" s="17"/>
      <c r="I76" s="17"/>
      <c r="K76" s="5" t="s">
        <v>84</v>
      </c>
      <c r="L76">
        <v>0</v>
      </c>
      <c r="M76" s="17"/>
      <c r="N76" s="17"/>
      <c r="P76" s="5" t="s">
        <v>94</v>
      </c>
      <c r="Q76">
        <v>2</v>
      </c>
      <c r="R76" s="17"/>
      <c r="S76" s="17"/>
      <c r="U76" s="17" t="s">
        <v>383</v>
      </c>
      <c r="V76" s="6" t="s">
        <v>95</v>
      </c>
      <c r="W76" s="17"/>
      <c r="X76" s="17"/>
      <c r="Z76" s="64" t="s">
        <v>117</v>
      </c>
      <c r="AA76" s="62">
        <v>0</v>
      </c>
      <c r="AJ76" s="5" t="s">
        <v>148</v>
      </c>
      <c r="AK76">
        <v>13</v>
      </c>
      <c r="AL76" s="17"/>
      <c r="AM76" s="17"/>
      <c r="AO76" s="5" t="s">
        <v>163</v>
      </c>
      <c r="AP76">
        <v>0</v>
      </c>
      <c r="AQ76" s="17"/>
      <c r="AR76" s="17"/>
      <c r="AT76" s="5" t="s">
        <v>181</v>
      </c>
      <c r="AU76">
        <v>0</v>
      </c>
      <c r="AV76" s="17"/>
      <c r="AW76" s="17"/>
      <c r="AY76" s="5" t="s">
        <v>196</v>
      </c>
      <c r="AZ76">
        <v>1</v>
      </c>
      <c r="BA76" s="30" t="s">
        <v>391</v>
      </c>
      <c r="BB76" s="17">
        <f>AVERAGE(AZ72:AZ101)</f>
        <v>0.6333333333333333</v>
      </c>
      <c r="BD76" s="5" t="s">
        <v>157</v>
      </c>
      <c r="BE76">
        <v>3</v>
      </c>
      <c r="BF76" s="17"/>
      <c r="BG76" s="17"/>
      <c r="BI76" s="5" t="s">
        <v>248</v>
      </c>
      <c r="BJ76">
        <v>1</v>
      </c>
      <c r="BK76" s="30" t="s">
        <v>391</v>
      </c>
      <c r="BL76" s="17">
        <f>AVERAGE(BJ72:BJ101)</f>
        <v>1.3</v>
      </c>
      <c r="BN76" s="5" t="s">
        <v>286</v>
      </c>
      <c r="BO76">
        <v>0</v>
      </c>
      <c r="BP76" s="17"/>
      <c r="BQ76" s="17"/>
      <c r="BS76" s="5" t="s">
        <v>297</v>
      </c>
      <c r="BT76">
        <v>0</v>
      </c>
      <c r="BU76" s="17"/>
      <c r="BV76" s="17"/>
      <c r="BX76" s="61" t="s">
        <v>288</v>
      </c>
      <c r="BY76" s="62">
        <v>1</v>
      </c>
      <c r="BZ76" s="58"/>
      <c r="CA76" s="58"/>
      <c r="CC76" s="5" t="s">
        <v>316</v>
      </c>
      <c r="CD76">
        <v>2</v>
      </c>
      <c r="CH76" s="5" t="s">
        <v>327</v>
      </c>
      <c r="CI76">
        <v>6</v>
      </c>
      <c r="CJ76" s="17"/>
      <c r="CK76" s="17"/>
      <c r="CM76" s="17" t="s">
        <v>383</v>
      </c>
      <c r="CN76" s="6" t="s">
        <v>6</v>
      </c>
      <c r="CO76" s="17"/>
      <c r="CP76" s="17"/>
      <c r="CR76" s="17" t="s">
        <v>383</v>
      </c>
      <c r="CS76" s="6" t="s">
        <v>6</v>
      </c>
      <c r="CT76" s="17"/>
      <c r="CU76" s="17"/>
      <c r="CW76" s="61" t="s">
        <v>348</v>
      </c>
      <c r="CX76" s="62">
        <v>0</v>
      </c>
    </row>
    <row r="77" spans="1:102" x14ac:dyDescent="0.25">
      <c r="A77" s="5" t="s">
        <v>61</v>
      </c>
      <c r="B77" s="27">
        <v>0</v>
      </c>
      <c r="C77" s="17"/>
      <c r="D77" s="17"/>
      <c r="K77" s="5" t="s">
        <v>85</v>
      </c>
      <c r="L77">
        <v>1</v>
      </c>
      <c r="M77" s="17"/>
      <c r="N77" s="17"/>
      <c r="U77" s="17" t="s">
        <v>384</v>
      </c>
      <c r="V77" s="17" t="s">
        <v>39</v>
      </c>
      <c r="W77" s="17" t="s">
        <v>385</v>
      </c>
      <c r="X77" s="17" t="s">
        <v>386</v>
      </c>
      <c r="Z77" s="64" t="s">
        <v>118</v>
      </c>
      <c r="AA77" s="62">
        <v>0</v>
      </c>
      <c r="AE77" s="17" t="s">
        <v>382</v>
      </c>
      <c r="AF77" s="29" t="s">
        <v>366</v>
      </c>
      <c r="AG77" s="17"/>
      <c r="AH77" s="17">
        <v>2016</v>
      </c>
      <c r="AO77" s="5" t="s">
        <v>164</v>
      </c>
      <c r="AP77">
        <v>0</v>
      </c>
      <c r="AQ77" s="17"/>
      <c r="AR77" s="17"/>
      <c r="AT77" s="5" t="s">
        <v>182</v>
      </c>
      <c r="AU77">
        <v>0</v>
      </c>
      <c r="AV77" s="17"/>
      <c r="AW77" s="17"/>
      <c r="AY77" s="5" t="s">
        <v>197</v>
      </c>
      <c r="AZ77">
        <v>0</v>
      </c>
      <c r="BA77" s="30" t="s">
        <v>392</v>
      </c>
      <c r="BB77" s="17">
        <f>STDEV(AZ72:AZ101)</f>
        <v>0.8087168778415269</v>
      </c>
      <c r="BD77" s="5" t="s">
        <v>235</v>
      </c>
      <c r="BE77">
        <v>1</v>
      </c>
      <c r="BF77" s="17"/>
      <c r="BG77" s="17"/>
      <c r="BI77" s="5" t="s">
        <v>249</v>
      </c>
      <c r="BJ77">
        <v>1</v>
      </c>
      <c r="BK77" s="30" t="s">
        <v>392</v>
      </c>
      <c r="BL77" s="17">
        <f>STDEV(BJ72:BJ101)</f>
        <v>1.534657099743491</v>
      </c>
      <c r="BN77" s="5" t="s">
        <v>287</v>
      </c>
      <c r="BO77">
        <v>0</v>
      </c>
      <c r="BP77" s="17"/>
      <c r="BQ77" s="17"/>
      <c r="BS77" s="5" t="s">
        <v>298</v>
      </c>
      <c r="BT77">
        <v>1</v>
      </c>
      <c r="BU77" s="17"/>
      <c r="BV77" s="17"/>
      <c r="BX77" s="61" t="s">
        <v>289</v>
      </c>
      <c r="BY77" s="62">
        <v>6</v>
      </c>
      <c r="BZ77" s="58"/>
      <c r="CA77" s="58"/>
      <c r="CC77" s="5" t="s">
        <v>317</v>
      </c>
      <c r="CD77">
        <v>1</v>
      </c>
      <c r="CM77" s="17" t="s">
        <v>384</v>
      </c>
      <c r="CN77" s="17" t="s">
        <v>39</v>
      </c>
      <c r="CO77" s="17" t="s">
        <v>385</v>
      </c>
      <c r="CP77" s="17" t="s">
        <v>386</v>
      </c>
      <c r="CR77" s="17" t="s">
        <v>384</v>
      </c>
      <c r="CS77" s="17" t="s">
        <v>39</v>
      </c>
      <c r="CT77" s="17" t="s">
        <v>385</v>
      </c>
      <c r="CU77" s="17" t="s">
        <v>386</v>
      </c>
      <c r="CW77" s="61" t="s">
        <v>349</v>
      </c>
      <c r="CX77" s="62">
        <v>0</v>
      </c>
    </row>
    <row r="78" spans="1:102" x14ac:dyDescent="0.25">
      <c r="A78" s="5" t="s">
        <v>62</v>
      </c>
      <c r="B78" s="27">
        <v>0</v>
      </c>
      <c r="C78" s="17"/>
      <c r="D78" s="1"/>
      <c r="F78" s="17" t="s">
        <v>382</v>
      </c>
      <c r="G78" s="29" t="s">
        <v>362</v>
      </c>
      <c r="H78" s="17"/>
      <c r="I78" s="17">
        <v>2016</v>
      </c>
      <c r="K78" s="5" t="s">
        <v>86</v>
      </c>
      <c r="L78">
        <v>0</v>
      </c>
      <c r="M78" s="17"/>
      <c r="N78" s="17"/>
      <c r="P78" s="17" t="s">
        <v>382</v>
      </c>
      <c r="Q78" s="29" t="s">
        <v>401</v>
      </c>
      <c r="R78" s="17"/>
      <c r="S78" s="17">
        <v>2016</v>
      </c>
      <c r="U78" s="5" t="s">
        <v>96</v>
      </c>
      <c r="V78">
        <v>0</v>
      </c>
      <c r="W78" s="30" t="s">
        <v>387</v>
      </c>
      <c r="X78" s="17">
        <f>SUM(V78:V110)</f>
        <v>2</v>
      </c>
      <c r="Z78" s="64" t="s">
        <v>119</v>
      </c>
      <c r="AA78" s="62">
        <v>0</v>
      </c>
      <c r="AE78" s="17" t="s">
        <v>383</v>
      </c>
      <c r="AF78" s="6" t="s">
        <v>9</v>
      </c>
      <c r="AG78" s="17"/>
      <c r="AH78" s="17"/>
      <c r="AJ78" s="17" t="s">
        <v>382</v>
      </c>
      <c r="AK78" s="29" t="s">
        <v>367</v>
      </c>
      <c r="AL78" s="17"/>
      <c r="AM78" s="17">
        <v>2016</v>
      </c>
      <c r="AO78" s="5" t="s">
        <v>165</v>
      </c>
      <c r="AP78">
        <v>0</v>
      </c>
      <c r="AQ78" s="17"/>
      <c r="AR78" s="17"/>
      <c r="AT78" s="5" t="s">
        <v>183</v>
      </c>
      <c r="AU78">
        <v>1</v>
      </c>
      <c r="AV78" s="17"/>
      <c r="AW78" s="17"/>
      <c r="AY78" s="5" t="s">
        <v>198</v>
      </c>
      <c r="AZ78">
        <v>2</v>
      </c>
      <c r="BA78" s="17"/>
      <c r="BB78" s="17"/>
      <c r="BD78" s="5" t="s">
        <v>236</v>
      </c>
      <c r="BE78">
        <v>0</v>
      </c>
      <c r="BF78" s="17"/>
      <c r="BG78" s="17"/>
      <c r="BI78" s="5" t="s">
        <v>250</v>
      </c>
      <c r="BJ78">
        <v>6</v>
      </c>
      <c r="BK78" s="17"/>
      <c r="BL78" s="17"/>
      <c r="BN78" s="5" t="s">
        <v>288</v>
      </c>
      <c r="BO78">
        <v>0</v>
      </c>
      <c r="BP78" s="17"/>
      <c r="BQ78" s="17"/>
      <c r="BX78" s="61" t="s">
        <v>290</v>
      </c>
      <c r="BY78" s="62">
        <v>1</v>
      </c>
      <c r="CC78" s="5" t="s">
        <v>318</v>
      </c>
      <c r="CD78">
        <v>2</v>
      </c>
      <c r="CH78" s="17" t="s">
        <v>382</v>
      </c>
      <c r="CI78" s="29" t="s">
        <v>443</v>
      </c>
      <c r="CJ78" s="17"/>
      <c r="CK78" s="17">
        <v>2016</v>
      </c>
      <c r="CM78" s="5" t="s">
        <v>328</v>
      </c>
      <c r="CN78">
        <v>1</v>
      </c>
      <c r="CO78" s="30" t="s">
        <v>387</v>
      </c>
      <c r="CP78" s="17">
        <f>SUM(CN78:CN110)</f>
        <v>2</v>
      </c>
      <c r="CR78" s="5" t="s">
        <v>333</v>
      </c>
      <c r="CS78">
        <v>1</v>
      </c>
      <c r="CT78" s="30" t="s">
        <v>387</v>
      </c>
      <c r="CU78" s="17">
        <f>SUM(CS78:CS105)</f>
        <v>24</v>
      </c>
      <c r="CW78" s="61" t="s">
        <v>350</v>
      </c>
      <c r="CX78" s="62">
        <v>0</v>
      </c>
    </row>
    <row r="79" spans="1:102" x14ac:dyDescent="0.25">
      <c r="A79" s="5" t="s">
        <v>63</v>
      </c>
      <c r="B79" s="27">
        <v>0</v>
      </c>
      <c r="C79" s="17"/>
      <c r="D79" s="1"/>
      <c r="F79" s="17" t="s">
        <v>383</v>
      </c>
      <c r="G79" s="6" t="s">
        <v>32</v>
      </c>
      <c r="H79" s="17"/>
      <c r="I79" s="17"/>
      <c r="K79" s="5" t="s">
        <v>87</v>
      </c>
      <c r="L79">
        <v>0</v>
      </c>
      <c r="M79" s="17"/>
      <c r="N79" s="17"/>
      <c r="P79" s="17" t="s">
        <v>383</v>
      </c>
      <c r="Q79" s="6" t="s">
        <v>19</v>
      </c>
      <c r="R79" s="17"/>
      <c r="S79" s="17"/>
      <c r="U79" s="5" t="s">
        <v>97</v>
      </c>
      <c r="V79">
        <v>0</v>
      </c>
      <c r="W79" s="30" t="s">
        <v>388</v>
      </c>
      <c r="X79" s="17">
        <f>MIN(V78:V110)</f>
        <v>0</v>
      </c>
      <c r="Z79" s="61" t="s">
        <v>120</v>
      </c>
      <c r="AA79" s="62">
        <v>0</v>
      </c>
      <c r="AE79" s="17" t="s">
        <v>384</v>
      </c>
      <c r="AF79" s="17" t="s">
        <v>39</v>
      </c>
      <c r="AG79" s="17" t="s">
        <v>385</v>
      </c>
      <c r="AH79" s="17" t="s">
        <v>386</v>
      </c>
      <c r="AJ79" s="17" t="s">
        <v>383</v>
      </c>
      <c r="AK79" s="6" t="s">
        <v>33</v>
      </c>
      <c r="AL79" s="17"/>
      <c r="AM79" s="17"/>
      <c r="AO79" s="5" t="s">
        <v>166</v>
      </c>
      <c r="AP79">
        <v>0</v>
      </c>
      <c r="AQ79" s="15"/>
      <c r="AR79" s="15"/>
      <c r="AT79" s="5" t="s">
        <v>184</v>
      </c>
      <c r="AU79">
        <v>0</v>
      </c>
      <c r="AV79" s="17"/>
      <c r="AW79" s="17"/>
      <c r="AY79" s="5" t="s">
        <v>161</v>
      </c>
      <c r="AZ79">
        <v>1</v>
      </c>
      <c r="BA79" s="17"/>
      <c r="BB79" s="17"/>
      <c r="BD79" s="5" t="s">
        <v>237</v>
      </c>
      <c r="BE79">
        <v>1</v>
      </c>
      <c r="BF79" s="15"/>
      <c r="BG79" s="15"/>
      <c r="BI79" s="5" t="s">
        <v>251</v>
      </c>
      <c r="BJ79">
        <v>5</v>
      </c>
      <c r="BK79" s="17"/>
      <c r="BL79" s="17"/>
      <c r="BN79" s="5" t="s">
        <v>289</v>
      </c>
      <c r="BO79">
        <v>0</v>
      </c>
      <c r="BP79" s="17"/>
      <c r="BQ79" s="17"/>
      <c r="BS79" s="17" t="s">
        <v>382</v>
      </c>
      <c r="BT79" s="29" t="s">
        <v>441</v>
      </c>
      <c r="BU79" s="17"/>
      <c r="BV79" s="17">
        <v>2016</v>
      </c>
      <c r="BX79" s="61" t="s">
        <v>291</v>
      </c>
      <c r="BY79" s="62">
        <v>0</v>
      </c>
      <c r="CC79" s="5" t="s">
        <v>319</v>
      </c>
      <c r="CD79">
        <v>1</v>
      </c>
      <c r="CH79" s="17" t="s">
        <v>383</v>
      </c>
      <c r="CI79" s="6" t="s">
        <v>21</v>
      </c>
      <c r="CJ79" s="17"/>
      <c r="CK79" s="17"/>
      <c r="CM79" s="5" t="s">
        <v>329</v>
      </c>
      <c r="CN79">
        <v>0</v>
      </c>
      <c r="CO79" s="30" t="s">
        <v>388</v>
      </c>
      <c r="CP79" s="17">
        <f>MIN(CN78:CN110)</f>
        <v>0</v>
      </c>
      <c r="CR79" s="5" t="s">
        <v>334</v>
      </c>
      <c r="CS79">
        <v>1</v>
      </c>
      <c r="CT79" s="30" t="s">
        <v>388</v>
      </c>
      <c r="CU79" s="17">
        <f>MIN(CS78:CS105)</f>
        <v>0</v>
      </c>
      <c r="CW79" s="61" t="s">
        <v>351</v>
      </c>
      <c r="CX79" s="62">
        <v>1</v>
      </c>
    </row>
    <row r="80" spans="1:102" x14ac:dyDescent="0.25">
      <c r="A80" s="5" t="s">
        <v>64</v>
      </c>
      <c r="B80" s="27">
        <v>0</v>
      </c>
      <c r="C80" s="17"/>
      <c r="D80" s="1"/>
      <c r="F80" s="17" t="s">
        <v>384</v>
      </c>
      <c r="G80" s="17" t="s">
        <v>39</v>
      </c>
      <c r="H80" s="17" t="s">
        <v>385</v>
      </c>
      <c r="I80" s="17" t="s">
        <v>386</v>
      </c>
      <c r="P80" s="17" t="s">
        <v>384</v>
      </c>
      <c r="Q80" s="17" t="s">
        <v>39</v>
      </c>
      <c r="R80" s="17" t="s">
        <v>385</v>
      </c>
      <c r="S80" s="17" t="s">
        <v>386</v>
      </c>
      <c r="U80" s="5" t="s">
        <v>98</v>
      </c>
      <c r="V80">
        <v>0</v>
      </c>
      <c r="W80" s="30" t="s">
        <v>389</v>
      </c>
      <c r="X80" s="17">
        <f>MAX(V78:V110)</f>
        <v>1</v>
      </c>
      <c r="Z80" s="61" t="s">
        <v>121</v>
      </c>
      <c r="AA80" s="62">
        <v>0</v>
      </c>
      <c r="AE80" s="5" t="s">
        <v>129</v>
      </c>
      <c r="AF80">
        <v>1</v>
      </c>
      <c r="AG80" s="30" t="s">
        <v>387</v>
      </c>
      <c r="AH80" s="17">
        <f>SUM(AF80:AF94)</f>
        <v>4</v>
      </c>
      <c r="AJ80" s="17" t="s">
        <v>384</v>
      </c>
      <c r="AK80" s="17" t="s">
        <v>39</v>
      </c>
      <c r="AL80" s="17" t="s">
        <v>385</v>
      </c>
      <c r="AM80" s="17" t="s">
        <v>386</v>
      </c>
      <c r="AO80" s="5" t="s">
        <v>168</v>
      </c>
      <c r="AP80">
        <v>0</v>
      </c>
      <c r="AQ80" s="17"/>
      <c r="AR80" s="17"/>
      <c r="AT80" s="5" t="s">
        <v>185</v>
      </c>
      <c r="AU80">
        <v>1</v>
      </c>
      <c r="AV80" s="17"/>
      <c r="AW80" s="17"/>
      <c r="AY80" s="5" t="s">
        <v>199</v>
      </c>
      <c r="AZ80">
        <v>1</v>
      </c>
      <c r="BA80" s="17"/>
      <c r="BB80" s="17"/>
      <c r="BD80" s="5" t="s">
        <v>238</v>
      </c>
      <c r="BE80">
        <v>1</v>
      </c>
      <c r="BI80" s="5" t="s">
        <v>252</v>
      </c>
      <c r="BJ80">
        <v>3</v>
      </c>
      <c r="BK80" s="17"/>
      <c r="BL80" s="17"/>
      <c r="BS80" s="17" t="s">
        <v>383</v>
      </c>
      <c r="BT80" s="6" t="s">
        <v>22</v>
      </c>
      <c r="BU80" s="17"/>
      <c r="BV80" s="17"/>
      <c r="BX80" s="61" t="s">
        <v>292</v>
      </c>
      <c r="BY80" s="62">
        <v>0</v>
      </c>
      <c r="CC80" s="5" t="s">
        <v>320</v>
      </c>
      <c r="CD80">
        <v>0</v>
      </c>
      <c r="CH80" s="17" t="s">
        <v>384</v>
      </c>
      <c r="CI80" s="17" t="s">
        <v>39</v>
      </c>
      <c r="CJ80" s="17" t="s">
        <v>385</v>
      </c>
      <c r="CK80" s="17" t="s">
        <v>386</v>
      </c>
      <c r="CM80" s="5" t="s">
        <v>330</v>
      </c>
      <c r="CN80">
        <v>1</v>
      </c>
      <c r="CO80" s="30" t="s">
        <v>389</v>
      </c>
      <c r="CP80" s="17">
        <f>MAX(CN78:CN110)</f>
        <v>1</v>
      </c>
      <c r="CR80" s="5" t="s">
        <v>335</v>
      </c>
      <c r="CS80">
        <v>0</v>
      </c>
      <c r="CT80" s="30" t="s">
        <v>389</v>
      </c>
      <c r="CU80" s="17">
        <f>MAX(CS78:CS105)</f>
        <v>5</v>
      </c>
      <c r="CW80" s="61" t="s">
        <v>352</v>
      </c>
      <c r="CX80" s="62">
        <v>1</v>
      </c>
    </row>
    <row r="81" spans="1:104" x14ac:dyDescent="0.25">
      <c r="A81" s="15"/>
      <c r="B81" s="16"/>
      <c r="C81" s="17"/>
      <c r="D81" s="17"/>
      <c r="F81" s="5" t="s">
        <v>65</v>
      </c>
      <c r="G81">
        <v>5</v>
      </c>
      <c r="H81" s="30" t="s">
        <v>387</v>
      </c>
      <c r="I81" s="17">
        <f>SUM(G81:G87)</f>
        <v>44</v>
      </c>
      <c r="K81" s="17" t="s">
        <v>382</v>
      </c>
      <c r="L81" s="29" t="s">
        <v>363</v>
      </c>
      <c r="M81" s="17"/>
      <c r="N81" s="17">
        <v>2016</v>
      </c>
      <c r="P81" s="5" t="s">
        <v>88</v>
      </c>
      <c r="Q81">
        <v>5</v>
      </c>
      <c r="R81" s="30" t="s">
        <v>387</v>
      </c>
      <c r="S81" s="17">
        <f>SUM(Q81:Q87)</f>
        <v>22</v>
      </c>
      <c r="U81" s="5" t="s">
        <v>99</v>
      </c>
      <c r="V81">
        <v>0</v>
      </c>
      <c r="W81" s="30" t="s">
        <v>390</v>
      </c>
      <c r="X81" s="17">
        <f>VAR(V78:V110)</f>
        <v>5.8712121212121215E-2</v>
      </c>
      <c r="Z81" s="61" t="s">
        <v>122</v>
      </c>
      <c r="AA81" s="62">
        <v>0</v>
      </c>
      <c r="AE81" s="5" t="s">
        <v>130</v>
      </c>
      <c r="AF81">
        <v>1</v>
      </c>
      <c r="AG81" s="30" t="s">
        <v>388</v>
      </c>
      <c r="AH81" s="17">
        <f>MIN(AF80:AF94)</f>
        <v>0</v>
      </c>
      <c r="AJ81" s="5" t="s">
        <v>143</v>
      </c>
      <c r="AK81">
        <v>0</v>
      </c>
      <c r="AL81" s="30" t="s">
        <v>387</v>
      </c>
      <c r="AM81" s="17">
        <f>SUM(AK81:AK87)</f>
        <v>1</v>
      </c>
      <c r="AO81" s="5" t="s">
        <v>169</v>
      </c>
      <c r="AP81">
        <v>0</v>
      </c>
      <c r="AQ81" s="17"/>
      <c r="AR81" s="17"/>
      <c r="AT81" s="5" t="s">
        <v>186</v>
      </c>
      <c r="AU81">
        <v>2</v>
      </c>
      <c r="AV81" s="17"/>
      <c r="AW81" s="17"/>
      <c r="AY81" s="5" t="s">
        <v>200</v>
      </c>
      <c r="AZ81">
        <v>0</v>
      </c>
      <c r="BA81" s="17"/>
      <c r="BB81" s="17"/>
      <c r="BD81" s="5" t="s">
        <v>239</v>
      </c>
      <c r="BE81">
        <v>3</v>
      </c>
      <c r="BI81" s="5" t="s">
        <v>253</v>
      </c>
      <c r="BJ81">
        <v>0</v>
      </c>
      <c r="BK81" s="17"/>
      <c r="BL81" s="17"/>
      <c r="BN81" s="17" t="s">
        <v>382</v>
      </c>
      <c r="BO81" s="29" t="s">
        <v>440</v>
      </c>
      <c r="BP81" s="17"/>
      <c r="BQ81" s="17">
        <v>2016</v>
      </c>
      <c r="BS81" s="17" t="s">
        <v>384</v>
      </c>
      <c r="BT81" s="17" t="s">
        <v>39</v>
      </c>
      <c r="BU81" s="17" t="s">
        <v>385</v>
      </c>
      <c r="BV81" s="17" t="s">
        <v>386</v>
      </c>
      <c r="BX81" s="61" t="s">
        <v>293</v>
      </c>
      <c r="BY81" s="62">
        <v>2</v>
      </c>
      <c r="CH81" s="5" t="s">
        <v>321</v>
      </c>
      <c r="CI81">
        <v>0</v>
      </c>
      <c r="CJ81" s="30" t="s">
        <v>387</v>
      </c>
      <c r="CK81" s="17">
        <f>SUM(CI81:CI87)</f>
        <v>1</v>
      </c>
      <c r="CM81" s="5" t="s">
        <v>331</v>
      </c>
      <c r="CN81">
        <v>0</v>
      </c>
      <c r="CO81" s="30" t="s">
        <v>390</v>
      </c>
      <c r="CP81" s="17">
        <f>VAR(CN78:CN110)</f>
        <v>0.3</v>
      </c>
      <c r="CR81" s="5" t="s">
        <v>43</v>
      </c>
      <c r="CS81">
        <v>1</v>
      </c>
      <c r="CT81" s="30" t="s">
        <v>390</v>
      </c>
      <c r="CU81" s="17">
        <f>VAR(CS78:CS105)</f>
        <v>1.3862433862433863</v>
      </c>
      <c r="CW81" s="61" t="s">
        <v>353</v>
      </c>
      <c r="CX81" s="62">
        <v>0</v>
      </c>
    </row>
    <row r="82" spans="1:104" x14ac:dyDescent="0.25">
      <c r="A82" s="17" t="s">
        <v>382</v>
      </c>
      <c r="B82" s="29" t="s">
        <v>361</v>
      </c>
      <c r="C82" s="17"/>
      <c r="D82" s="17">
        <v>2016</v>
      </c>
      <c r="F82" s="5" t="s">
        <v>66</v>
      </c>
      <c r="G82">
        <v>7</v>
      </c>
      <c r="H82" s="30" t="s">
        <v>388</v>
      </c>
      <c r="I82" s="17">
        <f>MIN(G81:G87)</f>
        <v>2</v>
      </c>
      <c r="K82" s="17" t="s">
        <v>383</v>
      </c>
      <c r="L82" s="6" t="s">
        <v>11</v>
      </c>
      <c r="M82" s="17"/>
      <c r="N82" s="17"/>
      <c r="P82" s="5" t="s">
        <v>89</v>
      </c>
      <c r="Q82">
        <v>3</v>
      </c>
      <c r="R82" s="30" t="s">
        <v>388</v>
      </c>
      <c r="S82" s="17">
        <f>MIN(Q81:Q87)</f>
        <v>1</v>
      </c>
      <c r="U82" s="5" t="s">
        <v>100</v>
      </c>
      <c r="V82">
        <v>1</v>
      </c>
      <c r="W82" s="30" t="s">
        <v>391</v>
      </c>
      <c r="X82" s="17">
        <f>AVERAGE(V78:V110)</f>
        <v>6.0606060606060608E-2</v>
      </c>
      <c r="Z82" s="61" t="s">
        <v>123</v>
      </c>
      <c r="AA82" s="62">
        <v>1</v>
      </c>
      <c r="AE82" s="5" t="s">
        <v>131</v>
      </c>
      <c r="AF82">
        <v>0</v>
      </c>
      <c r="AG82" s="30" t="s">
        <v>389</v>
      </c>
      <c r="AH82" s="17">
        <f>MAX(AF80:AF94)</f>
        <v>1</v>
      </c>
      <c r="AJ82" s="5" t="s">
        <v>67</v>
      </c>
      <c r="AK82">
        <v>1</v>
      </c>
      <c r="AL82" s="30" t="s">
        <v>388</v>
      </c>
      <c r="AM82" s="17">
        <f>MIN(AK81:AK87)</f>
        <v>0</v>
      </c>
      <c r="AO82" s="5" t="s">
        <v>170</v>
      </c>
      <c r="AP82">
        <v>0</v>
      </c>
      <c r="AQ82" s="17"/>
      <c r="AR82" s="1"/>
      <c r="AT82" s="5" t="s">
        <v>187</v>
      </c>
      <c r="AU82">
        <v>0</v>
      </c>
      <c r="AV82" s="17"/>
      <c r="AW82" s="17"/>
      <c r="AY82" s="5" t="s">
        <v>201</v>
      </c>
      <c r="AZ82">
        <v>3</v>
      </c>
      <c r="BA82" s="17"/>
      <c r="BB82" s="17"/>
      <c r="BD82" s="5" t="s">
        <v>240</v>
      </c>
      <c r="BE82">
        <v>0</v>
      </c>
      <c r="BI82" s="5" t="s">
        <v>254</v>
      </c>
      <c r="BJ82">
        <v>1</v>
      </c>
      <c r="BK82" s="17"/>
      <c r="BL82" s="17"/>
      <c r="BN82" s="17" t="s">
        <v>383</v>
      </c>
      <c r="BO82" s="6" t="s">
        <v>11</v>
      </c>
      <c r="BP82" s="17"/>
      <c r="BQ82" s="17"/>
      <c r="BS82" s="5" t="s">
        <v>290</v>
      </c>
      <c r="BT82">
        <v>0</v>
      </c>
      <c r="BU82" s="30" t="s">
        <v>387</v>
      </c>
      <c r="BV82" s="17">
        <f>SUM(BT82:BT90)</f>
        <v>5</v>
      </c>
      <c r="BX82" s="61" t="s">
        <v>294</v>
      </c>
      <c r="BY82" s="62">
        <v>1</v>
      </c>
      <c r="CC82" s="17" t="s">
        <v>382</v>
      </c>
      <c r="CD82" s="29" t="s">
        <v>375</v>
      </c>
      <c r="CE82" s="17"/>
      <c r="CF82" s="17">
        <v>2016</v>
      </c>
      <c r="CH82" s="5" t="s">
        <v>322</v>
      </c>
      <c r="CI82">
        <v>0</v>
      </c>
      <c r="CJ82" s="30" t="s">
        <v>388</v>
      </c>
      <c r="CK82" s="17">
        <f>MIN(CI81:CI87)</f>
        <v>0</v>
      </c>
      <c r="CM82" s="5" t="s">
        <v>332</v>
      </c>
      <c r="CN82">
        <v>0</v>
      </c>
      <c r="CO82" s="30" t="s">
        <v>391</v>
      </c>
      <c r="CP82" s="17">
        <f>AVERAGE(CN78:CN110)</f>
        <v>0.4</v>
      </c>
      <c r="CR82" s="5" t="s">
        <v>336</v>
      </c>
      <c r="CS82">
        <v>2</v>
      </c>
      <c r="CT82" s="30" t="s">
        <v>391</v>
      </c>
      <c r="CU82" s="17">
        <f>AVERAGE(CS78:CS105)</f>
        <v>0.8571428571428571</v>
      </c>
      <c r="CW82" s="61" t="s">
        <v>354</v>
      </c>
      <c r="CX82" s="62">
        <v>0</v>
      </c>
    </row>
    <row r="83" spans="1:104" x14ac:dyDescent="0.25">
      <c r="A83" s="17" t="s">
        <v>383</v>
      </c>
      <c r="B83" s="6" t="s">
        <v>9</v>
      </c>
      <c r="C83" s="17"/>
      <c r="D83" s="17"/>
      <c r="F83" s="5" t="s">
        <v>67</v>
      </c>
      <c r="G83">
        <v>10</v>
      </c>
      <c r="H83" s="30" t="s">
        <v>389</v>
      </c>
      <c r="I83" s="17">
        <f>MAX(G81:G87)</f>
        <v>10</v>
      </c>
      <c r="K83" s="17" t="s">
        <v>384</v>
      </c>
      <c r="L83" s="17" t="s">
        <v>39</v>
      </c>
      <c r="M83" s="17" t="s">
        <v>385</v>
      </c>
      <c r="N83" s="17" t="s">
        <v>386</v>
      </c>
      <c r="P83" s="5" t="s">
        <v>90</v>
      </c>
      <c r="Q83">
        <v>2</v>
      </c>
      <c r="R83" s="30" t="s">
        <v>389</v>
      </c>
      <c r="S83" s="17">
        <f>MAX(Q81:Q87)</f>
        <v>5</v>
      </c>
      <c r="U83" s="5" t="s">
        <v>101</v>
      </c>
      <c r="V83">
        <v>0</v>
      </c>
      <c r="W83" s="30" t="s">
        <v>392</v>
      </c>
      <c r="X83" s="17">
        <f>STDEV(V78:V110)</f>
        <v>0.24230584229877994</v>
      </c>
      <c r="Z83" s="61" t="s">
        <v>124</v>
      </c>
      <c r="AA83" s="62">
        <v>1</v>
      </c>
      <c r="AE83" s="5" t="s">
        <v>132</v>
      </c>
      <c r="AF83">
        <v>1</v>
      </c>
      <c r="AG83" s="30" t="s">
        <v>390</v>
      </c>
      <c r="AH83" s="17">
        <f>VAR(AF80:AF94)</f>
        <v>0.20952380952380953</v>
      </c>
      <c r="AJ83" s="5" t="s">
        <v>144</v>
      </c>
      <c r="AK83">
        <v>0</v>
      </c>
      <c r="AL83" s="30" t="s">
        <v>389</v>
      </c>
      <c r="AM83" s="17">
        <f>MAX(AK81:AK87)</f>
        <v>1</v>
      </c>
      <c r="AO83" s="5" t="s">
        <v>171</v>
      </c>
      <c r="AP83">
        <v>0</v>
      </c>
      <c r="AQ83" s="17"/>
      <c r="AR83" s="1"/>
      <c r="AT83" s="5" t="s">
        <v>188</v>
      </c>
      <c r="AU83">
        <v>0</v>
      </c>
      <c r="AV83" s="17"/>
      <c r="AW83" s="17"/>
      <c r="AY83" s="5" t="s">
        <v>202</v>
      </c>
      <c r="AZ83">
        <v>1</v>
      </c>
      <c r="BA83" s="17"/>
      <c r="BB83" s="17"/>
      <c r="BD83" s="5" t="s">
        <v>241</v>
      </c>
      <c r="BE83">
        <v>0</v>
      </c>
      <c r="BI83" s="5" t="s">
        <v>255</v>
      </c>
      <c r="BJ83">
        <v>0</v>
      </c>
      <c r="BK83" s="17"/>
      <c r="BL83" s="17"/>
      <c r="BN83" s="17" t="s">
        <v>384</v>
      </c>
      <c r="BO83" s="17" t="s">
        <v>39</v>
      </c>
      <c r="BP83" s="17" t="s">
        <v>385</v>
      </c>
      <c r="BQ83" s="17" t="s">
        <v>386</v>
      </c>
      <c r="BS83" s="5" t="s">
        <v>291</v>
      </c>
      <c r="BT83">
        <v>0</v>
      </c>
      <c r="BU83" s="30" t="s">
        <v>388</v>
      </c>
      <c r="BV83" s="17">
        <f>MIN(BT82:BT90)</f>
        <v>0</v>
      </c>
      <c r="BX83" s="61" t="s">
        <v>295</v>
      </c>
      <c r="BY83" s="62">
        <v>1</v>
      </c>
      <c r="CC83" s="17" t="s">
        <v>383</v>
      </c>
      <c r="CD83" s="6" t="s">
        <v>8</v>
      </c>
      <c r="CE83" s="17"/>
      <c r="CF83" s="17"/>
      <c r="CH83" s="5" t="s">
        <v>323</v>
      </c>
      <c r="CI83">
        <v>0</v>
      </c>
      <c r="CJ83" s="30" t="s">
        <v>389</v>
      </c>
      <c r="CK83" s="17">
        <f>MAX(CI81:CI87)</f>
        <v>1</v>
      </c>
      <c r="CO83" s="30" t="s">
        <v>392</v>
      </c>
      <c r="CP83" s="17">
        <f>STDEV(CN78:CN110)</f>
        <v>0.54772255750516607</v>
      </c>
      <c r="CR83" s="5" t="s">
        <v>337</v>
      </c>
      <c r="CS83">
        <v>0</v>
      </c>
      <c r="CT83" s="30" t="s">
        <v>392</v>
      </c>
      <c r="CU83" s="17">
        <f>STDEV(CS78:CS105)</f>
        <v>1.1773883752795364</v>
      </c>
      <c r="CW83" s="61" t="s">
        <v>355</v>
      </c>
      <c r="CX83" s="62">
        <v>0</v>
      </c>
    </row>
    <row r="84" spans="1:104" x14ac:dyDescent="0.25">
      <c r="A84" s="17" t="s">
        <v>384</v>
      </c>
      <c r="B84" s="17" t="s">
        <v>39</v>
      </c>
      <c r="C84" s="17" t="s">
        <v>385</v>
      </c>
      <c r="D84" s="17" t="s">
        <v>386</v>
      </c>
      <c r="F84" s="5" t="s">
        <v>68</v>
      </c>
      <c r="G84">
        <v>8</v>
      </c>
      <c r="H84" s="30" t="s">
        <v>390</v>
      </c>
      <c r="I84" s="17">
        <f>VAR(G81:G87)</f>
        <v>6.5714285714285738</v>
      </c>
      <c r="K84" s="5" t="s">
        <v>72</v>
      </c>
      <c r="L84">
        <v>0</v>
      </c>
      <c r="M84" s="30" t="s">
        <v>387</v>
      </c>
      <c r="N84" s="17">
        <f>SUM(L84:L99)</f>
        <v>2</v>
      </c>
      <c r="P84" s="5" t="s">
        <v>91</v>
      </c>
      <c r="Q84">
        <v>3</v>
      </c>
      <c r="R84" s="30" t="s">
        <v>390</v>
      </c>
      <c r="S84" s="17">
        <f>VAR(Q81:Q87)</f>
        <v>2.1428571428571437</v>
      </c>
      <c r="U84" s="5" t="s">
        <v>103</v>
      </c>
      <c r="V84">
        <v>0</v>
      </c>
      <c r="W84" s="17"/>
      <c r="X84" s="17"/>
      <c r="Z84" s="61" t="s">
        <v>125</v>
      </c>
      <c r="AA84" s="62">
        <v>0</v>
      </c>
      <c r="AE84" s="5" t="s">
        <v>133</v>
      </c>
      <c r="AF84">
        <v>1</v>
      </c>
      <c r="AG84" s="30" t="s">
        <v>391</v>
      </c>
      <c r="AH84" s="17">
        <f>AVERAGE(AF80:AF94)</f>
        <v>0.26666666666666666</v>
      </c>
      <c r="AJ84" s="5" t="s">
        <v>145</v>
      </c>
      <c r="AK84">
        <v>0</v>
      </c>
      <c r="AL84" s="30" t="s">
        <v>390</v>
      </c>
      <c r="AM84" s="17">
        <f>VAR(AK81:AK87)</f>
        <v>0.14285714285714288</v>
      </c>
      <c r="AO84" s="5" t="s">
        <v>172</v>
      </c>
      <c r="AP84">
        <v>0</v>
      </c>
      <c r="AQ84" s="17"/>
      <c r="AR84" s="1"/>
      <c r="AT84" s="5" t="s">
        <v>395</v>
      </c>
      <c r="AU84">
        <v>1</v>
      </c>
      <c r="AV84" s="17"/>
      <c r="AW84" s="17"/>
      <c r="AY84" s="5" t="s">
        <v>203</v>
      </c>
      <c r="AZ84">
        <v>1</v>
      </c>
      <c r="BA84" s="17"/>
      <c r="BB84" s="17"/>
      <c r="BD84" s="5" t="s">
        <v>242</v>
      </c>
      <c r="BE84">
        <v>0</v>
      </c>
      <c r="BI84" s="5" t="s">
        <v>256</v>
      </c>
      <c r="BJ84">
        <v>1</v>
      </c>
      <c r="BK84" s="17"/>
      <c r="BL84" s="17"/>
      <c r="BN84" s="5" t="s">
        <v>274</v>
      </c>
      <c r="BO84">
        <v>0</v>
      </c>
      <c r="BP84" s="30" t="s">
        <v>387</v>
      </c>
      <c r="BQ84" s="17">
        <f>SUM(BO84:BO99)</f>
        <v>2</v>
      </c>
      <c r="BS84" s="5" t="s">
        <v>292</v>
      </c>
      <c r="BT84">
        <v>0</v>
      </c>
      <c r="BU84" s="30" t="s">
        <v>389</v>
      </c>
      <c r="BV84" s="17">
        <f>MAX(BT82:BT90)</f>
        <v>2</v>
      </c>
      <c r="BX84" s="61" t="s">
        <v>296</v>
      </c>
      <c r="BY84" s="62">
        <v>2</v>
      </c>
      <c r="CC84" s="17" t="s">
        <v>384</v>
      </c>
      <c r="CD84" s="17" t="s">
        <v>39</v>
      </c>
      <c r="CE84" s="17" t="s">
        <v>385</v>
      </c>
      <c r="CF84" s="17" t="s">
        <v>386</v>
      </c>
      <c r="CH84" s="5" t="s">
        <v>324</v>
      </c>
      <c r="CI84">
        <v>0</v>
      </c>
      <c r="CJ84" s="30" t="s">
        <v>390</v>
      </c>
      <c r="CK84" s="17">
        <f>VAR(CI81:CI87)</f>
        <v>0.14285714285714288</v>
      </c>
      <c r="CO84" s="17"/>
      <c r="CP84" s="17"/>
      <c r="CR84" s="5" t="s">
        <v>338</v>
      </c>
      <c r="CS84">
        <v>0</v>
      </c>
      <c r="CT84" s="30"/>
      <c r="CU84" s="17"/>
      <c r="CW84" s="66" t="s">
        <v>356</v>
      </c>
      <c r="CX84" s="62">
        <v>1</v>
      </c>
    </row>
    <row r="85" spans="1:104" x14ac:dyDescent="0.25">
      <c r="A85" s="5" t="s">
        <v>40</v>
      </c>
      <c r="B85">
        <v>0</v>
      </c>
      <c r="C85" s="30" t="s">
        <v>387</v>
      </c>
      <c r="D85" s="17">
        <f>SUM(B85:B107)</f>
        <v>4</v>
      </c>
      <c r="F85" s="5" t="s">
        <v>69</v>
      </c>
      <c r="G85">
        <v>7</v>
      </c>
      <c r="H85" s="30" t="s">
        <v>391</v>
      </c>
      <c r="I85" s="17">
        <f>AVERAGE(G81:G87)</f>
        <v>6.2857142857142856</v>
      </c>
      <c r="K85" s="5" t="s">
        <v>73</v>
      </c>
      <c r="L85">
        <v>0</v>
      </c>
      <c r="M85" s="30" t="s">
        <v>388</v>
      </c>
      <c r="N85" s="17">
        <f>MIN(L84:L99)</f>
        <v>0</v>
      </c>
      <c r="P85" s="5" t="s">
        <v>92</v>
      </c>
      <c r="Q85">
        <v>5</v>
      </c>
      <c r="R85" s="30" t="s">
        <v>391</v>
      </c>
      <c r="S85" s="17">
        <f>AVERAGE(Q81:Q87)</f>
        <v>3.1428571428571428</v>
      </c>
      <c r="U85" s="5" t="s">
        <v>104</v>
      </c>
      <c r="V85">
        <v>0</v>
      </c>
      <c r="W85" s="17"/>
      <c r="X85" s="17"/>
      <c r="Z85" s="61" t="s">
        <v>126</v>
      </c>
      <c r="AA85" s="62">
        <v>0</v>
      </c>
      <c r="AE85" s="5" t="s">
        <v>134</v>
      </c>
      <c r="AF85">
        <v>0</v>
      </c>
      <c r="AG85" s="30" t="s">
        <v>392</v>
      </c>
      <c r="AH85" s="17">
        <f>STDEV(AF80:AF94)</f>
        <v>0.45773770821706344</v>
      </c>
      <c r="AJ85" s="5" t="s">
        <v>146</v>
      </c>
      <c r="AK85">
        <v>0</v>
      </c>
      <c r="AL85" s="30" t="s">
        <v>391</v>
      </c>
      <c r="AM85" s="17">
        <f>AVERAGE(AK81:AK87)</f>
        <v>0.14285714285714285</v>
      </c>
      <c r="AO85" s="5" t="s">
        <v>173</v>
      </c>
      <c r="AP85">
        <v>0</v>
      </c>
      <c r="AT85" s="5" t="s">
        <v>189</v>
      </c>
      <c r="AU85">
        <v>0</v>
      </c>
      <c r="AV85" s="17"/>
      <c r="AW85" s="17"/>
      <c r="AY85" s="5" t="s">
        <v>204</v>
      </c>
      <c r="AZ85">
        <v>0</v>
      </c>
      <c r="BA85" s="17"/>
      <c r="BB85" s="17"/>
      <c r="BD85" s="5" t="s">
        <v>243</v>
      </c>
      <c r="BE85">
        <v>0</v>
      </c>
      <c r="BI85" s="5" t="s">
        <v>257</v>
      </c>
      <c r="BJ85">
        <v>2</v>
      </c>
      <c r="BK85" s="17"/>
      <c r="BL85" s="17"/>
      <c r="BN85" s="5" t="s">
        <v>275</v>
      </c>
      <c r="BO85">
        <v>0</v>
      </c>
      <c r="BP85" s="30" t="s">
        <v>388</v>
      </c>
      <c r="BQ85" s="17">
        <f>MIN(BO84:BO99)</f>
        <v>0</v>
      </c>
      <c r="BS85" s="5" t="s">
        <v>293</v>
      </c>
      <c r="BT85">
        <v>1</v>
      </c>
      <c r="BU85" s="30" t="s">
        <v>390</v>
      </c>
      <c r="BV85" s="17">
        <f>VAR(BT82:BT90)</f>
        <v>0.77777777777777779</v>
      </c>
      <c r="BX85" s="61" t="s">
        <v>297</v>
      </c>
      <c r="BY85" s="62">
        <v>0</v>
      </c>
      <c r="CC85" s="5" t="s">
        <v>299</v>
      </c>
      <c r="CD85">
        <v>0</v>
      </c>
      <c r="CE85" s="30" t="s">
        <v>387</v>
      </c>
      <c r="CF85" s="17">
        <f>SUM(CD85:CD107)</f>
        <v>1</v>
      </c>
      <c r="CH85" s="5" t="s">
        <v>325</v>
      </c>
      <c r="CI85">
        <v>1</v>
      </c>
      <c r="CJ85" s="30" t="s">
        <v>391</v>
      </c>
      <c r="CK85" s="17">
        <f>AVERAGE(CI81:CI87)</f>
        <v>0.14285714285714285</v>
      </c>
      <c r="CO85" s="17"/>
      <c r="CP85" s="17"/>
      <c r="CR85" s="5" t="s">
        <v>339</v>
      </c>
      <c r="CS85">
        <v>0</v>
      </c>
      <c r="CW85" s="66" t="s">
        <v>357</v>
      </c>
      <c r="CX85" s="62">
        <v>0</v>
      </c>
    </row>
    <row r="86" spans="1:104" x14ac:dyDescent="0.25">
      <c r="A86" s="5" t="s">
        <v>41</v>
      </c>
      <c r="B86">
        <v>0</v>
      </c>
      <c r="C86" s="30" t="s">
        <v>388</v>
      </c>
      <c r="D86" s="17">
        <f>MIN(B85:B107)</f>
        <v>0</v>
      </c>
      <c r="F86" s="5" t="s">
        <v>70</v>
      </c>
      <c r="G86">
        <v>5</v>
      </c>
      <c r="H86" s="30" t="s">
        <v>392</v>
      </c>
      <c r="I86" s="17">
        <f>STDEV(G81:G87)</f>
        <v>2.5634797778466236</v>
      </c>
      <c r="K86" s="5" t="s">
        <v>74</v>
      </c>
      <c r="L86">
        <v>0</v>
      </c>
      <c r="M86" s="30" t="s">
        <v>389</v>
      </c>
      <c r="N86" s="17">
        <f>MAX(L84:L99)</f>
        <v>1</v>
      </c>
      <c r="P86" s="5" t="s">
        <v>93</v>
      </c>
      <c r="Q86">
        <v>1</v>
      </c>
      <c r="R86" s="30" t="s">
        <v>392</v>
      </c>
      <c r="S86" s="17">
        <f>STDEV(Q81:Q87)</f>
        <v>1.4638501094228</v>
      </c>
      <c r="U86" s="5" t="s">
        <v>105</v>
      </c>
      <c r="V86">
        <v>0</v>
      </c>
      <c r="W86" s="17"/>
      <c r="X86" s="17"/>
      <c r="Z86" s="61" t="s">
        <v>127</v>
      </c>
      <c r="AA86" s="62">
        <v>2</v>
      </c>
      <c r="AE86" s="5" t="s">
        <v>135</v>
      </c>
      <c r="AF86">
        <v>0</v>
      </c>
      <c r="AG86" s="17"/>
      <c r="AH86" s="17"/>
      <c r="AJ86" s="5" t="s">
        <v>147</v>
      </c>
      <c r="AK86">
        <v>0</v>
      </c>
      <c r="AL86" s="30" t="s">
        <v>392</v>
      </c>
      <c r="AM86" s="17">
        <f>STDEV(AK81:AK87)</f>
        <v>0.37796447300922725</v>
      </c>
      <c r="AO86" s="5" t="s">
        <v>174</v>
      </c>
      <c r="AP86">
        <v>0</v>
      </c>
      <c r="AT86" s="5" t="s">
        <v>190</v>
      </c>
      <c r="AU86">
        <v>0</v>
      </c>
      <c r="AV86" s="17"/>
      <c r="AW86" s="17"/>
      <c r="AY86" s="5" t="s">
        <v>205</v>
      </c>
      <c r="AZ86">
        <v>0</v>
      </c>
      <c r="BA86" s="17"/>
      <c r="BB86" s="17"/>
      <c r="BD86" s="5" t="s">
        <v>244</v>
      </c>
      <c r="BE86">
        <v>0</v>
      </c>
      <c r="BI86" s="5" t="s">
        <v>258</v>
      </c>
      <c r="BJ86">
        <v>0</v>
      </c>
      <c r="BK86" s="17"/>
      <c r="BL86" s="17"/>
      <c r="BN86" s="5" t="s">
        <v>276</v>
      </c>
      <c r="BO86">
        <v>0</v>
      </c>
      <c r="BP86" s="30" t="s">
        <v>389</v>
      </c>
      <c r="BQ86" s="17">
        <f>MAX(BO84:BO99)</f>
        <v>1</v>
      </c>
      <c r="BS86" s="5" t="s">
        <v>294</v>
      </c>
      <c r="BT86">
        <v>2</v>
      </c>
      <c r="BU86" s="30" t="s">
        <v>391</v>
      </c>
      <c r="BV86" s="17">
        <f>AVERAGE(BT82:BT90)</f>
        <v>0.55555555555555558</v>
      </c>
      <c r="BX86" s="61" t="s">
        <v>298</v>
      </c>
      <c r="BY86" s="62">
        <v>0</v>
      </c>
      <c r="CC86" s="5" t="s">
        <v>300</v>
      </c>
      <c r="CD86">
        <v>1</v>
      </c>
      <c r="CE86" s="30" t="s">
        <v>388</v>
      </c>
      <c r="CF86" s="17">
        <f>MIN(CD85:CD107)</f>
        <v>0</v>
      </c>
      <c r="CH86" s="5" t="s">
        <v>326</v>
      </c>
      <c r="CI86">
        <v>0</v>
      </c>
      <c r="CJ86" s="30" t="s">
        <v>392</v>
      </c>
      <c r="CK86" s="17">
        <f>STDEV(CI81:CI87)</f>
        <v>0.37796447300922725</v>
      </c>
      <c r="CO86" s="17"/>
      <c r="CP86" s="17"/>
      <c r="CR86" s="5" t="s">
        <v>340</v>
      </c>
      <c r="CS86">
        <v>0</v>
      </c>
      <c r="CW86" s="66" t="s">
        <v>358</v>
      </c>
      <c r="CX86" s="62">
        <v>0</v>
      </c>
    </row>
    <row r="87" spans="1:104" x14ac:dyDescent="0.25">
      <c r="A87" s="5" t="s">
        <v>42</v>
      </c>
      <c r="B87">
        <v>0</v>
      </c>
      <c r="C87" s="30" t="s">
        <v>389</v>
      </c>
      <c r="D87" s="17">
        <f>MAX(B85:B107)</f>
        <v>2</v>
      </c>
      <c r="F87" s="5" t="s">
        <v>71</v>
      </c>
      <c r="G87">
        <v>2</v>
      </c>
      <c r="H87" s="17"/>
      <c r="I87" s="17"/>
      <c r="K87" s="5" t="s">
        <v>75</v>
      </c>
      <c r="L87">
        <v>1</v>
      </c>
      <c r="M87" s="30" t="s">
        <v>390</v>
      </c>
      <c r="N87" s="17">
        <f>VAR(L84:L99)</f>
        <v>0.11666666666666667</v>
      </c>
      <c r="P87" s="5" t="s">
        <v>94</v>
      </c>
      <c r="Q87">
        <v>3</v>
      </c>
      <c r="R87" s="17"/>
      <c r="S87" s="17"/>
      <c r="U87" s="5" t="s">
        <v>106</v>
      </c>
      <c r="V87">
        <v>0</v>
      </c>
      <c r="W87" s="17"/>
      <c r="X87" s="17"/>
      <c r="Z87" s="61" t="s">
        <v>128</v>
      </c>
      <c r="AA87" s="62">
        <v>0</v>
      </c>
      <c r="AE87" s="5" t="s">
        <v>136</v>
      </c>
      <c r="AF87">
        <v>0</v>
      </c>
      <c r="AG87" s="17"/>
      <c r="AH87" s="17"/>
      <c r="AJ87" s="5" t="s">
        <v>148</v>
      </c>
      <c r="AK87">
        <v>0</v>
      </c>
      <c r="AL87" s="17"/>
      <c r="AM87" s="17"/>
      <c r="AT87" s="5" t="s">
        <v>191</v>
      </c>
      <c r="AU87">
        <v>0</v>
      </c>
      <c r="AV87" s="15"/>
      <c r="AW87" s="15"/>
      <c r="AY87" s="5" t="s">
        <v>206</v>
      </c>
      <c r="AZ87">
        <v>0</v>
      </c>
      <c r="BA87" s="17"/>
      <c r="BB87" s="17"/>
      <c r="BI87" s="5" t="s">
        <v>259</v>
      </c>
      <c r="BJ87">
        <v>0</v>
      </c>
      <c r="BK87" s="17"/>
      <c r="BL87" s="17"/>
      <c r="BN87" s="5" t="s">
        <v>277</v>
      </c>
      <c r="BO87">
        <v>0</v>
      </c>
      <c r="BP87" s="30" t="s">
        <v>390</v>
      </c>
      <c r="BQ87" s="17">
        <f>VAR(BO84:BO99)</f>
        <v>0.11666666666666667</v>
      </c>
      <c r="BS87" s="5" t="s">
        <v>295</v>
      </c>
      <c r="BT87">
        <v>2</v>
      </c>
      <c r="BU87" s="30" t="s">
        <v>392</v>
      </c>
      <c r="BV87" s="17">
        <f>STDEV(BT82:BT90)</f>
        <v>0.88191710368819687</v>
      </c>
      <c r="CC87" s="5" t="s">
        <v>301</v>
      </c>
      <c r="CD87">
        <v>0</v>
      </c>
      <c r="CE87" s="30" t="s">
        <v>389</v>
      </c>
      <c r="CF87" s="17">
        <f>MAX(CD85:CD107)</f>
        <v>1</v>
      </c>
      <c r="CH87" s="5" t="s">
        <v>327</v>
      </c>
      <c r="CI87">
        <v>0</v>
      </c>
      <c r="CJ87" s="17"/>
      <c r="CK87" s="17"/>
      <c r="CO87" s="17"/>
      <c r="CP87" s="17"/>
      <c r="CR87" s="5" t="s">
        <v>341</v>
      </c>
      <c r="CS87">
        <v>0</v>
      </c>
      <c r="CW87" s="66" t="s">
        <v>359</v>
      </c>
      <c r="CX87" s="62">
        <v>0</v>
      </c>
    </row>
    <row r="88" spans="1:104" x14ac:dyDescent="0.25">
      <c r="A88" s="5" t="s">
        <v>43</v>
      </c>
      <c r="B88">
        <v>0</v>
      </c>
      <c r="C88" s="30" t="s">
        <v>390</v>
      </c>
      <c r="D88" s="17">
        <f>VAR(B85:B107)</f>
        <v>0.24110671936758896</v>
      </c>
      <c r="K88" s="5" t="s">
        <v>76</v>
      </c>
      <c r="L88">
        <v>1</v>
      </c>
      <c r="M88" s="30" t="s">
        <v>391</v>
      </c>
      <c r="N88" s="17">
        <f>AVERAGE(L84:L99)</f>
        <v>0.125</v>
      </c>
      <c r="U88" s="5" t="s">
        <v>61</v>
      </c>
      <c r="V88">
        <v>0</v>
      </c>
      <c r="W88" s="17"/>
      <c r="X88" s="17"/>
      <c r="AE88" s="5" t="s">
        <v>44</v>
      </c>
      <c r="AF88">
        <v>0</v>
      </c>
      <c r="AG88" s="17"/>
      <c r="AH88" s="17"/>
      <c r="AO88" s="17" t="s">
        <v>382</v>
      </c>
      <c r="AP88" s="29" t="s">
        <v>368</v>
      </c>
      <c r="AQ88" s="17"/>
      <c r="AR88" s="17">
        <v>2016</v>
      </c>
      <c r="AY88" s="5" t="s">
        <v>207</v>
      </c>
      <c r="AZ88">
        <v>0</v>
      </c>
      <c r="BA88" s="17"/>
      <c r="BB88" s="17"/>
      <c r="BD88" s="17" t="s">
        <v>382</v>
      </c>
      <c r="BE88" s="29" t="s">
        <v>371</v>
      </c>
      <c r="BF88" s="17"/>
      <c r="BG88" s="17">
        <v>2016</v>
      </c>
      <c r="BI88" s="5" t="s">
        <v>260</v>
      </c>
      <c r="BJ88">
        <v>3</v>
      </c>
      <c r="BK88" s="17"/>
      <c r="BL88" s="17"/>
      <c r="BN88" s="5" t="s">
        <v>279</v>
      </c>
      <c r="BO88">
        <v>0</v>
      </c>
      <c r="BP88" s="30" t="s">
        <v>391</v>
      </c>
      <c r="BQ88" s="17">
        <f>AVERAGE(BO84:BO99)</f>
        <v>0.125</v>
      </c>
      <c r="BS88" s="5" t="s">
        <v>296</v>
      </c>
      <c r="BT88">
        <v>0</v>
      </c>
      <c r="BU88" s="17"/>
      <c r="BV88" s="17"/>
      <c r="BX88" s="58" t="s">
        <v>382</v>
      </c>
      <c r="BY88" s="59" t="s">
        <v>628</v>
      </c>
      <c r="BZ88" s="58"/>
      <c r="CA88" s="58">
        <v>2016</v>
      </c>
      <c r="CC88" s="5" t="s">
        <v>302</v>
      </c>
      <c r="CD88">
        <v>0</v>
      </c>
      <c r="CE88" s="30" t="s">
        <v>390</v>
      </c>
      <c r="CF88" s="17">
        <f>VAR(CD85:CD107)</f>
        <v>4.3478260869565216E-2</v>
      </c>
      <c r="CO88" s="17"/>
      <c r="CP88" s="17"/>
      <c r="CR88" s="5" t="s">
        <v>342</v>
      </c>
      <c r="CS88">
        <v>2</v>
      </c>
    </row>
    <row r="89" spans="1:104" x14ac:dyDescent="0.25">
      <c r="A89" s="5" t="s">
        <v>44</v>
      </c>
      <c r="B89">
        <v>0</v>
      </c>
      <c r="C89" s="30" t="s">
        <v>391</v>
      </c>
      <c r="D89" s="17">
        <f>AVERAGE(B85:B107)</f>
        <v>0.17391304347826086</v>
      </c>
      <c r="F89" s="17" t="s">
        <v>382</v>
      </c>
      <c r="G89" s="29" t="s">
        <v>362</v>
      </c>
      <c r="H89" s="17"/>
      <c r="I89" s="17">
        <v>2016</v>
      </c>
      <c r="K89" s="5" t="s">
        <v>77</v>
      </c>
      <c r="L89">
        <v>0</v>
      </c>
      <c r="M89" s="30" t="s">
        <v>392</v>
      </c>
      <c r="N89" s="17">
        <f>STDEV(L84:L99)</f>
        <v>0.34156502553198659</v>
      </c>
      <c r="P89" s="17" t="s">
        <v>382</v>
      </c>
      <c r="Q89" s="29" t="s">
        <v>401</v>
      </c>
      <c r="R89" s="17"/>
      <c r="S89" s="17">
        <v>2016</v>
      </c>
      <c r="U89" s="5" t="s">
        <v>107</v>
      </c>
      <c r="V89">
        <v>0</v>
      </c>
      <c r="W89" s="17"/>
      <c r="X89" s="17"/>
      <c r="Z89" s="58" t="s">
        <v>382</v>
      </c>
      <c r="AA89" s="59" t="s">
        <v>627</v>
      </c>
      <c r="AB89" s="58"/>
      <c r="AC89" s="58">
        <v>2016</v>
      </c>
      <c r="AE89" s="5" t="s">
        <v>137</v>
      </c>
      <c r="AF89">
        <v>0</v>
      </c>
      <c r="AG89" s="17"/>
      <c r="AH89" s="17"/>
      <c r="AJ89" s="17" t="s">
        <v>382</v>
      </c>
      <c r="AK89" s="29" t="s">
        <v>367</v>
      </c>
      <c r="AL89" s="17"/>
      <c r="AM89" s="17">
        <v>2016</v>
      </c>
      <c r="AO89" s="17" t="s">
        <v>383</v>
      </c>
      <c r="AP89" s="6" t="s">
        <v>6</v>
      </c>
      <c r="AQ89" s="17"/>
      <c r="AR89" s="17"/>
      <c r="AT89" s="17" t="s">
        <v>382</v>
      </c>
      <c r="AU89" s="29" t="s">
        <v>369</v>
      </c>
      <c r="AV89" s="17"/>
      <c r="AW89" s="17">
        <v>2016</v>
      </c>
      <c r="AY89" s="5" t="s">
        <v>208</v>
      </c>
      <c r="AZ89">
        <v>0</v>
      </c>
      <c r="BA89" s="15"/>
      <c r="BB89" s="15"/>
      <c r="BD89" s="17" t="s">
        <v>383</v>
      </c>
      <c r="BE89" s="6" t="s">
        <v>9</v>
      </c>
      <c r="BF89" s="17"/>
      <c r="BG89" s="17"/>
      <c r="BI89" s="5" t="s">
        <v>261</v>
      </c>
      <c r="BJ89">
        <v>2</v>
      </c>
      <c r="BK89" s="15"/>
      <c r="BL89" s="15"/>
      <c r="BN89" s="5" t="s">
        <v>278</v>
      </c>
      <c r="BO89">
        <v>1</v>
      </c>
      <c r="BP89" s="30" t="s">
        <v>392</v>
      </c>
      <c r="BQ89" s="17">
        <f>STDEV(BO84:BO99)</f>
        <v>0.34156502553198659</v>
      </c>
      <c r="BS89" s="5" t="s">
        <v>297</v>
      </c>
      <c r="BT89">
        <v>0</v>
      </c>
      <c r="BU89" s="17"/>
      <c r="BV89" s="17"/>
      <c r="BX89" s="58" t="s">
        <v>383</v>
      </c>
      <c r="BY89" s="60" t="s">
        <v>9</v>
      </c>
      <c r="BZ89" s="58"/>
      <c r="CA89" s="58"/>
      <c r="CC89" s="5" t="s">
        <v>303</v>
      </c>
      <c r="CD89">
        <v>0</v>
      </c>
      <c r="CE89" s="30" t="s">
        <v>391</v>
      </c>
      <c r="CF89" s="17">
        <f>AVERAGE(CD85:CD107)</f>
        <v>4.3478260869565216E-2</v>
      </c>
      <c r="CH89" s="17" t="s">
        <v>382</v>
      </c>
      <c r="CI89" s="29" t="s">
        <v>443</v>
      </c>
      <c r="CJ89" s="17"/>
      <c r="CK89" s="17">
        <v>2016</v>
      </c>
      <c r="CO89" s="17"/>
      <c r="CP89" s="17"/>
      <c r="CR89" s="5" t="s">
        <v>343</v>
      </c>
      <c r="CS89">
        <v>0</v>
      </c>
      <c r="CW89" s="58" t="s">
        <v>382</v>
      </c>
      <c r="CX89" s="59" t="s">
        <v>629</v>
      </c>
      <c r="CY89" s="58"/>
      <c r="CZ89" s="58">
        <v>2016</v>
      </c>
    </row>
    <row r="90" spans="1:104" x14ac:dyDescent="0.25">
      <c r="A90" s="5" t="s">
        <v>45</v>
      </c>
      <c r="B90">
        <v>0</v>
      </c>
      <c r="C90" s="30" t="s">
        <v>392</v>
      </c>
      <c r="D90" s="17">
        <f>STDEV(B85:B107)</f>
        <v>0.49102619010353099</v>
      </c>
      <c r="F90" s="17" t="s">
        <v>383</v>
      </c>
      <c r="G90" s="6" t="s">
        <v>33</v>
      </c>
      <c r="H90" s="17"/>
      <c r="I90" s="17"/>
      <c r="K90" s="5" t="s">
        <v>78</v>
      </c>
      <c r="L90">
        <v>0</v>
      </c>
      <c r="M90" s="17"/>
      <c r="N90" s="17"/>
      <c r="P90" s="17" t="s">
        <v>383</v>
      </c>
      <c r="Q90" s="6" t="s">
        <v>20</v>
      </c>
      <c r="R90" s="17"/>
      <c r="S90" s="17"/>
      <c r="U90" s="5" t="s">
        <v>108</v>
      </c>
      <c r="V90">
        <v>0</v>
      </c>
      <c r="W90" s="17"/>
      <c r="X90" s="17"/>
      <c r="Z90" s="58" t="s">
        <v>383</v>
      </c>
      <c r="AA90" s="60" t="s">
        <v>95</v>
      </c>
      <c r="AB90" s="58"/>
      <c r="AC90" s="58"/>
      <c r="AE90" s="5" t="s">
        <v>138</v>
      </c>
      <c r="AF90">
        <v>0</v>
      </c>
      <c r="AG90" s="17"/>
      <c r="AH90" s="17"/>
      <c r="AJ90" s="17" t="s">
        <v>383</v>
      </c>
      <c r="AK90" s="6" t="s">
        <v>37</v>
      </c>
      <c r="AL90" s="17"/>
      <c r="AM90" s="17"/>
      <c r="AO90" s="17" t="s">
        <v>384</v>
      </c>
      <c r="AP90" s="17" t="s">
        <v>39</v>
      </c>
      <c r="AQ90" s="17" t="s">
        <v>385</v>
      </c>
      <c r="AR90" s="17" t="s">
        <v>386</v>
      </c>
      <c r="AT90" s="17" t="s">
        <v>383</v>
      </c>
      <c r="AU90" s="6" t="s">
        <v>11</v>
      </c>
      <c r="AV90" s="17"/>
      <c r="AW90" s="17"/>
      <c r="AY90" s="5" t="s">
        <v>209</v>
      </c>
      <c r="AZ90">
        <v>1</v>
      </c>
      <c r="BD90" s="17" t="s">
        <v>384</v>
      </c>
      <c r="BE90" s="17" t="s">
        <v>39</v>
      </c>
      <c r="BF90" s="17" t="s">
        <v>385</v>
      </c>
      <c r="BG90" s="17" t="s">
        <v>386</v>
      </c>
      <c r="BI90" s="5" t="s">
        <v>262</v>
      </c>
      <c r="BJ90">
        <v>0</v>
      </c>
      <c r="BN90" s="5" t="s">
        <v>280</v>
      </c>
      <c r="BO90">
        <v>0</v>
      </c>
      <c r="BP90" s="17"/>
      <c r="BQ90" s="17"/>
      <c r="BS90" s="5" t="s">
        <v>298</v>
      </c>
      <c r="BT90">
        <v>0</v>
      </c>
      <c r="BU90" s="17"/>
      <c r="BV90" s="17"/>
      <c r="BX90" s="58" t="s">
        <v>384</v>
      </c>
      <c r="BY90" s="58" t="s">
        <v>39</v>
      </c>
      <c r="BZ90" s="58" t="s">
        <v>385</v>
      </c>
      <c r="CA90" s="58" t="s">
        <v>386</v>
      </c>
      <c r="CC90" s="5" t="s">
        <v>304</v>
      </c>
      <c r="CD90">
        <v>0</v>
      </c>
      <c r="CE90" s="30" t="s">
        <v>392</v>
      </c>
      <c r="CF90" s="17">
        <f>STDEV(CD85:CD107)</f>
        <v>0.20851441405707477</v>
      </c>
      <c r="CH90" s="17" t="s">
        <v>383</v>
      </c>
      <c r="CI90" s="6" t="s">
        <v>22</v>
      </c>
      <c r="CJ90" s="17"/>
      <c r="CK90" s="17"/>
      <c r="CO90" s="17"/>
      <c r="CP90" s="17"/>
      <c r="CR90" s="5" t="s">
        <v>344</v>
      </c>
      <c r="CS90">
        <v>0</v>
      </c>
      <c r="CW90" s="58" t="s">
        <v>383</v>
      </c>
      <c r="CX90" s="60" t="s">
        <v>6</v>
      </c>
      <c r="CY90" s="58"/>
      <c r="CZ90" s="58"/>
    </row>
    <row r="91" spans="1:104" x14ac:dyDescent="0.25">
      <c r="A91" s="5" t="s">
        <v>47</v>
      </c>
      <c r="B91">
        <v>0</v>
      </c>
      <c r="C91" s="17"/>
      <c r="D91" s="17"/>
      <c r="F91" s="17" t="s">
        <v>384</v>
      </c>
      <c r="G91" s="17" t="s">
        <v>39</v>
      </c>
      <c r="H91" s="17" t="s">
        <v>385</v>
      </c>
      <c r="I91" s="17" t="s">
        <v>386</v>
      </c>
      <c r="K91" s="5" t="s">
        <v>79</v>
      </c>
      <c r="L91">
        <v>0</v>
      </c>
      <c r="M91" s="17"/>
      <c r="N91" s="17"/>
      <c r="P91" s="17" t="s">
        <v>384</v>
      </c>
      <c r="Q91" s="17" t="s">
        <v>39</v>
      </c>
      <c r="R91" s="17" t="s">
        <v>385</v>
      </c>
      <c r="S91" s="17" t="s">
        <v>386</v>
      </c>
      <c r="U91" s="5" t="s">
        <v>109</v>
      </c>
      <c r="V91">
        <v>0</v>
      </c>
      <c r="W91" s="17"/>
      <c r="X91" s="17"/>
      <c r="Z91" s="58" t="s">
        <v>384</v>
      </c>
      <c r="AA91" s="58" t="s">
        <v>39</v>
      </c>
      <c r="AB91" s="58" t="s">
        <v>385</v>
      </c>
      <c r="AC91" s="58" t="s">
        <v>386</v>
      </c>
      <c r="AE91" s="5" t="s">
        <v>139</v>
      </c>
      <c r="AF91">
        <v>0</v>
      </c>
      <c r="AG91" s="17"/>
      <c r="AH91" s="17"/>
      <c r="AJ91" s="17" t="s">
        <v>384</v>
      </c>
      <c r="AK91" s="17" t="s">
        <v>39</v>
      </c>
      <c r="AL91" s="17" t="s">
        <v>385</v>
      </c>
      <c r="AM91" s="17" t="s">
        <v>386</v>
      </c>
      <c r="AO91" s="5" t="s">
        <v>149</v>
      </c>
      <c r="AP91">
        <v>0</v>
      </c>
      <c r="AQ91" s="30" t="s">
        <v>387</v>
      </c>
      <c r="AR91" s="17">
        <f>SUM(AP91:AP115)</f>
        <v>24</v>
      </c>
      <c r="AT91" s="17" t="s">
        <v>384</v>
      </c>
      <c r="AU91" s="17" t="s">
        <v>39</v>
      </c>
      <c r="AV91" s="17" t="s">
        <v>385</v>
      </c>
      <c r="AW91" s="17" t="s">
        <v>386</v>
      </c>
      <c r="AY91" s="5" t="s">
        <v>210</v>
      </c>
      <c r="AZ91">
        <v>0</v>
      </c>
      <c r="BD91" s="5" t="s">
        <v>221</v>
      </c>
      <c r="BE91">
        <v>0</v>
      </c>
      <c r="BF91" s="30" t="s">
        <v>387</v>
      </c>
      <c r="BG91" s="17">
        <f>SUM(BE91:BE115)</f>
        <v>4</v>
      </c>
      <c r="BI91" s="5" t="s">
        <v>263</v>
      </c>
      <c r="BJ91">
        <v>3</v>
      </c>
      <c r="BN91" s="5" t="s">
        <v>281</v>
      </c>
      <c r="BO91">
        <v>0</v>
      </c>
      <c r="BP91" s="17"/>
      <c r="BQ91" s="17"/>
      <c r="BX91" s="61" t="s">
        <v>274</v>
      </c>
      <c r="BY91" s="62">
        <v>0</v>
      </c>
      <c r="BZ91" s="63" t="s">
        <v>387</v>
      </c>
      <c r="CA91" s="58">
        <f>SUM(BY91:BY115)</f>
        <v>2</v>
      </c>
      <c r="CC91" s="5" t="s">
        <v>305</v>
      </c>
      <c r="CD91">
        <v>0</v>
      </c>
      <c r="CE91" s="17"/>
      <c r="CF91" s="17"/>
      <c r="CH91" s="17" t="s">
        <v>384</v>
      </c>
      <c r="CI91" s="17" t="s">
        <v>39</v>
      </c>
      <c r="CJ91" s="17" t="s">
        <v>385</v>
      </c>
      <c r="CK91" s="17" t="s">
        <v>386</v>
      </c>
      <c r="CO91" s="17"/>
      <c r="CP91" s="17"/>
      <c r="CR91" s="5" t="s">
        <v>345</v>
      </c>
      <c r="CS91">
        <v>0</v>
      </c>
      <c r="CW91" s="58" t="s">
        <v>384</v>
      </c>
      <c r="CX91" s="58" t="s">
        <v>39</v>
      </c>
      <c r="CY91" s="58" t="s">
        <v>385</v>
      </c>
      <c r="CZ91" s="58" t="s">
        <v>386</v>
      </c>
    </row>
    <row r="92" spans="1:104" x14ac:dyDescent="0.25">
      <c r="A92" s="5" t="s">
        <v>48</v>
      </c>
      <c r="B92">
        <v>0</v>
      </c>
      <c r="C92" s="17"/>
      <c r="D92" s="17"/>
      <c r="F92" s="5" t="s">
        <v>65</v>
      </c>
      <c r="G92">
        <v>1</v>
      </c>
      <c r="H92" s="30" t="s">
        <v>387</v>
      </c>
      <c r="I92" s="17">
        <f>SUM(G92:G98)</f>
        <v>1</v>
      </c>
      <c r="K92" s="5" t="s">
        <v>80</v>
      </c>
      <c r="L92">
        <v>0</v>
      </c>
      <c r="M92" s="17"/>
      <c r="N92" s="17"/>
      <c r="P92" s="5" t="s">
        <v>88</v>
      </c>
      <c r="Q92">
        <v>0</v>
      </c>
      <c r="R92" s="30" t="s">
        <v>387</v>
      </c>
      <c r="S92" s="17">
        <f>SUM(Q92:Q98)</f>
        <v>2</v>
      </c>
      <c r="U92" s="5" t="s">
        <v>110</v>
      </c>
      <c r="V92">
        <v>0</v>
      </c>
      <c r="W92" s="17"/>
      <c r="X92" s="17"/>
      <c r="Z92" s="61" t="s">
        <v>88</v>
      </c>
      <c r="AA92" s="62">
        <v>0</v>
      </c>
      <c r="AB92" s="63" t="s">
        <v>387</v>
      </c>
      <c r="AC92" s="58">
        <f>SUM(AA92:AA131)</f>
        <v>3</v>
      </c>
      <c r="AE92" s="5" t="s">
        <v>140</v>
      </c>
      <c r="AF92">
        <v>0</v>
      </c>
      <c r="AG92" s="17"/>
      <c r="AH92" s="17"/>
      <c r="AJ92" s="5" t="s">
        <v>143</v>
      </c>
      <c r="AK92">
        <v>3</v>
      </c>
      <c r="AL92" s="30" t="s">
        <v>387</v>
      </c>
      <c r="AM92" s="17">
        <f>SUM(AK92:AK98)</f>
        <v>13</v>
      </c>
      <c r="AO92" s="5" t="s">
        <v>150</v>
      </c>
      <c r="AP92">
        <v>0</v>
      </c>
      <c r="AQ92" s="30" t="s">
        <v>388</v>
      </c>
      <c r="AR92" s="17">
        <f>MIN(AP91:AP115)</f>
        <v>0</v>
      </c>
      <c r="AT92" s="5" t="s">
        <v>175</v>
      </c>
      <c r="AU92">
        <v>1</v>
      </c>
      <c r="AV92" s="30" t="s">
        <v>387</v>
      </c>
      <c r="AW92" s="17">
        <f>SUM(AU92:AU109)</f>
        <v>3</v>
      </c>
      <c r="AY92" s="5" t="s">
        <v>211</v>
      </c>
      <c r="AZ92">
        <v>1</v>
      </c>
      <c r="BD92" s="5" t="s">
        <v>222</v>
      </c>
      <c r="BE92">
        <v>0</v>
      </c>
      <c r="BF92" s="30" t="s">
        <v>388</v>
      </c>
      <c r="BG92" s="17">
        <f>MIN(BE91:BE115)</f>
        <v>0</v>
      </c>
      <c r="BI92" s="5" t="s">
        <v>264</v>
      </c>
      <c r="BJ92">
        <v>1</v>
      </c>
      <c r="BN92" s="5" t="s">
        <v>282</v>
      </c>
      <c r="BO92">
        <v>0</v>
      </c>
      <c r="BP92" s="17"/>
      <c r="BQ92" s="17"/>
      <c r="BS92" s="17" t="s">
        <v>382</v>
      </c>
      <c r="BT92" s="29" t="s">
        <v>441</v>
      </c>
      <c r="BU92" s="17"/>
      <c r="BV92" s="17">
        <v>2016</v>
      </c>
      <c r="BX92" s="61" t="s">
        <v>275</v>
      </c>
      <c r="BY92" s="62">
        <v>0</v>
      </c>
      <c r="BZ92" s="63" t="s">
        <v>388</v>
      </c>
      <c r="CA92" s="58">
        <f>MIN(BY91:BY115)</f>
        <v>0</v>
      </c>
      <c r="CC92" s="5" t="s">
        <v>306</v>
      </c>
      <c r="CD92">
        <v>0</v>
      </c>
      <c r="CE92" s="17"/>
      <c r="CF92" s="17"/>
      <c r="CH92" s="5" t="s">
        <v>321</v>
      </c>
      <c r="CI92">
        <v>0</v>
      </c>
      <c r="CJ92" s="30" t="s">
        <v>387</v>
      </c>
      <c r="CK92" s="17">
        <f>SUM(CI92:CI98)</f>
        <v>1</v>
      </c>
      <c r="CO92" s="17"/>
      <c r="CP92" s="17"/>
      <c r="CR92" s="5" t="s">
        <v>346</v>
      </c>
      <c r="CS92">
        <v>0</v>
      </c>
      <c r="CW92" s="61" t="s">
        <v>321</v>
      </c>
      <c r="CX92" s="62">
        <v>0</v>
      </c>
      <c r="CY92" s="63" t="s">
        <v>387</v>
      </c>
      <c r="CZ92" s="58">
        <f>SUM(CX92:CX131)</f>
        <v>35</v>
      </c>
    </row>
    <row r="93" spans="1:104" x14ac:dyDescent="0.25">
      <c r="A93" s="5" t="s">
        <v>49</v>
      </c>
      <c r="B93">
        <v>0</v>
      </c>
      <c r="C93" s="17"/>
      <c r="D93" s="17"/>
      <c r="F93" s="5" t="s">
        <v>66</v>
      </c>
      <c r="G93">
        <v>0</v>
      </c>
      <c r="H93" s="30" t="s">
        <v>388</v>
      </c>
      <c r="I93" s="17">
        <f>MIN(G92:G98)</f>
        <v>0</v>
      </c>
      <c r="K93" s="5" t="s">
        <v>81</v>
      </c>
      <c r="L93">
        <v>0</v>
      </c>
      <c r="M93" s="17"/>
      <c r="N93" s="17"/>
      <c r="P93" s="5" t="s">
        <v>89</v>
      </c>
      <c r="Q93">
        <v>0</v>
      </c>
      <c r="R93" s="30" t="s">
        <v>388</v>
      </c>
      <c r="S93" s="17">
        <f>MIN(Q92:Q98)</f>
        <v>0</v>
      </c>
      <c r="U93" s="5" t="s">
        <v>111</v>
      </c>
      <c r="V93">
        <v>0</v>
      </c>
      <c r="W93" s="17"/>
      <c r="X93" s="17"/>
      <c r="Z93" s="61" t="s">
        <v>89</v>
      </c>
      <c r="AA93" s="62">
        <v>0</v>
      </c>
      <c r="AB93" s="63" t="s">
        <v>388</v>
      </c>
      <c r="AC93" s="58">
        <f>MIN(AA92:AA131)</f>
        <v>0</v>
      </c>
      <c r="AE93" s="5" t="s">
        <v>141</v>
      </c>
      <c r="AF93">
        <v>0</v>
      </c>
      <c r="AG93" s="17"/>
      <c r="AH93" s="17"/>
      <c r="AJ93" s="5" t="s">
        <v>67</v>
      </c>
      <c r="AK93">
        <v>0</v>
      </c>
      <c r="AL93" s="30" t="s">
        <v>388</v>
      </c>
      <c r="AM93" s="17">
        <f>MIN(AK92:AK98)</f>
        <v>0</v>
      </c>
      <c r="AO93" s="5" t="s">
        <v>151</v>
      </c>
      <c r="AP93">
        <v>0</v>
      </c>
      <c r="AQ93" s="30" t="s">
        <v>389</v>
      </c>
      <c r="AR93" s="17">
        <f>MAX(AP91:AP115)</f>
        <v>4</v>
      </c>
      <c r="AT93" s="5" t="s">
        <v>176</v>
      </c>
      <c r="AU93">
        <v>0</v>
      </c>
      <c r="AV93" s="30" t="s">
        <v>388</v>
      </c>
      <c r="AW93" s="17">
        <f>MIN(AU92:AU109)</f>
        <v>0</v>
      </c>
      <c r="AY93" s="5" t="s">
        <v>212</v>
      </c>
      <c r="AZ93">
        <v>0</v>
      </c>
      <c r="BD93" s="5" t="s">
        <v>223</v>
      </c>
      <c r="BE93">
        <v>0</v>
      </c>
      <c r="BF93" s="30" t="s">
        <v>389</v>
      </c>
      <c r="BG93" s="17">
        <f>MAX(BE91:BE115)</f>
        <v>2</v>
      </c>
      <c r="BI93" s="5" t="s">
        <v>265</v>
      </c>
      <c r="BJ93">
        <v>1</v>
      </c>
      <c r="BN93" s="5" t="s">
        <v>283</v>
      </c>
      <c r="BO93">
        <v>1</v>
      </c>
      <c r="BP93" s="17"/>
      <c r="BQ93" s="17"/>
      <c r="BS93" s="17" t="s">
        <v>383</v>
      </c>
      <c r="BT93" s="6" t="s">
        <v>23</v>
      </c>
      <c r="BU93" s="17"/>
      <c r="BV93" s="17"/>
      <c r="BX93" s="61" t="s">
        <v>276</v>
      </c>
      <c r="BY93" s="62">
        <v>0</v>
      </c>
      <c r="BZ93" s="63" t="s">
        <v>389</v>
      </c>
      <c r="CA93" s="58">
        <f>MAX(BY91:BY115)</f>
        <v>1</v>
      </c>
      <c r="CC93" s="5" t="s">
        <v>93</v>
      </c>
      <c r="CD93">
        <v>0</v>
      </c>
      <c r="CE93" s="17"/>
      <c r="CF93" s="17"/>
      <c r="CH93" s="5" t="s">
        <v>322</v>
      </c>
      <c r="CI93">
        <v>0</v>
      </c>
      <c r="CJ93" s="30" t="s">
        <v>388</v>
      </c>
      <c r="CK93" s="17">
        <f>MIN(CI92:CI98)</f>
        <v>0</v>
      </c>
      <c r="CO93" s="17"/>
      <c r="CP93" s="17"/>
      <c r="CR93" s="5" t="s">
        <v>347</v>
      </c>
      <c r="CS93">
        <v>1</v>
      </c>
      <c r="CW93" s="61" t="s">
        <v>322</v>
      </c>
      <c r="CX93" s="62">
        <v>1</v>
      </c>
      <c r="CY93" s="63" t="s">
        <v>388</v>
      </c>
      <c r="CZ93" s="58">
        <f>MIN(CX92:CX131)</f>
        <v>0</v>
      </c>
    </row>
    <row r="94" spans="1:104" x14ac:dyDescent="0.25">
      <c r="A94" s="5" t="s">
        <v>50</v>
      </c>
      <c r="B94">
        <v>0</v>
      </c>
      <c r="C94" s="17"/>
      <c r="D94" s="17"/>
      <c r="F94" s="5" t="s">
        <v>67</v>
      </c>
      <c r="G94">
        <v>0</v>
      </c>
      <c r="H94" s="30" t="s">
        <v>389</v>
      </c>
      <c r="I94" s="17">
        <f>MAX(G92:G98)</f>
        <v>1</v>
      </c>
      <c r="K94" s="5" t="s">
        <v>82</v>
      </c>
      <c r="L94">
        <v>0</v>
      </c>
      <c r="M94" s="17"/>
      <c r="N94" s="17"/>
      <c r="P94" s="5" t="s">
        <v>90</v>
      </c>
      <c r="Q94">
        <v>0</v>
      </c>
      <c r="R94" s="30" t="s">
        <v>389</v>
      </c>
      <c r="S94" s="17">
        <f>MAX(Q92:Q98)</f>
        <v>1</v>
      </c>
      <c r="U94" s="5" t="s">
        <v>112</v>
      </c>
      <c r="V94">
        <v>0</v>
      </c>
      <c r="W94" s="17"/>
      <c r="X94" s="17"/>
      <c r="Z94" s="61" t="s">
        <v>90</v>
      </c>
      <c r="AA94" s="62">
        <v>0</v>
      </c>
      <c r="AB94" s="63" t="s">
        <v>389</v>
      </c>
      <c r="AC94" s="58">
        <f>MAX(AA92:AA131)</f>
        <v>1</v>
      </c>
      <c r="AE94" s="5" t="s">
        <v>142</v>
      </c>
      <c r="AF94">
        <v>0</v>
      </c>
      <c r="AG94" s="17"/>
      <c r="AH94" s="17"/>
      <c r="AJ94" s="5" t="s">
        <v>144</v>
      </c>
      <c r="AK94">
        <v>0</v>
      </c>
      <c r="AL94" s="30" t="s">
        <v>389</v>
      </c>
      <c r="AM94" s="17">
        <f>MAX(AK92:AK98)</f>
        <v>4</v>
      </c>
      <c r="AO94" s="5" t="s">
        <v>152</v>
      </c>
      <c r="AP94">
        <v>0</v>
      </c>
      <c r="AQ94" s="30" t="s">
        <v>390</v>
      </c>
      <c r="AR94" s="17">
        <f>VAR(AP91:AP115)</f>
        <v>1.4566666666666668</v>
      </c>
      <c r="AT94" s="5" t="s">
        <v>177</v>
      </c>
      <c r="AU94">
        <v>0</v>
      </c>
      <c r="AV94" s="30" t="s">
        <v>389</v>
      </c>
      <c r="AW94" s="17">
        <f>MAX(AU92:AU109)</f>
        <v>1</v>
      </c>
      <c r="AY94" s="5" t="s">
        <v>213</v>
      </c>
      <c r="AZ94">
        <v>0</v>
      </c>
      <c r="BD94" s="5" t="s">
        <v>224</v>
      </c>
      <c r="BE94">
        <v>0</v>
      </c>
      <c r="BF94" s="30" t="s">
        <v>390</v>
      </c>
      <c r="BG94" s="17">
        <f>VAR(BE91:BE115)</f>
        <v>0.22333333333333336</v>
      </c>
      <c r="BI94" s="5" t="s">
        <v>266</v>
      </c>
      <c r="BJ94">
        <v>0</v>
      </c>
      <c r="BN94" s="5" t="s">
        <v>285</v>
      </c>
      <c r="BO94">
        <v>0</v>
      </c>
      <c r="BP94" s="17"/>
      <c r="BQ94" s="17"/>
      <c r="BS94" s="17" t="s">
        <v>384</v>
      </c>
      <c r="BT94" s="17" t="s">
        <v>39</v>
      </c>
      <c r="BU94" s="17" t="s">
        <v>385</v>
      </c>
      <c r="BV94" s="17" t="s">
        <v>386</v>
      </c>
      <c r="BX94" s="61" t="s">
        <v>277</v>
      </c>
      <c r="BY94" s="62">
        <v>0</v>
      </c>
      <c r="BZ94" s="63" t="s">
        <v>390</v>
      </c>
      <c r="CA94" s="58">
        <f>VAR(BY91:BY115)</f>
        <v>7.6666666666666675E-2</v>
      </c>
      <c r="CC94" s="5" t="s">
        <v>307</v>
      </c>
      <c r="CD94">
        <v>0</v>
      </c>
      <c r="CE94" s="17"/>
      <c r="CF94" s="17"/>
      <c r="CH94" s="5" t="s">
        <v>323</v>
      </c>
      <c r="CI94">
        <v>0</v>
      </c>
      <c r="CJ94" s="30" t="s">
        <v>389</v>
      </c>
      <c r="CK94" s="17">
        <f>MAX(CI92:CI98)</f>
        <v>1</v>
      </c>
      <c r="CR94" s="5" t="s">
        <v>348</v>
      </c>
      <c r="CS94">
        <v>3</v>
      </c>
      <c r="CW94" s="61" t="s">
        <v>323</v>
      </c>
      <c r="CX94" s="62">
        <v>2</v>
      </c>
      <c r="CY94" s="63" t="s">
        <v>389</v>
      </c>
      <c r="CZ94" s="58">
        <f>MAX(CX92:CX131)</f>
        <v>5</v>
      </c>
    </row>
    <row r="95" spans="1:104" x14ac:dyDescent="0.25">
      <c r="A95" s="5" t="s">
        <v>51</v>
      </c>
      <c r="B95">
        <v>0</v>
      </c>
      <c r="C95" s="17"/>
      <c r="D95" s="17"/>
      <c r="F95" s="5" t="s">
        <v>68</v>
      </c>
      <c r="G95">
        <v>0</v>
      </c>
      <c r="H95" s="30" t="s">
        <v>390</v>
      </c>
      <c r="I95" s="17">
        <f>VAR(G92:G98)</f>
        <v>0.14285714285714288</v>
      </c>
      <c r="K95" s="5" t="s">
        <v>83</v>
      </c>
      <c r="L95">
        <v>0</v>
      </c>
      <c r="M95" s="17"/>
      <c r="N95" s="17"/>
      <c r="P95" s="5" t="s">
        <v>91</v>
      </c>
      <c r="Q95">
        <v>1</v>
      </c>
      <c r="R95" s="30" t="s">
        <v>390</v>
      </c>
      <c r="S95" s="17">
        <f>VAR(Q92:Q98)</f>
        <v>0.23809523809523811</v>
      </c>
      <c r="U95" s="5" t="s">
        <v>113</v>
      </c>
      <c r="V95">
        <v>0</v>
      </c>
      <c r="W95" s="15"/>
      <c r="X95" s="15"/>
      <c r="Z95" s="61" t="s">
        <v>91</v>
      </c>
      <c r="AA95" s="62">
        <v>0</v>
      </c>
      <c r="AB95" s="63" t="s">
        <v>390</v>
      </c>
      <c r="AC95" s="58">
        <f>VAR(AA92:AA131)</f>
        <v>7.1153846153846151E-2</v>
      </c>
      <c r="AJ95" s="5" t="s">
        <v>145</v>
      </c>
      <c r="AK95">
        <v>4</v>
      </c>
      <c r="AL95" s="30" t="s">
        <v>390</v>
      </c>
      <c r="AM95" s="17">
        <f>VAR(AK92:AK98)</f>
        <v>3.1428571428571428</v>
      </c>
      <c r="AO95" s="5" t="s">
        <v>153</v>
      </c>
      <c r="AP95">
        <v>1</v>
      </c>
      <c r="AQ95" s="30" t="s">
        <v>391</v>
      </c>
      <c r="AR95" s="17">
        <f>AVERAGE(AP91:AP115)</f>
        <v>0.96</v>
      </c>
      <c r="AT95" s="5" t="s">
        <v>178</v>
      </c>
      <c r="AU95">
        <v>0</v>
      </c>
      <c r="AV95" s="30" t="s">
        <v>390</v>
      </c>
      <c r="AW95" s="17">
        <f>VAR(AU92:AU109)</f>
        <v>0.14705882352941177</v>
      </c>
      <c r="AY95" s="5" t="s">
        <v>214</v>
      </c>
      <c r="AZ95">
        <v>2</v>
      </c>
      <c r="BD95" s="5" t="s">
        <v>225</v>
      </c>
      <c r="BE95">
        <v>0</v>
      </c>
      <c r="BF95" s="30" t="s">
        <v>391</v>
      </c>
      <c r="BG95" s="17">
        <f>AVERAGE(BE91:BE115)</f>
        <v>0.16</v>
      </c>
      <c r="BI95" s="5" t="s">
        <v>267</v>
      </c>
      <c r="BJ95">
        <v>0</v>
      </c>
      <c r="BN95" s="5" t="s">
        <v>284</v>
      </c>
      <c r="BO95">
        <v>0</v>
      </c>
      <c r="BP95" s="17"/>
      <c r="BQ95" s="17"/>
      <c r="BS95" s="5" t="s">
        <v>290</v>
      </c>
      <c r="BT95">
        <v>1</v>
      </c>
      <c r="BU95" s="30" t="s">
        <v>387</v>
      </c>
      <c r="BV95" s="17">
        <f>SUM(BT95:BT103)</f>
        <v>1</v>
      </c>
      <c r="BX95" s="61" t="s">
        <v>279</v>
      </c>
      <c r="BY95" s="62">
        <v>0</v>
      </c>
      <c r="BZ95" s="63" t="s">
        <v>391</v>
      </c>
      <c r="CA95" s="58">
        <f>AVERAGE(BY91:BY115)</f>
        <v>0.08</v>
      </c>
      <c r="CC95" s="5" t="s">
        <v>308</v>
      </c>
      <c r="CD95">
        <v>0</v>
      </c>
      <c r="CE95" s="17"/>
      <c r="CF95" s="17"/>
      <c r="CH95" s="5" t="s">
        <v>324</v>
      </c>
      <c r="CI95">
        <v>0</v>
      </c>
      <c r="CJ95" s="30" t="s">
        <v>390</v>
      </c>
      <c r="CK95" s="17">
        <f>VAR(CI92:CI98)</f>
        <v>0.14285714285714288</v>
      </c>
      <c r="CR95" s="5" t="s">
        <v>349</v>
      </c>
      <c r="CS95">
        <v>2</v>
      </c>
      <c r="CW95" s="61" t="s">
        <v>324</v>
      </c>
      <c r="CX95" s="62">
        <v>3</v>
      </c>
      <c r="CY95" s="63" t="s">
        <v>390</v>
      </c>
      <c r="CZ95" s="58">
        <f>VAR(CX92:CX131)</f>
        <v>1.2403846153846154</v>
      </c>
    </row>
    <row r="96" spans="1:104" x14ac:dyDescent="0.25">
      <c r="A96" s="5" t="s">
        <v>52</v>
      </c>
      <c r="B96">
        <v>0</v>
      </c>
      <c r="C96" s="17"/>
      <c r="D96" s="17"/>
      <c r="F96" s="5" t="s">
        <v>69</v>
      </c>
      <c r="G96">
        <v>0</v>
      </c>
      <c r="H96" s="30" t="s">
        <v>391</v>
      </c>
      <c r="I96" s="17">
        <f>AVERAGE(G92:G98)</f>
        <v>0.14285714285714285</v>
      </c>
      <c r="K96" s="5" t="s">
        <v>84</v>
      </c>
      <c r="L96">
        <v>0</v>
      </c>
      <c r="M96" s="17"/>
      <c r="N96" s="17"/>
      <c r="P96" s="5" t="s">
        <v>92</v>
      </c>
      <c r="Q96">
        <v>0</v>
      </c>
      <c r="R96" s="30" t="s">
        <v>391</v>
      </c>
      <c r="S96" s="17">
        <f>AVERAGE(Q92:Q98)</f>
        <v>0.2857142857142857</v>
      </c>
      <c r="U96" s="26" t="s">
        <v>114</v>
      </c>
      <c r="V96">
        <v>0</v>
      </c>
      <c r="W96" s="17"/>
      <c r="X96" s="17"/>
      <c r="Z96" s="61" t="s">
        <v>92</v>
      </c>
      <c r="AA96" s="62">
        <v>0</v>
      </c>
      <c r="AB96" s="63" t="s">
        <v>391</v>
      </c>
      <c r="AC96" s="58">
        <f>AVERAGE(AA92:AA131)</f>
        <v>7.4999999999999997E-2</v>
      </c>
      <c r="AE96" s="17" t="s">
        <v>382</v>
      </c>
      <c r="AF96" s="29" t="s">
        <v>366</v>
      </c>
      <c r="AG96" s="17"/>
      <c r="AH96" s="17">
        <v>2016</v>
      </c>
      <c r="AJ96" s="5" t="s">
        <v>146</v>
      </c>
      <c r="AK96">
        <v>4</v>
      </c>
      <c r="AL96" s="30" t="s">
        <v>391</v>
      </c>
      <c r="AM96" s="17">
        <f>AVERAGE(AK92:AK98)</f>
        <v>1.8571428571428572</v>
      </c>
      <c r="AO96" s="5" t="s">
        <v>154</v>
      </c>
      <c r="AP96">
        <v>0</v>
      </c>
      <c r="AQ96" s="30" t="s">
        <v>392</v>
      </c>
      <c r="AR96" s="17">
        <f>STDEV(AP91:AP115)</f>
        <v>1.2069244660154448</v>
      </c>
      <c r="AT96" s="5" t="s">
        <v>179</v>
      </c>
      <c r="AU96">
        <v>0</v>
      </c>
      <c r="AV96" s="30" t="s">
        <v>391</v>
      </c>
      <c r="AW96" s="17">
        <f>AVERAGE(AU92:AU109)</f>
        <v>0.16666666666666666</v>
      </c>
      <c r="AY96" s="5" t="s">
        <v>215</v>
      </c>
      <c r="AZ96">
        <v>0</v>
      </c>
      <c r="BD96" s="5" t="s">
        <v>226</v>
      </c>
      <c r="BE96">
        <v>0</v>
      </c>
      <c r="BF96" s="30" t="s">
        <v>392</v>
      </c>
      <c r="BG96" s="17">
        <f>STDEV(BE91:BE115)</f>
        <v>0.47258156262526085</v>
      </c>
      <c r="BI96" s="5" t="s">
        <v>268</v>
      </c>
      <c r="BJ96">
        <v>0</v>
      </c>
      <c r="BN96" s="5" t="s">
        <v>286</v>
      </c>
      <c r="BO96">
        <v>0</v>
      </c>
      <c r="BP96" s="17"/>
      <c r="BQ96" s="17"/>
      <c r="BS96" s="5" t="s">
        <v>291</v>
      </c>
      <c r="BT96">
        <v>0</v>
      </c>
      <c r="BU96" s="30" t="s">
        <v>388</v>
      </c>
      <c r="BV96" s="17">
        <f>MIN(BT95:BT103)</f>
        <v>0</v>
      </c>
      <c r="BX96" s="61" t="s">
        <v>278</v>
      </c>
      <c r="BY96" s="62">
        <v>1</v>
      </c>
      <c r="BZ96" s="63" t="s">
        <v>392</v>
      </c>
      <c r="CA96" s="58">
        <f>STDEV(BY91:BY115)</f>
        <v>0.27688746209726917</v>
      </c>
      <c r="CC96" s="5" t="s">
        <v>309</v>
      </c>
      <c r="CD96">
        <v>0</v>
      </c>
      <c r="CE96" s="17"/>
      <c r="CF96" s="17"/>
      <c r="CH96" s="5" t="s">
        <v>325</v>
      </c>
      <c r="CI96">
        <v>0</v>
      </c>
      <c r="CJ96" s="30" t="s">
        <v>391</v>
      </c>
      <c r="CK96" s="17">
        <f>AVERAGE(CI92:CI98)</f>
        <v>0.14285714285714285</v>
      </c>
      <c r="CR96" s="5" t="s">
        <v>350</v>
      </c>
      <c r="CS96">
        <v>0</v>
      </c>
      <c r="CW96" s="61" t="s">
        <v>325</v>
      </c>
      <c r="CX96" s="62">
        <v>2</v>
      </c>
      <c r="CY96" s="63" t="s">
        <v>391</v>
      </c>
      <c r="CZ96" s="58">
        <f>AVERAGE(CX92:CX131)</f>
        <v>0.875</v>
      </c>
    </row>
    <row r="97" spans="1:104" x14ac:dyDescent="0.25">
      <c r="A97" s="5" t="s">
        <v>53</v>
      </c>
      <c r="B97">
        <v>0</v>
      </c>
      <c r="C97" s="17"/>
      <c r="D97" s="17"/>
      <c r="F97" s="5" t="s">
        <v>70</v>
      </c>
      <c r="G97">
        <v>0</v>
      </c>
      <c r="H97" s="30" t="s">
        <v>392</v>
      </c>
      <c r="I97" s="17">
        <f>STDEV(G92:G98)</f>
        <v>0.37796447300922725</v>
      </c>
      <c r="K97" s="5" t="s">
        <v>85</v>
      </c>
      <c r="L97">
        <v>0</v>
      </c>
      <c r="M97" s="17"/>
      <c r="N97" s="17"/>
      <c r="P97" s="5" t="s">
        <v>93</v>
      </c>
      <c r="Q97">
        <v>0</v>
      </c>
      <c r="R97" s="30" t="s">
        <v>392</v>
      </c>
      <c r="S97" s="17">
        <f>STDEV(Q92:Q98)</f>
        <v>0.4879500364742666</v>
      </c>
      <c r="U97" s="26" t="s">
        <v>115</v>
      </c>
      <c r="V97">
        <v>0</v>
      </c>
      <c r="W97" s="17"/>
      <c r="X97" s="17"/>
      <c r="Z97" s="61" t="s">
        <v>93</v>
      </c>
      <c r="AA97" s="62">
        <v>0</v>
      </c>
      <c r="AB97" s="63" t="s">
        <v>392</v>
      </c>
      <c r="AC97" s="58">
        <f>STDEV(AA92:AA131)</f>
        <v>0.26674678283691849</v>
      </c>
      <c r="AE97" s="17" t="s">
        <v>383</v>
      </c>
      <c r="AF97" s="6" t="s">
        <v>11</v>
      </c>
      <c r="AG97" s="17"/>
      <c r="AH97" s="17"/>
      <c r="AJ97" s="5" t="s">
        <v>147</v>
      </c>
      <c r="AK97">
        <v>1</v>
      </c>
      <c r="AL97" s="30" t="s">
        <v>392</v>
      </c>
      <c r="AM97" s="17">
        <f>STDEV(AK92:AK98)</f>
        <v>1.7728105208558367</v>
      </c>
      <c r="AO97" s="5" t="s">
        <v>155</v>
      </c>
      <c r="AP97">
        <v>2</v>
      </c>
      <c r="AQ97" s="17"/>
      <c r="AR97" s="17"/>
      <c r="AT97" s="5" t="s">
        <v>180</v>
      </c>
      <c r="AU97">
        <v>0</v>
      </c>
      <c r="AV97" s="30" t="s">
        <v>392</v>
      </c>
      <c r="AW97" s="17">
        <f>STDEV(AU92:AU109)</f>
        <v>0.38348249442368521</v>
      </c>
      <c r="AY97" s="5" t="s">
        <v>216</v>
      </c>
      <c r="AZ97">
        <v>0</v>
      </c>
      <c r="BD97" s="5" t="s">
        <v>227</v>
      </c>
      <c r="BE97">
        <v>0</v>
      </c>
      <c r="BF97" s="17"/>
      <c r="BG97" s="17"/>
      <c r="BI97" s="5" t="s">
        <v>269</v>
      </c>
      <c r="BJ97">
        <v>0</v>
      </c>
      <c r="BN97" s="5" t="s">
        <v>287</v>
      </c>
      <c r="BO97">
        <v>0</v>
      </c>
      <c r="BP97" s="17"/>
      <c r="BQ97" s="17"/>
      <c r="BS97" s="5" t="s">
        <v>292</v>
      </c>
      <c r="BT97">
        <v>0</v>
      </c>
      <c r="BU97" s="30" t="s">
        <v>389</v>
      </c>
      <c r="BV97" s="17">
        <f>MAX(BT95:BT103)</f>
        <v>1</v>
      </c>
      <c r="BX97" s="61" t="s">
        <v>280</v>
      </c>
      <c r="BY97" s="62">
        <v>0</v>
      </c>
      <c r="BZ97" s="58"/>
      <c r="CA97" s="58"/>
      <c r="CC97" s="5" t="s">
        <v>310</v>
      </c>
      <c r="CD97">
        <v>0</v>
      </c>
      <c r="CE97" s="17"/>
      <c r="CF97" s="17"/>
      <c r="CH97" s="5" t="s">
        <v>326</v>
      </c>
      <c r="CI97">
        <v>1</v>
      </c>
      <c r="CJ97" s="30" t="s">
        <v>392</v>
      </c>
      <c r="CK97" s="17">
        <f>STDEV(CI92:CI98)</f>
        <v>0.37796447300922725</v>
      </c>
      <c r="CR97" s="5" t="s">
        <v>351</v>
      </c>
      <c r="CS97">
        <v>1</v>
      </c>
      <c r="CW97" s="61" t="s">
        <v>326</v>
      </c>
      <c r="CX97" s="62">
        <v>0</v>
      </c>
      <c r="CY97" s="63" t="s">
        <v>392</v>
      </c>
      <c r="CZ97" s="58">
        <f>STDEV(CX92:CX131)</f>
        <v>1.1137255565823276</v>
      </c>
    </row>
    <row r="98" spans="1:104" x14ac:dyDescent="0.25">
      <c r="A98" s="5" t="s">
        <v>54</v>
      </c>
      <c r="B98">
        <v>0</v>
      </c>
      <c r="C98" s="17"/>
      <c r="D98" s="17"/>
      <c r="F98" s="5" t="s">
        <v>71</v>
      </c>
      <c r="G98">
        <v>0</v>
      </c>
      <c r="H98" s="17"/>
      <c r="I98" s="17"/>
      <c r="K98" s="5" t="s">
        <v>86</v>
      </c>
      <c r="L98">
        <v>0</v>
      </c>
      <c r="M98" s="17"/>
      <c r="N98" s="17"/>
      <c r="P98" s="5" t="s">
        <v>94</v>
      </c>
      <c r="Q98">
        <v>1</v>
      </c>
      <c r="R98" s="17"/>
      <c r="S98" s="17"/>
      <c r="U98" s="26" t="s">
        <v>116</v>
      </c>
      <c r="V98">
        <v>0</v>
      </c>
      <c r="W98" s="17"/>
      <c r="X98" s="1"/>
      <c r="Z98" s="61" t="s">
        <v>94</v>
      </c>
      <c r="AA98" s="62">
        <v>1</v>
      </c>
      <c r="AB98" s="58"/>
      <c r="AC98" s="58"/>
      <c r="AE98" s="17" t="s">
        <v>384</v>
      </c>
      <c r="AF98" s="17" t="s">
        <v>39</v>
      </c>
      <c r="AG98" s="17" t="s">
        <v>385</v>
      </c>
      <c r="AH98" s="17" t="s">
        <v>386</v>
      </c>
      <c r="AJ98" s="5" t="s">
        <v>148</v>
      </c>
      <c r="AK98">
        <v>1</v>
      </c>
      <c r="AL98" s="17"/>
      <c r="AM98" s="17"/>
      <c r="AO98" s="5" t="s">
        <v>156</v>
      </c>
      <c r="AP98">
        <v>3</v>
      </c>
      <c r="AQ98" s="17"/>
      <c r="AR98" s="17"/>
      <c r="AT98" s="5" t="s">
        <v>181</v>
      </c>
      <c r="AU98">
        <v>0</v>
      </c>
      <c r="AV98" s="17"/>
      <c r="AW98" s="17"/>
      <c r="AY98" s="5" t="s">
        <v>217</v>
      </c>
      <c r="AZ98">
        <v>0</v>
      </c>
      <c r="BD98" s="5" t="s">
        <v>228</v>
      </c>
      <c r="BE98">
        <v>0</v>
      </c>
      <c r="BF98" s="17"/>
      <c r="BG98" s="17"/>
      <c r="BI98" s="5" t="s">
        <v>270</v>
      </c>
      <c r="BJ98">
        <v>0</v>
      </c>
      <c r="BN98" s="5" t="s">
        <v>288</v>
      </c>
      <c r="BO98">
        <v>0</v>
      </c>
      <c r="BP98" s="17"/>
      <c r="BQ98" s="17"/>
      <c r="BS98" s="5" t="s">
        <v>293</v>
      </c>
      <c r="BT98">
        <v>0</v>
      </c>
      <c r="BU98" s="30" t="s">
        <v>390</v>
      </c>
      <c r="BV98" s="17">
        <f>VAR(BT95:BT103)</f>
        <v>0.1111111111111111</v>
      </c>
      <c r="BX98" s="61" t="s">
        <v>281</v>
      </c>
      <c r="BY98" s="62">
        <v>0</v>
      </c>
      <c r="BZ98" s="58"/>
      <c r="CA98" s="58"/>
      <c r="CC98" s="5" t="s">
        <v>311</v>
      </c>
      <c r="CD98">
        <v>0</v>
      </c>
      <c r="CE98" s="17"/>
      <c r="CF98" s="17"/>
      <c r="CH98" s="5" t="s">
        <v>327</v>
      </c>
      <c r="CI98">
        <v>0</v>
      </c>
      <c r="CJ98" s="17"/>
      <c r="CK98" s="17"/>
      <c r="CR98" s="5" t="s">
        <v>352</v>
      </c>
      <c r="CS98">
        <v>1</v>
      </c>
      <c r="CW98" s="61" t="s">
        <v>327</v>
      </c>
      <c r="CX98" s="62">
        <v>0</v>
      </c>
      <c r="CY98" s="58"/>
      <c r="CZ98" s="58"/>
    </row>
    <row r="99" spans="1:104" x14ac:dyDescent="0.25">
      <c r="A99" s="5" t="s">
        <v>55</v>
      </c>
      <c r="B99">
        <v>0</v>
      </c>
      <c r="C99" s="17"/>
      <c r="D99" s="17"/>
      <c r="K99" s="5" t="s">
        <v>87</v>
      </c>
      <c r="L99">
        <v>0</v>
      </c>
      <c r="M99" s="17"/>
      <c r="N99" s="17"/>
      <c r="U99" s="26" t="s">
        <v>117</v>
      </c>
      <c r="V99">
        <v>0</v>
      </c>
      <c r="W99" s="17"/>
      <c r="X99" s="1"/>
      <c r="Z99" s="61" t="s">
        <v>96</v>
      </c>
      <c r="AA99" s="62">
        <v>0</v>
      </c>
      <c r="AE99" s="5" t="s">
        <v>129</v>
      </c>
      <c r="AF99">
        <v>0</v>
      </c>
      <c r="AG99" s="30" t="s">
        <v>387</v>
      </c>
      <c r="AH99" s="17">
        <f>SUM(AF99:AF113)</f>
        <v>3</v>
      </c>
      <c r="AO99" s="5" t="s">
        <v>157</v>
      </c>
      <c r="AP99">
        <v>1</v>
      </c>
      <c r="AQ99" s="17"/>
      <c r="AR99" s="17"/>
      <c r="AT99" s="5" t="s">
        <v>182</v>
      </c>
      <c r="AU99">
        <v>0</v>
      </c>
      <c r="AV99" s="17"/>
      <c r="AW99" s="17"/>
      <c r="AY99" s="5" t="s">
        <v>218</v>
      </c>
      <c r="AZ99">
        <v>0</v>
      </c>
      <c r="BD99" s="5" t="s">
        <v>229</v>
      </c>
      <c r="BE99">
        <v>2</v>
      </c>
      <c r="BF99" s="17"/>
      <c r="BG99" s="17"/>
      <c r="BI99" s="5" t="s">
        <v>271</v>
      </c>
      <c r="BJ99">
        <v>1</v>
      </c>
      <c r="BN99" s="5" t="s">
        <v>289</v>
      </c>
      <c r="BO99">
        <v>0</v>
      </c>
      <c r="BP99" s="17"/>
      <c r="BQ99" s="17"/>
      <c r="BS99" s="5" t="s">
        <v>294</v>
      </c>
      <c r="BT99">
        <v>0</v>
      </c>
      <c r="BU99" s="30" t="s">
        <v>391</v>
      </c>
      <c r="BV99" s="17">
        <f>AVERAGE(BT95:BT103)</f>
        <v>0.1111111111111111</v>
      </c>
      <c r="BX99" s="61" t="s">
        <v>282</v>
      </c>
      <c r="BY99" s="62">
        <v>0</v>
      </c>
      <c r="BZ99" s="58"/>
      <c r="CA99" s="58"/>
      <c r="CC99" s="5" t="s">
        <v>312</v>
      </c>
      <c r="CD99">
        <v>0</v>
      </c>
      <c r="CE99" s="17"/>
      <c r="CF99" s="17"/>
      <c r="CR99" s="5" t="s">
        <v>353</v>
      </c>
      <c r="CS99">
        <v>0</v>
      </c>
      <c r="CW99" s="61" t="s">
        <v>328</v>
      </c>
      <c r="CX99" s="62">
        <v>1</v>
      </c>
    </row>
    <row r="100" spans="1:104" x14ac:dyDescent="0.25">
      <c r="A100" s="5" t="s">
        <v>56</v>
      </c>
      <c r="B100">
        <v>0</v>
      </c>
      <c r="C100" s="17"/>
      <c r="D100" s="17"/>
      <c r="F100" s="17" t="s">
        <v>382</v>
      </c>
      <c r="G100" s="29" t="s">
        <v>362</v>
      </c>
      <c r="H100" s="17"/>
      <c r="I100" s="17">
        <v>2016</v>
      </c>
      <c r="P100" s="17" t="s">
        <v>382</v>
      </c>
      <c r="Q100" s="29" t="s">
        <v>401</v>
      </c>
      <c r="R100" s="17"/>
      <c r="S100" s="17">
        <v>2016</v>
      </c>
      <c r="U100" s="26" t="s">
        <v>118</v>
      </c>
      <c r="V100">
        <v>0</v>
      </c>
      <c r="W100" s="17"/>
      <c r="X100" s="1"/>
      <c r="Z100" s="61" t="s">
        <v>97</v>
      </c>
      <c r="AA100" s="62">
        <v>0</v>
      </c>
      <c r="AE100" s="5" t="s">
        <v>130</v>
      </c>
      <c r="AF100">
        <v>0</v>
      </c>
      <c r="AG100" s="30" t="s">
        <v>388</v>
      </c>
      <c r="AH100" s="17">
        <f>MIN(AF99:AF113)</f>
        <v>0</v>
      </c>
      <c r="AO100" s="5" t="s">
        <v>158</v>
      </c>
      <c r="AP100">
        <v>4</v>
      </c>
      <c r="AQ100" s="17"/>
      <c r="AR100" s="17"/>
      <c r="AT100" s="5" t="s">
        <v>183</v>
      </c>
      <c r="AU100">
        <v>1</v>
      </c>
      <c r="AV100" s="17"/>
      <c r="AW100" s="17"/>
      <c r="AY100" s="5" t="s">
        <v>219</v>
      </c>
      <c r="AZ100">
        <v>0</v>
      </c>
      <c r="BD100" s="5" t="s">
        <v>230</v>
      </c>
      <c r="BE100">
        <v>0</v>
      </c>
      <c r="BF100" s="17"/>
      <c r="BG100" s="17"/>
      <c r="BI100" s="5" t="s">
        <v>272</v>
      </c>
      <c r="BJ100">
        <v>1</v>
      </c>
      <c r="BS100" s="5" t="s">
        <v>295</v>
      </c>
      <c r="BT100">
        <v>0</v>
      </c>
      <c r="BU100" s="30" t="s">
        <v>392</v>
      </c>
      <c r="BV100" s="17">
        <f>STDEV(BT95:BT103)</f>
        <v>0.33333333333333331</v>
      </c>
      <c r="BX100" s="61" t="s">
        <v>283</v>
      </c>
      <c r="BY100" s="62">
        <v>1</v>
      </c>
      <c r="BZ100" s="58"/>
      <c r="CA100" s="58"/>
      <c r="CC100" s="5" t="s">
        <v>313</v>
      </c>
      <c r="CD100">
        <v>0</v>
      </c>
      <c r="CE100" s="17"/>
      <c r="CF100" s="17"/>
      <c r="CH100" s="17" t="s">
        <v>382</v>
      </c>
      <c r="CI100" s="29" t="s">
        <v>443</v>
      </c>
      <c r="CJ100" s="17"/>
      <c r="CK100" s="17">
        <v>2016</v>
      </c>
      <c r="CR100" s="5" t="s">
        <v>354</v>
      </c>
      <c r="CS100">
        <v>5</v>
      </c>
      <c r="CW100" s="61" t="s">
        <v>329</v>
      </c>
      <c r="CX100" s="62">
        <v>0</v>
      </c>
    </row>
    <row r="101" spans="1:104" x14ac:dyDescent="0.25">
      <c r="A101" s="5" t="s">
        <v>57</v>
      </c>
      <c r="B101">
        <v>0</v>
      </c>
      <c r="C101" s="17"/>
      <c r="D101" s="17"/>
      <c r="F101" s="17" t="s">
        <v>383</v>
      </c>
      <c r="G101" s="6" t="s">
        <v>37</v>
      </c>
      <c r="H101" s="17"/>
      <c r="I101" s="17"/>
      <c r="K101" s="17" t="s">
        <v>382</v>
      </c>
      <c r="L101" s="29" t="s">
        <v>363</v>
      </c>
      <c r="M101" s="17"/>
      <c r="N101" s="17">
        <v>2016</v>
      </c>
      <c r="P101" s="17" t="s">
        <v>383</v>
      </c>
      <c r="Q101" s="6" t="s">
        <v>21</v>
      </c>
      <c r="R101" s="17"/>
      <c r="S101" s="17"/>
      <c r="U101" s="26" t="s">
        <v>119</v>
      </c>
      <c r="V101">
        <v>0</v>
      </c>
      <c r="Z101" s="61" t="s">
        <v>98</v>
      </c>
      <c r="AA101" s="62">
        <v>0</v>
      </c>
      <c r="AE101" s="5" t="s">
        <v>131</v>
      </c>
      <c r="AF101">
        <v>1</v>
      </c>
      <c r="AG101" s="30" t="s">
        <v>389</v>
      </c>
      <c r="AH101" s="17">
        <f>MAX(AF99:AF113)</f>
        <v>1</v>
      </c>
      <c r="AO101" s="5" t="s">
        <v>159</v>
      </c>
      <c r="AP101">
        <v>2</v>
      </c>
      <c r="AQ101" s="17"/>
      <c r="AR101" s="17"/>
      <c r="AT101" s="5" t="s">
        <v>184</v>
      </c>
      <c r="AU101">
        <v>0</v>
      </c>
      <c r="AV101" s="17"/>
      <c r="AW101" s="17"/>
      <c r="AY101" s="5" t="s">
        <v>220</v>
      </c>
      <c r="AZ101">
        <v>1</v>
      </c>
      <c r="BD101" s="5" t="s">
        <v>231</v>
      </c>
      <c r="BE101">
        <v>0</v>
      </c>
      <c r="BF101" s="17"/>
      <c r="BG101" s="17"/>
      <c r="BI101" s="5" t="s">
        <v>273</v>
      </c>
      <c r="BJ101">
        <v>2</v>
      </c>
      <c r="BN101" s="17" t="s">
        <v>382</v>
      </c>
      <c r="BO101" s="29" t="s">
        <v>440</v>
      </c>
      <c r="BP101" s="17"/>
      <c r="BQ101" s="17">
        <v>2016</v>
      </c>
      <c r="BS101" s="5" t="s">
        <v>296</v>
      </c>
      <c r="BT101">
        <v>0</v>
      </c>
      <c r="BU101" s="17"/>
      <c r="BV101" s="17"/>
      <c r="BX101" s="61" t="s">
        <v>285</v>
      </c>
      <c r="BY101" s="62">
        <v>0</v>
      </c>
      <c r="BZ101" s="58"/>
      <c r="CA101" s="58"/>
      <c r="CC101" s="5" t="s">
        <v>314</v>
      </c>
      <c r="CD101">
        <v>0</v>
      </c>
      <c r="CH101" s="17" t="s">
        <v>383</v>
      </c>
      <c r="CI101" s="6" t="s">
        <v>23</v>
      </c>
      <c r="CJ101" s="17"/>
      <c r="CK101" s="17"/>
      <c r="CR101" s="5" t="s">
        <v>355</v>
      </c>
      <c r="CS101">
        <v>0</v>
      </c>
      <c r="CW101" s="61" t="s">
        <v>330</v>
      </c>
      <c r="CX101" s="62">
        <v>1</v>
      </c>
    </row>
    <row r="102" spans="1:104" x14ac:dyDescent="0.25">
      <c r="A102" s="5" t="s">
        <v>58</v>
      </c>
      <c r="B102">
        <v>2</v>
      </c>
      <c r="C102" s="15"/>
      <c r="D102" s="15"/>
      <c r="F102" s="17" t="s">
        <v>384</v>
      </c>
      <c r="G102" s="17" t="s">
        <v>39</v>
      </c>
      <c r="H102" s="17" t="s">
        <v>385</v>
      </c>
      <c r="I102" s="17" t="s">
        <v>386</v>
      </c>
      <c r="K102" s="17" t="s">
        <v>383</v>
      </c>
      <c r="L102" s="6" t="s">
        <v>19</v>
      </c>
      <c r="M102" s="17"/>
      <c r="N102" s="17"/>
      <c r="P102" s="17" t="s">
        <v>384</v>
      </c>
      <c r="Q102" s="17" t="s">
        <v>39</v>
      </c>
      <c r="R102" s="17" t="s">
        <v>385</v>
      </c>
      <c r="S102" s="17" t="s">
        <v>386</v>
      </c>
      <c r="U102" s="5" t="s">
        <v>120</v>
      </c>
      <c r="V102">
        <v>1</v>
      </c>
      <c r="Z102" s="61" t="s">
        <v>99</v>
      </c>
      <c r="AA102" s="62">
        <v>0</v>
      </c>
      <c r="AE102" s="5" t="s">
        <v>132</v>
      </c>
      <c r="AF102">
        <v>1</v>
      </c>
      <c r="AG102" s="30" t="s">
        <v>390</v>
      </c>
      <c r="AH102" s="17">
        <f>VAR(AF99:AF113)</f>
        <v>0.17142857142857143</v>
      </c>
      <c r="AO102" s="5" t="s">
        <v>100</v>
      </c>
      <c r="AP102">
        <v>0</v>
      </c>
      <c r="AQ102" s="17"/>
      <c r="AR102" s="17"/>
      <c r="AT102" s="5" t="s">
        <v>185</v>
      </c>
      <c r="AU102">
        <v>0</v>
      </c>
      <c r="AV102" s="17"/>
      <c r="AW102" s="17"/>
      <c r="BD102" s="5" t="s">
        <v>232</v>
      </c>
      <c r="BE102">
        <v>0</v>
      </c>
      <c r="BF102" s="17"/>
      <c r="BG102" s="17"/>
      <c r="BN102" s="17" t="s">
        <v>383</v>
      </c>
      <c r="BO102" s="6" t="s">
        <v>16</v>
      </c>
      <c r="BP102" s="17"/>
      <c r="BQ102" s="17"/>
      <c r="BS102" s="5" t="s">
        <v>297</v>
      </c>
      <c r="BT102">
        <v>0</v>
      </c>
      <c r="BU102" s="17"/>
      <c r="BV102" s="17"/>
      <c r="BX102" s="61" t="s">
        <v>284</v>
      </c>
      <c r="BY102" s="62">
        <v>0</v>
      </c>
      <c r="BZ102" s="58"/>
      <c r="CA102" s="58"/>
      <c r="CC102" s="5" t="s">
        <v>315</v>
      </c>
      <c r="CD102">
        <v>0</v>
      </c>
      <c r="CH102" s="17" t="s">
        <v>384</v>
      </c>
      <c r="CI102" s="17" t="s">
        <v>39</v>
      </c>
      <c r="CJ102" s="17" t="s">
        <v>385</v>
      </c>
      <c r="CK102" s="17" t="s">
        <v>386</v>
      </c>
      <c r="CR102" s="2" t="s">
        <v>356</v>
      </c>
      <c r="CS102">
        <v>1</v>
      </c>
      <c r="CW102" s="61" t="s">
        <v>331</v>
      </c>
      <c r="CX102" s="62">
        <v>0</v>
      </c>
    </row>
    <row r="103" spans="1:104" x14ac:dyDescent="0.25">
      <c r="A103" s="5" t="s">
        <v>60</v>
      </c>
      <c r="B103">
        <v>1</v>
      </c>
      <c r="C103" s="17"/>
      <c r="D103" s="17"/>
      <c r="F103" s="5" t="s">
        <v>65</v>
      </c>
      <c r="G103">
        <v>1</v>
      </c>
      <c r="H103" s="30" t="s">
        <v>387</v>
      </c>
      <c r="I103" s="17">
        <f>SUM(G103:G109)</f>
        <v>3</v>
      </c>
      <c r="K103" s="17" t="s">
        <v>384</v>
      </c>
      <c r="L103" s="17" t="s">
        <v>39</v>
      </c>
      <c r="M103" s="17" t="s">
        <v>385</v>
      </c>
      <c r="N103" s="17" t="s">
        <v>386</v>
      </c>
      <c r="P103" s="5" t="s">
        <v>88</v>
      </c>
      <c r="Q103">
        <v>0</v>
      </c>
      <c r="R103" s="30" t="s">
        <v>387</v>
      </c>
      <c r="S103" s="17">
        <f>SUM(Q103:Q109)</f>
        <v>1</v>
      </c>
      <c r="U103" s="5" t="s">
        <v>121</v>
      </c>
      <c r="V103">
        <v>0</v>
      </c>
      <c r="Z103" s="61" t="s">
        <v>100</v>
      </c>
      <c r="AA103" s="62">
        <v>1</v>
      </c>
      <c r="AE103" s="5" t="s">
        <v>133</v>
      </c>
      <c r="AF103">
        <v>0</v>
      </c>
      <c r="AG103" s="30" t="s">
        <v>391</v>
      </c>
      <c r="AH103" s="17">
        <f>AVERAGE(AF99:AF113)</f>
        <v>0.2</v>
      </c>
      <c r="AO103" s="5" t="s">
        <v>161</v>
      </c>
      <c r="AP103">
        <v>0</v>
      </c>
      <c r="AQ103" s="17"/>
      <c r="AR103" s="17"/>
      <c r="AT103" s="5" t="s">
        <v>186</v>
      </c>
      <c r="AU103">
        <v>0</v>
      </c>
      <c r="AV103" s="17"/>
      <c r="AW103" s="17"/>
      <c r="AY103" s="17" t="s">
        <v>382</v>
      </c>
      <c r="AZ103" s="29" t="s">
        <v>370</v>
      </c>
      <c r="BA103" s="17"/>
      <c r="BB103" s="17">
        <v>2016</v>
      </c>
      <c r="BD103" s="5" t="s">
        <v>233</v>
      </c>
      <c r="BE103">
        <v>0</v>
      </c>
      <c r="BF103" s="17"/>
      <c r="BG103" s="17"/>
      <c r="BI103" s="17" t="s">
        <v>382</v>
      </c>
      <c r="BJ103" s="29" t="s">
        <v>372</v>
      </c>
      <c r="BK103" s="17"/>
      <c r="BL103" s="17">
        <v>2016</v>
      </c>
      <c r="BN103" s="17" t="s">
        <v>384</v>
      </c>
      <c r="BO103" s="17" t="s">
        <v>39</v>
      </c>
      <c r="BP103" s="17" t="s">
        <v>385</v>
      </c>
      <c r="BQ103" s="17" t="s">
        <v>386</v>
      </c>
      <c r="BS103" s="5" t="s">
        <v>298</v>
      </c>
      <c r="BT103">
        <v>0</v>
      </c>
      <c r="BU103" s="17"/>
      <c r="BV103" s="17"/>
      <c r="BX103" s="61" t="s">
        <v>286</v>
      </c>
      <c r="BY103" s="62">
        <v>0</v>
      </c>
      <c r="BZ103" s="58"/>
      <c r="CA103" s="58"/>
      <c r="CC103" s="5" t="s">
        <v>316</v>
      </c>
      <c r="CD103">
        <v>0</v>
      </c>
      <c r="CH103" s="5" t="s">
        <v>321</v>
      </c>
      <c r="CI103">
        <v>0</v>
      </c>
      <c r="CJ103" s="30" t="s">
        <v>387</v>
      </c>
      <c r="CK103" s="17">
        <f>SUM(CI103:CI109)</f>
        <v>2</v>
      </c>
      <c r="CR103" s="2" t="s">
        <v>357</v>
      </c>
      <c r="CS103">
        <v>0</v>
      </c>
      <c r="CW103" s="61" t="s">
        <v>332</v>
      </c>
      <c r="CX103" s="62">
        <v>0</v>
      </c>
    </row>
    <row r="104" spans="1:104" x14ac:dyDescent="0.25">
      <c r="A104" s="5" t="s">
        <v>61</v>
      </c>
      <c r="B104">
        <v>1</v>
      </c>
      <c r="C104" s="17"/>
      <c r="D104" s="17"/>
      <c r="F104" s="5" t="s">
        <v>66</v>
      </c>
      <c r="G104">
        <v>1</v>
      </c>
      <c r="H104" s="30" t="s">
        <v>388</v>
      </c>
      <c r="I104" s="17">
        <f>MIN(G103:G109)</f>
        <v>0</v>
      </c>
      <c r="K104" s="5" t="s">
        <v>72</v>
      </c>
      <c r="L104">
        <v>3</v>
      </c>
      <c r="M104" s="30" t="s">
        <v>387</v>
      </c>
      <c r="N104" s="17">
        <f>SUM(L104:L119)</f>
        <v>55</v>
      </c>
      <c r="P104" s="5" t="s">
        <v>89</v>
      </c>
      <c r="Q104">
        <v>0</v>
      </c>
      <c r="R104" s="30" t="s">
        <v>388</v>
      </c>
      <c r="S104" s="17">
        <f>MIN(Q103:Q109)</f>
        <v>0</v>
      </c>
      <c r="U104" s="5" t="s">
        <v>122</v>
      </c>
      <c r="V104">
        <v>0</v>
      </c>
      <c r="Z104" s="61" t="s">
        <v>101</v>
      </c>
      <c r="AA104" s="62">
        <v>0</v>
      </c>
      <c r="AE104" s="5" t="s">
        <v>134</v>
      </c>
      <c r="AF104">
        <v>0</v>
      </c>
      <c r="AG104" s="30" t="s">
        <v>392</v>
      </c>
      <c r="AH104" s="17">
        <f>STDEV(AF99:AF113)</f>
        <v>0.41403933560541251</v>
      </c>
      <c r="AO104" s="5" t="s">
        <v>162</v>
      </c>
      <c r="AP104">
        <v>2</v>
      </c>
      <c r="AQ104" s="17"/>
      <c r="AR104" s="17"/>
      <c r="AT104" s="5" t="s">
        <v>187</v>
      </c>
      <c r="AU104">
        <v>0</v>
      </c>
      <c r="AV104" s="17"/>
      <c r="AW104" s="17"/>
      <c r="AY104" s="17" t="s">
        <v>383</v>
      </c>
      <c r="AZ104" s="6" t="s">
        <v>9</v>
      </c>
      <c r="BA104" s="17"/>
      <c r="BB104" s="17"/>
      <c r="BD104" s="5" t="s">
        <v>234</v>
      </c>
      <c r="BE104">
        <v>0</v>
      </c>
      <c r="BF104" s="17"/>
      <c r="BG104" s="17"/>
      <c r="BI104" s="17" t="s">
        <v>383</v>
      </c>
      <c r="BJ104" s="6" t="s">
        <v>8</v>
      </c>
      <c r="BK104" s="17"/>
      <c r="BL104" s="17"/>
      <c r="BN104" s="5" t="s">
        <v>274</v>
      </c>
      <c r="BO104">
        <v>0</v>
      </c>
      <c r="BP104" s="30" t="s">
        <v>387</v>
      </c>
      <c r="BQ104" s="17">
        <f>SUM(BO104:BO119)</f>
        <v>1</v>
      </c>
      <c r="BX104" s="61" t="s">
        <v>287</v>
      </c>
      <c r="BY104" s="62">
        <v>0</v>
      </c>
      <c r="BZ104" s="58"/>
      <c r="CA104" s="58"/>
      <c r="CC104" s="5" t="s">
        <v>317</v>
      </c>
      <c r="CD104">
        <v>0</v>
      </c>
      <c r="CH104" s="5" t="s">
        <v>322</v>
      </c>
      <c r="CI104">
        <v>1</v>
      </c>
      <c r="CJ104" s="30" t="s">
        <v>388</v>
      </c>
      <c r="CK104" s="17">
        <f>MIN(CI103:CI109)</f>
        <v>0</v>
      </c>
      <c r="CR104" s="2" t="s">
        <v>358</v>
      </c>
      <c r="CS104">
        <v>1</v>
      </c>
      <c r="CW104" s="61" t="s">
        <v>333</v>
      </c>
      <c r="CX104" s="62">
        <v>1</v>
      </c>
    </row>
    <row r="105" spans="1:104" x14ac:dyDescent="0.25">
      <c r="A105" s="5" t="s">
        <v>62</v>
      </c>
      <c r="B105">
        <v>0</v>
      </c>
      <c r="C105" s="17"/>
      <c r="D105" s="1"/>
      <c r="F105" s="5" t="s">
        <v>67</v>
      </c>
      <c r="G105">
        <v>0</v>
      </c>
      <c r="H105" s="30" t="s">
        <v>389</v>
      </c>
      <c r="I105" s="17">
        <f>MAX(G103:G109)</f>
        <v>1</v>
      </c>
      <c r="K105" s="5" t="s">
        <v>73</v>
      </c>
      <c r="L105">
        <v>0</v>
      </c>
      <c r="M105" s="30" t="s">
        <v>388</v>
      </c>
      <c r="N105" s="17">
        <f>MIN(L104:L119)</f>
        <v>0</v>
      </c>
      <c r="P105" s="5" t="s">
        <v>90</v>
      </c>
      <c r="Q105">
        <v>0</v>
      </c>
      <c r="R105" s="30" t="s">
        <v>389</v>
      </c>
      <c r="S105" s="17">
        <f>MAX(Q103:Q109)</f>
        <v>1</v>
      </c>
      <c r="U105" s="5" t="s">
        <v>123</v>
      </c>
      <c r="V105">
        <v>0</v>
      </c>
      <c r="Z105" s="61" t="s">
        <v>103</v>
      </c>
      <c r="AA105" s="62">
        <v>0</v>
      </c>
      <c r="AE105" s="5" t="s">
        <v>135</v>
      </c>
      <c r="AF105">
        <v>0</v>
      </c>
      <c r="AG105" s="17"/>
      <c r="AH105" s="17"/>
      <c r="AO105" s="5" t="s">
        <v>163</v>
      </c>
      <c r="AP105">
        <v>1</v>
      </c>
      <c r="AQ105" s="17"/>
      <c r="AR105" s="17"/>
      <c r="AT105" s="5" t="s">
        <v>188</v>
      </c>
      <c r="AU105">
        <v>0</v>
      </c>
      <c r="AV105" s="17"/>
      <c r="AW105" s="17"/>
      <c r="AY105" s="17" t="s">
        <v>384</v>
      </c>
      <c r="AZ105" s="17" t="s">
        <v>39</v>
      </c>
      <c r="BA105" s="17" t="s">
        <v>385</v>
      </c>
      <c r="BB105" s="17" t="s">
        <v>386</v>
      </c>
      <c r="BD105" s="5" t="s">
        <v>157</v>
      </c>
      <c r="BE105">
        <v>0</v>
      </c>
      <c r="BF105" s="17"/>
      <c r="BG105" s="17"/>
      <c r="BI105" s="17" t="s">
        <v>384</v>
      </c>
      <c r="BJ105" s="17" t="s">
        <v>39</v>
      </c>
      <c r="BK105" s="17" t="s">
        <v>385</v>
      </c>
      <c r="BL105" s="17" t="s">
        <v>386</v>
      </c>
      <c r="BN105" s="5" t="s">
        <v>275</v>
      </c>
      <c r="BO105">
        <v>0</v>
      </c>
      <c r="BP105" s="30" t="s">
        <v>388</v>
      </c>
      <c r="BQ105" s="17">
        <f>MIN(BO104:BO119)</f>
        <v>0</v>
      </c>
      <c r="BS105" s="17" t="s">
        <v>382</v>
      </c>
      <c r="BT105" s="29" t="s">
        <v>441</v>
      </c>
      <c r="BU105" s="17"/>
      <c r="BV105" s="17">
        <v>2016</v>
      </c>
      <c r="BX105" s="61" t="s">
        <v>288</v>
      </c>
      <c r="BY105" s="62">
        <v>0</v>
      </c>
      <c r="BZ105" s="58"/>
      <c r="CA105" s="58"/>
      <c r="CC105" s="5" t="s">
        <v>318</v>
      </c>
      <c r="CD105">
        <v>0</v>
      </c>
      <c r="CH105" s="5" t="s">
        <v>323</v>
      </c>
      <c r="CI105">
        <v>0</v>
      </c>
      <c r="CJ105" s="30" t="s">
        <v>389</v>
      </c>
      <c r="CK105" s="17">
        <f>MAX(CI103:CI109)</f>
        <v>1</v>
      </c>
      <c r="CR105" s="3" t="s">
        <v>359</v>
      </c>
      <c r="CS105">
        <v>2</v>
      </c>
      <c r="CW105" s="61" t="s">
        <v>334</v>
      </c>
      <c r="CX105" s="62">
        <v>1</v>
      </c>
    </row>
    <row r="106" spans="1:104" x14ac:dyDescent="0.25">
      <c r="A106" s="5" t="s">
        <v>63</v>
      </c>
      <c r="B106">
        <v>0</v>
      </c>
      <c r="C106" s="17"/>
      <c r="D106" s="1"/>
      <c r="F106" s="5" t="s">
        <v>68</v>
      </c>
      <c r="G106">
        <v>1</v>
      </c>
      <c r="H106" s="30" t="s">
        <v>390</v>
      </c>
      <c r="I106" s="17">
        <f>VAR(G103:G109)</f>
        <v>0.2857142857142857</v>
      </c>
      <c r="K106" s="5" t="s">
        <v>74</v>
      </c>
      <c r="L106">
        <v>4</v>
      </c>
      <c r="M106" s="30" t="s">
        <v>389</v>
      </c>
      <c r="N106" s="17">
        <f>MAX(L104:L119)</f>
        <v>11</v>
      </c>
      <c r="P106" s="5" t="s">
        <v>91</v>
      </c>
      <c r="Q106">
        <v>1</v>
      </c>
      <c r="R106" s="30" t="s">
        <v>390</v>
      </c>
      <c r="S106" s="17">
        <f>VAR(Q103:Q109)</f>
        <v>0.14285714285714288</v>
      </c>
      <c r="U106" s="5" t="s">
        <v>124</v>
      </c>
      <c r="V106">
        <v>0</v>
      </c>
      <c r="Z106" s="61" t="s">
        <v>104</v>
      </c>
      <c r="AA106" s="62">
        <v>0</v>
      </c>
      <c r="AE106" s="5" t="s">
        <v>136</v>
      </c>
      <c r="AF106">
        <v>0</v>
      </c>
      <c r="AG106" s="17"/>
      <c r="AH106" s="17"/>
      <c r="AO106" s="5" t="s">
        <v>164</v>
      </c>
      <c r="AP106">
        <v>3</v>
      </c>
      <c r="AQ106" s="17"/>
      <c r="AR106" s="17"/>
      <c r="AT106" s="5" t="s">
        <v>395</v>
      </c>
      <c r="AU106">
        <v>0</v>
      </c>
      <c r="AV106" s="17"/>
      <c r="AW106" s="17"/>
      <c r="AY106" s="5" t="s">
        <v>192</v>
      </c>
      <c r="AZ106">
        <v>0</v>
      </c>
      <c r="BA106" s="30" t="s">
        <v>387</v>
      </c>
      <c r="BB106" s="17">
        <f>SUM(AZ106:AZ135)</f>
        <v>7</v>
      </c>
      <c r="BD106" s="5" t="s">
        <v>235</v>
      </c>
      <c r="BE106">
        <v>0</v>
      </c>
      <c r="BF106" s="17"/>
      <c r="BG106" s="17"/>
      <c r="BI106" s="5" t="s">
        <v>245</v>
      </c>
      <c r="BJ106">
        <v>0</v>
      </c>
      <c r="BK106" s="30" t="s">
        <v>387</v>
      </c>
      <c r="BL106" s="17">
        <f>SUM(BJ106:BJ135)</f>
        <v>1</v>
      </c>
      <c r="BN106" s="5" t="s">
        <v>276</v>
      </c>
      <c r="BO106">
        <v>0</v>
      </c>
      <c r="BP106" s="30" t="s">
        <v>389</v>
      </c>
      <c r="BQ106" s="17">
        <f>MAX(BO104:BO119)</f>
        <v>1</v>
      </c>
      <c r="BS106" s="17" t="s">
        <v>383</v>
      </c>
      <c r="BT106" s="6" t="s">
        <v>24</v>
      </c>
      <c r="BU106" s="17"/>
      <c r="BV106" s="17"/>
      <c r="BX106" s="61" t="s">
        <v>289</v>
      </c>
      <c r="BY106" s="62">
        <v>0</v>
      </c>
      <c r="BZ106" s="58"/>
      <c r="CA106" s="58"/>
      <c r="CC106" s="5" t="s">
        <v>319</v>
      </c>
      <c r="CD106">
        <v>0</v>
      </c>
      <c r="CH106" s="5" t="s">
        <v>324</v>
      </c>
      <c r="CI106">
        <v>0</v>
      </c>
      <c r="CJ106" s="30" t="s">
        <v>390</v>
      </c>
      <c r="CK106" s="17">
        <f>VAR(CI103:CI109)</f>
        <v>0.23809523809523811</v>
      </c>
      <c r="CW106" s="61" t="s">
        <v>335</v>
      </c>
      <c r="CX106" s="62">
        <v>0</v>
      </c>
    </row>
    <row r="107" spans="1:104" x14ac:dyDescent="0.25">
      <c r="A107" s="5" t="s">
        <v>64</v>
      </c>
      <c r="B107">
        <v>0</v>
      </c>
      <c r="C107" s="17"/>
      <c r="D107" s="1"/>
      <c r="F107" s="5" t="s">
        <v>69</v>
      </c>
      <c r="G107">
        <v>0</v>
      </c>
      <c r="H107" s="30" t="s">
        <v>391</v>
      </c>
      <c r="I107" s="17">
        <f>AVERAGE(G103:G109)</f>
        <v>0.42857142857142855</v>
      </c>
      <c r="K107" s="5" t="s">
        <v>75</v>
      </c>
      <c r="L107">
        <v>9</v>
      </c>
      <c r="M107" s="30" t="s">
        <v>390</v>
      </c>
      <c r="N107" s="17">
        <f>VAR(L104:L119)</f>
        <v>10.6625</v>
      </c>
      <c r="P107" s="5" t="s">
        <v>92</v>
      </c>
      <c r="Q107">
        <v>0</v>
      </c>
      <c r="R107" s="30" t="s">
        <v>391</v>
      </c>
      <c r="S107" s="17">
        <f>AVERAGE(Q103:Q109)</f>
        <v>0.14285714285714285</v>
      </c>
      <c r="U107" s="5" t="s">
        <v>125</v>
      </c>
      <c r="V107">
        <v>0</v>
      </c>
      <c r="Z107" s="61" t="s">
        <v>105</v>
      </c>
      <c r="AA107" s="62">
        <v>0</v>
      </c>
      <c r="AE107" s="5" t="s">
        <v>44</v>
      </c>
      <c r="AF107">
        <v>0</v>
      </c>
      <c r="AG107" s="17"/>
      <c r="AH107" s="17"/>
      <c r="AO107" s="5" t="s">
        <v>165</v>
      </c>
      <c r="AP107">
        <v>0</v>
      </c>
      <c r="AQ107" s="17"/>
      <c r="AR107" s="17"/>
      <c r="AT107" s="5" t="s">
        <v>189</v>
      </c>
      <c r="AU107">
        <v>0</v>
      </c>
      <c r="AV107" s="17"/>
      <c r="AW107" s="17"/>
      <c r="AY107" s="5" t="s">
        <v>193</v>
      </c>
      <c r="AZ107">
        <v>0</v>
      </c>
      <c r="BA107" s="30" t="s">
        <v>388</v>
      </c>
      <c r="BB107" s="17">
        <f>MIN(AZ106:AZ135)</f>
        <v>0</v>
      </c>
      <c r="BD107" s="5" t="s">
        <v>236</v>
      </c>
      <c r="BE107">
        <v>0</v>
      </c>
      <c r="BF107" s="17"/>
      <c r="BG107" s="17"/>
      <c r="BI107" s="5" t="s">
        <v>73</v>
      </c>
      <c r="BJ107">
        <v>0</v>
      </c>
      <c r="BK107" s="30" t="s">
        <v>388</v>
      </c>
      <c r="BL107" s="17">
        <f>MIN(BJ106:BJ135)</f>
        <v>0</v>
      </c>
      <c r="BN107" s="5" t="s">
        <v>277</v>
      </c>
      <c r="BO107">
        <v>0</v>
      </c>
      <c r="BP107" s="30" t="s">
        <v>390</v>
      </c>
      <c r="BQ107" s="17">
        <f>VAR(BO104:BO119)</f>
        <v>6.25E-2</v>
      </c>
      <c r="BS107" s="17" t="s">
        <v>384</v>
      </c>
      <c r="BT107" s="17" t="s">
        <v>39</v>
      </c>
      <c r="BU107" s="17" t="s">
        <v>385</v>
      </c>
      <c r="BV107" s="17" t="s">
        <v>386</v>
      </c>
      <c r="BX107" s="61" t="s">
        <v>290</v>
      </c>
      <c r="BY107" s="62">
        <v>0</v>
      </c>
      <c r="CC107" s="5" t="s">
        <v>320</v>
      </c>
      <c r="CD107">
        <v>0</v>
      </c>
      <c r="CH107" s="5" t="s">
        <v>325</v>
      </c>
      <c r="CI107">
        <v>0</v>
      </c>
      <c r="CJ107" s="30" t="s">
        <v>391</v>
      </c>
      <c r="CK107" s="17">
        <f>AVERAGE(CI103:CI109)</f>
        <v>0.2857142857142857</v>
      </c>
      <c r="CW107" s="61" t="s">
        <v>43</v>
      </c>
      <c r="CX107" s="62">
        <v>1</v>
      </c>
    </row>
    <row r="108" spans="1:104" x14ac:dyDescent="0.25">
      <c r="F108" s="5" t="s">
        <v>70</v>
      </c>
      <c r="G108">
        <v>0</v>
      </c>
      <c r="H108" s="30" t="s">
        <v>392</v>
      </c>
      <c r="I108" s="17">
        <f>STDEV(G103:G109)</f>
        <v>0.53452248382484879</v>
      </c>
      <c r="K108" s="5" t="s">
        <v>76</v>
      </c>
      <c r="L108">
        <v>2</v>
      </c>
      <c r="M108" s="30" t="s">
        <v>391</v>
      </c>
      <c r="N108" s="17">
        <f>AVERAGE(L104:L119)</f>
        <v>3.4375</v>
      </c>
      <c r="P108" s="5" t="s">
        <v>93</v>
      </c>
      <c r="Q108">
        <v>0</v>
      </c>
      <c r="R108" s="30" t="s">
        <v>392</v>
      </c>
      <c r="S108" s="17">
        <f>STDEV(Q103:Q109)</f>
        <v>0.37796447300922725</v>
      </c>
      <c r="U108" s="5" t="s">
        <v>126</v>
      </c>
      <c r="V108">
        <v>0</v>
      </c>
      <c r="Z108" s="61" t="s">
        <v>106</v>
      </c>
      <c r="AA108" s="62">
        <v>0</v>
      </c>
      <c r="AE108" s="5" t="s">
        <v>137</v>
      </c>
      <c r="AF108">
        <v>0</v>
      </c>
      <c r="AG108" s="17"/>
      <c r="AH108" s="17"/>
      <c r="AO108" s="5" t="s">
        <v>166</v>
      </c>
      <c r="AP108">
        <v>1</v>
      </c>
      <c r="AQ108" s="15"/>
      <c r="AR108" s="15"/>
      <c r="AT108" s="5" t="s">
        <v>190</v>
      </c>
      <c r="AU108">
        <v>1</v>
      </c>
      <c r="AV108" s="17"/>
      <c r="AW108" s="17"/>
      <c r="AY108" s="5" t="s">
        <v>194</v>
      </c>
      <c r="AZ108">
        <v>0</v>
      </c>
      <c r="BA108" s="30" t="s">
        <v>389</v>
      </c>
      <c r="BB108" s="17">
        <f>MAX(AZ106:AZ135)</f>
        <v>1</v>
      </c>
      <c r="BD108" s="5" t="s">
        <v>237</v>
      </c>
      <c r="BE108">
        <v>0</v>
      </c>
      <c r="BF108" s="15"/>
      <c r="BG108" s="15"/>
      <c r="BI108" s="5" t="s">
        <v>246</v>
      </c>
      <c r="BJ108">
        <v>0</v>
      </c>
      <c r="BK108" s="30" t="s">
        <v>389</v>
      </c>
      <c r="BL108" s="17">
        <f>MAX(BJ106:BJ135)</f>
        <v>1</v>
      </c>
      <c r="BN108" s="5" t="s">
        <v>279</v>
      </c>
      <c r="BO108">
        <v>0</v>
      </c>
      <c r="BP108" s="30" t="s">
        <v>391</v>
      </c>
      <c r="BQ108" s="17">
        <f>AVERAGE(BO104:BO119)</f>
        <v>6.25E-2</v>
      </c>
      <c r="BS108" s="5" t="s">
        <v>290</v>
      </c>
      <c r="BT108">
        <v>0</v>
      </c>
      <c r="BU108" s="30" t="s">
        <v>387</v>
      </c>
      <c r="BV108" s="17">
        <f>SUM(BT108:BT116)</f>
        <v>1</v>
      </c>
      <c r="BX108" s="61" t="s">
        <v>291</v>
      </c>
      <c r="BY108" s="62">
        <v>0</v>
      </c>
      <c r="CH108" s="5" t="s">
        <v>326</v>
      </c>
      <c r="CI108">
        <v>0</v>
      </c>
      <c r="CJ108" s="30" t="s">
        <v>392</v>
      </c>
      <c r="CK108" s="17">
        <f>STDEV(CI103:CI109)</f>
        <v>0.4879500364742666</v>
      </c>
      <c r="CW108" s="61" t="s">
        <v>336</v>
      </c>
      <c r="CX108" s="62">
        <v>2</v>
      </c>
    </row>
    <row r="109" spans="1:104" x14ac:dyDescent="0.25">
      <c r="A109" s="17" t="s">
        <v>382</v>
      </c>
      <c r="B109" s="29" t="s">
        <v>361</v>
      </c>
      <c r="C109" s="17"/>
      <c r="D109" s="17">
        <v>2016</v>
      </c>
      <c r="F109" s="5" t="s">
        <v>71</v>
      </c>
      <c r="G109">
        <v>0</v>
      </c>
      <c r="H109" s="17"/>
      <c r="I109" s="17"/>
      <c r="K109" s="5" t="s">
        <v>77</v>
      </c>
      <c r="L109">
        <v>0</v>
      </c>
      <c r="M109" s="30" t="s">
        <v>392</v>
      </c>
      <c r="N109" s="17">
        <f>STDEV(L104:L119)</f>
        <v>3.2653483734511393</v>
      </c>
      <c r="P109" s="5" t="s">
        <v>94</v>
      </c>
      <c r="Q109">
        <v>0</v>
      </c>
      <c r="R109" s="17"/>
      <c r="S109" s="17"/>
      <c r="U109" s="5" t="s">
        <v>127</v>
      </c>
      <c r="V109">
        <v>0</v>
      </c>
      <c r="Z109" s="61" t="s">
        <v>61</v>
      </c>
      <c r="AA109" s="62">
        <v>0</v>
      </c>
      <c r="AE109" s="5" t="s">
        <v>138</v>
      </c>
      <c r="AF109">
        <v>0</v>
      </c>
      <c r="AG109" s="17"/>
      <c r="AH109" s="17"/>
      <c r="AO109" s="5" t="s">
        <v>168</v>
      </c>
      <c r="AP109">
        <v>0</v>
      </c>
      <c r="AQ109" s="17"/>
      <c r="AR109" s="17"/>
      <c r="AT109" s="5" t="s">
        <v>191</v>
      </c>
      <c r="AU109">
        <v>0</v>
      </c>
      <c r="AV109" s="15"/>
      <c r="AW109" s="15"/>
      <c r="AY109" s="5" t="s">
        <v>195</v>
      </c>
      <c r="AZ109">
        <v>0</v>
      </c>
      <c r="BA109" s="30" t="s">
        <v>390</v>
      </c>
      <c r="BB109" s="17">
        <f>VAR(AZ106:AZ135)</f>
        <v>0.18505747126436783</v>
      </c>
      <c r="BD109" s="5" t="s">
        <v>238</v>
      </c>
      <c r="BE109">
        <v>0</v>
      </c>
      <c r="BI109" s="5" t="s">
        <v>247</v>
      </c>
      <c r="BJ109">
        <v>0</v>
      </c>
      <c r="BK109" s="30" t="s">
        <v>390</v>
      </c>
      <c r="BL109" s="17">
        <f>VAR(BJ106:BJ135)</f>
        <v>3.3333333333333333E-2</v>
      </c>
      <c r="BN109" s="5" t="s">
        <v>278</v>
      </c>
      <c r="BO109">
        <v>1</v>
      </c>
      <c r="BP109" s="30" t="s">
        <v>392</v>
      </c>
      <c r="BQ109" s="17">
        <f>STDEV(BO104:BO119)</f>
        <v>0.25</v>
      </c>
      <c r="BS109" s="5" t="s">
        <v>291</v>
      </c>
      <c r="BT109">
        <v>0</v>
      </c>
      <c r="BU109" s="30" t="s">
        <v>388</v>
      </c>
      <c r="BV109" s="17">
        <f>MIN(BT108:BT116)</f>
        <v>0</v>
      </c>
      <c r="BX109" s="61" t="s">
        <v>292</v>
      </c>
      <c r="BY109" s="62">
        <v>0</v>
      </c>
      <c r="CC109" s="17" t="s">
        <v>382</v>
      </c>
      <c r="CD109" s="29" t="s">
        <v>375</v>
      </c>
      <c r="CE109" s="17"/>
      <c r="CF109" s="17">
        <v>2016</v>
      </c>
      <c r="CH109" s="5" t="s">
        <v>327</v>
      </c>
      <c r="CI109">
        <v>1</v>
      </c>
      <c r="CJ109" s="17"/>
      <c r="CK109" s="17"/>
      <c r="CW109" s="61" t="s">
        <v>337</v>
      </c>
      <c r="CX109" s="62">
        <v>1</v>
      </c>
    </row>
    <row r="110" spans="1:104" x14ac:dyDescent="0.25">
      <c r="A110" s="17" t="s">
        <v>383</v>
      </c>
      <c r="B110" s="6" t="s">
        <v>11</v>
      </c>
      <c r="C110" s="17"/>
      <c r="D110" s="17"/>
      <c r="K110" s="5" t="s">
        <v>78</v>
      </c>
      <c r="L110">
        <v>3</v>
      </c>
      <c r="M110" s="17"/>
      <c r="N110" s="17"/>
      <c r="U110" s="5" t="s">
        <v>128</v>
      </c>
      <c r="V110">
        <v>0</v>
      </c>
      <c r="Z110" s="61" t="s">
        <v>107</v>
      </c>
      <c r="AA110" s="62">
        <v>0</v>
      </c>
      <c r="AE110" s="5" t="s">
        <v>139</v>
      </c>
      <c r="AF110">
        <v>0</v>
      </c>
      <c r="AG110" s="17"/>
      <c r="AH110" s="17"/>
      <c r="AO110" s="5" t="s">
        <v>169</v>
      </c>
      <c r="AP110">
        <v>0</v>
      </c>
      <c r="AQ110" s="17"/>
      <c r="AR110" s="17"/>
      <c r="AY110" s="5" t="s">
        <v>196</v>
      </c>
      <c r="AZ110">
        <v>1</v>
      </c>
      <c r="BA110" s="30" t="s">
        <v>391</v>
      </c>
      <c r="BB110" s="17">
        <f>AVERAGE(AZ106:AZ135)</f>
        <v>0.23333333333333334</v>
      </c>
      <c r="BD110" s="5" t="s">
        <v>239</v>
      </c>
      <c r="BE110">
        <v>1</v>
      </c>
      <c r="BI110" s="5" t="s">
        <v>248</v>
      </c>
      <c r="BJ110">
        <v>0</v>
      </c>
      <c r="BK110" s="30" t="s">
        <v>391</v>
      </c>
      <c r="BL110" s="17">
        <f>AVERAGE(BJ106:BJ135)</f>
        <v>3.3333333333333333E-2</v>
      </c>
      <c r="BN110" s="5" t="s">
        <v>280</v>
      </c>
      <c r="BO110">
        <v>0</v>
      </c>
      <c r="BP110" s="17"/>
      <c r="BQ110" s="17"/>
      <c r="BS110" s="5" t="s">
        <v>292</v>
      </c>
      <c r="BT110">
        <v>1</v>
      </c>
      <c r="BU110" s="30" t="s">
        <v>389</v>
      </c>
      <c r="BV110" s="17">
        <f>MAX(BT108:BT116)</f>
        <v>1</v>
      </c>
      <c r="BX110" s="61" t="s">
        <v>293</v>
      </c>
      <c r="BY110" s="62">
        <v>0</v>
      </c>
      <c r="CC110" s="17" t="s">
        <v>383</v>
      </c>
      <c r="CD110" s="6" t="s">
        <v>9</v>
      </c>
      <c r="CE110" s="17"/>
      <c r="CF110" s="17"/>
      <c r="CW110" s="61" t="s">
        <v>338</v>
      </c>
      <c r="CX110" s="62">
        <v>0</v>
      </c>
    </row>
    <row r="111" spans="1:104" x14ac:dyDescent="0.25">
      <c r="A111" s="17" t="s">
        <v>384</v>
      </c>
      <c r="B111" s="17" t="s">
        <v>39</v>
      </c>
      <c r="C111" s="17" t="s">
        <v>385</v>
      </c>
      <c r="D111" s="17" t="s">
        <v>386</v>
      </c>
      <c r="K111" s="5" t="s">
        <v>79</v>
      </c>
      <c r="L111">
        <v>1</v>
      </c>
      <c r="M111" s="17"/>
      <c r="N111" s="17"/>
      <c r="P111" s="17" t="s">
        <v>382</v>
      </c>
      <c r="Q111" s="29" t="s">
        <v>401</v>
      </c>
      <c r="R111" s="17"/>
      <c r="S111" s="17">
        <v>2016</v>
      </c>
      <c r="Z111" s="61" t="s">
        <v>108</v>
      </c>
      <c r="AA111" s="62">
        <v>0</v>
      </c>
      <c r="AE111" s="5" t="s">
        <v>140</v>
      </c>
      <c r="AF111">
        <v>0</v>
      </c>
      <c r="AG111" s="17"/>
      <c r="AH111" s="17"/>
      <c r="AO111" s="5" t="s">
        <v>170</v>
      </c>
      <c r="AP111">
        <v>0</v>
      </c>
      <c r="AQ111" s="17"/>
      <c r="AR111" s="1"/>
      <c r="AT111" s="17" t="s">
        <v>382</v>
      </c>
      <c r="AU111" s="29" t="s">
        <v>369</v>
      </c>
      <c r="AV111" s="17"/>
      <c r="AW111" s="17">
        <v>2016</v>
      </c>
      <c r="AY111" s="5" t="s">
        <v>197</v>
      </c>
      <c r="AZ111">
        <v>0</v>
      </c>
      <c r="BA111" s="30" t="s">
        <v>392</v>
      </c>
      <c r="BB111" s="17">
        <f>STDEV(AZ106:AZ135)</f>
        <v>0.43018306715207638</v>
      </c>
      <c r="BD111" s="5" t="s">
        <v>240</v>
      </c>
      <c r="BE111">
        <v>0</v>
      </c>
      <c r="BI111" s="5" t="s">
        <v>249</v>
      </c>
      <c r="BJ111">
        <v>0</v>
      </c>
      <c r="BK111" s="30" t="s">
        <v>392</v>
      </c>
      <c r="BL111" s="17">
        <f>STDEV(BJ106:BJ135)</f>
        <v>0.18257418583505536</v>
      </c>
      <c r="BN111" s="5" t="s">
        <v>281</v>
      </c>
      <c r="BO111">
        <v>0</v>
      </c>
      <c r="BP111" s="17"/>
      <c r="BQ111" s="17"/>
      <c r="BS111" s="5" t="s">
        <v>293</v>
      </c>
      <c r="BT111">
        <v>0</v>
      </c>
      <c r="BU111" s="30" t="s">
        <v>390</v>
      </c>
      <c r="BV111" s="17">
        <f>VAR(BT108:BT116)</f>
        <v>0.1111111111111111</v>
      </c>
      <c r="BX111" s="61" t="s">
        <v>294</v>
      </c>
      <c r="BY111" s="62">
        <v>0</v>
      </c>
      <c r="CC111" s="17" t="s">
        <v>384</v>
      </c>
      <c r="CD111" s="17" t="s">
        <v>39</v>
      </c>
      <c r="CE111" s="17" t="s">
        <v>385</v>
      </c>
      <c r="CF111" s="17" t="s">
        <v>386</v>
      </c>
      <c r="CH111" s="17" t="s">
        <v>382</v>
      </c>
      <c r="CI111" s="29" t="s">
        <v>443</v>
      </c>
      <c r="CJ111" s="17"/>
      <c r="CK111" s="17">
        <v>2016</v>
      </c>
      <c r="CW111" s="61" t="s">
        <v>339</v>
      </c>
      <c r="CX111" s="62">
        <v>0</v>
      </c>
    </row>
    <row r="112" spans="1:104" x14ac:dyDescent="0.25">
      <c r="A112" s="5" t="s">
        <v>40</v>
      </c>
      <c r="B112">
        <v>1</v>
      </c>
      <c r="C112" s="30" t="s">
        <v>387</v>
      </c>
      <c r="D112" s="17">
        <f>SUM(B112:B134)</f>
        <v>9</v>
      </c>
      <c r="K112" s="5" t="s">
        <v>80</v>
      </c>
      <c r="L112">
        <v>11</v>
      </c>
      <c r="M112" s="17"/>
      <c r="N112" s="17"/>
      <c r="P112" s="17" t="s">
        <v>383</v>
      </c>
      <c r="Q112" s="6" t="s">
        <v>24</v>
      </c>
      <c r="R112" s="17"/>
      <c r="S112" s="17"/>
      <c r="U112" s="17" t="s">
        <v>382</v>
      </c>
      <c r="V112" s="29" t="s">
        <v>400</v>
      </c>
      <c r="W112" s="17"/>
      <c r="X112" s="17">
        <v>2016</v>
      </c>
      <c r="Z112" s="61" t="s">
        <v>109</v>
      </c>
      <c r="AA112" s="62">
        <v>0</v>
      </c>
      <c r="AE112" s="5" t="s">
        <v>141</v>
      </c>
      <c r="AF112">
        <v>1</v>
      </c>
      <c r="AG112" s="17"/>
      <c r="AH112" s="17"/>
      <c r="AO112" s="5" t="s">
        <v>171</v>
      </c>
      <c r="AP112">
        <v>0</v>
      </c>
      <c r="AQ112" s="17"/>
      <c r="AR112" s="1"/>
      <c r="AT112" s="17" t="s">
        <v>383</v>
      </c>
      <c r="AU112" s="6" t="s">
        <v>18</v>
      </c>
      <c r="AV112" s="17"/>
      <c r="AW112" s="17"/>
      <c r="AY112" s="5" t="s">
        <v>198</v>
      </c>
      <c r="AZ112">
        <v>0</v>
      </c>
      <c r="BA112" s="17"/>
      <c r="BB112" s="17"/>
      <c r="BD112" s="5" t="s">
        <v>241</v>
      </c>
      <c r="BE112">
        <v>0</v>
      </c>
      <c r="BI112" s="5" t="s">
        <v>250</v>
      </c>
      <c r="BJ112">
        <v>0</v>
      </c>
      <c r="BK112" s="17"/>
      <c r="BL112" s="17"/>
      <c r="BN112" s="5" t="s">
        <v>282</v>
      </c>
      <c r="BO112">
        <v>0</v>
      </c>
      <c r="BP112" s="17"/>
      <c r="BQ112" s="17"/>
      <c r="BS112" s="5" t="s">
        <v>294</v>
      </c>
      <c r="BT112">
        <v>0</v>
      </c>
      <c r="BU112" s="30" t="s">
        <v>391</v>
      </c>
      <c r="BV112" s="17">
        <f>AVERAGE(BT108:BT116)</f>
        <v>0.1111111111111111</v>
      </c>
      <c r="BX112" s="61" t="s">
        <v>295</v>
      </c>
      <c r="BY112" s="62">
        <v>0</v>
      </c>
      <c r="CC112" s="5" t="s">
        <v>299</v>
      </c>
      <c r="CD112">
        <v>0</v>
      </c>
      <c r="CE112" s="30" t="s">
        <v>387</v>
      </c>
      <c r="CF112" s="17">
        <f>SUM(CD112:CD134)</f>
        <v>7</v>
      </c>
      <c r="CH112" s="17" t="s">
        <v>383</v>
      </c>
      <c r="CI112" s="6" t="s">
        <v>24</v>
      </c>
      <c r="CJ112" s="17"/>
      <c r="CK112" s="17"/>
      <c r="CM112" s="17" t="s">
        <v>382</v>
      </c>
      <c r="CN112" s="29" t="s">
        <v>442</v>
      </c>
      <c r="CO112" s="17"/>
      <c r="CP112" s="17">
        <v>2016</v>
      </c>
      <c r="CR112" s="17" t="s">
        <v>382</v>
      </c>
      <c r="CS112" s="29" t="s">
        <v>442</v>
      </c>
      <c r="CT112" s="17"/>
      <c r="CU112" s="17">
        <v>2016</v>
      </c>
      <c r="CW112" s="61" t="s">
        <v>340</v>
      </c>
      <c r="CX112" s="62">
        <v>0</v>
      </c>
    </row>
    <row r="113" spans="1:102" x14ac:dyDescent="0.25">
      <c r="A113" s="5" t="s">
        <v>41</v>
      </c>
      <c r="B113">
        <v>0</v>
      </c>
      <c r="C113" s="30" t="s">
        <v>388</v>
      </c>
      <c r="D113" s="17">
        <f>MIN(B112:B134)</f>
        <v>0</v>
      </c>
      <c r="K113" s="5" t="s">
        <v>81</v>
      </c>
      <c r="L113">
        <v>5</v>
      </c>
      <c r="M113" s="17"/>
      <c r="N113" s="17"/>
      <c r="P113" s="17" t="s">
        <v>384</v>
      </c>
      <c r="Q113" s="17" t="s">
        <v>39</v>
      </c>
      <c r="R113" s="17" t="s">
        <v>385</v>
      </c>
      <c r="S113" s="17" t="s">
        <v>386</v>
      </c>
      <c r="U113" s="17" t="s">
        <v>383</v>
      </c>
      <c r="V113" s="6" t="s">
        <v>6</v>
      </c>
      <c r="W113" s="17"/>
      <c r="X113" s="17"/>
      <c r="Z113" s="61" t="s">
        <v>110</v>
      </c>
      <c r="AA113" s="62">
        <v>0</v>
      </c>
      <c r="AE113" s="5" t="s">
        <v>142</v>
      </c>
      <c r="AF113">
        <v>0</v>
      </c>
      <c r="AG113" s="17"/>
      <c r="AH113" s="17"/>
      <c r="AO113" s="5" t="s">
        <v>172</v>
      </c>
      <c r="AP113">
        <v>2</v>
      </c>
      <c r="AQ113" s="17"/>
      <c r="AR113" s="1"/>
      <c r="AT113" s="17" t="s">
        <v>384</v>
      </c>
      <c r="AU113" s="17" t="s">
        <v>39</v>
      </c>
      <c r="AV113" s="17" t="s">
        <v>385</v>
      </c>
      <c r="AW113" s="17" t="s">
        <v>386</v>
      </c>
      <c r="AY113" s="5" t="s">
        <v>161</v>
      </c>
      <c r="AZ113">
        <v>0</v>
      </c>
      <c r="BA113" s="17"/>
      <c r="BB113" s="17"/>
      <c r="BD113" s="5" t="s">
        <v>242</v>
      </c>
      <c r="BE113">
        <v>0</v>
      </c>
      <c r="BI113" s="5" t="s">
        <v>251</v>
      </c>
      <c r="BJ113">
        <v>0</v>
      </c>
      <c r="BK113" s="17"/>
      <c r="BL113" s="17"/>
      <c r="BN113" s="5" t="s">
        <v>283</v>
      </c>
      <c r="BO113">
        <v>0</v>
      </c>
      <c r="BP113" s="17"/>
      <c r="BQ113" s="17"/>
      <c r="BS113" s="5" t="s">
        <v>295</v>
      </c>
      <c r="BT113">
        <v>0</v>
      </c>
      <c r="BU113" s="30" t="s">
        <v>392</v>
      </c>
      <c r="BV113" s="17">
        <f>STDEV(BT108:BT116)</f>
        <v>0.33333333333333331</v>
      </c>
      <c r="BX113" s="61" t="s">
        <v>296</v>
      </c>
      <c r="BY113" s="62">
        <v>0</v>
      </c>
      <c r="CC113" s="5" t="s">
        <v>300</v>
      </c>
      <c r="CD113">
        <v>0</v>
      </c>
      <c r="CE113" s="30" t="s">
        <v>388</v>
      </c>
      <c r="CF113" s="17">
        <f>MIN(CD112:CD134)</f>
        <v>0</v>
      </c>
      <c r="CH113" s="17" t="s">
        <v>384</v>
      </c>
      <c r="CI113" s="17" t="s">
        <v>39</v>
      </c>
      <c r="CJ113" s="17" t="s">
        <v>385</v>
      </c>
      <c r="CK113" s="17" t="s">
        <v>386</v>
      </c>
      <c r="CM113" s="17" t="s">
        <v>383</v>
      </c>
      <c r="CN113" s="6" t="s">
        <v>9</v>
      </c>
      <c r="CO113" s="17"/>
      <c r="CP113" s="17"/>
      <c r="CR113" s="17" t="s">
        <v>383</v>
      </c>
      <c r="CS113" s="6" t="s">
        <v>9</v>
      </c>
      <c r="CT113" s="17"/>
      <c r="CU113" s="17"/>
      <c r="CW113" s="61" t="s">
        <v>341</v>
      </c>
      <c r="CX113" s="62">
        <v>0</v>
      </c>
    </row>
    <row r="114" spans="1:102" x14ac:dyDescent="0.25">
      <c r="A114" s="5" t="s">
        <v>42</v>
      </c>
      <c r="B114">
        <v>0</v>
      </c>
      <c r="C114" s="30" t="s">
        <v>389</v>
      </c>
      <c r="D114" s="17">
        <f>MAX(B112:B134)</f>
        <v>2</v>
      </c>
      <c r="K114" s="5" t="s">
        <v>82</v>
      </c>
      <c r="L114">
        <v>8</v>
      </c>
      <c r="M114" s="17"/>
      <c r="N114" s="17"/>
      <c r="P114" s="5" t="s">
        <v>88</v>
      </c>
      <c r="Q114">
        <v>0</v>
      </c>
      <c r="R114" s="30" t="s">
        <v>387</v>
      </c>
      <c r="S114" s="17">
        <f>SUM(Q114:Q120)</f>
        <v>8</v>
      </c>
      <c r="U114" s="17" t="s">
        <v>384</v>
      </c>
      <c r="V114" s="17" t="s">
        <v>39</v>
      </c>
      <c r="W114" s="17" t="s">
        <v>385</v>
      </c>
      <c r="X114" s="17" t="s">
        <v>386</v>
      </c>
      <c r="Z114" s="61" t="s">
        <v>111</v>
      </c>
      <c r="AA114" s="62">
        <v>0</v>
      </c>
      <c r="AO114" s="5" t="s">
        <v>173</v>
      </c>
      <c r="AP114">
        <v>0</v>
      </c>
      <c r="AT114" s="5" t="s">
        <v>175</v>
      </c>
      <c r="AU114">
        <v>0</v>
      </c>
      <c r="AV114" s="30" t="s">
        <v>387</v>
      </c>
      <c r="AW114" s="17">
        <f>SUM(AU114:AU131)</f>
        <v>4</v>
      </c>
      <c r="AY114" s="5" t="s">
        <v>199</v>
      </c>
      <c r="AZ114">
        <v>1</v>
      </c>
      <c r="BA114" s="17"/>
      <c r="BB114" s="17"/>
      <c r="BD114" s="5" t="s">
        <v>243</v>
      </c>
      <c r="BE114">
        <v>1</v>
      </c>
      <c r="BI114" s="5" t="s">
        <v>252</v>
      </c>
      <c r="BJ114">
        <v>0</v>
      </c>
      <c r="BK114" s="17"/>
      <c r="BL114" s="17"/>
      <c r="BN114" s="5" t="s">
        <v>285</v>
      </c>
      <c r="BO114">
        <v>0</v>
      </c>
      <c r="BP114" s="17"/>
      <c r="BQ114" s="17"/>
      <c r="BS114" s="5" t="s">
        <v>296</v>
      </c>
      <c r="BT114">
        <v>0</v>
      </c>
      <c r="BU114" s="17"/>
      <c r="BV114" s="17"/>
      <c r="BX114" s="61" t="s">
        <v>297</v>
      </c>
      <c r="BY114" s="62">
        <v>0</v>
      </c>
      <c r="CC114" s="5" t="s">
        <v>301</v>
      </c>
      <c r="CD114">
        <v>1</v>
      </c>
      <c r="CE114" s="30" t="s">
        <v>389</v>
      </c>
      <c r="CF114" s="17">
        <f>MAX(CD112:CD134)</f>
        <v>2</v>
      </c>
      <c r="CH114" s="5" t="s">
        <v>321</v>
      </c>
      <c r="CI114">
        <v>0</v>
      </c>
      <c r="CJ114" s="30" t="s">
        <v>387</v>
      </c>
      <c r="CK114" s="17">
        <f>SUM(CI114:CI120)</f>
        <v>2</v>
      </c>
      <c r="CM114" s="17" t="s">
        <v>384</v>
      </c>
      <c r="CN114" s="17" t="s">
        <v>39</v>
      </c>
      <c r="CO114" s="17" t="s">
        <v>385</v>
      </c>
      <c r="CP114" s="17" t="s">
        <v>386</v>
      </c>
      <c r="CR114" s="17" t="s">
        <v>384</v>
      </c>
      <c r="CS114" s="17" t="s">
        <v>39</v>
      </c>
      <c r="CT114" s="17" t="s">
        <v>385</v>
      </c>
      <c r="CU114" s="17" t="s">
        <v>386</v>
      </c>
      <c r="CW114" s="61" t="s">
        <v>342</v>
      </c>
      <c r="CX114" s="62">
        <v>2</v>
      </c>
    </row>
    <row r="115" spans="1:102" x14ac:dyDescent="0.25">
      <c r="A115" s="5" t="s">
        <v>43</v>
      </c>
      <c r="B115">
        <v>0</v>
      </c>
      <c r="C115" s="30" t="s">
        <v>390</v>
      </c>
      <c r="D115" s="17">
        <f>VAR(B112:B134)</f>
        <v>0.61264822134387353</v>
      </c>
      <c r="K115" s="5" t="s">
        <v>83</v>
      </c>
      <c r="L115">
        <v>3</v>
      </c>
      <c r="M115" s="17"/>
      <c r="N115" s="17"/>
      <c r="P115" s="5" t="s">
        <v>89</v>
      </c>
      <c r="Q115">
        <v>0</v>
      </c>
      <c r="R115" s="30" t="s">
        <v>388</v>
      </c>
      <c r="S115" s="17">
        <f>MIN(Q114:Q120)</f>
        <v>0</v>
      </c>
      <c r="U115" s="5" t="s">
        <v>96</v>
      </c>
      <c r="V115">
        <v>0</v>
      </c>
      <c r="W115" s="30" t="s">
        <v>387</v>
      </c>
      <c r="X115" s="17">
        <f>SUM(V115:V147)</f>
        <v>51</v>
      </c>
      <c r="Z115" s="61" t="s">
        <v>112</v>
      </c>
      <c r="AA115" s="62">
        <v>0</v>
      </c>
      <c r="AE115" s="17" t="s">
        <v>382</v>
      </c>
      <c r="AF115" s="29" t="s">
        <v>366</v>
      </c>
      <c r="AG115" s="17"/>
      <c r="AH115" s="17">
        <v>2016</v>
      </c>
      <c r="AO115" s="5" t="s">
        <v>174</v>
      </c>
      <c r="AP115">
        <v>2</v>
      </c>
      <c r="AT115" s="5" t="s">
        <v>176</v>
      </c>
      <c r="AU115">
        <v>0</v>
      </c>
      <c r="AV115" s="30" t="s">
        <v>388</v>
      </c>
      <c r="AW115" s="17">
        <f>MIN(AU114:AU131)</f>
        <v>0</v>
      </c>
      <c r="AY115" s="5" t="s">
        <v>200</v>
      </c>
      <c r="AZ115">
        <v>1</v>
      </c>
      <c r="BA115" s="17"/>
      <c r="BB115" s="17"/>
      <c r="BD115" s="5" t="s">
        <v>244</v>
      </c>
      <c r="BE115">
        <v>0</v>
      </c>
      <c r="BI115" s="5" t="s">
        <v>253</v>
      </c>
      <c r="BJ115">
        <v>0</v>
      </c>
      <c r="BK115" s="17"/>
      <c r="BL115" s="17"/>
      <c r="BN115" s="5" t="s">
        <v>284</v>
      </c>
      <c r="BO115">
        <v>0</v>
      </c>
      <c r="BP115" s="17"/>
      <c r="BQ115" s="17"/>
      <c r="BS115" s="5" t="s">
        <v>297</v>
      </c>
      <c r="BT115">
        <v>0</v>
      </c>
      <c r="BU115" s="17"/>
      <c r="BV115" s="17"/>
      <c r="BX115" s="61" t="s">
        <v>298</v>
      </c>
      <c r="BY115" s="62">
        <v>0</v>
      </c>
      <c r="CC115" s="5" t="s">
        <v>302</v>
      </c>
      <c r="CD115">
        <v>0</v>
      </c>
      <c r="CE115" s="30" t="s">
        <v>390</v>
      </c>
      <c r="CF115" s="17">
        <f>VAR(CD112:CD134)</f>
        <v>0.40316205533596838</v>
      </c>
      <c r="CH115" s="5" t="s">
        <v>322</v>
      </c>
      <c r="CI115">
        <v>0</v>
      </c>
      <c r="CJ115" s="30" t="s">
        <v>388</v>
      </c>
      <c r="CK115" s="17">
        <f>MIN(CI114:CI120)</f>
        <v>0</v>
      </c>
      <c r="CM115" s="5" t="s">
        <v>328</v>
      </c>
      <c r="CN115">
        <v>0</v>
      </c>
      <c r="CO115" s="30" t="s">
        <v>387</v>
      </c>
      <c r="CP115" s="17">
        <f>SUM(CN115:CN147)</f>
        <v>0</v>
      </c>
      <c r="CR115" s="5" t="s">
        <v>333</v>
      </c>
      <c r="CS115">
        <v>0</v>
      </c>
      <c r="CT115" s="30" t="s">
        <v>387</v>
      </c>
      <c r="CU115" s="17">
        <f>SUM(CS115:CS142)</f>
        <v>11</v>
      </c>
      <c r="CW115" s="61" t="s">
        <v>343</v>
      </c>
      <c r="CX115" s="62">
        <v>0</v>
      </c>
    </row>
    <row r="116" spans="1:102" x14ac:dyDescent="0.25">
      <c r="A116" s="5" t="s">
        <v>44</v>
      </c>
      <c r="B116">
        <v>2</v>
      </c>
      <c r="C116" s="30" t="s">
        <v>391</v>
      </c>
      <c r="D116" s="17">
        <f>AVERAGE(B112:B134)</f>
        <v>0.39130434782608697</v>
      </c>
      <c r="K116" s="5" t="s">
        <v>84</v>
      </c>
      <c r="L116">
        <v>1</v>
      </c>
      <c r="M116" s="17"/>
      <c r="N116" s="17"/>
      <c r="P116" s="5" t="s">
        <v>90</v>
      </c>
      <c r="Q116">
        <v>2</v>
      </c>
      <c r="R116" s="30" t="s">
        <v>389</v>
      </c>
      <c r="S116" s="17">
        <f>MAX(Q114:Q120)</f>
        <v>3</v>
      </c>
      <c r="U116" s="5" t="s">
        <v>97</v>
      </c>
      <c r="V116">
        <v>2</v>
      </c>
      <c r="W116" s="30" t="s">
        <v>388</v>
      </c>
      <c r="X116" s="17">
        <f>MIN(V115:V147)</f>
        <v>0</v>
      </c>
      <c r="Z116" s="61" t="s">
        <v>113</v>
      </c>
      <c r="AA116" s="62">
        <v>0</v>
      </c>
      <c r="AE116" s="17" t="s">
        <v>383</v>
      </c>
      <c r="AF116" s="6" t="s">
        <v>59</v>
      </c>
      <c r="AG116" s="17"/>
      <c r="AH116" s="17"/>
      <c r="AT116" s="5" t="s">
        <v>177</v>
      </c>
      <c r="AU116">
        <v>0</v>
      </c>
      <c r="AV116" s="30" t="s">
        <v>389</v>
      </c>
      <c r="AW116" s="17">
        <f>MAX(AU114:AU131)</f>
        <v>2</v>
      </c>
      <c r="AY116" s="5" t="s">
        <v>201</v>
      </c>
      <c r="AZ116">
        <v>0</v>
      </c>
      <c r="BA116" s="17"/>
      <c r="BB116" s="17"/>
      <c r="BI116" s="5" t="s">
        <v>254</v>
      </c>
      <c r="BJ116">
        <v>0</v>
      </c>
      <c r="BK116" s="17"/>
      <c r="BL116" s="17"/>
      <c r="BN116" s="5" t="s">
        <v>286</v>
      </c>
      <c r="BO116">
        <v>0</v>
      </c>
      <c r="BP116" s="17"/>
      <c r="BQ116" s="17"/>
      <c r="BS116" s="5" t="s">
        <v>298</v>
      </c>
      <c r="BT116">
        <v>0</v>
      </c>
      <c r="BU116" s="17"/>
      <c r="BV116" s="17"/>
      <c r="CC116" s="5" t="s">
        <v>303</v>
      </c>
      <c r="CD116">
        <v>0</v>
      </c>
      <c r="CE116" s="30" t="s">
        <v>391</v>
      </c>
      <c r="CF116" s="17">
        <f>AVERAGE(CD112:CD134)</f>
        <v>0.30434782608695654</v>
      </c>
      <c r="CH116" s="5" t="s">
        <v>323</v>
      </c>
      <c r="CI116">
        <v>0</v>
      </c>
      <c r="CJ116" s="30" t="s">
        <v>389</v>
      </c>
      <c r="CK116" s="17">
        <f>MAX(CI114:CI120)</f>
        <v>2</v>
      </c>
      <c r="CM116" s="5" t="s">
        <v>329</v>
      </c>
      <c r="CN116">
        <v>0</v>
      </c>
      <c r="CO116" s="30" t="s">
        <v>388</v>
      </c>
      <c r="CP116" s="17">
        <f>MIN(CN115:CN147)</f>
        <v>0</v>
      </c>
      <c r="CR116" s="5" t="s">
        <v>334</v>
      </c>
      <c r="CS116">
        <v>1</v>
      </c>
      <c r="CT116" s="30" t="s">
        <v>388</v>
      </c>
      <c r="CU116" s="17">
        <f>MIN(CS115:CS142)</f>
        <v>0</v>
      </c>
      <c r="CW116" s="61" t="s">
        <v>344</v>
      </c>
      <c r="CX116" s="62">
        <v>0</v>
      </c>
    </row>
    <row r="117" spans="1:102" x14ac:dyDescent="0.25">
      <c r="A117" s="5" t="s">
        <v>45</v>
      </c>
      <c r="B117">
        <v>2</v>
      </c>
      <c r="C117" s="30" t="s">
        <v>392</v>
      </c>
      <c r="D117" s="17">
        <f>STDEV(B112:B134)</f>
        <v>0.78271848153973822</v>
      </c>
      <c r="K117" s="5" t="s">
        <v>85</v>
      </c>
      <c r="L117">
        <v>2</v>
      </c>
      <c r="M117" s="17"/>
      <c r="N117" s="17"/>
      <c r="P117" s="5" t="s">
        <v>91</v>
      </c>
      <c r="Q117">
        <v>2</v>
      </c>
      <c r="R117" s="30" t="s">
        <v>390</v>
      </c>
      <c r="S117" s="17">
        <f>VAR(Q114:Q120)</f>
        <v>1.4761904761904763</v>
      </c>
      <c r="U117" s="5" t="s">
        <v>98</v>
      </c>
      <c r="V117">
        <v>1</v>
      </c>
      <c r="W117" s="30" t="s">
        <v>389</v>
      </c>
      <c r="X117" s="17">
        <f>MAX(V115:V147)</f>
        <v>6</v>
      </c>
      <c r="Z117" s="64" t="s">
        <v>114</v>
      </c>
      <c r="AA117" s="62">
        <v>0</v>
      </c>
      <c r="AE117" s="17" t="s">
        <v>384</v>
      </c>
      <c r="AF117" s="17" t="s">
        <v>39</v>
      </c>
      <c r="AG117" s="17" t="s">
        <v>385</v>
      </c>
      <c r="AH117" s="17" t="s">
        <v>386</v>
      </c>
      <c r="AO117" s="17" t="s">
        <v>382</v>
      </c>
      <c r="AP117" s="29" t="s">
        <v>368</v>
      </c>
      <c r="AQ117" s="17"/>
      <c r="AR117" s="17">
        <v>2016</v>
      </c>
      <c r="AT117" s="5" t="s">
        <v>178</v>
      </c>
      <c r="AU117">
        <v>0</v>
      </c>
      <c r="AV117" s="30" t="s">
        <v>390</v>
      </c>
      <c r="AW117" s="17">
        <f>VAR(AU114:AU131)</f>
        <v>0.30065359477124182</v>
      </c>
      <c r="AY117" s="5" t="s">
        <v>202</v>
      </c>
      <c r="AZ117">
        <v>0</v>
      </c>
      <c r="BA117" s="17"/>
      <c r="BB117" s="17"/>
      <c r="BD117" s="17" t="s">
        <v>382</v>
      </c>
      <c r="BE117" s="29" t="s">
        <v>371</v>
      </c>
      <c r="BF117" s="17"/>
      <c r="BG117" s="17">
        <v>2016</v>
      </c>
      <c r="BI117" s="5" t="s">
        <v>255</v>
      </c>
      <c r="BJ117">
        <v>0</v>
      </c>
      <c r="BK117" s="17"/>
      <c r="BL117" s="17"/>
      <c r="BN117" s="5" t="s">
        <v>287</v>
      </c>
      <c r="BO117">
        <v>0</v>
      </c>
      <c r="BP117" s="17"/>
      <c r="BQ117" s="17"/>
      <c r="BX117" s="58" t="s">
        <v>382</v>
      </c>
      <c r="BY117" s="59" t="s">
        <v>628</v>
      </c>
      <c r="BZ117" s="58"/>
      <c r="CA117" s="58">
        <v>2016</v>
      </c>
      <c r="CC117" s="5" t="s">
        <v>304</v>
      </c>
      <c r="CD117">
        <v>0</v>
      </c>
      <c r="CE117" s="30" t="s">
        <v>392</v>
      </c>
      <c r="CF117" s="17">
        <f>STDEV(CD112:CD134)</f>
        <v>0.63495043533804152</v>
      </c>
      <c r="CH117" s="5" t="s">
        <v>324</v>
      </c>
      <c r="CI117">
        <v>2</v>
      </c>
      <c r="CJ117" s="30" t="s">
        <v>390</v>
      </c>
      <c r="CK117" s="17">
        <f>VAR(CI114:CI120)</f>
        <v>0.57142857142857151</v>
      </c>
      <c r="CM117" s="5" t="s">
        <v>330</v>
      </c>
      <c r="CN117">
        <v>0</v>
      </c>
      <c r="CO117" s="30" t="s">
        <v>389</v>
      </c>
      <c r="CP117" s="17">
        <f>MAX(CN115:CN147)</f>
        <v>0</v>
      </c>
      <c r="CR117" s="5" t="s">
        <v>335</v>
      </c>
      <c r="CS117">
        <v>0</v>
      </c>
      <c r="CT117" s="30" t="s">
        <v>389</v>
      </c>
      <c r="CU117" s="17">
        <f>MAX(CS115:CS142)</f>
        <v>2</v>
      </c>
      <c r="CW117" s="61" t="s">
        <v>345</v>
      </c>
      <c r="CX117" s="62">
        <v>0</v>
      </c>
    </row>
    <row r="118" spans="1:102" x14ac:dyDescent="0.25">
      <c r="A118" s="5" t="s">
        <v>47</v>
      </c>
      <c r="B118">
        <v>0</v>
      </c>
      <c r="C118" s="17"/>
      <c r="D118" s="17"/>
      <c r="K118" s="5" t="s">
        <v>86</v>
      </c>
      <c r="L118">
        <v>2</v>
      </c>
      <c r="M118" s="17"/>
      <c r="N118" s="17"/>
      <c r="P118" s="5" t="s">
        <v>92</v>
      </c>
      <c r="Q118">
        <v>3</v>
      </c>
      <c r="R118" s="30" t="s">
        <v>391</v>
      </c>
      <c r="S118" s="17">
        <f>AVERAGE(Q114:Q120)</f>
        <v>1.1428571428571428</v>
      </c>
      <c r="U118" s="5" t="s">
        <v>99</v>
      </c>
      <c r="V118">
        <v>2</v>
      </c>
      <c r="W118" s="30" t="s">
        <v>390</v>
      </c>
      <c r="X118" s="17">
        <f>VAR(V115:V147)</f>
        <v>2.3806818181818183</v>
      </c>
      <c r="Z118" s="64" t="s">
        <v>115</v>
      </c>
      <c r="AA118" s="62">
        <v>0</v>
      </c>
      <c r="AE118" s="5" t="s">
        <v>129</v>
      </c>
      <c r="AF118">
        <v>0</v>
      </c>
      <c r="AG118" s="30" t="s">
        <v>387</v>
      </c>
      <c r="AH118" s="17">
        <f>SUM(AF118:AF132)</f>
        <v>1</v>
      </c>
      <c r="AO118" s="17" t="s">
        <v>383</v>
      </c>
      <c r="AP118" s="6" t="s">
        <v>8</v>
      </c>
      <c r="AQ118" s="17"/>
      <c r="AR118" s="17"/>
      <c r="AT118" s="5" t="s">
        <v>179</v>
      </c>
      <c r="AU118">
        <v>0</v>
      </c>
      <c r="AV118" s="30" t="s">
        <v>391</v>
      </c>
      <c r="AW118" s="17">
        <f>AVERAGE(AU114:AU131)</f>
        <v>0.22222222222222221</v>
      </c>
      <c r="AY118" s="5" t="s">
        <v>203</v>
      </c>
      <c r="AZ118">
        <v>0</v>
      </c>
      <c r="BA118" s="17"/>
      <c r="BB118" s="17"/>
      <c r="BD118" s="17" t="s">
        <v>383</v>
      </c>
      <c r="BE118" s="6" t="s">
        <v>11</v>
      </c>
      <c r="BF118" s="17"/>
      <c r="BG118" s="17"/>
      <c r="BI118" s="5" t="s">
        <v>256</v>
      </c>
      <c r="BJ118">
        <v>0</v>
      </c>
      <c r="BK118" s="17"/>
      <c r="BL118" s="17"/>
      <c r="BN118" s="5" t="s">
        <v>288</v>
      </c>
      <c r="BO118">
        <v>0</v>
      </c>
      <c r="BP118" s="17"/>
      <c r="BQ118" s="17"/>
      <c r="BS118" s="17" t="s">
        <v>382</v>
      </c>
      <c r="BT118" s="29" t="s">
        <v>441</v>
      </c>
      <c r="BU118" s="17"/>
      <c r="BV118" s="17">
        <v>2016</v>
      </c>
      <c r="BX118" s="58" t="s">
        <v>383</v>
      </c>
      <c r="BY118" s="60" t="s">
        <v>11</v>
      </c>
      <c r="BZ118" s="58"/>
      <c r="CA118" s="58"/>
      <c r="CC118" s="5" t="s">
        <v>305</v>
      </c>
      <c r="CD118">
        <v>0</v>
      </c>
      <c r="CE118" s="17"/>
      <c r="CF118" s="17"/>
      <c r="CH118" s="5" t="s">
        <v>325</v>
      </c>
      <c r="CI118">
        <v>0</v>
      </c>
      <c r="CJ118" s="30" t="s">
        <v>391</v>
      </c>
      <c r="CK118" s="17">
        <f>AVERAGE(CI114:CI120)</f>
        <v>0.2857142857142857</v>
      </c>
      <c r="CM118" s="5" t="s">
        <v>331</v>
      </c>
      <c r="CN118">
        <v>0</v>
      </c>
      <c r="CO118" s="30" t="s">
        <v>390</v>
      </c>
      <c r="CP118" s="17">
        <f>VAR(CN115:CN147)</f>
        <v>0</v>
      </c>
      <c r="CR118" s="5" t="s">
        <v>43</v>
      </c>
      <c r="CS118">
        <v>2</v>
      </c>
      <c r="CT118" s="30" t="s">
        <v>390</v>
      </c>
      <c r="CU118" s="17">
        <f>VAR(CS115:CS142)</f>
        <v>0.39550264550264552</v>
      </c>
      <c r="CW118" s="61" t="s">
        <v>346</v>
      </c>
      <c r="CX118" s="62">
        <v>0</v>
      </c>
    </row>
    <row r="119" spans="1:102" x14ac:dyDescent="0.25">
      <c r="A119" s="5" t="s">
        <v>48</v>
      </c>
      <c r="B119">
        <v>0</v>
      </c>
      <c r="C119" s="17"/>
      <c r="D119" s="17"/>
      <c r="K119" s="5" t="s">
        <v>87</v>
      </c>
      <c r="L119">
        <v>1</v>
      </c>
      <c r="M119" s="17"/>
      <c r="N119" s="17"/>
      <c r="P119" s="5" t="s">
        <v>93</v>
      </c>
      <c r="Q119">
        <v>1</v>
      </c>
      <c r="R119" s="30" t="s">
        <v>392</v>
      </c>
      <c r="S119" s="17">
        <f>STDEV(Q114:Q120)</f>
        <v>1.2149857925879117</v>
      </c>
      <c r="U119" s="5" t="s">
        <v>100</v>
      </c>
      <c r="V119">
        <v>0</v>
      </c>
      <c r="W119" s="30" t="s">
        <v>391</v>
      </c>
      <c r="X119" s="17">
        <f>AVERAGE(V115:V147)</f>
        <v>1.5454545454545454</v>
      </c>
      <c r="Z119" s="64" t="s">
        <v>116</v>
      </c>
      <c r="AA119" s="62">
        <v>0</v>
      </c>
      <c r="AE119" s="5" t="s">
        <v>130</v>
      </c>
      <c r="AF119">
        <v>0</v>
      </c>
      <c r="AG119" s="30" t="s">
        <v>388</v>
      </c>
      <c r="AH119" s="17">
        <f>MIN(AF118:AF132)</f>
        <v>0</v>
      </c>
      <c r="AO119" s="17" t="s">
        <v>384</v>
      </c>
      <c r="AP119" s="17" t="s">
        <v>39</v>
      </c>
      <c r="AQ119" s="17" t="s">
        <v>385</v>
      </c>
      <c r="AR119" s="17" t="s">
        <v>386</v>
      </c>
      <c r="AT119" s="5" t="s">
        <v>180</v>
      </c>
      <c r="AU119">
        <v>0</v>
      </c>
      <c r="AV119" s="30" t="s">
        <v>392</v>
      </c>
      <c r="AW119" s="17">
        <f>STDEV(AU114:AU131)</f>
        <v>0.54831888055331623</v>
      </c>
      <c r="AY119" s="5" t="s">
        <v>204</v>
      </c>
      <c r="AZ119">
        <v>0</v>
      </c>
      <c r="BA119" s="17"/>
      <c r="BB119" s="17"/>
      <c r="BD119" s="17" t="s">
        <v>384</v>
      </c>
      <c r="BE119" s="17" t="s">
        <v>39</v>
      </c>
      <c r="BF119" s="17" t="s">
        <v>385</v>
      </c>
      <c r="BG119" s="17" t="s">
        <v>386</v>
      </c>
      <c r="BI119" s="5" t="s">
        <v>257</v>
      </c>
      <c r="BJ119">
        <v>0</v>
      </c>
      <c r="BK119" s="17"/>
      <c r="BL119" s="17"/>
      <c r="BN119" s="5" t="s">
        <v>289</v>
      </c>
      <c r="BO119">
        <v>0</v>
      </c>
      <c r="BP119" s="17"/>
      <c r="BQ119" s="17"/>
      <c r="BS119" s="17" t="s">
        <v>383</v>
      </c>
      <c r="BT119" s="6" t="s">
        <v>25</v>
      </c>
      <c r="BU119" s="17"/>
      <c r="BV119" s="17"/>
      <c r="BX119" s="58" t="s">
        <v>384</v>
      </c>
      <c r="BY119" s="58" t="s">
        <v>39</v>
      </c>
      <c r="BZ119" s="58" t="s">
        <v>385</v>
      </c>
      <c r="CA119" s="58" t="s">
        <v>386</v>
      </c>
      <c r="CC119" s="5" t="s">
        <v>306</v>
      </c>
      <c r="CD119">
        <v>0</v>
      </c>
      <c r="CE119" s="17"/>
      <c r="CF119" s="17"/>
      <c r="CH119" s="5" t="s">
        <v>326</v>
      </c>
      <c r="CI119">
        <v>0</v>
      </c>
      <c r="CJ119" s="30" t="s">
        <v>392</v>
      </c>
      <c r="CK119" s="17">
        <f>STDEV(CI114:CI120)</f>
        <v>0.75592894601845451</v>
      </c>
      <c r="CM119" s="5" t="s">
        <v>332</v>
      </c>
      <c r="CN119">
        <v>0</v>
      </c>
      <c r="CO119" s="30" t="s">
        <v>391</v>
      </c>
      <c r="CP119" s="17">
        <f>AVERAGE(CN115:CN147)</f>
        <v>0</v>
      </c>
      <c r="CR119" s="5" t="s">
        <v>336</v>
      </c>
      <c r="CS119">
        <v>0</v>
      </c>
      <c r="CT119" s="30" t="s">
        <v>391</v>
      </c>
      <c r="CU119" s="17">
        <f>AVERAGE(CS115:CS142)</f>
        <v>0.39285714285714285</v>
      </c>
      <c r="CW119" s="61" t="s">
        <v>347</v>
      </c>
      <c r="CX119" s="62">
        <v>1</v>
      </c>
    </row>
    <row r="120" spans="1:102" x14ac:dyDescent="0.25">
      <c r="A120" s="5" t="s">
        <v>49</v>
      </c>
      <c r="B120">
        <v>2</v>
      </c>
      <c r="C120" s="17"/>
      <c r="D120" s="17"/>
      <c r="P120" s="5" t="s">
        <v>94</v>
      </c>
      <c r="Q120">
        <v>0</v>
      </c>
      <c r="R120" s="17"/>
      <c r="S120" s="17"/>
      <c r="U120" s="5" t="s">
        <v>101</v>
      </c>
      <c r="V120">
        <v>0</v>
      </c>
      <c r="W120" s="30" t="s">
        <v>392</v>
      </c>
      <c r="X120" s="17">
        <f>STDEV(V115:V147)</f>
        <v>1.5429458247721526</v>
      </c>
      <c r="Z120" s="64" t="s">
        <v>117</v>
      </c>
      <c r="AA120" s="62">
        <v>0</v>
      </c>
      <c r="AE120" s="5" t="s">
        <v>131</v>
      </c>
      <c r="AF120">
        <v>1</v>
      </c>
      <c r="AG120" s="30" t="s">
        <v>389</v>
      </c>
      <c r="AH120" s="17">
        <f>MAX(AF118:AF132)</f>
        <v>1</v>
      </c>
      <c r="AO120" s="5" t="s">
        <v>149</v>
      </c>
      <c r="AP120">
        <v>1</v>
      </c>
      <c r="AQ120" s="30" t="s">
        <v>387</v>
      </c>
      <c r="AR120" s="17">
        <f>SUM(AP120:AP144)</f>
        <v>1</v>
      </c>
      <c r="AT120" s="5" t="s">
        <v>181</v>
      </c>
      <c r="AU120">
        <v>0</v>
      </c>
      <c r="AV120" s="17"/>
      <c r="AW120" s="17"/>
      <c r="AY120" s="5" t="s">
        <v>205</v>
      </c>
      <c r="AZ120">
        <v>0</v>
      </c>
      <c r="BA120" s="17"/>
      <c r="BB120" s="17"/>
      <c r="BD120" s="5" t="s">
        <v>221</v>
      </c>
      <c r="BE120">
        <v>0</v>
      </c>
      <c r="BF120" s="30" t="s">
        <v>387</v>
      </c>
      <c r="BG120" s="17">
        <f>SUM(BE120:BE144)</f>
        <v>8</v>
      </c>
      <c r="BI120" s="5" t="s">
        <v>258</v>
      </c>
      <c r="BJ120">
        <v>0</v>
      </c>
      <c r="BK120" s="17"/>
      <c r="BL120" s="17"/>
      <c r="BS120" s="17" t="s">
        <v>384</v>
      </c>
      <c r="BT120" s="17" t="s">
        <v>39</v>
      </c>
      <c r="BU120" s="17" t="s">
        <v>385</v>
      </c>
      <c r="BV120" s="17" t="s">
        <v>386</v>
      </c>
      <c r="BX120" s="61" t="s">
        <v>274</v>
      </c>
      <c r="BY120" s="62">
        <v>0</v>
      </c>
      <c r="BZ120" s="63" t="s">
        <v>387</v>
      </c>
      <c r="CA120" s="58">
        <f>SUM(BY120:BY144)</f>
        <v>8</v>
      </c>
      <c r="CC120" s="5" t="s">
        <v>93</v>
      </c>
      <c r="CD120">
        <v>0</v>
      </c>
      <c r="CE120" s="17"/>
      <c r="CF120" s="17"/>
      <c r="CH120" s="5" t="s">
        <v>327</v>
      </c>
      <c r="CI120">
        <v>0</v>
      </c>
      <c r="CJ120" s="17"/>
      <c r="CK120" s="17"/>
      <c r="CO120" s="30" t="s">
        <v>392</v>
      </c>
      <c r="CP120" s="17">
        <f>STDEV(CN115:CN147)</f>
        <v>0</v>
      </c>
      <c r="CR120" s="5" t="s">
        <v>337</v>
      </c>
      <c r="CS120">
        <v>2</v>
      </c>
      <c r="CT120" s="30" t="s">
        <v>392</v>
      </c>
      <c r="CU120" s="17">
        <f>STDEV(CS115:CS142)</f>
        <v>0.62889001065579464</v>
      </c>
      <c r="CW120" s="61" t="s">
        <v>348</v>
      </c>
      <c r="CX120" s="62">
        <v>3</v>
      </c>
    </row>
    <row r="121" spans="1:102" x14ac:dyDescent="0.25">
      <c r="A121" s="5" t="s">
        <v>50</v>
      </c>
      <c r="B121">
        <v>0</v>
      </c>
      <c r="C121" s="17"/>
      <c r="D121" s="17"/>
      <c r="K121" s="17" t="s">
        <v>382</v>
      </c>
      <c r="L121" s="29" t="s">
        <v>363</v>
      </c>
      <c r="M121" s="17"/>
      <c r="N121" s="17">
        <v>2016</v>
      </c>
      <c r="U121" s="5" t="s">
        <v>103</v>
      </c>
      <c r="V121">
        <v>1</v>
      </c>
      <c r="W121" s="17"/>
      <c r="X121" s="17"/>
      <c r="Z121" s="64" t="s">
        <v>118</v>
      </c>
      <c r="AA121" s="62">
        <v>0</v>
      </c>
      <c r="AE121" s="5" t="s">
        <v>132</v>
      </c>
      <c r="AF121">
        <v>0</v>
      </c>
      <c r="AG121" s="30" t="s">
        <v>390</v>
      </c>
      <c r="AH121" s="17">
        <f>VAR(AF118:AF132)</f>
        <v>6.6666666666666666E-2</v>
      </c>
      <c r="AO121" s="5" t="s">
        <v>150</v>
      </c>
      <c r="AP121">
        <v>0</v>
      </c>
      <c r="AQ121" s="30" t="s">
        <v>388</v>
      </c>
      <c r="AR121" s="17">
        <f>MIN(AP120:AP144)</f>
        <v>0</v>
      </c>
      <c r="AT121" s="5" t="s">
        <v>182</v>
      </c>
      <c r="AU121">
        <v>0</v>
      </c>
      <c r="AV121" s="17"/>
      <c r="AW121" s="17"/>
      <c r="AY121" s="5" t="s">
        <v>206</v>
      </c>
      <c r="AZ121">
        <v>1</v>
      </c>
      <c r="BA121" s="17"/>
      <c r="BB121" s="17"/>
      <c r="BD121" s="5" t="s">
        <v>222</v>
      </c>
      <c r="BE121">
        <v>0</v>
      </c>
      <c r="BF121" s="30" t="s">
        <v>388</v>
      </c>
      <c r="BG121" s="17">
        <f>MIN(BE120:BE144)</f>
        <v>0</v>
      </c>
      <c r="BI121" s="5" t="s">
        <v>259</v>
      </c>
      <c r="BJ121">
        <v>0</v>
      </c>
      <c r="BK121" s="17"/>
      <c r="BL121" s="17"/>
      <c r="BN121" s="17" t="s">
        <v>382</v>
      </c>
      <c r="BO121" s="29" t="s">
        <v>440</v>
      </c>
      <c r="BP121" s="17"/>
      <c r="BQ121" s="17">
        <v>2016</v>
      </c>
      <c r="BS121" s="5" t="s">
        <v>290</v>
      </c>
      <c r="BT121">
        <v>0</v>
      </c>
      <c r="BU121" s="30" t="s">
        <v>387</v>
      </c>
      <c r="BV121" s="17">
        <f>SUM(BT121:BT129)</f>
        <v>1</v>
      </c>
      <c r="BX121" s="61" t="s">
        <v>275</v>
      </c>
      <c r="BY121" s="62">
        <v>0</v>
      </c>
      <c r="BZ121" s="63" t="s">
        <v>388</v>
      </c>
      <c r="CA121" s="58">
        <f>MIN(BY120:BY144)</f>
        <v>0</v>
      </c>
      <c r="CC121" s="5" t="s">
        <v>307</v>
      </c>
      <c r="CD121">
        <v>2</v>
      </c>
      <c r="CE121" s="17"/>
      <c r="CF121" s="17"/>
      <c r="CO121" s="17"/>
      <c r="CP121" s="17"/>
      <c r="CR121" s="5" t="s">
        <v>338</v>
      </c>
      <c r="CS121">
        <v>1</v>
      </c>
      <c r="CW121" s="61" t="s">
        <v>349</v>
      </c>
      <c r="CX121" s="62">
        <v>2</v>
      </c>
    </row>
    <row r="122" spans="1:102" x14ac:dyDescent="0.25">
      <c r="A122" s="5" t="s">
        <v>51</v>
      </c>
      <c r="B122">
        <v>0</v>
      </c>
      <c r="C122" s="17"/>
      <c r="D122" s="17"/>
      <c r="K122" s="17" t="s">
        <v>383</v>
      </c>
      <c r="L122" s="6" t="s">
        <v>20</v>
      </c>
      <c r="M122" s="17"/>
      <c r="N122" s="17"/>
      <c r="P122" s="17" t="s">
        <v>382</v>
      </c>
      <c r="Q122" s="29" t="s">
        <v>401</v>
      </c>
      <c r="R122" s="17"/>
      <c r="S122" s="17">
        <v>2016</v>
      </c>
      <c r="U122" s="5" t="s">
        <v>104</v>
      </c>
      <c r="V122">
        <v>6</v>
      </c>
      <c r="W122" s="17"/>
      <c r="X122" s="17"/>
      <c r="Z122" s="64" t="s">
        <v>119</v>
      </c>
      <c r="AA122" s="62">
        <v>0</v>
      </c>
      <c r="AE122" s="5" t="s">
        <v>133</v>
      </c>
      <c r="AF122">
        <v>0</v>
      </c>
      <c r="AG122" s="30" t="s">
        <v>391</v>
      </c>
      <c r="AH122" s="17">
        <f>AVERAGE(AF118:AF132)</f>
        <v>6.6666666666666666E-2</v>
      </c>
      <c r="AO122" s="5" t="s">
        <v>151</v>
      </c>
      <c r="AP122">
        <v>0</v>
      </c>
      <c r="AQ122" s="30" t="s">
        <v>389</v>
      </c>
      <c r="AR122" s="17">
        <f>MAX(AP120:AP144)</f>
        <v>1</v>
      </c>
      <c r="AT122" s="5" t="s">
        <v>183</v>
      </c>
      <c r="AU122">
        <v>0</v>
      </c>
      <c r="AV122" s="17"/>
      <c r="AW122" s="17"/>
      <c r="AY122" s="5" t="s">
        <v>207</v>
      </c>
      <c r="AZ122">
        <v>0</v>
      </c>
      <c r="BA122" s="17"/>
      <c r="BB122" s="17"/>
      <c r="BD122" s="5" t="s">
        <v>223</v>
      </c>
      <c r="BE122">
        <v>0</v>
      </c>
      <c r="BF122" s="30" t="s">
        <v>389</v>
      </c>
      <c r="BG122" s="17">
        <f>MAX(BE120:BE144)</f>
        <v>2</v>
      </c>
      <c r="BI122" s="5" t="s">
        <v>260</v>
      </c>
      <c r="BJ122">
        <v>0</v>
      </c>
      <c r="BK122" s="17"/>
      <c r="BL122" s="17"/>
      <c r="BN122" s="17" t="s">
        <v>383</v>
      </c>
      <c r="BO122" s="6" t="s">
        <v>18</v>
      </c>
      <c r="BP122" s="17"/>
      <c r="BQ122" s="17"/>
      <c r="BS122" s="5" t="s">
        <v>291</v>
      </c>
      <c r="BT122">
        <v>0</v>
      </c>
      <c r="BU122" s="30" t="s">
        <v>388</v>
      </c>
      <c r="BV122" s="17">
        <f>MIN(BT121:BT129)</f>
        <v>0</v>
      </c>
      <c r="BX122" s="61" t="s">
        <v>276</v>
      </c>
      <c r="BY122" s="62">
        <v>0</v>
      </c>
      <c r="BZ122" s="63" t="s">
        <v>389</v>
      </c>
      <c r="CA122" s="58">
        <f>MAX(BY120:BY144)</f>
        <v>2</v>
      </c>
      <c r="CC122" s="5" t="s">
        <v>308</v>
      </c>
      <c r="CD122">
        <v>0</v>
      </c>
      <c r="CE122" s="17"/>
      <c r="CF122" s="17"/>
      <c r="CO122" s="17"/>
      <c r="CP122" s="17"/>
      <c r="CR122" s="5" t="s">
        <v>339</v>
      </c>
      <c r="CS122">
        <v>0</v>
      </c>
      <c r="CW122" s="61" t="s">
        <v>350</v>
      </c>
      <c r="CX122" s="62">
        <v>0</v>
      </c>
    </row>
    <row r="123" spans="1:102" x14ac:dyDescent="0.25">
      <c r="A123" s="5" t="s">
        <v>52</v>
      </c>
      <c r="B123">
        <v>0</v>
      </c>
      <c r="C123" s="17"/>
      <c r="D123" s="17"/>
      <c r="K123" s="17" t="s">
        <v>384</v>
      </c>
      <c r="L123" s="17" t="s">
        <v>39</v>
      </c>
      <c r="M123" s="17" t="s">
        <v>385</v>
      </c>
      <c r="N123" s="17" t="s">
        <v>386</v>
      </c>
      <c r="P123" s="17" t="s">
        <v>383</v>
      </c>
      <c r="Q123" s="6" t="s">
        <v>25</v>
      </c>
      <c r="R123" s="17"/>
      <c r="S123" s="17"/>
      <c r="U123" s="5" t="s">
        <v>105</v>
      </c>
      <c r="V123">
        <v>5</v>
      </c>
      <c r="W123" s="17"/>
      <c r="X123" s="17"/>
      <c r="Z123" s="61" t="s">
        <v>120</v>
      </c>
      <c r="AA123" s="62">
        <v>1</v>
      </c>
      <c r="AE123" s="5" t="s">
        <v>134</v>
      </c>
      <c r="AF123">
        <v>0</v>
      </c>
      <c r="AG123" s="30" t="s">
        <v>392</v>
      </c>
      <c r="AH123" s="17">
        <f>STDEV(AF118:AF132)</f>
        <v>0.2581988897471611</v>
      </c>
      <c r="AO123" s="5" t="s">
        <v>152</v>
      </c>
      <c r="AP123">
        <v>0</v>
      </c>
      <c r="AQ123" s="30" t="s">
        <v>390</v>
      </c>
      <c r="AR123" s="17">
        <f>VAR(AP120:AP144)</f>
        <v>0.04</v>
      </c>
      <c r="AT123" s="5" t="s">
        <v>184</v>
      </c>
      <c r="AU123">
        <v>2</v>
      </c>
      <c r="AV123" s="17"/>
      <c r="AW123" s="17"/>
      <c r="AY123" s="5" t="s">
        <v>208</v>
      </c>
      <c r="AZ123">
        <v>1</v>
      </c>
      <c r="BA123" s="15"/>
      <c r="BB123" s="15"/>
      <c r="BD123" s="5" t="s">
        <v>224</v>
      </c>
      <c r="BE123">
        <v>0</v>
      </c>
      <c r="BF123" s="30" t="s">
        <v>390</v>
      </c>
      <c r="BG123" s="17">
        <f>VAR(BE120:BE144)</f>
        <v>0.39333333333333331</v>
      </c>
      <c r="BI123" s="5" t="s">
        <v>261</v>
      </c>
      <c r="BJ123">
        <v>0</v>
      </c>
      <c r="BK123" s="15"/>
      <c r="BL123" s="15"/>
      <c r="BN123" s="17" t="s">
        <v>384</v>
      </c>
      <c r="BO123" s="17" t="s">
        <v>39</v>
      </c>
      <c r="BP123" s="17" t="s">
        <v>385</v>
      </c>
      <c r="BQ123" s="17" t="s">
        <v>386</v>
      </c>
      <c r="BS123" s="5" t="s">
        <v>292</v>
      </c>
      <c r="BT123">
        <v>0</v>
      </c>
      <c r="BU123" s="30" t="s">
        <v>389</v>
      </c>
      <c r="BV123" s="17">
        <f>MAX(BT121:BT129)</f>
        <v>1</v>
      </c>
      <c r="BX123" s="61" t="s">
        <v>277</v>
      </c>
      <c r="BY123" s="62">
        <v>1</v>
      </c>
      <c r="BZ123" s="63" t="s">
        <v>390</v>
      </c>
      <c r="CA123" s="58">
        <f>VAR(BY120:BY144)</f>
        <v>0.31</v>
      </c>
      <c r="CC123" s="5" t="s">
        <v>309</v>
      </c>
      <c r="CD123">
        <v>1</v>
      </c>
      <c r="CE123" s="17"/>
      <c r="CF123" s="17"/>
      <c r="CH123" s="17" t="s">
        <v>382</v>
      </c>
      <c r="CI123" s="29" t="s">
        <v>443</v>
      </c>
      <c r="CJ123" s="17"/>
      <c r="CK123" s="17">
        <v>2016</v>
      </c>
      <c r="CO123" s="17"/>
      <c r="CP123" s="17"/>
      <c r="CR123" s="5" t="s">
        <v>340</v>
      </c>
      <c r="CS123">
        <v>0</v>
      </c>
      <c r="CW123" s="61" t="s">
        <v>351</v>
      </c>
      <c r="CX123" s="62">
        <v>1</v>
      </c>
    </row>
    <row r="124" spans="1:102" x14ac:dyDescent="0.25">
      <c r="A124" s="5" t="s">
        <v>53</v>
      </c>
      <c r="B124">
        <v>0</v>
      </c>
      <c r="C124" s="17"/>
      <c r="D124" s="17"/>
      <c r="K124" s="5" t="s">
        <v>72</v>
      </c>
      <c r="L124">
        <v>0</v>
      </c>
      <c r="M124" s="30" t="s">
        <v>387</v>
      </c>
      <c r="N124" s="17">
        <f>SUM(L124:L139)</f>
        <v>2</v>
      </c>
      <c r="P124" s="17" t="s">
        <v>384</v>
      </c>
      <c r="Q124" s="17" t="s">
        <v>39</v>
      </c>
      <c r="R124" s="17" t="s">
        <v>385</v>
      </c>
      <c r="S124" s="17" t="s">
        <v>386</v>
      </c>
      <c r="U124" s="5" t="s">
        <v>106</v>
      </c>
      <c r="V124">
        <v>4</v>
      </c>
      <c r="W124" s="17"/>
      <c r="X124" s="17"/>
      <c r="Z124" s="61" t="s">
        <v>121</v>
      </c>
      <c r="AA124" s="62">
        <v>0</v>
      </c>
      <c r="AE124" s="5" t="s">
        <v>135</v>
      </c>
      <c r="AF124">
        <v>0</v>
      </c>
      <c r="AG124" s="17"/>
      <c r="AH124" s="17"/>
      <c r="AO124" s="5" t="s">
        <v>153</v>
      </c>
      <c r="AP124">
        <v>0</v>
      </c>
      <c r="AQ124" s="30" t="s">
        <v>391</v>
      </c>
      <c r="AR124" s="17">
        <f>AVERAGE(AP120:AP144)</f>
        <v>0.04</v>
      </c>
      <c r="AT124" s="5" t="s">
        <v>185</v>
      </c>
      <c r="AU124">
        <v>0</v>
      </c>
      <c r="AV124" s="17"/>
      <c r="AW124" s="17"/>
      <c r="AY124" s="5" t="s">
        <v>209</v>
      </c>
      <c r="AZ124">
        <v>1</v>
      </c>
      <c r="BD124" s="5" t="s">
        <v>225</v>
      </c>
      <c r="BE124">
        <v>1</v>
      </c>
      <c r="BF124" s="30" t="s">
        <v>391</v>
      </c>
      <c r="BG124" s="17">
        <f>AVERAGE(BE120:BE144)</f>
        <v>0.32</v>
      </c>
      <c r="BI124" s="5" t="s">
        <v>262</v>
      </c>
      <c r="BJ124">
        <v>0</v>
      </c>
      <c r="BN124" s="5" t="s">
        <v>274</v>
      </c>
      <c r="BO124">
        <v>0</v>
      </c>
      <c r="BP124" s="30" t="s">
        <v>387</v>
      </c>
      <c r="BQ124" s="17">
        <f>SUM(BO124:BO139)</f>
        <v>1</v>
      </c>
      <c r="BS124" s="5" t="s">
        <v>293</v>
      </c>
      <c r="BT124">
        <v>1</v>
      </c>
      <c r="BU124" s="30" t="s">
        <v>390</v>
      </c>
      <c r="BV124" s="17">
        <f>VAR(BT121:BT129)</f>
        <v>0.1111111111111111</v>
      </c>
      <c r="BX124" s="61" t="s">
        <v>279</v>
      </c>
      <c r="BY124" s="62">
        <v>0</v>
      </c>
      <c r="BZ124" s="63" t="s">
        <v>391</v>
      </c>
      <c r="CA124" s="58">
        <f>AVERAGE(BY120:BY144)</f>
        <v>0.32</v>
      </c>
      <c r="CC124" s="5" t="s">
        <v>310</v>
      </c>
      <c r="CD124">
        <v>0</v>
      </c>
      <c r="CE124" s="17"/>
      <c r="CF124" s="17"/>
      <c r="CH124" s="17" t="s">
        <v>383</v>
      </c>
      <c r="CI124" s="6" t="s">
        <v>102</v>
      </c>
      <c r="CJ124" s="17"/>
      <c r="CK124" s="17"/>
      <c r="CO124" s="17"/>
      <c r="CP124" s="17"/>
      <c r="CR124" s="5" t="s">
        <v>341</v>
      </c>
      <c r="CS124">
        <v>1</v>
      </c>
      <c r="CW124" s="61" t="s">
        <v>352</v>
      </c>
      <c r="CX124" s="62">
        <v>1</v>
      </c>
    </row>
    <row r="125" spans="1:102" x14ac:dyDescent="0.25">
      <c r="A125" s="5" t="s">
        <v>54</v>
      </c>
      <c r="B125">
        <v>0</v>
      </c>
      <c r="C125" s="17"/>
      <c r="D125" s="17"/>
      <c r="K125" s="5" t="s">
        <v>73</v>
      </c>
      <c r="L125">
        <v>0</v>
      </c>
      <c r="M125" s="30" t="s">
        <v>388</v>
      </c>
      <c r="N125" s="17">
        <f>MIN(L124:L139)</f>
        <v>0</v>
      </c>
      <c r="P125" s="5" t="s">
        <v>88</v>
      </c>
      <c r="Q125">
        <v>0</v>
      </c>
      <c r="R125" s="30" t="s">
        <v>387</v>
      </c>
      <c r="S125" s="17">
        <f>SUM(Q125:Q131)</f>
        <v>4</v>
      </c>
      <c r="U125" s="5" t="s">
        <v>61</v>
      </c>
      <c r="V125">
        <v>0</v>
      </c>
      <c r="W125" s="17"/>
      <c r="X125" s="17"/>
      <c r="Z125" s="61" t="s">
        <v>122</v>
      </c>
      <c r="AA125" s="62">
        <v>0</v>
      </c>
      <c r="AE125" s="5" t="s">
        <v>136</v>
      </c>
      <c r="AF125">
        <v>0</v>
      </c>
      <c r="AG125" s="17"/>
      <c r="AH125" s="17"/>
      <c r="AO125" s="5" t="s">
        <v>154</v>
      </c>
      <c r="AP125">
        <v>0</v>
      </c>
      <c r="AQ125" s="30" t="s">
        <v>392</v>
      </c>
      <c r="AR125" s="17">
        <f>STDEV(AP120:AP144)</f>
        <v>0.2</v>
      </c>
      <c r="AT125" s="5" t="s">
        <v>186</v>
      </c>
      <c r="AU125">
        <v>1</v>
      </c>
      <c r="AV125" s="17"/>
      <c r="AW125" s="17"/>
      <c r="AY125" s="5" t="s">
        <v>210</v>
      </c>
      <c r="AZ125">
        <v>1</v>
      </c>
      <c r="BD125" s="5" t="s">
        <v>226</v>
      </c>
      <c r="BE125">
        <v>0</v>
      </c>
      <c r="BF125" s="30" t="s">
        <v>392</v>
      </c>
      <c r="BG125" s="17">
        <f>STDEV(BE120:BE144)</f>
        <v>0.62716292407422591</v>
      </c>
      <c r="BI125" s="5" t="s">
        <v>263</v>
      </c>
      <c r="BJ125">
        <v>0</v>
      </c>
      <c r="BN125" s="5" t="s">
        <v>275</v>
      </c>
      <c r="BO125">
        <v>0</v>
      </c>
      <c r="BP125" s="30" t="s">
        <v>388</v>
      </c>
      <c r="BQ125" s="17">
        <f>MIN(BO124:BO139)</f>
        <v>0</v>
      </c>
      <c r="BS125" s="5" t="s">
        <v>294</v>
      </c>
      <c r="BT125">
        <v>0</v>
      </c>
      <c r="BU125" s="30" t="s">
        <v>391</v>
      </c>
      <c r="BV125" s="17">
        <f>AVERAGE(BT121:BT129)</f>
        <v>0.1111111111111111</v>
      </c>
      <c r="BX125" s="61" t="s">
        <v>278</v>
      </c>
      <c r="BY125" s="62">
        <v>0</v>
      </c>
      <c r="BZ125" s="63" t="s">
        <v>392</v>
      </c>
      <c r="CA125" s="58">
        <f>STDEV(BY120:BY144)</f>
        <v>0.55677643628300222</v>
      </c>
      <c r="CC125" s="5" t="s">
        <v>311</v>
      </c>
      <c r="CD125">
        <v>0</v>
      </c>
      <c r="CE125" s="17"/>
      <c r="CF125" s="17"/>
      <c r="CH125" s="17" t="s">
        <v>384</v>
      </c>
      <c r="CI125" s="17" t="s">
        <v>39</v>
      </c>
      <c r="CJ125" s="17" t="s">
        <v>385</v>
      </c>
      <c r="CK125" s="17" t="s">
        <v>386</v>
      </c>
      <c r="CO125" s="17"/>
      <c r="CP125" s="17"/>
      <c r="CR125" s="5" t="s">
        <v>342</v>
      </c>
      <c r="CS125">
        <v>0</v>
      </c>
      <c r="CW125" s="61" t="s">
        <v>353</v>
      </c>
      <c r="CX125" s="62">
        <v>0</v>
      </c>
    </row>
    <row r="126" spans="1:102" x14ac:dyDescent="0.25">
      <c r="A126" s="5" t="s">
        <v>55</v>
      </c>
      <c r="B126">
        <v>0</v>
      </c>
      <c r="C126" s="17"/>
      <c r="D126" s="17"/>
      <c r="K126" s="5" t="s">
        <v>74</v>
      </c>
      <c r="L126">
        <v>0</v>
      </c>
      <c r="M126" s="30" t="s">
        <v>389</v>
      </c>
      <c r="N126" s="17">
        <f>MAX(L124:L139)</f>
        <v>1</v>
      </c>
      <c r="P126" s="5" t="s">
        <v>89</v>
      </c>
      <c r="Q126">
        <v>0</v>
      </c>
      <c r="R126" s="30" t="s">
        <v>388</v>
      </c>
      <c r="S126" s="17">
        <f>MIN(Q125:Q131)</f>
        <v>0</v>
      </c>
      <c r="U126" s="5" t="s">
        <v>107</v>
      </c>
      <c r="V126">
        <v>3</v>
      </c>
      <c r="W126" s="17"/>
      <c r="X126" s="17"/>
      <c r="Z126" s="61" t="s">
        <v>123</v>
      </c>
      <c r="AA126" s="62">
        <v>0</v>
      </c>
      <c r="AE126" s="5" t="s">
        <v>44</v>
      </c>
      <c r="AF126">
        <v>0</v>
      </c>
      <c r="AG126" s="17"/>
      <c r="AH126" s="17"/>
      <c r="AO126" s="5" t="s">
        <v>155</v>
      </c>
      <c r="AP126">
        <v>0</v>
      </c>
      <c r="AQ126" s="17"/>
      <c r="AR126" s="17"/>
      <c r="AT126" s="5" t="s">
        <v>187</v>
      </c>
      <c r="AU126">
        <v>1</v>
      </c>
      <c r="AV126" s="17"/>
      <c r="AW126" s="17"/>
      <c r="AY126" s="5" t="s">
        <v>211</v>
      </c>
      <c r="AZ126">
        <v>0</v>
      </c>
      <c r="BD126" s="5" t="s">
        <v>227</v>
      </c>
      <c r="BE126">
        <v>0</v>
      </c>
      <c r="BF126" s="17"/>
      <c r="BG126" s="17"/>
      <c r="BI126" s="5" t="s">
        <v>264</v>
      </c>
      <c r="BJ126">
        <v>0</v>
      </c>
      <c r="BN126" s="5" t="s">
        <v>276</v>
      </c>
      <c r="BO126">
        <v>0</v>
      </c>
      <c r="BP126" s="30" t="s">
        <v>389</v>
      </c>
      <c r="BQ126" s="17">
        <f>MAX(BO124:BO139)</f>
        <v>1</v>
      </c>
      <c r="BS126" s="5" t="s">
        <v>295</v>
      </c>
      <c r="BT126">
        <v>0</v>
      </c>
      <c r="BU126" s="30" t="s">
        <v>392</v>
      </c>
      <c r="BV126" s="17">
        <f>STDEV(BT121:BT129)</f>
        <v>0.33333333333333331</v>
      </c>
      <c r="BX126" s="61" t="s">
        <v>280</v>
      </c>
      <c r="BY126" s="62">
        <v>0</v>
      </c>
      <c r="BZ126" s="58"/>
      <c r="CA126" s="58"/>
      <c r="CC126" s="5" t="s">
        <v>312</v>
      </c>
      <c r="CD126">
        <v>0</v>
      </c>
      <c r="CE126" s="17"/>
      <c r="CF126" s="17"/>
      <c r="CH126" s="5" t="s">
        <v>321</v>
      </c>
      <c r="CI126">
        <v>0</v>
      </c>
      <c r="CJ126" s="30" t="s">
        <v>387</v>
      </c>
      <c r="CK126" s="17">
        <f>SUM(CI126:CI132)</f>
        <v>1</v>
      </c>
      <c r="CO126" s="17"/>
      <c r="CP126" s="17"/>
      <c r="CR126" s="5" t="s">
        <v>343</v>
      </c>
      <c r="CS126">
        <v>1</v>
      </c>
      <c r="CW126" s="61" t="s">
        <v>354</v>
      </c>
      <c r="CX126" s="62">
        <v>5</v>
      </c>
    </row>
    <row r="127" spans="1:102" x14ac:dyDescent="0.25">
      <c r="A127" s="5" t="s">
        <v>56</v>
      </c>
      <c r="B127">
        <v>0</v>
      </c>
      <c r="C127" s="17"/>
      <c r="D127" s="17"/>
      <c r="K127" s="5" t="s">
        <v>75</v>
      </c>
      <c r="L127">
        <v>1</v>
      </c>
      <c r="M127" s="30" t="s">
        <v>390</v>
      </c>
      <c r="N127" s="17">
        <f>VAR(L124:L139)</f>
        <v>0.11666666666666667</v>
      </c>
      <c r="P127" s="5" t="s">
        <v>90</v>
      </c>
      <c r="Q127">
        <v>0</v>
      </c>
      <c r="R127" s="30" t="s">
        <v>389</v>
      </c>
      <c r="S127" s="17">
        <f>MAX(Q125:Q131)</f>
        <v>2</v>
      </c>
      <c r="U127" s="5" t="s">
        <v>108</v>
      </c>
      <c r="V127">
        <v>2</v>
      </c>
      <c r="W127" s="17"/>
      <c r="X127" s="17"/>
      <c r="Z127" s="61" t="s">
        <v>124</v>
      </c>
      <c r="AA127" s="62">
        <v>0</v>
      </c>
      <c r="AE127" s="5" t="s">
        <v>137</v>
      </c>
      <c r="AF127">
        <v>0</v>
      </c>
      <c r="AG127" s="17"/>
      <c r="AH127" s="17"/>
      <c r="AO127" s="5" t="s">
        <v>156</v>
      </c>
      <c r="AP127">
        <v>0</v>
      </c>
      <c r="AQ127" s="17"/>
      <c r="AR127" s="17"/>
      <c r="AT127" s="5" t="s">
        <v>188</v>
      </c>
      <c r="AU127">
        <v>0</v>
      </c>
      <c r="AV127" s="17"/>
      <c r="AW127" s="17"/>
      <c r="AY127" s="5" t="s">
        <v>212</v>
      </c>
      <c r="AZ127">
        <v>0</v>
      </c>
      <c r="BD127" s="5" t="s">
        <v>228</v>
      </c>
      <c r="BE127">
        <v>2</v>
      </c>
      <c r="BF127" s="17"/>
      <c r="BG127" s="17"/>
      <c r="BI127" s="5" t="s">
        <v>265</v>
      </c>
      <c r="BJ127">
        <v>0</v>
      </c>
      <c r="BN127" s="5" t="s">
        <v>277</v>
      </c>
      <c r="BO127">
        <v>0</v>
      </c>
      <c r="BP127" s="30" t="s">
        <v>390</v>
      </c>
      <c r="BQ127" s="17">
        <f>VAR(BO124:BO139)</f>
        <v>6.25E-2</v>
      </c>
      <c r="BS127" s="5" t="s">
        <v>296</v>
      </c>
      <c r="BT127">
        <v>0</v>
      </c>
      <c r="BU127" s="17"/>
      <c r="BV127" s="17"/>
      <c r="BX127" s="61" t="s">
        <v>281</v>
      </c>
      <c r="BY127" s="62">
        <v>1</v>
      </c>
      <c r="BZ127" s="58"/>
      <c r="CA127" s="58"/>
      <c r="CC127" s="5" t="s">
        <v>313</v>
      </c>
      <c r="CD127">
        <v>0</v>
      </c>
      <c r="CE127" s="17"/>
      <c r="CF127" s="17"/>
      <c r="CH127" s="5" t="s">
        <v>322</v>
      </c>
      <c r="CI127">
        <v>0</v>
      </c>
      <c r="CJ127" s="30" t="s">
        <v>388</v>
      </c>
      <c r="CK127" s="17">
        <f>MIN(CI126:CI132)</f>
        <v>0</v>
      </c>
      <c r="CO127" s="17"/>
      <c r="CP127" s="17"/>
      <c r="CR127" s="5" t="s">
        <v>344</v>
      </c>
      <c r="CS127">
        <v>1</v>
      </c>
      <c r="CW127" s="61" t="s">
        <v>355</v>
      </c>
      <c r="CX127" s="62">
        <v>0</v>
      </c>
    </row>
    <row r="128" spans="1:102" x14ac:dyDescent="0.25">
      <c r="A128" s="5" t="s">
        <v>57</v>
      </c>
      <c r="B128">
        <v>0</v>
      </c>
      <c r="C128" s="17"/>
      <c r="D128" s="17"/>
      <c r="K128" s="5" t="s">
        <v>76</v>
      </c>
      <c r="L128">
        <v>0</v>
      </c>
      <c r="M128" s="30" t="s">
        <v>391</v>
      </c>
      <c r="N128" s="17">
        <f>AVERAGE(L124:L139)</f>
        <v>0.125</v>
      </c>
      <c r="P128" s="5" t="s">
        <v>91</v>
      </c>
      <c r="Q128">
        <v>0</v>
      </c>
      <c r="R128" s="30" t="s">
        <v>390</v>
      </c>
      <c r="S128" s="17">
        <f>VAR(Q125:Q131)</f>
        <v>0.61904761904761907</v>
      </c>
      <c r="U128" s="5" t="s">
        <v>109</v>
      </c>
      <c r="V128">
        <v>2</v>
      </c>
      <c r="W128" s="17"/>
      <c r="X128" s="17"/>
      <c r="Z128" s="61" t="s">
        <v>125</v>
      </c>
      <c r="AA128" s="62">
        <v>0</v>
      </c>
      <c r="AE128" s="5" t="s">
        <v>138</v>
      </c>
      <c r="AF128">
        <v>0</v>
      </c>
      <c r="AG128" s="17"/>
      <c r="AH128" s="17"/>
      <c r="AO128" s="5" t="s">
        <v>157</v>
      </c>
      <c r="AP128">
        <v>0</v>
      </c>
      <c r="AQ128" s="17"/>
      <c r="AR128" s="17"/>
      <c r="AT128" s="5" t="s">
        <v>395</v>
      </c>
      <c r="AU128">
        <v>0</v>
      </c>
      <c r="AV128" s="17"/>
      <c r="AW128" s="17"/>
      <c r="AY128" s="5" t="s">
        <v>213</v>
      </c>
      <c r="AZ128">
        <v>0</v>
      </c>
      <c r="BD128" s="5" t="s">
        <v>229</v>
      </c>
      <c r="BE128">
        <v>0</v>
      </c>
      <c r="BF128" s="17"/>
      <c r="BG128" s="17"/>
      <c r="BI128" s="5" t="s">
        <v>266</v>
      </c>
      <c r="BJ128">
        <v>0</v>
      </c>
      <c r="BN128" s="5" t="s">
        <v>279</v>
      </c>
      <c r="BO128">
        <v>0</v>
      </c>
      <c r="BP128" s="30" t="s">
        <v>391</v>
      </c>
      <c r="BQ128" s="17">
        <f>AVERAGE(BO124:BO139)</f>
        <v>6.25E-2</v>
      </c>
      <c r="BS128" s="5" t="s">
        <v>297</v>
      </c>
      <c r="BT128">
        <v>0</v>
      </c>
      <c r="BU128" s="17"/>
      <c r="BV128" s="17"/>
      <c r="BX128" s="61" t="s">
        <v>282</v>
      </c>
      <c r="BY128" s="62">
        <v>0</v>
      </c>
      <c r="BZ128" s="58"/>
      <c r="CA128" s="58"/>
      <c r="CC128" s="5" t="s">
        <v>314</v>
      </c>
      <c r="CD128">
        <v>0</v>
      </c>
      <c r="CH128" s="5" t="s">
        <v>323</v>
      </c>
      <c r="CI128">
        <v>1</v>
      </c>
      <c r="CJ128" s="30" t="s">
        <v>389</v>
      </c>
      <c r="CK128" s="17">
        <f>MAX(CI126:CI132)</f>
        <v>1</v>
      </c>
      <c r="CO128" s="17"/>
      <c r="CP128" s="17"/>
      <c r="CR128" s="5" t="s">
        <v>345</v>
      </c>
      <c r="CS128">
        <v>0</v>
      </c>
      <c r="CW128" s="66" t="s">
        <v>356</v>
      </c>
      <c r="CX128" s="62">
        <v>1</v>
      </c>
    </row>
    <row r="129" spans="1:104" x14ac:dyDescent="0.25">
      <c r="A129" s="5" t="s">
        <v>58</v>
      </c>
      <c r="B129">
        <v>0</v>
      </c>
      <c r="C129" s="15"/>
      <c r="D129" s="15"/>
      <c r="K129" s="5" t="s">
        <v>77</v>
      </c>
      <c r="L129">
        <v>0</v>
      </c>
      <c r="M129" s="30" t="s">
        <v>392</v>
      </c>
      <c r="N129" s="17">
        <f>STDEV(L124:L139)</f>
        <v>0.34156502553198659</v>
      </c>
      <c r="P129" s="5" t="s">
        <v>92</v>
      </c>
      <c r="Q129">
        <v>1</v>
      </c>
      <c r="R129" s="30" t="s">
        <v>391</v>
      </c>
      <c r="S129" s="17">
        <f>AVERAGE(Q125:Q131)</f>
        <v>0.5714285714285714</v>
      </c>
      <c r="U129" s="5" t="s">
        <v>110</v>
      </c>
      <c r="V129">
        <v>2</v>
      </c>
      <c r="W129" s="17"/>
      <c r="X129" s="17"/>
      <c r="Z129" s="61" t="s">
        <v>126</v>
      </c>
      <c r="AA129" s="62">
        <v>0</v>
      </c>
      <c r="AE129" s="5" t="s">
        <v>139</v>
      </c>
      <c r="AF129">
        <v>0</v>
      </c>
      <c r="AG129" s="17"/>
      <c r="AH129" s="17"/>
      <c r="AO129" s="5" t="s">
        <v>158</v>
      </c>
      <c r="AP129">
        <v>0</v>
      </c>
      <c r="AQ129" s="17"/>
      <c r="AR129" s="17"/>
      <c r="AT129" s="5" t="s">
        <v>189</v>
      </c>
      <c r="AU129">
        <v>0</v>
      </c>
      <c r="AV129" s="17"/>
      <c r="AW129" s="17"/>
      <c r="AY129" s="5" t="s">
        <v>214</v>
      </c>
      <c r="AZ129">
        <v>0</v>
      </c>
      <c r="BD129" s="5" t="s">
        <v>230</v>
      </c>
      <c r="BE129">
        <v>1</v>
      </c>
      <c r="BF129" s="17"/>
      <c r="BG129" s="17"/>
      <c r="BI129" s="5" t="s">
        <v>267</v>
      </c>
      <c r="BJ129">
        <v>0</v>
      </c>
      <c r="BN129" s="5" t="s">
        <v>278</v>
      </c>
      <c r="BO129">
        <v>0</v>
      </c>
      <c r="BP129" s="30" t="s">
        <v>392</v>
      </c>
      <c r="BQ129" s="17">
        <f>STDEV(BO124:BO139)</f>
        <v>0.25</v>
      </c>
      <c r="BS129" s="5" t="s">
        <v>298</v>
      </c>
      <c r="BT129">
        <v>0</v>
      </c>
      <c r="BU129" s="17"/>
      <c r="BV129" s="17"/>
      <c r="BX129" s="61" t="s">
        <v>283</v>
      </c>
      <c r="BY129" s="62">
        <v>1</v>
      </c>
      <c r="BZ129" s="58"/>
      <c r="CA129" s="58"/>
      <c r="CC129" s="5" t="s">
        <v>315</v>
      </c>
      <c r="CD129">
        <v>0</v>
      </c>
      <c r="CH129" s="5" t="s">
        <v>324</v>
      </c>
      <c r="CI129">
        <v>0</v>
      </c>
      <c r="CJ129" s="30" t="s">
        <v>390</v>
      </c>
      <c r="CK129" s="17">
        <f>VAR(CI126:CI132)</f>
        <v>0.14285714285714288</v>
      </c>
      <c r="CO129" s="17"/>
      <c r="CP129" s="17"/>
      <c r="CR129" s="5" t="s">
        <v>346</v>
      </c>
      <c r="CS129">
        <v>0</v>
      </c>
      <c r="CW129" s="66" t="s">
        <v>357</v>
      </c>
      <c r="CX129" s="62">
        <v>0</v>
      </c>
    </row>
    <row r="130" spans="1:104" x14ac:dyDescent="0.25">
      <c r="A130" s="5" t="s">
        <v>60</v>
      </c>
      <c r="B130">
        <v>2</v>
      </c>
      <c r="C130" s="17"/>
      <c r="D130" s="17"/>
      <c r="K130" s="5" t="s">
        <v>78</v>
      </c>
      <c r="L130">
        <v>0</v>
      </c>
      <c r="M130" s="17"/>
      <c r="N130" s="17"/>
      <c r="P130" s="5" t="s">
        <v>93</v>
      </c>
      <c r="Q130">
        <v>1</v>
      </c>
      <c r="R130" s="30" t="s">
        <v>392</v>
      </c>
      <c r="S130" s="17">
        <f>STDEV(Q125:Q131)</f>
        <v>0.7867957924694432</v>
      </c>
      <c r="U130" s="5" t="s">
        <v>111</v>
      </c>
      <c r="V130">
        <v>0</v>
      </c>
      <c r="W130" s="17"/>
      <c r="X130" s="17"/>
      <c r="Z130" s="61" t="s">
        <v>127</v>
      </c>
      <c r="AA130" s="62">
        <v>0</v>
      </c>
      <c r="AE130" s="5" t="s">
        <v>140</v>
      </c>
      <c r="AF130">
        <v>0</v>
      </c>
      <c r="AG130" s="17"/>
      <c r="AH130" s="17"/>
      <c r="AO130" s="5" t="s">
        <v>159</v>
      </c>
      <c r="AP130">
        <v>0</v>
      </c>
      <c r="AQ130" s="17"/>
      <c r="AR130" s="17"/>
      <c r="AT130" s="5" t="s">
        <v>190</v>
      </c>
      <c r="AU130">
        <v>0</v>
      </c>
      <c r="AV130" s="17"/>
      <c r="AW130" s="17"/>
      <c r="AY130" s="5" t="s">
        <v>215</v>
      </c>
      <c r="AZ130">
        <v>0</v>
      </c>
      <c r="BD130" s="5" t="s">
        <v>231</v>
      </c>
      <c r="BE130">
        <v>0</v>
      </c>
      <c r="BF130" s="17"/>
      <c r="BG130" s="17"/>
      <c r="BI130" s="5" t="s">
        <v>268</v>
      </c>
      <c r="BJ130">
        <v>0</v>
      </c>
      <c r="BN130" s="5" t="s">
        <v>280</v>
      </c>
      <c r="BO130">
        <v>0</v>
      </c>
      <c r="BP130" s="17"/>
      <c r="BQ130" s="17"/>
      <c r="BX130" s="61" t="s">
        <v>285</v>
      </c>
      <c r="BY130" s="62">
        <v>1</v>
      </c>
      <c r="BZ130" s="58"/>
      <c r="CA130" s="58"/>
      <c r="CC130" s="5" t="s">
        <v>316</v>
      </c>
      <c r="CD130">
        <v>0</v>
      </c>
      <c r="CH130" s="5" t="s">
        <v>325</v>
      </c>
      <c r="CI130">
        <v>0</v>
      </c>
      <c r="CJ130" s="30" t="s">
        <v>391</v>
      </c>
      <c r="CK130" s="17">
        <f>AVERAGE(CI126:CI132)</f>
        <v>0.14285714285714285</v>
      </c>
      <c r="CO130" s="17"/>
      <c r="CP130" s="17"/>
      <c r="CR130" s="5" t="s">
        <v>347</v>
      </c>
      <c r="CS130">
        <v>0</v>
      </c>
      <c r="CW130" s="66" t="s">
        <v>358</v>
      </c>
      <c r="CX130" s="62">
        <v>1</v>
      </c>
    </row>
    <row r="131" spans="1:104" x14ac:dyDescent="0.25">
      <c r="A131" s="5" t="s">
        <v>61</v>
      </c>
      <c r="B131">
        <v>0</v>
      </c>
      <c r="C131" s="17"/>
      <c r="D131" s="17"/>
      <c r="K131" s="5" t="s">
        <v>79</v>
      </c>
      <c r="L131">
        <v>0</v>
      </c>
      <c r="M131" s="17"/>
      <c r="N131" s="17"/>
      <c r="P131" s="5" t="s">
        <v>94</v>
      </c>
      <c r="Q131">
        <v>2</v>
      </c>
      <c r="R131" s="17"/>
      <c r="S131" s="17"/>
      <c r="U131" s="5" t="s">
        <v>112</v>
      </c>
      <c r="V131">
        <v>0</v>
      </c>
      <c r="W131" s="17"/>
      <c r="X131" s="17"/>
      <c r="Z131" s="61" t="s">
        <v>128</v>
      </c>
      <c r="AA131" s="62">
        <v>0</v>
      </c>
      <c r="AE131" s="5" t="s">
        <v>141</v>
      </c>
      <c r="AF131">
        <v>0</v>
      </c>
      <c r="AG131" s="17"/>
      <c r="AH131" s="17"/>
      <c r="AO131" s="5" t="s">
        <v>100</v>
      </c>
      <c r="AP131">
        <v>0</v>
      </c>
      <c r="AQ131" s="17"/>
      <c r="AR131" s="17"/>
      <c r="AT131" s="5" t="s">
        <v>191</v>
      </c>
      <c r="AU131">
        <v>0</v>
      </c>
      <c r="AV131" s="15"/>
      <c r="AW131" s="15"/>
      <c r="AY131" s="5" t="s">
        <v>216</v>
      </c>
      <c r="AZ131">
        <v>0</v>
      </c>
      <c r="BD131" s="5" t="s">
        <v>232</v>
      </c>
      <c r="BE131">
        <v>0</v>
      </c>
      <c r="BF131" s="17"/>
      <c r="BG131" s="17"/>
      <c r="BI131" s="5" t="s">
        <v>269</v>
      </c>
      <c r="BJ131">
        <v>0</v>
      </c>
      <c r="BN131" s="5" t="s">
        <v>281</v>
      </c>
      <c r="BO131">
        <v>0</v>
      </c>
      <c r="BP131" s="17"/>
      <c r="BQ131" s="17"/>
      <c r="BS131" s="17" t="s">
        <v>382</v>
      </c>
      <c r="BT131" s="29" t="s">
        <v>441</v>
      </c>
      <c r="BU131" s="17"/>
      <c r="BV131" s="17">
        <v>2016</v>
      </c>
      <c r="BX131" s="61" t="s">
        <v>284</v>
      </c>
      <c r="BY131" s="62">
        <v>1</v>
      </c>
      <c r="BZ131" s="58"/>
      <c r="CA131" s="58"/>
      <c r="CC131" s="5" t="s">
        <v>317</v>
      </c>
      <c r="CD131">
        <v>0</v>
      </c>
      <c r="CH131" s="5" t="s">
        <v>326</v>
      </c>
      <c r="CI131">
        <v>0</v>
      </c>
      <c r="CJ131" s="30" t="s">
        <v>392</v>
      </c>
      <c r="CK131" s="17">
        <f>STDEV(CI126:CI132)</f>
        <v>0.37796447300922725</v>
      </c>
      <c r="CR131" s="5" t="s">
        <v>348</v>
      </c>
      <c r="CS131">
        <v>0</v>
      </c>
      <c r="CW131" s="66" t="s">
        <v>359</v>
      </c>
      <c r="CX131" s="62">
        <v>2</v>
      </c>
    </row>
    <row r="132" spans="1:104" x14ac:dyDescent="0.25">
      <c r="A132" s="5" t="s">
        <v>62</v>
      </c>
      <c r="B132">
        <v>0</v>
      </c>
      <c r="C132" s="17"/>
      <c r="D132" s="1"/>
      <c r="K132" s="5" t="s">
        <v>80</v>
      </c>
      <c r="L132">
        <v>0</v>
      </c>
      <c r="M132" s="17"/>
      <c r="N132" s="17"/>
      <c r="U132" s="5" t="s">
        <v>113</v>
      </c>
      <c r="V132">
        <v>1</v>
      </c>
      <c r="W132" s="15"/>
      <c r="X132" s="15"/>
      <c r="AE132" s="5" t="s">
        <v>142</v>
      </c>
      <c r="AF132">
        <v>0</v>
      </c>
      <c r="AG132" s="17"/>
      <c r="AH132" s="17"/>
      <c r="AO132" s="5" t="s">
        <v>161</v>
      </c>
      <c r="AP132">
        <v>0</v>
      </c>
      <c r="AQ132" s="17"/>
      <c r="AR132" s="17"/>
      <c r="AY132" s="5" t="s">
        <v>217</v>
      </c>
      <c r="AZ132">
        <v>0</v>
      </c>
      <c r="BD132" s="5" t="s">
        <v>233</v>
      </c>
      <c r="BE132">
        <v>1</v>
      </c>
      <c r="BF132" s="17"/>
      <c r="BG132" s="17"/>
      <c r="BI132" s="5" t="s">
        <v>270</v>
      </c>
      <c r="BJ132">
        <v>0</v>
      </c>
      <c r="BN132" s="5" t="s">
        <v>282</v>
      </c>
      <c r="BO132">
        <v>0</v>
      </c>
      <c r="BP132" s="17"/>
      <c r="BQ132" s="17"/>
      <c r="BS132" s="17" t="s">
        <v>383</v>
      </c>
      <c r="BT132" s="6" t="s">
        <v>102</v>
      </c>
      <c r="BU132" s="17"/>
      <c r="BV132" s="17"/>
      <c r="BX132" s="61" t="s">
        <v>286</v>
      </c>
      <c r="BY132" s="62">
        <v>0</v>
      </c>
      <c r="BZ132" s="58"/>
      <c r="CA132" s="58"/>
      <c r="CC132" s="5" t="s">
        <v>318</v>
      </c>
      <c r="CD132">
        <v>0</v>
      </c>
      <c r="CH132" s="5" t="s">
        <v>327</v>
      </c>
      <c r="CI132">
        <v>0</v>
      </c>
      <c r="CJ132" s="17"/>
      <c r="CK132" s="17"/>
      <c r="CR132" s="5" t="s">
        <v>349</v>
      </c>
      <c r="CS132">
        <v>0</v>
      </c>
    </row>
    <row r="133" spans="1:104" x14ac:dyDescent="0.25">
      <c r="A133" s="5" t="s">
        <v>63</v>
      </c>
      <c r="B133">
        <v>0</v>
      </c>
      <c r="C133" s="17"/>
      <c r="D133" s="1"/>
      <c r="K133" s="5" t="s">
        <v>81</v>
      </c>
      <c r="L133">
        <v>0</v>
      </c>
      <c r="M133" s="17"/>
      <c r="N133" s="17"/>
      <c r="P133" s="17" t="s">
        <v>382</v>
      </c>
      <c r="Q133" s="29" t="s">
        <v>401</v>
      </c>
      <c r="R133" s="17"/>
      <c r="S133" s="17">
        <v>2016</v>
      </c>
      <c r="U133" s="26" t="s">
        <v>114</v>
      </c>
      <c r="V133">
        <v>3</v>
      </c>
      <c r="W133" s="17"/>
      <c r="X133" s="17"/>
      <c r="Z133" s="58" t="s">
        <v>382</v>
      </c>
      <c r="AA133" s="59" t="s">
        <v>627</v>
      </c>
      <c r="AB133" s="58"/>
      <c r="AC133" s="58">
        <v>2016</v>
      </c>
      <c r="AO133" s="5" t="s">
        <v>162</v>
      </c>
      <c r="AP133">
        <v>0</v>
      </c>
      <c r="AQ133" s="17"/>
      <c r="AR133" s="17"/>
      <c r="AT133" s="17" t="s">
        <v>382</v>
      </c>
      <c r="AU133" s="29" t="s">
        <v>369</v>
      </c>
      <c r="AV133" s="17"/>
      <c r="AW133" s="17">
        <v>2016</v>
      </c>
      <c r="AY133" s="5" t="s">
        <v>218</v>
      </c>
      <c r="AZ133">
        <v>0</v>
      </c>
      <c r="BD133" s="5" t="s">
        <v>234</v>
      </c>
      <c r="BE133">
        <v>2</v>
      </c>
      <c r="BF133" s="17"/>
      <c r="BG133" s="17"/>
      <c r="BI133" s="5" t="s">
        <v>271</v>
      </c>
      <c r="BJ133">
        <v>1</v>
      </c>
      <c r="BN133" s="5" t="s">
        <v>283</v>
      </c>
      <c r="BO133">
        <v>1</v>
      </c>
      <c r="BP133" s="17"/>
      <c r="BQ133" s="17"/>
      <c r="BS133" s="17" t="s">
        <v>384</v>
      </c>
      <c r="BT133" s="17" t="s">
        <v>39</v>
      </c>
      <c r="BU133" s="17" t="s">
        <v>385</v>
      </c>
      <c r="BV133" s="17" t="s">
        <v>386</v>
      </c>
      <c r="BX133" s="61" t="s">
        <v>287</v>
      </c>
      <c r="BY133" s="62">
        <v>0</v>
      </c>
      <c r="BZ133" s="58"/>
      <c r="CA133" s="58"/>
      <c r="CC133" s="5" t="s">
        <v>319</v>
      </c>
      <c r="CD133">
        <v>1</v>
      </c>
      <c r="CR133" s="5" t="s">
        <v>350</v>
      </c>
      <c r="CS133">
        <v>0</v>
      </c>
      <c r="CW133" s="58" t="s">
        <v>382</v>
      </c>
      <c r="CX133" s="59" t="s">
        <v>629</v>
      </c>
      <c r="CY133" s="58"/>
      <c r="CZ133" s="58">
        <v>2016</v>
      </c>
    </row>
    <row r="134" spans="1:104" x14ac:dyDescent="0.25">
      <c r="A134" s="5" t="s">
        <v>64</v>
      </c>
      <c r="B134">
        <v>0</v>
      </c>
      <c r="C134" s="17"/>
      <c r="D134" s="1"/>
      <c r="K134" s="5" t="s">
        <v>82</v>
      </c>
      <c r="L134">
        <v>1</v>
      </c>
      <c r="M134" s="17"/>
      <c r="N134" s="17"/>
      <c r="P134" s="17" t="s">
        <v>383</v>
      </c>
      <c r="Q134" s="6" t="s">
        <v>30</v>
      </c>
      <c r="R134" s="17"/>
      <c r="S134" s="17"/>
      <c r="U134" s="26" t="s">
        <v>115</v>
      </c>
      <c r="V134">
        <v>2</v>
      </c>
      <c r="W134" s="17"/>
      <c r="X134" s="17"/>
      <c r="Z134" s="58" t="s">
        <v>383</v>
      </c>
      <c r="AA134" s="60" t="s">
        <v>6</v>
      </c>
      <c r="AB134" s="58"/>
      <c r="AC134" s="58"/>
      <c r="AE134" s="17" t="s">
        <v>382</v>
      </c>
      <c r="AF134" s="29" t="s">
        <v>366</v>
      </c>
      <c r="AG134" s="17"/>
      <c r="AH134" s="17">
        <v>2016</v>
      </c>
      <c r="AO134" s="5" t="s">
        <v>163</v>
      </c>
      <c r="AP134">
        <v>0</v>
      </c>
      <c r="AQ134" s="17"/>
      <c r="AR134" s="17"/>
      <c r="AT134" s="17" t="s">
        <v>383</v>
      </c>
      <c r="AU134" s="6" t="s">
        <v>19</v>
      </c>
      <c r="AV134" s="17"/>
      <c r="AW134" s="17"/>
      <c r="AY134" s="5" t="s">
        <v>219</v>
      </c>
      <c r="AZ134">
        <v>0</v>
      </c>
      <c r="BD134" s="5" t="s">
        <v>157</v>
      </c>
      <c r="BE134">
        <v>0</v>
      </c>
      <c r="BF134" s="17"/>
      <c r="BG134" s="17"/>
      <c r="BI134" s="5" t="s">
        <v>272</v>
      </c>
      <c r="BJ134">
        <v>0</v>
      </c>
      <c r="BN134" s="5" t="s">
        <v>285</v>
      </c>
      <c r="BO134">
        <v>0</v>
      </c>
      <c r="BP134" s="17"/>
      <c r="BQ134" s="17"/>
      <c r="BS134" s="5" t="s">
        <v>290</v>
      </c>
      <c r="BT134">
        <v>0</v>
      </c>
      <c r="BU134" s="30" t="s">
        <v>387</v>
      </c>
      <c r="BV134" s="17">
        <f>SUM(BT134:BT142)</f>
        <v>2</v>
      </c>
      <c r="BX134" s="61" t="s">
        <v>288</v>
      </c>
      <c r="BY134" s="62">
        <v>0</v>
      </c>
      <c r="BZ134" s="58"/>
      <c r="CA134" s="58"/>
      <c r="CC134" s="5" t="s">
        <v>320</v>
      </c>
      <c r="CD134">
        <v>2</v>
      </c>
      <c r="CH134" s="17" t="s">
        <v>382</v>
      </c>
      <c r="CI134" s="29" t="s">
        <v>443</v>
      </c>
      <c r="CJ134" s="17"/>
      <c r="CK134" s="17">
        <v>2016</v>
      </c>
      <c r="CR134" s="5" t="s">
        <v>351</v>
      </c>
      <c r="CS134">
        <v>1</v>
      </c>
      <c r="CW134" s="58" t="s">
        <v>383</v>
      </c>
      <c r="CX134" s="60" t="s">
        <v>95</v>
      </c>
      <c r="CY134" s="58"/>
      <c r="CZ134" s="58"/>
    </row>
    <row r="135" spans="1:104" x14ac:dyDescent="0.25">
      <c r="A135" s="5"/>
      <c r="B135" s="27"/>
      <c r="C135" s="17"/>
      <c r="D135" s="1"/>
      <c r="K135" s="5" t="s">
        <v>83</v>
      </c>
      <c r="L135">
        <v>0</v>
      </c>
      <c r="M135" s="17"/>
      <c r="N135" s="17"/>
      <c r="P135" s="17" t="s">
        <v>384</v>
      </c>
      <c r="Q135" s="17" t="s">
        <v>39</v>
      </c>
      <c r="R135" s="17" t="s">
        <v>385</v>
      </c>
      <c r="S135" s="17" t="s">
        <v>386</v>
      </c>
      <c r="U135" s="26" t="s">
        <v>116</v>
      </c>
      <c r="V135">
        <v>2</v>
      </c>
      <c r="W135" s="17"/>
      <c r="X135" s="1"/>
      <c r="Z135" s="58" t="s">
        <v>384</v>
      </c>
      <c r="AA135" s="58" t="s">
        <v>39</v>
      </c>
      <c r="AB135" s="58" t="s">
        <v>385</v>
      </c>
      <c r="AC135" s="58" t="s">
        <v>386</v>
      </c>
      <c r="AE135" s="17" t="s">
        <v>383</v>
      </c>
      <c r="AF135" s="6" t="s">
        <v>16</v>
      </c>
      <c r="AG135" s="17"/>
      <c r="AH135" s="17"/>
      <c r="AO135" s="5" t="s">
        <v>164</v>
      </c>
      <c r="AP135">
        <v>0</v>
      </c>
      <c r="AQ135" s="17"/>
      <c r="AR135" s="17"/>
      <c r="AT135" s="17" t="s">
        <v>384</v>
      </c>
      <c r="AU135" s="17" t="s">
        <v>39</v>
      </c>
      <c r="AV135" s="17" t="s">
        <v>385</v>
      </c>
      <c r="AW135" s="17" t="s">
        <v>386</v>
      </c>
      <c r="AY135" s="5" t="s">
        <v>220</v>
      </c>
      <c r="AZ135">
        <v>0</v>
      </c>
      <c r="BD135" s="5" t="s">
        <v>235</v>
      </c>
      <c r="BE135">
        <v>0</v>
      </c>
      <c r="BF135" s="17"/>
      <c r="BG135" s="17"/>
      <c r="BI135" s="5" t="s">
        <v>273</v>
      </c>
      <c r="BJ135">
        <v>0</v>
      </c>
      <c r="BN135" s="5" t="s">
        <v>284</v>
      </c>
      <c r="BO135">
        <v>0</v>
      </c>
      <c r="BP135" s="17"/>
      <c r="BQ135" s="17"/>
      <c r="BS135" s="5" t="s">
        <v>291</v>
      </c>
      <c r="BT135">
        <v>0</v>
      </c>
      <c r="BU135" s="30" t="s">
        <v>388</v>
      </c>
      <c r="BV135" s="17">
        <f>MIN(BT134:BT142)</f>
        <v>0</v>
      </c>
      <c r="BX135" s="61" t="s">
        <v>289</v>
      </c>
      <c r="BY135" s="62">
        <v>0</v>
      </c>
      <c r="BZ135" s="58"/>
      <c r="CA135" s="58"/>
      <c r="CH135" s="17" t="s">
        <v>383</v>
      </c>
      <c r="CI135" s="6" t="s">
        <v>32</v>
      </c>
      <c r="CJ135" s="17"/>
      <c r="CK135" s="17"/>
      <c r="CR135" s="5" t="s">
        <v>352</v>
      </c>
      <c r="CS135">
        <v>1</v>
      </c>
      <c r="CW135" s="58" t="s">
        <v>384</v>
      </c>
      <c r="CX135" s="58" t="s">
        <v>39</v>
      </c>
      <c r="CY135" s="58" t="s">
        <v>385</v>
      </c>
      <c r="CZ135" s="58" t="s">
        <v>386</v>
      </c>
    </row>
    <row r="136" spans="1:104" x14ac:dyDescent="0.25">
      <c r="A136" s="17" t="s">
        <v>382</v>
      </c>
      <c r="B136" s="29" t="s">
        <v>361</v>
      </c>
      <c r="C136" s="17"/>
      <c r="D136" s="17">
        <v>2016</v>
      </c>
      <c r="K136" s="5" t="s">
        <v>84</v>
      </c>
      <c r="L136">
        <v>0</v>
      </c>
      <c r="M136" s="17"/>
      <c r="N136" s="17"/>
      <c r="P136" s="5" t="s">
        <v>88</v>
      </c>
      <c r="Q136">
        <v>0</v>
      </c>
      <c r="R136" s="30" t="s">
        <v>387</v>
      </c>
      <c r="S136" s="17">
        <f>SUM(Q136:Q142)</f>
        <v>1</v>
      </c>
      <c r="U136" s="26" t="s">
        <v>117</v>
      </c>
      <c r="V136">
        <v>2</v>
      </c>
      <c r="W136" s="17"/>
      <c r="X136" s="1"/>
      <c r="Z136" s="61" t="s">
        <v>88</v>
      </c>
      <c r="AA136" s="62">
        <v>4</v>
      </c>
      <c r="AB136" s="63" t="s">
        <v>387</v>
      </c>
      <c r="AC136" s="58">
        <f>SUM(AA136:AA175)</f>
        <v>59</v>
      </c>
      <c r="AE136" s="17" t="s">
        <v>384</v>
      </c>
      <c r="AF136" s="17" t="s">
        <v>39</v>
      </c>
      <c r="AG136" s="17" t="s">
        <v>385</v>
      </c>
      <c r="AH136" s="17" t="s">
        <v>386</v>
      </c>
      <c r="AO136" s="5" t="s">
        <v>165</v>
      </c>
      <c r="AP136">
        <v>0</v>
      </c>
      <c r="AQ136" s="17"/>
      <c r="AR136" s="17"/>
      <c r="AT136" s="5" t="s">
        <v>175</v>
      </c>
      <c r="AU136">
        <v>6</v>
      </c>
      <c r="AV136" s="30" t="s">
        <v>387</v>
      </c>
      <c r="AW136" s="17">
        <f>SUM(AU136:AU153)</f>
        <v>99</v>
      </c>
      <c r="BD136" s="5" t="s">
        <v>236</v>
      </c>
      <c r="BE136">
        <v>0</v>
      </c>
      <c r="BF136" s="17"/>
      <c r="BG136" s="17"/>
      <c r="BN136" s="5" t="s">
        <v>286</v>
      </c>
      <c r="BO136">
        <v>0</v>
      </c>
      <c r="BP136" s="17"/>
      <c r="BQ136" s="17"/>
      <c r="BS136" s="5" t="s">
        <v>292</v>
      </c>
      <c r="BT136">
        <v>1</v>
      </c>
      <c r="BU136" s="30" t="s">
        <v>389</v>
      </c>
      <c r="BV136" s="17">
        <f>MAX(BT134:BT142)</f>
        <v>1</v>
      </c>
      <c r="BX136" s="61" t="s">
        <v>290</v>
      </c>
      <c r="BY136" s="62">
        <v>0</v>
      </c>
      <c r="CC136" s="17" t="s">
        <v>382</v>
      </c>
      <c r="CD136" s="29" t="s">
        <v>375</v>
      </c>
      <c r="CE136" s="17"/>
      <c r="CF136" s="17">
        <v>2016</v>
      </c>
      <c r="CH136" s="17" t="s">
        <v>384</v>
      </c>
      <c r="CI136" s="17" t="s">
        <v>39</v>
      </c>
      <c r="CJ136" s="17" t="s">
        <v>385</v>
      </c>
      <c r="CK136" s="17" t="s">
        <v>386</v>
      </c>
      <c r="CR136" s="5" t="s">
        <v>353</v>
      </c>
      <c r="CS136">
        <v>0</v>
      </c>
      <c r="CW136" s="61" t="s">
        <v>321</v>
      </c>
      <c r="CX136" s="62">
        <v>0</v>
      </c>
      <c r="CY136" s="63" t="s">
        <v>387</v>
      </c>
      <c r="CZ136" s="58">
        <f>SUM(CX136:CX175)</f>
        <v>1</v>
      </c>
    </row>
    <row r="137" spans="1:104" x14ac:dyDescent="0.25">
      <c r="A137" s="17" t="s">
        <v>383</v>
      </c>
      <c r="B137" s="6" t="s">
        <v>59</v>
      </c>
      <c r="C137" s="17"/>
      <c r="D137" s="17"/>
      <c r="K137" s="5" t="s">
        <v>85</v>
      </c>
      <c r="L137">
        <v>0</v>
      </c>
      <c r="M137" s="17"/>
      <c r="N137" s="17"/>
      <c r="P137" s="5" t="s">
        <v>89</v>
      </c>
      <c r="Q137">
        <v>0</v>
      </c>
      <c r="R137" s="30" t="s">
        <v>388</v>
      </c>
      <c r="S137" s="17">
        <f>MIN(Q136:Q142)</f>
        <v>0</v>
      </c>
      <c r="U137" s="26" t="s">
        <v>118</v>
      </c>
      <c r="V137">
        <v>1</v>
      </c>
      <c r="W137" s="17"/>
      <c r="X137" s="1"/>
      <c r="Z137" s="61" t="s">
        <v>89</v>
      </c>
      <c r="AA137" s="62">
        <v>1</v>
      </c>
      <c r="AB137" s="63" t="s">
        <v>388</v>
      </c>
      <c r="AC137" s="58">
        <f>MIN(AA136:AA175)</f>
        <v>0</v>
      </c>
      <c r="AE137" s="5" t="s">
        <v>129</v>
      </c>
      <c r="AF137">
        <v>0</v>
      </c>
      <c r="AG137" s="30" t="s">
        <v>387</v>
      </c>
      <c r="AH137" s="17">
        <f>SUM(AF137:AF151)</f>
        <v>1</v>
      </c>
      <c r="AO137" s="5" t="s">
        <v>166</v>
      </c>
      <c r="AP137">
        <v>0</v>
      </c>
      <c r="AQ137" s="15"/>
      <c r="AR137" s="15"/>
      <c r="AT137" s="5" t="s">
        <v>176</v>
      </c>
      <c r="AU137">
        <v>4</v>
      </c>
      <c r="AV137" s="30" t="s">
        <v>388</v>
      </c>
      <c r="AW137" s="17">
        <f>MIN(AU136:AU153)</f>
        <v>0</v>
      </c>
      <c r="AY137" s="17" t="s">
        <v>382</v>
      </c>
      <c r="AZ137" s="29" t="s">
        <v>370</v>
      </c>
      <c r="BA137" s="17"/>
      <c r="BB137" s="17">
        <v>2016</v>
      </c>
      <c r="BD137" s="5" t="s">
        <v>237</v>
      </c>
      <c r="BE137">
        <v>0</v>
      </c>
      <c r="BF137" s="15"/>
      <c r="BG137" s="15"/>
      <c r="BI137" s="17" t="s">
        <v>382</v>
      </c>
      <c r="BJ137" s="29" t="s">
        <v>372</v>
      </c>
      <c r="BK137" s="17"/>
      <c r="BL137" s="17">
        <v>2016</v>
      </c>
      <c r="BN137" s="5" t="s">
        <v>287</v>
      </c>
      <c r="BO137">
        <v>0</v>
      </c>
      <c r="BP137" s="17"/>
      <c r="BQ137" s="17"/>
      <c r="BS137" s="5" t="s">
        <v>293</v>
      </c>
      <c r="BT137">
        <v>1</v>
      </c>
      <c r="BU137" s="30" t="s">
        <v>390</v>
      </c>
      <c r="BV137" s="17">
        <f>VAR(BT134:BT142)</f>
        <v>0.19444444444444445</v>
      </c>
      <c r="BX137" s="61" t="s">
        <v>291</v>
      </c>
      <c r="BY137" s="62">
        <v>0</v>
      </c>
      <c r="CC137" s="17" t="s">
        <v>383</v>
      </c>
      <c r="CD137" s="6" t="s">
        <v>11</v>
      </c>
      <c r="CE137" s="17"/>
      <c r="CF137" s="17"/>
      <c r="CH137" s="5" t="s">
        <v>321</v>
      </c>
      <c r="CI137">
        <v>3</v>
      </c>
      <c r="CJ137" s="30" t="s">
        <v>387</v>
      </c>
      <c r="CK137" s="17">
        <f>SUM(CI137:CI143)</f>
        <v>93</v>
      </c>
      <c r="CR137" s="5" t="s">
        <v>354</v>
      </c>
      <c r="CS137">
        <v>0</v>
      </c>
      <c r="CW137" s="61" t="s">
        <v>322</v>
      </c>
      <c r="CX137" s="62">
        <v>0</v>
      </c>
      <c r="CY137" s="63" t="s">
        <v>388</v>
      </c>
      <c r="CZ137" s="58">
        <f>MIN(CX136:CX175)</f>
        <v>0</v>
      </c>
    </row>
    <row r="138" spans="1:104" x14ac:dyDescent="0.25">
      <c r="A138" s="17" t="s">
        <v>384</v>
      </c>
      <c r="B138" s="17" t="s">
        <v>39</v>
      </c>
      <c r="C138" s="17" t="s">
        <v>385</v>
      </c>
      <c r="D138" s="17" t="s">
        <v>386</v>
      </c>
      <c r="K138" s="5" t="s">
        <v>86</v>
      </c>
      <c r="L138">
        <v>0</v>
      </c>
      <c r="M138" s="17"/>
      <c r="N138" s="17"/>
      <c r="P138" s="5" t="s">
        <v>90</v>
      </c>
      <c r="Q138">
        <v>0</v>
      </c>
      <c r="R138" s="30" t="s">
        <v>389</v>
      </c>
      <c r="S138" s="17">
        <f>MAX(Q136:Q142)</f>
        <v>1</v>
      </c>
      <c r="U138" s="26" t="s">
        <v>119</v>
      </c>
      <c r="V138">
        <v>0</v>
      </c>
      <c r="Z138" s="61" t="s">
        <v>90</v>
      </c>
      <c r="AA138" s="62">
        <v>0</v>
      </c>
      <c r="AB138" s="63" t="s">
        <v>389</v>
      </c>
      <c r="AC138" s="58">
        <f>MAX(AA136:AA175)</f>
        <v>6</v>
      </c>
      <c r="AE138" s="5" t="s">
        <v>130</v>
      </c>
      <c r="AF138">
        <v>0</v>
      </c>
      <c r="AG138" s="30" t="s">
        <v>388</v>
      </c>
      <c r="AH138" s="17">
        <f>MIN(AF137:AF151)</f>
        <v>0</v>
      </c>
      <c r="AO138" s="5" t="s">
        <v>168</v>
      </c>
      <c r="AP138">
        <v>0</v>
      </c>
      <c r="AQ138" s="17"/>
      <c r="AR138" s="17"/>
      <c r="AT138" s="5" t="s">
        <v>177</v>
      </c>
      <c r="AU138">
        <v>4</v>
      </c>
      <c r="AV138" s="30" t="s">
        <v>389</v>
      </c>
      <c r="AW138" s="17">
        <f>MAX(AU136:AU153)</f>
        <v>13</v>
      </c>
      <c r="AY138" s="17" t="s">
        <v>383</v>
      </c>
      <c r="AZ138" s="6" t="s">
        <v>11</v>
      </c>
      <c r="BA138" s="17"/>
      <c r="BB138" s="17"/>
      <c r="BD138" s="5" t="s">
        <v>238</v>
      </c>
      <c r="BE138">
        <v>1</v>
      </c>
      <c r="BI138" s="17" t="s">
        <v>383</v>
      </c>
      <c r="BJ138" s="6" t="s">
        <v>9</v>
      </c>
      <c r="BK138" s="17"/>
      <c r="BL138" s="17"/>
      <c r="BN138" s="5" t="s">
        <v>288</v>
      </c>
      <c r="BO138">
        <v>0</v>
      </c>
      <c r="BP138" s="17"/>
      <c r="BQ138" s="17"/>
      <c r="BS138" s="5" t="s">
        <v>294</v>
      </c>
      <c r="BT138">
        <v>0</v>
      </c>
      <c r="BU138" s="30" t="s">
        <v>391</v>
      </c>
      <c r="BV138" s="17">
        <f>AVERAGE(BT134:BT142)</f>
        <v>0.22222222222222221</v>
      </c>
      <c r="BX138" s="61" t="s">
        <v>292</v>
      </c>
      <c r="BY138" s="62">
        <v>1</v>
      </c>
      <c r="CC138" s="17" t="s">
        <v>384</v>
      </c>
      <c r="CD138" s="17" t="s">
        <v>39</v>
      </c>
      <c r="CE138" s="17" t="s">
        <v>385</v>
      </c>
      <c r="CF138" s="17" t="s">
        <v>386</v>
      </c>
      <c r="CH138" s="5" t="s">
        <v>322</v>
      </c>
      <c r="CI138">
        <v>4</v>
      </c>
      <c r="CJ138" s="30" t="s">
        <v>388</v>
      </c>
      <c r="CK138" s="17">
        <f>MIN(CI137:CI143)</f>
        <v>3</v>
      </c>
      <c r="CR138" s="5" t="s">
        <v>355</v>
      </c>
      <c r="CS138">
        <v>0</v>
      </c>
      <c r="CW138" s="61" t="s">
        <v>323</v>
      </c>
      <c r="CX138" s="62">
        <v>0</v>
      </c>
      <c r="CY138" s="63" t="s">
        <v>389</v>
      </c>
      <c r="CZ138" s="58">
        <f>MAX(CX136:CX175)</f>
        <v>1</v>
      </c>
    </row>
    <row r="139" spans="1:104" x14ac:dyDescent="0.25">
      <c r="A139" s="5" t="s">
        <v>40</v>
      </c>
      <c r="B139">
        <v>0</v>
      </c>
      <c r="C139" s="30" t="s">
        <v>387</v>
      </c>
      <c r="D139" s="17">
        <f>SUM(B139:B161)</f>
        <v>2</v>
      </c>
      <c r="K139" s="5" t="s">
        <v>87</v>
      </c>
      <c r="L139">
        <v>0</v>
      </c>
      <c r="M139" s="17"/>
      <c r="N139" s="17"/>
      <c r="P139" s="5" t="s">
        <v>91</v>
      </c>
      <c r="Q139">
        <v>0</v>
      </c>
      <c r="R139" s="30" t="s">
        <v>390</v>
      </c>
      <c r="S139" s="17">
        <f>VAR(Q136:Q142)</f>
        <v>0.14285714285714288</v>
      </c>
      <c r="U139" s="5" t="s">
        <v>120</v>
      </c>
      <c r="V139">
        <v>1</v>
      </c>
      <c r="Z139" s="61" t="s">
        <v>91</v>
      </c>
      <c r="AA139" s="62">
        <v>0</v>
      </c>
      <c r="AB139" s="63" t="s">
        <v>390</v>
      </c>
      <c r="AC139" s="58">
        <f>VAR(AA136:AA175)</f>
        <v>2.3070512820512818</v>
      </c>
      <c r="AE139" s="5" t="s">
        <v>131</v>
      </c>
      <c r="AF139">
        <v>0</v>
      </c>
      <c r="AG139" s="30" t="s">
        <v>389</v>
      </c>
      <c r="AH139" s="17">
        <f>MAX(AF137:AF151)</f>
        <v>1</v>
      </c>
      <c r="AO139" s="5" t="s">
        <v>169</v>
      </c>
      <c r="AP139">
        <v>0</v>
      </c>
      <c r="AQ139" s="17"/>
      <c r="AR139" s="17"/>
      <c r="AT139" s="5" t="s">
        <v>178</v>
      </c>
      <c r="AU139">
        <v>11</v>
      </c>
      <c r="AV139" s="30" t="s">
        <v>390</v>
      </c>
      <c r="AW139" s="17">
        <f>VAR(AU136:AU153)</f>
        <v>15.441176470588236</v>
      </c>
      <c r="AY139" s="17" t="s">
        <v>384</v>
      </c>
      <c r="AZ139" s="17" t="s">
        <v>39</v>
      </c>
      <c r="BA139" s="17" t="s">
        <v>385</v>
      </c>
      <c r="BB139" s="17" t="s">
        <v>386</v>
      </c>
      <c r="BD139" s="5" t="s">
        <v>239</v>
      </c>
      <c r="BE139">
        <v>0</v>
      </c>
      <c r="BI139" s="17" t="s">
        <v>384</v>
      </c>
      <c r="BJ139" s="17" t="s">
        <v>39</v>
      </c>
      <c r="BK139" s="17" t="s">
        <v>385</v>
      </c>
      <c r="BL139" s="17" t="s">
        <v>386</v>
      </c>
      <c r="BN139" s="5" t="s">
        <v>289</v>
      </c>
      <c r="BO139">
        <v>0</v>
      </c>
      <c r="BP139" s="17"/>
      <c r="BQ139" s="17"/>
      <c r="BS139" s="5" t="s">
        <v>295</v>
      </c>
      <c r="BT139">
        <v>0</v>
      </c>
      <c r="BU139" s="30" t="s">
        <v>392</v>
      </c>
      <c r="BV139" s="17">
        <f>STDEV(BT134:BT142)</f>
        <v>0.44095855184409843</v>
      </c>
      <c r="BX139" s="61" t="s">
        <v>293</v>
      </c>
      <c r="BY139" s="62">
        <v>0</v>
      </c>
      <c r="CC139" s="5" t="s">
        <v>299</v>
      </c>
      <c r="CD139">
        <v>0</v>
      </c>
      <c r="CE139" s="30" t="s">
        <v>387</v>
      </c>
      <c r="CF139" s="17">
        <f>SUM(CD139:CD161)</f>
        <v>1</v>
      </c>
      <c r="CH139" s="5" t="s">
        <v>323</v>
      </c>
      <c r="CI139">
        <v>27</v>
      </c>
      <c r="CJ139" s="30" t="s">
        <v>389</v>
      </c>
      <c r="CK139" s="17">
        <f>MAX(CI137:CI143)</f>
        <v>28</v>
      </c>
      <c r="CR139" s="2" t="s">
        <v>356</v>
      </c>
      <c r="CS139">
        <v>0</v>
      </c>
      <c r="CW139" s="61" t="s">
        <v>324</v>
      </c>
      <c r="CX139" s="62">
        <v>1</v>
      </c>
      <c r="CY139" s="63" t="s">
        <v>390</v>
      </c>
      <c r="CZ139" s="58">
        <f>VAR(CX136:CX175)</f>
        <v>2.4999999999999998E-2</v>
      </c>
    </row>
    <row r="140" spans="1:104" x14ac:dyDescent="0.25">
      <c r="A140" s="5" t="s">
        <v>41</v>
      </c>
      <c r="B140">
        <v>0</v>
      </c>
      <c r="C140" s="30" t="s">
        <v>388</v>
      </c>
      <c r="D140" s="17">
        <f>MIN(B139:B161)</f>
        <v>0</v>
      </c>
      <c r="P140" s="5" t="s">
        <v>92</v>
      </c>
      <c r="Q140">
        <v>1</v>
      </c>
      <c r="R140" s="30" t="s">
        <v>391</v>
      </c>
      <c r="S140" s="17">
        <f>AVERAGE(Q136:Q142)</f>
        <v>0.14285714285714285</v>
      </c>
      <c r="U140" s="5" t="s">
        <v>121</v>
      </c>
      <c r="V140">
        <v>0</v>
      </c>
      <c r="Z140" s="61" t="s">
        <v>92</v>
      </c>
      <c r="AA140" s="62">
        <v>1</v>
      </c>
      <c r="AB140" s="63" t="s">
        <v>391</v>
      </c>
      <c r="AC140" s="58">
        <f>AVERAGE(AA136:AA175)</f>
        <v>1.4750000000000001</v>
      </c>
      <c r="AE140" s="5" t="s">
        <v>132</v>
      </c>
      <c r="AF140">
        <v>0</v>
      </c>
      <c r="AG140" s="30" t="s">
        <v>390</v>
      </c>
      <c r="AH140" s="17">
        <f>VAR(AF137:AF151)</f>
        <v>6.6666666666666666E-2</v>
      </c>
      <c r="AO140" s="5" t="s">
        <v>170</v>
      </c>
      <c r="AP140">
        <v>0</v>
      </c>
      <c r="AQ140" s="17"/>
      <c r="AR140" s="1"/>
      <c r="AT140" s="5" t="s">
        <v>179</v>
      </c>
      <c r="AU140">
        <v>3</v>
      </c>
      <c r="AV140" s="30" t="s">
        <v>391</v>
      </c>
      <c r="AW140" s="17">
        <f>AVERAGE(AU136:AU153)</f>
        <v>5.5</v>
      </c>
      <c r="AY140" s="5" t="s">
        <v>192</v>
      </c>
      <c r="AZ140">
        <v>0</v>
      </c>
      <c r="BA140" s="30" t="s">
        <v>387</v>
      </c>
      <c r="BB140" s="17">
        <f>SUM(AZ140:AZ169)</f>
        <v>2</v>
      </c>
      <c r="BD140" s="5" t="s">
        <v>240</v>
      </c>
      <c r="BE140">
        <v>0</v>
      </c>
      <c r="BI140" s="5" t="s">
        <v>245</v>
      </c>
      <c r="BJ140">
        <v>1</v>
      </c>
      <c r="BK140" s="30" t="s">
        <v>387</v>
      </c>
      <c r="BL140" s="17">
        <f>SUM(BJ140:BJ169)</f>
        <v>10</v>
      </c>
      <c r="BS140" s="5" t="s">
        <v>296</v>
      </c>
      <c r="BT140">
        <v>0</v>
      </c>
      <c r="BU140" s="17"/>
      <c r="BV140" s="17"/>
      <c r="BX140" s="61" t="s">
        <v>294</v>
      </c>
      <c r="BY140" s="62">
        <v>0</v>
      </c>
      <c r="CC140" s="5" t="s">
        <v>300</v>
      </c>
      <c r="CD140">
        <v>0</v>
      </c>
      <c r="CE140" s="30" t="s">
        <v>388</v>
      </c>
      <c r="CF140" s="17">
        <f>MIN(CD139:CD161)</f>
        <v>0</v>
      </c>
      <c r="CH140" s="5" t="s">
        <v>324</v>
      </c>
      <c r="CI140">
        <v>28</v>
      </c>
      <c r="CJ140" s="30" t="s">
        <v>390</v>
      </c>
      <c r="CK140" s="17">
        <f>VAR(CI137:CI143)</f>
        <v>104.57142857142856</v>
      </c>
      <c r="CR140" s="2" t="s">
        <v>357</v>
      </c>
      <c r="CS140">
        <v>0</v>
      </c>
      <c r="CW140" s="61" t="s">
        <v>325</v>
      </c>
      <c r="CX140" s="62">
        <v>0</v>
      </c>
      <c r="CY140" s="63" t="s">
        <v>391</v>
      </c>
      <c r="CZ140" s="58">
        <f>AVERAGE(CX136:CX175)</f>
        <v>2.5000000000000001E-2</v>
      </c>
    </row>
    <row r="141" spans="1:104" x14ac:dyDescent="0.25">
      <c r="A141" s="5" t="s">
        <v>42</v>
      </c>
      <c r="B141">
        <v>0</v>
      </c>
      <c r="C141" s="30" t="s">
        <v>389</v>
      </c>
      <c r="D141" s="17">
        <f>MAX(B139:B161)</f>
        <v>1</v>
      </c>
      <c r="K141" s="17" t="s">
        <v>382</v>
      </c>
      <c r="L141" s="29" t="s">
        <v>363</v>
      </c>
      <c r="M141" s="17"/>
      <c r="N141" s="17">
        <v>2016</v>
      </c>
      <c r="P141" s="5" t="s">
        <v>93</v>
      </c>
      <c r="Q141">
        <v>0</v>
      </c>
      <c r="R141" s="30" t="s">
        <v>392</v>
      </c>
      <c r="S141" s="17">
        <f>STDEV(Q136:Q142)</f>
        <v>0.37796447300922725</v>
      </c>
      <c r="U141" s="5" t="s">
        <v>122</v>
      </c>
      <c r="V141">
        <v>1</v>
      </c>
      <c r="Z141" s="61" t="s">
        <v>93</v>
      </c>
      <c r="AA141" s="62">
        <v>2</v>
      </c>
      <c r="AB141" s="63" t="s">
        <v>392</v>
      </c>
      <c r="AC141" s="58">
        <f>STDEV(AA136:AA175)</f>
        <v>1.5188980486034216</v>
      </c>
      <c r="AE141" s="5" t="s">
        <v>133</v>
      </c>
      <c r="AF141">
        <v>0</v>
      </c>
      <c r="AG141" s="30" t="s">
        <v>391</v>
      </c>
      <c r="AH141" s="17">
        <f>AVERAGE(AF137:AF151)</f>
        <v>6.6666666666666666E-2</v>
      </c>
      <c r="AO141" s="5" t="s">
        <v>171</v>
      </c>
      <c r="AP141">
        <v>0</v>
      </c>
      <c r="AQ141" s="17"/>
      <c r="AR141" s="1"/>
      <c r="AT141" s="5" t="s">
        <v>180</v>
      </c>
      <c r="AU141">
        <v>0</v>
      </c>
      <c r="AV141" s="30" t="s">
        <v>392</v>
      </c>
      <c r="AW141" s="17">
        <f>STDEV(AU136:AU153)</f>
        <v>3.9295262399668789</v>
      </c>
      <c r="AY141" s="5" t="s">
        <v>193</v>
      </c>
      <c r="AZ141">
        <v>0</v>
      </c>
      <c r="BA141" s="30" t="s">
        <v>388</v>
      </c>
      <c r="BB141" s="17">
        <f>MIN(AZ140:AZ169)</f>
        <v>0</v>
      </c>
      <c r="BD141" s="5" t="s">
        <v>241</v>
      </c>
      <c r="BE141">
        <v>0</v>
      </c>
      <c r="BI141" s="5" t="s">
        <v>73</v>
      </c>
      <c r="BJ141">
        <v>0</v>
      </c>
      <c r="BK141" s="30" t="s">
        <v>388</v>
      </c>
      <c r="BL141" s="17">
        <f>MIN(BJ140:BJ169)</f>
        <v>0</v>
      </c>
      <c r="BN141" s="17" t="s">
        <v>382</v>
      </c>
      <c r="BO141" s="29" t="s">
        <v>440</v>
      </c>
      <c r="BP141" s="17"/>
      <c r="BQ141" s="17">
        <v>2016</v>
      </c>
      <c r="BS141" s="5" t="s">
        <v>297</v>
      </c>
      <c r="BT141">
        <v>0</v>
      </c>
      <c r="BU141" s="17"/>
      <c r="BV141" s="17"/>
      <c r="BX141" s="61" t="s">
        <v>295</v>
      </c>
      <c r="BY141" s="62">
        <v>0</v>
      </c>
      <c r="CC141" s="5" t="s">
        <v>301</v>
      </c>
      <c r="CD141">
        <v>1</v>
      </c>
      <c r="CE141" s="30" t="s">
        <v>389</v>
      </c>
      <c r="CF141" s="17">
        <f>MAX(CD139:CD161)</f>
        <v>1</v>
      </c>
      <c r="CH141" s="5" t="s">
        <v>325</v>
      </c>
      <c r="CI141">
        <v>10</v>
      </c>
      <c r="CJ141" s="30" t="s">
        <v>391</v>
      </c>
      <c r="CK141" s="17">
        <f>AVERAGE(CI137:CI143)</f>
        <v>13.285714285714286</v>
      </c>
      <c r="CR141" s="2" t="s">
        <v>358</v>
      </c>
      <c r="CS141">
        <v>0</v>
      </c>
      <c r="CW141" s="61" t="s">
        <v>326</v>
      </c>
      <c r="CX141" s="62">
        <v>0</v>
      </c>
      <c r="CY141" s="63" t="s">
        <v>392</v>
      </c>
      <c r="CZ141" s="58">
        <f>STDEV(CX136:CX175)</f>
        <v>0.15811388300841897</v>
      </c>
    </row>
    <row r="142" spans="1:104" x14ac:dyDescent="0.25">
      <c r="A142" s="5" t="s">
        <v>43</v>
      </c>
      <c r="B142">
        <v>0</v>
      </c>
      <c r="C142" s="30" t="s">
        <v>390</v>
      </c>
      <c r="D142" s="17">
        <f>VAR(B139:B161)</f>
        <v>8.3003952569169967E-2</v>
      </c>
      <c r="K142" s="17" t="s">
        <v>383</v>
      </c>
      <c r="L142" s="6" t="s">
        <v>21</v>
      </c>
      <c r="M142" s="17"/>
      <c r="N142" s="17"/>
      <c r="P142" s="5" t="s">
        <v>94</v>
      </c>
      <c r="Q142">
        <v>0</v>
      </c>
      <c r="R142" s="17"/>
      <c r="S142" s="17"/>
      <c r="U142" s="5" t="s">
        <v>123</v>
      </c>
      <c r="V142">
        <v>2</v>
      </c>
      <c r="Z142" s="61" t="s">
        <v>94</v>
      </c>
      <c r="AA142" s="62">
        <v>0</v>
      </c>
      <c r="AB142" s="58"/>
      <c r="AC142" s="58"/>
      <c r="AE142" s="5" t="s">
        <v>134</v>
      </c>
      <c r="AF142">
        <v>0</v>
      </c>
      <c r="AG142" s="30" t="s">
        <v>392</v>
      </c>
      <c r="AH142" s="17">
        <f>STDEV(AF137:AF151)</f>
        <v>0.2581988897471611</v>
      </c>
      <c r="AO142" s="5" t="s">
        <v>172</v>
      </c>
      <c r="AP142">
        <v>0</v>
      </c>
      <c r="AQ142" s="17"/>
      <c r="AR142" s="1"/>
      <c r="AT142" s="5" t="s">
        <v>181</v>
      </c>
      <c r="AU142">
        <v>8</v>
      </c>
      <c r="AV142" s="17"/>
      <c r="AW142" s="17"/>
      <c r="AY142" s="5" t="s">
        <v>194</v>
      </c>
      <c r="AZ142">
        <v>0</v>
      </c>
      <c r="BA142" s="30" t="s">
        <v>389</v>
      </c>
      <c r="BB142" s="17">
        <f>MAX(AZ140:AZ169)</f>
        <v>1</v>
      </c>
      <c r="BD142" s="5" t="s">
        <v>242</v>
      </c>
      <c r="BE142">
        <v>0</v>
      </c>
      <c r="BI142" s="5" t="s">
        <v>246</v>
      </c>
      <c r="BJ142">
        <v>0</v>
      </c>
      <c r="BK142" s="30" t="s">
        <v>389</v>
      </c>
      <c r="BL142" s="17">
        <f>MAX(BJ140:BJ169)</f>
        <v>3</v>
      </c>
      <c r="BN142" s="17" t="s">
        <v>383</v>
      </c>
      <c r="BO142" s="6" t="s">
        <v>19</v>
      </c>
      <c r="BP142" s="17"/>
      <c r="BQ142" s="17"/>
      <c r="BS142" s="5" t="s">
        <v>298</v>
      </c>
      <c r="BT142">
        <v>0</v>
      </c>
      <c r="BU142" s="17"/>
      <c r="BV142" s="17"/>
      <c r="BX142" s="61" t="s">
        <v>296</v>
      </c>
      <c r="BY142" s="62">
        <v>0</v>
      </c>
      <c r="CC142" s="5" t="s">
        <v>302</v>
      </c>
      <c r="CD142">
        <v>0</v>
      </c>
      <c r="CE142" s="30" t="s">
        <v>390</v>
      </c>
      <c r="CF142" s="17">
        <f>VAR(CD139:CD161)</f>
        <v>4.3478260869565216E-2</v>
      </c>
      <c r="CH142" s="5" t="s">
        <v>326</v>
      </c>
      <c r="CI142">
        <v>9</v>
      </c>
      <c r="CJ142" s="30" t="s">
        <v>392</v>
      </c>
      <c r="CK142" s="17">
        <f>STDEV(CI137:CI143)</f>
        <v>10.22601723895616</v>
      </c>
      <c r="CR142" s="3" t="s">
        <v>359</v>
      </c>
      <c r="CS142">
        <v>0</v>
      </c>
      <c r="CW142" s="61" t="s">
        <v>327</v>
      </c>
      <c r="CX142" s="62">
        <v>0</v>
      </c>
      <c r="CY142" s="58"/>
      <c r="CZ142" s="58"/>
    </row>
    <row r="143" spans="1:104" x14ac:dyDescent="0.25">
      <c r="A143" s="5" t="s">
        <v>44</v>
      </c>
      <c r="B143">
        <v>0</v>
      </c>
      <c r="C143" s="30" t="s">
        <v>391</v>
      </c>
      <c r="D143" s="17">
        <f>AVERAGE(B139:B161)</f>
        <v>8.6956521739130432E-2</v>
      </c>
      <c r="K143" s="17" t="s">
        <v>384</v>
      </c>
      <c r="L143" s="17" t="s">
        <v>39</v>
      </c>
      <c r="M143" s="17" t="s">
        <v>385</v>
      </c>
      <c r="N143" s="17" t="s">
        <v>386</v>
      </c>
      <c r="U143" s="5" t="s">
        <v>124</v>
      </c>
      <c r="V143">
        <v>4</v>
      </c>
      <c r="Z143" s="61" t="s">
        <v>96</v>
      </c>
      <c r="AA143" s="62">
        <v>0</v>
      </c>
      <c r="AE143" s="5" t="s">
        <v>135</v>
      </c>
      <c r="AF143">
        <v>0</v>
      </c>
      <c r="AG143" s="17"/>
      <c r="AH143" s="17"/>
      <c r="AO143" s="5" t="s">
        <v>173</v>
      </c>
      <c r="AP143">
        <v>0</v>
      </c>
      <c r="AT143" s="5" t="s">
        <v>182</v>
      </c>
      <c r="AU143">
        <v>6</v>
      </c>
      <c r="AV143" s="17"/>
      <c r="AW143" s="17"/>
      <c r="AY143" s="5" t="s">
        <v>195</v>
      </c>
      <c r="AZ143">
        <v>0</v>
      </c>
      <c r="BA143" s="30" t="s">
        <v>390</v>
      </c>
      <c r="BB143" s="17">
        <f>VAR(AZ140:AZ169)</f>
        <v>6.4367816091954022E-2</v>
      </c>
      <c r="BD143" s="5" t="s">
        <v>243</v>
      </c>
      <c r="BE143">
        <v>0</v>
      </c>
      <c r="BI143" s="5" t="s">
        <v>247</v>
      </c>
      <c r="BJ143">
        <v>0</v>
      </c>
      <c r="BK143" s="30" t="s">
        <v>390</v>
      </c>
      <c r="BL143" s="17">
        <f>VAR(BJ140:BJ169)</f>
        <v>0.43678160919540227</v>
      </c>
      <c r="BN143" s="17" t="s">
        <v>384</v>
      </c>
      <c r="BO143" s="17" t="s">
        <v>39</v>
      </c>
      <c r="BP143" s="17" t="s">
        <v>385</v>
      </c>
      <c r="BQ143" s="17" t="s">
        <v>386</v>
      </c>
      <c r="BX143" s="61" t="s">
        <v>297</v>
      </c>
      <c r="BY143" s="62">
        <v>0</v>
      </c>
      <c r="CC143" s="5" t="s">
        <v>303</v>
      </c>
      <c r="CD143">
        <v>0</v>
      </c>
      <c r="CE143" s="30" t="s">
        <v>391</v>
      </c>
      <c r="CF143" s="17">
        <f>AVERAGE(CD139:CD161)</f>
        <v>4.3478260869565216E-2</v>
      </c>
      <c r="CH143" s="5" t="s">
        <v>327</v>
      </c>
      <c r="CI143">
        <v>12</v>
      </c>
      <c r="CJ143" s="17"/>
      <c r="CK143" s="17"/>
      <c r="CW143" s="61" t="s">
        <v>328</v>
      </c>
      <c r="CX143" s="62">
        <v>0</v>
      </c>
    </row>
    <row r="144" spans="1:104" x14ac:dyDescent="0.25">
      <c r="A144" s="5" t="s">
        <v>45</v>
      </c>
      <c r="B144">
        <v>0</v>
      </c>
      <c r="C144" s="30" t="s">
        <v>392</v>
      </c>
      <c r="D144" s="17">
        <f>STDEV(B139:B161)</f>
        <v>0.28810406552003037</v>
      </c>
      <c r="K144" s="5" t="s">
        <v>72</v>
      </c>
      <c r="L144">
        <v>0</v>
      </c>
      <c r="M144" s="30" t="s">
        <v>387</v>
      </c>
      <c r="N144" s="17">
        <f>SUM(L144:L159)</f>
        <v>5</v>
      </c>
      <c r="P144" s="17" t="s">
        <v>382</v>
      </c>
      <c r="Q144" s="29" t="s">
        <v>401</v>
      </c>
      <c r="R144" s="17"/>
      <c r="S144" s="17">
        <v>2016</v>
      </c>
      <c r="U144" s="5" t="s">
        <v>125</v>
      </c>
      <c r="V144">
        <v>1</v>
      </c>
      <c r="Z144" s="61" t="s">
        <v>97</v>
      </c>
      <c r="AA144" s="62">
        <v>2</v>
      </c>
      <c r="AE144" s="5" t="s">
        <v>136</v>
      </c>
      <c r="AF144">
        <v>1</v>
      </c>
      <c r="AG144" s="17"/>
      <c r="AH144" s="17"/>
      <c r="AO144" s="5" t="s">
        <v>174</v>
      </c>
      <c r="AP144">
        <v>0</v>
      </c>
      <c r="AT144" s="5" t="s">
        <v>183</v>
      </c>
      <c r="AU144">
        <v>11</v>
      </c>
      <c r="AV144" s="17"/>
      <c r="AW144" s="17"/>
      <c r="AY144" s="5" t="s">
        <v>196</v>
      </c>
      <c r="AZ144">
        <v>0</v>
      </c>
      <c r="BA144" s="30" t="s">
        <v>391</v>
      </c>
      <c r="BB144" s="17">
        <f>AVERAGE(AZ140:AZ169)</f>
        <v>6.6666666666666666E-2</v>
      </c>
      <c r="BD144" s="5" t="s">
        <v>244</v>
      </c>
      <c r="BE144">
        <v>0</v>
      </c>
      <c r="BI144" s="5" t="s">
        <v>248</v>
      </c>
      <c r="BJ144">
        <v>1</v>
      </c>
      <c r="BK144" s="30" t="s">
        <v>391</v>
      </c>
      <c r="BL144" s="17">
        <f>AVERAGE(BJ140:BJ169)</f>
        <v>0.33333333333333331</v>
      </c>
      <c r="BN144" s="5" t="s">
        <v>274</v>
      </c>
      <c r="BO144">
        <v>11</v>
      </c>
      <c r="BP144" s="30" t="s">
        <v>387</v>
      </c>
      <c r="BQ144" s="17">
        <f>SUM(BO144:BO159)</f>
        <v>70</v>
      </c>
      <c r="BS144" s="17" t="s">
        <v>382</v>
      </c>
      <c r="BT144" s="29" t="s">
        <v>441</v>
      </c>
      <c r="BU144" s="17"/>
      <c r="BV144" s="17">
        <v>2016</v>
      </c>
      <c r="BX144" s="61" t="s">
        <v>298</v>
      </c>
      <c r="BY144" s="62">
        <v>2</v>
      </c>
      <c r="CC144" s="5" t="s">
        <v>304</v>
      </c>
      <c r="CD144">
        <v>0</v>
      </c>
      <c r="CE144" s="30" t="s">
        <v>392</v>
      </c>
      <c r="CF144" s="17">
        <f>STDEV(CD139:CD161)</f>
        <v>0.20851441405707477</v>
      </c>
      <c r="CW144" s="61" t="s">
        <v>329</v>
      </c>
      <c r="CX144" s="62">
        <v>0</v>
      </c>
    </row>
    <row r="145" spans="1:102" x14ac:dyDescent="0.25">
      <c r="A145" s="5" t="s">
        <v>47</v>
      </c>
      <c r="B145">
        <v>0</v>
      </c>
      <c r="C145" s="17"/>
      <c r="D145" s="17"/>
      <c r="K145" s="5" t="s">
        <v>73</v>
      </c>
      <c r="L145">
        <v>0</v>
      </c>
      <c r="M145" s="30" t="s">
        <v>388</v>
      </c>
      <c r="N145" s="17">
        <f>MIN(L144:L159)</f>
        <v>0</v>
      </c>
      <c r="P145" s="17" t="s">
        <v>383</v>
      </c>
      <c r="Q145" s="6" t="s">
        <v>32</v>
      </c>
      <c r="R145" s="17"/>
      <c r="S145" s="17"/>
      <c r="U145" s="5" t="s">
        <v>126</v>
      </c>
      <c r="V145">
        <v>0</v>
      </c>
      <c r="Z145" s="61" t="s">
        <v>98</v>
      </c>
      <c r="AA145" s="62">
        <v>1</v>
      </c>
      <c r="AE145" s="5" t="s">
        <v>44</v>
      </c>
      <c r="AF145">
        <v>0</v>
      </c>
      <c r="AG145" s="17"/>
      <c r="AH145" s="17"/>
      <c r="AT145" s="5" t="s">
        <v>184</v>
      </c>
      <c r="AU145">
        <v>7</v>
      </c>
      <c r="AV145" s="17"/>
      <c r="AW145" s="17"/>
      <c r="AY145" s="5" t="s">
        <v>197</v>
      </c>
      <c r="AZ145">
        <v>0</v>
      </c>
      <c r="BA145" s="30" t="s">
        <v>392</v>
      </c>
      <c r="BB145" s="17">
        <f>STDEV(AZ140:AZ169)</f>
        <v>0.25370813170246242</v>
      </c>
      <c r="BI145" s="5" t="s">
        <v>249</v>
      </c>
      <c r="BJ145">
        <v>0</v>
      </c>
      <c r="BK145" s="30" t="s">
        <v>392</v>
      </c>
      <c r="BL145" s="17">
        <f>STDEV(BJ140:BJ169)</f>
        <v>0.6608945522512667</v>
      </c>
      <c r="BN145" s="5" t="s">
        <v>275</v>
      </c>
      <c r="BO145">
        <v>4</v>
      </c>
      <c r="BP145" s="30" t="s">
        <v>388</v>
      </c>
      <c r="BQ145" s="17">
        <f>MIN(BO144:BO159)</f>
        <v>1</v>
      </c>
      <c r="BS145" s="17" t="s">
        <v>383</v>
      </c>
      <c r="BT145" s="6" t="s">
        <v>32</v>
      </c>
      <c r="BU145" s="17"/>
      <c r="BV145" s="17"/>
      <c r="CC145" s="5" t="s">
        <v>305</v>
      </c>
      <c r="CD145">
        <v>0</v>
      </c>
      <c r="CE145" s="17"/>
      <c r="CF145" s="17"/>
      <c r="CH145" s="17" t="s">
        <v>382</v>
      </c>
      <c r="CI145" s="29" t="s">
        <v>443</v>
      </c>
      <c r="CJ145" s="17"/>
      <c r="CK145" s="17">
        <v>2016</v>
      </c>
      <c r="CW145" s="61" t="s">
        <v>330</v>
      </c>
      <c r="CX145" s="62">
        <v>0</v>
      </c>
    </row>
    <row r="146" spans="1:102" x14ac:dyDescent="0.25">
      <c r="A146" s="5" t="s">
        <v>48</v>
      </c>
      <c r="B146">
        <v>0</v>
      </c>
      <c r="C146" s="17"/>
      <c r="D146" s="17"/>
      <c r="K146" s="5" t="s">
        <v>74</v>
      </c>
      <c r="L146">
        <v>0</v>
      </c>
      <c r="M146" s="30" t="s">
        <v>389</v>
      </c>
      <c r="N146" s="17">
        <f>MAX(L144:L159)</f>
        <v>2</v>
      </c>
      <c r="P146" s="17" t="s">
        <v>384</v>
      </c>
      <c r="Q146" s="17" t="s">
        <v>39</v>
      </c>
      <c r="R146" s="17" t="s">
        <v>385</v>
      </c>
      <c r="S146" s="17" t="s">
        <v>386</v>
      </c>
      <c r="U146" s="5" t="s">
        <v>127</v>
      </c>
      <c r="V146">
        <v>0</v>
      </c>
      <c r="Z146" s="61" t="s">
        <v>99</v>
      </c>
      <c r="AA146" s="62">
        <v>2</v>
      </c>
      <c r="AE146" s="5" t="s">
        <v>137</v>
      </c>
      <c r="AF146">
        <v>0</v>
      </c>
      <c r="AG146" s="17"/>
      <c r="AH146" s="17"/>
      <c r="AO146" s="17" t="s">
        <v>382</v>
      </c>
      <c r="AP146" s="29" t="s">
        <v>368</v>
      </c>
      <c r="AQ146" s="17"/>
      <c r="AR146" s="17">
        <v>2016</v>
      </c>
      <c r="AT146" s="5" t="s">
        <v>185</v>
      </c>
      <c r="AU146">
        <v>6</v>
      </c>
      <c r="AV146" s="17"/>
      <c r="AW146" s="17"/>
      <c r="AY146" s="5" t="s">
        <v>198</v>
      </c>
      <c r="AZ146">
        <v>0</v>
      </c>
      <c r="BA146" s="17"/>
      <c r="BB146" s="17"/>
      <c r="BD146" s="17" t="s">
        <v>382</v>
      </c>
      <c r="BE146" s="29" t="s">
        <v>371</v>
      </c>
      <c r="BF146" s="17"/>
      <c r="BG146" s="17">
        <v>2016</v>
      </c>
      <c r="BI146" s="5" t="s">
        <v>250</v>
      </c>
      <c r="BJ146">
        <v>0</v>
      </c>
      <c r="BK146" s="17"/>
      <c r="BL146" s="17"/>
      <c r="BN146" s="5" t="s">
        <v>276</v>
      </c>
      <c r="BO146">
        <v>1</v>
      </c>
      <c r="BP146" s="30" t="s">
        <v>389</v>
      </c>
      <c r="BQ146" s="17">
        <f>MAX(BO144:BO159)</f>
        <v>11</v>
      </c>
      <c r="BS146" s="17" t="s">
        <v>384</v>
      </c>
      <c r="BT146" s="17" t="s">
        <v>39</v>
      </c>
      <c r="BU146" s="17" t="s">
        <v>385</v>
      </c>
      <c r="BV146" s="17" t="s">
        <v>386</v>
      </c>
      <c r="BX146" s="58" t="s">
        <v>382</v>
      </c>
      <c r="BY146" s="59" t="s">
        <v>628</v>
      </c>
      <c r="BZ146" s="58"/>
      <c r="CA146" s="58">
        <v>2016</v>
      </c>
      <c r="CC146" s="5" t="s">
        <v>306</v>
      </c>
      <c r="CD146">
        <v>0</v>
      </c>
      <c r="CE146" s="17"/>
      <c r="CF146" s="17"/>
      <c r="CH146" s="17" t="s">
        <v>383</v>
      </c>
      <c r="CI146" s="6" t="s">
        <v>37</v>
      </c>
      <c r="CJ146" s="17"/>
      <c r="CK146" s="17"/>
      <c r="CW146" s="61" t="s">
        <v>331</v>
      </c>
      <c r="CX146" s="62">
        <v>0</v>
      </c>
    </row>
    <row r="147" spans="1:102" x14ac:dyDescent="0.25">
      <c r="A147" s="5" t="s">
        <v>49</v>
      </c>
      <c r="B147">
        <v>0</v>
      </c>
      <c r="C147" s="17"/>
      <c r="D147" s="17"/>
      <c r="K147" s="5" t="s">
        <v>75</v>
      </c>
      <c r="L147">
        <v>0</v>
      </c>
      <c r="M147" s="30" t="s">
        <v>390</v>
      </c>
      <c r="N147" s="17">
        <f>VAR(L144:L159)</f>
        <v>0.36249999999999999</v>
      </c>
      <c r="P147" s="5" t="s">
        <v>88</v>
      </c>
      <c r="Q147">
        <v>8</v>
      </c>
      <c r="R147" s="30" t="s">
        <v>387</v>
      </c>
      <c r="S147" s="17">
        <f>SUM(Q147:Q153)</f>
        <v>113</v>
      </c>
      <c r="U147" s="5" t="s">
        <v>128</v>
      </c>
      <c r="V147">
        <v>1</v>
      </c>
      <c r="Z147" s="61" t="s">
        <v>100</v>
      </c>
      <c r="AA147" s="62">
        <v>0</v>
      </c>
      <c r="AE147" s="5" t="s">
        <v>138</v>
      </c>
      <c r="AF147">
        <v>0</v>
      </c>
      <c r="AG147" s="17"/>
      <c r="AH147" s="17"/>
      <c r="AO147" s="17" t="s">
        <v>383</v>
      </c>
      <c r="AP147" s="6" t="s">
        <v>9</v>
      </c>
      <c r="AQ147" s="17"/>
      <c r="AR147" s="17"/>
      <c r="AT147" s="5" t="s">
        <v>186</v>
      </c>
      <c r="AU147">
        <v>13</v>
      </c>
      <c r="AV147" s="17"/>
      <c r="AW147" s="17"/>
      <c r="AY147" s="5" t="s">
        <v>161</v>
      </c>
      <c r="AZ147">
        <v>0</v>
      </c>
      <c r="BA147" s="17"/>
      <c r="BB147" s="17"/>
      <c r="BD147" s="17" t="s">
        <v>383</v>
      </c>
      <c r="BE147" s="6" t="s">
        <v>16</v>
      </c>
      <c r="BF147" s="17"/>
      <c r="BG147" s="17"/>
      <c r="BI147" s="5" t="s">
        <v>251</v>
      </c>
      <c r="BJ147">
        <v>0</v>
      </c>
      <c r="BK147" s="17"/>
      <c r="BL147" s="17"/>
      <c r="BN147" s="5" t="s">
        <v>277</v>
      </c>
      <c r="BO147">
        <v>6</v>
      </c>
      <c r="BP147" s="30" t="s">
        <v>390</v>
      </c>
      <c r="BQ147" s="17">
        <f>VAR(BO144:BO159)</f>
        <v>6.3833333333333337</v>
      </c>
      <c r="BS147" s="5" t="s">
        <v>290</v>
      </c>
      <c r="BT147">
        <v>19</v>
      </c>
      <c r="BU147" s="30" t="s">
        <v>387</v>
      </c>
      <c r="BV147" s="17">
        <f>SUM(BT147:BT155)</f>
        <v>173</v>
      </c>
      <c r="BX147" s="58" t="s">
        <v>383</v>
      </c>
      <c r="BY147" s="60" t="s">
        <v>16</v>
      </c>
      <c r="BZ147" s="58"/>
      <c r="CA147" s="58"/>
      <c r="CC147" s="5" t="s">
        <v>93</v>
      </c>
      <c r="CD147">
        <v>0</v>
      </c>
      <c r="CE147" s="17"/>
      <c r="CF147" s="17"/>
      <c r="CH147" s="17" t="s">
        <v>384</v>
      </c>
      <c r="CI147" s="17" t="s">
        <v>39</v>
      </c>
      <c r="CJ147" s="17" t="s">
        <v>385</v>
      </c>
      <c r="CK147" s="17" t="s">
        <v>386</v>
      </c>
      <c r="CW147" s="61" t="s">
        <v>332</v>
      </c>
      <c r="CX147" s="62">
        <v>0</v>
      </c>
    </row>
    <row r="148" spans="1:102" x14ac:dyDescent="0.25">
      <c r="A148" s="5" t="s">
        <v>50</v>
      </c>
      <c r="B148">
        <v>0</v>
      </c>
      <c r="C148" s="17"/>
      <c r="D148" s="17"/>
      <c r="K148" s="5" t="s">
        <v>76</v>
      </c>
      <c r="L148">
        <v>1</v>
      </c>
      <c r="M148" s="30" t="s">
        <v>391</v>
      </c>
      <c r="N148" s="17">
        <f>AVERAGE(L144:L159)</f>
        <v>0.3125</v>
      </c>
      <c r="P148" s="5" t="s">
        <v>89</v>
      </c>
      <c r="Q148">
        <v>11</v>
      </c>
      <c r="R148" s="30" t="s">
        <v>388</v>
      </c>
      <c r="S148" s="17">
        <f>MIN(Q147:Q153)</f>
        <v>7</v>
      </c>
      <c r="Z148" s="61" t="s">
        <v>101</v>
      </c>
      <c r="AA148" s="62">
        <v>0</v>
      </c>
      <c r="AE148" s="5" t="s">
        <v>139</v>
      </c>
      <c r="AF148">
        <v>0</v>
      </c>
      <c r="AG148" s="17"/>
      <c r="AH148" s="17"/>
      <c r="AO148" s="17" t="s">
        <v>384</v>
      </c>
      <c r="AP148" s="17" t="s">
        <v>39</v>
      </c>
      <c r="AQ148" s="17" t="s">
        <v>385</v>
      </c>
      <c r="AR148" s="17" t="s">
        <v>386</v>
      </c>
      <c r="AT148" s="5" t="s">
        <v>187</v>
      </c>
      <c r="AU148">
        <v>9</v>
      </c>
      <c r="AV148" s="17"/>
      <c r="AW148" s="17"/>
      <c r="AY148" s="5" t="s">
        <v>199</v>
      </c>
      <c r="AZ148">
        <v>0</v>
      </c>
      <c r="BA148" s="17"/>
      <c r="BB148" s="17"/>
      <c r="BD148" s="17" t="s">
        <v>384</v>
      </c>
      <c r="BE148" s="17" t="s">
        <v>39</v>
      </c>
      <c r="BF148" s="17" t="s">
        <v>385</v>
      </c>
      <c r="BG148" s="17" t="s">
        <v>386</v>
      </c>
      <c r="BI148" s="5" t="s">
        <v>252</v>
      </c>
      <c r="BJ148">
        <v>0</v>
      </c>
      <c r="BK148" s="17"/>
      <c r="BL148" s="17"/>
      <c r="BN148" s="5" t="s">
        <v>279</v>
      </c>
      <c r="BO148">
        <v>8</v>
      </c>
      <c r="BP148" s="30" t="s">
        <v>391</v>
      </c>
      <c r="BQ148" s="17">
        <f>AVERAGE(BO144:BO159)</f>
        <v>4.375</v>
      </c>
      <c r="BS148" s="5" t="s">
        <v>291</v>
      </c>
      <c r="BT148">
        <v>21</v>
      </c>
      <c r="BU148" s="30" t="s">
        <v>388</v>
      </c>
      <c r="BV148" s="17">
        <f>MIN(BT147:BT155)</f>
        <v>7</v>
      </c>
      <c r="BX148" s="58" t="s">
        <v>384</v>
      </c>
      <c r="BY148" s="58" t="s">
        <v>39</v>
      </c>
      <c r="BZ148" s="58" t="s">
        <v>385</v>
      </c>
      <c r="CA148" s="58" t="s">
        <v>386</v>
      </c>
      <c r="CC148" s="5" t="s">
        <v>307</v>
      </c>
      <c r="CD148">
        <v>0</v>
      </c>
      <c r="CE148" s="17"/>
      <c r="CF148" s="17"/>
      <c r="CH148" s="5" t="s">
        <v>321</v>
      </c>
      <c r="CI148">
        <v>0</v>
      </c>
      <c r="CJ148" s="30" t="s">
        <v>387</v>
      </c>
      <c r="CK148" s="17">
        <f>SUM(CI148:CI154)</f>
        <v>8</v>
      </c>
      <c r="CW148" s="61" t="s">
        <v>333</v>
      </c>
      <c r="CX148" s="62">
        <v>0</v>
      </c>
    </row>
    <row r="149" spans="1:102" x14ac:dyDescent="0.25">
      <c r="A149" s="5" t="s">
        <v>51</v>
      </c>
      <c r="B149">
        <v>0</v>
      </c>
      <c r="C149" s="17"/>
      <c r="D149" s="17"/>
      <c r="K149" s="5" t="s">
        <v>77</v>
      </c>
      <c r="L149">
        <v>2</v>
      </c>
      <c r="M149" s="30" t="s">
        <v>392</v>
      </c>
      <c r="N149" s="17">
        <f>STDEV(L144:L159)</f>
        <v>0.60207972893961481</v>
      </c>
      <c r="P149" s="5" t="s">
        <v>90</v>
      </c>
      <c r="Q149">
        <v>7</v>
      </c>
      <c r="R149" s="30" t="s">
        <v>389</v>
      </c>
      <c r="S149" s="17">
        <f>MAX(Q147:Q153)</f>
        <v>28</v>
      </c>
      <c r="U149" s="17" t="s">
        <v>382</v>
      </c>
      <c r="V149" s="29" t="s">
        <v>400</v>
      </c>
      <c r="W149" s="17"/>
      <c r="X149" s="17">
        <v>2016</v>
      </c>
      <c r="Z149" s="61" t="s">
        <v>103</v>
      </c>
      <c r="AA149" s="62">
        <v>1</v>
      </c>
      <c r="AE149" s="5" t="s">
        <v>140</v>
      </c>
      <c r="AF149">
        <v>0</v>
      </c>
      <c r="AG149" s="17"/>
      <c r="AH149" s="17"/>
      <c r="AO149" s="5" t="s">
        <v>149</v>
      </c>
      <c r="AP149">
        <v>1</v>
      </c>
      <c r="AQ149" s="30" t="s">
        <v>387</v>
      </c>
      <c r="AR149" s="17">
        <f>SUM(AP149:AP173)</f>
        <v>5</v>
      </c>
      <c r="AT149" s="5" t="s">
        <v>188</v>
      </c>
      <c r="AU149">
        <v>6</v>
      </c>
      <c r="AV149" s="17"/>
      <c r="AW149" s="17"/>
      <c r="AY149" s="5" t="s">
        <v>200</v>
      </c>
      <c r="AZ149">
        <v>0</v>
      </c>
      <c r="BA149" s="17"/>
      <c r="BB149" s="17"/>
      <c r="BD149" s="5" t="s">
        <v>221</v>
      </c>
      <c r="BE149">
        <v>0</v>
      </c>
      <c r="BF149" s="30" t="s">
        <v>387</v>
      </c>
      <c r="BG149" s="17">
        <f>SUM(BE149:BE173)</f>
        <v>1</v>
      </c>
      <c r="BI149" s="5" t="s">
        <v>253</v>
      </c>
      <c r="BJ149">
        <v>0</v>
      </c>
      <c r="BK149" s="17"/>
      <c r="BL149" s="17"/>
      <c r="BN149" s="5" t="s">
        <v>278</v>
      </c>
      <c r="BO149">
        <v>3</v>
      </c>
      <c r="BP149" s="30" t="s">
        <v>392</v>
      </c>
      <c r="BQ149" s="17">
        <f>STDEV(BO144:BO159)</f>
        <v>2.5265259415516268</v>
      </c>
      <c r="BS149" s="5" t="s">
        <v>292</v>
      </c>
      <c r="BT149">
        <v>21</v>
      </c>
      <c r="BU149" s="30" t="s">
        <v>389</v>
      </c>
      <c r="BV149" s="17">
        <f>MAX(BT147:BT155)</f>
        <v>36</v>
      </c>
      <c r="BX149" s="61" t="s">
        <v>274</v>
      </c>
      <c r="BY149" s="62">
        <v>0</v>
      </c>
      <c r="BZ149" s="63" t="s">
        <v>387</v>
      </c>
      <c r="CA149" s="58">
        <f>SUM(BY149:BY173)</f>
        <v>1</v>
      </c>
      <c r="CC149" s="5" t="s">
        <v>308</v>
      </c>
      <c r="CD149">
        <v>0</v>
      </c>
      <c r="CE149" s="17"/>
      <c r="CF149" s="17"/>
      <c r="CH149" s="5" t="s">
        <v>322</v>
      </c>
      <c r="CI149">
        <v>0</v>
      </c>
      <c r="CJ149" s="30" t="s">
        <v>388</v>
      </c>
      <c r="CK149" s="17">
        <f>MIN(CI148:CI154)</f>
        <v>0</v>
      </c>
      <c r="CM149" s="17" t="s">
        <v>382</v>
      </c>
      <c r="CN149" s="29" t="s">
        <v>442</v>
      </c>
      <c r="CO149" s="17"/>
      <c r="CP149" s="17">
        <v>2016</v>
      </c>
      <c r="CR149" s="17" t="s">
        <v>382</v>
      </c>
      <c r="CS149" s="29" t="s">
        <v>442</v>
      </c>
      <c r="CT149" s="17"/>
      <c r="CU149" s="17">
        <v>2016</v>
      </c>
      <c r="CW149" s="61" t="s">
        <v>334</v>
      </c>
      <c r="CX149" s="62">
        <v>0</v>
      </c>
    </row>
    <row r="150" spans="1:102" x14ac:dyDescent="0.25">
      <c r="A150" s="5" t="s">
        <v>52</v>
      </c>
      <c r="B150">
        <v>0</v>
      </c>
      <c r="C150" s="17"/>
      <c r="D150" s="17"/>
      <c r="K150" s="5" t="s">
        <v>78</v>
      </c>
      <c r="L150">
        <v>0</v>
      </c>
      <c r="M150" s="17"/>
      <c r="N150" s="17"/>
      <c r="P150" s="5" t="s">
        <v>91</v>
      </c>
      <c r="Q150">
        <v>28</v>
      </c>
      <c r="R150" s="30" t="s">
        <v>390</v>
      </c>
      <c r="S150" s="17">
        <f>VAR(Q147:Q153)</f>
        <v>84.476190476190482</v>
      </c>
      <c r="U150" s="17" t="s">
        <v>383</v>
      </c>
      <c r="V150" s="6" t="s">
        <v>8</v>
      </c>
      <c r="W150" s="17"/>
      <c r="X150" s="17"/>
      <c r="Z150" s="61" t="s">
        <v>104</v>
      </c>
      <c r="AA150" s="62">
        <v>6</v>
      </c>
      <c r="AE150" s="5" t="s">
        <v>141</v>
      </c>
      <c r="AF150">
        <v>0</v>
      </c>
      <c r="AG150" s="17"/>
      <c r="AH150" s="17"/>
      <c r="AO150" s="5" t="s">
        <v>150</v>
      </c>
      <c r="AP150">
        <v>0</v>
      </c>
      <c r="AQ150" s="30" t="s">
        <v>388</v>
      </c>
      <c r="AR150" s="17">
        <f>MIN(AP149:AP173)</f>
        <v>0</v>
      </c>
      <c r="AT150" s="5" t="s">
        <v>395</v>
      </c>
      <c r="AU150">
        <v>4</v>
      </c>
      <c r="AV150" s="17"/>
      <c r="AW150" s="17"/>
      <c r="AY150" s="5" t="s">
        <v>201</v>
      </c>
      <c r="AZ150">
        <v>0</v>
      </c>
      <c r="BA150" s="17"/>
      <c r="BB150" s="17"/>
      <c r="BD150" s="5" t="s">
        <v>222</v>
      </c>
      <c r="BE150">
        <v>0</v>
      </c>
      <c r="BF150" s="30" t="s">
        <v>388</v>
      </c>
      <c r="BG150" s="17">
        <f>MIN(BE149:BE173)</f>
        <v>0</v>
      </c>
      <c r="BI150" s="5" t="s">
        <v>254</v>
      </c>
      <c r="BJ150">
        <v>0</v>
      </c>
      <c r="BK150" s="17"/>
      <c r="BL150" s="17"/>
      <c r="BN150" s="5" t="s">
        <v>280</v>
      </c>
      <c r="BO150">
        <v>4</v>
      </c>
      <c r="BP150" s="17"/>
      <c r="BQ150" s="17"/>
      <c r="BS150" s="5" t="s">
        <v>293</v>
      </c>
      <c r="BT150">
        <v>16</v>
      </c>
      <c r="BU150" s="30" t="s">
        <v>390</v>
      </c>
      <c r="BV150" s="17">
        <f>VAR(BT147:BT155)</f>
        <v>65.444444444444457</v>
      </c>
      <c r="BX150" s="61" t="s">
        <v>275</v>
      </c>
      <c r="BY150" s="62">
        <v>0</v>
      </c>
      <c r="BZ150" s="63" t="s">
        <v>388</v>
      </c>
      <c r="CA150" s="58">
        <f>MIN(BY149:BY173)</f>
        <v>0</v>
      </c>
      <c r="CC150" s="5" t="s">
        <v>309</v>
      </c>
      <c r="CD150">
        <v>0</v>
      </c>
      <c r="CE150" s="17"/>
      <c r="CF150" s="17"/>
      <c r="CH150" s="5" t="s">
        <v>323</v>
      </c>
      <c r="CI150">
        <v>0</v>
      </c>
      <c r="CJ150" s="30" t="s">
        <v>389</v>
      </c>
      <c r="CK150" s="17">
        <f>MAX(CI148:CI154)</f>
        <v>3</v>
      </c>
      <c r="CM150" s="17" t="s">
        <v>383</v>
      </c>
      <c r="CN150" s="6" t="s">
        <v>11</v>
      </c>
      <c r="CO150" s="17"/>
      <c r="CP150" s="17"/>
      <c r="CR150" s="17" t="s">
        <v>383</v>
      </c>
      <c r="CS150" s="6" t="s">
        <v>11</v>
      </c>
      <c r="CT150" s="17"/>
      <c r="CU150" s="17"/>
      <c r="CW150" s="61" t="s">
        <v>335</v>
      </c>
      <c r="CX150" s="62">
        <v>0</v>
      </c>
    </row>
    <row r="151" spans="1:102" x14ac:dyDescent="0.25">
      <c r="A151" s="5" t="s">
        <v>53</v>
      </c>
      <c r="B151">
        <v>0</v>
      </c>
      <c r="C151" s="17"/>
      <c r="D151" s="17"/>
      <c r="K151" s="5" t="s">
        <v>79</v>
      </c>
      <c r="L151">
        <v>1</v>
      </c>
      <c r="M151" s="17"/>
      <c r="N151" s="17"/>
      <c r="P151" s="5" t="s">
        <v>92</v>
      </c>
      <c r="Q151">
        <v>22</v>
      </c>
      <c r="R151" s="30" t="s">
        <v>391</v>
      </c>
      <c r="S151" s="17">
        <f>AVERAGE(Q147:Q153)</f>
        <v>16.142857142857142</v>
      </c>
      <c r="U151" s="17" t="s">
        <v>384</v>
      </c>
      <c r="V151" s="17" t="s">
        <v>39</v>
      </c>
      <c r="W151" s="17" t="s">
        <v>385</v>
      </c>
      <c r="X151" s="17" t="s">
        <v>386</v>
      </c>
      <c r="Z151" s="61" t="s">
        <v>105</v>
      </c>
      <c r="AA151" s="62">
        <v>5</v>
      </c>
      <c r="AE151" s="5" t="s">
        <v>142</v>
      </c>
      <c r="AF151">
        <v>0</v>
      </c>
      <c r="AG151" s="17"/>
      <c r="AH151" s="17"/>
      <c r="AO151" s="5" t="s">
        <v>151</v>
      </c>
      <c r="AP151">
        <v>0</v>
      </c>
      <c r="AQ151" s="30" t="s">
        <v>389</v>
      </c>
      <c r="AR151" s="17">
        <f>MAX(AP149:AP173)</f>
        <v>2</v>
      </c>
      <c r="AT151" s="5" t="s">
        <v>189</v>
      </c>
      <c r="AU151">
        <v>1</v>
      </c>
      <c r="AV151" s="17"/>
      <c r="AW151" s="17"/>
      <c r="AY151" s="5" t="s">
        <v>202</v>
      </c>
      <c r="AZ151">
        <v>0</v>
      </c>
      <c r="BA151" s="17"/>
      <c r="BB151" s="17"/>
      <c r="BD151" s="5" t="s">
        <v>223</v>
      </c>
      <c r="BE151">
        <v>0</v>
      </c>
      <c r="BF151" s="30" t="s">
        <v>389</v>
      </c>
      <c r="BG151" s="17">
        <f>MAX(BE149:BE173)</f>
        <v>1</v>
      </c>
      <c r="BI151" s="5" t="s">
        <v>255</v>
      </c>
      <c r="BJ151">
        <v>0</v>
      </c>
      <c r="BK151" s="17"/>
      <c r="BL151" s="17"/>
      <c r="BN151" s="5" t="s">
        <v>281</v>
      </c>
      <c r="BO151">
        <v>2</v>
      </c>
      <c r="BP151" s="17"/>
      <c r="BQ151" s="17"/>
      <c r="BS151" s="5" t="s">
        <v>294</v>
      </c>
      <c r="BT151">
        <v>36</v>
      </c>
      <c r="BU151" s="30" t="s">
        <v>391</v>
      </c>
      <c r="BV151" s="17">
        <f>AVERAGE(BT147:BT155)</f>
        <v>19.222222222222221</v>
      </c>
      <c r="BX151" s="61" t="s">
        <v>276</v>
      </c>
      <c r="BY151" s="62">
        <v>0</v>
      </c>
      <c r="BZ151" s="63" t="s">
        <v>389</v>
      </c>
      <c r="CA151" s="58">
        <f>MAX(BY149:BY173)</f>
        <v>1</v>
      </c>
      <c r="CC151" s="5" t="s">
        <v>310</v>
      </c>
      <c r="CD151">
        <v>0</v>
      </c>
      <c r="CE151" s="17"/>
      <c r="CF151" s="17"/>
      <c r="CH151" s="5" t="s">
        <v>324</v>
      </c>
      <c r="CI151">
        <v>2</v>
      </c>
      <c r="CJ151" s="30" t="s">
        <v>390</v>
      </c>
      <c r="CK151" s="17">
        <f>VAR(CI148:CI154)</f>
        <v>2.1428571428571428</v>
      </c>
      <c r="CM151" s="17" t="s">
        <v>384</v>
      </c>
      <c r="CN151" s="17" t="s">
        <v>39</v>
      </c>
      <c r="CO151" s="17" t="s">
        <v>385</v>
      </c>
      <c r="CP151" s="17" t="s">
        <v>386</v>
      </c>
      <c r="CR151" s="17" t="s">
        <v>384</v>
      </c>
      <c r="CS151" s="17" t="s">
        <v>39</v>
      </c>
      <c r="CT151" s="17" t="s">
        <v>385</v>
      </c>
      <c r="CU151" s="17" t="s">
        <v>386</v>
      </c>
      <c r="CW151" s="61" t="s">
        <v>43</v>
      </c>
      <c r="CX151" s="62">
        <v>0</v>
      </c>
    </row>
    <row r="152" spans="1:102" x14ac:dyDescent="0.25">
      <c r="A152" s="5" t="s">
        <v>54</v>
      </c>
      <c r="B152">
        <v>0</v>
      </c>
      <c r="C152" s="17"/>
      <c r="D152" s="17"/>
      <c r="K152" s="5" t="s">
        <v>80</v>
      </c>
      <c r="L152">
        <v>0</v>
      </c>
      <c r="M152" s="17"/>
      <c r="N152" s="17"/>
      <c r="P152" s="5" t="s">
        <v>93</v>
      </c>
      <c r="Q152">
        <v>27</v>
      </c>
      <c r="R152" s="30" t="s">
        <v>392</v>
      </c>
      <c r="S152" s="17">
        <f>STDEV(Q147:Q153)</f>
        <v>9.1910929968198278</v>
      </c>
      <c r="U152" s="5" t="s">
        <v>96</v>
      </c>
      <c r="V152">
        <v>0</v>
      </c>
      <c r="W152" s="30" t="s">
        <v>387</v>
      </c>
      <c r="X152" s="17">
        <f>SUM(V152:V184)</f>
        <v>2</v>
      </c>
      <c r="Z152" s="61" t="s">
        <v>106</v>
      </c>
      <c r="AA152" s="62">
        <v>4</v>
      </c>
      <c r="AO152" s="5" t="s">
        <v>152</v>
      </c>
      <c r="AP152">
        <v>0</v>
      </c>
      <c r="AQ152" s="30" t="s">
        <v>390</v>
      </c>
      <c r="AR152" s="17">
        <f>VAR(AP149:AP173)</f>
        <v>0.25</v>
      </c>
      <c r="AT152" s="5" t="s">
        <v>190</v>
      </c>
      <c r="AU152">
        <v>0</v>
      </c>
      <c r="AV152" s="17"/>
      <c r="AW152" s="17"/>
      <c r="AY152" s="5" t="s">
        <v>203</v>
      </c>
      <c r="AZ152">
        <v>0</v>
      </c>
      <c r="BA152" s="17"/>
      <c r="BB152" s="17"/>
      <c r="BD152" s="5" t="s">
        <v>224</v>
      </c>
      <c r="BE152">
        <v>0</v>
      </c>
      <c r="BF152" s="30" t="s">
        <v>390</v>
      </c>
      <c r="BG152" s="17">
        <f>VAR(BE149:BE173)</f>
        <v>0.04</v>
      </c>
      <c r="BI152" s="5" t="s">
        <v>256</v>
      </c>
      <c r="BJ152">
        <v>0</v>
      </c>
      <c r="BK152" s="17"/>
      <c r="BL152" s="17"/>
      <c r="BN152" s="5" t="s">
        <v>282</v>
      </c>
      <c r="BO152">
        <v>4</v>
      </c>
      <c r="BP152" s="17"/>
      <c r="BQ152" s="17"/>
      <c r="BS152" s="5" t="s">
        <v>295</v>
      </c>
      <c r="BT152">
        <v>22</v>
      </c>
      <c r="BU152" s="30" t="s">
        <v>392</v>
      </c>
      <c r="BV152" s="17">
        <f>STDEV(BT147:BT155)</f>
        <v>8.0897740663410662</v>
      </c>
      <c r="BX152" s="61" t="s">
        <v>277</v>
      </c>
      <c r="BY152" s="62">
        <v>0</v>
      </c>
      <c r="BZ152" s="63" t="s">
        <v>390</v>
      </c>
      <c r="CA152" s="58">
        <f>VAR(BY149:BY173)</f>
        <v>0.04</v>
      </c>
      <c r="CC152" s="5" t="s">
        <v>311</v>
      </c>
      <c r="CD152">
        <v>0</v>
      </c>
      <c r="CE152" s="17"/>
      <c r="CF152" s="17"/>
      <c r="CH152" s="5" t="s">
        <v>325</v>
      </c>
      <c r="CI152">
        <v>0</v>
      </c>
      <c r="CJ152" s="30" t="s">
        <v>391</v>
      </c>
      <c r="CK152" s="17">
        <f>AVERAGE(CI148:CI154)</f>
        <v>1.1428571428571428</v>
      </c>
      <c r="CM152" s="5" t="s">
        <v>328</v>
      </c>
      <c r="CN152">
        <v>0</v>
      </c>
      <c r="CO152" s="30" t="s">
        <v>387</v>
      </c>
      <c r="CP152" s="17">
        <f>SUM(CN152:CN184)</f>
        <v>1</v>
      </c>
      <c r="CR152" s="5" t="s">
        <v>333</v>
      </c>
      <c r="CS152">
        <v>0</v>
      </c>
      <c r="CT152" s="30" t="s">
        <v>387</v>
      </c>
      <c r="CU152" s="17">
        <f>SUM(CS152:CS179)</f>
        <v>2</v>
      </c>
      <c r="CW152" s="61" t="s">
        <v>336</v>
      </c>
      <c r="CX152" s="62">
        <v>0</v>
      </c>
    </row>
    <row r="153" spans="1:102" x14ac:dyDescent="0.25">
      <c r="A153" s="5" t="s">
        <v>55</v>
      </c>
      <c r="B153">
        <v>0</v>
      </c>
      <c r="C153" s="17"/>
      <c r="D153" s="17"/>
      <c r="K153" s="5" t="s">
        <v>81</v>
      </c>
      <c r="L153">
        <v>1</v>
      </c>
      <c r="M153" s="17"/>
      <c r="N153" s="17"/>
      <c r="P153" s="5" t="s">
        <v>94</v>
      </c>
      <c r="Q153">
        <v>10</v>
      </c>
      <c r="R153" s="17"/>
      <c r="S153" s="17"/>
      <c r="U153" s="5" t="s">
        <v>97</v>
      </c>
      <c r="V153">
        <v>0</v>
      </c>
      <c r="W153" s="30" t="s">
        <v>388</v>
      </c>
      <c r="X153" s="17">
        <f>MIN(V152:V184)</f>
        <v>0</v>
      </c>
      <c r="Z153" s="61" t="s">
        <v>61</v>
      </c>
      <c r="AA153" s="62">
        <v>0</v>
      </c>
      <c r="AE153" s="17" t="s">
        <v>382</v>
      </c>
      <c r="AF153" s="29" t="s">
        <v>366</v>
      </c>
      <c r="AG153" s="17"/>
      <c r="AH153" s="17">
        <v>2016</v>
      </c>
      <c r="AO153" s="5" t="s">
        <v>153</v>
      </c>
      <c r="AP153">
        <v>0</v>
      </c>
      <c r="AQ153" s="30" t="s">
        <v>391</v>
      </c>
      <c r="AR153" s="17">
        <f>AVERAGE(AP149:AP173)</f>
        <v>0.2</v>
      </c>
      <c r="AT153" s="5" t="s">
        <v>191</v>
      </c>
      <c r="AU153">
        <v>0</v>
      </c>
      <c r="AV153" s="15"/>
      <c r="AW153" s="15"/>
      <c r="AY153" s="5" t="s">
        <v>204</v>
      </c>
      <c r="AZ153">
        <v>0</v>
      </c>
      <c r="BA153" s="17"/>
      <c r="BB153" s="17"/>
      <c r="BD153" s="5" t="s">
        <v>225</v>
      </c>
      <c r="BE153">
        <v>0</v>
      </c>
      <c r="BF153" s="30" t="s">
        <v>391</v>
      </c>
      <c r="BG153" s="17">
        <f>AVERAGE(BE149:BE173)</f>
        <v>0.04</v>
      </c>
      <c r="BI153" s="5" t="s">
        <v>257</v>
      </c>
      <c r="BJ153">
        <v>0</v>
      </c>
      <c r="BK153" s="17"/>
      <c r="BL153" s="17"/>
      <c r="BN153" s="5" t="s">
        <v>283</v>
      </c>
      <c r="BO153">
        <v>3</v>
      </c>
      <c r="BP153" s="17"/>
      <c r="BQ153" s="17"/>
      <c r="BS153" s="5" t="s">
        <v>296</v>
      </c>
      <c r="BT153">
        <v>20</v>
      </c>
      <c r="BU153" s="17"/>
      <c r="BV153" s="17"/>
      <c r="BX153" s="61" t="s">
        <v>279</v>
      </c>
      <c r="BY153" s="62">
        <v>0</v>
      </c>
      <c r="BZ153" s="63" t="s">
        <v>391</v>
      </c>
      <c r="CA153" s="58">
        <f>AVERAGE(BY149:BY173)</f>
        <v>0.04</v>
      </c>
      <c r="CC153" s="5" t="s">
        <v>312</v>
      </c>
      <c r="CD153">
        <v>0</v>
      </c>
      <c r="CE153" s="17"/>
      <c r="CF153" s="17"/>
      <c r="CH153" s="5" t="s">
        <v>326</v>
      </c>
      <c r="CI153">
        <v>3</v>
      </c>
      <c r="CJ153" s="30" t="s">
        <v>392</v>
      </c>
      <c r="CK153" s="17">
        <f>STDEV(CI148:CI154)</f>
        <v>1.4638501094227998</v>
      </c>
      <c r="CM153" s="5" t="s">
        <v>329</v>
      </c>
      <c r="CN153">
        <v>1</v>
      </c>
      <c r="CO153" s="30" t="s">
        <v>388</v>
      </c>
      <c r="CP153" s="17">
        <f>MIN(CN152:CN184)</f>
        <v>0</v>
      </c>
      <c r="CR153" s="5" t="s">
        <v>334</v>
      </c>
      <c r="CS153">
        <v>0</v>
      </c>
      <c r="CT153" s="30" t="s">
        <v>388</v>
      </c>
      <c r="CU153" s="17">
        <f>MIN(CS152:CS179)</f>
        <v>0</v>
      </c>
      <c r="CW153" s="61" t="s">
        <v>337</v>
      </c>
      <c r="CX153" s="62">
        <v>0</v>
      </c>
    </row>
    <row r="154" spans="1:102" x14ac:dyDescent="0.25">
      <c r="A154" s="5" t="s">
        <v>56</v>
      </c>
      <c r="B154">
        <v>0</v>
      </c>
      <c r="C154" s="17"/>
      <c r="D154" s="17"/>
      <c r="K154" s="5" t="s">
        <v>82</v>
      </c>
      <c r="L154">
        <v>0</v>
      </c>
      <c r="M154" s="17"/>
      <c r="N154" s="17"/>
      <c r="U154" s="5" t="s">
        <v>98</v>
      </c>
      <c r="V154">
        <v>0</v>
      </c>
      <c r="W154" s="30" t="s">
        <v>389</v>
      </c>
      <c r="X154" s="17">
        <f>MAX(V152:V184)</f>
        <v>1</v>
      </c>
      <c r="Z154" s="61" t="s">
        <v>107</v>
      </c>
      <c r="AA154" s="62">
        <v>3</v>
      </c>
      <c r="AE154" s="17" t="s">
        <v>383</v>
      </c>
      <c r="AF154" s="6" t="s">
        <v>19</v>
      </c>
      <c r="AG154" s="17"/>
      <c r="AH154" s="17"/>
      <c r="AO154" s="5" t="s">
        <v>154</v>
      </c>
      <c r="AP154">
        <v>0</v>
      </c>
      <c r="AQ154" s="30" t="s">
        <v>392</v>
      </c>
      <c r="AR154" s="17">
        <f>STDEV(AP149:AP173)</f>
        <v>0.5</v>
      </c>
      <c r="AY154" s="5" t="s">
        <v>205</v>
      </c>
      <c r="AZ154">
        <v>0</v>
      </c>
      <c r="BA154" s="17"/>
      <c r="BB154" s="17"/>
      <c r="BD154" s="5" t="s">
        <v>226</v>
      </c>
      <c r="BE154">
        <v>0</v>
      </c>
      <c r="BF154" s="30" t="s">
        <v>392</v>
      </c>
      <c r="BG154" s="17">
        <f>STDEV(BE149:BE173)</f>
        <v>0.2</v>
      </c>
      <c r="BI154" s="5" t="s">
        <v>258</v>
      </c>
      <c r="BJ154">
        <v>0</v>
      </c>
      <c r="BK154" s="17"/>
      <c r="BL154" s="17"/>
      <c r="BN154" s="5" t="s">
        <v>285</v>
      </c>
      <c r="BO154">
        <v>2</v>
      </c>
      <c r="BP154" s="17"/>
      <c r="BQ154" s="17"/>
      <c r="BS154" s="5" t="s">
        <v>297</v>
      </c>
      <c r="BT154">
        <v>7</v>
      </c>
      <c r="BU154" s="17"/>
      <c r="BV154" s="17"/>
      <c r="BX154" s="61" t="s">
        <v>278</v>
      </c>
      <c r="BY154" s="62">
        <v>1</v>
      </c>
      <c r="BZ154" s="63" t="s">
        <v>392</v>
      </c>
      <c r="CA154" s="58">
        <f>STDEV(BY149:BY173)</f>
        <v>0.2</v>
      </c>
      <c r="CC154" s="5" t="s">
        <v>313</v>
      </c>
      <c r="CD154">
        <v>0</v>
      </c>
      <c r="CE154" s="17"/>
      <c r="CF154" s="17"/>
      <c r="CH154" s="5" t="s">
        <v>327</v>
      </c>
      <c r="CI154">
        <v>3</v>
      </c>
      <c r="CJ154" s="17"/>
      <c r="CK154" s="17"/>
      <c r="CM154" s="5" t="s">
        <v>330</v>
      </c>
      <c r="CN154">
        <v>0</v>
      </c>
      <c r="CO154" s="30" t="s">
        <v>389</v>
      </c>
      <c r="CP154" s="17">
        <f>MAX(CN152:CN184)</f>
        <v>1</v>
      </c>
      <c r="CR154" s="5" t="s">
        <v>335</v>
      </c>
      <c r="CS154">
        <v>0</v>
      </c>
      <c r="CT154" s="30" t="s">
        <v>389</v>
      </c>
      <c r="CU154" s="17">
        <f>MAX(CS152:CS179)</f>
        <v>1</v>
      </c>
      <c r="CW154" s="61" t="s">
        <v>338</v>
      </c>
      <c r="CX154" s="62">
        <v>0</v>
      </c>
    </row>
    <row r="155" spans="1:102" x14ac:dyDescent="0.25">
      <c r="A155" s="5" t="s">
        <v>57</v>
      </c>
      <c r="B155">
        <v>0</v>
      </c>
      <c r="C155" s="17"/>
      <c r="D155" s="17"/>
      <c r="K155" s="5" t="s">
        <v>83</v>
      </c>
      <c r="L155">
        <v>0</v>
      </c>
      <c r="M155" s="17"/>
      <c r="N155" s="17"/>
      <c r="P155" s="17" t="s">
        <v>382</v>
      </c>
      <c r="Q155" s="29" t="s">
        <v>401</v>
      </c>
      <c r="R155" s="17"/>
      <c r="S155" s="17">
        <v>2016</v>
      </c>
      <c r="U155" s="5" t="s">
        <v>99</v>
      </c>
      <c r="V155">
        <v>0</v>
      </c>
      <c r="W155" s="30" t="s">
        <v>390</v>
      </c>
      <c r="X155" s="17">
        <f>VAR(V152:V184)</f>
        <v>5.8712121212121215E-2</v>
      </c>
      <c r="Z155" s="61" t="s">
        <v>108</v>
      </c>
      <c r="AA155" s="62">
        <v>2</v>
      </c>
      <c r="AE155" s="17" t="s">
        <v>384</v>
      </c>
      <c r="AF155" s="17" t="s">
        <v>39</v>
      </c>
      <c r="AG155" s="17" t="s">
        <v>385</v>
      </c>
      <c r="AH155" s="17" t="s">
        <v>386</v>
      </c>
      <c r="AO155" s="5" t="s">
        <v>155</v>
      </c>
      <c r="AP155">
        <v>0</v>
      </c>
      <c r="AQ155" s="17"/>
      <c r="AR155" s="17"/>
      <c r="AT155" s="17" t="s">
        <v>382</v>
      </c>
      <c r="AU155" s="29" t="s">
        <v>369</v>
      </c>
      <c r="AV155" s="17"/>
      <c r="AW155" s="17">
        <v>2016</v>
      </c>
      <c r="AY155" s="5" t="s">
        <v>206</v>
      </c>
      <c r="AZ155">
        <v>1</v>
      </c>
      <c r="BA155" s="17"/>
      <c r="BB155" s="17"/>
      <c r="BD155" s="5" t="s">
        <v>227</v>
      </c>
      <c r="BE155">
        <v>0</v>
      </c>
      <c r="BF155" s="17"/>
      <c r="BG155" s="17"/>
      <c r="BI155" s="5" t="s">
        <v>259</v>
      </c>
      <c r="BJ155">
        <v>0</v>
      </c>
      <c r="BK155" s="17"/>
      <c r="BL155" s="17"/>
      <c r="BN155" s="5" t="s">
        <v>284</v>
      </c>
      <c r="BO155">
        <v>5</v>
      </c>
      <c r="BP155" s="17"/>
      <c r="BQ155" s="17"/>
      <c r="BS155" s="5" t="s">
        <v>298</v>
      </c>
      <c r="BT155">
        <v>11</v>
      </c>
      <c r="BU155" s="17"/>
      <c r="BV155" s="17"/>
      <c r="BX155" s="61" t="s">
        <v>280</v>
      </c>
      <c r="BY155" s="62">
        <v>0</v>
      </c>
      <c r="BZ155" s="58"/>
      <c r="CA155" s="58"/>
      <c r="CC155" s="5" t="s">
        <v>314</v>
      </c>
      <c r="CD155">
        <v>0</v>
      </c>
      <c r="CM155" s="5" t="s">
        <v>331</v>
      </c>
      <c r="CN155">
        <v>0</v>
      </c>
      <c r="CO155" s="30" t="s">
        <v>390</v>
      </c>
      <c r="CP155" s="17">
        <f>VAR(CN152:CN184)</f>
        <v>0.2</v>
      </c>
      <c r="CR155" s="5" t="s">
        <v>43</v>
      </c>
      <c r="CS155">
        <v>0</v>
      </c>
      <c r="CT155" s="30" t="s">
        <v>390</v>
      </c>
      <c r="CU155" s="17">
        <f>VAR(CS152:CS179)</f>
        <v>6.8783068783068779E-2</v>
      </c>
      <c r="CW155" s="61" t="s">
        <v>339</v>
      </c>
      <c r="CX155" s="62">
        <v>0</v>
      </c>
    </row>
    <row r="156" spans="1:102" x14ac:dyDescent="0.25">
      <c r="A156" s="5" t="s">
        <v>58</v>
      </c>
      <c r="B156">
        <v>1</v>
      </c>
      <c r="C156" s="15"/>
      <c r="D156" s="15"/>
      <c r="K156" s="5" t="s">
        <v>84</v>
      </c>
      <c r="L156">
        <v>0</v>
      </c>
      <c r="M156" s="17"/>
      <c r="N156" s="17"/>
      <c r="P156" s="17" t="s">
        <v>383</v>
      </c>
      <c r="Q156" s="6" t="s">
        <v>33</v>
      </c>
      <c r="R156" s="17"/>
      <c r="S156" s="17"/>
      <c r="U156" s="5" t="s">
        <v>100</v>
      </c>
      <c r="V156">
        <v>0</v>
      </c>
      <c r="W156" s="30" t="s">
        <v>391</v>
      </c>
      <c r="X156" s="17">
        <f>AVERAGE(V152:V184)</f>
        <v>6.0606060606060608E-2</v>
      </c>
      <c r="Z156" s="61" t="s">
        <v>109</v>
      </c>
      <c r="AA156" s="62">
        <v>2</v>
      </c>
      <c r="AE156" s="5" t="s">
        <v>129</v>
      </c>
      <c r="AF156">
        <v>9</v>
      </c>
      <c r="AG156" s="30" t="s">
        <v>387</v>
      </c>
      <c r="AH156" s="17">
        <f>SUM(AF156:AF170)</f>
        <v>63</v>
      </c>
      <c r="AO156" s="5" t="s">
        <v>156</v>
      </c>
      <c r="AP156">
        <v>2</v>
      </c>
      <c r="AQ156" s="17"/>
      <c r="AR156" s="17"/>
      <c r="AT156" s="17" t="s">
        <v>383</v>
      </c>
      <c r="AU156" s="6" t="s">
        <v>167</v>
      </c>
      <c r="AV156" s="17"/>
      <c r="AW156" s="17"/>
      <c r="AY156" s="5" t="s">
        <v>207</v>
      </c>
      <c r="AZ156">
        <v>0</v>
      </c>
      <c r="BA156" s="17"/>
      <c r="BB156" s="17"/>
      <c r="BD156" s="5" t="s">
        <v>228</v>
      </c>
      <c r="BE156">
        <v>0</v>
      </c>
      <c r="BF156" s="17"/>
      <c r="BG156" s="17"/>
      <c r="BI156" s="5" t="s">
        <v>260</v>
      </c>
      <c r="BJ156">
        <v>0</v>
      </c>
      <c r="BK156" s="17"/>
      <c r="BL156" s="17"/>
      <c r="BN156" s="5" t="s">
        <v>286</v>
      </c>
      <c r="BO156">
        <v>4</v>
      </c>
      <c r="BP156" s="17"/>
      <c r="BQ156" s="17"/>
      <c r="BX156" s="61" t="s">
        <v>281</v>
      </c>
      <c r="BY156" s="62">
        <v>0</v>
      </c>
      <c r="BZ156" s="58"/>
      <c r="CA156" s="58"/>
      <c r="CC156" s="5" t="s">
        <v>315</v>
      </c>
      <c r="CD156">
        <v>0</v>
      </c>
      <c r="CM156" s="5" t="s">
        <v>332</v>
      </c>
      <c r="CN156">
        <v>0</v>
      </c>
      <c r="CO156" s="30" t="s">
        <v>391</v>
      </c>
      <c r="CP156" s="17">
        <f>AVERAGE(CN152:CN184)</f>
        <v>0.2</v>
      </c>
      <c r="CR156" s="5" t="s">
        <v>336</v>
      </c>
      <c r="CS156">
        <v>0</v>
      </c>
      <c r="CT156" s="30" t="s">
        <v>391</v>
      </c>
      <c r="CU156" s="17">
        <f>AVERAGE(CS152:CS179)</f>
        <v>7.1428571428571425E-2</v>
      </c>
      <c r="CW156" s="61" t="s">
        <v>340</v>
      </c>
      <c r="CX156" s="62">
        <v>0</v>
      </c>
    </row>
    <row r="157" spans="1:102" x14ac:dyDescent="0.25">
      <c r="A157" s="5" t="s">
        <v>60</v>
      </c>
      <c r="B157">
        <v>0</v>
      </c>
      <c r="C157" s="17"/>
      <c r="D157" s="17"/>
      <c r="K157" s="5" t="s">
        <v>85</v>
      </c>
      <c r="L157">
        <v>0</v>
      </c>
      <c r="M157" s="17"/>
      <c r="N157" s="17"/>
      <c r="P157" s="17" t="s">
        <v>384</v>
      </c>
      <c r="Q157" s="17" t="s">
        <v>39</v>
      </c>
      <c r="R157" s="17" t="s">
        <v>385</v>
      </c>
      <c r="S157" s="17" t="s">
        <v>386</v>
      </c>
      <c r="U157" s="5" t="s">
        <v>101</v>
      </c>
      <c r="V157">
        <v>0</v>
      </c>
      <c r="W157" s="30" t="s">
        <v>392</v>
      </c>
      <c r="X157" s="17">
        <f>STDEV(V152:V184)</f>
        <v>0.24230584229877994</v>
      </c>
      <c r="Z157" s="61" t="s">
        <v>110</v>
      </c>
      <c r="AA157" s="62">
        <v>2</v>
      </c>
      <c r="AE157" s="5" t="s">
        <v>130</v>
      </c>
      <c r="AF157">
        <v>3</v>
      </c>
      <c r="AG157" s="30" t="s">
        <v>388</v>
      </c>
      <c r="AH157" s="17">
        <f>MIN(AF156:AF170)</f>
        <v>1</v>
      </c>
      <c r="AO157" s="5" t="s">
        <v>157</v>
      </c>
      <c r="AP157">
        <v>0</v>
      </c>
      <c r="AQ157" s="17"/>
      <c r="AR157" s="17"/>
      <c r="AT157" s="17" t="s">
        <v>384</v>
      </c>
      <c r="AU157" s="17" t="s">
        <v>39</v>
      </c>
      <c r="AV157" s="17" t="s">
        <v>385</v>
      </c>
      <c r="AW157" s="17" t="s">
        <v>386</v>
      </c>
      <c r="AY157" s="5" t="s">
        <v>208</v>
      </c>
      <c r="AZ157">
        <v>0</v>
      </c>
      <c r="BA157" s="15"/>
      <c r="BB157" s="15"/>
      <c r="BD157" s="5" t="s">
        <v>229</v>
      </c>
      <c r="BE157">
        <v>0</v>
      </c>
      <c r="BF157" s="17"/>
      <c r="BG157" s="17"/>
      <c r="BI157" s="5" t="s">
        <v>261</v>
      </c>
      <c r="BJ157">
        <v>1</v>
      </c>
      <c r="BK157" s="15"/>
      <c r="BL157" s="15"/>
      <c r="BN157" s="5" t="s">
        <v>287</v>
      </c>
      <c r="BO157">
        <v>2</v>
      </c>
      <c r="BP157" s="17"/>
      <c r="BQ157" s="17"/>
      <c r="BS157" s="17" t="s">
        <v>382</v>
      </c>
      <c r="BT157" s="29" t="s">
        <v>441</v>
      </c>
      <c r="BU157" s="17"/>
      <c r="BV157" s="17">
        <v>2016</v>
      </c>
      <c r="BX157" s="61" t="s">
        <v>282</v>
      </c>
      <c r="BY157" s="62">
        <v>0</v>
      </c>
      <c r="BZ157" s="58"/>
      <c r="CA157" s="58"/>
      <c r="CC157" s="5" t="s">
        <v>316</v>
      </c>
      <c r="CD157">
        <v>0</v>
      </c>
      <c r="CO157" s="30" t="s">
        <v>392</v>
      </c>
      <c r="CP157" s="17">
        <f>STDEV(CN152:CN184)</f>
        <v>0.44721359549995793</v>
      </c>
      <c r="CR157" s="5" t="s">
        <v>337</v>
      </c>
      <c r="CS157">
        <v>0</v>
      </c>
      <c r="CT157" s="30" t="s">
        <v>392</v>
      </c>
      <c r="CU157" s="17">
        <f>STDEV(CS152:CS179)</f>
        <v>0.26226526415648105</v>
      </c>
      <c r="CW157" s="61" t="s">
        <v>341</v>
      </c>
      <c r="CX157" s="62">
        <v>0</v>
      </c>
    </row>
    <row r="158" spans="1:102" x14ac:dyDescent="0.25">
      <c r="A158" s="5" t="s">
        <v>61</v>
      </c>
      <c r="B158">
        <v>1</v>
      </c>
      <c r="C158" s="17"/>
      <c r="D158" s="17"/>
      <c r="K158" s="5" t="s">
        <v>86</v>
      </c>
      <c r="L158">
        <v>0</v>
      </c>
      <c r="M158" s="17"/>
      <c r="N158" s="17"/>
      <c r="P158" s="5" t="s">
        <v>88</v>
      </c>
      <c r="Q158">
        <v>0</v>
      </c>
      <c r="R158" s="30" t="s">
        <v>387</v>
      </c>
      <c r="S158" s="17">
        <f>SUM(Q158:Q164)</f>
        <v>2</v>
      </c>
      <c r="U158" s="5" t="s">
        <v>103</v>
      </c>
      <c r="V158">
        <v>0</v>
      </c>
      <c r="W158" s="17"/>
      <c r="X158" s="17"/>
      <c r="Z158" s="61" t="s">
        <v>111</v>
      </c>
      <c r="AA158" s="62">
        <v>0</v>
      </c>
      <c r="AE158" s="5" t="s">
        <v>131</v>
      </c>
      <c r="AF158">
        <v>1</v>
      </c>
      <c r="AG158" s="30" t="s">
        <v>389</v>
      </c>
      <c r="AH158" s="17">
        <f>MAX(AF156:AF170)</f>
        <v>9</v>
      </c>
      <c r="AO158" s="5" t="s">
        <v>158</v>
      </c>
      <c r="AP158">
        <v>0</v>
      </c>
      <c r="AQ158" s="17"/>
      <c r="AR158" s="17"/>
      <c r="AT158" s="5" t="s">
        <v>175</v>
      </c>
      <c r="AU158">
        <v>0</v>
      </c>
      <c r="AV158" s="30" t="s">
        <v>387</v>
      </c>
      <c r="AW158" s="17">
        <f>SUM(AU158:AU175)</f>
        <v>3</v>
      </c>
      <c r="AY158" s="5" t="s">
        <v>209</v>
      </c>
      <c r="AZ158">
        <v>0</v>
      </c>
      <c r="BD158" s="5" t="s">
        <v>230</v>
      </c>
      <c r="BE158">
        <v>0</v>
      </c>
      <c r="BF158" s="17"/>
      <c r="BG158" s="17"/>
      <c r="BI158" s="5" t="s">
        <v>262</v>
      </c>
      <c r="BJ158">
        <v>0</v>
      </c>
      <c r="BN158" s="5" t="s">
        <v>288</v>
      </c>
      <c r="BO158">
        <v>6</v>
      </c>
      <c r="BP158" s="17"/>
      <c r="BQ158" s="17"/>
      <c r="BS158" s="17" t="s">
        <v>383</v>
      </c>
      <c r="BT158" s="6" t="s">
        <v>33</v>
      </c>
      <c r="BU158" s="17"/>
      <c r="BV158" s="17"/>
      <c r="BX158" s="61" t="s">
        <v>283</v>
      </c>
      <c r="BY158" s="62">
        <v>0</v>
      </c>
      <c r="BZ158" s="58"/>
      <c r="CA158" s="58"/>
      <c r="CC158" s="5" t="s">
        <v>317</v>
      </c>
      <c r="CD158">
        <v>0</v>
      </c>
      <c r="CO158" s="17"/>
      <c r="CP158" s="17"/>
      <c r="CR158" s="5" t="s">
        <v>338</v>
      </c>
      <c r="CS158">
        <v>0</v>
      </c>
      <c r="CW158" s="61" t="s">
        <v>342</v>
      </c>
      <c r="CX158" s="62">
        <v>0</v>
      </c>
    </row>
    <row r="159" spans="1:102" x14ac:dyDescent="0.25">
      <c r="A159" s="5" t="s">
        <v>62</v>
      </c>
      <c r="B159">
        <v>0</v>
      </c>
      <c r="C159" s="17"/>
      <c r="D159" s="1"/>
      <c r="K159" s="5" t="s">
        <v>87</v>
      </c>
      <c r="L159">
        <v>0</v>
      </c>
      <c r="M159" s="17"/>
      <c r="N159" s="17"/>
      <c r="P159" s="5" t="s">
        <v>89</v>
      </c>
      <c r="Q159">
        <v>0</v>
      </c>
      <c r="R159" s="30" t="s">
        <v>388</v>
      </c>
      <c r="S159" s="17">
        <f>MIN(Q158:Q164)</f>
        <v>0</v>
      </c>
      <c r="U159" s="5" t="s">
        <v>104</v>
      </c>
      <c r="V159">
        <v>0</v>
      </c>
      <c r="W159" s="17"/>
      <c r="X159" s="17"/>
      <c r="Z159" s="61" t="s">
        <v>112</v>
      </c>
      <c r="AA159" s="62">
        <v>0</v>
      </c>
      <c r="AE159" s="5" t="s">
        <v>132</v>
      </c>
      <c r="AF159">
        <v>5</v>
      </c>
      <c r="AG159" s="30" t="s">
        <v>390</v>
      </c>
      <c r="AH159" s="17">
        <f>VAR(AF156:AF170)</f>
        <v>3.8857142857142839</v>
      </c>
      <c r="AO159" s="5" t="s">
        <v>159</v>
      </c>
      <c r="AP159">
        <v>0</v>
      </c>
      <c r="AQ159" s="17"/>
      <c r="AR159" s="17"/>
      <c r="AT159" s="5" t="s">
        <v>176</v>
      </c>
      <c r="AU159">
        <v>0</v>
      </c>
      <c r="AV159" s="30" t="s">
        <v>388</v>
      </c>
      <c r="AW159" s="17">
        <f>MIN(AU158:AU175)</f>
        <v>0</v>
      </c>
      <c r="AY159" s="5" t="s">
        <v>210</v>
      </c>
      <c r="AZ159">
        <v>0</v>
      </c>
      <c r="BD159" s="5" t="s">
        <v>231</v>
      </c>
      <c r="BE159">
        <v>0</v>
      </c>
      <c r="BF159" s="17"/>
      <c r="BG159" s="17"/>
      <c r="BI159" s="5" t="s">
        <v>263</v>
      </c>
      <c r="BJ159">
        <v>0</v>
      </c>
      <c r="BN159" s="5" t="s">
        <v>289</v>
      </c>
      <c r="BO159">
        <v>5</v>
      </c>
      <c r="BP159" s="17"/>
      <c r="BQ159" s="17"/>
      <c r="BS159" s="17" t="s">
        <v>384</v>
      </c>
      <c r="BT159" s="17" t="s">
        <v>39</v>
      </c>
      <c r="BU159" s="17" t="s">
        <v>385</v>
      </c>
      <c r="BV159" s="17" t="s">
        <v>386</v>
      </c>
      <c r="BX159" s="61" t="s">
        <v>285</v>
      </c>
      <c r="BY159" s="62">
        <v>0</v>
      </c>
      <c r="BZ159" s="58"/>
      <c r="CA159" s="58"/>
      <c r="CC159" s="5" t="s">
        <v>318</v>
      </c>
      <c r="CD159">
        <v>0</v>
      </c>
      <c r="CO159" s="17"/>
      <c r="CP159" s="17"/>
      <c r="CR159" s="5" t="s">
        <v>339</v>
      </c>
      <c r="CS159">
        <v>1</v>
      </c>
      <c r="CW159" s="61" t="s">
        <v>343</v>
      </c>
      <c r="CX159" s="62">
        <v>0</v>
      </c>
    </row>
    <row r="160" spans="1:102" x14ac:dyDescent="0.25">
      <c r="A160" s="5" t="s">
        <v>63</v>
      </c>
      <c r="B160">
        <v>0</v>
      </c>
      <c r="C160" s="17"/>
      <c r="D160" s="1"/>
      <c r="P160" s="5" t="s">
        <v>90</v>
      </c>
      <c r="Q160">
        <v>0</v>
      </c>
      <c r="R160" s="30" t="s">
        <v>389</v>
      </c>
      <c r="S160" s="17">
        <f>MAX(Q158:Q164)</f>
        <v>1</v>
      </c>
      <c r="U160" s="5" t="s">
        <v>105</v>
      </c>
      <c r="V160">
        <v>0</v>
      </c>
      <c r="W160" s="17"/>
      <c r="X160" s="17"/>
      <c r="Z160" s="61" t="s">
        <v>113</v>
      </c>
      <c r="AA160" s="62">
        <v>1</v>
      </c>
      <c r="AE160" s="5" t="s">
        <v>133</v>
      </c>
      <c r="AF160">
        <v>4</v>
      </c>
      <c r="AG160" s="30" t="s">
        <v>391</v>
      </c>
      <c r="AH160" s="17">
        <f>AVERAGE(AF156:AF170)</f>
        <v>4.2</v>
      </c>
      <c r="AO160" s="5" t="s">
        <v>100</v>
      </c>
      <c r="AP160">
        <v>0</v>
      </c>
      <c r="AQ160" s="17"/>
      <c r="AR160" s="17"/>
      <c r="AT160" s="5" t="s">
        <v>177</v>
      </c>
      <c r="AU160">
        <v>1</v>
      </c>
      <c r="AV160" s="30" t="s">
        <v>389</v>
      </c>
      <c r="AW160" s="17">
        <f>MAX(AU158:AU175)</f>
        <v>1</v>
      </c>
      <c r="AY160" s="5" t="s">
        <v>211</v>
      </c>
      <c r="AZ160">
        <v>0</v>
      </c>
      <c r="BD160" s="5" t="s">
        <v>232</v>
      </c>
      <c r="BE160">
        <v>0</v>
      </c>
      <c r="BF160" s="17"/>
      <c r="BG160" s="17"/>
      <c r="BI160" s="5" t="s">
        <v>264</v>
      </c>
      <c r="BJ160">
        <v>0</v>
      </c>
      <c r="BS160" s="5" t="s">
        <v>290</v>
      </c>
      <c r="BT160">
        <v>1</v>
      </c>
      <c r="BU160" s="30" t="s">
        <v>387</v>
      </c>
      <c r="BV160" s="17">
        <f>SUM(BT160:BT168)</f>
        <v>2</v>
      </c>
      <c r="BX160" s="61" t="s">
        <v>284</v>
      </c>
      <c r="BY160" s="62">
        <v>0</v>
      </c>
      <c r="BZ160" s="58"/>
      <c r="CA160" s="58"/>
      <c r="CC160" s="5" t="s">
        <v>319</v>
      </c>
      <c r="CD160">
        <v>0</v>
      </c>
      <c r="CO160" s="17"/>
      <c r="CP160" s="17"/>
      <c r="CR160" s="5" t="s">
        <v>340</v>
      </c>
      <c r="CS160">
        <v>0</v>
      </c>
      <c r="CW160" s="61" t="s">
        <v>344</v>
      </c>
      <c r="CX160" s="62">
        <v>0</v>
      </c>
    </row>
    <row r="161" spans="1:102" x14ac:dyDescent="0.25">
      <c r="A161" s="5" t="s">
        <v>64</v>
      </c>
      <c r="B161">
        <v>0</v>
      </c>
      <c r="C161" s="17"/>
      <c r="D161" s="1"/>
      <c r="K161" s="17" t="s">
        <v>382</v>
      </c>
      <c r="L161" s="29" t="s">
        <v>363</v>
      </c>
      <c r="M161" s="17"/>
      <c r="N161" s="17">
        <v>2016</v>
      </c>
      <c r="P161" s="5" t="s">
        <v>91</v>
      </c>
      <c r="Q161">
        <v>1</v>
      </c>
      <c r="R161" s="30" t="s">
        <v>390</v>
      </c>
      <c r="S161" s="17">
        <f>VAR(Q158:Q164)</f>
        <v>0.23809523809523811</v>
      </c>
      <c r="U161" s="5" t="s">
        <v>106</v>
      </c>
      <c r="V161">
        <v>1</v>
      </c>
      <c r="W161" s="17"/>
      <c r="X161" s="17"/>
      <c r="Z161" s="64" t="s">
        <v>114</v>
      </c>
      <c r="AA161" s="62">
        <v>3</v>
      </c>
      <c r="AE161" s="5" t="s">
        <v>134</v>
      </c>
      <c r="AF161">
        <v>4</v>
      </c>
      <c r="AG161" s="30" t="s">
        <v>392</v>
      </c>
      <c r="AH161" s="17">
        <f>STDEV(AF156:AF170)</f>
        <v>1.9712215212183242</v>
      </c>
      <c r="AO161" s="5" t="s">
        <v>161</v>
      </c>
      <c r="AP161">
        <v>0</v>
      </c>
      <c r="AQ161" s="17"/>
      <c r="AR161" s="17"/>
      <c r="AT161" s="5" t="s">
        <v>178</v>
      </c>
      <c r="AU161">
        <v>1</v>
      </c>
      <c r="AV161" s="30" t="s">
        <v>390</v>
      </c>
      <c r="AW161" s="17">
        <f>VAR(AU158:AU175)</f>
        <v>0.14705882352941177</v>
      </c>
      <c r="AY161" s="5" t="s">
        <v>212</v>
      </c>
      <c r="AZ161">
        <v>0</v>
      </c>
      <c r="BD161" s="5" t="s">
        <v>233</v>
      </c>
      <c r="BE161">
        <v>0</v>
      </c>
      <c r="BF161" s="17"/>
      <c r="BG161" s="17"/>
      <c r="BI161" s="5" t="s">
        <v>265</v>
      </c>
      <c r="BJ161">
        <v>1</v>
      </c>
      <c r="BN161" s="17" t="s">
        <v>382</v>
      </c>
      <c r="BO161" s="29" t="s">
        <v>440</v>
      </c>
      <c r="BP161" s="17"/>
      <c r="BQ161" s="17">
        <v>2016</v>
      </c>
      <c r="BS161" s="5" t="s">
        <v>291</v>
      </c>
      <c r="BT161">
        <v>1</v>
      </c>
      <c r="BU161" s="30" t="s">
        <v>388</v>
      </c>
      <c r="BV161" s="17">
        <f>MIN(BT160:BT168)</f>
        <v>0</v>
      </c>
      <c r="BX161" s="61" t="s">
        <v>286</v>
      </c>
      <c r="BY161" s="62">
        <v>0</v>
      </c>
      <c r="BZ161" s="58"/>
      <c r="CA161" s="58"/>
      <c r="CC161" s="5" t="s">
        <v>320</v>
      </c>
      <c r="CD161">
        <v>0</v>
      </c>
      <c r="CO161" s="17"/>
      <c r="CP161" s="17"/>
      <c r="CR161" s="5" t="s">
        <v>341</v>
      </c>
      <c r="CS161">
        <v>0</v>
      </c>
      <c r="CW161" s="61" t="s">
        <v>345</v>
      </c>
      <c r="CX161" s="62">
        <v>0</v>
      </c>
    </row>
    <row r="162" spans="1:102" x14ac:dyDescent="0.25">
      <c r="A162" s="5"/>
      <c r="B162" s="27"/>
      <c r="C162" s="17"/>
      <c r="D162" s="1"/>
      <c r="K162" s="17" t="s">
        <v>383</v>
      </c>
      <c r="L162" s="6" t="s">
        <v>22</v>
      </c>
      <c r="M162" s="17"/>
      <c r="N162" s="17"/>
      <c r="P162" s="5" t="s">
        <v>92</v>
      </c>
      <c r="Q162">
        <v>1</v>
      </c>
      <c r="R162" s="30" t="s">
        <v>391</v>
      </c>
      <c r="S162" s="17">
        <f>AVERAGE(Q158:Q164)</f>
        <v>0.2857142857142857</v>
      </c>
      <c r="U162" s="5" t="s">
        <v>61</v>
      </c>
      <c r="V162">
        <v>0</v>
      </c>
      <c r="W162" s="17"/>
      <c r="X162" s="17"/>
      <c r="Z162" s="64" t="s">
        <v>115</v>
      </c>
      <c r="AA162" s="62">
        <v>2</v>
      </c>
      <c r="AE162" s="5" t="s">
        <v>135</v>
      </c>
      <c r="AF162">
        <v>6</v>
      </c>
      <c r="AG162" s="17"/>
      <c r="AH162" s="17"/>
      <c r="AO162" s="5" t="s">
        <v>162</v>
      </c>
      <c r="AP162">
        <v>0</v>
      </c>
      <c r="AQ162" s="17"/>
      <c r="AR162" s="17"/>
      <c r="AT162" s="5" t="s">
        <v>179</v>
      </c>
      <c r="AU162">
        <v>0</v>
      </c>
      <c r="AV162" s="30" t="s">
        <v>391</v>
      </c>
      <c r="AW162" s="17">
        <f>AVERAGE(AU158:AU175)</f>
        <v>0.16666666666666666</v>
      </c>
      <c r="AY162" s="5" t="s">
        <v>213</v>
      </c>
      <c r="AZ162">
        <v>0</v>
      </c>
      <c r="BD162" s="5" t="s">
        <v>234</v>
      </c>
      <c r="BE162">
        <v>0</v>
      </c>
      <c r="BF162" s="17"/>
      <c r="BG162" s="17"/>
      <c r="BI162" s="5" t="s">
        <v>266</v>
      </c>
      <c r="BJ162">
        <v>0</v>
      </c>
      <c r="BN162" s="17" t="s">
        <v>383</v>
      </c>
      <c r="BO162" s="6" t="s">
        <v>167</v>
      </c>
      <c r="BP162" s="17"/>
      <c r="BQ162" s="17"/>
      <c r="BS162" s="5" t="s">
        <v>292</v>
      </c>
      <c r="BT162">
        <v>0</v>
      </c>
      <c r="BU162" s="30" t="s">
        <v>389</v>
      </c>
      <c r="BV162" s="17">
        <f>MAX(BT160:BT168)</f>
        <v>1</v>
      </c>
      <c r="BX162" s="61" t="s">
        <v>287</v>
      </c>
      <c r="BY162" s="62">
        <v>0</v>
      </c>
      <c r="BZ162" s="58"/>
      <c r="CA162" s="58"/>
      <c r="CO162" s="17"/>
      <c r="CP162" s="17"/>
      <c r="CR162" s="5" t="s">
        <v>342</v>
      </c>
      <c r="CS162">
        <v>0</v>
      </c>
      <c r="CW162" s="61" t="s">
        <v>346</v>
      </c>
      <c r="CX162" s="62">
        <v>0</v>
      </c>
    </row>
    <row r="163" spans="1:102" x14ac:dyDescent="0.25">
      <c r="A163" s="17" t="s">
        <v>382</v>
      </c>
      <c r="B163" s="29" t="s">
        <v>361</v>
      </c>
      <c r="C163" s="17"/>
      <c r="D163" s="17">
        <v>2016</v>
      </c>
      <c r="K163" s="17" t="s">
        <v>384</v>
      </c>
      <c r="L163" s="17" t="s">
        <v>39</v>
      </c>
      <c r="M163" s="17" t="s">
        <v>385</v>
      </c>
      <c r="N163" s="17" t="s">
        <v>386</v>
      </c>
      <c r="P163" s="5" t="s">
        <v>93</v>
      </c>
      <c r="Q163">
        <v>0</v>
      </c>
      <c r="R163" s="30" t="s">
        <v>392</v>
      </c>
      <c r="S163" s="17">
        <f>STDEV(Q158:Q164)</f>
        <v>0.4879500364742666</v>
      </c>
      <c r="U163" s="5" t="s">
        <v>107</v>
      </c>
      <c r="V163">
        <v>0</v>
      </c>
      <c r="W163" s="17"/>
      <c r="X163" s="17"/>
      <c r="Z163" s="64" t="s">
        <v>116</v>
      </c>
      <c r="AA163" s="62">
        <v>2</v>
      </c>
      <c r="AE163" s="5" t="s">
        <v>136</v>
      </c>
      <c r="AF163">
        <v>5</v>
      </c>
      <c r="AG163" s="17"/>
      <c r="AH163" s="17"/>
      <c r="AO163" s="5" t="s">
        <v>163</v>
      </c>
      <c r="AP163">
        <v>0</v>
      </c>
      <c r="AQ163" s="17"/>
      <c r="AR163" s="17"/>
      <c r="AT163" s="5" t="s">
        <v>180</v>
      </c>
      <c r="AU163">
        <v>0</v>
      </c>
      <c r="AV163" s="30" t="s">
        <v>392</v>
      </c>
      <c r="AW163" s="17">
        <f>STDEV(AU158:AU175)</f>
        <v>0.38348249442368521</v>
      </c>
      <c r="AY163" s="5" t="s">
        <v>214</v>
      </c>
      <c r="AZ163">
        <v>0</v>
      </c>
      <c r="BD163" s="5" t="s">
        <v>157</v>
      </c>
      <c r="BE163">
        <v>1</v>
      </c>
      <c r="BF163" s="17"/>
      <c r="BG163" s="17"/>
      <c r="BI163" s="5" t="s">
        <v>267</v>
      </c>
      <c r="BJ163">
        <v>0</v>
      </c>
      <c r="BN163" s="17" t="s">
        <v>384</v>
      </c>
      <c r="BO163" s="17" t="s">
        <v>39</v>
      </c>
      <c r="BP163" s="17" t="s">
        <v>385</v>
      </c>
      <c r="BQ163" s="17" t="s">
        <v>386</v>
      </c>
      <c r="BS163" s="5" t="s">
        <v>293</v>
      </c>
      <c r="BT163">
        <v>0</v>
      </c>
      <c r="BU163" s="30" t="s">
        <v>390</v>
      </c>
      <c r="BV163" s="17">
        <f>VAR(BT160:BT168)</f>
        <v>0.19444444444444445</v>
      </c>
      <c r="BX163" s="61" t="s">
        <v>288</v>
      </c>
      <c r="BY163" s="62">
        <v>0</v>
      </c>
      <c r="BZ163" s="58"/>
      <c r="CA163" s="58"/>
      <c r="CC163" s="17" t="s">
        <v>382</v>
      </c>
      <c r="CD163" s="29" t="s">
        <v>375</v>
      </c>
      <c r="CE163" s="17"/>
      <c r="CF163" s="17">
        <v>2016</v>
      </c>
      <c r="CO163" s="17"/>
      <c r="CP163" s="17"/>
      <c r="CR163" s="5" t="s">
        <v>343</v>
      </c>
      <c r="CS163">
        <v>1</v>
      </c>
      <c r="CW163" s="61" t="s">
        <v>347</v>
      </c>
      <c r="CX163" s="62">
        <v>0</v>
      </c>
    </row>
    <row r="164" spans="1:102" x14ac:dyDescent="0.25">
      <c r="A164" s="17" t="s">
        <v>383</v>
      </c>
      <c r="B164" s="28" t="s">
        <v>16</v>
      </c>
      <c r="C164" s="17"/>
      <c r="D164" s="17"/>
      <c r="K164" s="5" t="s">
        <v>72</v>
      </c>
      <c r="L164">
        <v>0</v>
      </c>
      <c r="M164" s="30" t="s">
        <v>387</v>
      </c>
      <c r="N164" s="17">
        <f>SUM(L164:L179)</f>
        <v>3</v>
      </c>
      <c r="P164" s="5" t="s">
        <v>94</v>
      </c>
      <c r="Q164">
        <v>0</v>
      </c>
      <c r="R164" s="17"/>
      <c r="S164" s="17"/>
      <c r="U164" s="5" t="s">
        <v>108</v>
      </c>
      <c r="V164">
        <v>1</v>
      </c>
      <c r="W164" s="17"/>
      <c r="X164" s="17"/>
      <c r="Z164" s="64" t="s">
        <v>117</v>
      </c>
      <c r="AA164" s="62">
        <v>2</v>
      </c>
      <c r="AE164" s="5" t="s">
        <v>44</v>
      </c>
      <c r="AF164">
        <v>6</v>
      </c>
      <c r="AG164" s="17"/>
      <c r="AH164" s="17"/>
      <c r="AO164" s="5" t="s">
        <v>164</v>
      </c>
      <c r="AP164">
        <v>0</v>
      </c>
      <c r="AQ164" s="17"/>
      <c r="AR164" s="17"/>
      <c r="AT164" s="5" t="s">
        <v>181</v>
      </c>
      <c r="AU164">
        <v>0</v>
      </c>
      <c r="AV164" s="17"/>
      <c r="AW164" s="17"/>
      <c r="AY164" s="5" t="s">
        <v>215</v>
      </c>
      <c r="AZ164">
        <v>1</v>
      </c>
      <c r="BD164" s="5" t="s">
        <v>235</v>
      </c>
      <c r="BE164">
        <v>0</v>
      </c>
      <c r="BF164" s="17"/>
      <c r="BG164" s="17"/>
      <c r="BI164" s="5" t="s">
        <v>268</v>
      </c>
      <c r="BJ164">
        <v>0</v>
      </c>
      <c r="BN164" s="5" t="s">
        <v>274</v>
      </c>
      <c r="BO164">
        <v>0</v>
      </c>
      <c r="BP164" s="30" t="s">
        <v>387</v>
      </c>
      <c r="BQ164" s="17">
        <f>SUM(BO164:BO179)</f>
        <v>1</v>
      </c>
      <c r="BS164" s="5" t="s">
        <v>294</v>
      </c>
      <c r="BT164">
        <v>0</v>
      </c>
      <c r="BU164" s="30" t="s">
        <v>391</v>
      </c>
      <c r="BV164" s="17">
        <f>AVERAGE(BT160:BT168)</f>
        <v>0.22222222222222221</v>
      </c>
      <c r="BX164" s="61" t="s">
        <v>289</v>
      </c>
      <c r="BY164" s="62">
        <v>0</v>
      </c>
      <c r="BZ164" s="58"/>
      <c r="CA164" s="58"/>
      <c r="CC164" s="17" t="s">
        <v>383</v>
      </c>
      <c r="CD164" s="6" t="s">
        <v>59</v>
      </c>
      <c r="CE164" s="17"/>
      <c r="CF164" s="17"/>
      <c r="CO164" s="17"/>
      <c r="CP164" s="17"/>
      <c r="CR164" s="5" t="s">
        <v>344</v>
      </c>
      <c r="CS164">
        <v>0</v>
      </c>
      <c r="CW164" s="61" t="s">
        <v>348</v>
      </c>
      <c r="CX164" s="62">
        <v>0</v>
      </c>
    </row>
    <row r="165" spans="1:102" x14ac:dyDescent="0.25">
      <c r="A165" s="17" t="s">
        <v>384</v>
      </c>
      <c r="B165" s="17" t="s">
        <v>39</v>
      </c>
      <c r="C165" s="17" t="s">
        <v>385</v>
      </c>
      <c r="D165" s="17" t="s">
        <v>386</v>
      </c>
      <c r="K165" s="5" t="s">
        <v>73</v>
      </c>
      <c r="L165">
        <v>0</v>
      </c>
      <c r="M165" s="30" t="s">
        <v>388</v>
      </c>
      <c r="N165" s="17">
        <f>MIN(L164:L179)</f>
        <v>0</v>
      </c>
      <c r="U165" s="5" t="s">
        <v>109</v>
      </c>
      <c r="V165">
        <v>0</v>
      </c>
      <c r="W165" s="17"/>
      <c r="X165" s="17"/>
      <c r="Z165" s="64" t="s">
        <v>118</v>
      </c>
      <c r="AA165" s="62">
        <v>1</v>
      </c>
      <c r="AE165" s="5" t="s">
        <v>137</v>
      </c>
      <c r="AF165">
        <v>4</v>
      </c>
      <c r="AG165" s="17"/>
      <c r="AH165" s="17"/>
      <c r="AO165" s="5" t="s">
        <v>165</v>
      </c>
      <c r="AP165">
        <v>0</v>
      </c>
      <c r="AQ165" s="17"/>
      <c r="AR165" s="17"/>
      <c r="AT165" s="5" t="s">
        <v>182</v>
      </c>
      <c r="AU165">
        <v>0</v>
      </c>
      <c r="AV165" s="17"/>
      <c r="AW165" s="17"/>
      <c r="AY165" s="5" t="s">
        <v>216</v>
      </c>
      <c r="AZ165">
        <v>0</v>
      </c>
      <c r="BD165" s="5" t="s">
        <v>236</v>
      </c>
      <c r="BE165">
        <v>0</v>
      </c>
      <c r="BF165" s="17"/>
      <c r="BG165" s="17"/>
      <c r="BI165" s="5" t="s">
        <v>269</v>
      </c>
      <c r="BJ165">
        <v>1</v>
      </c>
      <c r="BN165" s="5" t="s">
        <v>275</v>
      </c>
      <c r="BO165">
        <v>0</v>
      </c>
      <c r="BP165" s="30" t="s">
        <v>388</v>
      </c>
      <c r="BQ165" s="17">
        <f>MIN(BO164:BO179)</f>
        <v>0</v>
      </c>
      <c r="BS165" s="5" t="s">
        <v>295</v>
      </c>
      <c r="BT165">
        <v>0</v>
      </c>
      <c r="BU165" s="30" t="s">
        <v>392</v>
      </c>
      <c r="BV165" s="17">
        <f>STDEV(BT160:BT168)</f>
        <v>0.44095855184409843</v>
      </c>
      <c r="BX165" s="61" t="s">
        <v>290</v>
      </c>
      <c r="BY165" s="62">
        <v>0</v>
      </c>
      <c r="CC165" s="17" t="s">
        <v>384</v>
      </c>
      <c r="CD165" s="17" t="s">
        <v>39</v>
      </c>
      <c r="CE165" s="17" t="s">
        <v>385</v>
      </c>
      <c r="CF165" s="17" t="s">
        <v>386</v>
      </c>
      <c r="CO165" s="17"/>
      <c r="CP165" s="17"/>
      <c r="CR165" s="5" t="s">
        <v>345</v>
      </c>
      <c r="CS165">
        <v>0</v>
      </c>
      <c r="CW165" s="61" t="s">
        <v>349</v>
      </c>
      <c r="CX165" s="62">
        <v>0</v>
      </c>
    </row>
    <row r="166" spans="1:102" x14ac:dyDescent="0.25">
      <c r="A166" s="5" t="s">
        <v>40</v>
      </c>
      <c r="B166" s="27">
        <v>0</v>
      </c>
      <c r="C166" s="30" t="s">
        <v>387</v>
      </c>
      <c r="D166" s="17">
        <f>SUM(B166:B188)</f>
        <v>7</v>
      </c>
      <c r="K166" s="5" t="s">
        <v>74</v>
      </c>
      <c r="L166">
        <v>1</v>
      </c>
      <c r="M166" s="30" t="s">
        <v>389</v>
      </c>
      <c r="N166" s="17">
        <f>MAX(L164:L179)</f>
        <v>1</v>
      </c>
      <c r="P166" s="17" t="s">
        <v>382</v>
      </c>
      <c r="Q166" s="29" t="s">
        <v>401</v>
      </c>
      <c r="R166" s="17"/>
      <c r="S166" s="17">
        <v>2016</v>
      </c>
      <c r="U166" s="5" t="s">
        <v>110</v>
      </c>
      <c r="V166">
        <v>0</v>
      </c>
      <c r="W166" s="17"/>
      <c r="X166" s="17"/>
      <c r="Z166" s="64" t="s">
        <v>119</v>
      </c>
      <c r="AA166" s="62">
        <v>0</v>
      </c>
      <c r="AE166" s="5" t="s">
        <v>138</v>
      </c>
      <c r="AF166">
        <v>2</v>
      </c>
      <c r="AG166" s="17"/>
      <c r="AH166" s="17"/>
      <c r="AO166" s="5" t="s">
        <v>166</v>
      </c>
      <c r="AP166">
        <v>0</v>
      </c>
      <c r="AQ166" s="15"/>
      <c r="AR166" s="15"/>
      <c r="AT166" s="5" t="s">
        <v>183</v>
      </c>
      <c r="AU166">
        <v>0</v>
      </c>
      <c r="AV166" s="17"/>
      <c r="AW166" s="17"/>
      <c r="AY166" s="5" t="s">
        <v>217</v>
      </c>
      <c r="AZ166">
        <v>0</v>
      </c>
      <c r="BD166" s="5" t="s">
        <v>237</v>
      </c>
      <c r="BE166">
        <v>0</v>
      </c>
      <c r="BF166" s="15"/>
      <c r="BG166" s="15"/>
      <c r="BI166" s="5" t="s">
        <v>270</v>
      </c>
      <c r="BJ166">
        <v>0</v>
      </c>
      <c r="BN166" s="5" t="s">
        <v>276</v>
      </c>
      <c r="BO166">
        <v>0</v>
      </c>
      <c r="BP166" s="30" t="s">
        <v>389</v>
      </c>
      <c r="BQ166" s="17">
        <f>MAX(BO164:BO179)</f>
        <v>1</v>
      </c>
      <c r="BS166" s="5" t="s">
        <v>296</v>
      </c>
      <c r="BT166">
        <v>0</v>
      </c>
      <c r="BU166" s="17"/>
      <c r="BV166" s="17"/>
      <c r="BX166" s="61" t="s">
        <v>291</v>
      </c>
      <c r="BY166" s="62">
        <v>0</v>
      </c>
      <c r="CC166" s="5" t="s">
        <v>299</v>
      </c>
      <c r="CD166">
        <v>0</v>
      </c>
      <c r="CE166" s="30" t="s">
        <v>387</v>
      </c>
      <c r="CF166" s="17">
        <f>SUM(CD166:CD188)</f>
        <v>1</v>
      </c>
      <c r="CO166" s="17"/>
      <c r="CP166" s="17"/>
      <c r="CR166" s="5" t="s">
        <v>346</v>
      </c>
      <c r="CS166">
        <v>0</v>
      </c>
      <c r="CW166" s="61" t="s">
        <v>350</v>
      </c>
      <c r="CX166" s="62">
        <v>0</v>
      </c>
    </row>
    <row r="167" spans="1:102" x14ac:dyDescent="0.25">
      <c r="A167" s="5" t="s">
        <v>41</v>
      </c>
      <c r="B167" s="27">
        <v>1</v>
      </c>
      <c r="C167" s="30" t="s">
        <v>388</v>
      </c>
      <c r="D167" s="17">
        <f>MIN(B166:B188)</f>
        <v>0</v>
      </c>
      <c r="K167" s="5" t="s">
        <v>75</v>
      </c>
      <c r="L167">
        <v>1</v>
      </c>
      <c r="M167" s="30" t="s">
        <v>390</v>
      </c>
      <c r="N167" s="17">
        <f>VAR(L164:L179)</f>
        <v>0.16250000000000001</v>
      </c>
      <c r="P167" s="17" t="s">
        <v>383</v>
      </c>
      <c r="Q167" s="6" t="s">
        <v>37</v>
      </c>
      <c r="R167" s="17"/>
      <c r="S167" s="17"/>
      <c r="U167" s="5" t="s">
        <v>111</v>
      </c>
      <c r="V167">
        <v>0</v>
      </c>
      <c r="W167" s="17"/>
      <c r="X167" s="17"/>
      <c r="Z167" s="61" t="s">
        <v>120</v>
      </c>
      <c r="AA167" s="62">
        <v>1</v>
      </c>
      <c r="AE167" s="5" t="s">
        <v>139</v>
      </c>
      <c r="AF167">
        <v>2</v>
      </c>
      <c r="AG167" s="17"/>
      <c r="AH167" s="17"/>
      <c r="AO167" s="5" t="s">
        <v>168</v>
      </c>
      <c r="AP167">
        <v>1</v>
      </c>
      <c r="AQ167" s="17"/>
      <c r="AR167" s="17"/>
      <c r="AT167" s="5" t="s">
        <v>184</v>
      </c>
      <c r="AU167">
        <v>0</v>
      </c>
      <c r="AV167" s="17"/>
      <c r="AW167" s="17"/>
      <c r="AY167" s="5" t="s">
        <v>218</v>
      </c>
      <c r="AZ167">
        <v>0</v>
      </c>
      <c r="BD167" s="5" t="s">
        <v>238</v>
      </c>
      <c r="BE167">
        <v>0</v>
      </c>
      <c r="BI167" s="5" t="s">
        <v>271</v>
      </c>
      <c r="BJ167">
        <v>1</v>
      </c>
      <c r="BN167" s="5" t="s">
        <v>277</v>
      </c>
      <c r="BO167">
        <v>0</v>
      </c>
      <c r="BP167" s="30" t="s">
        <v>390</v>
      </c>
      <c r="BQ167" s="17">
        <f>VAR(BO164:BO179)</f>
        <v>6.25E-2</v>
      </c>
      <c r="BS167" s="5" t="s">
        <v>297</v>
      </c>
      <c r="BT167">
        <v>0</v>
      </c>
      <c r="BU167" s="17"/>
      <c r="BV167" s="17"/>
      <c r="BX167" s="61" t="s">
        <v>292</v>
      </c>
      <c r="BY167" s="62">
        <v>0</v>
      </c>
      <c r="CC167" s="5" t="s">
        <v>300</v>
      </c>
      <c r="CD167">
        <v>0</v>
      </c>
      <c r="CE167" s="30" t="s">
        <v>388</v>
      </c>
      <c r="CF167" s="17">
        <f>MIN(CD166:CD188)</f>
        <v>0</v>
      </c>
      <c r="CO167" s="17"/>
      <c r="CP167" s="17"/>
      <c r="CR167" s="5" t="s">
        <v>347</v>
      </c>
      <c r="CS167">
        <v>0</v>
      </c>
      <c r="CW167" s="61" t="s">
        <v>351</v>
      </c>
      <c r="CX167" s="62">
        <v>0</v>
      </c>
    </row>
    <row r="168" spans="1:102" x14ac:dyDescent="0.25">
      <c r="A168" s="5" t="s">
        <v>42</v>
      </c>
      <c r="B168" s="27">
        <v>0</v>
      </c>
      <c r="C168" s="30" t="s">
        <v>389</v>
      </c>
      <c r="D168" s="17">
        <f>MAX(B166:B188)</f>
        <v>2</v>
      </c>
      <c r="K168" s="5" t="s">
        <v>76</v>
      </c>
      <c r="L168">
        <v>1</v>
      </c>
      <c r="M168" s="30" t="s">
        <v>391</v>
      </c>
      <c r="N168" s="17">
        <f>AVERAGE(L164:L179)</f>
        <v>0.1875</v>
      </c>
      <c r="P168" s="17" t="s">
        <v>384</v>
      </c>
      <c r="Q168" s="17" t="s">
        <v>39</v>
      </c>
      <c r="R168" s="17" t="s">
        <v>385</v>
      </c>
      <c r="S168" s="17" t="s">
        <v>386</v>
      </c>
      <c r="U168" s="5" t="s">
        <v>112</v>
      </c>
      <c r="V168">
        <v>0</v>
      </c>
      <c r="W168" s="17"/>
      <c r="X168" s="17"/>
      <c r="Z168" s="61" t="s">
        <v>121</v>
      </c>
      <c r="AA168" s="62">
        <v>0</v>
      </c>
      <c r="AE168" s="5" t="s">
        <v>140</v>
      </c>
      <c r="AF168">
        <v>5</v>
      </c>
      <c r="AG168" s="17"/>
      <c r="AH168" s="17"/>
      <c r="AO168" s="5" t="s">
        <v>169</v>
      </c>
      <c r="AP168">
        <v>0</v>
      </c>
      <c r="AQ168" s="17"/>
      <c r="AR168" s="17"/>
      <c r="AT168" s="5" t="s">
        <v>185</v>
      </c>
      <c r="AU168">
        <v>0</v>
      </c>
      <c r="AV168" s="17"/>
      <c r="AW168" s="17"/>
      <c r="AY168" s="5" t="s">
        <v>219</v>
      </c>
      <c r="AZ168">
        <v>0</v>
      </c>
      <c r="BD168" s="5" t="s">
        <v>239</v>
      </c>
      <c r="BE168">
        <v>0</v>
      </c>
      <c r="BI168" s="5" t="s">
        <v>272</v>
      </c>
      <c r="BJ168">
        <v>1</v>
      </c>
      <c r="BN168" s="5" t="s">
        <v>279</v>
      </c>
      <c r="BO168">
        <v>0</v>
      </c>
      <c r="BP168" s="30" t="s">
        <v>391</v>
      </c>
      <c r="BQ168" s="17">
        <f>AVERAGE(BO164:BO179)</f>
        <v>6.25E-2</v>
      </c>
      <c r="BS168" s="5" t="s">
        <v>298</v>
      </c>
      <c r="BT168">
        <v>0</v>
      </c>
      <c r="BU168" s="17"/>
      <c r="BV168" s="17"/>
      <c r="BX168" s="61" t="s">
        <v>293</v>
      </c>
      <c r="BY168" s="62">
        <v>0</v>
      </c>
      <c r="CC168" s="5" t="s">
        <v>301</v>
      </c>
      <c r="CD168">
        <v>0</v>
      </c>
      <c r="CE168" s="30" t="s">
        <v>389</v>
      </c>
      <c r="CF168" s="17">
        <f>MAX(CD166:CD188)</f>
        <v>1</v>
      </c>
      <c r="CR168" s="5" t="s">
        <v>348</v>
      </c>
      <c r="CS168">
        <v>0</v>
      </c>
      <c r="CW168" s="61" t="s">
        <v>352</v>
      </c>
      <c r="CX168" s="62">
        <v>0</v>
      </c>
    </row>
    <row r="169" spans="1:102" x14ac:dyDescent="0.25">
      <c r="A169" s="5" t="s">
        <v>43</v>
      </c>
      <c r="B169" s="27">
        <v>0</v>
      </c>
      <c r="C169" s="30" t="s">
        <v>390</v>
      </c>
      <c r="D169" s="17">
        <f>VAR(B166:B188)</f>
        <v>0.3122529644268775</v>
      </c>
      <c r="K169" s="5" t="s">
        <v>77</v>
      </c>
      <c r="L169">
        <v>0</v>
      </c>
      <c r="M169" s="30" t="s">
        <v>392</v>
      </c>
      <c r="N169" s="17">
        <f>STDEV(L164:L179)</f>
        <v>0.40311288741492751</v>
      </c>
      <c r="P169" s="5" t="s">
        <v>88</v>
      </c>
      <c r="Q169">
        <v>1</v>
      </c>
      <c r="R169" s="30" t="s">
        <v>387</v>
      </c>
      <c r="S169" s="17">
        <f>SUM(Q169:Q175)</f>
        <v>44</v>
      </c>
      <c r="U169" s="5" t="s">
        <v>113</v>
      </c>
      <c r="V169">
        <v>0</v>
      </c>
      <c r="W169" s="15"/>
      <c r="X169" s="15"/>
      <c r="Z169" s="61" t="s">
        <v>122</v>
      </c>
      <c r="AA169" s="62">
        <v>1</v>
      </c>
      <c r="AE169" s="5" t="s">
        <v>141</v>
      </c>
      <c r="AF169">
        <v>4</v>
      </c>
      <c r="AG169" s="17"/>
      <c r="AH169" s="17"/>
      <c r="AO169" s="5" t="s">
        <v>170</v>
      </c>
      <c r="AP169">
        <v>0</v>
      </c>
      <c r="AQ169" s="17"/>
      <c r="AR169" s="1"/>
      <c r="AT169" s="5" t="s">
        <v>186</v>
      </c>
      <c r="AU169">
        <v>0</v>
      </c>
      <c r="AV169" s="17"/>
      <c r="AW169" s="17"/>
      <c r="AY169" s="5" t="s">
        <v>220</v>
      </c>
      <c r="AZ169">
        <v>0</v>
      </c>
      <c r="BD169" s="5" t="s">
        <v>240</v>
      </c>
      <c r="BE169">
        <v>0</v>
      </c>
      <c r="BI169" s="5" t="s">
        <v>273</v>
      </c>
      <c r="BJ169">
        <v>3</v>
      </c>
      <c r="BN169" s="5" t="s">
        <v>278</v>
      </c>
      <c r="BO169">
        <v>0</v>
      </c>
      <c r="BP169" s="30" t="s">
        <v>392</v>
      </c>
      <c r="BQ169" s="17">
        <f>STDEV(BO164:BO179)</f>
        <v>0.25</v>
      </c>
      <c r="BX169" s="61" t="s">
        <v>294</v>
      </c>
      <c r="BY169" s="62">
        <v>0</v>
      </c>
      <c r="CC169" s="5" t="s">
        <v>302</v>
      </c>
      <c r="CD169">
        <v>0</v>
      </c>
      <c r="CE169" s="30" t="s">
        <v>390</v>
      </c>
      <c r="CF169" s="17">
        <f>VAR(CD166:CD188)</f>
        <v>4.3478260869565216E-2</v>
      </c>
      <c r="CR169" s="5" t="s">
        <v>349</v>
      </c>
      <c r="CS169">
        <v>0</v>
      </c>
      <c r="CW169" s="61" t="s">
        <v>353</v>
      </c>
      <c r="CX169" s="62">
        <v>0</v>
      </c>
    </row>
    <row r="170" spans="1:102" x14ac:dyDescent="0.25">
      <c r="A170" s="5" t="s">
        <v>44</v>
      </c>
      <c r="B170" s="27">
        <v>0</v>
      </c>
      <c r="C170" s="30" t="s">
        <v>391</v>
      </c>
      <c r="D170" s="17">
        <f>AVERAGE(B166:B188)</f>
        <v>0.30434782608695654</v>
      </c>
      <c r="K170" s="5" t="s">
        <v>78</v>
      </c>
      <c r="L170">
        <v>0</v>
      </c>
      <c r="M170" s="17"/>
      <c r="N170" s="17"/>
      <c r="P170" s="5" t="s">
        <v>89</v>
      </c>
      <c r="Q170">
        <v>3</v>
      </c>
      <c r="R170" s="30" t="s">
        <v>388</v>
      </c>
      <c r="S170" s="17">
        <f>MIN(Q169:Q175)</f>
        <v>1</v>
      </c>
      <c r="U170" s="26" t="s">
        <v>114</v>
      </c>
      <c r="V170">
        <v>0</v>
      </c>
      <c r="W170" s="17"/>
      <c r="X170" s="17"/>
      <c r="Z170" s="61" t="s">
        <v>123</v>
      </c>
      <c r="AA170" s="62">
        <v>2</v>
      </c>
      <c r="AE170" s="5" t="s">
        <v>142</v>
      </c>
      <c r="AF170">
        <v>3</v>
      </c>
      <c r="AG170" s="17"/>
      <c r="AH170" s="17"/>
      <c r="AO170" s="5" t="s">
        <v>171</v>
      </c>
      <c r="AP170">
        <v>1</v>
      </c>
      <c r="AQ170" s="17"/>
      <c r="AR170" s="1"/>
      <c r="AT170" s="5" t="s">
        <v>187</v>
      </c>
      <c r="AU170">
        <v>0</v>
      </c>
      <c r="AV170" s="17"/>
      <c r="AW170" s="17"/>
      <c r="BD170" s="5" t="s">
        <v>241</v>
      </c>
      <c r="BE170">
        <v>0</v>
      </c>
      <c r="BN170" s="5" t="s">
        <v>280</v>
      </c>
      <c r="BO170">
        <v>1</v>
      </c>
      <c r="BP170" s="17"/>
      <c r="BQ170" s="17"/>
      <c r="BS170" s="17" t="s">
        <v>382</v>
      </c>
      <c r="BT170" s="29" t="s">
        <v>441</v>
      </c>
      <c r="BU170" s="17"/>
      <c r="BV170" s="17">
        <v>2016</v>
      </c>
      <c r="BX170" s="61" t="s">
        <v>295</v>
      </c>
      <c r="BY170" s="62">
        <v>0</v>
      </c>
      <c r="CC170" s="5" t="s">
        <v>303</v>
      </c>
      <c r="CD170">
        <v>0</v>
      </c>
      <c r="CE170" s="30" t="s">
        <v>391</v>
      </c>
      <c r="CF170" s="17">
        <f>AVERAGE(CD166:CD188)</f>
        <v>4.3478260869565216E-2</v>
      </c>
      <c r="CR170" s="5" t="s">
        <v>350</v>
      </c>
      <c r="CS170">
        <v>0</v>
      </c>
      <c r="CW170" s="61" t="s">
        <v>354</v>
      </c>
      <c r="CX170" s="62">
        <v>0</v>
      </c>
    </row>
    <row r="171" spans="1:102" x14ac:dyDescent="0.25">
      <c r="A171" s="5" t="s">
        <v>45</v>
      </c>
      <c r="B171" s="27">
        <v>2</v>
      </c>
      <c r="C171" s="30" t="s">
        <v>392</v>
      </c>
      <c r="D171" s="17">
        <f>STDEV(B166:B188)</f>
        <v>0.55879599535687219</v>
      </c>
      <c r="K171" s="5" t="s">
        <v>79</v>
      </c>
      <c r="L171">
        <v>0</v>
      </c>
      <c r="M171" s="17"/>
      <c r="N171" s="17"/>
      <c r="P171" s="5" t="s">
        <v>90</v>
      </c>
      <c r="Q171">
        <v>4</v>
      </c>
      <c r="R171" s="30" t="s">
        <v>389</v>
      </c>
      <c r="S171" s="17">
        <f>MAX(Q169:Q175)</f>
        <v>14</v>
      </c>
      <c r="U171" s="26" t="s">
        <v>115</v>
      </c>
      <c r="V171">
        <v>0</v>
      </c>
      <c r="W171" s="17"/>
      <c r="X171" s="17"/>
      <c r="Z171" s="61" t="s">
        <v>124</v>
      </c>
      <c r="AA171" s="62">
        <v>4</v>
      </c>
      <c r="AO171" s="5" t="s">
        <v>172</v>
      </c>
      <c r="AP171">
        <v>0</v>
      </c>
      <c r="AQ171" s="17"/>
      <c r="AR171" s="1"/>
      <c r="AT171" s="5" t="s">
        <v>188</v>
      </c>
      <c r="AU171">
        <v>0</v>
      </c>
      <c r="AV171" s="17"/>
      <c r="AW171" s="17"/>
      <c r="AY171" s="17" t="s">
        <v>382</v>
      </c>
      <c r="AZ171" s="29" t="s">
        <v>370</v>
      </c>
      <c r="BA171" s="17"/>
      <c r="BB171" s="17">
        <v>2016</v>
      </c>
      <c r="BD171" s="5" t="s">
        <v>242</v>
      </c>
      <c r="BE171">
        <v>0</v>
      </c>
      <c r="BI171" s="17" t="s">
        <v>382</v>
      </c>
      <c r="BJ171" s="29" t="s">
        <v>372</v>
      </c>
      <c r="BK171" s="17"/>
      <c r="BL171" s="17">
        <v>2016</v>
      </c>
      <c r="BN171" s="5" t="s">
        <v>281</v>
      </c>
      <c r="BO171">
        <v>0</v>
      </c>
      <c r="BP171" s="17"/>
      <c r="BQ171" s="17"/>
      <c r="BS171" s="17" t="s">
        <v>383</v>
      </c>
      <c r="BT171" s="6" t="s">
        <v>37</v>
      </c>
      <c r="BU171" s="17"/>
      <c r="BV171" s="17"/>
      <c r="BX171" s="61" t="s">
        <v>296</v>
      </c>
      <c r="BY171" s="62">
        <v>0</v>
      </c>
      <c r="CC171" s="5" t="s">
        <v>304</v>
      </c>
      <c r="CD171">
        <v>0</v>
      </c>
      <c r="CE171" s="30" t="s">
        <v>392</v>
      </c>
      <c r="CF171" s="17">
        <f>STDEV(CD166:CD188)</f>
        <v>0.20851441405707477</v>
      </c>
      <c r="CR171" s="5" t="s">
        <v>351</v>
      </c>
      <c r="CS171">
        <v>0</v>
      </c>
      <c r="CW171" s="61" t="s">
        <v>355</v>
      </c>
      <c r="CX171" s="62">
        <v>0</v>
      </c>
    </row>
    <row r="172" spans="1:102" x14ac:dyDescent="0.25">
      <c r="A172" s="5" t="s">
        <v>47</v>
      </c>
      <c r="B172" s="27">
        <v>0</v>
      </c>
      <c r="C172" s="17"/>
      <c r="D172" s="17"/>
      <c r="K172" s="5" t="s">
        <v>80</v>
      </c>
      <c r="L172">
        <v>0</v>
      </c>
      <c r="M172" s="17"/>
      <c r="N172" s="17"/>
      <c r="P172" s="5" t="s">
        <v>91</v>
      </c>
      <c r="Q172">
        <v>6</v>
      </c>
      <c r="R172" s="30" t="s">
        <v>390</v>
      </c>
      <c r="S172" s="17">
        <f>VAR(Q169:Q175)</f>
        <v>21.238095238095241</v>
      </c>
      <c r="U172" s="26" t="s">
        <v>116</v>
      </c>
      <c r="V172">
        <v>0</v>
      </c>
      <c r="W172" s="17"/>
      <c r="X172" s="1"/>
      <c r="Z172" s="61" t="s">
        <v>125</v>
      </c>
      <c r="AA172" s="62">
        <v>1</v>
      </c>
      <c r="AE172" s="17" t="s">
        <v>382</v>
      </c>
      <c r="AF172" s="29" t="s">
        <v>366</v>
      </c>
      <c r="AG172" s="17"/>
      <c r="AH172" s="17">
        <v>2016</v>
      </c>
      <c r="AO172" s="5" t="s">
        <v>173</v>
      </c>
      <c r="AP172">
        <v>0</v>
      </c>
      <c r="AT172" s="5" t="s">
        <v>395</v>
      </c>
      <c r="AU172">
        <v>1</v>
      </c>
      <c r="AV172" s="17"/>
      <c r="AW172" s="17"/>
      <c r="AY172" s="17" t="s">
        <v>383</v>
      </c>
      <c r="AZ172" s="6" t="s">
        <v>59</v>
      </c>
      <c r="BA172" s="17"/>
      <c r="BB172" s="17"/>
      <c r="BD172" s="5" t="s">
        <v>243</v>
      </c>
      <c r="BE172">
        <v>0</v>
      </c>
      <c r="BI172" s="17" t="s">
        <v>383</v>
      </c>
      <c r="BJ172" s="6" t="s">
        <v>11</v>
      </c>
      <c r="BK172" s="17"/>
      <c r="BL172" s="17"/>
      <c r="BN172" s="5" t="s">
        <v>282</v>
      </c>
      <c r="BO172">
        <v>0</v>
      </c>
      <c r="BP172" s="17"/>
      <c r="BQ172" s="17"/>
      <c r="BS172" s="17" t="s">
        <v>384</v>
      </c>
      <c r="BT172" s="17" t="s">
        <v>39</v>
      </c>
      <c r="BU172" s="17" t="s">
        <v>385</v>
      </c>
      <c r="BV172" s="17" t="s">
        <v>386</v>
      </c>
      <c r="BX172" s="61" t="s">
        <v>297</v>
      </c>
      <c r="BY172" s="62">
        <v>0</v>
      </c>
      <c r="CC172" s="5" t="s">
        <v>305</v>
      </c>
      <c r="CD172">
        <v>0</v>
      </c>
      <c r="CE172" s="17"/>
      <c r="CF172" s="17"/>
      <c r="CR172" s="5" t="s">
        <v>352</v>
      </c>
      <c r="CS172">
        <v>0</v>
      </c>
      <c r="CW172" s="66" t="s">
        <v>356</v>
      </c>
      <c r="CX172" s="62">
        <v>0</v>
      </c>
    </row>
    <row r="173" spans="1:102" x14ac:dyDescent="0.25">
      <c r="A173" s="5" t="s">
        <v>48</v>
      </c>
      <c r="B173" s="27">
        <v>0</v>
      </c>
      <c r="C173" s="17"/>
      <c r="D173" s="17"/>
      <c r="K173" s="5" t="s">
        <v>81</v>
      </c>
      <c r="L173">
        <v>0</v>
      </c>
      <c r="M173" s="17"/>
      <c r="N173" s="17"/>
      <c r="P173" s="5" t="s">
        <v>92</v>
      </c>
      <c r="Q173">
        <v>14</v>
      </c>
      <c r="R173" s="30" t="s">
        <v>391</v>
      </c>
      <c r="S173" s="17">
        <f>AVERAGE(Q169:Q175)</f>
        <v>6.2857142857142856</v>
      </c>
      <c r="U173" s="26" t="s">
        <v>117</v>
      </c>
      <c r="V173">
        <v>0</v>
      </c>
      <c r="W173" s="17"/>
      <c r="X173" s="1"/>
      <c r="Z173" s="61" t="s">
        <v>126</v>
      </c>
      <c r="AA173" s="62">
        <v>0</v>
      </c>
      <c r="AE173" s="17" t="s">
        <v>383</v>
      </c>
      <c r="AF173" s="6" t="s">
        <v>20</v>
      </c>
      <c r="AG173" s="17"/>
      <c r="AH173" s="17"/>
      <c r="AO173" s="5" t="s">
        <v>174</v>
      </c>
      <c r="AP173">
        <v>0</v>
      </c>
      <c r="AT173" s="5" t="s">
        <v>189</v>
      </c>
      <c r="AU173">
        <v>0</v>
      </c>
      <c r="AV173" s="17"/>
      <c r="AW173" s="17"/>
      <c r="AY173" s="17" t="s">
        <v>384</v>
      </c>
      <c r="AZ173" s="17" t="s">
        <v>39</v>
      </c>
      <c r="BA173" s="17" t="s">
        <v>385</v>
      </c>
      <c r="BB173" s="17" t="s">
        <v>386</v>
      </c>
      <c r="BD173" s="5" t="s">
        <v>244</v>
      </c>
      <c r="BE173">
        <v>0</v>
      </c>
      <c r="BI173" s="17" t="s">
        <v>384</v>
      </c>
      <c r="BJ173" s="17" t="s">
        <v>39</v>
      </c>
      <c r="BK173" s="17" t="s">
        <v>385</v>
      </c>
      <c r="BL173" s="17" t="s">
        <v>386</v>
      </c>
      <c r="BN173" s="5" t="s">
        <v>283</v>
      </c>
      <c r="BO173">
        <v>0</v>
      </c>
      <c r="BP173" s="17"/>
      <c r="BQ173" s="17"/>
      <c r="BS173" s="5" t="s">
        <v>290</v>
      </c>
      <c r="BT173">
        <v>3</v>
      </c>
      <c r="BU173" s="30" t="s">
        <v>387</v>
      </c>
      <c r="BV173" s="17">
        <f>SUM(BT173:BT181)</f>
        <v>21</v>
      </c>
      <c r="BX173" s="61" t="s">
        <v>298</v>
      </c>
      <c r="BY173" s="62">
        <v>0</v>
      </c>
      <c r="CC173" s="5" t="s">
        <v>306</v>
      </c>
      <c r="CD173">
        <v>0</v>
      </c>
      <c r="CE173" s="17"/>
      <c r="CF173" s="17"/>
      <c r="CR173" s="5" t="s">
        <v>353</v>
      </c>
      <c r="CS173">
        <v>0</v>
      </c>
      <c r="CW173" s="66" t="s">
        <v>357</v>
      </c>
      <c r="CX173" s="62">
        <v>0</v>
      </c>
    </row>
    <row r="174" spans="1:102" x14ac:dyDescent="0.25">
      <c r="A174" s="5" t="s">
        <v>49</v>
      </c>
      <c r="B174" s="27">
        <v>0</v>
      </c>
      <c r="C174" s="17"/>
      <c r="D174" s="17"/>
      <c r="K174" s="5" t="s">
        <v>82</v>
      </c>
      <c r="L174">
        <v>0</v>
      </c>
      <c r="M174" s="17"/>
      <c r="N174" s="17"/>
      <c r="P174" s="5" t="s">
        <v>93</v>
      </c>
      <c r="Q174">
        <v>11</v>
      </c>
      <c r="R174" s="30" t="s">
        <v>392</v>
      </c>
      <c r="S174" s="17">
        <f>STDEV(Q169:Q175)</f>
        <v>4.6084807950229365</v>
      </c>
      <c r="U174" s="26" t="s">
        <v>118</v>
      </c>
      <c r="V174">
        <v>0</v>
      </c>
      <c r="W174" s="17"/>
      <c r="X174" s="1"/>
      <c r="Z174" s="61" t="s">
        <v>127</v>
      </c>
      <c r="AA174" s="62">
        <v>0</v>
      </c>
      <c r="AE174" s="17" t="s">
        <v>384</v>
      </c>
      <c r="AF174" s="17" t="s">
        <v>39</v>
      </c>
      <c r="AG174" s="17" t="s">
        <v>385</v>
      </c>
      <c r="AH174" s="17" t="s">
        <v>386</v>
      </c>
      <c r="AT174" s="5" t="s">
        <v>190</v>
      </c>
      <c r="AU174">
        <v>0</v>
      </c>
      <c r="AV174" s="17"/>
      <c r="AW174" s="17"/>
      <c r="AY174" s="5" t="s">
        <v>192</v>
      </c>
      <c r="AZ174">
        <v>0</v>
      </c>
      <c r="BA174" s="30" t="s">
        <v>387</v>
      </c>
      <c r="BB174" s="17">
        <f>SUM(AZ174:AZ203)</f>
        <v>1</v>
      </c>
      <c r="BI174" s="5" t="s">
        <v>245</v>
      </c>
      <c r="BJ174">
        <v>0</v>
      </c>
      <c r="BK174" s="30" t="s">
        <v>387</v>
      </c>
      <c r="BL174" s="17">
        <f>SUM(BJ174:BJ203)</f>
        <v>1</v>
      </c>
      <c r="BN174" s="5" t="s">
        <v>285</v>
      </c>
      <c r="BO174">
        <v>0</v>
      </c>
      <c r="BP174" s="17"/>
      <c r="BQ174" s="17"/>
      <c r="BS174" s="5" t="s">
        <v>291</v>
      </c>
      <c r="BT174">
        <v>1</v>
      </c>
      <c r="BU174" s="30" t="s">
        <v>388</v>
      </c>
      <c r="BV174" s="17">
        <f>MIN(BT173:BT181)</f>
        <v>0</v>
      </c>
      <c r="CC174" s="5" t="s">
        <v>93</v>
      </c>
      <c r="CD174">
        <v>0</v>
      </c>
      <c r="CE174" s="17"/>
      <c r="CF174" s="17"/>
      <c r="CR174" s="5" t="s">
        <v>354</v>
      </c>
      <c r="CS174">
        <v>0</v>
      </c>
      <c r="CW174" s="66" t="s">
        <v>358</v>
      </c>
      <c r="CX174" s="62">
        <v>0</v>
      </c>
    </row>
    <row r="175" spans="1:102" x14ac:dyDescent="0.25">
      <c r="A175" s="5" t="s">
        <v>50</v>
      </c>
      <c r="B175" s="27">
        <v>1</v>
      </c>
      <c r="C175" s="17"/>
      <c r="D175" s="17"/>
      <c r="K175" s="5" t="s">
        <v>83</v>
      </c>
      <c r="L175">
        <v>0</v>
      </c>
      <c r="M175" s="17"/>
      <c r="N175" s="17"/>
      <c r="P175" s="5" t="s">
        <v>94</v>
      </c>
      <c r="Q175">
        <v>5</v>
      </c>
      <c r="R175" s="17"/>
      <c r="S175" s="17"/>
      <c r="U175" s="26" t="s">
        <v>119</v>
      </c>
      <c r="V175">
        <v>0</v>
      </c>
      <c r="Z175" s="61" t="s">
        <v>128</v>
      </c>
      <c r="AA175" s="62">
        <v>1</v>
      </c>
      <c r="AE175" s="5" t="s">
        <v>129</v>
      </c>
      <c r="AF175">
        <v>1</v>
      </c>
      <c r="AG175" s="30" t="s">
        <v>387</v>
      </c>
      <c r="AH175" s="17">
        <f>SUM(AF175:AF189)</f>
        <v>2</v>
      </c>
      <c r="AO175" s="17" t="s">
        <v>382</v>
      </c>
      <c r="AP175" s="29" t="s">
        <v>368</v>
      </c>
      <c r="AQ175" s="17"/>
      <c r="AR175" s="17">
        <v>2016</v>
      </c>
      <c r="AT175" s="5" t="s">
        <v>191</v>
      </c>
      <c r="AU175">
        <v>0</v>
      </c>
      <c r="AV175" s="15"/>
      <c r="AW175" s="15"/>
      <c r="AY175" s="5" t="s">
        <v>193</v>
      </c>
      <c r="AZ175">
        <v>0</v>
      </c>
      <c r="BA175" s="30" t="s">
        <v>388</v>
      </c>
      <c r="BB175" s="17">
        <f>MIN(AZ174:AZ203)</f>
        <v>0</v>
      </c>
      <c r="BD175" s="17" t="s">
        <v>382</v>
      </c>
      <c r="BE175" s="29" t="s">
        <v>371</v>
      </c>
      <c r="BF175" s="17"/>
      <c r="BG175" s="17">
        <v>2016</v>
      </c>
      <c r="BI175" s="5" t="s">
        <v>73</v>
      </c>
      <c r="BJ175">
        <v>0</v>
      </c>
      <c r="BK175" s="30" t="s">
        <v>388</v>
      </c>
      <c r="BL175" s="17">
        <f>MIN(BJ174:BJ203)</f>
        <v>0</v>
      </c>
      <c r="BN175" s="5" t="s">
        <v>284</v>
      </c>
      <c r="BO175">
        <v>0</v>
      </c>
      <c r="BP175" s="17"/>
      <c r="BQ175" s="17"/>
      <c r="BS175" s="5" t="s">
        <v>292</v>
      </c>
      <c r="BT175">
        <v>6</v>
      </c>
      <c r="BU175" s="30" t="s">
        <v>389</v>
      </c>
      <c r="BV175" s="17">
        <f>MAX(BT173:BT181)</f>
        <v>6</v>
      </c>
      <c r="BX175" s="58" t="s">
        <v>382</v>
      </c>
      <c r="BY175" s="59" t="s">
        <v>628</v>
      </c>
      <c r="BZ175" s="58"/>
      <c r="CA175" s="58">
        <v>2016</v>
      </c>
      <c r="CC175" s="5" t="s">
        <v>307</v>
      </c>
      <c r="CD175">
        <v>0</v>
      </c>
      <c r="CE175" s="17"/>
      <c r="CF175" s="17"/>
      <c r="CR175" s="5" t="s">
        <v>355</v>
      </c>
      <c r="CS175">
        <v>0</v>
      </c>
      <c r="CW175" s="66" t="s">
        <v>359</v>
      </c>
      <c r="CX175" s="62">
        <v>0</v>
      </c>
    </row>
    <row r="176" spans="1:102" x14ac:dyDescent="0.25">
      <c r="A176" s="5" t="s">
        <v>51</v>
      </c>
      <c r="B176" s="27">
        <v>0</v>
      </c>
      <c r="C176" s="17"/>
      <c r="D176" s="17"/>
      <c r="K176" s="5" t="s">
        <v>84</v>
      </c>
      <c r="L176">
        <v>0</v>
      </c>
      <c r="M176" s="17"/>
      <c r="N176" s="17"/>
      <c r="U176" s="5" t="s">
        <v>120</v>
      </c>
      <c r="V176">
        <v>0</v>
      </c>
      <c r="AE176" s="5" t="s">
        <v>130</v>
      </c>
      <c r="AF176">
        <v>0</v>
      </c>
      <c r="AG176" s="30" t="s">
        <v>388</v>
      </c>
      <c r="AH176" s="17">
        <f>MIN(AF175:AF189)</f>
        <v>0</v>
      </c>
      <c r="AO176" s="17" t="s">
        <v>383</v>
      </c>
      <c r="AP176" s="6" t="s">
        <v>160</v>
      </c>
      <c r="AQ176" s="17"/>
      <c r="AR176" s="17"/>
      <c r="AY176" s="5" t="s">
        <v>194</v>
      </c>
      <c r="AZ176">
        <v>0</v>
      </c>
      <c r="BA176" s="30" t="s">
        <v>389</v>
      </c>
      <c r="BB176" s="17">
        <f>MAX(AZ174:AZ203)</f>
        <v>1</v>
      </c>
      <c r="BD176" s="17" t="s">
        <v>383</v>
      </c>
      <c r="BE176" s="6" t="s">
        <v>19</v>
      </c>
      <c r="BF176" s="17"/>
      <c r="BG176" s="17"/>
      <c r="BI176" s="5" t="s">
        <v>246</v>
      </c>
      <c r="BJ176">
        <v>0</v>
      </c>
      <c r="BK176" s="30" t="s">
        <v>389</v>
      </c>
      <c r="BL176" s="17">
        <f>MAX(BJ174:BJ203)</f>
        <v>1</v>
      </c>
      <c r="BN176" s="5" t="s">
        <v>286</v>
      </c>
      <c r="BO176">
        <v>0</v>
      </c>
      <c r="BP176" s="17"/>
      <c r="BQ176" s="17"/>
      <c r="BS176" s="5" t="s">
        <v>293</v>
      </c>
      <c r="BT176">
        <v>4</v>
      </c>
      <c r="BU176" s="30" t="s">
        <v>390</v>
      </c>
      <c r="BV176" s="17">
        <f>VAR(BT173:BT181)</f>
        <v>5.25</v>
      </c>
      <c r="BX176" s="58" t="s">
        <v>383</v>
      </c>
      <c r="BY176" s="60" t="s">
        <v>18</v>
      </c>
      <c r="BZ176" s="58"/>
      <c r="CA176" s="58"/>
      <c r="CC176" s="5" t="s">
        <v>308</v>
      </c>
      <c r="CD176">
        <v>0</v>
      </c>
      <c r="CE176" s="17"/>
      <c r="CF176" s="17"/>
      <c r="CR176" s="2" t="s">
        <v>356</v>
      </c>
      <c r="CS176">
        <v>0</v>
      </c>
    </row>
    <row r="177" spans="1:104" x14ac:dyDescent="0.25">
      <c r="A177" s="5" t="s">
        <v>52</v>
      </c>
      <c r="B177" s="27">
        <v>1</v>
      </c>
      <c r="C177" s="17"/>
      <c r="D177" s="17"/>
      <c r="K177" s="5" t="s">
        <v>85</v>
      </c>
      <c r="L177">
        <v>0</v>
      </c>
      <c r="M177" s="17"/>
      <c r="N177" s="17"/>
      <c r="U177" s="5" t="s">
        <v>121</v>
      </c>
      <c r="V177">
        <v>0</v>
      </c>
      <c r="Z177" s="58" t="s">
        <v>382</v>
      </c>
      <c r="AA177" s="59" t="s">
        <v>627</v>
      </c>
      <c r="AB177" s="58"/>
      <c r="AC177" s="58">
        <v>2016</v>
      </c>
      <c r="AE177" s="5" t="s">
        <v>131</v>
      </c>
      <c r="AF177">
        <v>0</v>
      </c>
      <c r="AG177" s="30" t="s">
        <v>389</v>
      </c>
      <c r="AH177" s="17">
        <f>MAX(AF175:AF189)</f>
        <v>1</v>
      </c>
      <c r="AO177" s="17" t="s">
        <v>384</v>
      </c>
      <c r="AP177" s="17" t="s">
        <v>39</v>
      </c>
      <c r="AQ177" s="17" t="s">
        <v>385</v>
      </c>
      <c r="AR177" s="17" t="s">
        <v>386</v>
      </c>
      <c r="AT177" s="17" t="s">
        <v>382</v>
      </c>
      <c r="AU177" s="29" t="s">
        <v>369</v>
      </c>
      <c r="AV177" s="17"/>
      <c r="AW177" s="17">
        <v>2016</v>
      </c>
      <c r="AY177" s="5" t="s">
        <v>195</v>
      </c>
      <c r="AZ177">
        <v>0</v>
      </c>
      <c r="BA177" s="30" t="s">
        <v>390</v>
      </c>
      <c r="BB177" s="17">
        <f>VAR(AZ174:AZ203)</f>
        <v>3.3333333333333333E-2</v>
      </c>
      <c r="BD177" s="17" t="s">
        <v>384</v>
      </c>
      <c r="BE177" s="17" t="s">
        <v>39</v>
      </c>
      <c r="BF177" s="17" t="s">
        <v>385</v>
      </c>
      <c r="BG177" s="17" t="s">
        <v>386</v>
      </c>
      <c r="BI177" s="5" t="s">
        <v>247</v>
      </c>
      <c r="BJ177">
        <v>0</v>
      </c>
      <c r="BK177" s="30" t="s">
        <v>390</v>
      </c>
      <c r="BL177" s="17">
        <f>VAR(BJ174:BJ203)</f>
        <v>3.3333333333333333E-2</v>
      </c>
      <c r="BN177" s="5" t="s">
        <v>287</v>
      </c>
      <c r="BO177">
        <v>0</v>
      </c>
      <c r="BP177" s="17"/>
      <c r="BQ177" s="17"/>
      <c r="BS177" s="5" t="s">
        <v>294</v>
      </c>
      <c r="BT177">
        <v>5</v>
      </c>
      <c r="BU177" s="30" t="s">
        <v>391</v>
      </c>
      <c r="BV177" s="17">
        <f>AVERAGE(BT173:BT181)</f>
        <v>2.3333333333333335</v>
      </c>
      <c r="BX177" s="58" t="s">
        <v>384</v>
      </c>
      <c r="BY177" s="58" t="s">
        <v>39</v>
      </c>
      <c r="BZ177" s="58" t="s">
        <v>385</v>
      </c>
      <c r="CA177" s="58" t="s">
        <v>386</v>
      </c>
      <c r="CC177" s="5" t="s">
        <v>309</v>
      </c>
      <c r="CD177">
        <v>0</v>
      </c>
      <c r="CE177" s="17"/>
      <c r="CF177" s="17"/>
      <c r="CR177" s="2" t="s">
        <v>357</v>
      </c>
      <c r="CS177">
        <v>0</v>
      </c>
      <c r="CW177" s="58" t="s">
        <v>382</v>
      </c>
      <c r="CX177" s="59" t="s">
        <v>629</v>
      </c>
      <c r="CY177" s="58"/>
      <c r="CZ177" s="58">
        <v>2016</v>
      </c>
    </row>
    <row r="178" spans="1:104" x14ac:dyDescent="0.25">
      <c r="A178" s="5" t="s">
        <v>53</v>
      </c>
      <c r="B178" s="27">
        <v>0</v>
      </c>
      <c r="C178" s="17"/>
      <c r="D178" s="17"/>
      <c r="K178" s="5" t="s">
        <v>86</v>
      </c>
      <c r="L178">
        <v>0</v>
      </c>
      <c r="M178" s="17"/>
      <c r="N178" s="17"/>
      <c r="U178" s="5" t="s">
        <v>122</v>
      </c>
      <c r="V178">
        <v>0</v>
      </c>
      <c r="Z178" s="58" t="s">
        <v>383</v>
      </c>
      <c r="AA178" s="60" t="s">
        <v>8</v>
      </c>
      <c r="AB178" s="58"/>
      <c r="AC178" s="58"/>
      <c r="AE178" s="5" t="s">
        <v>132</v>
      </c>
      <c r="AF178">
        <v>0</v>
      </c>
      <c r="AG178" s="30" t="s">
        <v>390</v>
      </c>
      <c r="AH178" s="17">
        <f>VAR(AF175:AF189)</f>
        <v>0.12380952380952381</v>
      </c>
      <c r="AO178" s="5" t="s">
        <v>149</v>
      </c>
      <c r="AP178">
        <v>0</v>
      </c>
      <c r="AQ178" s="30" t="s">
        <v>387</v>
      </c>
      <c r="AR178" s="17">
        <f>SUM(AP178:AP202)</f>
        <v>1</v>
      </c>
      <c r="AT178" s="17" t="s">
        <v>383</v>
      </c>
      <c r="AU178" s="6" t="s">
        <v>21</v>
      </c>
      <c r="AV178" s="17"/>
      <c r="AW178" s="17"/>
      <c r="AY178" s="5" t="s">
        <v>196</v>
      </c>
      <c r="AZ178">
        <v>0</v>
      </c>
      <c r="BA178" s="30" t="s">
        <v>391</v>
      </c>
      <c r="BB178" s="17">
        <f>AVERAGE(AZ174:AZ203)</f>
        <v>3.3333333333333333E-2</v>
      </c>
      <c r="BD178" s="5" t="s">
        <v>221</v>
      </c>
      <c r="BE178">
        <v>3</v>
      </c>
      <c r="BF178" s="30" t="s">
        <v>387</v>
      </c>
      <c r="BG178" s="17">
        <f>SUM(BE178:BE202)</f>
        <v>118</v>
      </c>
      <c r="BI178" s="5" t="s">
        <v>248</v>
      </c>
      <c r="BJ178">
        <v>0</v>
      </c>
      <c r="BK178" s="30" t="s">
        <v>391</v>
      </c>
      <c r="BL178" s="17">
        <f>AVERAGE(BJ174:BJ203)</f>
        <v>3.3333333333333333E-2</v>
      </c>
      <c r="BN178" s="5" t="s">
        <v>288</v>
      </c>
      <c r="BO178">
        <v>0</v>
      </c>
      <c r="BP178" s="17"/>
      <c r="BQ178" s="17"/>
      <c r="BS178" s="5" t="s">
        <v>295</v>
      </c>
      <c r="BT178">
        <v>0</v>
      </c>
      <c r="BU178" s="30" t="s">
        <v>392</v>
      </c>
      <c r="BV178" s="17">
        <f>STDEV(BT173:BT181)</f>
        <v>2.2912878474779199</v>
      </c>
      <c r="BX178" s="61" t="s">
        <v>274</v>
      </c>
      <c r="BY178" s="62">
        <v>0</v>
      </c>
      <c r="BZ178" s="63" t="s">
        <v>387</v>
      </c>
      <c r="CA178" s="58">
        <f>SUM(BY178:BY202)</f>
        <v>1</v>
      </c>
      <c r="CC178" s="5" t="s">
        <v>310</v>
      </c>
      <c r="CD178">
        <v>0</v>
      </c>
      <c r="CE178" s="17"/>
      <c r="CF178" s="17"/>
      <c r="CR178" s="2" t="s">
        <v>358</v>
      </c>
      <c r="CS178">
        <v>0</v>
      </c>
      <c r="CW178" s="58" t="s">
        <v>383</v>
      </c>
      <c r="CX178" s="60" t="s">
        <v>9</v>
      </c>
      <c r="CY178" s="58"/>
      <c r="CZ178" s="58"/>
    </row>
    <row r="179" spans="1:104" x14ac:dyDescent="0.25">
      <c r="A179" s="5" t="s">
        <v>54</v>
      </c>
      <c r="B179" s="27">
        <v>0</v>
      </c>
      <c r="C179" s="17"/>
      <c r="D179" s="17"/>
      <c r="K179" s="5" t="s">
        <v>87</v>
      </c>
      <c r="L179">
        <v>0</v>
      </c>
      <c r="M179" s="17"/>
      <c r="N179" s="17"/>
      <c r="U179" s="5" t="s">
        <v>123</v>
      </c>
      <c r="V179">
        <v>0</v>
      </c>
      <c r="Z179" s="58" t="s">
        <v>384</v>
      </c>
      <c r="AA179" s="58" t="s">
        <v>39</v>
      </c>
      <c r="AB179" s="58" t="s">
        <v>385</v>
      </c>
      <c r="AC179" s="58" t="s">
        <v>386</v>
      </c>
      <c r="AE179" s="5" t="s">
        <v>133</v>
      </c>
      <c r="AF179">
        <v>0</v>
      </c>
      <c r="AG179" s="30" t="s">
        <v>391</v>
      </c>
      <c r="AH179" s="17">
        <f>AVERAGE(AF175:AF189)</f>
        <v>0.13333333333333333</v>
      </c>
      <c r="AO179" s="5" t="s">
        <v>150</v>
      </c>
      <c r="AP179">
        <v>0</v>
      </c>
      <c r="AQ179" s="30" t="s">
        <v>388</v>
      </c>
      <c r="AR179" s="17">
        <f>MIN(AP178:AP202)</f>
        <v>0</v>
      </c>
      <c r="AT179" s="17" t="s">
        <v>384</v>
      </c>
      <c r="AU179" s="17" t="s">
        <v>39</v>
      </c>
      <c r="AV179" s="17" t="s">
        <v>385</v>
      </c>
      <c r="AW179" s="17" t="s">
        <v>386</v>
      </c>
      <c r="AY179" s="5" t="s">
        <v>197</v>
      </c>
      <c r="AZ179">
        <v>0</v>
      </c>
      <c r="BA179" s="30" t="s">
        <v>392</v>
      </c>
      <c r="BB179" s="17">
        <f>STDEV(AZ174:AZ203)</f>
        <v>0.18257418583505536</v>
      </c>
      <c r="BD179" s="5" t="s">
        <v>222</v>
      </c>
      <c r="BE179">
        <v>6</v>
      </c>
      <c r="BF179" s="30" t="s">
        <v>388</v>
      </c>
      <c r="BG179" s="17">
        <f>MIN(BE178:BE202)</f>
        <v>0</v>
      </c>
      <c r="BI179" s="5" t="s">
        <v>249</v>
      </c>
      <c r="BJ179">
        <v>0</v>
      </c>
      <c r="BK179" s="30" t="s">
        <v>392</v>
      </c>
      <c r="BL179" s="17">
        <f>STDEV(BJ174:BJ203)</f>
        <v>0.18257418583505536</v>
      </c>
      <c r="BN179" s="5" t="s">
        <v>289</v>
      </c>
      <c r="BO179">
        <v>0</v>
      </c>
      <c r="BP179" s="17"/>
      <c r="BQ179" s="17"/>
      <c r="BS179" s="5" t="s">
        <v>296</v>
      </c>
      <c r="BT179">
        <v>2</v>
      </c>
      <c r="BU179" s="17"/>
      <c r="BV179" s="17"/>
      <c r="BX179" s="61" t="s">
        <v>275</v>
      </c>
      <c r="BY179" s="62">
        <v>0</v>
      </c>
      <c r="BZ179" s="63" t="s">
        <v>388</v>
      </c>
      <c r="CA179" s="58">
        <f>MIN(BY178:BY202)</f>
        <v>0</v>
      </c>
      <c r="CC179" s="5" t="s">
        <v>311</v>
      </c>
      <c r="CD179">
        <v>0</v>
      </c>
      <c r="CE179" s="17"/>
      <c r="CF179" s="17"/>
      <c r="CR179" s="3" t="s">
        <v>359</v>
      </c>
      <c r="CS179">
        <v>0</v>
      </c>
      <c r="CW179" s="58" t="s">
        <v>384</v>
      </c>
      <c r="CX179" s="58" t="s">
        <v>39</v>
      </c>
      <c r="CY179" s="58" t="s">
        <v>385</v>
      </c>
      <c r="CZ179" s="58" t="s">
        <v>386</v>
      </c>
    </row>
    <row r="180" spans="1:104" x14ac:dyDescent="0.25">
      <c r="A180" s="5" t="s">
        <v>55</v>
      </c>
      <c r="B180" s="27">
        <v>0</v>
      </c>
      <c r="C180" s="17"/>
      <c r="D180" s="17"/>
      <c r="U180" s="5" t="s">
        <v>124</v>
      </c>
      <c r="V180">
        <v>0</v>
      </c>
      <c r="Z180" s="61" t="s">
        <v>88</v>
      </c>
      <c r="AA180" s="62">
        <v>0</v>
      </c>
      <c r="AB180" s="63" t="s">
        <v>387</v>
      </c>
      <c r="AC180" s="58">
        <f>SUM(AA180:AA219)</f>
        <v>2</v>
      </c>
      <c r="AE180" s="5" t="s">
        <v>134</v>
      </c>
      <c r="AF180">
        <v>0</v>
      </c>
      <c r="AG180" s="30" t="s">
        <v>392</v>
      </c>
      <c r="AH180" s="17">
        <f>STDEV(AF175:AF189)</f>
        <v>0.35186577527449842</v>
      </c>
      <c r="AO180" s="5" t="s">
        <v>151</v>
      </c>
      <c r="AP180">
        <v>0</v>
      </c>
      <c r="AQ180" s="30" t="s">
        <v>389</v>
      </c>
      <c r="AR180" s="17">
        <f>MAX(AP178:AP202)</f>
        <v>1</v>
      </c>
      <c r="AT180" s="5" t="s">
        <v>175</v>
      </c>
      <c r="AU180">
        <v>0</v>
      </c>
      <c r="AV180" s="30" t="s">
        <v>387</v>
      </c>
      <c r="AW180" s="17">
        <f>SUM(AU180:AU197)</f>
        <v>8</v>
      </c>
      <c r="AY180" s="5" t="s">
        <v>198</v>
      </c>
      <c r="AZ180">
        <v>0</v>
      </c>
      <c r="BA180" s="17"/>
      <c r="BB180" s="17"/>
      <c r="BD180" s="5" t="s">
        <v>223</v>
      </c>
      <c r="BE180">
        <v>17</v>
      </c>
      <c r="BF180" s="30" t="s">
        <v>389</v>
      </c>
      <c r="BG180" s="17">
        <f>MAX(BE178:BE202)</f>
        <v>17</v>
      </c>
      <c r="BI180" s="5" t="s">
        <v>250</v>
      </c>
      <c r="BJ180">
        <v>0</v>
      </c>
      <c r="BK180" s="17"/>
      <c r="BL180" s="17"/>
      <c r="BS180" s="5" t="s">
        <v>297</v>
      </c>
      <c r="BT180">
        <v>0</v>
      </c>
      <c r="BU180" s="17"/>
      <c r="BV180" s="17"/>
      <c r="BX180" s="61" t="s">
        <v>276</v>
      </c>
      <c r="BY180" s="62">
        <v>0</v>
      </c>
      <c r="BZ180" s="63" t="s">
        <v>389</v>
      </c>
      <c r="CA180" s="58">
        <f>MAX(BY178:BY202)</f>
        <v>1</v>
      </c>
      <c r="CC180" s="5" t="s">
        <v>312</v>
      </c>
      <c r="CD180">
        <v>0</v>
      </c>
      <c r="CE180" s="17"/>
      <c r="CF180" s="17"/>
      <c r="CW180" s="61" t="s">
        <v>321</v>
      </c>
      <c r="CX180" s="62">
        <v>0</v>
      </c>
      <c r="CY180" s="63" t="s">
        <v>387</v>
      </c>
      <c r="CZ180" s="58">
        <f>SUM(CX180:CX219)</f>
        <v>12</v>
      </c>
    </row>
    <row r="181" spans="1:104" x14ac:dyDescent="0.25">
      <c r="A181" s="5" t="s">
        <v>56</v>
      </c>
      <c r="B181" s="27">
        <v>0</v>
      </c>
      <c r="C181" s="17"/>
      <c r="D181" s="17"/>
      <c r="K181" s="17" t="s">
        <v>382</v>
      </c>
      <c r="L181" s="29" t="s">
        <v>363</v>
      </c>
      <c r="M181" s="17"/>
      <c r="N181" s="17">
        <v>2016</v>
      </c>
      <c r="U181" s="5" t="s">
        <v>125</v>
      </c>
      <c r="V181">
        <v>0</v>
      </c>
      <c r="Z181" s="61" t="s">
        <v>89</v>
      </c>
      <c r="AA181" s="62">
        <v>0</v>
      </c>
      <c r="AB181" s="63" t="s">
        <v>388</v>
      </c>
      <c r="AC181" s="58">
        <f>MIN(AA180:AA219)</f>
        <v>0</v>
      </c>
      <c r="AE181" s="5" t="s">
        <v>135</v>
      </c>
      <c r="AF181">
        <v>0</v>
      </c>
      <c r="AG181" s="17"/>
      <c r="AH181" s="17"/>
      <c r="AO181" s="5" t="s">
        <v>152</v>
      </c>
      <c r="AP181">
        <v>0</v>
      </c>
      <c r="AQ181" s="30" t="s">
        <v>390</v>
      </c>
      <c r="AR181" s="17">
        <f>VAR(AP178:AP202)</f>
        <v>0.04</v>
      </c>
      <c r="AT181" s="5" t="s">
        <v>176</v>
      </c>
      <c r="AU181">
        <v>2</v>
      </c>
      <c r="AV181" s="30" t="s">
        <v>388</v>
      </c>
      <c r="AW181" s="17">
        <f>MIN(AU180:AU197)</f>
        <v>0</v>
      </c>
      <c r="AY181" s="5" t="s">
        <v>161</v>
      </c>
      <c r="AZ181">
        <v>0</v>
      </c>
      <c r="BA181" s="17"/>
      <c r="BB181" s="17"/>
      <c r="BD181" s="5" t="s">
        <v>224</v>
      </c>
      <c r="BE181">
        <v>11</v>
      </c>
      <c r="BF181" s="30" t="s">
        <v>390</v>
      </c>
      <c r="BG181" s="17">
        <f>VAR(BE178:BE202)</f>
        <v>15.376666666666665</v>
      </c>
      <c r="BI181" s="5" t="s">
        <v>251</v>
      </c>
      <c r="BJ181">
        <v>0</v>
      </c>
      <c r="BK181" s="17"/>
      <c r="BL181" s="17"/>
      <c r="BN181" s="17" t="s">
        <v>382</v>
      </c>
      <c r="BO181" s="29" t="s">
        <v>440</v>
      </c>
      <c r="BP181" s="17"/>
      <c r="BQ181" s="17">
        <v>2016</v>
      </c>
      <c r="BS181" s="5" t="s">
        <v>298</v>
      </c>
      <c r="BT181">
        <v>0</v>
      </c>
      <c r="BU181" s="17"/>
      <c r="BV181" s="17"/>
      <c r="BX181" s="61" t="s">
        <v>277</v>
      </c>
      <c r="BY181" s="62">
        <v>0</v>
      </c>
      <c r="BZ181" s="63" t="s">
        <v>390</v>
      </c>
      <c r="CA181" s="58">
        <f>VAR(BY178:BY202)</f>
        <v>0.04</v>
      </c>
      <c r="CC181" s="5" t="s">
        <v>313</v>
      </c>
      <c r="CD181">
        <v>0</v>
      </c>
      <c r="CE181" s="17"/>
      <c r="CF181" s="17"/>
      <c r="CW181" s="61" t="s">
        <v>322</v>
      </c>
      <c r="CX181" s="62">
        <v>0</v>
      </c>
      <c r="CY181" s="63" t="s">
        <v>388</v>
      </c>
      <c r="CZ181" s="58">
        <f>MIN(CX180:CX219)</f>
        <v>0</v>
      </c>
    </row>
    <row r="182" spans="1:104" x14ac:dyDescent="0.25">
      <c r="A182" s="5" t="s">
        <v>57</v>
      </c>
      <c r="B182" s="27">
        <v>0</v>
      </c>
      <c r="C182" s="17"/>
      <c r="D182" s="17"/>
      <c r="K182" s="17" t="s">
        <v>383</v>
      </c>
      <c r="L182" s="6" t="s">
        <v>23</v>
      </c>
      <c r="M182" s="17"/>
      <c r="N182" s="17"/>
      <c r="U182" s="5" t="s">
        <v>126</v>
      </c>
      <c r="V182">
        <v>0</v>
      </c>
      <c r="Z182" s="61" t="s">
        <v>90</v>
      </c>
      <c r="AA182" s="62">
        <v>0</v>
      </c>
      <c r="AB182" s="63" t="s">
        <v>389</v>
      </c>
      <c r="AC182" s="58">
        <f>MAX(AA180:AA219)</f>
        <v>1</v>
      </c>
      <c r="AE182" s="5" t="s">
        <v>136</v>
      </c>
      <c r="AF182">
        <v>1</v>
      </c>
      <c r="AG182" s="17"/>
      <c r="AH182" s="17"/>
      <c r="AO182" s="5" t="s">
        <v>153</v>
      </c>
      <c r="AP182">
        <v>0</v>
      </c>
      <c r="AQ182" s="30" t="s">
        <v>391</v>
      </c>
      <c r="AR182" s="17">
        <f>AVERAGE(AP178:AP202)</f>
        <v>0.04</v>
      </c>
      <c r="AT182" s="5" t="s">
        <v>177</v>
      </c>
      <c r="AU182">
        <v>1</v>
      </c>
      <c r="AV182" s="30" t="s">
        <v>389</v>
      </c>
      <c r="AW182" s="17">
        <f>MAX(AU180:AU197)</f>
        <v>2</v>
      </c>
      <c r="AY182" s="5" t="s">
        <v>199</v>
      </c>
      <c r="AZ182">
        <v>0</v>
      </c>
      <c r="BA182" s="17"/>
      <c r="BB182" s="17"/>
      <c r="BD182" s="5" t="s">
        <v>225</v>
      </c>
      <c r="BE182">
        <v>0</v>
      </c>
      <c r="BF182" s="30" t="s">
        <v>391</v>
      </c>
      <c r="BG182" s="17">
        <f>AVERAGE(BE178:BE202)</f>
        <v>4.72</v>
      </c>
      <c r="BI182" s="5" t="s">
        <v>252</v>
      </c>
      <c r="BJ182">
        <v>0</v>
      </c>
      <c r="BK182" s="17"/>
      <c r="BL182" s="17"/>
      <c r="BN182" s="17" t="s">
        <v>383</v>
      </c>
      <c r="BO182" s="6" t="s">
        <v>21</v>
      </c>
      <c r="BP182" s="17"/>
      <c r="BQ182" s="17"/>
      <c r="BX182" s="61" t="s">
        <v>279</v>
      </c>
      <c r="BY182" s="62">
        <v>0</v>
      </c>
      <c r="BZ182" s="63" t="s">
        <v>391</v>
      </c>
      <c r="CA182" s="58">
        <f>AVERAGE(BY178:BY202)</f>
        <v>0.04</v>
      </c>
      <c r="CC182" s="5" t="s">
        <v>314</v>
      </c>
      <c r="CD182">
        <v>0</v>
      </c>
      <c r="CW182" s="61" t="s">
        <v>323</v>
      </c>
      <c r="CX182" s="62">
        <v>1</v>
      </c>
      <c r="CY182" s="63" t="s">
        <v>389</v>
      </c>
      <c r="CZ182" s="58">
        <f>MAX(CX180:CX219)</f>
        <v>2</v>
      </c>
    </row>
    <row r="183" spans="1:104" x14ac:dyDescent="0.25">
      <c r="A183" s="5" t="s">
        <v>58</v>
      </c>
      <c r="B183" s="27">
        <v>0</v>
      </c>
      <c r="C183" s="15"/>
      <c r="D183" s="15"/>
      <c r="K183" s="17" t="s">
        <v>384</v>
      </c>
      <c r="L183" s="17" t="s">
        <v>39</v>
      </c>
      <c r="M183" s="17" t="s">
        <v>385</v>
      </c>
      <c r="N183" s="17" t="s">
        <v>386</v>
      </c>
      <c r="U183" s="5" t="s">
        <v>127</v>
      </c>
      <c r="V183">
        <v>0</v>
      </c>
      <c r="Z183" s="61" t="s">
        <v>91</v>
      </c>
      <c r="AA183" s="62">
        <v>0</v>
      </c>
      <c r="AB183" s="63" t="s">
        <v>390</v>
      </c>
      <c r="AC183" s="58">
        <f>VAR(AA180:AA219)</f>
        <v>4.8717948717948718E-2</v>
      </c>
      <c r="AE183" s="5" t="s">
        <v>44</v>
      </c>
      <c r="AF183">
        <v>0</v>
      </c>
      <c r="AG183" s="17"/>
      <c r="AH183" s="17"/>
      <c r="AO183" s="5" t="s">
        <v>154</v>
      </c>
      <c r="AP183">
        <v>0</v>
      </c>
      <c r="AQ183" s="30" t="s">
        <v>392</v>
      </c>
      <c r="AR183" s="17">
        <f>STDEV(AP178:AP202)</f>
        <v>0.2</v>
      </c>
      <c r="AT183" s="5" t="s">
        <v>178</v>
      </c>
      <c r="AU183">
        <v>2</v>
      </c>
      <c r="AV183" s="30" t="s">
        <v>390</v>
      </c>
      <c r="AW183" s="17">
        <f>VAR(AU180:AU197)</f>
        <v>0.6143790849673203</v>
      </c>
      <c r="AY183" s="5" t="s">
        <v>200</v>
      </c>
      <c r="AZ183">
        <v>0</v>
      </c>
      <c r="BA183" s="17"/>
      <c r="BB183" s="17"/>
      <c r="BD183" s="5" t="s">
        <v>226</v>
      </c>
      <c r="BE183">
        <v>0</v>
      </c>
      <c r="BF183" s="30" t="s">
        <v>392</v>
      </c>
      <c r="BG183" s="17">
        <f>STDEV(BE178:BE202)</f>
        <v>3.9213093051513628</v>
      </c>
      <c r="BI183" s="5" t="s">
        <v>253</v>
      </c>
      <c r="BJ183">
        <v>0</v>
      </c>
      <c r="BK183" s="17"/>
      <c r="BL183" s="17"/>
      <c r="BN183" s="17" t="s">
        <v>384</v>
      </c>
      <c r="BO183" s="17" t="s">
        <v>39</v>
      </c>
      <c r="BP183" s="17" t="s">
        <v>385</v>
      </c>
      <c r="BQ183" s="17" t="s">
        <v>386</v>
      </c>
      <c r="BX183" s="61" t="s">
        <v>278</v>
      </c>
      <c r="BY183" s="62">
        <v>0</v>
      </c>
      <c r="BZ183" s="63" t="s">
        <v>392</v>
      </c>
      <c r="CA183" s="58">
        <f>STDEV(BY178:BY202)</f>
        <v>0.2</v>
      </c>
      <c r="CC183" s="5" t="s">
        <v>315</v>
      </c>
      <c r="CD183">
        <v>0</v>
      </c>
      <c r="CW183" s="61" t="s">
        <v>324</v>
      </c>
      <c r="CX183" s="62">
        <v>0</v>
      </c>
      <c r="CY183" s="63" t="s">
        <v>390</v>
      </c>
      <c r="CZ183" s="58">
        <f>VAR(CX180:CX219)</f>
        <v>0.31794871794871798</v>
      </c>
    </row>
    <row r="184" spans="1:104" x14ac:dyDescent="0.25">
      <c r="A184" s="5" t="s">
        <v>60</v>
      </c>
      <c r="B184" s="27">
        <v>1</v>
      </c>
      <c r="C184" s="17"/>
      <c r="D184" s="17"/>
      <c r="K184" s="5" t="s">
        <v>72</v>
      </c>
      <c r="L184">
        <v>0</v>
      </c>
      <c r="M184" s="30" t="s">
        <v>387</v>
      </c>
      <c r="N184" s="17">
        <f>SUM(L184:L199)</f>
        <v>1</v>
      </c>
      <c r="U184" s="5" t="s">
        <v>128</v>
      </c>
      <c r="V184">
        <v>0</v>
      </c>
      <c r="Z184" s="61" t="s">
        <v>92</v>
      </c>
      <c r="AA184" s="62">
        <v>0</v>
      </c>
      <c r="AB184" s="63" t="s">
        <v>391</v>
      </c>
      <c r="AC184" s="58">
        <f>AVERAGE(AA180:AA219)</f>
        <v>0.05</v>
      </c>
      <c r="AE184" s="5" t="s">
        <v>137</v>
      </c>
      <c r="AF184">
        <v>0</v>
      </c>
      <c r="AG184" s="17"/>
      <c r="AH184" s="17"/>
      <c r="AO184" s="5" t="s">
        <v>155</v>
      </c>
      <c r="AP184">
        <v>0</v>
      </c>
      <c r="AQ184" s="17"/>
      <c r="AR184" s="17"/>
      <c r="AT184" s="5" t="s">
        <v>179</v>
      </c>
      <c r="AU184">
        <v>0</v>
      </c>
      <c r="AV184" s="30" t="s">
        <v>391</v>
      </c>
      <c r="AW184" s="17">
        <f>AVERAGE(AU180:AU197)</f>
        <v>0.44444444444444442</v>
      </c>
      <c r="AY184" s="5" t="s">
        <v>201</v>
      </c>
      <c r="AZ184">
        <v>0</v>
      </c>
      <c r="BA184" s="17"/>
      <c r="BB184" s="17"/>
      <c r="BD184" s="5" t="s">
        <v>227</v>
      </c>
      <c r="BE184">
        <v>7</v>
      </c>
      <c r="BF184" s="17"/>
      <c r="BG184" s="17"/>
      <c r="BI184" s="5" t="s">
        <v>254</v>
      </c>
      <c r="BJ184">
        <v>0</v>
      </c>
      <c r="BK184" s="17"/>
      <c r="BL184" s="17"/>
      <c r="BN184" s="5" t="s">
        <v>274</v>
      </c>
      <c r="BO184">
        <v>0</v>
      </c>
      <c r="BP184" s="30" t="s">
        <v>387</v>
      </c>
      <c r="BQ184" s="17">
        <f>SUM(BO184:BO199)</f>
        <v>4</v>
      </c>
      <c r="BX184" s="61" t="s">
        <v>280</v>
      </c>
      <c r="BY184" s="62">
        <v>0</v>
      </c>
      <c r="BZ184" s="58"/>
      <c r="CA184" s="58"/>
      <c r="CC184" s="5" t="s">
        <v>316</v>
      </c>
      <c r="CD184">
        <v>0</v>
      </c>
      <c r="CW184" s="61" t="s">
        <v>325</v>
      </c>
      <c r="CX184" s="62">
        <v>0</v>
      </c>
      <c r="CY184" s="63" t="s">
        <v>391</v>
      </c>
      <c r="CZ184" s="58">
        <f>AVERAGE(CX180:CX219)</f>
        <v>0.3</v>
      </c>
    </row>
    <row r="185" spans="1:104" x14ac:dyDescent="0.25">
      <c r="A185" s="5" t="s">
        <v>61</v>
      </c>
      <c r="B185" s="27">
        <v>0</v>
      </c>
      <c r="C185" s="17"/>
      <c r="D185" s="17"/>
      <c r="K185" s="5" t="s">
        <v>73</v>
      </c>
      <c r="L185">
        <v>0</v>
      </c>
      <c r="M185" s="30" t="s">
        <v>388</v>
      </c>
      <c r="N185" s="17">
        <f>MIN(L184:L199)</f>
        <v>0</v>
      </c>
      <c r="Z185" s="61" t="s">
        <v>93</v>
      </c>
      <c r="AA185" s="62">
        <v>0</v>
      </c>
      <c r="AB185" s="63" t="s">
        <v>392</v>
      </c>
      <c r="AC185" s="58">
        <f>STDEV(AA180:AA219)</f>
        <v>0.22072142786315224</v>
      </c>
      <c r="AE185" s="5" t="s">
        <v>138</v>
      </c>
      <c r="AF185">
        <v>0</v>
      </c>
      <c r="AG185" s="17"/>
      <c r="AH185" s="17"/>
      <c r="AO185" s="5" t="s">
        <v>156</v>
      </c>
      <c r="AP185">
        <v>0</v>
      </c>
      <c r="AQ185" s="17"/>
      <c r="AR185" s="17"/>
      <c r="AT185" s="5" t="s">
        <v>180</v>
      </c>
      <c r="AU185">
        <v>0</v>
      </c>
      <c r="AV185" s="30" t="s">
        <v>392</v>
      </c>
      <c r="AW185" s="17">
        <f>STDEV(AU180:AU197)</f>
        <v>0.7838233761296739</v>
      </c>
      <c r="AY185" s="5" t="s">
        <v>202</v>
      </c>
      <c r="AZ185">
        <v>0</v>
      </c>
      <c r="BA185" s="17"/>
      <c r="BB185" s="17"/>
      <c r="BD185" s="5" t="s">
        <v>228</v>
      </c>
      <c r="BE185">
        <v>3</v>
      </c>
      <c r="BF185" s="17"/>
      <c r="BG185" s="17"/>
      <c r="BI185" s="5" t="s">
        <v>255</v>
      </c>
      <c r="BJ185">
        <v>0</v>
      </c>
      <c r="BK185" s="17"/>
      <c r="BL185" s="17"/>
      <c r="BN185" s="5" t="s">
        <v>275</v>
      </c>
      <c r="BO185">
        <v>0</v>
      </c>
      <c r="BP185" s="30" t="s">
        <v>388</v>
      </c>
      <c r="BQ185" s="17">
        <f>MIN(BO184:BO199)</f>
        <v>0</v>
      </c>
      <c r="BX185" s="61" t="s">
        <v>281</v>
      </c>
      <c r="BY185" s="62">
        <v>0</v>
      </c>
      <c r="BZ185" s="58"/>
      <c r="CA185" s="58"/>
      <c r="CC185" s="5" t="s">
        <v>317</v>
      </c>
      <c r="CD185">
        <v>1</v>
      </c>
      <c r="CW185" s="61" t="s">
        <v>326</v>
      </c>
      <c r="CX185" s="62">
        <v>0</v>
      </c>
      <c r="CY185" s="63" t="s">
        <v>392</v>
      </c>
      <c r="CZ185" s="58">
        <f>STDEV(CX180:CX219)</f>
        <v>0.56386941568834714</v>
      </c>
    </row>
    <row r="186" spans="1:104" x14ac:dyDescent="0.25">
      <c r="A186" s="5" t="s">
        <v>62</v>
      </c>
      <c r="B186" s="27">
        <v>1</v>
      </c>
      <c r="C186" s="17"/>
      <c r="D186" s="1"/>
      <c r="K186" s="5" t="s">
        <v>74</v>
      </c>
      <c r="L186">
        <v>0</v>
      </c>
      <c r="M186" s="30" t="s">
        <v>389</v>
      </c>
      <c r="N186" s="17">
        <f>MAX(L184:L199)</f>
        <v>1</v>
      </c>
      <c r="U186" s="17" t="s">
        <v>382</v>
      </c>
      <c r="V186" s="29" t="s">
        <v>400</v>
      </c>
      <c r="W186" s="17"/>
      <c r="X186" s="17">
        <v>2016</v>
      </c>
      <c r="Z186" s="61" t="s">
        <v>94</v>
      </c>
      <c r="AA186" s="62">
        <v>0</v>
      </c>
      <c r="AB186" s="58"/>
      <c r="AC186" s="58"/>
      <c r="AE186" s="5" t="s">
        <v>139</v>
      </c>
      <c r="AF186">
        <v>0</v>
      </c>
      <c r="AG186" s="17"/>
      <c r="AH186" s="17"/>
      <c r="AO186" s="5" t="s">
        <v>157</v>
      </c>
      <c r="AP186">
        <v>0</v>
      </c>
      <c r="AQ186" s="17"/>
      <c r="AR186" s="17"/>
      <c r="AT186" s="5" t="s">
        <v>181</v>
      </c>
      <c r="AU186">
        <v>0</v>
      </c>
      <c r="AV186" s="17"/>
      <c r="AW186" s="17"/>
      <c r="AY186" s="5" t="s">
        <v>203</v>
      </c>
      <c r="AZ186">
        <v>0</v>
      </c>
      <c r="BA186" s="17"/>
      <c r="BB186" s="17"/>
      <c r="BD186" s="5" t="s">
        <v>229</v>
      </c>
      <c r="BE186">
        <v>6</v>
      </c>
      <c r="BF186" s="17"/>
      <c r="BG186" s="17"/>
      <c r="BI186" s="5" t="s">
        <v>256</v>
      </c>
      <c r="BJ186">
        <v>0</v>
      </c>
      <c r="BK186" s="17"/>
      <c r="BL186" s="17"/>
      <c r="BN186" s="5" t="s">
        <v>276</v>
      </c>
      <c r="BO186">
        <v>2</v>
      </c>
      <c r="BP186" s="30" t="s">
        <v>389</v>
      </c>
      <c r="BQ186" s="17">
        <f>MAX(BO184:BO199)</f>
        <v>2</v>
      </c>
      <c r="BX186" s="61" t="s">
        <v>282</v>
      </c>
      <c r="BY186" s="62">
        <v>0</v>
      </c>
      <c r="BZ186" s="58"/>
      <c r="CA186" s="58"/>
      <c r="CC186" s="5" t="s">
        <v>318</v>
      </c>
      <c r="CD186">
        <v>0</v>
      </c>
      <c r="CM186" s="17" t="s">
        <v>382</v>
      </c>
      <c r="CN186" s="29" t="s">
        <v>442</v>
      </c>
      <c r="CO186" s="17"/>
      <c r="CP186" s="17">
        <v>2016</v>
      </c>
      <c r="CR186" s="17" t="s">
        <v>382</v>
      </c>
      <c r="CS186" s="29" t="s">
        <v>442</v>
      </c>
      <c r="CT186" s="17"/>
      <c r="CU186" s="17">
        <v>2016</v>
      </c>
      <c r="CW186" s="61" t="s">
        <v>327</v>
      </c>
      <c r="CX186" s="62">
        <v>0</v>
      </c>
      <c r="CY186" s="58"/>
      <c r="CZ186" s="58"/>
    </row>
    <row r="187" spans="1:104" x14ac:dyDescent="0.25">
      <c r="A187" s="5" t="s">
        <v>63</v>
      </c>
      <c r="B187" s="27">
        <v>0</v>
      </c>
      <c r="C187" s="17"/>
      <c r="D187" s="1"/>
      <c r="K187" s="5" t="s">
        <v>75</v>
      </c>
      <c r="L187">
        <v>0</v>
      </c>
      <c r="M187" s="30" t="s">
        <v>390</v>
      </c>
      <c r="N187" s="17">
        <f>VAR(L184:L199)</f>
        <v>6.25E-2</v>
      </c>
      <c r="U187" s="17" t="s">
        <v>383</v>
      </c>
      <c r="V187" s="6" t="s">
        <v>9</v>
      </c>
      <c r="W187" s="17"/>
      <c r="X187" s="17"/>
      <c r="Z187" s="61" t="s">
        <v>96</v>
      </c>
      <c r="AA187" s="62">
        <v>0</v>
      </c>
      <c r="AE187" s="5" t="s">
        <v>140</v>
      </c>
      <c r="AF187">
        <v>0</v>
      </c>
      <c r="AG187" s="17"/>
      <c r="AH187" s="17"/>
      <c r="AO187" s="5" t="s">
        <v>158</v>
      </c>
      <c r="AP187">
        <v>1</v>
      </c>
      <c r="AQ187" s="17"/>
      <c r="AR187" s="17"/>
      <c r="AT187" s="5" t="s">
        <v>182</v>
      </c>
      <c r="AU187">
        <v>0</v>
      </c>
      <c r="AV187" s="17"/>
      <c r="AW187" s="17"/>
      <c r="AY187" s="5" t="s">
        <v>204</v>
      </c>
      <c r="AZ187">
        <v>0</v>
      </c>
      <c r="BA187" s="17"/>
      <c r="BB187" s="17"/>
      <c r="BD187" s="5" t="s">
        <v>230</v>
      </c>
      <c r="BE187">
        <v>3</v>
      </c>
      <c r="BF187" s="17"/>
      <c r="BG187" s="17"/>
      <c r="BI187" s="5" t="s">
        <v>257</v>
      </c>
      <c r="BJ187">
        <v>0</v>
      </c>
      <c r="BK187" s="17"/>
      <c r="BL187" s="17"/>
      <c r="BN187" s="5" t="s">
        <v>277</v>
      </c>
      <c r="BO187">
        <v>0</v>
      </c>
      <c r="BP187" s="30" t="s">
        <v>390</v>
      </c>
      <c r="BQ187" s="17">
        <f>VAR(BO184:BO199)</f>
        <v>0.33333333333333331</v>
      </c>
      <c r="BX187" s="61" t="s">
        <v>283</v>
      </c>
      <c r="BY187" s="62">
        <v>1</v>
      </c>
      <c r="BZ187" s="58"/>
      <c r="CA187" s="58"/>
      <c r="CC187" s="5" t="s">
        <v>319</v>
      </c>
      <c r="CD187">
        <v>0</v>
      </c>
      <c r="CM187" s="17" t="s">
        <v>383</v>
      </c>
      <c r="CN187" s="6" t="s">
        <v>18</v>
      </c>
      <c r="CO187" s="17"/>
      <c r="CP187" s="17"/>
      <c r="CR187" s="17" t="s">
        <v>383</v>
      </c>
      <c r="CS187" s="6" t="s">
        <v>18</v>
      </c>
      <c r="CT187" s="17"/>
      <c r="CU187" s="17"/>
      <c r="CW187" s="61" t="s">
        <v>328</v>
      </c>
      <c r="CX187" s="62">
        <v>0</v>
      </c>
    </row>
    <row r="188" spans="1:104" x14ac:dyDescent="0.25">
      <c r="A188" s="5" t="s">
        <v>64</v>
      </c>
      <c r="B188" s="27">
        <v>0</v>
      </c>
      <c r="C188" s="17"/>
      <c r="D188" s="1"/>
      <c r="K188" s="5" t="s">
        <v>76</v>
      </c>
      <c r="L188">
        <v>0</v>
      </c>
      <c r="M188" s="30" t="s">
        <v>391</v>
      </c>
      <c r="N188" s="17">
        <f>AVERAGE(L184:L199)</f>
        <v>6.25E-2</v>
      </c>
      <c r="U188" s="17" t="s">
        <v>384</v>
      </c>
      <c r="V188" s="17" t="s">
        <v>39</v>
      </c>
      <c r="W188" s="17" t="s">
        <v>385</v>
      </c>
      <c r="X188" s="17" t="s">
        <v>386</v>
      </c>
      <c r="Z188" s="61" t="s">
        <v>97</v>
      </c>
      <c r="AA188" s="62">
        <v>0</v>
      </c>
      <c r="AE188" s="5" t="s">
        <v>141</v>
      </c>
      <c r="AF188">
        <v>0</v>
      </c>
      <c r="AG188" s="17"/>
      <c r="AH188" s="17"/>
      <c r="AO188" s="5" t="s">
        <v>159</v>
      </c>
      <c r="AP188">
        <v>0</v>
      </c>
      <c r="AQ188" s="17"/>
      <c r="AR188" s="17"/>
      <c r="AT188" s="5" t="s">
        <v>183</v>
      </c>
      <c r="AU188">
        <v>0</v>
      </c>
      <c r="AV188" s="17"/>
      <c r="AW188" s="17"/>
      <c r="AY188" s="5" t="s">
        <v>205</v>
      </c>
      <c r="AZ188">
        <v>0</v>
      </c>
      <c r="BA188" s="17"/>
      <c r="BB188" s="17"/>
      <c r="BD188" s="5" t="s">
        <v>231</v>
      </c>
      <c r="BE188">
        <v>0</v>
      </c>
      <c r="BF188" s="17"/>
      <c r="BG188" s="17"/>
      <c r="BI188" s="5" t="s">
        <v>258</v>
      </c>
      <c r="BJ188">
        <v>0</v>
      </c>
      <c r="BK188" s="17"/>
      <c r="BL188" s="17"/>
      <c r="BN188" s="5" t="s">
        <v>279</v>
      </c>
      <c r="BO188">
        <v>1</v>
      </c>
      <c r="BP188" s="30" t="s">
        <v>391</v>
      </c>
      <c r="BQ188" s="17">
        <f>AVERAGE(BO184:BO199)</f>
        <v>0.25</v>
      </c>
      <c r="BX188" s="61" t="s">
        <v>285</v>
      </c>
      <c r="BY188" s="62">
        <v>0</v>
      </c>
      <c r="BZ188" s="58"/>
      <c r="CA188" s="58"/>
      <c r="CC188" s="5" t="s">
        <v>320</v>
      </c>
      <c r="CD188">
        <v>0</v>
      </c>
      <c r="CM188" s="17" t="s">
        <v>384</v>
      </c>
      <c r="CN188" s="17" t="s">
        <v>39</v>
      </c>
      <c r="CO188" s="17" t="s">
        <v>385</v>
      </c>
      <c r="CP188" s="17" t="s">
        <v>386</v>
      </c>
      <c r="CR188" s="17" t="s">
        <v>384</v>
      </c>
      <c r="CS188" s="17" t="s">
        <v>39</v>
      </c>
      <c r="CT188" s="17" t="s">
        <v>385</v>
      </c>
      <c r="CU188" s="17" t="s">
        <v>386</v>
      </c>
      <c r="CW188" s="61" t="s">
        <v>329</v>
      </c>
      <c r="CX188" s="62">
        <v>0</v>
      </c>
    </row>
    <row r="189" spans="1:104" x14ac:dyDescent="0.25">
      <c r="A189" s="5"/>
      <c r="B189" s="27"/>
      <c r="C189" s="17"/>
      <c r="D189" s="1"/>
      <c r="K189" s="5" t="s">
        <v>77</v>
      </c>
      <c r="L189">
        <v>0</v>
      </c>
      <c r="M189" s="30" t="s">
        <v>392</v>
      </c>
      <c r="N189" s="17">
        <f>STDEV(L184:L199)</f>
        <v>0.25</v>
      </c>
      <c r="U189" s="5" t="s">
        <v>96</v>
      </c>
      <c r="V189">
        <v>2</v>
      </c>
      <c r="W189" s="30" t="s">
        <v>387</v>
      </c>
      <c r="X189" s="17">
        <f>SUM(V189:V221)</f>
        <v>37</v>
      </c>
      <c r="Z189" s="61" t="s">
        <v>98</v>
      </c>
      <c r="AA189" s="62">
        <v>0</v>
      </c>
      <c r="AE189" s="5" t="s">
        <v>142</v>
      </c>
      <c r="AF189">
        <v>0</v>
      </c>
      <c r="AG189" s="17"/>
      <c r="AH189" s="17"/>
      <c r="AO189" s="5" t="s">
        <v>100</v>
      </c>
      <c r="AP189">
        <v>0</v>
      </c>
      <c r="AQ189" s="17"/>
      <c r="AR189" s="17"/>
      <c r="AT189" s="5" t="s">
        <v>184</v>
      </c>
      <c r="AU189">
        <v>0</v>
      </c>
      <c r="AV189" s="17"/>
      <c r="AW189" s="17"/>
      <c r="AY189" s="5" t="s">
        <v>206</v>
      </c>
      <c r="AZ189">
        <v>0</v>
      </c>
      <c r="BA189" s="17"/>
      <c r="BB189" s="17"/>
      <c r="BD189" s="5" t="s">
        <v>232</v>
      </c>
      <c r="BE189">
        <v>0</v>
      </c>
      <c r="BF189" s="17"/>
      <c r="BG189" s="17"/>
      <c r="BI189" s="5" t="s">
        <v>259</v>
      </c>
      <c r="BJ189">
        <v>0</v>
      </c>
      <c r="BK189" s="17"/>
      <c r="BL189" s="17"/>
      <c r="BN189" s="5" t="s">
        <v>278</v>
      </c>
      <c r="BO189">
        <v>0</v>
      </c>
      <c r="BP189" s="30" t="s">
        <v>392</v>
      </c>
      <c r="BQ189" s="17">
        <f>STDEV(BO184:BO199)</f>
        <v>0.57735026918962573</v>
      </c>
      <c r="BX189" s="61" t="s">
        <v>284</v>
      </c>
      <c r="BY189" s="62">
        <v>0</v>
      </c>
      <c r="BZ189" s="58"/>
      <c r="CA189" s="58"/>
      <c r="CM189" s="5" t="s">
        <v>328</v>
      </c>
      <c r="CN189">
        <v>0</v>
      </c>
      <c r="CO189" s="30" t="s">
        <v>387</v>
      </c>
      <c r="CP189" s="17">
        <f>SUM(CN189:CN221)</f>
        <v>0</v>
      </c>
      <c r="CR189" s="5" t="s">
        <v>333</v>
      </c>
      <c r="CS189">
        <v>0</v>
      </c>
      <c r="CT189" s="30" t="s">
        <v>387</v>
      </c>
      <c r="CU189" s="17">
        <f>SUM(CS189:CS216)</f>
        <v>4</v>
      </c>
      <c r="CW189" s="61" t="s">
        <v>330</v>
      </c>
      <c r="CX189" s="62">
        <v>0</v>
      </c>
    </row>
    <row r="190" spans="1:104" x14ac:dyDescent="0.25">
      <c r="A190" s="17" t="s">
        <v>382</v>
      </c>
      <c r="B190" s="29" t="s">
        <v>361</v>
      </c>
      <c r="C190" s="17"/>
      <c r="D190" s="17">
        <v>2016</v>
      </c>
      <c r="K190" s="5" t="s">
        <v>78</v>
      </c>
      <c r="L190">
        <v>0</v>
      </c>
      <c r="M190" s="17"/>
      <c r="N190" s="17"/>
      <c r="U190" s="5" t="s">
        <v>97</v>
      </c>
      <c r="V190">
        <v>3</v>
      </c>
      <c r="W190" s="30" t="s">
        <v>388</v>
      </c>
      <c r="X190" s="17">
        <f>MIN(V189:V221)</f>
        <v>0</v>
      </c>
      <c r="Z190" s="61" t="s">
        <v>99</v>
      </c>
      <c r="AA190" s="62">
        <v>0</v>
      </c>
      <c r="AO190" s="5" t="s">
        <v>161</v>
      </c>
      <c r="AP190">
        <v>0</v>
      </c>
      <c r="AQ190" s="17"/>
      <c r="AR190" s="17"/>
      <c r="AT190" s="5" t="s">
        <v>185</v>
      </c>
      <c r="AU190">
        <v>0</v>
      </c>
      <c r="AV190" s="17"/>
      <c r="AW190" s="17"/>
      <c r="AY190" s="5" t="s">
        <v>207</v>
      </c>
      <c r="AZ190">
        <v>0</v>
      </c>
      <c r="BA190" s="17"/>
      <c r="BB190" s="17"/>
      <c r="BD190" s="5" t="s">
        <v>233</v>
      </c>
      <c r="BE190">
        <v>1</v>
      </c>
      <c r="BF190" s="17"/>
      <c r="BG190" s="17"/>
      <c r="BI190" s="5" t="s">
        <v>260</v>
      </c>
      <c r="BJ190">
        <v>0</v>
      </c>
      <c r="BK190" s="17"/>
      <c r="BL190" s="17"/>
      <c r="BN190" s="5" t="s">
        <v>280</v>
      </c>
      <c r="BO190">
        <v>0</v>
      </c>
      <c r="BP190" s="17"/>
      <c r="BQ190" s="17"/>
      <c r="BX190" s="61" t="s">
        <v>286</v>
      </c>
      <c r="BY190" s="62">
        <v>0</v>
      </c>
      <c r="BZ190" s="58"/>
      <c r="CA190" s="58"/>
      <c r="CC190" s="17" t="s">
        <v>382</v>
      </c>
      <c r="CD190" s="29" t="s">
        <v>375</v>
      </c>
      <c r="CE190" s="17"/>
      <c r="CF190" s="17">
        <v>2016</v>
      </c>
      <c r="CM190" s="5" t="s">
        <v>329</v>
      </c>
      <c r="CN190">
        <v>0</v>
      </c>
      <c r="CO190" s="30" t="s">
        <v>388</v>
      </c>
      <c r="CP190" s="17">
        <f>MIN(CN189:CN221)</f>
        <v>0</v>
      </c>
      <c r="CR190" s="5" t="s">
        <v>334</v>
      </c>
      <c r="CS190">
        <v>0</v>
      </c>
      <c r="CT190" s="30" t="s">
        <v>388</v>
      </c>
      <c r="CU190" s="17">
        <f>MIN(CS189:CS216)</f>
        <v>0</v>
      </c>
      <c r="CW190" s="61" t="s">
        <v>331</v>
      </c>
      <c r="CX190" s="62">
        <v>0</v>
      </c>
    </row>
    <row r="191" spans="1:104" x14ac:dyDescent="0.25">
      <c r="A191" s="17" t="s">
        <v>383</v>
      </c>
      <c r="B191" s="28" t="s">
        <v>18</v>
      </c>
      <c r="C191" s="17"/>
      <c r="D191" s="17"/>
      <c r="K191" s="5" t="s">
        <v>79</v>
      </c>
      <c r="L191">
        <v>0</v>
      </c>
      <c r="M191" s="17"/>
      <c r="N191" s="17"/>
      <c r="U191" s="5" t="s">
        <v>98</v>
      </c>
      <c r="V191">
        <v>1</v>
      </c>
      <c r="W191" s="30" t="s">
        <v>389</v>
      </c>
      <c r="X191" s="17">
        <f>MAX(V189:V221)</f>
        <v>5</v>
      </c>
      <c r="Z191" s="61" t="s">
        <v>100</v>
      </c>
      <c r="AA191" s="62">
        <v>0</v>
      </c>
      <c r="AE191" s="17" t="s">
        <v>382</v>
      </c>
      <c r="AF191" s="29" t="s">
        <v>366</v>
      </c>
      <c r="AG191" s="17"/>
      <c r="AH191" s="17">
        <v>2016</v>
      </c>
      <c r="AO191" s="5" t="s">
        <v>162</v>
      </c>
      <c r="AP191">
        <v>0</v>
      </c>
      <c r="AQ191" s="17"/>
      <c r="AR191" s="17"/>
      <c r="AT191" s="5" t="s">
        <v>186</v>
      </c>
      <c r="AU191">
        <v>0</v>
      </c>
      <c r="AV191" s="17"/>
      <c r="AW191" s="17"/>
      <c r="AY191" s="5" t="s">
        <v>208</v>
      </c>
      <c r="AZ191">
        <v>0</v>
      </c>
      <c r="BA191" s="15"/>
      <c r="BB191" s="15"/>
      <c r="BD191" s="5" t="s">
        <v>234</v>
      </c>
      <c r="BE191">
        <v>6</v>
      </c>
      <c r="BF191" s="17"/>
      <c r="BG191" s="17"/>
      <c r="BI191" s="5" t="s">
        <v>261</v>
      </c>
      <c r="BJ191">
        <v>0</v>
      </c>
      <c r="BK191" s="15"/>
      <c r="BL191" s="15"/>
      <c r="BN191" s="5" t="s">
        <v>281</v>
      </c>
      <c r="BO191">
        <v>0</v>
      </c>
      <c r="BP191" s="17"/>
      <c r="BQ191" s="17"/>
      <c r="BX191" s="61" t="s">
        <v>287</v>
      </c>
      <c r="BY191" s="62">
        <v>0</v>
      </c>
      <c r="BZ191" s="58"/>
      <c r="CA191" s="58"/>
      <c r="CC191" s="17" t="s">
        <v>383</v>
      </c>
      <c r="CD191" s="6" t="s">
        <v>18</v>
      </c>
      <c r="CE191" s="17"/>
      <c r="CF191" s="17"/>
      <c r="CM191" s="5" t="s">
        <v>330</v>
      </c>
      <c r="CN191">
        <v>0</v>
      </c>
      <c r="CO191" s="30" t="s">
        <v>389</v>
      </c>
      <c r="CP191" s="17">
        <f>MAX(CN189:CN221)</f>
        <v>0</v>
      </c>
      <c r="CR191" s="5" t="s">
        <v>335</v>
      </c>
      <c r="CS191">
        <v>0</v>
      </c>
      <c r="CT191" s="30" t="s">
        <v>389</v>
      </c>
      <c r="CU191" s="17">
        <f>MAX(CS189:CS216)</f>
        <v>1</v>
      </c>
      <c r="CW191" s="61" t="s">
        <v>332</v>
      </c>
      <c r="CX191" s="62">
        <v>0</v>
      </c>
    </row>
    <row r="192" spans="1:104" x14ac:dyDescent="0.25">
      <c r="A192" s="17" t="s">
        <v>384</v>
      </c>
      <c r="B192" s="17" t="s">
        <v>39</v>
      </c>
      <c r="C192" s="17" t="s">
        <v>385</v>
      </c>
      <c r="D192" s="17" t="s">
        <v>386</v>
      </c>
      <c r="K192" s="5" t="s">
        <v>80</v>
      </c>
      <c r="L192">
        <v>0</v>
      </c>
      <c r="M192" s="17"/>
      <c r="N192" s="17"/>
      <c r="U192" s="5" t="s">
        <v>99</v>
      </c>
      <c r="V192">
        <v>4</v>
      </c>
      <c r="W192" s="30" t="s">
        <v>390</v>
      </c>
      <c r="X192" s="17">
        <f>VAR(V189:V221)</f>
        <v>2.3598484848484849</v>
      </c>
      <c r="Z192" s="61" t="s">
        <v>101</v>
      </c>
      <c r="AA192" s="62">
        <v>0</v>
      </c>
      <c r="AE192" s="17" t="s">
        <v>383</v>
      </c>
      <c r="AF192" s="6" t="s">
        <v>23</v>
      </c>
      <c r="AG192" s="17"/>
      <c r="AH192" s="17"/>
      <c r="AO192" s="5" t="s">
        <v>163</v>
      </c>
      <c r="AP192">
        <v>0</v>
      </c>
      <c r="AQ192" s="17"/>
      <c r="AR192" s="17"/>
      <c r="AT192" s="5" t="s">
        <v>187</v>
      </c>
      <c r="AU192">
        <v>0</v>
      </c>
      <c r="AV192" s="17"/>
      <c r="AW192" s="17"/>
      <c r="AY192" s="5" t="s">
        <v>209</v>
      </c>
      <c r="AZ192">
        <v>0</v>
      </c>
      <c r="BD192" s="5" t="s">
        <v>157</v>
      </c>
      <c r="BE192">
        <v>4</v>
      </c>
      <c r="BF192" s="17"/>
      <c r="BG192" s="17"/>
      <c r="BI192" s="5" t="s">
        <v>262</v>
      </c>
      <c r="BJ192">
        <v>0</v>
      </c>
      <c r="BN192" s="5" t="s">
        <v>282</v>
      </c>
      <c r="BO192">
        <v>0</v>
      </c>
      <c r="BP192" s="17"/>
      <c r="BQ192" s="17"/>
      <c r="BX192" s="61" t="s">
        <v>288</v>
      </c>
      <c r="BY192" s="62">
        <v>0</v>
      </c>
      <c r="BZ192" s="58"/>
      <c r="CA192" s="58"/>
      <c r="CC192" s="17" t="s">
        <v>384</v>
      </c>
      <c r="CD192" s="17" t="s">
        <v>39</v>
      </c>
      <c r="CE192" s="17" t="s">
        <v>385</v>
      </c>
      <c r="CF192" s="17" t="s">
        <v>386</v>
      </c>
      <c r="CM192" s="5" t="s">
        <v>331</v>
      </c>
      <c r="CN192">
        <v>0</v>
      </c>
      <c r="CO192" s="30" t="s">
        <v>390</v>
      </c>
      <c r="CP192" s="17">
        <f>VAR(CN189:CN221)</f>
        <v>0</v>
      </c>
      <c r="CR192" s="5" t="s">
        <v>43</v>
      </c>
      <c r="CS192">
        <v>0</v>
      </c>
      <c r="CT192" s="30" t="s">
        <v>390</v>
      </c>
      <c r="CU192" s="17">
        <f>VAR(CS189:CS216)</f>
        <v>0.126984126984127</v>
      </c>
      <c r="CW192" s="61" t="s">
        <v>333</v>
      </c>
      <c r="CX192" s="62">
        <v>0</v>
      </c>
    </row>
    <row r="193" spans="1:102" x14ac:dyDescent="0.25">
      <c r="A193" s="5" t="s">
        <v>40</v>
      </c>
      <c r="B193" s="27">
        <v>0</v>
      </c>
      <c r="C193" s="30" t="s">
        <v>387</v>
      </c>
      <c r="D193" s="17">
        <f>SUM(B193:B215)</f>
        <v>7</v>
      </c>
      <c r="K193" s="5" t="s">
        <v>81</v>
      </c>
      <c r="L193">
        <v>0</v>
      </c>
      <c r="M193" s="17"/>
      <c r="N193" s="17"/>
      <c r="U193" s="5" t="s">
        <v>100</v>
      </c>
      <c r="V193">
        <v>4</v>
      </c>
      <c r="W193" s="30" t="s">
        <v>391</v>
      </c>
      <c r="X193" s="17">
        <f>AVERAGE(V189:V221)</f>
        <v>1.1212121212121211</v>
      </c>
      <c r="Z193" s="61" t="s">
        <v>103</v>
      </c>
      <c r="AA193" s="62">
        <v>0</v>
      </c>
      <c r="AE193" s="17" t="s">
        <v>384</v>
      </c>
      <c r="AF193" s="17" t="s">
        <v>39</v>
      </c>
      <c r="AG193" s="17" t="s">
        <v>385</v>
      </c>
      <c r="AH193" s="17" t="s">
        <v>386</v>
      </c>
      <c r="AO193" s="5" t="s">
        <v>164</v>
      </c>
      <c r="AP193">
        <v>0</v>
      </c>
      <c r="AQ193" s="17"/>
      <c r="AR193" s="17"/>
      <c r="AT193" s="5" t="s">
        <v>188</v>
      </c>
      <c r="AU193">
        <v>2</v>
      </c>
      <c r="AV193" s="17"/>
      <c r="AW193" s="17"/>
      <c r="AY193" s="5" t="s">
        <v>210</v>
      </c>
      <c r="AZ193">
        <v>0</v>
      </c>
      <c r="BD193" s="5" t="s">
        <v>235</v>
      </c>
      <c r="BE193">
        <v>5</v>
      </c>
      <c r="BF193" s="17"/>
      <c r="BG193" s="17"/>
      <c r="BI193" s="5" t="s">
        <v>263</v>
      </c>
      <c r="BJ193">
        <v>0</v>
      </c>
      <c r="BN193" s="5" t="s">
        <v>283</v>
      </c>
      <c r="BO193">
        <v>0</v>
      </c>
      <c r="BP193" s="17"/>
      <c r="BQ193" s="17"/>
      <c r="BX193" s="61" t="s">
        <v>289</v>
      </c>
      <c r="BY193" s="62">
        <v>0</v>
      </c>
      <c r="BZ193" s="58"/>
      <c r="CA193" s="58"/>
      <c r="CC193" s="5" t="s">
        <v>299</v>
      </c>
      <c r="CD193">
        <v>0</v>
      </c>
      <c r="CE193" s="30" t="s">
        <v>387</v>
      </c>
      <c r="CF193" s="17">
        <f>SUM(CD193:CD215)</f>
        <v>1</v>
      </c>
      <c r="CM193" s="5" t="s">
        <v>332</v>
      </c>
      <c r="CN193">
        <v>0</v>
      </c>
      <c r="CO193" s="30" t="s">
        <v>391</v>
      </c>
      <c r="CP193" s="17">
        <f>AVERAGE(CN189:CN221)</f>
        <v>0</v>
      </c>
      <c r="CR193" s="5" t="s">
        <v>336</v>
      </c>
      <c r="CS193">
        <v>0</v>
      </c>
      <c r="CT193" s="30" t="s">
        <v>391</v>
      </c>
      <c r="CU193" s="17">
        <f>AVERAGE(CS189:CS216)</f>
        <v>0.14285714285714285</v>
      </c>
      <c r="CW193" s="61" t="s">
        <v>334</v>
      </c>
      <c r="CX193" s="62">
        <v>1</v>
      </c>
    </row>
    <row r="194" spans="1:102" x14ac:dyDescent="0.25">
      <c r="A194" s="5" t="s">
        <v>41</v>
      </c>
      <c r="B194" s="27">
        <v>0</v>
      </c>
      <c r="C194" s="30" t="s">
        <v>388</v>
      </c>
      <c r="D194" s="17">
        <f>MIN(B193:B215)</f>
        <v>0</v>
      </c>
      <c r="K194" s="5" t="s">
        <v>82</v>
      </c>
      <c r="L194">
        <v>0</v>
      </c>
      <c r="M194" s="17"/>
      <c r="N194" s="17"/>
      <c r="U194" s="5" t="s">
        <v>101</v>
      </c>
      <c r="V194">
        <v>4</v>
      </c>
      <c r="W194" s="30" t="s">
        <v>392</v>
      </c>
      <c r="X194" s="17">
        <f>STDEV(V189:V221)</f>
        <v>1.5361798348007583</v>
      </c>
      <c r="Z194" s="61" t="s">
        <v>104</v>
      </c>
      <c r="AA194" s="62">
        <v>0</v>
      </c>
      <c r="AE194" s="5" t="s">
        <v>129</v>
      </c>
      <c r="AF194">
        <v>0</v>
      </c>
      <c r="AG194" s="30" t="s">
        <v>387</v>
      </c>
      <c r="AH194" s="17">
        <f>SUM(AF194:AF208)</f>
        <v>1</v>
      </c>
      <c r="AO194" s="5" t="s">
        <v>165</v>
      </c>
      <c r="AP194">
        <v>0</v>
      </c>
      <c r="AQ194" s="17"/>
      <c r="AR194" s="17"/>
      <c r="AT194" s="5" t="s">
        <v>395</v>
      </c>
      <c r="AU194">
        <v>0</v>
      </c>
      <c r="AV194" s="17"/>
      <c r="AW194" s="17"/>
      <c r="AY194" s="5" t="s">
        <v>211</v>
      </c>
      <c r="AZ194">
        <v>0</v>
      </c>
      <c r="BD194" s="5" t="s">
        <v>236</v>
      </c>
      <c r="BE194">
        <v>5</v>
      </c>
      <c r="BF194" s="17"/>
      <c r="BG194" s="17"/>
      <c r="BI194" s="5" t="s">
        <v>264</v>
      </c>
      <c r="BJ194">
        <v>0</v>
      </c>
      <c r="BN194" s="5" t="s">
        <v>285</v>
      </c>
      <c r="BO194">
        <v>0</v>
      </c>
      <c r="BP194" s="17"/>
      <c r="BQ194" s="17"/>
      <c r="BX194" s="61" t="s">
        <v>290</v>
      </c>
      <c r="BY194" s="62">
        <v>0</v>
      </c>
      <c r="CC194" s="5" t="s">
        <v>300</v>
      </c>
      <c r="CD194">
        <v>0</v>
      </c>
      <c r="CE194" s="30" t="s">
        <v>388</v>
      </c>
      <c r="CF194" s="17">
        <f>MIN(CD193:CD215)</f>
        <v>0</v>
      </c>
      <c r="CM194" s="5"/>
      <c r="CO194" s="30" t="s">
        <v>392</v>
      </c>
      <c r="CP194" s="17">
        <f>STDEV(CN189:CN221)</f>
        <v>0</v>
      </c>
      <c r="CR194" s="5" t="s">
        <v>337</v>
      </c>
      <c r="CS194">
        <v>0</v>
      </c>
      <c r="CT194" s="30" t="s">
        <v>392</v>
      </c>
      <c r="CU194" s="17">
        <f>STDEV(CS189:CS216)</f>
        <v>0.35634832254989923</v>
      </c>
      <c r="CW194" s="61" t="s">
        <v>335</v>
      </c>
      <c r="CX194" s="62">
        <v>0</v>
      </c>
    </row>
    <row r="195" spans="1:102" x14ac:dyDescent="0.25">
      <c r="A195" s="5" t="s">
        <v>42</v>
      </c>
      <c r="B195" s="27">
        <v>0</v>
      </c>
      <c r="C195" s="30" t="s">
        <v>389</v>
      </c>
      <c r="D195" s="17">
        <f>MAX(B193:B215)</f>
        <v>1</v>
      </c>
      <c r="K195" s="5" t="s">
        <v>83</v>
      </c>
      <c r="L195">
        <v>0</v>
      </c>
      <c r="M195" s="17"/>
      <c r="N195" s="17"/>
      <c r="U195" s="5" t="s">
        <v>103</v>
      </c>
      <c r="V195">
        <v>0</v>
      </c>
      <c r="W195" s="17"/>
      <c r="X195" s="17"/>
      <c r="Z195" s="61" t="s">
        <v>105</v>
      </c>
      <c r="AA195" s="62">
        <v>0</v>
      </c>
      <c r="AE195" s="5" t="s">
        <v>130</v>
      </c>
      <c r="AF195">
        <v>0</v>
      </c>
      <c r="AG195" s="30" t="s">
        <v>388</v>
      </c>
      <c r="AH195" s="17">
        <f>MIN(AF194:AF208)</f>
        <v>0</v>
      </c>
      <c r="AO195" s="5" t="s">
        <v>166</v>
      </c>
      <c r="AP195">
        <v>0</v>
      </c>
      <c r="AQ195" s="15"/>
      <c r="AR195" s="15"/>
      <c r="AT195" s="5" t="s">
        <v>189</v>
      </c>
      <c r="AU195">
        <v>1</v>
      </c>
      <c r="AV195" s="17"/>
      <c r="AW195" s="17"/>
      <c r="AY195" s="5" t="s">
        <v>212</v>
      </c>
      <c r="AZ195">
        <v>1</v>
      </c>
      <c r="BD195" s="5" t="s">
        <v>237</v>
      </c>
      <c r="BE195">
        <v>5</v>
      </c>
      <c r="BF195" s="15"/>
      <c r="BG195" s="15"/>
      <c r="BI195" s="5" t="s">
        <v>265</v>
      </c>
      <c r="BJ195">
        <v>0</v>
      </c>
      <c r="BN195" s="5" t="s">
        <v>284</v>
      </c>
      <c r="BO195">
        <v>0</v>
      </c>
      <c r="BP195" s="17"/>
      <c r="BQ195" s="17"/>
      <c r="BX195" s="61" t="s">
        <v>291</v>
      </c>
      <c r="BY195" s="62">
        <v>0</v>
      </c>
      <c r="CC195" s="5" t="s">
        <v>301</v>
      </c>
      <c r="CD195">
        <v>0</v>
      </c>
      <c r="CE195" s="30" t="s">
        <v>389</v>
      </c>
      <c r="CF195" s="17">
        <f>MAX(CD193:CD215)</f>
        <v>1</v>
      </c>
      <c r="CM195" s="5"/>
      <c r="CO195" s="17"/>
      <c r="CP195" s="17"/>
      <c r="CR195" s="5" t="s">
        <v>338</v>
      </c>
      <c r="CS195">
        <v>0</v>
      </c>
      <c r="CW195" s="61" t="s">
        <v>43</v>
      </c>
      <c r="CX195" s="62">
        <v>2</v>
      </c>
    </row>
    <row r="196" spans="1:102" x14ac:dyDescent="0.25">
      <c r="A196" s="5" t="s">
        <v>43</v>
      </c>
      <c r="B196" s="27">
        <v>0</v>
      </c>
      <c r="C196" s="30" t="s">
        <v>390</v>
      </c>
      <c r="D196" s="17">
        <f>VAR(B193:B215)</f>
        <v>0.22134387351778659</v>
      </c>
      <c r="K196" s="5" t="s">
        <v>84</v>
      </c>
      <c r="L196">
        <v>0</v>
      </c>
      <c r="M196" s="17"/>
      <c r="N196" s="17"/>
      <c r="U196" s="5" t="s">
        <v>104</v>
      </c>
      <c r="V196">
        <v>4</v>
      </c>
      <c r="W196" s="17"/>
      <c r="X196" s="17"/>
      <c r="Z196" s="61" t="s">
        <v>106</v>
      </c>
      <c r="AA196" s="62">
        <v>1</v>
      </c>
      <c r="AE196" s="5" t="s">
        <v>131</v>
      </c>
      <c r="AF196">
        <v>0</v>
      </c>
      <c r="AG196" s="30" t="s">
        <v>389</v>
      </c>
      <c r="AH196" s="17">
        <f>MAX(AF194:AF208)</f>
        <v>1</v>
      </c>
      <c r="AO196" s="5" t="s">
        <v>168</v>
      </c>
      <c r="AP196">
        <v>0</v>
      </c>
      <c r="AQ196" s="17"/>
      <c r="AR196" s="17"/>
      <c r="AT196" s="5" t="s">
        <v>190</v>
      </c>
      <c r="AU196">
        <v>0</v>
      </c>
      <c r="AV196" s="17"/>
      <c r="AW196" s="17"/>
      <c r="AY196" s="5" t="s">
        <v>213</v>
      </c>
      <c r="AZ196">
        <v>0</v>
      </c>
      <c r="BD196" s="5" t="s">
        <v>238</v>
      </c>
      <c r="BE196">
        <v>5</v>
      </c>
      <c r="BI196" s="5" t="s">
        <v>266</v>
      </c>
      <c r="BJ196">
        <v>0</v>
      </c>
      <c r="BN196" s="5" t="s">
        <v>286</v>
      </c>
      <c r="BO196">
        <v>0</v>
      </c>
      <c r="BP196" s="17"/>
      <c r="BQ196" s="17"/>
      <c r="BX196" s="61" t="s">
        <v>292</v>
      </c>
      <c r="BY196" s="62">
        <v>0</v>
      </c>
      <c r="CC196" s="5" t="s">
        <v>302</v>
      </c>
      <c r="CD196">
        <v>0</v>
      </c>
      <c r="CE196" s="30" t="s">
        <v>390</v>
      </c>
      <c r="CF196" s="17">
        <f>VAR(CD193:CD215)</f>
        <v>4.3478260869565216E-2</v>
      </c>
      <c r="CM196" s="5"/>
      <c r="CO196" s="17"/>
      <c r="CP196" s="17"/>
      <c r="CR196" s="5" t="s">
        <v>339</v>
      </c>
      <c r="CS196">
        <v>0</v>
      </c>
      <c r="CW196" s="61" t="s">
        <v>336</v>
      </c>
      <c r="CX196" s="62">
        <v>0</v>
      </c>
    </row>
    <row r="197" spans="1:102" x14ac:dyDescent="0.25">
      <c r="A197" s="5" t="s">
        <v>44</v>
      </c>
      <c r="B197" s="27">
        <v>0</v>
      </c>
      <c r="C197" s="30" t="s">
        <v>391</v>
      </c>
      <c r="D197" s="17">
        <f>AVERAGE(B193:B215)</f>
        <v>0.30434782608695654</v>
      </c>
      <c r="K197" s="5" t="s">
        <v>85</v>
      </c>
      <c r="L197">
        <v>0</v>
      </c>
      <c r="M197" s="17"/>
      <c r="N197" s="17"/>
      <c r="U197" s="5" t="s">
        <v>105</v>
      </c>
      <c r="V197">
        <v>0</v>
      </c>
      <c r="W197" s="17"/>
      <c r="X197" s="17"/>
      <c r="Z197" s="61" t="s">
        <v>61</v>
      </c>
      <c r="AA197" s="62">
        <v>0</v>
      </c>
      <c r="AE197" s="5" t="s">
        <v>132</v>
      </c>
      <c r="AF197">
        <v>0</v>
      </c>
      <c r="AG197" s="30" t="s">
        <v>390</v>
      </c>
      <c r="AH197" s="17">
        <f>VAR(AF194:AF208)</f>
        <v>6.6666666666666666E-2</v>
      </c>
      <c r="AO197" s="5" t="s">
        <v>169</v>
      </c>
      <c r="AP197">
        <v>0</v>
      </c>
      <c r="AQ197" s="17"/>
      <c r="AR197" s="17"/>
      <c r="AT197" s="5" t="s">
        <v>191</v>
      </c>
      <c r="AU197">
        <v>0</v>
      </c>
      <c r="AV197" s="15"/>
      <c r="AW197" s="15"/>
      <c r="AY197" s="5" t="s">
        <v>214</v>
      </c>
      <c r="AZ197">
        <v>0</v>
      </c>
      <c r="BD197" s="5" t="s">
        <v>239</v>
      </c>
      <c r="BE197">
        <v>7</v>
      </c>
      <c r="BI197" s="5" t="s">
        <v>267</v>
      </c>
      <c r="BJ197">
        <v>1</v>
      </c>
      <c r="BN197" s="5" t="s">
        <v>287</v>
      </c>
      <c r="BO197">
        <v>0</v>
      </c>
      <c r="BP197" s="17"/>
      <c r="BQ197" s="17"/>
      <c r="BX197" s="61" t="s">
        <v>293</v>
      </c>
      <c r="BY197" s="62">
        <v>0</v>
      </c>
      <c r="CC197" s="5" t="s">
        <v>303</v>
      </c>
      <c r="CD197">
        <v>0</v>
      </c>
      <c r="CE197" s="30" t="s">
        <v>391</v>
      </c>
      <c r="CF197" s="17">
        <f>AVERAGE(CD193:CD215)</f>
        <v>4.3478260869565216E-2</v>
      </c>
      <c r="CM197" s="5"/>
      <c r="CO197" s="17"/>
      <c r="CP197" s="17"/>
      <c r="CR197" s="5" t="s">
        <v>340</v>
      </c>
      <c r="CS197">
        <v>1</v>
      </c>
      <c r="CW197" s="61" t="s">
        <v>337</v>
      </c>
      <c r="CX197" s="62">
        <v>2</v>
      </c>
    </row>
    <row r="198" spans="1:102" x14ac:dyDescent="0.25">
      <c r="A198" s="5" t="s">
        <v>45</v>
      </c>
      <c r="B198" s="27">
        <v>1</v>
      </c>
      <c r="C198" s="30" t="s">
        <v>392</v>
      </c>
      <c r="D198" s="17">
        <f>STDEV(B193:B215)</f>
        <v>0.4704719688969648</v>
      </c>
      <c r="K198" s="5" t="s">
        <v>86</v>
      </c>
      <c r="L198">
        <v>1</v>
      </c>
      <c r="M198" s="17"/>
      <c r="N198" s="17"/>
      <c r="U198" s="5" t="s">
        <v>106</v>
      </c>
      <c r="V198">
        <v>0</v>
      </c>
      <c r="W198" s="17"/>
      <c r="X198" s="17"/>
      <c r="Z198" s="61" t="s">
        <v>107</v>
      </c>
      <c r="AA198" s="62">
        <v>0</v>
      </c>
      <c r="AE198" s="5" t="s">
        <v>133</v>
      </c>
      <c r="AF198">
        <v>0</v>
      </c>
      <c r="AG198" s="30" t="s">
        <v>391</v>
      </c>
      <c r="AH198" s="17">
        <f>AVERAGE(AF194:AF208)</f>
        <v>6.6666666666666666E-2</v>
      </c>
      <c r="AO198" s="5" t="s">
        <v>170</v>
      </c>
      <c r="AP198">
        <v>0</v>
      </c>
      <c r="AQ198" s="17"/>
      <c r="AR198" s="1"/>
      <c r="AY198" s="5" t="s">
        <v>215</v>
      </c>
      <c r="AZ198">
        <v>0</v>
      </c>
      <c r="BD198" s="5" t="s">
        <v>240</v>
      </c>
      <c r="BE198">
        <v>3</v>
      </c>
      <c r="BI198" s="5" t="s">
        <v>268</v>
      </c>
      <c r="BJ198">
        <v>0</v>
      </c>
      <c r="BN198" s="5" t="s">
        <v>288</v>
      </c>
      <c r="BO198">
        <v>1</v>
      </c>
      <c r="BP198" s="17"/>
      <c r="BQ198" s="17"/>
      <c r="BX198" s="61" t="s">
        <v>294</v>
      </c>
      <c r="BY198" s="62">
        <v>0</v>
      </c>
      <c r="CC198" s="5" t="s">
        <v>304</v>
      </c>
      <c r="CD198">
        <v>0</v>
      </c>
      <c r="CE198" s="30" t="s">
        <v>392</v>
      </c>
      <c r="CF198" s="17">
        <f>STDEV(CD193:CD215)</f>
        <v>0.20851441405707477</v>
      </c>
      <c r="CM198" s="5"/>
      <c r="CO198" s="17"/>
      <c r="CP198" s="17"/>
      <c r="CR198" s="5" t="s">
        <v>341</v>
      </c>
      <c r="CS198">
        <v>0</v>
      </c>
      <c r="CW198" s="61" t="s">
        <v>338</v>
      </c>
      <c r="CX198" s="62">
        <v>1</v>
      </c>
    </row>
    <row r="199" spans="1:102" x14ac:dyDescent="0.25">
      <c r="A199" s="5" t="s">
        <v>47</v>
      </c>
      <c r="B199" s="27">
        <v>0</v>
      </c>
      <c r="C199" s="17"/>
      <c r="D199" s="17"/>
      <c r="K199" s="5" t="s">
        <v>87</v>
      </c>
      <c r="L199">
        <v>0</v>
      </c>
      <c r="M199" s="17"/>
      <c r="N199" s="17"/>
      <c r="U199" s="5" t="s">
        <v>61</v>
      </c>
      <c r="V199">
        <v>5</v>
      </c>
      <c r="W199" s="17"/>
      <c r="X199" s="17"/>
      <c r="Z199" s="61" t="s">
        <v>108</v>
      </c>
      <c r="AA199" s="62">
        <v>1</v>
      </c>
      <c r="AE199" s="5" t="s">
        <v>134</v>
      </c>
      <c r="AF199">
        <v>0</v>
      </c>
      <c r="AG199" s="30" t="s">
        <v>392</v>
      </c>
      <c r="AH199" s="17">
        <f>STDEV(AF194:AF208)</f>
        <v>0.2581988897471611</v>
      </c>
      <c r="AO199" s="5" t="s">
        <v>171</v>
      </c>
      <c r="AP199">
        <v>0</v>
      </c>
      <c r="AQ199" s="17"/>
      <c r="AR199" s="1"/>
      <c r="AT199" s="17" t="s">
        <v>382</v>
      </c>
      <c r="AU199" s="29" t="s">
        <v>369</v>
      </c>
      <c r="AV199" s="17"/>
      <c r="AW199" s="17">
        <v>2016</v>
      </c>
      <c r="AY199" s="5" t="s">
        <v>216</v>
      </c>
      <c r="AZ199">
        <v>0</v>
      </c>
      <c r="BD199" s="5" t="s">
        <v>241</v>
      </c>
      <c r="BE199">
        <v>7</v>
      </c>
      <c r="BI199" s="5" t="s">
        <v>269</v>
      </c>
      <c r="BJ199">
        <v>0</v>
      </c>
      <c r="BN199" s="5" t="s">
        <v>289</v>
      </c>
      <c r="BO199">
        <v>0</v>
      </c>
      <c r="BP199" s="17"/>
      <c r="BQ199" s="17"/>
      <c r="BX199" s="61" t="s">
        <v>295</v>
      </c>
      <c r="BY199" s="62">
        <v>0</v>
      </c>
      <c r="CC199" s="5" t="s">
        <v>305</v>
      </c>
      <c r="CD199">
        <v>0</v>
      </c>
      <c r="CE199" s="17"/>
      <c r="CF199" s="17"/>
      <c r="CM199" s="5"/>
      <c r="CO199" s="17"/>
      <c r="CP199" s="17"/>
      <c r="CR199" s="5" t="s">
        <v>342</v>
      </c>
      <c r="CS199">
        <v>0</v>
      </c>
      <c r="CW199" s="61" t="s">
        <v>339</v>
      </c>
      <c r="CX199" s="62">
        <v>0</v>
      </c>
    </row>
    <row r="200" spans="1:102" x14ac:dyDescent="0.25">
      <c r="A200" s="5" t="s">
        <v>48</v>
      </c>
      <c r="B200" s="27">
        <v>0</v>
      </c>
      <c r="C200" s="17"/>
      <c r="D200" s="17"/>
      <c r="U200" s="5" t="s">
        <v>107</v>
      </c>
      <c r="V200">
        <v>0</v>
      </c>
      <c r="W200" s="17"/>
      <c r="X200" s="17"/>
      <c r="Z200" s="61" t="s">
        <v>109</v>
      </c>
      <c r="AA200" s="62">
        <v>0</v>
      </c>
      <c r="AE200" s="5" t="s">
        <v>135</v>
      </c>
      <c r="AF200">
        <v>0</v>
      </c>
      <c r="AG200" s="17"/>
      <c r="AH200" s="17"/>
      <c r="AO200" s="5" t="s">
        <v>172</v>
      </c>
      <c r="AP200">
        <v>0</v>
      </c>
      <c r="AQ200" s="17"/>
      <c r="AR200" s="1"/>
      <c r="AT200" s="17" t="s">
        <v>383</v>
      </c>
      <c r="AU200" s="6" t="s">
        <v>23</v>
      </c>
      <c r="AV200" s="17"/>
      <c r="AW200" s="17"/>
      <c r="AY200" s="5" t="s">
        <v>217</v>
      </c>
      <c r="AZ200">
        <v>0</v>
      </c>
      <c r="BD200" s="5" t="s">
        <v>242</v>
      </c>
      <c r="BE200">
        <v>2</v>
      </c>
      <c r="BI200" s="5" t="s">
        <v>270</v>
      </c>
      <c r="BJ200">
        <v>0</v>
      </c>
      <c r="BX200" s="61" t="s">
        <v>296</v>
      </c>
      <c r="BY200" s="62">
        <v>0</v>
      </c>
      <c r="CC200" s="5" t="s">
        <v>306</v>
      </c>
      <c r="CD200">
        <v>0</v>
      </c>
      <c r="CE200" s="17"/>
      <c r="CF200" s="17"/>
      <c r="CM200" s="5"/>
      <c r="CO200" s="17"/>
      <c r="CP200" s="17"/>
      <c r="CR200" s="5" t="s">
        <v>343</v>
      </c>
      <c r="CS200">
        <v>1</v>
      </c>
      <c r="CW200" s="61" t="s">
        <v>340</v>
      </c>
      <c r="CX200" s="62">
        <v>0</v>
      </c>
    </row>
    <row r="201" spans="1:102" x14ac:dyDescent="0.25">
      <c r="A201" s="5" t="s">
        <v>49</v>
      </c>
      <c r="B201" s="27">
        <v>0</v>
      </c>
      <c r="C201" s="17"/>
      <c r="D201" s="17"/>
      <c r="K201" s="17" t="s">
        <v>382</v>
      </c>
      <c r="L201" s="29" t="s">
        <v>363</v>
      </c>
      <c r="M201" s="17"/>
      <c r="N201" s="17">
        <v>2016</v>
      </c>
      <c r="U201" s="5" t="s">
        <v>108</v>
      </c>
      <c r="V201">
        <v>0</v>
      </c>
      <c r="W201" s="17"/>
      <c r="X201" s="17"/>
      <c r="Z201" s="61" t="s">
        <v>110</v>
      </c>
      <c r="AA201" s="62">
        <v>0</v>
      </c>
      <c r="AE201" s="5" t="s">
        <v>136</v>
      </c>
      <c r="AF201">
        <v>0</v>
      </c>
      <c r="AG201" s="17"/>
      <c r="AH201" s="17"/>
      <c r="AO201" s="5" t="s">
        <v>173</v>
      </c>
      <c r="AP201">
        <v>0</v>
      </c>
      <c r="AT201" s="17" t="s">
        <v>384</v>
      </c>
      <c r="AU201" s="17" t="s">
        <v>39</v>
      </c>
      <c r="AV201" s="17" t="s">
        <v>385</v>
      </c>
      <c r="AW201" s="17" t="s">
        <v>386</v>
      </c>
      <c r="AY201" s="5" t="s">
        <v>218</v>
      </c>
      <c r="AZ201">
        <v>0</v>
      </c>
      <c r="BD201" s="5" t="s">
        <v>243</v>
      </c>
      <c r="BE201">
        <v>10</v>
      </c>
      <c r="BI201" s="5" t="s">
        <v>271</v>
      </c>
      <c r="BJ201">
        <v>0</v>
      </c>
      <c r="BN201" s="17" t="s">
        <v>382</v>
      </c>
      <c r="BO201" s="29" t="s">
        <v>440</v>
      </c>
      <c r="BP201" s="17"/>
      <c r="BQ201" s="17">
        <v>2016</v>
      </c>
      <c r="BX201" s="61" t="s">
        <v>297</v>
      </c>
      <c r="BY201" s="62">
        <v>0</v>
      </c>
      <c r="CC201" s="5" t="s">
        <v>93</v>
      </c>
      <c r="CD201">
        <v>0</v>
      </c>
      <c r="CE201" s="17"/>
      <c r="CF201" s="17"/>
      <c r="CM201" s="5"/>
      <c r="CO201" s="17"/>
      <c r="CP201" s="17"/>
      <c r="CR201" s="5" t="s">
        <v>344</v>
      </c>
      <c r="CS201">
        <v>0</v>
      </c>
      <c r="CW201" s="61" t="s">
        <v>341</v>
      </c>
      <c r="CX201" s="62">
        <v>1</v>
      </c>
    </row>
    <row r="202" spans="1:102" x14ac:dyDescent="0.25">
      <c r="A202" s="5" t="s">
        <v>50</v>
      </c>
      <c r="B202" s="27">
        <v>0</v>
      </c>
      <c r="C202" s="17"/>
      <c r="D202" s="17"/>
      <c r="K202" s="17" t="s">
        <v>383</v>
      </c>
      <c r="L202" s="6" t="s">
        <v>24</v>
      </c>
      <c r="M202" s="17"/>
      <c r="N202" s="17"/>
      <c r="U202" s="5" t="s">
        <v>109</v>
      </c>
      <c r="V202">
        <v>0</v>
      </c>
      <c r="W202" s="17"/>
      <c r="X202" s="17"/>
      <c r="Z202" s="61" t="s">
        <v>111</v>
      </c>
      <c r="AA202" s="62">
        <v>0</v>
      </c>
      <c r="AE202" s="5" t="s">
        <v>44</v>
      </c>
      <c r="AF202">
        <v>1</v>
      </c>
      <c r="AG202" s="17"/>
      <c r="AH202" s="17"/>
      <c r="AO202" s="5" t="s">
        <v>174</v>
      </c>
      <c r="AP202">
        <v>0</v>
      </c>
      <c r="AT202" s="5" t="s">
        <v>175</v>
      </c>
      <c r="AU202">
        <v>0</v>
      </c>
      <c r="AV202" s="30" t="s">
        <v>387</v>
      </c>
      <c r="AW202" s="17">
        <f>SUM(AU202:AU219)</f>
        <v>1</v>
      </c>
      <c r="AY202" s="5" t="s">
        <v>219</v>
      </c>
      <c r="AZ202">
        <v>0</v>
      </c>
      <c r="BD202" s="5" t="s">
        <v>244</v>
      </c>
      <c r="BE202">
        <v>2</v>
      </c>
      <c r="BI202" s="5" t="s">
        <v>272</v>
      </c>
      <c r="BJ202">
        <v>0</v>
      </c>
      <c r="BN202" s="17" t="s">
        <v>383</v>
      </c>
      <c r="BO202" s="6" t="s">
        <v>22</v>
      </c>
      <c r="BP202" s="17"/>
      <c r="BQ202" s="17"/>
      <c r="BX202" s="61" t="s">
        <v>298</v>
      </c>
      <c r="BY202" s="62">
        <v>0</v>
      </c>
      <c r="CC202" s="5" t="s">
        <v>307</v>
      </c>
      <c r="CD202">
        <v>0</v>
      </c>
      <c r="CE202" s="17"/>
      <c r="CF202" s="17"/>
      <c r="CM202" s="5"/>
      <c r="CO202" s="17"/>
      <c r="CP202" s="17"/>
      <c r="CR202" s="5" t="s">
        <v>345</v>
      </c>
      <c r="CS202">
        <v>0</v>
      </c>
      <c r="CW202" s="61" t="s">
        <v>342</v>
      </c>
      <c r="CX202" s="62">
        <v>0</v>
      </c>
    </row>
    <row r="203" spans="1:102" x14ac:dyDescent="0.25">
      <c r="A203" s="5" t="s">
        <v>51</v>
      </c>
      <c r="B203" s="27">
        <v>0</v>
      </c>
      <c r="C203" s="17"/>
      <c r="D203" s="17"/>
      <c r="K203" s="17" t="s">
        <v>384</v>
      </c>
      <c r="L203" s="17" t="s">
        <v>39</v>
      </c>
      <c r="M203" s="17" t="s">
        <v>385</v>
      </c>
      <c r="N203" s="17" t="s">
        <v>386</v>
      </c>
      <c r="U203" s="5" t="s">
        <v>110</v>
      </c>
      <c r="V203">
        <v>1</v>
      </c>
      <c r="W203" s="17"/>
      <c r="X203" s="17"/>
      <c r="Z203" s="61" t="s">
        <v>112</v>
      </c>
      <c r="AA203" s="62">
        <v>0</v>
      </c>
      <c r="AE203" s="5" t="s">
        <v>137</v>
      </c>
      <c r="AF203">
        <v>0</v>
      </c>
      <c r="AG203" s="17"/>
      <c r="AH203" s="17"/>
      <c r="AT203" s="5" t="s">
        <v>176</v>
      </c>
      <c r="AU203">
        <v>0</v>
      </c>
      <c r="AV203" s="30" t="s">
        <v>388</v>
      </c>
      <c r="AW203" s="17">
        <f>MIN(AU202:AU219)</f>
        <v>0</v>
      </c>
      <c r="AY203" s="5" t="s">
        <v>220</v>
      </c>
      <c r="AZ203">
        <v>0</v>
      </c>
      <c r="BI203" s="5" t="s">
        <v>273</v>
      </c>
      <c r="BJ203">
        <v>0</v>
      </c>
      <c r="BN203" s="17" t="s">
        <v>384</v>
      </c>
      <c r="BO203" s="17" t="s">
        <v>39</v>
      </c>
      <c r="BP203" s="17" t="s">
        <v>385</v>
      </c>
      <c r="BQ203" s="17" t="s">
        <v>386</v>
      </c>
      <c r="CC203" s="5" t="s">
        <v>308</v>
      </c>
      <c r="CD203">
        <v>0</v>
      </c>
      <c r="CE203" s="17"/>
      <c r="CF203" s="17"/>
      <c r="CM203" s="5"/>
      <c r="CO203" s="17"/>
      <c r="CP203" s="17"/>
      <c r="CR203" s="5" t="s">
        <v>346</v>
      </c>
      <c r="CS203">
        <v>0</v>
      </c>
      <c r="CW203" s="61" t="s">
        <v>343</v>
      </c>
      <c r="CX203" s="62">
        <v>1</v>
      </c>
    </row>
    <row r="204" spans="1:102" x14ac:dyDescent="0.25">
      <c r="A204" s="5" t="s">
        <v>52</v>
      </c>
      <c r="B204" s="27">
        <v>0</v>
      </c>
      <c r="C204" s="17"/>
      <c r="D204" s="17"/>
      <c r="K204" s="5" t="s">
        <v>72</v>
      </c>
      <c r="L204">
        <v>0</v>
      </c>
      <c r="M204" s="30" t="s">
        <v>387</v>
      </c>
      <c r="N204" s="17">
        <f>SUM(L204:L219)</f>
        <v>12</v>
      </c>
      <c r="U204" s="5" t="s">
        <v>111</v>
      </c>
      <c r="V204">
        <v>2</v>
      </c>
      <c r="W204" s="17"/>
      <c r="X204" s="17"/>
      <c r="Z204" s="61" t="s">
        <v>113</v>
      </c>
      <c r="AA204" s="62">
        <v>0</v>
      </c>
      <c r="AE204" s="5" t="s">
        <v>138</v>
      </c>
      <c r="AF204">
        <v>0</v>
      </c>
      <c r="AG204" s="17"/>
      <c r="AH204" s="17"/>
      <c r="AO204" s="17" t="s">
        <v>382</v>
      </c>
      <c r="AP204" s="29" t="s">
        <v>368</v>
      </c>
      <c r="AQ204" s="17"/>
      <c r="AR204" s="17">
        <v>2016</v>
      </c>
      <c r="AT204" s="5" t="s">
        <v>177</v>
      </c>
      <c r="AU204">
        <v>0</v>
      </c>
      <c r="AV204" s="30" t="s">
        <v>389</v>
      </c>
      <c r="AW204" s="17">
        <f>MAX(AU202:AU219)</f>
        <v>1</v>
      </c>
      <c r="BD204" s="17" t="s">
        <v>382</v>
      </c>
      <c r="BE204" s="29" t="s">
        <v>371</v>
      </c>
      <c r="BF204" s="17"/>
      <c r="BG204" s="17">
        <v>2016</v>
      </c>
      <c r="BN204" s="5" t="s">
        <v>274</v>
      </c>
      <c r="BO204">
        <v>0</v>
      </c>
      <c r="BP204" s="30" t="s">
        <v>387</v>
      </c>
      <c r="BQ204" s="17">
        <f>SUM(BO204:BO219)</f>
        <v>5</v>
      </c>
      <c r="BX204" s="58" t="s">
        <v>382</v>
      </c>
      <c r="BY204" s="59" t="s">
        <v>628</v>
      </c>
      <c r="BZ204" s="58"/>
      <c r="CA204" s="58">
        <v>2016</v>
      </c>
      <c r="CC204" s="5" t="s">
        <v>309</v>
      </c>
      <c r="CD204">
        <v>0</v>
      </c>
      <c r="CE204" s="17"/>
      <c r="CF204" s="17"/>
      <c r="CM204" s="5"/>
      <c r="CO204" s="17"/>
      <c r="CP204" s="17"/>
      <c r="CR204" s="5" t="s">
        <v>347</v>
      </c>
      <c r="CS204">
        <v>1</v>
      </c>
      <c r="CW204" s="61" t="s">
        <v>344</v>
      </c>
      <c r="CX204" s="62">
        <v>1</v>
      </c>
    </row>
    <row r="205" spans="1:102" x14ac:dyDescent="0.25">
      <c r="A205" s="5" t="s">
        <v>53</v>
      </c>
      <c r="B205" s="27">
        <v>0</v>
      </c>
      <c r="C205" s="17"/>
      <c r="D205" s="17"/>
      <c r="K205" s="5" t="s">
        <v>73</v>
      </c>
      <c r="L205">
        <v>2</v>
      </c>
      <c r="M205" s="30" t="s">
        <v>388</v>
      </c>
      <c r="N205" s="17">
        <f>MIN(L204:L219)</f>
        <v>0</v>
      </c>
      <c r="U205" s="5" t="s">
        <v>112</v>
      </c>
      <c r="V205">
        <v>2</v>
      </c>
      <c r="W205" s="17"/>
      <c r="X205" s="17"/>
      <c r="Z205" s="64" t="s">
        <v>114</v>
      </c>
      <c r="AA205" s="62">
        <v>0</v>
      </c>
      <c r="AE205" s="5" t="s">
        <v>139</v>
      </c>
      <c r="AF205">
        <v>0</v>
      </c>
      <c r="AG205" s="17"/>
      <c r="AH205" s="17"/>
      <c r="AO205" s="17" t="s">
        <v>383</v>
      </c>
      <c r="AP205" s="6" t="s">
        <v>59</v>
      </c>
      <c r="AQ205" s="17"/>
      <c r="AR205" s="17"/>
      <c r="AT205" s="5" t="s">
        <v>178</v>
      </c>
      <c r="AU205">
        <v>0</v>
      </c>
      <c r="AV205" s="30" t="s">
        <v>390</v>
      </c>
      <c r="AW205" s="17">
        <f>VAR(AU202:AU219)</f>
        <v>5.5555555555555552E-2</v>
      </c>
      <c r="AY205" s="17" t="s">
        <v>382</v>
      </c>
      <c r="AZ205" s="29" t="s">
        <v>370</v>
      </c>
      <c r="BA205" s="17"/>
      <c r="BB205" s="17">
        <v>2016</v>
      </c>
      <c r="BD205" s="17" t="s">
        <v>383</v>
      </c>
      <c r="BE205" s="6" t="s">
        <v>167</v>
      </c>
      <c r="BF205" s="17"/>
      <c r="BG205" s="17"/>
      <c r="BI205" s="17" t="s">
        <v>382</v>
      </c>
      <c r="BJ205" s="29" t="s">
        <v>372</v>
      </c>
      <c r="BK205" s="17"/>
      <c r="BL205" s="17">
        <v>2016</v>
      </c>
      <c r="BN205" s="5" t="s">
        <v>275</v>
      </c>
      <c r="BO205">
        <v>0</v>
      </c>
      <c r="BP205" s="30" t="s">
        <v>388</v>
      </c>
      <c r="BQ205" s="17">
        <f>MIN(BO204:BO219)</f>
        <v>0</v>
      </c>
      <c r="BX205" s="58" t="s">
        <v>383</v>
      </c>
      <c r="BY205" s="60" t="s">
        <v>19</v>
      </c>
      <c r="BZ205" s="58"/>
      <c r="CA205" s="58"/>
      <c r="CC205" s="5" t="s">
        <v>310</v>
      </c>
      <c r="CD205">
        <v>0</v>
      </c>
      <c r="CE205" s="17"/>
      <c r="CF205" s="17"/>
      <c r="CM205" s="5"/>
      <c r="CR205" s="5" t="s">
        <v>348</v>
      </c>
      <c r="CS205">
        <v>0</v>
      </c>
      <c r="CW205" s="61" t="s">
        <v>345</v>
      </c>
      <c r="CX205" s="62">
        <v>0</v>
      </c>
    </row>
    <row r="206" spans="1:102" x14ac:dyDescent="0.25">
      <c r="A206" s="5" t="s">
        <v>54</v>
      </c>
      <c r="B206" s="27">
        <v>1</v>
      </c>
      <c r="C206" s="17"/>
      <c r="D206" s="17"/>
      <c r="K206" s="5" t="s">
        <v>74</v>
      </c>
      <c r="L206">
        <v>1</v>
      </c>
      <c r="M206" s="30" t="s">
        <v>389</v>
      </c>
      <c r="N206" s="17">
        <f>MAX(L204:L219)</f>
        <v>2</v>
      </c>
      <c r="U206" s="5" t="s">
        <v>113</v>
      </c>
      <c r="V206">
        <v>0</v>
      </c>
      <c r="W206" s="15"/>
      <c r="X206" s="15"/>
      <c r="Z206" s="64" t="s">
        <v>115</v>
      </c>
      <c r="AA206" s="62">
        <v>0</v>
      </c>
      <c r="AE206" s="5" t="s">
        <v>140</v>
      </c>
      <c r="AF206">
        <v>0</v>
      </c>
      <c r="AG206" s="17"/>
      <c r="AH206" s="17"/>
      <c r="AO206" s="17" t="s">
        <v>384</v>
      </c>
      <c r="AP206" s="17" t="s">
        <v>39</v>
      </c>
      <c r="AQ206" s="17" t="s">
        <v>385</v>
      </c>
      <c r="AR206" s="17" t="s">
        <v>386</v>
      </c>
      <c r="AT206" s="5" t="s">
        <v>179</v>
      </c>
      <c r="AU206">
        <v>0</v>
      </c>
      <c r="AV206" s="30" t="s">
        <v>391</v>
      </c>
      <c r="AW206" s="17">
        <f>AVERAGE(AU202:AU219)</f>
        <v>5.5555555555555552E-2</v>
      </c>
      <c r="AY206" s="17" t="s">
        <v>383</v>
      </c>
      <c r="AZ206" s="6" t="s">
        <v>18</v>
      </c>
      <c r="BA206" s="17"/>
      <c r="BB206" s="17"/>
      <c r="BD206" s="17" t="s">
        <v>384</v>
      </c>
      <c r="BE206" s="17" t="s">
        <v>39</v>
      </c>
      <c r="BF206" s="17" t="s">
        <v>385</v>
      </c>
      <c r="BG206" s="17" t="s">
        <v>386</v>
      </c>
      <c r="BI206" s="17" t="s">
        <v>383</v>
      </c>
      <c r="BJ206" s="6" t="s">
        <v>59</v>
      </c>
      <c r="BK206" s="17"/>
      <c r="BL206" s="17"/>
      <c r="BN206" s="5" t="s">
        <v>276</v>
      </c>
      <c r="BO206">
        <v>0</v>
      </c>
      <c r="BP206" s="30" t="s">
        <v>389</v>
      </c>
      <c r="BQ206" s="17">
        <f>MAX(BO204:BO219)</f>
        <v>2</v>
      </c>
      <c r="BX206" s="58" t="s">
        <v>384</v>
      </c>
      <c r="BY206" s="58" t="s">
        <v>39</v>
      </c>
      <c r="BZ206" s="58" t="s">
        <v>385</v>
      </c>
      <c r="CA206" s="58" t="s">
        <v>386</v>
      </c>
      <c r="CC206" s="5" t="s">
        <v>311</v>
      </c>
      <c r="CD206">
        <v>0</v>
      </c>
      <c r="CE206" s="17"/>
      <c r="CF206" s="17"/>
      <c r="CM206" s="5"/>
      <c r="CR206" s="5" t="s">
        <v>349</v>
      </c>
      <c r="CS206">
        <v>0</v>
      </c>
      <c r="CW206" s="61" t="s">
        <v>346</v>
      </c>
      <c r="CX206" s="62">
        <v>0</v>
      </c>
    </row>
    <row r="207" spans="1:102" x14ac:dyDescent="0.25">
      <c r="A207" s="5" t="s">
        <v>55</v>
      </c>
      <c r="B207" s="27">
        <v>1</v>
      </c>
      <c r="C207" s="17"/>
      <c r="D207" s="17"/>
      <c r="K207" s="5" t="s">
        <v>75</v>
      </c>
      <c r="L207">
        <v>2</v>
      </c>
      <c r="M207" s="30" t="s">
        <v>390</v>
      </c>
      <c r="N207" s="17">
        <f>VAR(L204:L219)</f>
        <v>0.73333333333333328</v>
      </c>
      <c r="U207" s="26" t="s">
        <v>114</v>
      </c>
      <c r="V207">
        <v>0</v>
      </c>
      <c r="W207" s="17"/>
      <c r="X207" s="17"/>
      <c r="Z207" s="64" t="s">
        <v>116</v>
      </c>
      <c r="AA207" s="62">
        <v>0</v>
      </c>
      <c r="AE207" s="5" t="s">
        <v>141</v>
      </c>
      <c r="AF207">
        <v>0</v>
      </c>
      <c r="AG207" s="17"/>
      <c r="AH207" s="17"/>
      <c r="AO207" s="5" t="s">
        <v>149</v>
      </c>
      <c r="AP207">
        <v>0</v>
      </c>
      <c r="AQ207" s="30" t="s">
        <v>387</v>
      </c>
      <c r="AR207" s="17">
        <f>SUM(AP207:AP231)</f>
        <v>1</v>
      </c>
      <c r="AT207" s="5" t="s">
        <v>180</v>
      </c>
      <c r="AU207">
        <v>0</v>
      </c>
      <c r="AV207" s="30" t="s">
        <v>392</v>
      </c>
      <c r="AW207" s="17">
        <f>STDEV(AU202:AU219)</f>
        <v>0.23570226039551584</v>
      </c>
      <c r="AY207" s="17" t="s">
        <v>384</v>
      </c>
      <c r="AZ207" s="17" t="s">
        <v>39</v>
      </c>
      <c r="BA207" s="17" t="s">
        <v>385</v>
      </c>
      <c r="BB207" s="17" t="s">
        <v>386</v>
      </c>
      <c r="BD207" s="5" t="s">
        <v>221</v>
      </c>
      <c r="BE207">
        <v>0</v>
      </c>
      <c r="BF207" s="30" t="s">
        <v>387</v>
      </c>
      <c r="BG207" s="17">
        <f>SUM(BE207:BE231)</f>
        <v>5</v>
      </c>
      <c r="BI207" s="17" t="s">
        <v>384</v>
      </c>
      <c r="BJ207" s="17" t="s">
        <v>39</v>
      </c>
      <c r="BK207" s="17" t="s">
        <v>385</v>
      </c>
      <c r="BL207" s="17" t="s">
        <v>386</v>
      </c>
      <c r="BN207" s="5" t="s">
        <v>277</v>
      </c>
      <c r="BO207">
        <v>1</v>
      </c>
      <c r="BP207" s="30" t="s">
        <v>390</v>
      </c>
      <c r="BQ207" s="17">
        <f>VAR(BO204:BO219)</f>
        <v>0.36249999999999999</v>
      </c>
      <c r="BX207" s="61" t="s">
        <v>274</v>
      </c>
      <c r="BY207" s="62">
        <v>11</v>
      </c>
      <c r="BZ207" s="63" t="s">
        <v>387</v>
      </c>
      <c r="CA207" s="58">
        <f>SUM(BY207:BY231)</f>
        <v>96</v>
      </c>
      <c r="CC207" s="5" t="s">
        <v>312</v>
      </c>
      <c r="CD207">
        <v>0</v>
      </c>
      <c r="CE207" s="17"/>
      <c r="CF207" s="17"/>
      <c r="CM207" s="5"/>
      <c r="CR207" s="5" t="s">
        <v>350</v>
      </c>
      <c r="CS207">
        <v>0</v>
      </c>
      <c r="CW207" s="61" t="s">
        <v>347</v>
      </c>
      <c r="CX207" s="62">
        <v>0</v>
      </c>
    </row>
    <row r="208" spans="1:102" x14ac:dyDescent="0.25">
      <c r="A208" s="5" t="s">
        <v>56</v>
      </c>
      <c r="B208" s="27">
        <v>1</v>
      </c>
      <c r="C208" s="17"/>
      <c r="D208" s="17"/>
      <c r="K208" s="5" t="s">
        <v>76</v>
      </c>
      <c r="L208">
        <v>0</v>
      </c>
      <c r="M208" s="30" t="s">
        <v>391</v>
      </c>
      <c r="N208" s="17">
        <f>AVERAGE(L204:L219)</f>
        <v>0.75</v>
      </c>
      <c r="U208" s="26" t="s">
        <v>115</v>
      </c>
      <c r="V208">
        <v>0</v>
      </c>
      <c r="W208" s="17"/>
      <c r="X208" s="17"/>
      <c r="Z208" s="64" t="s">
        <v>117</v>
      </c>
      <c r="AA208" s="62">
        <v>0</v>
      </c>
      <c r="AE208" s="5" t="s">
        <v>142</v>
      </c>
      <c r="AF208">
        <v>0</v>
      </c>
      <c r="AG208" s="17"/>
      <c r="AH208" s="17"/>
      <c r="AO208" s="5" t="s">
        <v>150</v>
      </c>
      <c r="AP208">
        <v>0</v>
      </c>
      <c r="AQ208" s="30" t="s">
        <v>388</v>
      </c>
      <c r="AR208" s="17">
        <f>MIN(AP207:AP231)</f>
        <v>0</v>
      </c>
      <c r="AT208" s="5" t="s">
        <v>181</v>
      </c>
      <c r="AU208">
        <v>0</v>
      </c>
      <c r="AV208" s="17"/>
      <c r="AW208" s="17"/>
      <c r="AY208" s="5" t="s">
        <v>192</v>
      </c>
      <c r="AZ208">
        <v>0</v>
      </c>
      <c r="BA208" s="30" t="s">
        <v>387</v>
      </c>
      <c r="BB208" s="17">
        <f>SUM(AZ208:AZ237)</f>
        <v>1</v>
      </c>
      <c r="BD208" s="5" t="s">
        <v>222</v>
      </c>
      <c r="BE208">
        <v>0</v>
      </c>
      <c r="BF208" s="30" t="s">
        <v>388</v>
      </c>
      <c r="BG208" s="17">
        <f>MIN(BE207:BE231)</f>
        <v>0</v>
      </c>
      <c r="BI208" s="5" t="s">
        <v>245</v>
      </c>
      <c r="BJ208">
        <v>0</v>
      </c>
      <c r="BK208" s="30" t="s">
        <v>387</v>
      </c>
      <c r="BL208" s="17">
        <f>SUM(BJ208:BJ237)</f>
        <v>1</v>
      </c>
      <c r="BN208" s="5" t="s">
        <v>279</v>
      </c>
      <c r="BO208">
        <v>0</v>
      </c>
      <c r="BP208" s="30" t="s">
        <v>391</v>
      </c>
      <c r="BQ208" s="17">
        <f>AVERAGE(BO204:BO219)</f>
        <v>0.3125</v>
      </c>
      <c r="BX208" s="61" t="s">
        <v>275</v>
      </c>
      <c r="BY208" s="62">
        <v>4</v>
      </c>
      <c r="BZ208" s="63" t="s">
        <v>388</v>
      </c>
      <c r="CA208" s="58">
        <f>MIN(BY207:BY231)</f>
        <v>0</v>
      </c>
      <c r="CC208" s="5" t="s">
        <v>313</v>
      </c>
      <c r="CD208">
        <v>0</v>
      </c>
      <c r="CE208" s="17"/>
      <c r="CF208" s="17"/>
      <c r="CM208" s="5"/>
      <c r="CR208" s="5" t="s">
        <v>351</v>
      </c>
      <c r="CS208">
        <v>0</v>
      </c>
      <c r="CW208" s="61" t="s">
        <v>348</v>
      </c>
      <c r="CX208" s="62">
        <v>0</v>
      </c>
    </row>
    <row r="209" spans="1:104" x14ac:dyDescent="0.25">
      <c r="A209" s="5" t="s">
        <v>57</v>
      </c>
      <c r="B209" s="27">
        <v>1</v>
      </c>
      <c r="C209" s="17"/>
      <c r="D209" s="17"/>
      <c r="K209" s="5" t="s">
        <v>77</v>
      </c>
      <c r="L209">
        <v>0</v>
      </c>
      <c r="M209" s="30" t="s">
        <v>392</v>
      </c>
      <c r="N209" s="17">
        <f>STDEV(L204:L219)</f>
        <v>0.85634883857767519</v>
      </c>
      <c r="U209" s="26" t="s">
        <v>116</v>
      </c>
      <c r="V209">
        <v>1</v>
      </c>
      <c r="W209" s="17"/>
      <c r="X209" s="1"/>
      <c r="Z209" s="64" t="s">
        <v>118</v>
      </c>
      <c r="AA209" s="62">
        <v>0</v>
      </c>
      <c r="AO209" s="5" t="s">
        <v>151</v>
      </c>
      <c r="AP209">
        <v>0</v>
      </c>
      <c r="AQ209" s="30" t="s">
        <v>389</v>
      </c>
      <c r="AR209" s="17">
        <f>MAX(AP207:AP231)</f>
        <v>1</v>
      </c>
      <c r="AT209" s="5" t="s">
        <v>182</v>
      </c>
      <c r="AU209">
        <v>0</v>
      </c>
      <c r="AV209" s="17"/>
      <c r="AW209" s="17"/>
      <c r="AY209" s="5" t="s">
        <v>193</v>
      </c>
      <c r="AZ209">
        <v>0</v>
      </c>
      <c r="BA209" s="30" t="s">
        <v>388</v>
      </c>
      <c r="BB209" s="17">
        <f>MIN(AZ208:AZ237)</f>
        <v>0</v>
      </c>
      <c r="BD209" s="5" t="s">
        <v>223</v>
      </c>
      <c r="BE209">
        <v>0</v>
      </c>
      <c r="BF209" s="30" t="s">
        <v>389</v>
      </c>
      <c r="BG209" s="17">
        <f>MAX(BE207:BE231)</f>
        <v>2</v>
      </c>
      <c r="BI209" s="5" t="s">
        <v>73</v>
      </c>
      <c r="BJ209">
        <v>0</v>
      </c>
      <c r="BK209" s="30" t="s">
        <v>388</v>
      </c>
      <c r="BL209" s="17">
        <f>MIN(BJ208:BJ237)</f>
        <v>0</v>
      </c>
      <c r="BN209" s="5" t="s">
        <v>278</v>
      </c>
      <c r="BO209">
        <v>2</v>
      </c>
      <c r="BP209" s="30" t="s">
        <v>392</v>
      </c>
      <c r="BQ209" s="17">
        <f>STDEV(BO204:BO219)</f>
        <v>0.60207972893961481</v>
      </c>
      <c r="BX209" s="61" t="s">
        <v>276</v>
      </c>
      <c r="BY209" s="62">
        <v>1</v>
      </c>
      <c r="BZ209" s="63" t="s">
        <v>389</v>
      </c>
      <c r="CA209" s="58">
        <f>MAX(BY207:BY231)</f>
        <v>11</v>
      </c>
      <c r="CC209" s="5" t="s">
        <v>314</v>
      </c>
      <c r="CD209">
        <v>0</v>
      </c>
      <c r="CM209" s="5"/>
      <c r="CR209" s="5" t="s">
        <v>352</v>
      </c>
      <c r="CS209">
        <v>0</v>
      </c>
      <c r="CW209" s="61" t="s">
        <v>349</v>
      </c>
      <c r="CX209" s="62">
        <v>0</v>
      </c>
    </row>
    <row r="210" spans="1:104" x14ac:dyDescent="0.25">
      <c r="A210" s="5" t="s">
        <v>58</v>
      </c>
      <c r="B210" s="27">
        <v>0</v>
      </c>
      <c r="C210" s="15"/>
      <c r="D210" s="15"/>
      <c r="K210" s="5" t="s">
        <v>78</v>
      </c>
      <c r="L210">
        <v>2</v>
      </c>
      <c r="M210" s="17"/>
      <c r="N210" s="17"/>
      <c r="U210" s="26" t="s">
        <v>117</v>
      </c>
      <c r="V210">
        <v>0</v>
      </c>
      <c r="W210" s="17"/>
      <c r="X210" s="1"/>
      <c r="Z210" s="64" t="s">
        <v>119</v>
      </c>
      <c r="AA210" s="62">
        <v>0</v>
      </c>
      <c r="AE210" s="17" t="s">
        <v>382</v>
      </c>
      <c r="AF210" s="29" t="s">
        <v>366</v>
      </c>
      <c r="AG210" s="17"/>
      <c r="AH210" s="17">
        <v>2016</v>
      </c>
      <c r="AO210" s="5" t="s">
        <v>152</v>
      </c>
      <c r="AP210">
        <v>0</v>
      </c>
      <c r="AQ210" s="30" t="s">
        <v>390</v>
      </c>
      <c r="AR210" s="17">
        <f>VAR(AP207:AP231)</f>
        <v>0.04</v>
      </c>
      <c r="AT210" s="5" t="s">
        <v>183</v>
      </c>
      <c r="AU210">
        <v>0</v>
      </c>
      <c r="AV210" s="17"/>
      <c r="AW210" s="17"/>
      <c r="AY210" s="5" t="s">
        <v>194</v>
      </c>
      <c r="AZ210">
        <v>0</v>
      </c>
      <c r="BA210" s="30" t="s">
        <v>389</v>
      </c>
      <c r="BB210" s="17">
        <f>MAX(AZ208:AZ237)</f>
        <v>1</v>
      </c>
      <c r="BD210" s="5" t="s">
        <v>224</v>
      </c>
      <c r="BE210">
        <v>0</v>
      </c>
      <c r="BF210" s="30" t="s">
        <v>390</v>
      </c>
      <c r="BG210" s="17">
        <f>VAR(BE207:BE231)</f>
        <v>0.25</v>
      </c>
      <c r="BI210" s="5" t="s">
        <v>246</v>
      </c>
      <c r="BJ210">
        <v>0</v>
      </c>
      <c r="BK210" s="30" t="s">
        <v>389</v>
      </c>
      <c r="BL210" s="17">
        <f>MAX(BJ208:BJ237)</f>
        <v>1</v>
      </c>
      <c r="BN210" s="5" t="s">
        <v>280</v>
      </c>
      <c r="BO210">
        <v>1</v>
      </c>
      <c r="BP210" s="17"/>
      <c r="BQ210" s="17"/>
      <c r="BX210" s="61" t="s">
        <v>277</v>
      </c>
      <c r="BY210" s="62">
        <v>6</v>
      </c>
      <c r="BZ210" s="63" t="s">
        <v>390</v>
      </c>
      <c r="CA210" s="58">
        <f>VAR(BY207:BY231)</f>
        <v>6.1400000000000006</v>
      </c>
      <c r="CC210" s="5" t="s">
        <v>315</v>
      </c>
      <c r="CD210">
        <v>0</v>
      </c>
      <c r="CM210" s="5"/>
      <c r="CR210" s="5" t="s">
        <v>353</v>
      </c>
      <c r="CS210">
        <v>0</v>
      </c>
      <c r="CW210" s="61" t="s">
        <v>350</v>
      </c>
      <c r="CX210" s="62">
        <v>0</v>
      </c>
    </row>
    <row r="211" spans="1:104" x14ac:dyDescent="0.25">
      <c r="A211" s="5" t="s">
        <v>60</v>
      </c>
      <c r="B211" s="27">
        <v>1</v>
      </c>
      <c r="C211" s="17"/>
      <c r="D211" s="17"/>
      <c r="K211" s="5" t="s">
        <v>79</v>
      </c>
      <c r="L211">
        <v>0</v>
      </c>
      <c r="M211" s="17"/>
      <c r="N211" s="17"/>
      <c r="U211" s="26" t="s">
        <v>118</v>
      </c>
      <c r="V211">
        <v>1</v>
      </c>
      <c r="W211" s="17"/>
      <c r="X211" s="1"/>
      <c r="Z211" s="61" t="s">
        <v>120</v>
      </c>
      <c r="AA211" s="62">
        <v>0</v>
      </c>
      <c r="AE211" s="17" t="s">
        <v>383</v>
      </c>
      <c r="AF211" s="6" t="s">
        <v>24</v>
      </c>
      <c r="AG211" s="17"/>
      <c r="AH211" s="17"/>
      <c r="AO211" s="5" t="s">
        <v>153</v>
      </c>
      <c r="AP211">
        <v>0</v>
      </c>
      <c r="AQ211" s="30" t="s">
        <v>391</v>
      </c>
      <c r="AR211" s="17">
        <f>AVERAGE(AP207:AP231)</f>
        <v>0.04</v>
      </c>
      <c r="AT211" s="5" t="s">
        <v>184</v>
      </c>
      <c r="AU211">
        <v>1</v>
      </c>
      <c r="AV211" s="17"/>
      <c r="AW211" s="17"/>
      <c r="AY211" s="5" t="s">
        <v>195</v>
      </c>
      <c r="AZ211">
        <v>1</v>
      </c>
      <c r="BA211" s="30" t="s">
        <v>390</v>
      </c>
      <c r="BB211" s="17">
        <f>VAR(AZ208:AZ237)</f>
        <v>3.3333333333333333E-2</v>
      </c>
      <c r="BD211" s="5" t="s">
        <v>225</v>
      </c>
      <c r="BE211">
        <v>0</v>
      </c>
      <c r="BF211" s="30" t="s">
        <v>391</v>
      </c>
      <c r="BG211" s="17">
        <f>AVERAGE(BE207:BE231)</f>
        <v>0.2</v>
      </c>
      <c r="BI211" s="5" t="s">
        <v>247</v>
      </c>
      <c r="BJ211">
        <v>0</v>
      </c>
      <c r="BK211" s="30" t="s">
        <v>390</v>
      </c>
      <c r="BL211" s="17">
        <f>VAR(BJ208:BJ237)</f>
        <v>3.3333333333333333E-2</v>
      </c>
      <c r="BN211" s="5" t="s">
        <v>281</v>
      </c>
      <c r="BO211">
        <v>0</v>
      </c>
      <c r="BP211" s="17"/>
      <c r="BQ211" s="17"/>
      <c r="BX211" s="61" t="s">
        <v>279</v>
      </c>
      <c r="BY211" s="62">
        <v>8</v>
      </c>
      <c r="BZ211" s="63" t="s">
        <v>391</v>
      </c>
      <c r="CA211" s="58">
        <f>AVERAGE(BY207:BY231)</f>
        <v>3.84</v>
      </c>
      <c r="CC211" s="5" t="s">
        <v>316</v>
      </c>
      <c r="CD211">
        <v>0</v>
      </c>
      <c r="CM211" s="5"/>
      <c r="CR211" s="5" t="s">
        <v>354</v>
      </c>
      <c r="CS211">
        <v>0</v>
      </c>
      <c r="CW211" s="61" t="s">
        <v>351</v>
      </c>
      <c r="CX211" s="62">
        <v>1</v>
      </c>
    </row>
    <row r="212" spans="1:104" x14ac:dyDescent="0.25">
      <c r="A212" s="5" t="s">
        <v>61</v>
      </c>
      <c r="B212" s="27">
        <v>0</v>
      </c>
      <c r="C212" s="17"/>
      <c r="D212" s="17"/>
      <c r="K212" s="5" t="s">
        <v>80</v>
      </c>
      <c r="L212">
        <v>1</v>
      </c>
      <c r="M212" s="17"/>
      <c r="N212" s="17"/>
      <c r="U212" s="26" t="s">
        <v>119</v>
      </c>
      <c r="V212">
        <v>1</v>
      </c>
      <c r="Z212" s="61" t="s">
        <v>121</v>
      </c>
      <c r="AA212" s="62">
        <v>0</v>
      </c>
      <c r="AE212" s="17" t="s">
        <v>384</v>
      </c>
      <c r="AF212" s="17" t="s">
        <v>39</v>
      </c>
      <c r="AG212" s="17" t="s">
        <v>385</v>
      </c>
      <c r="AH212" s="17" t="s">
        <v>386</v>
      </c>
      <c r="AO212" s="5" t="s">
        <v>154</v>
      </c>
      <c r="AP212">
        <v>0</v>
      </c>
      <c r="AQ212" s="30" t="s">
        <v>392</v>
      </c>
      <c r="AR212" s="17">
        <f>STDEV(AP207:AP231)</f>
        <v>0.2</v>
      </c>
      <c r="AT212" s="5" t="s">
        <v>185</v>
      </c>
      <c r="AU212">
        <v>0</v>
      </c>
      <c r="AV212" s="17"/>
      <c r="AW212" s="17"/>
      <c r="AY212" s="5" t="s">
        <v>196</v>
      </c>
      <c r="AZ212">
        <v>0</v>
      </c>
      <c r="BA212" s="30" t="s">
        <v>391</v>
      </c>
      <c r="BB212" s="17">
        <f>AVERAGE(AZ208:AZ237)</f>
        <v>3.3333333333333333E-2</v>
      </c>
      <c r="BD212" s="5" t="s">
        <v>226</v>
      </c>
      <c r="BE212">
        <v>0</v>
      </c>
      <c r="BF212" s="30" t="s">
        <v>392</v>
      </c>
      <c r="BG212" s="17">
        <f>STDEV(BE207:BE231)</f>
        <v>0.5</v>
      </c>
      <c r="BI212" s="5" t="s">
        <v>248</v>
      </c>
      <c r="BJ212">
        <v>0</v>
      </c>
      <c r="BK212" s="30" t="s">
        <v>391</v>
      </c>
      <c r="BL212" s="17">
        <f>AVERAGE(BJ208:BJ237)</f>
        <v>3.3333333333333333E-2</v>
      </c>
      <c r="BN212" s="5" t="s">
        <v>282</v>
      </c>
      <c r="BO212">
        <v>1</v>
      </c>
      <c r="BP212" s="17"/>
      <c r="BQ212" s="17"/>
      <c r="BX212" s="61" t="s">
        <v>278</v>
      </c>
      <c r="BY212" s="62">
        <v>3</v>
      </c>
      <c r="BZ212" s="63" t="s">
        <v>392</v>
      </c>
      <c r="CA212" s="58">
        <f>STDEV(BY207:BY231)</f>
        <v>2.4779023386727737</v>
      </c>
      <c r="CC212" s="5" t="s">
        <v>317</v>
      </c>
      <c r="CD212">
        <v>0</v>
      </c>
      <c r="CM212" s="5"/>
      <c r="CR212" s="5" t="s">
        <v>355</v>
      </c>
      <c r="CS212">
        <v>0</v>
      </c>
      <c r="CW212" s="61" t="s">
        <v>352</v>
      </c>
      <c r="CX212" s="62">
        <v>1</v>
      </c>
    </row>
    <row r="213" spans="1:104" x14ac:dyDescent="0.25">
      <c r="A213" s="5" t="s">
        <v>62</v>
      </c>
      <c r="B213" s="27">
        <v>0</v>
      </c>
      <c r="C213" s="17"/>
      <c r="D213" s="1"/>
      <c r="K213" s="5" t="s">
        <v>81</v>
      </c>
      <c r="L213">
        <v>1</v>
      </c>
      <c r="M213" s="17"/>
      <c r="N213" s="17"/>
      <c r="U213" s="5" t="s">
        <v>120</v>
      </c>
      <c r="V213">
        <v>0</v>
      </c>
      <c r="Z213" s="61" t="s">
        <v>122</v>
      </c>
      <c r="AA213" s="62">
        <v>0</v>
      </c>
      <c r="AE213" s="5" t="s">
        <v>129</v>
      </c>
      <c r="AF213">
        <v>0</v>
      </c>
      <c r="AG213" s="30" t="s">
        <v>387</v>
      </c>
      <c r="AH213" s="17">
        <f>SUM(AF213:AF227)</f>
        <v>2</v>
      </c>
      <c r="AO213" s="5" t="s">
        <v>155</v>
      </c>
      <c r="AP213">
        <v>0</v>
      </c>
      <c r="AQ213" s="17"/>
      <c r="AR213" s="17"/>
      <c r="AT213" s="5" t="s">
        <v>186</v>
      </c>
      <c r="AU213">
        <v>0</v>
      </c>
      <c r="AV213" s="17"/>
      <c r="AW213" s="17"/>
      <c r="AY213" s="5" t="s">
        <v>197</v>
      </c>
      <c r="AZ213">
        <v>0</v>
      </c>
      <c r="BA213" s="30" t="s">
        <v>392</v>
      </c>
      <c r="BB213" s="17">
        <f>STDEV(AZ208:AZ237)</f>
        <v>0.18257418583505536</v>
      </c>
      <c r="BD213" s="5" t="s">
        <v>227</v>
      </c>
      <c r="BE213">
        <v>0</v>
      </c>
      <c r="BF213" s="17"/>
      <c r="BG213" s="17"/>
      <c r="BI213" s="5" t="s">
        <v>249</v>
      </c>
      <c r="BJ213">
        <v>0</v>
      </c>
      <c r="BK213" s="30" t="s">
        <v>392</v>
      </c>
      <c r="BL213" s="17">
        <f>STDEV(BJ208:BJ237)</f>
        <v>0.18257418583505536</v>
      </c>
      <c r="BN213" s="5" t="s">
        <v>283</v>
      </c>
      <c r="BO213">
        <v>0</v>
      </c>
      <c r="BP213" s="17"/>
      <c r="BQ213" s="17"/>
      <c r="BX213" s="61" t="s">
        <v>280</v>
      </c>
      <c r="BY213" s="62">
        <v>4</v>
      </c>
      <c r="BZ213" s="58"/>
      <c r="CA213" s="58"/>
      <c r="CC213" s="5" t="s">
        <v>318</v>
      </c>
      <c r="CD213">
        <v>1</v>
      </c>
      <c r="CM213" s="5"/>
      <c r="CR213" s="2" t="s">
        <v>356</v>
      </c>
      <c r="CS213">
        <v>0</v>
      </c>
      <c r="CW213" s="61" t="s">
        <v>353</v>
      </c>
      <c r="CX213" s="62">
        <v>0</v>
      </c>
    </row>
    <row r="214" spans="1:104" x14ac:dyDescent="0.25">
      <c r="A214" s="5" t="s">
        <v>63</v>
      </c>
      <c r="B214" s="27">
        <v>1</v>
      </c>
      <c r="C214" s="17"/>
      <c r="D214" s="1"/>
      <c r="K214" s="5" t="s">
        <v>82</v>
      </c>
      <c r="L214">
        <v>1</v>
      </c>
      <c r="M214" s="17"/>
      <c r="N214" s="17"/>
      <c r="U214" s="5" t="s">
        <v>121</v>
      </c>
      <c r="V214">
        <v>0</v>
      </c>
      <c r="Z214" s="61" t="s">
        <v>123</v>
      </c>
      <c r="AA214" s="62">
        <v>0</v>
      </c>
      <c r="AE214" s="5" t="s">
        <v>130</v>
      </c>
      <c r="AF214">
        <v>0</v>
      </c>
      <c r="AG214" s="30" t="s">
        <v>388</v>
      </c>
      <c r="AH214" s="17">
        <f>MIN(AF213:AF227)</f>
        <v>0</v>
      </c>
      <c r="AO214" s="5" t="s">
        <v>156</v>
      </c>
      <c r="AP214">
        <v>1</v>
      </c>
      <c r="AQ214" s="17"/>
      <c r="AR214" s="17"/>
      <c r="AT214" s="5" t="s">
        <v>187</v>
      </c>
      <c r="AU214">
        <v>0</v>
      </c>
      <c r="AV214" s="17"/>
      <c r="AW214" s="17"/>
      <c r="AY214" s="5" t="s">
        <v>198</v>
      </c>
      <c r="AZ214">
        <v>0</v>
      </c>
      <c r="BA214" s="17"/>
      <c r="BB214" s="17"/>
      <c r="BD214" s="5" t="s">
        <v>228</v>
      </c>
      <c r="BE214">
        <v>0</v>
      </c>
      <c r="BF214" s="17"/>
      <c r="BG214" s="17"/>
      <c r="BI214" s="5" t="s">
        <v>250</v>
      </c>
      <c r="BJ214">
        <v>0</v>
      </c>
      <c r="BK214" s="17"/>
      <c r="BL214" s="17"/>
      <c r="BN214" s="5" t="s">
        <v>285</v>
      </c>
      <c r="BO214">
        <v>0</v>
      </c>
      <c r="BP214" s="17"/>
      <c r="BQ214" s="17"/>
      <c r="BX214" s="61" t="s">
        <v>281</v>
      </c>
      <c r="BY214" s="62">
        <v>2</v>
      </c>
      <c r="BZ214" s="58"/>
      <c r="CA214" s="58"/>
      <c r="CC214" s="5" t="s">
        <v>319</v>
      </c>
      <c r="CD214">
        <v>0</v>
      </c>
      <c r="CM214" s="5"/>
      <c r="CR214" s="2" t="s">
        <v>357</v>
      </c>
      <c r="CS214">
        <v>0</v>
      </c>
      <c r="CW214" s="61" t="s">
        <v>354</v>
      </c>
      <c r="CX214" s="62">
        <v>0</v>
      </c>
    </row>
    <row r="215" spans="1:104" x14ac:dyDescent="0.25">
      <c r="A215" s="5" t="s">
        <v>64</v>
      </c>
      <c r="B215" s="27">
        <v>0</v>
      </c>
      <c r="C215" s="17"/>
      <c r="D215" s="1"/>
      <c r="K215" s="5" t="s">
        <v>83</v>
      </c>
      <c r="L215">
        <v>0</v>
      </c>
      <c r="M215" s="17"/>
      <c r="N215" s="17"/>
      <c r="U215" s="5" t="s">
        <v>122</v>
      </c>
      <c r="V215">
        <v>0</v>
      </c>
      <c r="Z215" s="61" t="s">
        <v>124</v>
      </c>
      <c r="AA215" s="62">
        <v>0</v>
      </c>
      <c r="AE215" s="5" t="s">
        <v>131</v>
      </c>
      <c r="AF215">
        <v>0</v>
      </c>
      <c r="AG215" s="30" t="s">
        <v>389</v>
      </c>
      <c r="AH215" s="17">
        <f>MAX(AF213:AF227)</f>
        <v>1</v>
      </c>
      <c r="AO215" s="5" t="s">
        <v>157</v>
      </c>
      <c r="AP215">
        <v>0</v>
      </c>
      <c r="AQ215" s="17"/>
      <c r="AR215" s="17"/>
      <c r="AT215" s="5" t="s">
        <v>188</v>
      </c>
      <c r="AU215">
        <v>0</v>
      </c>
      <c r="AV215" s="17"/>
      <c r="AW215" s="17"/>
      <c r="AY215" s="5" t="s">
        <v>161</v>
      </c>
      <c r="AZ215">
        <v>0</v>
      </c>
      <c r="BA215" s="17"/>
      <c r="BB215" s="17"/>
      <c r="BD215" s="5" t="s">
        <v>229</v>
      </c>
      <c r="BE215">
        <v>0</v>
      </c>
      <c r="BF215" s="17"/>
      <c r="BG215" s="17"/>
      <c r="BI215" s="5" t="s">
        <v>251</v>
      </c>
      <c r="BJ215">
        <v>0</v>
      </c>
      <c r="BK215" s="17"/>
      <c r="BL215" s="17"/>
      <c r="BN215" s="5" t="s">
        <v>284</v>
      </c>
      <c r="BO215">
        <v>0</v>
      </c>
      <c r="BP215" s="17"/>
      <c r="BQ215" s="17"/>
      <c r="BX215" s="61" t="s">
        <v>282</v>
      </c>
      <c r="BY215" s="62">
        <v>4</v>
      </c>
      <c r="BZ215" s="58"/>
      <c r="CA215" s="58"/>
      <c r="CC215" s="5" t="s">
        <v>320</v>
      </c>
      <c r="CD215">
        <v>0</v>
      </c>
      <c r="CM215" s="5"/>
      <c r="CR215" s="2" t="s">
        <v>358</v>
      </c>
      <c r="CS215">
        <v>1</v>
      </c>
      <c r="CW215" s="61" t="s">
        <v>355</v>
      </c>
      <c r="CX215" s="62">
        <v>0</v>
      </c>
    </row>
    <row r="216" spans="1:104" x14ac:dyDescent="0.25">
      <c r="A216" s="5"/>
      <c r="K216" s="5" t="s">
        <v>84</v>
      </c>
      <c r="L216">
        <v>0</v>
      </c>
      <c r="M216" s="17"/>
      <c r="N216" s="17"/>
      <c r="U216" s="5" t="s">
        <v>123</v>
      </c>
      <c r="V216">
        <v>0</v>
      </c>
      <c r="Z216" s="61" t="s">
        <v>125</v>
      </c>
      <c r="AA216" s="62">
        <v>0</v>
      </c>
      <c r="AE216" s="5" t="s">
        <v>132</v>
      </c>
      <c r="AF216">
        <v>0</v>
      </c>
      <c r="AG216" s="30" t="s">
        <v>390</v>
      </c>
      <c r="AH216" s="17">
        <f>VAR(AF213:AF227)</f>
        <v>0.12380952380952381</v>
      </c>
      <c r="AO216" s="5" t="s">
        <v>158</v>
      </c>
      <c r="AP216">
        <v>0</v>
      </c>
      <c r="AQ216" s="17"/>
      <c r="AR216" s="17"/>
      <c r="AT216" s="5" t="s">
        <v>395</v>
      </c>
      <c r="AU216">
        <v>0</v>
      </c>
      <c r="AV216" s="17"/>
      <c r="AW216" s="17"/>
      <c r="AY216" s="5" t="s">
        <v>199</v>
      </c>
      <c r="AZ216">
        <v>0</v>
      </c>
      <c r="BA216" s="17"/>
      <c r="BB216" s="17"/>
      <c r="BD216" s="5" t="s">
        <v>230</v>
      </c>
      <c r="BE216">
        <v>0</v>
      </c>
      <c r="BF216" s="17"/>
      <c r="BG216" s="17"/>
      <c r="BI216" s="5" t="s">
        <v>252</v>
      </c>
      <c r="BJ216">
        <v>0</v>
      </c>
      <c r="BK216" s="17"/>
      <c r="BL216" s="17"/>
      <c r="BN216" s="5" t="s">
        <v>286</v>
      </c>
      <c r="BO216">
        <v>0</v>
      </c>
      <c r="BP216" s="17"/>
      <c r="BQ216" s="17"/>
      <c r="BX216" s="61" t="s">
        <v>283</v>
      </c>
      <c r="BY216" s="62">
        <v>3</v>
      </c>
      <c r="BZ216" s="58"/>
      <c r="CA216" s="58"/>
      <c r="CM216" s="5"/>
      <c r="CR216" s="3" t="s">
        <v>359</v>
      </c>
      <c r="CS216">
        <v>0</v>
      </c>
      <c r="CW216" s="66" t="s">
        <v>356</v>
      </c>
      <c r="CX216" s="62">
        <v>0</v>
      </c>
    </row>
    <row r="217" spans="1:104" x14ac:dyDescent="0.25">
      <c r="A217" s="17" t="s">
        <v>382</v>
      </c>
      <c r="B217" s="29" t="s">
        <v>361</v>
      </c>
      <c r="C217" s="17"/>
      <c r="D217" s="17">
        <v>2016</v>
      </c>
      <c r="K217" s="5" t="s">
        <v>85</v>
      </c>
      <c r="L217">
        <v>0</v>
      </c>
      <c r="M217" s="17"/>
      <c r="N217" s="17"/>
      <c r="U217" s="5" t="s">
        <v>124</v>
      </c>
      <c r="V217">
        <v>0</v>
      </c>
      <c r="Z217" s="61" t="s">
        <v>126</v>
      </c>
      <c r="AA217" s="62">
        <v>0</v>
      </c>
      <c r="AE217" s="5" t="s">
        <v>133</v>
      </c>
      <c r="AF217">
        <v>0</v>
      </c>
      <c r="AG217" s="30" t="s">
        <v>391</v>
      </c>
      <c r="AH217" s="17">
        <f>AVERAGE(AF213:AF227)</f>
        <v>0.13333333333333333</v>
      </c>
      <c r="AO217" s="5" t="s">
        <v>159</v>
      </c>
      <c r="AP217">
        <v>0</v>
      </c>
      <c r="AQ217" s="17"/>
      <c r="AR217" s="17"/>
      <c r="AT217" s="5" t="s">
        <v>189</v>
      </c>
      <c r="AU217">
        <v>0</v>
      </c>
      <c r="AV217" s="17"/>
      <c r="AW217" s="17"/>
      <c r="AY217" s="5" t="s">
        <v>200</v>
      </c>
      <c r="AZ217">
        <v>0</v>
      </c>
      <c r="BA217" s="17"/>
      <c r="BB217" s="17"/>
      <c r="BD217" s="5" t="s">
        <v>231</v>
      </c>
      <c r="BE217">
        <v>0</v>
      </c>
      <c r="BF217" s="17"/>
      <c r="BG217" s="17"/>
      <c r="BI217" s="5" t="s">
        <v>253</v>
      </c>
      <c r="BJ217">
        <v>0</v>
      </c>
      <c r="BK217" s="17"/>
      <c r="BL217" s="17"/>
      <c r="BN217" s="5" t="s">
        <v>287</v>
      </c>
      <c r="BO217">
        <v>0</v>
      </c>
      <c r="BP217" s="17"/>
      <c r="BQ217" s="17"/>
      <c r="BX217" s="61" t="s">
        <v>285</v>
      </c>
      <c r="BY217" s="62">
        <v>2</v>
      </c>
      <c r="BZ217" s="58"/>
      <c r="CA217" s="58"/>
      <c r="CC217" s="17" t="s">
        <v>382</v>
      </c>
      <c r="CD217" s="29" t="s">
        <v>375</v>
      </c>
      <c r="CE217" s="17"/>
      <c r="CF217" s="17">
        <v>2016</v>
      </c>
      <c r="CM217" s="5"/>
      <c r="CW217" s="66" t="s">
        <v>357</v>
      </c>
      <c r="CX217" s="62">
        <v>0</v>
      </c>
    </row>
    <row r="218" spans="1:104" x14ac:dyDescent="0.25">
      <c r="A218" s="17" t="s">
        <v>383</v>
      </c>
      <c r="B218" s="28" t="s">
        <v>19</v>
      </c>
      <c r="C218" s="17"/>
      <c r="D218" s="17"/>
      <c r="K218" s="5" t="s">
        <v>86</v>
      </c>
      <c r="L218">
        <v>2</v>
      </c>
      <c r="M218" s="17"/>
      <c r="N218" s="17"/>
      <c r="U218" s="5" t="s">
        <v>125</v>
      </c>
      <c r="V218">
        <v>1</v>
      </c>
      <c r="Z218" s="61" t="s">
        <v>127</v>
      </c>
      <c r="AA218" s="62">
        <v>0</v>
      </c>
      <c r="AE218" s="5" t="s">
        <v>134</v>
      </c>
      <c r="AF218">
        <v>0</v>
      </c>
      <c r="AG218" s="30" t="s">
        <v>392</v>
      </c>
      <c r="AH218" s="17">
        <f>STDEV(AF213:AF227)</f>
        <v>0.35186577527449842</v>
      </c>
      <c r="AO218" s="5" t="s">
        <v>100</v>
      </c>
      <c r="AP218">
        <v>0</v>
      </c>
      <c r="AQ218" s="17"/>
      <c r="AR218" s="17"/>
      <c r="AT218" s="5" t="s">
        <v>190</v>
      </c>
      <c r="AU218">
        <v>0</v>
      </c>
      <c r="AV218" s="17"/>
      <c r="AW218" s="17"/>
      <c r="AY218" s="5" t="s">
        <v>201</v>
      </c>
      <c r="AZ218">
        <v>0</v>
      </c>
      <c r="BA218" s="17"/>
      <c r="BB218" s="17"/>
      <c r="BD218" s="5" t="s">
        <v>232</v>
      </c>
      <c r="BE218">
        <v>0</v>
      </c>
      <c r="BF218" s="17"/>
      <c r="BG218" s="17"/>
      <c r="BI218" s="5" t="s">
        <v>254</v>
      </c>
      <c r="BJ218">
        <v>0</v>
      </c>
      <c r="BK218" s="17"/>
      <c r="BL218" s="17"/>
      <c r="BN218" s="5" t="s">
        <v>288</v>
      </c>
      <c r="BO218">
        <v>0</v>
      </c>
      <c r="BP218" s="17"/>
      <c r="BQ218" s="17"/>
      <c r="BX218" s="61" t="s">
        <v>284</v>
      </c>
      <c r="BY218" s="62">
        <v>5</v>
      </c>
      <c r="BZ218" s="58"/>
      <c r="CA218" s="58"/>
      <c r="CC218" s="17" t="s">
        <v>383</v>
      </c>
      <c r="CD218" s="6" t="s">
        <v>19</v>
      </c>
      <c r="CE218" s="17"/>
      <c r="CF218" s="17"/>
      <c r="CM218" s="2"/>
      <c r="CW218" s="66" t="s">
        <v>358</v>
      </c>
      <c r="CX218" s="62">
        <v>0</v>
      </c>
    </row>
    <row r="219" spans="1:104" x14ac:dyDescent="0.25">
      <c r="A219" s="17" t="s">
        <v>384</v>
      </c>
      <c r="B219" s="17" t="s">
        <v>39</v>
      </c>
      <c r="C219" s="17" t="s">
        <v>385</v>
      </c>
      <c r="D219" s="17" t="s">
        <v>386</v>
      </c>
      <c r="K219" s="5" t="s">
        <v>87</v>
      </c>
      <c r="L219">
        <v>0</v>
      </c>
      <c r="M219" s="17"/>
      <c r="N219" s="17"/>
      <c r="U219" s="5" t="s">
        <v>126</v>
      </c>
      <c r="V219">
        <v>0</v>
      </c>
      <c r="Z219" s="61" t="s">
        <v>128</v>
      </c>
      <c r="AA219" s="62">
        <v>0</v>
      </c>
      <c r="AE219" s="5" t="s">
        <v>135</v>
      </c>
      <c r="AF219">
        <v>1</v>
      </c>
      <c r="AG219" s="17"/>
      <c r="AH219" s="17"/>
      <c r="AO219" s="5" t="s">
        <v>161</v>
      </c>
      <c r="AP219">
        <v>0</v>
      </c>
      <c r="AQ219" s="17"/>
      <c r="AR219" s="17"/>
      <c r="AT219" s="5" t="s">
        <v>191</v>
      </c>
      <c r="AU219">
        <v>0</v>
      </c>
      <c r="AV219" s="15"/>
      <c r="AW219" s="15"/>
      <c r="AY219" s="5" t="s">
        <v>202</v>
      </c>
      <c r="AZ219">
        <v>0</v>
      </c>
      <c r="BA219" s="17"/>
      <c r="BB219" s="17"/>
      <c r="BD219" s="5" t="s">
        <v>233</v>
      </c>
      <c r="BE219">
        <v>1</v>
      </c>
      <c r="BF219" s="17"/>
      <c r="BG219" s="17"/>
      <c r="BI219" s="5" t="s">
        <v>255</v>
      </c>
      <c r="BJ219">
        <v>0</v>
      </c>
      <c r="BK219" s="17"/>
      <c r="BL219" s="17"/>
      <c r="BN219" s="5" t="s">
        <v>289</v>
      </c>
      <c r="BO219">
        <v>0</v>
      </c>
      <c r="BP219" s="17"/>
      <c r="BQ219" s="17"/>
      <c r="BX219" s="61" t="s">
        <v>286</v>
      </c>
      <c r="BY219" s="62">
        <v>4</v>
      </c>
      <c r="BZ219" s="58"/>
      <c r="CA219" s="58"/>
      <c r="CC219" s="17" t="s">
        <v>384</v>
      </c>
      <c r="CD219" s="17" t="s">
        <v>39</v>
      </c>
      <c r="CE219" s="17" t="s">
        <v>385</v>
      </c>
      <c r="CF219" s="17" t="s">
        <v>386</v>
      </c>
      <c r="CM219" s="2"/>
      <c r="CW219" s="66" t="s">
        <v>359</v>
      </c>
      <c r="CX219" s="62">
        <v>0</v>
      </c>
    </row>
    <row r="220" spans="1:104" x14ac:dyDescent="0.25">
      <c r="A220" s="5" t="s">
        <v>40</v>
      </c>
      <c r="B220" s="27">
        <v>0</v>
      </c>
      <c r="C220" s="30" t="s">
        <v>387</v>
      </c>
      <c r="D220" s="17">
        <f>SUM(B220:B242)</f>
        <v>20</v>
      </c>
      <c r="U220" s="5" t="s">
        <v>127</v>
      </c>
      <c r="V220">
        <v>1</v>
      </c>
      <c r="AE220" s="5" t="s">
        <v>136</v>
      </c>
      <c r="AF220">
        <v>0</v>
      </c>
      <c r="AG220" s="17"/>
      <c r="AH220" s="17"/>
      <c r="AO220" s="5" t="s">
        <v>162</v>
      </c>
      <c r="AP220">
        <v>0</v>
      </c>
      <c r="AQ220" s="17"/>
      <c r="AR220" s="17"/>
      <c r="AY220" s="5" t="s">
        <v>203</v>
      </c>
      <c r="AZ220">
        <v>0</v>
      </c>
      <c r="BA220" s="17"/>
      <c r="BB220" s="17"/>
      <c r="BD220" s="5" t="s">
        <v>234</v>
      </c>
      <c r="BE220">
        <v>0</v>
      </c>
      <c r="BF220" s="17"/>
      <c r="BG220" s="17"/>
      <c r="BI220" s="5" t="s">
        <v>256</v>
      </c>
      <c r="BJ220">
        <v>0</v>
      </c>
      <c r="BK220" s="17"/>
      <c r="BL220" s="17"/>
      <c r="BX220" s="61" t="s">
        <v>287</v>
      </c>
      <c r="BY220" s="62">
        <v>2</v>
      </c>
      <c r="BZ220" s="58"/>
      <c r="CA220" s="58"/>
      <c r="CC220" s="5" t="s">
        <v>299</v>
      </c>
      <c r="CD220">
        <v>8</v>
      </c>
      <c r="CE220" s="30" t="s">
        <v>387</v>
      </c>
      <c r="CF220" s="17">
        <f>SUM(CD220:CD242)</f>
        <v>88</v>
      </c>
      <c r="CM220" s="2"/>
    </row>
    <row r="221" spans="1:104" x14ac:dyDescent="0.25">
      <c r="A221" s="5" t="s">
        <v>41</v>
      </c>
      <c r="B221" s="27">
        <v>0</v>
      </c>
      <c r="C221" s="30" t="s">
        <v>388</v>
      </c>
      <c r="D221" s="17">
        <f>MIN(B220:B242)</f>
        <v>0</v>
      </c>
      <c r="K221" s="17" t="s">
        <v>382</v>
      </c>
      <c r="L221" s="29" t="s">
        <v>363</v>
      </c>
      <c r="M221" s="17"/>
      <c r="N221" s="17">
        <v>2016</v>
      </c>
      <c r="U221" s="5" t="s">
        <v>128</v>
      </c>
      <c r="V221">
        <v>0</v>
      </c>
      <c r="Z221" s="58" t="s">
        <v>382</v>
      </c>
      <c r="AA221" s="59" t="s">
        <v>627</v>
      </c>
      <c r="AB221" s="58"/>
      <c r="AC221" s="58">
        <v>2016</v>
      </c>
      <c r="AE221" s="5" t="s">
        <v>44</v>
      </c>
      <c r="AF221">
        <v>0</v>
      </c>
      <c r="AG221" s="17"/>
      <c r="AH221" s="17"/>
      <c r="AO221" s="5" t="s">
        <v>163</v>
      </c>
      <c r="AP221">
        <v>0</v>
      </c>
      <c r="AQ221" s="17"/>
      <c r="AR221" s="17"/>
      <c r="AT221" s="17" t="s">
        <v>382</v>
      </c>
      <c r="AU221" s="29" t="s">
        <v>369</v>
      </c>
      <c r="AV221" s="17"/>
      <c r="AW221" s="17">
        <v>2016</v>
      </c>
      <c r="AY221" s="5" t="s">
        <v>204</v>
      </c>
      <c r="AZ221">
        <v>0</v>
      </c>
      <c r="BA221" s="17"/>
      <c r="BB221" s="17"/>
      <c r="BD221" s="5" t="s">
        <v>157</v>
      </c>
      <c r="BE221">
        <v>1</v>
      </c>
      <c r="BF221" s="17"/>
      <c r="BG221" s="17"/>
      <c r="BI221" s="5" t="s">
        <v>257</v>
      </c>
      <c r="BJ221">
        <v>0</v>
      </c>
      <c r="BK221" s="17"/>
      <c r="BL221" s="17"/>
      <c r="BN221" s="17" t="s">
        <v>382</v>
      </c>
      <c r="BO221" s="29" t="s">
        <v>440</v>
      </c>
      <c r="BP221" s="17"/>
      <c r="BQ221" s="17">
        <v>2016</v>
      </c>
      <c r="BX221" s="61" t="s">
        <v>288</v>
      </c>
      <c r="BY221" s="62">
        <v>6</v>
      </c>
      <c r="BZ221" s="58"/>
      <c r="CA221" s="58"/>
      <c r="CC221" s="5" t="s">
        <v>300</v>
      </c>
      <c r="CD221">
        <v>1</v>
      </c>
      <c r="CE221" s="30" t="s">
        <v>388</v>
      </c>
      <c r="CF221" s="17">
        <f>MIN(CD220:CD242)</f>
        <v>0</v>
      </c>
      <c r="CM221" s="3"/>
      <c r="CW221" s="58" t="s">
        <v>382</v>
      </c>
      <c r="CX221" s="59" t="s">
        <v>629</v>
      </c>
      <c r="CY221" s="58"/>
      <c r="CZ221" s="58">
        <v>2016</v>
      </c>
    </row>
    <row r="222" spans="1:104" x14ac:dyDescent="0.25">
      <c r="A222" s="5" t="s">
        <v>42</v>
      </c>
      <c r="B222" s="27">
        <v>0</v>
      </c>
      <c r="C222" s="30" t="s">
        <v>389</v>
      </c>
      <c r="D222" s="17">
        <f>MAX(B220:B242)</f>
        <v>4</v>
      </c>
      <c r="K222" s="17" t="s">
        <v>383</v>
      </c>
      <c r="L222" s="6" t="s">
        <v>25</v>
      </c>
      <c r="M222" s="17"/>
      <c r="N222" s="17"/>
      <c r="Z222" s="58" t="s">
        <v>383</v>
      </c>
      <c r="AA222" s="60" t="s">
        <v>9</v>
      </c>
      <c r="AB222" s="58"/>
      <c r="AC222" s="58"/>
      <c r="AE222" s="5" t="s">
        <v>137</v>
      </c>
      <c r="AF222">
        <v>1</v>
      </c>
      <c r="AG222" s="17"/>
      <c r="AH222" s="17"/>
      <c r="AO222" s="5" t="s">
        <v>164</v>
      </c>
      <c r="AP222">
        <v>0</v>
      </c>
      <c r="AQ222" s="17"/>
      <c r="AR222" s="17"/>
      <c r="AT222" s="17" t="s">
        <v>383</v>
      </c>
      <c r="AU222" s="6" t="s">
        <v>24</v>
      </c>
      <c r="AV222" s="17"/>
      <c r="AW222" s="17"/>
      <c r="AY222" s="5" t="s">
        <v>205</v>
      </c>
      <c r="AZ222">
        <v>0</v>
      </c>
      <c r="BA222" s="17"/>
      <c r="BB222" s="17"/>
      <c r="BD222" s="5" t="s">
        <v>235</v>
      </c>
      <c r="BE222">
        <v>0</v>
      </c>
      <c r="BF222" s="17"/>
      <c r="BG222" s="17"/>
      <c r="BI222" s="5" t="s">
        <v>258</v>
      </c>
      <c r="BJ222">
        <v>0</v>
      </c>
      <c r="BK222" s="17"/>
      <c r="BL222" s="17"/>
      <c r="BN222" s="17" t="s">
        <v>383</v>
      </c>
      <c r="BO222" s="6" t="s">
        <v>23</v>
      </c>
      <c r="BP222" s="17"/>
      <c r="BQ222" s="17"/>
      <c r="BX222" s="61" t="s">
        <v>289</v>
      </c>
      <c r="BY222" s="62">
        <v>5</v>
      </c>
      <c r="BZ222" s="58"/>
      <c r="CA222" s="58"/>
      <c r="CC222" s="5" t="s">
        <v>301</v>
      </c>
      <c r="CD222">
        <v>2</v>
      </c>
      <c r="CE222" s="30" t="s">
        <v>389</v>
      </c>
      <c r="CF222" s="17">
        <f>MAX(CD220:CD242)</f>
        <v>11</v>
      </c>
      <c r="CW222" s="58" t="s">
        <v>383</v>
      </c>
      <c r="CX222" s="60" t="s">
        <v>11</v>
      </c>
      <c r="CY222" s="58"/>
      <c r="CZ222" s="58"/>
    </row>
    <row r="223" spans="1:104" x14ac:dyDescent="0.25">
      <c r="A223" s="5" t="s">
        <v>43</v>
      </c>
      <c r="B223" s="27">
        <v>4</v>
      </c>
      <c r="C223" s="30" t="s">
        <v>390</v>
      </c>
      <c r="D223" s="17">
        <f>VAR(B220:B242)</f>
        <v>1.0276679841897234</v>
      </c>
      <c r="K223" s="17" t="s">
        <v>384</v>
      </c>
      <c r="L223" s="17" t="s">
        <v>39</v>
      </c>
      <c r="M223" s="17" t="s">
        <v>385</v>
      </c>
      <c r="N223" s="17" t="s">
        <v>386</v>
      </c>
      <c r="U223" s="17" t="s">
        <v>382</v>
      </c>
      <c r="V223" s="29" t="s">
        <v>400</v>
      </c>
      <c r="W223" s="17"/>
      <c r="X223" s="17">
        <v>2016</v>
      </c>
      <c r="Z223" s="58" t="s">
        <v>384</v>
      </c>
      <c r="AA223" s="58" t="s">
        <v>39</v>
      </c>
      <c r="AB223" s="58" t="s">
        <v>385</v>
      </c>
      <c r="AC223" s="58" t="s">
        <v>386</v>
      </c>
      <c r="AE223" s="5" t="s">
        <v>138</v>
      </c>
      <c r="AF223">
        <v>0</v>
      </c>
      <c r="AG223" s="17"/>
      <c r="AH223" s="17"/>
      <c r="AO223" s="5" t="s">
        <v>165</v>
      </c>
      <c r="AP223">
        <v>0</v>
      </c>
      <c r="AQ223" s="17"/>
      <c r="AR223" s="17"/>
      <c r="AT223" s="17" t="s">
        <v>384</v>
      </c>
      <c r="AU223" s="17" t="s">
        <v>39</v>
      </c>
      <c r="AV223" s="17" t="s">
        <v>385</v>
      </c>
      <c r="AW223" s="17" t="s">
        <v>386</v>
      </c>
      <c r="AY223" s="5" t="s">
        <v>206</v>
      </c>
      <c r="AZ223">
        <v>0</v>
      </c>
      <c r="BA223" s="17"/>
      <c r="BB223" s="17"/>
      <c r="BD223" s="5" t="s">
        <v>236</v>
      </c>
      <c r="BE223">
        <v>0</v>
      </c>
      <c r="BF223" s="17"/>
      <c r="BG223" s="17"/>
      <c r="BI223" s="5" t="s">
        <v>259</v>
      </c>
      <c r="BJ223">
        <v>0</v>
      </c>
      <c r="BK223" s="17"/>
      <c r="BL223" s="17"/>
      <c r="BN223" s="17" t="s">
        <v>384</v>
      </c>
      <c r="BO223" s="17" t="s">
        <v>39</v>
      </c>
      <c r="BP223" s="17" t="s">
        <v>385</v>
      </c>
      <c r="BQ223" s="17" t="s">
        <v>386</v>
      </c>
      <c r="BX223" s="61" t="s">
        <v>290</v>
      </c>
      <c r="BY223" s="62">
        <v>4</v>
      </c>
      <c r="CC223" s="5" t="s">
        <v>302</v>
      </c>
      <c r="CD223">
        <v>2</v>
      </c>
      <c r="CE223" s="30" t="s">
        <v>390</v>
      </c>
      <c r="CF223" s="17">
        <f>VAR(CD220:CD242)</f>
        <v>12.33201581027668</v>
      </c>
      <c r="CM223" s="17" t="s">
        <v>382</v>
      </c>
      <c r="CN223" s="29" t="s">
        <v>442</v>
      </c>
      <c r="CO223" s="17"/>
      <c r="CP223" s="17">
        <v>2016</v>
      </c>
      <c r="CR223" s="17" t="s">
        <v>382</v>
      </c>
      <c r="CS223" s="29" t="s">
        <v>442</v>
      </c>
      <c r="CT223" s="17"/>
      <c r="CU223" s="17">
        <v>2016</v>
      </c>
      <c r="CW223" s="58" t="s">
        <v>384</v>
      </c>
      <c r="CX223" s="58" t="s">
        <v>39</v>
      </c>
      <c r="CY223" s="58" t="s">
        <v>385</v>
      </c>
      <c r="CZ223" s="58" t="s">
        <v>386</v>
      </c>
    </row>
    <row r="224" spans="1:104" x14ac:dyDescent="0.25">
      <c r="A224" s="5" t="s">
        <v>44</v>
      </c>
      <c r="B224" s="27">
        <v>1</v>
      </c>
      <c r="C224" s="30" t="s">
        <v>391</v>
      </c>
      <c r="D224" s="17">
        <f>AVERAGE(B220:B242)</f>
        <v>0.86956521739130432</v>
      </c>
      <c r="K224" s="5" t="s">
        <v>72</v>
      </c>
      <c r="L224">
        <v>1</v>
      </c>
      <c r="M224" s="30" t="s">
        <v>387</v>
      </c>
      <c r="N224" s="17">
        <f>SUM(L224:L239)</f>
        <v>6</v>
      </c>
      <c r="U224" s="17" t="s">
        <v>383</v>
      </c>
      <c r="V224" s="6" t="s">
        <v>11</v>
      </c>
      <c r="W224" s="17"/>
      <c r="X224" s="17"/>
      <c r="Z224" s="61" t="s">
        <v>88</v>
      </c>
      <c r="AA224" s="62">
        <v>0</v>
      </c>
      <c r="AB224" s="63" t="s">
        <v>387</v>
      </c>
      <c r="AC224" s="58">
        <f>SUM(AA224:AA263)</f>
        <v>13</v>
      </c>
      <c r="AE224" s="5" t="s">
        <v>139</v>
      </c>
      <c r="AF224">
        <v>0</v>
      </c>
      <c r="AG224" s="17"/>
      <c r="AH224" s="17"/>
      <c r="AO224" s="5" t="s">
        <v>166</v>
      </c>
      <c r="AP224">
        <v>0</v>
      </c>
      <c r="AQ224" s="15"/>
      <c r="AR224" s="15"/>
      <c r="AT224" s="5" t="s">
        <v>175</v>
      </c>
      <c r="AU224">
        <v>0</v>
      </c>
      <c r="AV224" s="30" t="s">
        <v>387</v>
      </c>
      <c r="AW224" s="17">
        <f>SUM(AU224:AU241)</f>
        <v>2</v>
      </c>
      <c r="AY224" s="5" t="s">
        <v>207</v>
      </c>
      <c r="AZ224">
        <v>0</v>
      </c>
      <c r="BA224" s="17"/>
      <c r="BB224" s="17"/>
      <c r="BD224" s="5" t="s">
        <v>237</v>
      </c>
      <c r="BE224">
        <v>0</v>
      </c>
      <c r="BF224" s="15"/>
      <c r="BG224" s="15"/>
      <c r="BI224" s="5" t="s">
        <v>260</v>
      </c>
      <c r="BJ224">
        <v>0</v>
      </c>
      <c r="BK224" s="17"/>
      <c r="BL224" s="17"/>
      <c r="BN224" s="5" t="s">
        <v>274</v>
      </c>
      <c r="BO224">
        <v>0</v>
      </c>
      <c r="BP224" s="30" t="s">
        <v>387</v>
      </c>
      <c r="BQ224" s="17">
        <f>SUM(BO224:BO239)</f>
        <v>1</v>
      </c>
      <c r="BX224" s="61" t="s">
        <v>291</v>
      </c>
      <c r="BY224" s="62">
        <v>3</v>
      </c>
      <c r="CC224" s="5" t="s">
        <v>303</v>
      </c>
      <c r="CD224">
        <v>1</v>
      </c>
      <c r="CE224" s="30" t="s">
        <v>391</v>
      </c>
      <c r="CF224" s="17">
        <f>AVERAGE(CD220:CD242)</f>
        <v>3.8260869565217392</v>
      </c>
      <c r="CM224" s="17" t="s">
        <v>383</v>
      </c>
      <c r="CN224" s="6" t="s">
        <v>19</v>
      </c>
      <c r="CO224" s="17"/>
      <c r="CP224" s="17"/>
      <c r="CR224" s="17" t="s">
        <v>383</v>
      </c>
      <c r="CS224" s="6" t="s">
        <v>19</v>
      </c>
      <c r="CT224" s="17"/>
      <c r="CU224" s="17"/>
      <c r="CW224" s="61" t="s">
        <v>321</v>
      </c>
      <c r="CX224" s="62">
        <v>0</v>
      </c>
      <c r="CY224" s="63" t="s">
        <v>387</v>
      </c>
      <c r="CZ224" s="58">
        <f>SUM(CX224:CX263)</f>
        <v>4</v>
      </c>
    </row>
    <row r="225" spans="1:104" x14ac:dyDescent="0.25">
      <c r="A225" s="5" t="s">
        <v>45</v>
      </c>
      <c r="B225" s="27">
        <v>0</v>
      </c>
      <c r="C225" s="30" t="s">
        <v>392</v>
      </c>
      <c r="D225" s="17">
        <f>STDEV(B220:B242)</f>
        <v>1.0137396037394037</v>
      </c>
      <c r="K225" s="5" t="s">
        <v>73</v>
      </c>
      <c r="L225">
        <v>0</v>
      </c>
      <c r="M225" s="30" t="s">
        <v>388</v>
      </c>
      <c r="N225" s="17">
        <f>MIN(L224:L239)</f>
        <v>0</v>
      </c>
      <c r="U225" s="17" t="s">
        <v>384</v>
      </c>
      <c r="V225" s="17" t="s">
        <v>39</v>
      </c>
      <c r="W225" s="17" t="s">
        <v>385</v>
      </c>
      <c r="X225" s="17" t="s">
        <v>386</v>
      </c>
      <c r="Z225" s="61" t="s">
        <v>89</v>
      </c>
      <c r="AA225" s="62">
        <v>1</v>
      </c>
      <c r="AB225" s="63" t="s">
        <v>388</v>
      </c>
      <c r="AC225" s="58">
        <f>MIN(AA224:AA263)</f>
        <v>0</v>
      </c>
      <c r="AE225" s="5" t="s">
        <v>140</v>
      </c>
      <c r="AF225">
        <v>0</v>
      </c>
      <c r="AG225" s="17"/>
      <c r="AH225" s="17"/>
      <c r="AO225" s="5" t="s">
        <v>168</v>
      </c>
      <c r="AP225">
        <v>0</v>
      </c>
      <c r="AQ225" s="17"/>
      <c r="AR225" s="17"/>
      <c r="AT225" s="5" t="s">
        <v>176</v>
      </c>
      <c r="AU225">
        <v>0</v>
      </c>
      <c r="AV225" s="30" t="s">
        <v>388</v>
      </c>
      <c r="AW225" s="17">
        <f>MIN(AU224:AU241)</f>
        <v>0</v>
      </c>
      <c r="AY225" s="5" t="s">
        <v>208</v>
      </c>
      <c r="AZ225">
        <v>0</v>
      </c>
      <c r="BA225" s="15"/>
      <c r="BB225" s="15"/>
      <c r="BD225" s="5" t="s">
        <v>238</v>
      </c>
      <c r="BE225">
        <v>0</v>
      </c>
      <c r="BI225" s="5" t="s">
        <v>261</v>
      </c>
      <c r="BJ225">
        <v>0</v>
      </c>
      <c r="BK225" s="15"/>
      <c r="BL225" s="15"/>
      <c r="BN225" s="5" t="s">
        <v>275</v>
      </c>
      <c r="BO225">
        <v>0</v>
      </c>
      <c r="BP225" s="30" t="s">
        <v>388</v>
      </c>
      <c r="BQ225" s="17">
        <f>MIN(BO224:BO239)</f>
        <v>0</v>
      </c>
      <c r="BX225" s="61" t="s">
        <v>292</v>
      </c>
      <c r="BY225" s="62">
        <v>7</v>
      </c>
      <c r="CC225" s="5" t="s">
        <v>304</v>
      </c>
      <c r="CD225">
        <v>0</v>
      </c>
      <c r="CE225" s="30" t="s">
        <v>392</v>
      </c>
      <c r="CF225" s="17">
        <f>STDEV(CD220:CD242)</f>
        <v>3.5116969986427757</v>
      </c>
      <c r="CM225" s="17" t="s">
        <v>384</v>
      </c>
      <c r="CN225" s="17" t="s">
        <v>39</v>
      </c>
      <c r="CO225" s="17" t="s">
        <v>385</v>
      </c>
      <c r="CP225" s="17" t="s">
        <v>386</v>
      </c>
      <c r="CR225" s="17" t="s">
        <v>384</v>
      </c>
      <c r="CS225" s="17" t="s">
        <v>39</v>
      </c>
      <c r="CT225" s="17" t="s">
        <v>385</v>
      </c>
      <c r="CU225" s="17" t="s">
        <v>386</v>
      </c>
      <c r="CW225" s="61" t="s">
        <v>322</v>
      </c>
      <c r="CX225" s="62">
        <v>0</v>
      </c>
      <c r="CY225" s="63" t="s">
        <v>388</v>
      </c>
      <c r="CZ225" s="58">
        <f>MIN(CX224:CX263)</f>
        <v>0</v>
      </c>
    </row>
    <row r="226" spans="1:104" x14ac:dyDescent="0.25">
      <c r="A226" s="5" t="s">
        <v>47</v>
      </c>
      <c r="B226" s="27">
        <v>1</v>
      </c>
      <c r="C226" s="17"/>
      <c r="D226" s="17"/>
      <c r="K226" s="5" t="s">
        <v>74</v>
      </c>
      <c r="L226">
        <v>0</v>
      </c>
      <c r="M226" s="30" t="s">
        <v>389</v>
      </c>
      <c r="N226" s="17">
        <f>MAX(L224:L239)</f>
        <v>2</v>
      </c>
      <c r="U226" s="5" t="s">
        <v>96</v>
      </c>
      <c r="V226">
        <v>0</v>
      </c>
      <c r="W226" s="30" t="s">
        <v>387</v>
      </c>
      <c r="X226" s="17">
        <f>SUM(V226:V258)</f>
        <v>7</v>
      </c>
      <c r="Z226" s="61" t="s">
        <v>90</v>
      </c>
      <c r="AA226" s="62">
        <v>0</v>
      </c>
      <c r="AB226" s="63" t="s">
        <v>389</v>
      </c>
      <c r="AC226" s="58">
        <f>MAX(AA224:AA263)</f>
        <v>2</v>
      </c>
      <c r="AE226" s="5" t="s">
        <v>141</v>
      </c>
      <c r="AF226">
        <v>0</v>
      </c>
      <c r="AG226" s="17"/>
      <c r="AH226" s="17"/>
      <c r="AO226" s="5" t="s">
        <v>169</v>
      </c>
      <c r="AP226">
        <v>0</v>
      </c>
      <c r="AQ226" s="17"/>
      <c r="AR226" s="17"/>
      <c r="AT226" s="5" t="s">
        <v>177</v>
      </c>
      <c r="AU226">
        <v>0</v>
      </c>
      <c r="AV226" s="30" t="s">
        <v>389</v>
      </c>
      <c r="AW226" s="17">
        <f>MAX(AU224:AU241)</f>
        <v>1</v>
      </c>
      <c r="AY226" s="5" t="s">
        <v>209</v>
      </c>
      <c r="AZ226">
        <v>0</v>
      </c>
      <c r="BD226" s="5" t="s">
        <v>239</v>
      </c>
      <c r="BE226">
        <v>1</v>
      </c>
      <c r="BI226" s="5" t="s">
        <v>262</v>
      </c>
      <c r="BJ226">
        <v>0</v>
      </c>
      <c r="BN226" s="5" t="s">
        <v>276</v>
      </c>
      <c r="BO226">
        <v>0</v>
      </c>
      <c r="BP226" s="30" t="s">
        <v>389</v>
      </c>
      <c r="BQ226" s="17">
        <f>MAX(BO224:BO239)</f>
        <v>1</v>
      </c>
      <c r="BX226" s="61" t="s">
        <v>293</v>
      </c>
      <c r="BY226" s="62">
        <v>5</v>
      </c>
      <c r="CC226" s="5" t="s">
        <v>305</v>
      </c>
      <c r="CD226">
        <v>1</v>
      </c>
      <c r="CE226" s="17"/>
      <c r="CF226" s="17"/>
      <c r="CM226" s="5" t="s">
        <v>328</v>
      </c>
      <c r="CN226">
        <v>4</v>
      </c>
      <c r="CO226" s="30" t="s">
        <v>387</v>
      </c>
      <c r="CP226" s="17">
        <f>SUM(CN226:CN258)</f>
        <v>7</v>
      </c>
      <c r="CR226" s="5" t="s">
        <v>333</v>
      </c>
      <c r="CS226">
        <v>1</v>
      </c>
      <c r="CT226" s="30" t="s">
        <v>387</v>
      </c>
      <c r="CU226" s="17">
        <f>SUM(CS226:CS253)</f>
        <v>96</v>
      </c>
      <c r="CW226" s="61" t="s">
        <v>323</v>
      </c>
      <c r="CX226" s="62">
        <v>0</v>
      </c>
      <c r="CY226" s="63" t="s">
        <v>389</v>
      </c>
      <c r="CZ226" s="58">
        <f>MAX(CX224:CX263)</f>
        <v>1</v>
      </c>
    </row>
    <row r="227" spans="1:104" x14ac:dyDescent="0.25">
      <c r="A227" s="5" t="s">
        <v>48</v>
      </c>
      <c r="B227" s="27">
        <v>1</v>
      </c>
      <c r="C227" s="17"/>
      <c r="D227" s="17"/>
      <c r="K227" s="5" t="s">
        <v>75</v>
      </c>
      <c r="L227">
        <v>0</v>
      </c>
      <c r="M227" s="30" t="s">
        <v>390</v>
      </c>
      <c r="N227" s="17">
        <f>VAR(L224:L239)</f>
        <v>0.38333333333333336</v>
      </c>
      <c r="U227" s="5" t="s">
        <v>97</v>
      </c>
      <c r="V227">
        <v>0</v>
      </c>
      <c r="W227" s="30" t="s">
        <v>388</v>
      </c>
      <c r="X227" s="17">
        <f>MIN(V226:V258)</f>
        <v>0</v>
      </c>
      <c r="Z227" s="61" t="s">
        <v>91</v>
      </c>
      <c r="AA227" s="62">
        <v>2</v>
      </c>
      <c r="AB227" s="63" t="s">
        <v>390</v>
      </c>
      <c r="AC227" s="58">
        <f>VAR(AA224:AA263)</f>
        <v>0.4301282051282051</v>
      </c>
      <c r="AE227" s="5" t="s">
        <v>142</v>
      </c>
      <c r="AF227">
        <v>0</v>
      </c>
      <c r="AG227" s="17"/>
      <c r="AH227" s="17"/>
      <c r="AO227" s="5" t="s">
        <v>170</v>
      </c>
      <c r="AP227">
        <v>0</v>
      </c>
      <c r="AQ227" s="17"/>
      <c r="AR227" s="1"/>
      <c r="AT227" s="5" t="s">
        <v>178</v>
      </c>
      <c r="AU227">
        <v>0</v>
      </c>
      <c r="AV227" s="30" t="s">
        <v>390</v>
      </c>
      <c r="AW227" s="17">
        <f>VAR(AU224:AU241)</f>
        <v>0.1045751633986928</v>
      </c>
      <c r="AY227" s="5" t="s">
        <v>210</v>
      </c>
      <c r="AZ227">
        <v>0</v>
      </c>
      <c r="BD227" s="5" t="s">
        <v>240</v>
      </c>
      <c r="BE227">
        <v>2</v>
      </c>
      <c r="BI227" s="5" t="s">
        <v>263</v>
      </c>
      <c r="BJ227">
        <v>0</v>
      </c>
      <c r="BN227" s="5" t="s">
        <v>277</v>
      </c>
      <c r="BO227">
        <v>0</v>
      </c>
      <c r="BP227" s="30" t="s">
        <v>390</v>
      </c>
      <c r="BQ227" s="17">
        <f>VAR(BO224:BO239)</f>
        <v>6.25E-2</v>
      </c>
      <c r="BX227" s="61" t="s">
        <v>294</v>
      </c>
      <c r="BY227" s="62">
        <v>3</v>
      </c>
      <c r="CC227" s="5" t="s">
        <v>306</v>
      </c>
      <c r="CD227">
        <v>2</v>
      </c>
      <c r="CE227" s="17"/>
      <c r="CF227" s="17"/>
      <c r="CM227" s="5" t="s">
        <v>329</v>
      </c>
      <c r="CN227">
        <v>2</v>
      </c>
      <c r="CO227" s="30" t="s">
        <v>388</v>
      </c>
      <c r="CP227" s="17">
        <f>MIN(CN226:CN258)</f>
        <v>0</v>
      </c>
      <c r="CR227" s="5" t="s">
        <v>334</v>
      </c>
      <c r="CS227">
        <v>3</v>
      </c>
      <c r="CT227" s="30" t="s">
        <v>388</v>
      </c>
      <c r="CU227" s="17">
        <f>MIN(CS226:CS253)</f>
        <v>0</v>
      </c>
      <c r="CW227" s="61" t="s">
        <v>324</v>
      </c>
      <c r="CX227" s="62">
        <v>0</v>
      </c>
      <c r="CY227" s="63" t="s">
        <v>390</v>
      </c>
      <c r="CZ227" s="58">
        <f>VAR(CX224:CX263)</f>
        <v>9.2307692307692313E-2</v>
      </c>
    </row>
    <row r="228" spans="1:104" x14ac:dyDescent="0.25">
      <c r="A228" s="5" t="s">
        <v>49</v>
      </c>
      <c r="B228" s="27">
        <v>0</v>
      </c>
      <c r="C228" s="17"/>
      <c r="D228" s="17"/>
      <c r="K228" s="5" t="s">
        <v>76</v>
      </c>
      <c r="L228">
        <v>1</v>
      </c>
      <c r="M228" s="30" t="s">
        <v>391</v>
      </c>
      <c r="N228" s="17">
        <f>AVERAGE(L224:L239)</f>
        <v>0.375</v>
      </c>
      <c r="U228" s="5" t="s">
        <v>98</v>
      </c>
      <c r="V228">
        <v>0</v>
      </c>
      <c r="W228" s="30" t="s">
        <v>389</v>
      </c>
      <c r="X228" s="17">
        <f>MAX(V226:V258)</f>
        <v>2</v>
      </c>
      <c r="Z228" s="61" t="s">
        <v>92</v>
      </c>
      <c r="AA228" s="62">
        <v>0</v>
      </c>
      <c r="AB228" s="63" t="s">
        <v>391</v>
      </c>
      <c r="AC228" s="58">
        <f>AVERAGE(AA224:AA263)</f>
        <v>0.32500000000000001</v>
      </c>
      <c r="AO228" s="5" t="s">
        <v>171</v>
      </c>
      <c r="AP228">
        <v>0</v>
      </c>
      <c r="AQ228" s="17"/>
      <c r="AR228" s="1"/>
      <c r="AT228" s="5" t="s">
        <v>179</v>
      </c>
      <c r="AU228">
        <v>1</v>
      </c>
      <c r="AV228" s="30" t="s">
        <v>391</v>
      </c>
      <c r="AW228" s="17">
        <f>AVERAGE(AU224:AU241)</f>
        <v>0.1111111111111111</v>
      </c>
      <c r="AY228" s="5" t="s">
        <v>211</v>
      </c>
      <c r="AZ228">
        <v>0</v>
      </c>
      <c r="BD228" s="5" t="s">
        <v>241</v>
      </c>
      <c r="BE228">
        <v>0</v>
      </c>
      <c r="BI228" s="5" t="s">
        <v>264</v>
      </c>
      <c r="BJ228">
        <v>0</v>
      </c>
      <c r="BN228" s="5" t="s">
        <v>279</v>
      </c>
      <c r="BO228">
        <v>1</v>
      </c>
      <c r="BP228" s="30" t="s">
        <v>391</v>
      </c>
      <c r="BQ228" s="17">
        <f>AVERAGE(BO224:BO239)</f>
        <v>6.25E-2</v>
      </c>
      <c r="BX228" s="61" t="s">
        <v>295</v>
      </c>
      <c r="BY228" s="62">
        <v>2</v>
      </c>
      <c r="CC228" s="5" t="s">
        <v>93</v>
      </c>
      <c r="CD228">
        <v>1</v>
      </c>
      <c r="CE228" s="17"/>
      <c r="CF228" s="17"/>
      <c r="CM228" s="5" t="s">
        <v>330</v>
      </c>
      <c r="CN228">
        <v>0</v>
      </c>
      <c r="CO228" s="30" t="s">
        <v>389</v>
      </c>
      <c r="CP228" s="17">
        <f>MAX(CN226:CN258)</f>
        <v>4</v>
      </c>
      <c r="CR228" s="5" t="s">
        <v>335</v>
      </c>
      <c r="CS228">
        <v>0</v>
      </c>
      <c r="CT228" s="30" t="s">
        <v>389</v>
      </c>
      <c r="CU228" s="17">
        <f>MAX(CS226:CS253)</f>
        <v>8</v>
      </c>
      <c r="CW228" s="61" t="s">
        <v>325</v>
      </c>
      <c r="CX228" s="62">
        <v>0</v>
      </c>
      <c r="CY228" s="63" t="s">
        <v>391</v>
      </c>
      <c r="CZ228" s="58">
        <f>AVERAGE(CX224:CX263)</f>
        <v>0.1</v>
      </c>
    </row>
    <row r="229" spans="1:104" x14ac:dyDescent="0.25">
      <c r="A229" s="5" t="s">
        <v>50</v>
      </c>
      <c r="B229" s="27">
        <v>1</v>
      </c>
      <c r="C229" s="17"/>
      <c r="D229" s="17"/>
      <c r="K229" s="5" t="s">
        <v>77</v>
      </c>
      <c r="L229">
        <v>2</v>
      </c>
      <c r="M229" s="30" t="s">
        <v>392</v>
      </c>
      <c r="N229" s="17">
        <f>STDEV(L224:L239)</f>
        <v>0.61913918736689033</v>
      </c>
      <c r="U229" s="5" t="s">
        <v>99</v>
      </c>
      <c r="V229">
        <v>0</v>
      </c>
      <c r="W229" s="30" t="s">
        <v>390</v>
      </c>
      <c r="X229" s="17">
        <f>VAR(V226:V258)</f>
        <v>0.29734848484848486</v>
      </c>
      <c r="Z229" s="61" t="s">
        <v>93</v>
      </c>
      <c r="AA229" s="62">
        <v>2</v>
      </c>
      <c r="AB229" s="63" t="s">
        <v>392</v>
      </c>
      <c r="AC229" s="58">
        <f>STDEV(AA224:AA263)</f>
        <v>0.65584160063860319</v>
      </c>
      <c r="AE229" s="17" t="s">
        <v>382</v>
      </c>
      <c r="AF229" s="29" t="s">
        <v>366</v>
      </c>
      <c r="AG229" s="17"/>
      <c r="AH229" s="17">
        <v>2016</v>
      </c>
      <c r="AO229" s="5" t="s">
        <v>172</v>
      </c>
      <c r="AP229">
        <v>0</v>
      </c>
      <c r="AQ229" s="17"/>
      <c r="AR229" s="1"/>
      <c r="AT229" s="5" t="s">
        <v>180</v>
      </c>
      <c r="AU229">
        <v>0</v>
      </c>
      <c r="AV229" s="30" t="s">
        <v>392</v>
      </c>
      <c r="AW229" s="17">
        <f>STDEV(AU224:AU241)</f>
        <v>0.32338083338177726</v>
      </c>
      <c r="AY229" s="5" t="s">
        <v>212</v>
      </c>
      <c r="AZ229">
        <v>0</v>
      </c>
      <c r="BD229" s="5" t="s">
        <v>242</v>
      </c>
      <c r="BE229">
        <v>0</v>
      </c>
      <c r="BI229" s="5" t="s">
        <v>265</v>
      </c>
      <c r="BJ229">
        <v>0</v>
      </c>
      <c r="BN229" s="5" t="s">
        <v>278</v>
      </c>
      <c r="BO229">
        <v>0</v>
      </c>
      <c r="BP229" s="30" t="s">
        <v>392</v>
      </c>
      <c r="BQ229" s="17">
        <f>STDEV(BO224:BO239)</f>
        <v>0.25</v>
      </c>
      <c r="BX229" s="61" t="s">
        <v>296</v>
      </c>
      <c r="BY229" s="62">
        <v>0</v>
      </c>
      <c r="CC229" s="5" t="s">
        <v>307</v>
      </c>
      <c r="CD229">
        <v>2</v>
      </c>
      <c r="CE229" s="17"/>
      <c r="CF229" s="17"/>
      <c r="CM229" s="5" t="s">
        <v>331</v>
      </c>
      <c r="CN229">
        <v>1</v>
      </c>
      <c r="CO229" s="30" t="s">
        <v>390</v>
      </c>
      <c r="CP229" s="17">
        <f>VAR(CN226:CN258)</f>
        <v>2.8</v>
      </c>
      <c r="CR229" s="5" t="s">
        <v>43</v>
      </c>
      <c r="CS229">
        <v>5</v>
      </c>
      <c r="CT229" s="30" t="s">
        <v>390</v>
      </c>
      <c r="CU229" s="17">
        <f>VAR(CS226:CS253)</f>
        <v>4.5502645502645498</v>
      </c>
      <c r="CW229" s="61" t="s">
        <v>326</v>
      </c>
      <c r="CX229" s="62">
        <v>0</v>
      </c>
      <c r="CY229" s="63" t="s">
        <v>392</v>
      </c>
      <c r="CZ229" s="58">
        <f>STDEV(CX224:CX263)</f>
        <v>0.30382181012510001</v>
      </c>
    </row>
    <row r="230" spans="1:104" x14ac:dyDescent="0.25">
      <c r="A230" s="5" t="s">
        <v>51</v>
      </c>
      <c r="B230" s="27">
        <v>0</v>
      </c>
      <c r="C230" s="17"/>
      <c r="D230" s="17"/>
      <c r="K230" s="5" t="s">
        <v>78</v>
      </c>
      <c r="L230">
        <v>0</v>
      </c>
      <c r="M230" s="17"/>
      <c r="N230" s="17"/>
      <c r="U230" s="5" t="s">
        <v>100</v>
      </c>
      <c r="V230">
        <v>1</v>
      </c>
      <c r="W230" s="30" t="s">
        <v>391</v>
      </c>
      <c r="X230" s="17">
        <f>AVERAGE(V226:V258)</f>
        <v>0.21212121212121213</v>
      </c>
      <c r="Z230" s="61" t="s">
        <v>94</v>
      </c>
      <c r="AA230" s="62">
        <v>1</v>
      </c>
      <c r="AB230" s="58"/>
      <c r="AC230" s="58"/>
      <c r="AE230" s="17" t="s">
        <v>383</v>
      </c>
      <c r="AF230" s="6" t="s">
        <v>25</v>
      </c>
      <c r="AG230" s="17"/>
      <c r="AH230" s="17"/>
      <c r="AO230" s="5" t="s">
        <v>173</v>
      </c>
      <c r="AP230">
        <v>0</v>
      </c>
      <c r="AT230" s="5" t="s">
        <v>181</v>
      </c>
      <c r="AU230">
        <v>0</v>
      </c>
      <c r="AV230" s="17"/>
      <c r="AW230" s="17"/>
      <c r="AY230" s="5" t="s">
        <v>213</v>
      </c>
      <c r="AZ230">
        <v>0</v>
      </c>
      <c r="BD230" s="5" t="s">
        <v>243</v>
      </c>
      <c r="BE230">
        <v>0</v>
      </c>
      <c r="BI230" s="5" t="s">
        <v>266</v>
      </c>
      <c r="BJ230">
        <v>0</v>
      </c>
      <c r="BN230" s="5" t="s">
        <v>280</v>
      </c>
      <c r="BO230">
        <v>0</v>
      </c>
      <c r="BP230" s="17"/>
      <c r="BQ230" s="17"/>
      <c r="BX230" s="61" t="s">
        <v>297</v>
      </c>
      <c r="BY230" s="62">
        <v>1</v>
      </c>
      <c r="CC230" s="5" t="s">
        <v>308</v>
      </c>
      <c r="CD230">
        <v>0</v>
      </c>
      <c r="CE230" s="17"/>
      <c r="CF230" s="17"/>
      <c r="CM230" s="5" t="s">
        <v>332</v>
      </c>
      <c r="CN230">
        <v>0</v>
      </c>
      <c r="CO230" s="30" t="s">
        <v>391</v>
      </c>
      <c r="CP230" s="17">
        <f>AVERAGE(CN226:CN258)</f>
        <v>1.4</v>
      </c>
      <c r="CR230" s="5" t="s">
        <v>336</v>
      </c>
      <c r="CS230">
        <v>2</v>
      </c>
      <c r="CT230" s="30" t="s">
        <v>391</v>
      </c>
      <c r="CU230" s="17">
        <f>AVERAGE(CS226:CS253)</f>
        <v>3.4285714285714284</v>
      </c>
      <c r="CW230" s="61" t="s">
        <v>327</v>
      </c>
      <c r="CX230" s="62">
        <v>1</v>
      </c>
      <c r="CY230" s="58"/>
      <c r="CZ230" s="58"/>
    </row>
    <row r="231" spans="1:104" x14ac:dyDescent="0.25">
      <c r="A231" s="5" t="s">
        <v>52</v>
      </c>
      <c r="B231" s="27">
        <v>1</v>
      </c>
      <c r="C231" s="17"/>
      <c r="D231" s="17"/>
      <c r="K231" s="5" t="s">
        <v>79</v>
      </c>
      <c r="L231">
        <v>0</v>
      </c>
      <c r="M231" s="17"/>
      <c r="N231" s="17"/>
      <c r="U231" s="5" t="s">
        <v>101</v>
      </c>
      <c r="V231">
        <v>0</v>
      </c>
      <c r="W231" s="30" t="s">
        <v>392</v>
      </c>
      <c r="X231" s="17">
        <f>STDEV(V226:V258)</f>
        <v>0.5452966943311548</v>
      </c>
      <c r="Z231" s="61" t="s">
        <v>96</v>
      </c>
      <c r="AA231" s="62">
        <v>0</v>
      </c>
      <c r="AE231" s="17" t="s">
        <v>384</v>
      </c>
      <c r="AF231" s="17" t="s">
        <v>39</v>
      </c>
      <c r="AG231" s="17" t="s">
        <v>385</v>
      </c>
      <c r="AH231" s="17" t="s">
        <v>386</v>
      </c>
      <c r="AO231" s="5" t="s">
        <v>174</v>
      </c>
      <c r="AP231">
        <v>0</v>
      </c>
      <c r="AT231" s="5" t="s">
        <v>182</v>
      </c>
      <c r="AU231">
        <v>1</v>
      </c>
      <c r="AV231" s="17"/>
      <c r="AW231" s="17"/>
      <c r="AY231" s="5" t="s">
        <v>214</v>
      </c>
      <c r="AZ231">
        <v>0</v>
      </c>
      <c r="BD231" s="5" t="s">
        <v>244</v>
      </c>
      <c r="BE231">
        <v>0</v>
      </c>
      <c r="BI231" s="5" t="s">
        <v>267</v>
      </c>
      <c r="BJ231">
        <v>0</v>
      </c>
      <c r="BN231" s="5" t="s">
        <v>281</v>
      </c>
      <c r="BO231">
        <v>0</v>
      </c>
      <c r="BP231" s="17"/>
      <c r="BQ231" s="17"/>
      <c r="BX231" s="61" t="s">
        <v>298</v>
      </c>
      <c r="BY231" s="62">
        <v>1</v>
      </c>
      <c r="CC231" s="5" t="s">
        <v>309</v>
      </c>
      <c r="CD231">
        <v>1</v>
      </c>
      <c r="CE231" s="17"/>
      <c r="CF231" s="17"/>
      <c r="CO231" s="30" t="s">
        <v>392</v>
      </c>
      <c r="CP231" s="17">
        <f>STDEV(CN226:CN258)</f>
        <v>1.6733200530681511</v>
      </c>
      <c r="CR231" s="5" t="s">
        <v>337</v>
      </c>
      <c r="CS231">
        <v>7</v>
      </c>
      <c r="CT231" s="30" t="s">
        <v>392</v>
      </c>
      <c r="CU231" s="17">
        <f>STDEV(CS226:CS253)</f>
        <v>2.1331349114072813</v>
      </c>
      <c r="CW231" s="61" t="s">
        <v>328</v>
      </c>
      <c r="CX231" s="62">
        <v>0</v>
      </c>
    </row>
    <row r="232" spans="1:104" x14ac:dyDescent="0.25">
      <c r="A232" s="5" t="s">
        <v>53</v>
      </c>
      <c r="B232" s="27">
        <v>0</v>
      </c>
      <c r="C232" s="17"/>
      <c r="D232" s="17"/>
      <c r="K232" s="5" t="s">
        <v>80</v>
      </c>
      <c r="L232">
        <v>0</v>
      </c>
      <c r="M232" s="17"/>
      <c r="N232" s="17"/>
      <c r="U232" s="5" t="s">
        <v>103</v>
      </c>
      <c r="V232">
        <v>0</v>
      </c>
      <c r="W232" s="17"/>
      <c r="X232" s="17"/>
      <c r="Z232" s="61" t="s">
        <v>97</v>
      </c>
      <c r="AA232" s="62">
        <v>0</v>
      </c>
      <c r="AE232" s="5" t="s">
        <v>129</v>
      </c>
      <c r="AF232">
        <v>0</v>
      </c>
      <c r="AG232" s="30" t="s">
        <v>387</v>
      </c>
      <c r="AH232" s="17">
        <f>SUM(AF232:AF246)</f>
        <v>2</v>
      </c>
      <c r="AT232" s="5" t="s">
        <v>183</v>
      </c>
      <c r="AU232">
        <v>0</v>
      </c>
      <c r="AV232" s="17"/>
      <c r="AW232" s="17"/>
      <c r="AY232" s="5" t="s">
        <v>215</v>
      </c>
      <c r="AZ232">
        <v>0</v>
      </c>
      <c r="BI232" s="5" t="s">
        <v>268</v>
      </c>
      <c r="BJ232">
        <v>0</v>
      </c>
      <c r="BN232" s="5" t="s">
        <v>282</v>
      </c>
      <c r="BO232">
        <v>0</v>
      </c>
      <c r="BP232" s="17"/>
      <c r="BQ232" s="17"/>
      <c r="CC232" s="5" t="s">
        <v>310</v>
      </c>
      <c r="CD232">
        <v>11</v>
      </c>
      <c r="CE232" s="17"/>
      <c r="CF232" s="17"/>
      <c r="CO232" s="17"/>
      <c r="CP232" s="17"/>
      <c r="CR232" s="5" t="s">
        <v>338</v>
      </c>
      <c r="CS232">
        <v>5</v>
      </c>
      <c r="CW232" s="61" t="s">
        <v>329</v>
      </c>
      <c r="CX232" s="62">
        <v>1</v>
      </c>
    </row>
    <row r="233" spans="1:104" x14ac:dyDescent="0.25">
      <c r="A233" s="5" t="s">
        <v>54</v>
      </c>
      <c r="B233" s="27">
        <v>1</v>
      </c>
      <c r="C233" s="17"/>
      <c r="D233" s="17"/>
      <c r="K233" s="5" t="s">
        <v>81</v>
      </c>
      <c r="L233">
        <v>0</v>
      </c>
      <c r="M233" s="17"/>
      <c r="N233" s="17"/>
      <c r="U233" s="5" t="s">
        <v>104</v>
      </c>
      <c r="V233">
        <v>0</v>
      </c>
      <c r="W233" s="17"/>
      <c r="X233" s="17"/>
      <c r="Z233" s="61" t="s">
        <v>98</v>
      </c>
      <c r="AA233" s="62">
        <v>0</v>
      </c>
      <c r="AE233" s="5" t="s">
        <v>130</v>
      </c>
      <c r="AF233">
        <v>0</v>
      </c>
      <c r="AG233" s="30" t="s">
        <v>388</v>
      </c>
      <c r="AH233" s="17">
        <f>MIN(AF232:AF246)</f>
        <v>0</v>
      </c>
      <c r="AO233" s="17" t="s">
        <v>382</v>
      </c>
      <c r="AP233" s="29" t="s">
        <v>368</v>
      </c>
      <c r="AQ233" s="17"/>
      <c r="AR233" s="17">
        <v>2016</v>
      </c>
      <c r="AT233" s="5" t="s">
        <v>184</v>
      </c>
      <c r="AU233">
        <v>0</v>
      </c>
      <c r="AV233" s="17"/>
      <c r="AW233" s="17"/>
      <c r="AY233" s="5" t="s">
        <v>216</v>
      </c>
      <c r="AZ233">
        <v>0</v>
      </c>
      <c r="BD233" s="17" t="s">
        <v>382</v>
      </c>
      <c r="BE233" s="29" t="s">
        <v>371</v>
      </c>
      <c r="BF233" s="17"/>
      <c r="BG233" s="17">
        <v>2016</v>
      </c>
      <c r="BI233" s="5" t="s">
        <v>269</v>
      </c>
      <c r="BJ233">
        <v>1</v>
      </c>
      <c r="BN233" s="5" t="s">
        <v>283</v>
      </c>
      <c r="BO233">
        <v>0</v>
      </c>
      <c r="BP233" s="17"/>
      <c r="BQ233" s="17"/>
      <c r="BX233" s="58" t="s">
        <v>382</v>
      </c>
      <c r="BY233" s="59" t="s">
        <v>628</v>
      </c>
      <c r="BZ233" s="58"/>
      <c r="CA233" s="58">
        <v>2016</v>
      </c>
      <c r="CC233" s="5" t="s">
        <v>311</v>
      </c>
      <c r="CD233">
        <v>3</v>
      </c>
      <c r="CE233" s="17"/>
      <c r="CF233" s="17"/>
      <c r="CO233" s="17"/>
      <c r="CP233" s="17"/>
      <c r="CR233" s="5" t="s">
        <v>339</v>
      </c>
      <c r="CS233">
        <v>1</v>
      </c>
      <c r="CW233" s="61" t="s">
        <v>330</v>
      </c>
      <c r="CX233" s="62">
        <v>0</v>
      </c>
    </row>
    <row r="234" spans="1:104" x14ac:dyDescent="0.25">
      <c r="A234" s="5" t="s">
        <v>55</v>
      </c>
      <c r="B234" s="27">
        <v>1</v>
      </c>
      <c r="C234" s="17"/>
      <c r="D234" s="17"/>
      <c r="K234" s="5" t="s">
        <v>82</v>
      </c>
      <c r="L234">
        <v>1</v>
      </c>
      <c r="M234" s="17"/>
      <c r="N234" s="17"/>
      <c r="U234" s="5" t="s">
        <v>105</v>
      </c>
      <c r="V234">
        <v>0</v>
      </c>
      <c r="W234" s="17"/>
      <c r="X234" s="17"/>
      <c r="Z234" s="61" t="s">
        <v>99</v>
      </c>
      <c r="AA234" s="62">
        <v>0</v>
      </c>
      <c r="AE234" s="5" t="s">
        <v>131</v>
      </c>
      <c r="AF234">
        <v>0</v>
      </c>
      <c r="AG234" s="30" t="s">
        <v>389</v>
      </c>
      <c r="AH234" s="17">
        <f>MAX(AF232:AF246)</f>
        <v>1</v>
      </c>
      <c r="AO234" s="17" t="s">
        <v>383</v>
      </c>
      <c r="AP234" s="6" t="s">
        <v>18</v>
      </c>
      <c r="AQ234" s="17"/>
      <c r="AR234" s="17"/>
      <c r="AT234" s="5" t="s">
        <v>185</v>
      </c>
      <c r="AU234">
        <v>0</v>
      </c>
      <c r="AV234" s="17"/>
      <c r="AW234" s="17"/>
      <c r="AY234" s="5" t="s">
        <v>217</v>
      </c>
      <c r="AZ234">
        <v>0</v>
      </c>
      <c r="BD234" s="17" t="s">
        <v>383</v>
      </c>
      <c r="BE234" s="6" t="s">
        <v>21</v>
      </c>
      <c r="BF234" s="17"/>
      <c r="BG234" s="17"/>
      <c r="BI234" s="5" t="s">
        <v>270</v>
      </c>
      <c r="BJ234">
        <v>0</v>
      </c>
      <c r="BN234" s="5" t="s">
        <v>285</v>
      </c>
      <c r="BO234">
        <v>0</v>
      </c>
      <c r="BP234" s="17"/>
      <c r="BQ234" s="17"/>
      <c r="BX234" s="58" t="s">
        <v>383</v>
      </c>
      <c r="BY234" s="60" t="s">
        <v>167</v>
      </c>
      <c r="BZ234" s="58"/>
      <c r="CA234" s="58"/>
      <c r="CC234" s="5" t="s">
        <v>312</v>
      </c>
      <c r="CD234">
        <v>2</v>
      </c>
      <c r="CE234" s="17"/>
      <c r="CF234" s="17"/>
      <c r="CO234" s="17"/>
      <c r="CP234" s="17"/>
      <c r="CR234" s="5" t="s">
        <v>340</v>
      </c>
      <c r="CS234">
        <v>4</v>
      </c>
      <c r="CW234" s="61" t="s">
        <v>331</v>
      </c>
      <c r="CX234" s="62">
        <v>0</v>
      </c>
    </row>
    <row r="235" spans="1:104" x14ac:dyDescent="0.25">
      <c r="A235" s="5" t="s">
        <v>56</v>
      </c>
      <c r="B235" s="27">
        <v>0</v>
      </c>
      <c r="C235" s="17"/>
      <c r="D235" s="17"/>
      <c r="K235" s="5" t="s">
        <v>83</v>
      </c>
      <c r="L235">
        <v>0</v>
      </c>
      <c r="M235" s="17"/>
      <c r="N235" s="17"/>
      <c r="U235" s="5" t="s">
        <v>106</v>
      </c>
      <c r="V235">
        <v>0</v>
      </c>
      <c r="W235" s="17"/>
      <c r="X235" s="17"/>
      <c r="Z235" s="61" t="s">
        <v>100</v>
      </c>
      <c r="AA235" s="62">
        <v>1</v>
      </c>
      <c r="AE235" s="5" t="s">
        <v>132</v>
      </c>
      <c r="AF235">
        <v>1</v>
      </c>
      <c r="AG235" s="30" t="s">
        <v>390</v>
      </c>
      <c r="AH235" s="17">
        <f>VAR(AF232:AF246)</f>
        <v>0.12380952380952381</v>
      </c>
      <c r="AO235" s="17" t="s">
        <v>384</v>
      </c>
      <c r="AP235" s="17" t="s">
        <v>39</v>
      </c>
      <c r="AQ235" s="17" t="s">
        <v>385</v>
      </c>
      <c r="AR235" s="17" t="s">
        <v>386</v>
      </c>
      <c r="AT235" s="5" t="s">
        <v>186</v>
      </c>
      <c r="AU235">
        <v>0</v>
      </c>
      <c r="AV235" s="17"/>
      <c r="AW235" s="17"/>
      <c r="AY235" s="5" t="s">
        <v>218</v>
      </c>
      <c r="AZ235">
        <v>0</v>
      </c>
      <c r="BD235" s="17" t="s">
        <v>384</v>
      </c>
      <c r="BE235" s="17" t="s">
        <v>39</v>
      </c>
      <c r="BF235" s="17" t="s">
        <v>385</v>
      </c>
      <c r="BG235" s="17" t="s">
        <v>386</v>
      </c>
      <c r="BI235" s="5" t="s">
        <v>271</v>
      </c>
      <c r="BJ235">
        <v>0</v>
      </c>
      <c r="BN235" s="5" t="s">
        <v>284</v>
      </c>
      <c r="BO235">
        <v>0</v>
      </c>
      <c r="BP235" s="17"/>
      <c r="BQ235" s="17"/>
      <c r="BX235" s="58" t="s">
        <v>384</v>
      </c>
      <c r="BY235" s="58" t="s">
        <v>39</v>
      </c>
      <c r="BZ235" s="58" t="s">
        <v>385</v>
      </c>
      <c r="CA235" s="58" t="s">
        <v>386</v>
      </c>
      <c r="CC235" s="5" t="s">
        <v>313</v>
      </c>
      <c r="CD235">
        <v>4</v>
      </c>
      <c r="CE235" s="17"/>
      <c r="CF235" s="17"/>
      <c r="CO235" s="17"/>
      <c r="CP235" s="17"/>
      <c r="CR235" s="5" t="s">
        <v>341</v>
      </c>
      <c r="CS235">
        <v>2</v>
      </c>
      <c r="CW235" s="61" t="s">
        <v>332</v>
      </c>
      <c r="CX235" s="62">
        <v>0</v>
      </c>
    </row>
    <row r="236" spans="1:104" x14ac:dyDescent="0.25">
      <c r="A236" s="5" t="s">
        <v>57</v>
      </c>
      <c r="B236" s="27">
        <v>0</v>
      </c>
      <c r="C236" s="17"/>
      <c r="D236" s="17"/>
      <c r="K236" s="5" t="s">
        <v>84</v>
      </c>
      <c r="L236">
        <v>0</v>
      </c>
      <c r="M236" s="17"/>
      <c r="N236" s="17"/>
      <c r="U236" s="5" t="s">
        <v>61</v>
      </c>
      <c r="V236">
        <v>0</v>
      </c>
      <c r="W236" s="17"/>
      <c r="X236" s="17"/>
      <c r="Z236" s="61" t="s">
        <v>101</v>
      </c>
      <c r="AA236" s="62">
        <v>0</v>
      </c>
      <c r="AE236" s="5" t="s">
        <v>133</v>
      </c>
      <c r="AF236">
        <v>0</v>
      </c>
      <c r="AG236" s="30" t="s">
        <v>391</v>
      </c>
      <c r="AH236" s="17">
        <f>AVERAGE(AF232:AF246)</f>
        <v>0.13333333333333333</v>
      </c>
      <c r="AO236" s="5" t="s">
        <v>149</v>
      </c>
      <c r="AP236">
        <v>1</v>
      </c>
      <c r="AQ236" s="30" t="s">
        <v>387</v>
      </c>
      <c r="AR236" s="17">
        <f>SUM(AP236:AP260)</f>
        <v>5</v>
      </c>
      <c r="AT236" s="5" t="s">
        <v>187</v>
      </c>
      <c r="AU236">
        <v>0</v>
      </c>
      <c r="AV236" s="17"/>
      <c r="AW236" s="17"/>
      <c r="AY236" s="5" t="s">
        <v>219</v>
      </c>
      <c r="AZ236">
        <v>0</v>
      </c>
      <c r="BD236" s="5" t="s">
        <v>221</v>
      </c>
      <c r="BE236">
        <v>0</v>
      </c>
      <c r="BF236" s="30" t="s">
        <v>387</v>
      </c>
      <c r="BG236" s="17">
        <f>SUM(BE236:BE260)</f>
        <v>2</v>
      </c>
      <c r="BI236" s="5" t="s">
        <v>272</v>
      </c>
      <c r="BJ236">
        <v>0</v>
      </c>
      <c r="BN236" s="5" t="s">
        <v>286</v>
      </c>
      <c r="BO236">
        <v>0</v>
      </c>
      <c r="BP236" s="17"/>
      <c r="BQ236" s="17"/>
      <c r="BX236" s="61" t="s">
        <v>274</v>
      </c>
      <c r="BY236" s="62">
        <v>0</v>
      </c>
      <c r="BZ236" s="63" t="s">
        <v>387</v>
      </c>
      <c r="CA236" s="58">
        <f>SUM(BY236:BY260)</f>
        <v>1</v>
      </c>
      <c r="CC236" s="5" t="s">
        <v>314</v>
      </c>
      <c r="CD236">
        <v>1</v>
      </c>
      <c r="CO236" s="17"/>
      <c r="CP236" s="17"/>
      <c r="CR236" s="5" t="s">
        <v>342</v>
      </c>
      <c r="CS236">
        <v>5</v>
      </c>
      <c r="CW236" s="61" t="s">
        <v>333</v>
      </c>
      <c r="CX236" s="62">
        <v>0</v>
      </c>
    </row>
    <row r="237" spans="1:104" x14ac:dyDescent="0.25">
      <c r="A237" s="5" t="s">
        <v>58</v>
      </c>
      <c r="B237" s="27">
        <v>0</v>
      </c>
      <c r="C237" s="15"/>
      <c r="D237" s="15"/>
      <c r="K237" s="5" t="s">
        <v>85</v>
      </c>
      <c r="L237">
        <v>0</v>
      </c>
      <c r="M237" s="17"/>
      <c r="N237" s="17"/>
      <c r="U237" s="5" t="s">
        <v>107</v>
      </c>
      <c r="V237">
        <v>0</v>
      </c>
      <c r="W237" s="17"/>
      <c r="X237" s="17"/>
      <c r="Z237" s="61" t="s">
        <v>103</v>
      </c>
      <c r="AA237" s="62">
        <v>0</v>
      </c>
      <c r="AE237" s="5" t="s">
        <v>134</v>
      </c>
      <c r="AF237">
        <v>0</v>
      </c>
      <c r="AG237" s="30" t="s">
        <v>392</v>
      </c>
      <c r="AH237" s="17">
        <f>STDEV(AF232:AF246)</f>
        <v>0.35186577527449842</v>
      </c>
      <c r="AO237" s="5" t="s">
        <v>150</v>
      </c>
      <c r="AP237">
        <v>0</v>
      </c>
      <c r="AQ237" s="30" t="s">
        <v>388</v>
      </c>
      <c r="AR237" s="17">
        <f>MIN(AP236:AP260)</f>
        <v>0</v>
      </c>
      <c r="AT237" s="5" t="s">
        <v>188</v>
      </c>
      <c r="AU237">
        <v>0</v>
      </c>
      <c r="AV237" s="17"/>
      <c r="AW237" s="17"/>
      <c r="AY237" s="5" t="s">
        <v>220</v>
      </c>
      <c r="AZ237">
        <v>0</v>
      </c>
      <c r="BD237" s="5" t="s">
        <v>222</v>
      </c>
      <c r="BE237">
        <v>0</v>
      </c>
      <c r="BF237" s="30" t="s">
        <v>388</v>
      </c>
      <c r="BG237" s="17">
        <f>MIN(BE236:BE260)</f>
        <v>0</v>
      </c>
      <c r="BI237" s="5" t="s">
        <v>273</v>
      </c>
      <c r="BJ237">
        <v>0</v>
      </c>
      <c r="BN237" s="5" t="s">
        <v>287</v>
      </c>
      <c r="BO237">
        <v>0</v>
      </c>
      <c r="BP237" s="17"/>
      <c r="BQ237" s="17"/>
      <c r="BX237" s="61" t="s">
        <v>275</v>
      </c>
      <c r="BY237" s="62">
        <v>0</v>
      </c>
      <c r="BZ237" s="63" t="s">
        <v>388</v>
      </c>
      <c r="CA237" s="58">
        <f>MIN(BY236:BY260)</f>
        <v>0</v>
      </c>
      <c r="CC237" s="5" t="s">
        <v>315</v>
      </c>
      <c r="CD237">
        <v>5</v>
      </c>
      <c r="CO237" s="17"/>
      <c r="CP237" s="17"/>
      <c r="CR237" s="5" t="s">
        <v>343</v>
      </c>
      <c r="CS237">
        <v>3</v>
      </c>
      <c r="CW237" s="61" t="s">
        <v>334</v>
      </c>
      <c r="CX237" s="62">
        <v>0</v>
      </c>
    </row>
    <row r="238" spans="1:104" x14ac:dyDescent="0.25">
      <c r="A238" s="5" t="s">
        <v>60</v>
      </c>
      <c r="B238" s="27">
        <v>2</v>
      </c>
      <c r="C238" s="17"/>
      <c r="D238" s="17"/>
      <c r="K238" s="5" t="s">
        <v>86</v>
      </c>
      <c r="L238">
        <v>1</v>
      </c>
      <c r="M238" s="17"/>
      <c r="N238" s="17"/>
      <c r="U238" s="5" t="s">
        <v>108</v>
      </c>
      <c r="V238">
        <v>0</v>
      </c>
      <c r="W238" s="17"/>
      <c r="X238" s="17"/>
      <c r="Z238" s="61" t="s">
        <v>104</v>
      </c>
      <c r="AA238" s="62">
        <v>0</v>
      </c>
      <c r="AE238" s="5" t="s">
        <v>135</v>
      </c>
      <c r="AF238">
        <v>0</v>
      </c>
      <c r="AG238" s="17"/>
      <c r="AH238" s="17"/>
      <c r="AO238" s="5" t="s">
        <v>151</v>
      </c>
      <c r="AP238">
        <v>0</v>
      </c>
      <c r="AQ238" s="30" t="s">
        <v>389</v>
      </c>
      <c r="AR238" s="17">
        <f>MAX(AP236:AP260)</f>
        <v>1</v>
      </c>
      <c r="AT238" s="5" t="s">
        <v>395</v>
      </c>
      <c r="AU238">
        <v>0</v>
      </c>
      <c r="AV238" s="17"/>
      <c r="AW238" s="17"/>
      <c r="BD238" s="5" t="s">
        <v>223</v>
      </c>
      <c r="BE238">
        <v>0</v>
      </c>
      <c r="BF238" s="30" t="s">
        <v>389</v>
      </c>
      <c r="BG238" s="17">
        <f>MAX(BE236:BE260)</f>
        <v>1</v>
      </c>
      <c r="BN238" s="5" t="s">
        <v>288</v>
      </c>
      <c r="BO238">
        <v>0</v>
      </c>
      <c r="BP238" s="17"/>
      <c r="BQ238" s="17"/>
      <c r="BX238" s="61" t="s">
        <v>276</v>
      </c>
      <c r="BY238" s="62">
        <v>0</v>
      </c>
      <c r="BZ238" s="63" t="s">
        <v>389</v>
      </c>
      <c r="CA238" s="58">
        <f>MAX(BY236:BY260)</f>
        <v>1</v>
      </c>
      <c r="CC238" s="5" t="s">
        <v>316</v>
      </c>
      <c r="CD238">
        <v>9</v>
      </c>
      <c r="CO238" s="17"/>
      <c r="CP238" s="17"/>
      <c r="CR238" s="5" t="s">
        <v>344</v>
      </c>
      <c r="CS238">
        <v>3</v>
      </c>
      <c r="CW238" s="61" t="s">
        <v>335</v>
      </c>
      <c r="CX238" s="62">
        <v>0</v>
      </c>
    </row>
    <row r="239" spans="1:104" x14ac:dyDescent="0.25">
      <c r="A239" s="5" t="s">
        <v>61</v>
      </c>
      <c r="B239" s="27">
        <v>2</v>
      </c>
      <c r="C239" s="17"/>
      <c r="D239" s="17"/>
      <c r="K239" s="5" t="s">
        <v>87</v>
      </c>
      <c r="L239">
        <v>0</v>
      </c>
      <c r="M239" s="17"/>
      <c r="N239" s="17"/>
      <c r="U239" s="5" t="s">
        <v>109</v>
      </c>
      <c r="V239">
        <v>1</v>
      </c>
      <c r="W239" s="17"/>
      <c r="X239" s="17"/>
      <c r="Z239" s="61" t="s">
        <v>105</v>
      </c>
      <c r="AA239" s="62">
        <v>0</v>
      </c>
      <c r="AE239" s="5" t="s">
        <v>136</v>
      </c>
      <c r="AF239">
        <v>0</v>
      </c>
      <c r="AG239" s="17"/>
      <c r="AH239" s="17"/>
      <c r="AO239" s="5" t="s">
        <v>152</v>
      </c>
      <c r="AP239">
        <v>1</v>
      </c>
      <c r="AQ239" s="30" t="s">
        <v>390</v>
      </c>
      <c r="AR239" s="17">
        <f>VAR(AP236:AP260)</f>
        <v>0.16666666666666666</v>
      </c>
      <c r="AT239" s="5" t="s">
        <v>189</v>
      </c>
      <c r="AU239">
        <v>0</v>
      </c>
      <c r="AV239" s="17"/>
      <c r="AW239" s="17"/>
      <c r="AY239" s="17" t="s">
        <v>382</v>
      </c>
      <c r="AZ239" s="29" t="s">
        <v>370</v>
      </c>
      <c r="BA239" s="17"/>
      <c r="BB239" s="17">
        <v>2016</v>
      </c>
      <c r="BD239" s="5" t="s">
        <v>224</v>
      </c>
      <c r="BE239">
        <v>0</v>
      </c>
      <c r="BF239" s="30" t="s">
        <v>390</v>
      </c>
      <c r="BG239" s="17">
        <f>VAR(BE236:BE260)</f>
        <v>7.6666666666666675E-2</v>
      </c>
      <c r="BI239" s="17" t="s">
        <v>382</v>
      </c>
      <c r="BJ239" s="29" t="s">
        <v>372</v>
      </c>
      <c r="BK239" s="17"/>
      <c r="BL239" s="17">
        <v>2016</v>
      </c>
      <c r="BN239" s="5" t="s">
        <v>289</v>
      </c>
      <c r="BO239">
        <v>0</v>
      </c>
      <c r="BP239" s="17"/>
      <c r="BQ239" s="17"/>
      <c r="BX239" s="61" t="s">
        <v>277</v>
      </c>
      <c r="BY239" s="62">
        <v>0</v>
      </c>
      <c r="BZ239" s="63" t="s">
        <v>390</v>
      </c>
      <c r="CA239" s="58">
        <f>VAR(BY236:BY260)</f>
        <v>0.04</v>
      </c>
      <c r="CC239" s="5" t="s">
        <v>317</v>
      </c>
      <c r="CD239">
        <v>6</v>
      </c>
      <c r="CO239" s="17"/>
      <c r="CP239" s="17"/>
      <c r="CR239" s="5" t="s">
        <v>345</v>
      </c>
      <c r="CS239">
        <v>0</v>
      </c>
      <c r="CW239" s="61" t="s">
        <v>43</v>
      </c>
      <c r="CX239" s="62">
        <v>0</v>
      </c>
    </row>
    <row r="240" spans="1:104" x14ac:dyDescent="0.25">
      <c r="A240" s="5" t="s">
        <v>62</v>
      </c>
      <c r="B240" s="27">
        <v>2</v>
      </c>
      <c r="C240" s="17"/>
      <c r="D240" s="1"/>
      <c r="U240" s="5" t="s">
        <v>110</v>
      </c>
      <c r="V240">
        <v>0</v>
      </c>
      <c r="W240" s="17"/>
      <c r="X240" s="17"/>
      <c r="Z240" s="61" t="s">
        <v>106</v>
      </c>
      <c r="AA240" s="62">
        <v>0</v>
      </c>
      <c r="AE240" s="5" t="s">
        <v>44</v>
      </c>
      <c r="AF240">
        <v>0</v>
      </c>
      <c r="AG240" s="17"/>
      <c r="AH240" s="17"/>
      <c r="AO240" s="5" t="s">
        <v>153</v>
      </c>
      <c r="AP240">
        <v>0</v>
      </c>
      <c r="AQ240" s="30" t="s">
        <v>391</v>
      </c>
      <c r="AR240" s="17">
        <f>AVERAGE(AP236:AP260)</f>
        <v>0.2</v>
      </c>
      <c r="AT240" s="5" t="s">
        <v>190</v>
      </c>
      <c r="AU240">
        <v>0</v>
      </c>
      <c r="AV240" s="17"/>
      <c r="AW240" s="17"/>
      <c r="AY240" s="17" t="s">
        <v>383</v>
      </c>
      <c r="AZ240" s="6" t="s">
        <v>19</v>
      </c>
      <c r="BA240" s="17"/>
      <c r="BB240" s="17"/>
      <c r="BD240" s="5" t="s">
        <v>225</v>
      </c>
      <c r="BE240">
        <v>0</v>
      </c>
      <c r="BF240" s="30" t="s">
        <v>391</v>
      </c>
      <c r="BG240" s="17">
        <f>AVERAGE(BE236:BE260)</f>
        <v>0.08</v>
      </c>
      <c r="BI240" s="17" t="s">
        <v>383</v>
      </c>
      <c r="BJ240" s="6" t="s">
        <v>19</v>
      </c>
      <c r="BK240" s="17"/>
      <c r="BL240" s="17"/>
      <c r="BX240" s="61" t="s">
        <v>279</v>
      </c>
      <c r="BY240" s="62">
        <v>0</v>
      </c>
      <c r="BZ240" s="63" t="s">
        <v>391</v>
      </c>
      <c r="CA240" s="58">
        <f>AVERAGE(BY236:BY260)</f>
        <v>0.04</v>
      </c>
      <c r="CC240" s="5" t="s">
        <v>318</v>
      </c>
      <c r="CD240">
        <v>10</v>
      </c>
      <c r="CO240" s="17"/>
      <c r="CP240" s="17"/>
      <c r="CR240" s="5" t="s">
        <v>346</v>
      </c>
      <c r="CS240">
        <v>8</v>
      </c>
      <c r="CW240" s="61" t="s">
        <v>336</v>
      </c>
      <c r="CX240" s="62">
        <v>0</v>
      </c>
    </row>
    <row r="241" spans="1:102" x14ac:dyDescent="0.25">
      <c r="A241" s="5" t="s">
        <v>63</v>
      </c>
      <c r="B241" s="27">
        <v>1</v>
      </c>
      <c r="C241" s="17"/>
      <c r="D241" s="1"/>
      <c r="K241" s="17" t="s">
        <v>382</v>
      </c>
      <c r="L241" s="29" t="s">
        <v>363</v>
      </c>
      <c r="M241" s="17"/>
      <c r="N241" s="17">
        <v>2016</v>
      </c>
      <c r="U241" s="5" t="s">
        <v>111</v>
      </c>
      <c r="V241">
        <v>0</v>
      </c>
      <c r="W241" s="17"/>
      <c r="X241" s="17"/>
      <c r="Z241" s="61" t="s">
        <v>61</v>
      </c>
      <c r="AA241" s="62">
        <v>0</v>
      </c>
      <c r="AE241" s="5" t="s">
        <v>137</v>
      </c>
      <c r="AF241">
        <v>0</v>
      </c>
      <c r="AG241" s="17"/>
      <c r="AH241" s="17"/>
      <c r="AO241" s="5" t="s">
        <v>154</v>
      </c>
      <c r="AP241">
        <v>0</v>
      </c>
      <c r="AQ241" s="30" t="s">
        <v>392</v>
      </c>
      <c r="AR241" s="17">
        <f>STDEV(AP236:AP260)</f>
        <v>0.40824829046386302</v>
      </c>
      <c r="AT241" s="5" t="s">
        <v>191</v>
      </c>
      <c r="AU241">
        <v>0</v>
      </c>
      <c r="AV241" s="15"/>
      <c r="AW241" s="15"/>
      <c r="AY241" s="17" t="s">
        <v>384</v>
      </c>
      <c r="AZ241" s="17" t="s">
        <v>39</v>
      </c>
      <c r="BA241" s="17" t="s">
        <v>385</v>
      </c>
      <c r="BB241" s="17" t="s">
        <v>386</v>
      </c>
      <c r="BD241" s="5" t="s">
        <v>226</v>
      </c>
      <c r="BE241">
        <v>0</v>
      </c>
      <c r="BF241" s="30" t="s">
        <v>392</v>
      </c>
      <c r="BG241" s="17">
        <f>STDEV(BE236:BE260)</f>
        <v>0.27688746209726917</v>
      </c>
      <c r="BI241" s="17" t="s">
        <v>384</v>
      </c>
      <c r="BJ241" s="17" t="s">
        <v>39</v>
      </c>
      <c r="BK241" s="17" t="s">
        <v>385</v>
      </c>
      <c r="BL241" s="17" t="s">
        <v>386</v>
      </c>
      <c r="BN241" s="17" t="s">
        <v>382</v>
      </c>
      <c r="BO241" s="29" t="s">
        <v>440</v>
      </c>
      <c r="BP241" s="17"/>
      <c r="BQ241" s="17">
        <v>2016</v>
      </c>
      <c r="BX241" s="61" t="s">
        <v>278</v>
      </c>
      <c r="BY241" s="62">
        <v>0</v>
      </c>
      <c r="BZ241" s="63" t="s">
        <v>392</v>
      </c>
      <c r="CA241" s="58">
        <f>STDEV(BY236:BY260)</f>
        <v>0.2</v>
      </c>
      <c r="CC241" s="5" t="s">
        <v>319</v>
      </c>
      <c r="CD241">
        <v>9</v>
      </c>
      <c r="CO241" s="17"/>
      <c r="CP241" s="17"/>
      <c r="CR241" s="5" t="s">
        <v>347</v>
      </c>
      <c r="CS241">
        <v>6</v>
      </c>
      <c r="CW241" s="61" t="s">
        <v>337</v>
      </c>
      <c r="CX241" s="62">
        <v>0</v>
      </c>
    </row>
    <row r="242" spans="1:102" x14ac:dyDescent="0.25">
      <c r="A242" s="5" t="s">
        <v>64</v>
      </c>
      <c r="B242" s="27">
        <v>2</v>
      </c>
      <c r="C242" s="17"/>
      <c r="D242" s="1"/>
      <c r="K242" s="17" t="s">
        <v>383</v>
      </c>
      <c r="L242" s="6" t="s">
        <v>27</v>
      </c>
      <c r="M242" s="17"/>
      <c r="N242" s="17"/>
      <c r="U242" s="5" t="s">
        <v>112</v>
      </c>
      <c r="V242">
        <v>0</v>
      </c>
      <c r="W242" s="17"/>
      <c r="X242" s="17"/>
      <c r="Z242" s="61" t="s">
        <v>107</v>
      </c>
      <c r="AA242" s="62">
        <v>0</v>
      </c>
      <c r="AE242" s="5" t="s">
        <v>138</v>
      </c>
      <c r="AF242">
        <v>0</v>
      </c>
      <c r="AG242" s="17"/>
      <c r="AH242" s="17"/>
      <c r="AO242" s="5" t="s">
        <v>155</v>
      </c>
      <c r="AP242">
        <v>0</v>
      </c>
      <c r="AQ242" s="17"/>
      <c r="AR242" s="17"/>
      <c r="AY242" s="5" t="s">
        <v>192</v>
      </c>
      <c r="AZ242">
        <v>3</v>
      </c>
      <c r="BA242" s="30" t="s">
        <v>387</v>
      </c>
      <c r="BB242" s="17">
        <f>SUM(AZ242:AZ271)</f>
        <v>74</v>
      </c>
      <c r="BD242" s="5" t="s">
        <v>227</v>
      </c>
      <c r="BE242">
        <v>0</v>
      </c>
      <c r="BF242" s="17"/>
      <c r="BG242" s="17"/>
      <c r="BI242" s="5" t="s">
        <v>245</v>
      </c>
      <c r="BJ242">
        <v>5</v>
      </c>
      <c r="BK242" s="30" t="s">
        <v>387</v>
      </c>
      <c r="BL242" s="17">
        <f>SUM(BJ242:BJ271)</f>
        <v>110</v>
      </c>
      <c r="BN242" s="17" t="s">
        <v>383</v>
      </c>
      <c r="BO242" s="6" t="s">
        <v>24</v>
      </c>
      <c r="BP242" s="17"/>
      <c r="BQ242" s="17"/>
      <c r="BX242" s="61" t="s">
        <v>280</v>
      </c>
      <c r="BY242" s="62">
        <v>1</v>
      </c>
      <c r="BZ242" s="58"/>
      <c r="CA242" s="58"/>
      <c r="CC242" s="5" t="s">
        <v>320</v>
      </c>
      <c r="CD242">
        <v>7</v>
      </c>
      <c r="CR242" s="5" t="s">
        <v>348</v>
      </c>
      <c r="CS242">
        <v>4</v>
      </c>
      <c r="CW242" s="61" t="s">
        <v>338</v>
      </c>
      <c r="CX242" s="62">
        <v>0</v>
      </c>
    </row>
    <row r="243" spans="1:102" x14ac:dyDescent="0.25">
      <c r="A243" s="5"/>
      <c r="K243" s="17" t="s">
        <v>384</v>
      </c>
      <c r="L243" s="17" t="s">
        <v>39</v>
      </c>
      <c r="M243" s="17" t="s">
        <v>385</v>
      </c>
      <c r="N243" s="17" t="s">
        <v>386</v>
      </c>
      <c r="U243" s="5" t="s">
        <v>113</v>
      </c>
      <c r="V243">
        <v>1</v>
      </c>
      <c r="W243" s="15"/>
      <c r="X243" s="15"/>
      <c r="Z243" s="61" t="s">
        <v>108</v>
      </c>
      <c r="AA243" s="62">
        <v>0</v>
      </c>
      <c r="AE243" s="5" t="s">
        <v>139</v>
      </c>
      <c r="AF243">
        <v>0</v>
      </c>
      <c r="AG243" s="17"/>
      <c r="AH243" s="17"/>
      <c r="AO243" s="5" t="s">
        <v>156</v>
      </c>
      <c r="AP243">
        <v>0</v>
      </c>
      <c r="AQ243" s="17"/>
      <c r="AR243" s="17"/>
      <c r="AT243" s="17" t="s">
        <v>382</v>
      </c>
      <c r="AU243" s="29" t="s">
        <v>369</v>
      </c>
      <c r="AV243" s="17"/>
      <c r="AW243" s="17">
        <v>2016</v>
      </c>
      <c r="AY243" s="5" t="s">
        <v>193</v>
      </c>
      <c r="AZ243">
        <v>0</v>
      </c>
      <c r="BA243" s="30" t="s">
        <v>388</v>
      </c>
      <c r="BB243" s="17">
        <f>MIN(AZ242:AZ271)</f>
        <v>0</v>
      </c>
      <c r="BD243" s="5" t="s">
        <v>228</v>
      </c>
      <c r="BE243">
        <v>0</v>
      </c>
      <c r="BF243" s="17"/>
      <c r="BG243" s="17"/>
      <c r="BI243" s="5" t="s">
        <v>73</v>
      </c>
      <c r="BJ243">
        <v>0</v>
      </c>
      <c r="BK243" s="30" t="s">
        <v>388</v>
      </c>
      <c r="BL243" s="17">
        <f>MIN(BJ242:BJ271)</f>
        <v>0</v>
      </c>
      <c r="BN243" s="17" t="s">
        <v>384</v>
      </c>
      <c r="BO243" s="17" t="s">
        <v>39</v>
      </c>
      <c r="BP243" s="17" t="s">
        <v>385</v>
      </c>
      <c r="BQ243" s="17" t="s">
        <v>386</v>
      </c>
      <c r="BX243" s="61" t="s">
        <v>281</v>
      </c>
      <c r="BY243" s="62">
        <v>0</v>
      </c>
      <c r="BZ243" s="58"/>
      <c r="CA243" s="58"/>
      <c r="CR243" s="5" t="s">
        <v>349</v>
      </c>
      <c r="CS243">
        <v>2</v>
      </c>
      <c r="CW243" s="61" t="s">
        <v>339</v>
      </c>
      <c r="CX243" s="62">
        <v>1</v>
      </c>
    </row>
    <row r="244" spans="1:102" x14ac:dyDescent="0.25">
      <c r="A244" s="17" t="s">
        <v>382</v>
      </c>
      <c r="B244" s="29" t="s">
        <v>361</v>
      </c>
      <c r="C244" s="17"/>
      <c r="D244" s="17">
        <v>2016</v>
      </c>
      <c r="K244" s="5" t="s">
        <v>72</v>
      </c>
      <c r="L244">
        <v>0</v>
      </c>
      <c r="M244" s="30" t="s">
        <v>387</v>
      </c>
      <c r="N244" s="17">
        <f>SUM(L244:L259)</f>
        <v>1</v>
      </c>
      <c r="U244" s="26" t="s">
        <v>114</v>
      </c>
      <c r="V244">
        <v>0</v>
      </c>
      <c r="W244" s="17"/>
      <c r="X244" s="17"/>
      <c r="Z244" s="61" t="s">
        <v>109</v>
      </c>
      <c r="AA244" s="62">
        <v>1</v>
      </c>
      <c r="AE244" s="5" t="s">
        <v>140</v>
      </c>
      <c r="AF244">
        <v>0</v>
      </c>
      <c r="AG244" s="17"/>
      <c r="AH244" s="17"/>
      <c r="AO244" s="5" t="s">
        <v>157</v>
      </c>
      <c r="AP244">
        <v>0</v>
      </c>
      <c r="AQ244" s="17"/>
      <c r="AR244" s="17"/>
      <c r="AT244" s="17" t="s">
        <v>383</v>
      </c>
      <c r="AU244" s="6" t="s">
        <v>25</v>
      </c>
      <c r="AV244" s="17"/>
      <c r="AW244" s="17"/>
      <c r="AY244" s="5" t="s">
        <v>194</v>
      </c>
      <c r="AZ244">
        <v>2</v>
      </c>
      <c r="BA244" s="30" t="s">
        <v>389</v>
      </c>
      <c r="BB244" s="17">
        <f>MAX(AZ242:AZ271)</f>
        <v>10</v>
      </c>
      <c r="BD244" s="5" t="s">
        <v>229</v>
      </c>
      <c r="BE244">
        <v>0</v>
      </c>
      <c r="BF244" s="17"/>
      <c r="BG244" s="17"/>
      <c r="BI244" s="5" t="s">
        <v>246</v>
      </c>
      <c r="BJ244">
        <v>2</v>
      </c>
      <c r="BK244" s="30" t="s">
        <v>389</v>
      </c>
      <c r="BL244" s="17">
        <f>MAX(BJ242:BJ271)</f>
        <v>10</v>
      </c>
      <c r="BN244" s="5" t="s">
        <v>274</v>
      </c>
      <c r="BO244">
        <v>0</v>
      </c>
      <c r="BP244" s="30" t="s">
        <v>387</v>
      </c>
      <c r="BQ244" s="17">
        <f>SUM(BO244:BO259)</f>
        <v>7</v>
      </c>
      <c r="BX244" s="61" t="s">
        <v>282</v>
      </c>
      <c r="BY244" s="62">
        <v>0</v>
      </c>
      <c r="BZ244" s="58"/>
      <c r="CA244" s="58"/>
      <c r="CC244" s="17" t="s">
        <v>382</v>
      </c>
      <c r="CD244" s="29" t="s">
        <v>375</v>
      </c>
      <c r="CE244" s="17"/>
      <c r="CF244" s="17">
        <v>2016</v>
      </c>
      <c r="CR244" s="5" t="s">
        <v>350</v>
      </c>
      <c r="CS244">
        <v>2</v>
      </c>
      <c r="CW244" s="61" t="s">
        <v>340</v>
      </c>
      <c r="CX244" s="62">
        <v>0</v>
      </c>
    </row>
    <row r="245" spans="1:102" x14ac:dyDescent="0.25">
      <c r="A245" s="17" t="s">
        <v>383</v>
      </c>
      <c r="B245" s="28" t="s">
        <v>22</v>
      </c>
      <c r="C245" s="17"/>
      <c r="D245" s="17"/>
      <c r="K245" s="5" t="s">
        <v>73</v>
      </c>
      <c r="L245">
        <v>0</v>
      </c>
      <c r="M245" s="30" t="s">
        <v>388</v>
      </c>
      <c r="N245" s="17">
        <f>MIN(L244:L259)</f>
        <v>0</v>
      </c>
      <c r="U245" s="26" t="s">
        <v>115</v>
      </c>
      <c r="V245">
        <v>0</v>
      </c>
      <c r="W245" s="17"/>
      <c r="X245" s="17"/>
      <c r="Z245" s="61" t="s">
        <v>110</v>
      </c>
      <c r="AA245" s="62">
        <v>0</v>
      </c>
      <c r="AE245" s="5" t="s">
        <v>141</v>
      </c>
      <c r="AF245">
        <v>0</v>
      </c>
      <c r="AG245" s="17"/>
      <c r="AH245" s="17"/>
      <c r="AO245" s="5" t="s">
        <v>158</v>
      </c>
      <c r="AP245">
        <v>0</v>
      </c>
      <c r="AQ245" s="17"/>
      <c r="AR245" s="17"/>
      <c r="AT245" s="17" t="s">
        <v>384</v>
      </c>
      <c r="AU245" s="17" t="s">
        <v>39</v>
      </c>
      <c r="AV245" s="17" t="s">
        <v>385</v>
      </c>
      <c r="AW245" s="17" t="s">
        <v>386</v>
      </c>
      <c r="AY245" s="5" t="s">
        <v>195</v>
      </c>
      <c r="AZ245">
        <v>7</v>
      </c>
      <c r="BA245" s="30" t="s">
        <v>390</v>
      </c>
      <c r="BB245" s="17">
        <f>VAR(AZ242:AZ271)</f>
        <v>6.87816091954023</v>
      </c>
      <c r="BD245" s="5" t="s">
        <v>230</v>
      </c>
      <c r="BE245">
        <v>0</v>
      </c>
      <c r="BF245" s="17"/>
      <c r="BG245" s="17"/>
      <c r="BI245" s="5" t="s">
        <v>247</v>
      </c>
      <c r="BJ245">
        <v>3</v>
      </c>
      <c r="BK245" s="30" t="s">
        <v>390</v>
      </c>
      <c r="BL245" s="17">
        <f>VAR(BJ242:BJ271)</f>
        <v>5.057471264367817</v>
      </c>
      <c r="BN245" s="5" t="s">
        <v>275</v>
      </c>
      <c r="BO245">
        <v>0</v>
      </c>
      <c r="BP245" s="30" t="s">
        <v>388</v>
      </c>
      <c r="BQ245" s="17">
        <f>MIN(BO244:BO259)</f>
        <v>0</v>
      </c>
      <c r="BX245" s="61" t="s">
        <v>283</v>
      </c>
      <c r="BY245" s="62">
        <v>0</v>
      </c>
      <c r="BZ245" s="58"/>
      <c r="CA245" s="58"/>
      <c r="CC245" s="17" t="s">
        <v>383</v>
      </c>
      <c r="CD245" s="6" t="s">
        <v>167</v>
      </c>
      <c r="CE245" s="17"/>
      <c r="CF245" s="17"/>
      <c r="CR245" s="5" t="s">
        <v>351</v>
      </c>
      <c r="CS245">
        <v>5</v>
      </c>
      <c r="CW245" s="61" t="s">
        <v>341</v>
      </c>
      <c r="CX245" s="62">
        <v>0</v>
      </c>
    </row>
    <row r="246" spans="1:102" x14ac:dyDescent="0.25">
      <c r="A246" s="17" t="s">
        <v>384</v>
      </c>
      <c r="B246" s="17" t="s">
        <v>39</v>
      </c>
      <c r="C246" s="17" t="s">
        <v>385</v>
      </c>
      <c r="D246" s="17" t="s">
        <v>386</v>
      </c>
      <c r="K246" s="5" t="s">
        <v>74</v>
      </c>
      <c r="L246">
        <v>0</v>
      </c>
      <c r="M246" s="30" t="s">
        <v>389</v>
      </c>
      <c r="N246" s="17">
        <f>MAX(L244:L259)</f>
        <v>1</v>
      </c>
      <c r="U246" s="26" t="s">
        <v>116</v>
      </c>
      <c r="V246">
        <v>0</v>
      </c>
      <c r="W246" s="17"/>
      <c r="X246" s="1"/>
      <c r="Z246" s="61" t="s">
        <v>111</v>
      </c>
      <c r="AA246" s="62">
        <v>0</v>
      </c>
      <c r="AE246" s="5" t="s">
        <v>142</v>
      </c>
      <c r="AF246">
        <v>1</v>
      </c>
      <c r="AG246" s="17"/>
      <c r="AH246" s="17"/>
      <c r="AO246" s="5" t="s">
        <v>159</v>
      </c>
      <c r="AP246">
        <v>1</v>
      </c>
      <c r="AQ246" s="17"/>
      <c r="AR246" s="17"/>
      <c r="AT246" s="5" t="s">
        <v>175</v>
      </c>
      <c r="AU246">
        <v>1</v>
      </c>
      <c r="AV246" s="30" t="s">
        <v>387</v>
      </c>
      <c r="AW246" s="17">
        <f>SUM(AU246:AU263)</f>
        <v>7</v>
      </c>
      <c r="AY246" s="5" t="s">
        <v>196</v>
      </c>
      <c r="AZ246">
        <v>6</v>
      </c>
      <c r="BA246" s="30" t="s">
        <v>391</v>
      </c>
      <c r="BB246" s="17">
        <f>AVERAGE(AZ242:AZ271)</f>
        <v>2.4666666666666668</v>
      </c>
      <c r="BD246" s="5" t="s">
        <v>231</v>
      </c>
      <c r="BE246">
        <v>0</v>
      </c>
      <c r="BF246" s="17"/>
      <c r="BG246" s="17"/>
      <c r="BI246" s="5" t="s">
        <v>248</v>
      </c>
      <c r="BJ246">
        <v>6</v>
      </c>
      <c r="BK246" s="30" t="s">
        <v>391</v>
      </c>
      <c r="BL246" s="17">
        <f>AVERAGE(BJ242:BJ271)</f>
        <v>3.6666666666666665</v>
      </c>
      <c r="BN246" s="5" t="s">
        <v>276</v>
      </c>
      <c r="BO246">
        <v>1</v>
      </c>
      <c r="BP246" s="30" t="s">
        <v>389</v>
      </c>
      <c r="BQ246" s="17">
        <f>MAX(BO244:BO259)</f>
        <v>2</v>
      </c>
      <c r="BX246" s="61" t="s">
        <v>285</v>
      </c>
      <c r="BY246" s="62">
        <v>0</v>
      </c>
      <c r="BZ246" s="58"/>
      <c r="CA246" s="58"/>
      <c r="CC246" s="17" t="s">
        <v>384</v>
      </c>
      <c r="CD246" s="17" t="s">
        <v>39</v>
      </c>
      <c r="CE246" s="17" t="s">
        <v>385</v>
      </c>
      <c r="CF246" s="17" t="s">
        <v>386</v>
      </c>
      <c r="CR246" s="5" t="s">
        <v>352</v>
      </c>
      <c r="CS246">
        <v>2</v>
      </c>
      <c r="CW246" s="61" t="s">
        <v>342</v>
      </c>
      <c r="CX246" s="62">
        <v>0</v>
      </c>
    </row>
    <row r="247" spans="1:102" x14ac:dyDescent="0.25">
      <c r="A247" s="5" t="s">
        <v>40</v>
      </c>
      <c r="B247" s="27">
        <v>0</v>
      </c>
      <c r="C247" s="30" t="s">
        <v>387</v>
      </c>
      <c r="D247" s="17">
        <f>SUM(B247:B269)</f>
        <v>7</v>
      </c>
      <c r="K247" s="5" t="s">
        <v>75</v>
      </c>
      <c r="L247">
        <v>0</v>
      </c>
      <c r="M247" s="30" t="s">
        <v>390</v>
      </c>
      <c r="N247" s="17">
        <f>VAR(L244:L259)</f>
        <v>6.25E-2</v>
      </c>
      <c r="U247" s="26" t="s">
        <v>117</v>
      </c>
      <c r="V247">
        <v>0</v>
      </c>
      <c r="W247" s="17"/>
      <c r="X247" s="1"/>
      <c r="Z247" s="61" t="s">
        <v>112</v>
      </c>
      <c r="AA247" s="62">
        <v>0</v>
      </c>
      <c r="AO247" s="5" t="s">
        <v>100</v>
      </c>
      <c r="AP247">
        <v>0</v>
      </c>
      <c r="AQ247" s="17"/>
      <c r="AR247" s="17"/>
      <c r="AT247" s="5" t="s">
        <v>176</v>
      </c>
      <c r="AU247">
        <v>0</v>
      </c>
      <c r="AV247" s="30" t="s">
        <v>388</v>
      </c>
      <c r="AW247" s="17">
        <f>MIN(AU246:AU263)</f>
        <v>0</v>
      </c>
      <c r="AY247" s="5" t="s">
        <v>197</v>
      </c>
      <c r="AZ247">
        <v>0</v>
      </c>
      <c r="BA247" s="30" t="s">
        <v>392</v>
      </c>
      <c r="BB247" s="17">
        <f>STDEV(AZ242:AZ271)</f>
        <v>2.6226248148639617</v>
      </c>
      <c r="BD247" s="5" t="s">
        <v>232</v>
      </c>
      <c r="BE247">
        <v>0</v>
      </c>
      <c r="BF247" s="17"/>
      <c r="BG247" s="17"/>
      <c r="BI247" s="5" t="s">
        <v>249</v>
      </c>
      <c r="BJ247">
        <v>5</v>
      </c>
      <c r="BK247" s="30" t="s">
        <v>392</v>
      </c>
      <c r="BL247" s="17">
        <f>STDEV(BJ242:BJ271)</f>
        <v>2.2488822255440182</v>
      </c>
      <c r="BN247" s="5" t="s">
        <v>277</v>
      </c>
      <c r="BO247">
        <v>0</v>
      </c>
      <c r="BP247" s="30" t="s">
        <v>390</v>
      </c>
      <c r="BQ247" s="17">
        <f>VAR(BO244:BO259)</f>
        <v>0.39583333333333331</v>
      </c>
      <c r="BX247" s="61" t="s">
        <v>284</v>
      </c>
      <c r="BY247" s="62">
        <v>0</v>
      </c>
      <c r="BZ247" s="58"/>
      <c r="CA247" s="58"/>
      <c r="CC247" s="5" t="s">
        <v>299</v>
      </c>
      <c r="CD247">
        <v>1</v>
      </c>
      <c r="CE247" s="30" t="s">
        <v>387</v>
      </c>
      <c r="CF247" s="17">
        <f>SUM(CD247:CD269)</f>
        <v>3</v>
      </c>
      <c r="CR247" s="5" t="s">
        <v>353</v>
      </c>
      <c r="CS247">
        <v>3</v>
      </c>
      <c r="CW247" s="61" t="s">
        <v>343</v>
      </c>
      <c r="CX247" s="62">
        <v>1</v>
      </c>
    </row>
    <row r="248" spans="1:102" x14ac:dyDescent="0.25">
      <c r="A248" s="5" t="s">
        <v>41</v>
      </c>
      <c r="B248" s="27">
        <v>0</v>
      </c>
      <c r="C248" s="30" t="s">
        <v>388</v>
      </c>
      <c r="D248" s="17">
        <f>MIN(B247:B269)</f>
        <v>0</v>
      </c>
      <c r="K248" s="5" t="s">
        <v>76</v>
      </c>
      <c r="L248">
        <v>0</v>
      </c>
      <c r="M248" s="30" t="s">
        <v>391</v>
      </c>
      <c r="N248" s="17">
        <f>AVERAGE(L244:L259)</f>
        <v>6.25E-2</v>
      </c>
      <c r="U248" s="26" t="s">
        <v>118</v>
      </c>
      <c r="V248">
        <v>0</v>
      </c>
      <c r="W248" s="17"/>
      <c r="X248" s="1"/>
      <c r="Z248" s="61" t="s">
        <v>113</v>
      </c>
      <c r="AA248" s="62">
        <v>1</v>
      </c>
      <c r="AE248" s="17" t="s">
        <v>382</v>
      </c>
      <c r="AF248" s="29" t="s">
        <v>366</v>
      </c>
      <c r="AG248" s="17"/>
      <c r="AH248" s="17">
        <v>2016</v>
      </c>
      <c r="AO248" s="5" t="s">
        <v>161</v>
      </c>
      <c r="AP248">
        <v>0</v>
      </c>
      <c r="AQ248" s="17"/>
      <c r="AR248" s="17"/>
      <c r="AT248" s="5" t="s">
        <v>177</v>
      </c>
      <c r="AU248">
        <v>0</v>
      </c>
      <c r="AV248" s="30" t="s">
        <v>389</v>
      </c>
      <c r="AW248" s="17">
        <f>MAX(AU246:AU263)</f>
        <v>2</v>
      </c>
      <c r="AY248" s="5" t="s">
        <v>198</v>
      </c>
      <c r="AZ248">
        <v>3</v>
      </c>
      <c r="BA248" s="17"/>
      <c r="BB248" s="17"/>
      <c r="BD248" s="5" t="s">
        <v>233</v>
      </c>
      <c r="BE248">
        <v>0</v>
      </c>
      <c r="BF248" s="17"/>
      <c r="BG248" s="17"/>
      <c r="BI248" s="5" t="s">
        <v>250</v>
      </c>
      <c r="BJ248">
        <v>7</v>
      </c>
      <c r="BK248" s="17"/>
      <c r="BL248" s="17"/>
      <c r="BN248" s="5" t="s">
        <v>279</v>
      </c>
      <c r="BO248">
        <v>0</v>
      </c>
      <c r="BP248" s="30" t="s">
        <v>391</v>
      </c>
      <c r="BQ248" s="17">
        <f>AVERAGE(BO244:BO259)</f>
        <v>0.4375</v>
      </c>
      <c r="BX248" s="61" t="s">
        <v>286</v>
      </c>
      <c r="BY248" s="62">
        <v>0</v>
      </c>
      <c r="BZ248" s="58"/>
      <c r="CA248" s="58"/>
      <c r="CC248" s="5" t="s">
        <v>300</v>
      </c>
      <c r="CD248">
        <v>0</v>
      </c>
      <c r="CE248" s="30" t="s">
        <v>388</v>
      </c>
      <c r="CF248" s="17">
        <f>MIN(CD247:CD269)</f>
        <v>0</v>
      </c>
      <c r="CR248" s="5" t="s">
        <v>354</v>
      </c>
      <c r="CS248">
        <v>4</v>
      </c>
      <c r="CW248" s="61" t="s">
        <v>344</v>
      </c>
      <c r="CX248" s="62">
        <v>0</v>
      </c>
    </row>
    <row r="249" spans="1:102" x14ac:dyDescent="0.25">
      <c r="A249" s="5" t="s">
        <v>42</v>
      </c>
      <c r="B249" s="27">
        <v>0</v>
      </c>
      <c r="C249" s="30" t="s">
        <v>389</v>
      </c>
      <c r="D249" s="17">
        <f>MAX(B247:B269)</f>
        <v>2</v>
      </c>
      <c r="K249" s="5" t="s">
        <v>77</v>
      </c>
      <c r="L249">
        <v>0</v>
      </c>
      <c r="M249" s="30" t="s">
        <v>392</v>
      </c>
      <c r="N249" s="17">
        <f>STDEV(L244:L259)</f>
        <v>0.25</v>
      </c>
      <c r="U249" s="26" t="s">
        <v>119</v>
      </c>
      <c r="V249">
        <v>0</v>
      </c>
      <c r="Z249" s="64" t="s">
        <v>114</v>
      </c>
      <c r="AA249" s="62">
        <v>0</v>
      </c>
      <c r="AE249" s="17" t="s">
        <v>383</v>
      </c>
      <c r="AF249" s="6" t="s">
        <v>26</v>
      </c>
      <c r="AG249" s="17"/>
      <c r="AH249" s="17"/>
      <c r="AO249" s="5" t="s">
        <v>162</v>
      </c>
      <c r="AP249">
        <v>0</v>
      </c>
      <c r="AQ249" s="17"/>
      <c r="AR249" s="17"/>
      <c r="AT249" s="5" t="s">
        <v>178</v>
      </c>
      <c r="AU249">
        <v>0</v>
      </c>
      <c r="AV249" s="30" t="s">
        <v>390</v>
      </c>
      <c r="AW249" s="17">
        <f>VAR(AU246:AU263)</f>
        <v>0.48692810457516345</v>
      </c>
      <c r="AY249" s="5" t="s">
        <v>161</v>
      </c>
      <c r="AZ249">
        <v>1</v>
      </c>
      <c r="BA249" s="17"/>
      <c r="BB249" s="17"/>
      <c r="BD249" s="5" t="s">
        <v>234</v>
      </c>
      <c r="BE249">
        <v>0</v>
      </c>
      <c r="BF249" s="17"/>
      <c r="BG249" s="17"/>
      <c r="BI249" s="5" t="s">
        <v>251</v>
      </c>
      <c r="BJ249">
        <v>4</v>
      </c>
      <c r="BK249" s="17"/>
      <c r="BL249" s="17"/>
      <c r="BN249" s="5" t="s">
        <v>278</v>
      </c>
      <c r="BO249">
        <v>0</v>
      </c>
      <c r="BP249" s="30" t="s">
        <v>392</v>
      </c>
      <c r="BQ249" s="17">
        <f>STDEV(BO244:BO259)</f>
        <v>0.62915286960589578</v>
      </c>
      <c r="BX249" s="61" t="s">
        <v>287</v>
      </c>
      <c r="BY249" s="62">
        <v>0</v>
      </c>
      <c r="BZ249" s="58"/>
      <c r="CA249" s="58"/>
      <c r="CC249" s="5" t="s">
        <v>301</v>
      </c>
      <c r="CD249">
        <v>0</v>
      </c>
      <c r="CE249" s="30" t="s">
        <v>389</v>
      </c>
      <c r="CF249" s="17">
        <f>MAX(CD247:CD269)</f>
        <v>1</v>
      </c>
      <c r="CR249" s="5" t="s">
        <v>355</v>
      </c>
      <c r="CS249">
        <v>2</v>
      </c>
      <c r="CW249" s="61" t="s">
        <v>345</v>
      </c>
      <c r="CX249" s="62">
        <v>0</v>
      </c>
    </row>
    <row r="250" spans="1:102" x14ac:dyDescent="0.25">
      <c r="A250" s="5" t="s">
        <v>43</v>
      </c>
      <c r="B250" s="27">
        <v>0</v>
      </c>
      <c r="C250" s="30" t="s">
        <v>390</v>
      </c>
      <c r="D250" s="17">
        <f>VAR(B247:B269)</f>
        <v>0.40316205533596838</v>
      </c>
      <c r="K250" s="5" t="s">
        <v>78</v>
      </c>
      <c r="L250">
        <v>0</v>
      </c>
      <c r="M250" s="17"/>
      <c r="N250" s="17"/>
      <c r="U250" s="5" t="s">
        <v>120</v>
      </c>
      <c r="V250">
        <v>0</v>
      </c>
      <c r="Z250" s="64" t="s">
        <v>115</v>
      </c>
      <c r="AA250" s="62">
        <v>0</v>
      </c>
      <c r="AE250" s="17" t="s">
        <v>384</v>
      </c>
      <c r="AF250" s="17" t="s">
        <v>39</v>
      </c>
      <c r="AG250" s="17" t="s">
        <v>385</v>
      </c>
      <c r="AH250" s="17" t="s">
        <v>386</v>
      </c>
      <c r="AO250" s="5" t="s">
        <v>163</v>
      </c>
      <c r="AP250">
        <v>0</v>
      </c>
      <c r="AQ250" s="17"/>
      <c r="AR250" s="17"/>
      <c r="AT250" s="5" t="s">
        <v>179</v>
      </c>
      <c r="AU250">
        <v>0</v>
      </c>
      <c r="AV250" s="30" t="s">
        <v>391</v>
      </c>
      <c r="AW250" s="17">
        <f>AVERAGE(AU246:AU263)</f>
        <v>0.3888888888888889</v>
      </c>
      <c r="AY250" s="5" t="s">
        <v>199</v>
      </c>
      <c r="AZ250">
        <v>1</v>
      </c>
      <c r="BA250" s="17"/>
      <c r="BB250" s="17"/>
      <c r="BD250" s="5" t="s">
        <v>157</v>
      </c>
      <c r="BE250">
        <v>0</v>
      </c>
      <c r="BF250" s="17"/>
      <c r="BG250" s="17"/>
      <c r="BI250" s="5" t="s">
        <v>252</v>
      </c>
      <c r="BJ250">
        <v>3</v>
      </c>
      <c r="BK250" s="17"/>
      <c r="BL250" s="17"/>
      <c r="BN250" s="5" t="s">
        <v>280</v>
      </c>
      <c r="BO250">
        <v>0</v>
      </c>
      <c r="BP250" s="17"/>
      <c r="BQ250" s="17"/>
      <c r="BX250" s="61" t="s">
        <v>288</v>
      </c>
      <c r="BY250" s="62">
        <v>0</v>
      </c>
      <c r="BZ250" s="58"/>
      <c r="CA250" s="58"/>
      <c r="CC250" s="5" t="s">
        <v>302</v>
      </c>
      <c r="CD250">
        <v>0</v>
      </c>
      <c r="CE250" s="30" t="s">
        <v>390</v>
      </c>
      <c r="CF250" s="17">
        <f>VAR(CD247:CD269)</f>
        <v>0.11857707509881422</v>
      </c>
      <c r="CR250" s="2" t="s">
        <v>356</v>
      </c>
      <c r="CS250">
        <v>8</v>
      </c>
      <c r="CW250" s="61" t="s">
        <v>346</v>
      </c>
      <c r="CX250" s="62">
        <v>0</v>
      </c>
    </row>
    <row r="251" spans="1:102" x14ac:dyDescent="0.25">
      <c r="A251" s="5" t="s">
        <v>44</v>
      </c>
      <c r="B251" s="27">
        <v>0</v>
      </c>
      <c r="C251" s="30" t="s">
        <v>391</v>
      </c>
      <c r="D251" s="17">
        <f>AVERAGE(B247:B269)</f>
        <v>0.30434782608695654</v>
      </c>
      <c r="K251" s="5" t="s">
        <v>79</v>
      </c>
      <c r="L251">
        <v>0</v>
      </c>
      <c r="M251" s="17"/>
      <c r="N251" s="17"/>
      <c r="U251" s="5" t="s">
        <v>121</v>
      </c>
      <c r="V251">
        <v>2</v>
      </c>
      <c r="Z251" s="64" t="s">
        <v>116</v>
      </c>
      <c r="AA251" s="62">
        <v>0</v>
      </c>
      <c r="AE251" s="5" t="s">
        <v>129</v>
      </c>
      <c r="AF251">
        <v>0</v>
      </c>
      <c r="AG251" s="30" t="s">
        <v>387</v>
      </c>
      <c r="AH251" s="17">
        <f>SUM(AF251:AF265)</f>
        <v>1</v>
      </c>
      <c r="AO251" s="5" t="s">
        <v>164</v>
      </c>
      <c r="AP251">
        <v>1</v>
      </c>
      <c r="AQ251" s="17"/>
      <c r="AR251" s="17"/>
      <c r="AT251" s="5" t="s">
        <v>180</v>
      </c>
      <c r="AU251">
        <v>0</v>
      </c>
      <c r="AV251" s="30" t="s">
        <v>392</v>
      </c>
      <c r="AW251" s="17">
        <f>STDEV(AU246:AU263)</f>
        <v>0.69780233918722534</v>
      </c>
      <c r="AY251" s="5" t="s">
        <v>200</v>
      </c>
      <c r="AZ251">
        <v>0</v>
      </c>
      <c r="BA251" s="17"/>
      <c r="BB251" s="17"/>
      <c r="BD251" s="5" t="s">
        <v>235</v>
      </c>
      <c r="BE251">
        <v>0</v>
      </c>
      <c r="BF251" s="17"/>
      <c r="BG251" s="17"/>
      <c r="BI251" s="5" t="s">
        <v>253</v>
      </c>
      <c r="BJ251">
        <v>6</v>
      </c>
      <c r="BK251" s="17"/>
      <c r="BL251" s="17"/>
      <c r="BN251" s="5" t="s">
        <v>281</v>
      </c>
      <c r="BO251">
        <v>0</v>
      </c>
      <c r="BP251" s="17"/>
      <c r="BQ251" s="17"/>
      <c r="BX251" s="61" t="s">
        <v>289</v>
      </c>
      <c r="BY251" s="62">
        <v>0</v>
      </c>
      <c r="BZ251" s="58"/>
      <c r="CA251" s="58"/>
      <c r="CC251" s="5" t="s">
        <v>303</v>
      </c>
      <c r="CD251">
        <v>0</v>
      </c>
      <c r="CE251" s="30" t="s">
        <v>391</v>
      </c>
      <c r="CF251" s="17">
        <f>AVERAGE(CD247:CD269)</f>
        <v>0.13043478260869565</v>
      </c>
      <c r="CR251" s="2" t="s">
        <v>357</v>
      </c>
      <c r="CS251">
        <v>4</v>
      </c>
      <c r="CW251" s="61" t="s">
        <v>347</v>
      </c>
      <c r="CX251" s="62">
        <v>0</v>
      </c>
    </row>
    <row r="252" spans="1:102" x14ac:dyDescent="0.25">
      <c r="A252" s="5" t="s">
        <v>45</v>
      </c>
      <c r="B252" s="27">
        <v>0</v>
      </c>
      <c r="C252" s="30" t="s">
        <v>392</v>
      </c>
      <c r="D252" s="17">
        <f>STDEV(B247:B269)</f>
        <v>0.63495043533804152</v>
      </c>
      <c r="K252" s="5" t="s">
        <v>80</v>
      </c>
      <c r="L252">
        <v>0</v>
      </c>
      <c r="M252" s="17"/>
      <c r="N252" s="17"/>
      <c r="U252" s="5" t="s">
        <v>122</v>
      </c>
      <c r="V252">
        <v>0</v>
      </c>
      <c r="Z252" s="64" t="s">
        <v>117</v>
      </c>
      <c r="AA252" s="62">
        <v>0</v>
      </c>
      <c r="AE252" s="5" t="s">
        <v>130</v>
      </c>
      <c r="AF252">
        <v>0</v>
      </c>
      <c r="AG252" s="30" t="s">
        <v>388</v>
      </c>
      <c r="AH252" s="17">
        <f>MIN(AF251:AF265)</f>
        <v>0</v>
      </c>
      <c r="AO252" s="5" t="s">
        <v>165</v>
      </c>
      <c r="AP252">
        <v>0</v>
      </c>
      <c r="AQ252" s="17"/>
      <c r="AR252" s="17"/>
      <c r="AT252" s="5" t="s">
        <v>181</v>
      </c>
      <c r="AU252">
        <v>1</v>
      </c>
      <c r="AV252" s="17"/>
      <c r="AW252" s="17"/>
      <c r="AY252" s="5" t="s">
        <v>201</v>
      </c>
      <c r="AZ252">
        <v>1</v>
      </c>
      <c r="BA252" s="17"/>
      <c r="BB252" s="17"/>
      <c r="BD252" s="5" t="s">
        <v>236</v>
      </c>
      <c r="BE252">
        <v>0</v>
      </c>
      <c r="BF252" s="17"/>
      <c r="BG252" s="17"/>
      <c r="BI252" s="5" t="s">
        <v>254</v>
      </c>
      <c r="BJ252">
        <v>2</v>
      </c>
      <c r="BK252" s="17"/>
      <c r="BL252" s="17"/>
      <c r="BN252" s="5" t="s">
        <v>282</v>
      </c>
      <c r="BO252">
        <v>1</v>
      </c>
      <c r="BP252" s="17"/>
      <c r="BQ252" s="17"/>
      <c r="BX252" s="61" t="s">
        <v>290</v>
      </c>
      <c r="BY252" s="62">
        <v>0</v>
      </c>
      <c r="CC252" s="5" t="s">
        <v>304</v>
      </c>
      <c r="CD252">
        <v>0</v>
      </c>
      <c r="CE252" s="30" t="s">
        <v>392</v>
      </c>
      <c r="CF252" s="17">
        <f>STDEV(CD247:CD269)</f>
        <v>0.34435022157509093</v>
      </c>
      <c r="CR252" s="2" t="s">
        <v>358</v>
      </c>
      <c r="CS252">
        <v>3</v>
      </c>
      <c r="CW252" s="61" t="s">
        <v>348</v>
      </c>
      <c r="CX252" s="62">
        <v>0</v>
      </c>
    </row>
    <row r="253" spans="1:102" x14ac:dyDescent="0.25">
      <c r="A253" s="5" t="s">
        <v>47</v>
      </c>
      <c r="B253" s="27">
        <v>0</v>
      </c>
      <c r="C253" s="17"/>
      <c r="D253" s="17"/>
      <c r="K253" s="5" t="s">
        <v>81</v>
      </c>
      <c r="L253">
        <v>0</v>
      </c>
      <c r="M253" s="17"/>
      <c r="N253" s="17"/>
      <c r="U253" s="5" t="s">
        <v>123</v>
      </c>
      <c r="V253">
        <v>0</v>
      </c>
      <c r="Z253" s="64" t="s">
        <v>118</v>
      </c>
      <c r="AA253" s="62">
        <v>0</v>
      </c>
      <c r="AE253" s="5" t="s">
        <v>131</v>
      </c>
      <c r="AF253">
        <v>0</v>
      </c>
      <c r="AG253" s="30" t="s">
        <v>389</v>
      </c>
      <c r="AH253" s="17">
        <f>MAX(AF251:AF265)</f>
        <v>1</v>
      </c>
      <c r="AO253" s="5" t="s">
        <v>166</v>
      </c>
      <c r="AP253">
        <v>0</v>
      </c>
      <c r="AQ253" s="15"/>
      <c r="AR253" s="15"/>
      <c r="AT253" s="5" t="s">
        <v>182</v>
      </c>
      <c r="AU253">
        <v>0</v>
      </c>
      <c r="AV253" s="17"/>
      <c r="AW253" s="17"/>
      <c r="AY253" s="5" t="s">
        <v>202</v>
      </c>
      <c r="AZ253">
        <v>3</v>
      </c>
      <c r="BA253" s="17"/>
      <c r="BB253" s="17"/>
      <c r="BD253" s="5" t="s">
        <v>237</v>
      </c>
      <c r="BE253">
        <v>1</v>
      </c>
      <c r="BF253" s="15"/>
      <c r="BG253" s="15"/>
      <c r="BI253" s="5" t="s">
        <v>255</v>
      </c>
      <c r="BJ253">
        <v>5</v>
      </c>
      <c r="BK253" s="17"/>
      <c r="BL253" s="17"/>
      <c r="BN253" s="5" t="s">
        <v>283</v>
      </c>
      <c r="BO253">
        <v>0</v>
      </c>
      <c r="BP253" s="17"/>
      <c r="BQ253" s="17"/>
      <c r="BX253" s="61" t="s">
        <v>291</v>
      </c>
      <c r="BY253" s="62">
        <v>0</v>
      </c>
      <c r="CC253" s="5" t="s">
        <v>305</v>
      </c>
      <c r="CD253">
        <v>0</v>
      </c>
      <c r="CE253" s="17"/>
      <c r="CF253" s="17"/>
      <c r="CR253" s="3" t="s">
        <v>359</v>
      </c>
      <c r="CS253">
        <v>2</v>
      </c>
      <c r="CW253" s="61" t="s">
        <v>349</v>
      </c>
      <c r="CX253" s="62">
        <v>0</v>
      </c>
    </row>
    <row r="254" spans="1:102" x14ac:dyDescent="0.25">
      <c r="A254" s="5" t="s">
        <v>48</v>
      </c>
      <c r="B254" s="27">
        <v>0</v>
      </c>
      <c r="C254" s="17"/>
      <c r="D254" s="17"/>
      <c r="K254" s="5" t="s">
        <v>82</v>
      </c>
      <c r="L254">
        <v>0</v>
      </c>
      <c r="M254" s="17"/>
      <c r="N254" s="17"/>
      <c r="U254" s="5" t="s">
        <v>124</v>
      </c>
      <c r="V254">
        <v>0</v>
      </c>
      <c r="Z254" s="64" t="s">
        <v>119</v>
      </c>
      <c r="AA254" s="62">
        <v>0</v>
      </c>
      <c r="AE254" s="5" t="s">
        <v>132</v>
      </c>
      <c r="AF254">
        <v>0</v>
      </c>
      <c r="AG254" s="30" t="s">
        <v>390</v>
      </c>
      <c r="AH254" s="17">
        <f>VAR(AF251:AF265)</f>
        <v>6.6666666666666666E-2</v>
      </c>
      <c r="AO254" s="5" t="s">
        <v>168</v>
      </c>
      <c r="AP254">
        <v>0</v>
      </c>
      <c r="AQ254" s="17"/>
      <c r="AR254" s="17"/>
      <c r="AT254" s="5" t="s">
        <v>183</v>
      </c>
      <c r="AU254">
        <v>1</v>
      </c>
      <c r="AV254" s="17"/>
      <c r="AW254" s="17"/>
      <c r="AY254" s="5" t="s">
        <v>203</v>
      </c>
      <c r="AZ254">
        <v>1</v>
      </c>
      <c r="BA254" s="17"/>
      <c r="BB254" s="17"/>
      <c r="BD254" s="5" t="s">
        <v>238</v>
      </c>
      <c r="BE254">
        <v>1</v>
      </c>
      <c r="BI254" s="5" t="s">
        <v>256</v>
      </c>
      <c r="BJ254">
        <v>3</v>
      </c>
      <c r="BK254" s="17"/>
      <c r="BL254" s="17"/>
      <c r="BN254" s="5" t="s">
        <v>285</v>
      </c>
      <c r="BO254">
        <v>1</v>
      </c>
      <c r="BP254" s="17"/>
      <c r="BQ254" s="17"/>
      <c r="BX254" s="61" t="s">
        <v>292</v>
      </c>
      <c r="BY254" s="62">
        <v>0</v>
      </c>
      <c r="CC254" s="5" t="s">
        <v>306</v>
      </c>
      <c r="CD254">
        <v>0</v>
      </c>
      <c r="CE254" s="17"/>
      <c r="CF254" s="17"/>
      <c r="CW254" s="61" t="s">
        <v>350</v>
      </c>
      <c r="CX254" s="62">
        <v>0</v>
      </c>
    </row>
    <row r="255" spans="1:102" x14ac:dyDescent="0.25">
      <c r="A255" s="5" t="s">
        <v>49</v>
      </c>
      <c r="B255" s="27">
        <v>0</v>
      </c>
      <c r="C255" s="17"/>
      <c r="D255" s="17"/>
      <c r="K255" s="5" t="s">
        <v>83</v>
      </c>
      <c r="L255">
        <v>0</v>
      </c>
      <c r="M255" s="17"/>
      <c r="N255" s="17"/>
      <c r="U255" s="5" t="s">
        <v>125</v>
      </c>
      <c r="V255">
        <v>0</v>
      </c>
      <c r="Z255" s="61" t="s">
        <v>120</v>
      </c>
      <c r="AA255" s="62">
        <v>0</v>
      </c>
      <c r="AE255" s="5" t="s">
        <v>133</v>
      </c>
      <c r="AF255">
        <v>0</v>
      </c>
      <c r="AG255" s="30" t="s">
        <v>391</v>
      </c>
      <c r="AH255" s="17">
        <f>AVERAGE(AF251:AF265)</f>
        <v>6.6666666666666666E-2</v>
      </c>
      <c r="AO255" s="5" t="s">
        <v>169</v>
      </c>
      <c r="AP255">
        <v>0</v>
      </c>
      <c r="AQ255" s="17"/>
      <c r="AR255" s="17"/>
      <c r="AT255" s="5" t="s">
        <v>184</v>
      </c>
      <c r="AU255">
        <v>0</v>
      </c>
      <c r="AV255" s="17"/>
      <c r="AW255" s="17"/>
      <c r="AY255" s="5" t="s">
        <v>204</v>
      </c>
      <c r="AZ255">
        <v>2</v>
      </c>
      <c r="BA255" s="17"/>
      <c r="BB255" s="17"/>
      <c r="BD255" s="5" t="s">
        <v>239</v>
      </c>
      <c r="BE255">
        <v>0</v>
      </c>
      <c r="BI255" s="5" t="s">
        <v>257</v>
      </c>
      <c r="BJ255">
        <v>2</v>
      </c>
      <c r="BK255" s="17"/>
      <c r="BL255" s="17"/>
      <c r="BN255" s="5" t="s">
        <v>284</v>
      </c>
      <c r="BO255">
        <v>1</v>
      </c>
      <c r="BP255" s="17"/>
      <c r="BQ255" s="17"/>
      <c r="BX255" s="61" t="s">
        <v>293</v>
      </c>
      <c r="BY255" s="62">
        <v>0</v>
      </c>
      <c r="CC255" s="5" t="s">
        <v>93</v>
      </c>
      <c r="CD255">
        <v>0</v>
      </c>
      <c r="CE255" s="17"/>
      <c r="CF255" s="17"/>
      <c r="CW255" s="61" t="s">
        <v>351</v>
      </c>
      <c r="CX255" s="62">
        <v>0</v>
      </c>
    </row>
    <row r="256" spans="1:102" x14ac:dyDescent="0.25">
      <c r="A256" s="5" t="s">
        <v>50</v>
      </c>
      <c r="B256" s="27">
        <v>2</v>
      </c>
      <c r="C256" s="17"/>
      <c r="D256" s="17"/>
      <c r="K256" s="5" t="s">
        <v>84</v>
      </c>
      <c r="L256">
        <v>0</v>
      </c>
      <c r="M256" s="17"/>
      <c r="N256" s="17"/>
      <c r="U256" s="5" t="s">
        <v>126</v>
      </c>
      <c r="V256">
        <v>0</v>
      </c>
      <c r="Z256" s="61" t="s">
        <v>121</v>
      </c>
      <c r="AA256" s="62">
        <v>2</v>
      </c>
      <c r="AE256" s="5" t="s">
        <v>134</v>
      </c>
      <c r="AF256">
        <v>0</v>
      </c>
      <c r="AG256" s="30" t="s">
        <v>392</v>
      </c>
      <c r="AH256" s="17">
        <f>STDEV(AF251:AF265)</f>
        <v>0.2581988897471611</v>
      </c>
      <c r="AO256" s="5" t="s">
        <v>170</v>
      </c>
      <c r="AP256">
        <v>0</v>
      </c>
      <c r="AQ256" s="17"/>
      <c r="AR256" s="1"/>
      <c r="AT256" s="5" t="s">
        <v>185</v>
      </c>
      <c r="AU256">
        <v>0</v>
      </c>
      <c r="AV256" s="17"/>
      <c r="AW256" s="17"/>
      <c r="AY256" s="5" t="s">
        <v>205</v>
      </c>
      <c r="AZ256">
        <v>5</v>
      </c>
      <c r="BA256" s="17"/>
      <c r="BB256" s="17"/>
      <c r="BD256" s="5" t="s">
        <v>240</v>
      </c>
      <c r="BE256">
        <v>0</v>
      </c>
      <c r="BI256" s="5" t="s">
        <v>258</v>
      </c>
      <c r="BJ256">
        <v>4</v>
      </c>
      <c r="BK256" s="17"/>
      <c r="BL256" s="17"/>
      <c r="BN256" s="5" t="s">
        <v>286</v>
      </c>
      <c r="BO256">
        <v>2</v>
      </c>
      <c r="BP256" s="17"/>
      <c r="BQ256" s="17"/>
      <c r="BX256" s="61" t="s">
        <v>294</v>
      </c>
      <c r="BY256" s="62">
        <v>0</v>
      </c>
      <c r="CC256" s="5" t="s">
        <v>307</v>
      </c>
      <c r="CD256">
        <v>0</v>
      </c>
      <c r="CE256" s="17"/>
      <c r="CF256" s="17"/>
      <c r="CW256" s="61" t="s">
        <v>352</v>
      </c>
      <c r="CX256" s="62">
        <v>0</v>
      </c>
    </row>
    <row r="257" spans="1:104" x14ac:dyDescent="0.25">
      <c r="A257" s="5" t="s">
        <v>51</v>
      </c>
      <c r="B257" s="27">
        <v>0</v>
      </c>
      <c r="C257" s="17"/>
      <c r="D257" s="17"/>
      <c r="K257" s="5" t="s">
        <v>85</v>
      </c>
      <c r="L257">
        <v>1</v>
      </c>
      <c r="M257" s="17"/>
      <c r="N257" s="17"/>
      <c r="U257" s="5" t="s">
        <v>127</v>
      </c>
      <c r="V257">
        <v>2</v>
      </c>
      <c r="Z257" s="61" t="s">
        <v>122</v>
      </c>
      <c r="AA257" s="62">
        <v>0</v>
      </c>
      <c r="AE257" s="5" t="s">
        <v>135</v>
      </c>
      <c r="AF257">
        <v>0</v>
      </c>
      <c r="AG257" s="17"/>
      <c r="AH257" s="17"/>
      <c r="AO257" s="5" t="s">
        <v>171</v>
      </c>
      <c r="AP257">
        <v>0</v>
      </c>
      <c r="AQ257" s="17"/>
      <c r="AR257" s="1"/>
      <c r="AT257" s="5" t="s">
        <v>186</v>
      </c>
      <c r="AU257">
        <v>0</v>
      </c>
      <c r="AV257" s="17"/>
      <c r="AW257" s="17"/>
      <c r="AY257" s="5" t="s">
        <v>206</v>
      </c>
      <c r="AZ257">
        <v>8</v>
      </c>
      <c r="BA257" s="17"/>
      <c r="BB257" s="17"/>
      <c r="BD257" s="5" t="s">
        <v>241</v>
      </c>
      <c r="BE257">
        <v>0</v>
      </c>
      <c r="BI257" s="5" t="s">
        <v>259</v>
      </c>
      <c r="BJ257">
        <v>3</v>
      </c>
      <c r="BK257" s="17"/>
      <c r="BL257" s="17"/>
      <c r="BN257" s="5" t="s">
        <v>287</v>
      </c>
      <c r="BO257">
        <v>0</v>
      </c>
      <c r="BP257" s="17"/>
      <c r="BQ257" s="17"/>
      <c r="BX257" s="61" t="s">
        <v>295</v>
      </c>
      <c r="BY257" s="62">
        <v>0</v>
      </c>
      <c r="CC257" s="5" t="s">
        <v>308</v>
      </c>
      <c r="CD257">
        <v>0</v>
      </c>
      <c r="CE257" s="17"/>
      <c r="CF257" s="17"/>
      <c r="CW257" s="61" t="s">
        <v>353</v>
      </c>
      <c r="CX257" s="62">
        <v>0</v>
      </c>
    </row>
    <row r="258" spans="1:104" x14ac:dyDescent="0.25">
      <c r="A258" s="5" t="s">
        <v>52</v>
      </c>
      <c r="B258" s="27">
        <v>0</v>
      </c>
      <c r="C258" s="17"/>
      <c r="D258" s="17"/>
      <c r="K258" s="5" t="s">
        <v>86</v>
      </c>
      <c r="L258">
        <v>0</v>
      </c>
      <c r="M258" s="17"/>
      <c r="N258" s="17"/>
      <c r="U258" s="5" t="s">
        <v>128</v>
      </c>
      <c r="V258">
        <v>0</v>
      </c>
      <c r="Z258" s="61" t="s">
        <v>123</v>
      </c>
      <c r="AA258" s="62">
        <v>0</v>
      </c>
      <c r="AE258" s="5" t="s">
        <v>136</v>
      </c>
      <c r="AF258">
        <v>0</v>
      </c>
      <c r="AG258" s="17"/>
      <c r="AH258" s="17"/>
      <c r="AO258" s="5" t="s">
        <v>172</v>
      </c>
      <c r="AP258">
        <v>0</v>
      </c>
      <c r="AQ258" s="17"/>
      <c r="AR258" s="1"/>
      <c r="AT258" s="5" t="s">
        <v>187</v>
      </c>
      <c r="AU258">
        <v>2</v>
      </c>
      <c r="AV258" s="17"/>
      <c r="AW258" s="17"/>
      <c r="AY258" s="5" t="s">
        <v>207</v>
      </c>
      <c r="AZ258">
        <v>3</v>
      </c>
      <c r="BA258" s="17"/>
      <c r="BB258" s="17"/>
      <c r="BD258" s="5" t="s">
        <v>242</v>
      </c>
      <c r="BE258">
        <v>0</v>
      </c>
      <c r="BI258" s="5" t="s">
        <v>260</v>
      </c>
      <c r="BJ258">
        <v>3</v>
      </c>
      <c r="BK258" s="17"/>
      <c r="BL258" s="17"/>
      <c r="BN258" s="5" t="s">
        <v>288</v>
      </c>
      <c r="BO258">
        <v>0</v>
      </c>
      <c r="BP258" s="17"/>
      <c r="BQ258" s="17"/>
      <c r="BX258" s="61" t="s">
        <v>296</v>
      </c>
      <c r="BY258" s="62">
        <v>0</v>
      </c>
      <c r="CC258" s="5" t="s">
        <v>309</v>
      </c>
      <c r="CD258">
        <v>0</v>
      </c>
      <c r="CE258" s="17"/>
      <c r="CF258" s="17"/>
      <c r="CW258" s="61" t="s">
        <v>354</v>
      </c>
      <c r="CX258" s="62">
        <v>0</v>
      </c>
    </row>
    <row r="259" spans="1:104" x14ac:dyDescent="0.25">
      <c r="A259" s="5" t="s">
        <v>53</v>
      </c>
      <c r="B259" s="27">
        <v>0</v>
      </c>
      <c r="C259" s="17"/>
      <c r="D259" s="17"/>
      <c r="K259" s="5" t="s">
        <v>87</v>
      </c>
      <c r="L259">
        <v>0</v>
      </c>
      <c r="M259" s="17"/>
      <c r="N259" s="17"/>
      <c r="Z259" s="61" t="s">
        <v>124</v>
      </c>
      <c r="AA259" s="62">
        <v>0</v>
      </c>
      <c r="AE259" s="5" t="s">
        <v>44</v>
      </c>
      <c r="AF259">
        <v>0</v>
      </c>
      <c r="AG259" s="17"/>
      <c r="AH259" s="17"/>
      <c r="AO259" s="5" t="s">
        <v>173</v>
      </c>
      <c r="AP259">
        <v>0</v>
      </c>
      <c r="AT259" s="5" t="s">
        <v>188</v>
      </c>
      <c r="AU259">
        <v>2</v>
      </c>
      <c r="AV259" s="17"/>
      <c r="AW259" s="17"/>
      <c r="AY259" s="5" t="s">
        <v>208</v>
      </c>
      <c r="AZ259">
        <v>1</v>
      </c>
      <c r="BA259" s="15"/>
      <c r="BB259" s="15"/>
      <c r="BD259" s="5" t="s">
        <v>243</v>
      </c>
      <c r="BE259">
        <v>0</v>
      </c>
      <c r="BI259" s="5" t="s">
        <v>261</v>
      </c>
      <c r="BJ259">
        <v>3</v>
      </c>
      <c r="BK259" s="15"/>
      <c r="BL259" s="15"/>
      <c r="BN259" s="5" t="s">
        <v>289</v>
      </c>
      <c r="BO259">
        <v>1</v>
      </c>
      <c r="BP259" s="17"/>
      <c r="BQ259" s="17"/>
      <c r="BX259" s="61" t="s">
        <v>297</v>
      </c>
      <c r="BY259" s="62">
        <v>0</v>
      </c>
      <c r="CC259" s="5" t="s">
        <v>310</v>
      </c>
      <c r="CD259">
        <v>0</v>
      </c>
      <c r="CE259" s="17"/>
      <c r="CF259" s="17"/>
      <c r="CW259" s="61" t="s">
        <v>355</v>
      </c>
      <c r="CX259" s="62">
        <v>0</v>
      </c>
    </row>
    <row r="260" spans="1:104" x14ac:dyDescent="0.25">
      <c r="A260" s="5" t="s">
        <v>54</v>
      </c>
      <c r="B260" s="27">
        <v>0</v>
      </c>
      <c r="C260" s="17"/>
      <c r="D260" s="17"/>
      <c r="U260" s="17" t="s">
        <v>382</v>
      </c>
      <c r="V260" s="29" t="s">
        <v>400</v>
      </c>
      <c r="W260" s="17"/>
      <c r="X260" s="17">
        <v>2016</v>
      </c>
      <c r="Z260" s="61" t="s">
        <v>125</v>
      </c>
      <c r="AA260" s="62">
        <v>0</v>
      </c>
      <c r="AE260" s="5" t="s">
        <v>137</v>
      </c>
      <c r="AF260">
        <v>0</v>
      </c>
      <c r="AG260" s="17"/>
      <c r="AH260" s="17"/>
      <c r="AO260" s="5" t="s">
        <v>174</v>
      </c>
      <c r="AP260">
        <v>1</v>
      </c>
      <c r="AT260" s="5" t="s">
        <v>395</v>
      </c>
      <c r="AU260">
        <v>0</v>
      </c>
      <c r="AV260" s="17"/>
      <c r="AW260" s="17"/>
      <c r="AY260" s="5" t="s">
        <v>209</v>
      </c>
      <c r="AZ260">
        <v>2</v>
      </c>
      <c r="BD260" s="5" t="s">
        <v>244</v>
      </c>
      <c r="BE260">
        <v>0</v>
      </c>
      <c r="BI260" s="5" t="s">
        <v>262</v>
      </c>
      <c r="BJ260">
        <v>1</v>
      </c>
      <c r="BX260" s="61" t="s">
        <v>298</v>
      </c>
      <c r="BY260" s="62">
        <v>0</v>
      </c>
      <c r="CC260" s="5" t="s">
        <v>311</v>
      </c>
      <c r="CD260">
        <v>0</v>
      </c>
      <c r="CE260" s="17"/>
      <c r="CF260" s="17"/>
      <c r="CM260" s="17" t="s">
        <v>382</v>
      </c>
      <c r="CN260" s="29" t="s">
        <v>442</v>
      </c>
      <c r="CO260" s="17"/>
      <c r="CP260" s="17">
        <v>2016</v>
      </c>
      <c r="CR260" s="17" t="s">
        <v>382</v>
      </c>
      <c r="CS260" s="29" t="s">
        <v>442</v>
      </c>
      <c r="CT260" s="17"/>
      <c r="CU260" s="17">
        <v>2016</v>
      </c>
      <c r="CW260" s="66" t="s">
        <v>356</v>
      </c>
      <c r="CX260" s="62">
        <v>0</v>
      </c>
    </row>
    <row r="261" spans="1:104" x14ac:dyDescent="0.25">
      <c r="A261" s="5" t="s">
        <v>55</v>
      </c>
      <c r="B261" s="27">
        <v>0</v>
      </c>
      <c r="C261" s="17"/>
      <c r="D261" s="17"/>
      <c r="K261" s="17" t="s">
        <v>382</v>
      </c>
      <c r="L261" s="29" t="s">
        <v>363</v>
      </c>
      <c r="M261" s="17"/>
      <c r="N261" s="17">
        <v>2016</v>
      </c>
      <c r="U261" s="17" t="s">
        <v>383</v>
      </c>
      <c r="V261" s="6" t="s">
        <v>59</v>
      </c>
      <c r="W261" s="17"/>
      <c r="X261" s="17"/>
      <c r="Z261" s="61" t="s">
        <v>126</v>
      </c>
      <c r="AA261" s="62">
        <v>0</v>
      </c>
      <c r="AE261" s="5" t="s">
        <v>138</v>
      </c>
      <c r="AF261">
        <v>1</v>
      </c>
      <c r="AG261" s="17"/>
      <c r="AH261" s="17"/>
      <c r="AT261" s="5" t="s">
        <v>189</v>
      </c>
      <c r="AU261">
        <v>0</v>
      </c>
      <c r="AV261" s="17"/>
      <c r="AW261" s="17"/>
      <c r="AY261" s="5" t="s">
        <v>210</v>
      </c>
      <c r="AZ261">
        <v>6</v>
      </c>
      <c r="BI261" s="5" t="s">
        <v>263</v>
      </c>
      <c r="BJ261">
        <v>10</v>
      </c>
      <c r="BN261" s="17" t="s">
        <v>382</v>
      </c>
      <c r="BO261" s="29" t="s">
        <v>440</v>
      </c>
      <c r="BP261" s="17"/>
      <c r="BQ261" s="17">
        <v>2016</v>
      </c>
      <c r="CC261" s="5" t="s">
        <v>312</v>
      </c>
      <c r="CD261">
        <v>1</v>
      </c>
      <c r="CE261" s="17"/>
      <c r="CF261" s="17"/>
      <c r="CM261" s="17" t="s">
        <v>383</v>
      </c>
      <c r="CN261" s="28" t="s">
        <v>167</v>
      </c>
      <c r="CO261" s="15"/>
      <c r="CP261" s="17"/>
      <c r="CR261" s="17" t="s">
        <v>383</v>
      </c>
      <c r="CS261" s="28" t="s">
        <v>167</v>
      </c>
      <c r="CT261" s="15"/>
      <c r="CU261" s="17"/>
      <c r="CW261" s="66" t="s">
        <v>357</v>
      </c>
      <c r="CX261" s="62">
        <v>0</v>
      </c>
    </row>
    <row r="262" spans="1:104" x14ac:dyDescent="0.25">
      <c r="A262" s="5" t="s">
        <v>56</v>
      </c>
      <c r="B262" s="27">
        <v>0</v>
      </c>
      <c r="C262" s="17"/>
      <c r="D262" s="17"/>
      <c r="K262" s="17" t="s">
        <v>383</v>
      </c>
      <c r="L262" s="6" t="s">
        <v>30</v>
      </c>
      <c r="M262" s="17"/>
      <c r="N262" s="17"/>
      <c r="U262" s="17" t="s">
        <v>384</v>
      </c>
      <c r="V262" s="17" t="s">
        <v>39</v>
      </c>
      <c r="W262" s="17" t="s">
        <v>385</v>
      </c>
      <c r="X262" s="17" t="s">
        <v>386</v>
      </c>
      <c r="Z262" s="61" t="s">
        <v>127</v>
      </c>
      <c r="AA262" s="62">
        <v>2</v>
      </c>
      <c r="AE262" s="5" t="s">
        <v>139</v>
      </c>
      <c r="AF262">
        <v>0</v>
      </c>
      <c r="AG262" s="17"/>
      <c r="AH262" s="17"/>
      <c r="AO262" s="17" t="s">
        <v>382</v>
      </c>
      <c r="AP262" s="29" t="s">
        <v>368</v>
      </c>
      <c r="AQ262" s="17"/>
      <c r="AR262" s="17">
        <v>2016</v>
      </c>
      <c r="AT262" s="5" t="s">
        <v>190</v>
      </c>
      <c r="AU262">
        <v>0</v>
      </c>
      <c r="AV262" s="17"/>
      <c r="AW262" s="17"/>
      <c r="AY262" s="5" t="s">
        <v>211</v>
      </c>
      <c r="AZ262">
        <v>2</v>
      </c>
      <c r="BD262" s="17" t="s">
        <v>382</v>
      </c>
      <c r="BE262" s="29" t="s">
        <v>371</v>
      </c>
      <c r="BF262" s="17"/>
      <c r="BG262" s="17">
        <v>2016</v>
      </c>
      <c r="BI262" s="5" t="s">
        <v>264</v>
      </c>
      <c r="BJ262">
        <v>7</v>
      </c>
      <c r="BN262" s="17" t="s">
        <v>383</v>
      </c>
      <c r="BO262" s="6" t="s">
        <v>25</v>
      </c>
      <c r="BP262" s="17"/>
      <c r="BQ262" s="17"/>
      <c r="BX262" s="58" t="s">
        <v>382</v>
      </c>
      <c r="BY262" s="59" t="s">
        <v>628</v>
      </c>
      <c r="BZ262" s="58"/>
      <c r="CA262" s="58">
        <v>2016</v>
      </c>
      <c r="CC262" s="5" t="s">
        <v>313</v>
      </c>
      <c r="CD262">
        <v>0</v>
      </c>
      <c r="CE262" s="17"/>
      <c r="CF262" s="17"/>
      <c r="CM262" s="17" t="s">
        <v>384</v>
      </c>
      <c r="CN262" s="17" t="s">
        <v>39</v>
      </c>
      <c r="CO262" s="17" t="s">
        <v>385</v>
      </c>
      <c r="CP262" s="17" t="s">
        <v>386</v>
      </c>
      <c r="CR262" s="17" t="s">
        <v>384</v>
      </c>
      <c r="CS262" s="17" t="s">
        <v>39</v>
      </c>
      <c r="CT262" s="17" t="s">
        <v>385</v>
      </c>
      <c r="CU262" s="17" t="s">
        <v>386</v>
      </c>
      <c r="CW262" s="66" t="s">
        <v>358</v>
      </c>
      <c r="CX262" s="62">
        <v>0</v>
      </c>
    </row>
    <row r="263" spans="1:104" x14ac:dyDescent="0.25">
      <c r="A263" s="5" t="s">
        <v>57</v>
      </c>
      <c r="B263" s="27">
        <v>1</v>
      </c>
      <c r="C263" s="17"/>
      <c r="D263" s="17"/>
      <c r="K263" s="17" t="s">
        <v>384</v>
      </c>
      <c r="L263" s="17" t="s">
        <v>39</v>
      </c>
      <c r="M263" s="17" t="s">
        <v>385</v>
      </c>
      <c r="N263" s="17" t="s">
        <v>386</v>
      </c>
      <c r="U263" s="5" t="s">
        <v>96</v>
      </c>
      <c r="V263">
        <v>0</v>
      </c>
      <c r="W263" s="30" t="s">
        <v>387</v>
      </c>
      <c r="X263" s="17">
        <f>SUM(V263:V295)</f>
        <v>2</v>
      </c>
      <c r="Z263" s="61" t="s">
        <v>128</v>
      </c>
      <c r="AA263" s="62">
        <v>0</v>
      </c>
      <c r="AE263" s="5" t="s">
        <v>140</v>
      </c>
      <c r="AF263">
        <v>0</v>
      </c>
      <c r="AG263" s="17"/>
      <c r="AH263" s="17"/>
      <c r="AO263" s="17" t="s">
        <v>383</v>
      </c>
      <c r="AP263" s="6" t="s">
        <v>19</v>
      </c>
      <c r="AQ263" s="17"/>
      <c r="AR263" s="17"/>
      <c r="AT263" s="5" t="s">
        <v>191</v>
      </c>
      <c r="AU263">
        <v>0</v>
      </c>
      <c r="AV263" s="15"/>
      <c r="AW263" s="15"/>
      <c r="AY263" s="5" t="s">
        <v>212</v>
      </c>
      <c r="AZ263">
        <v>0</v>
      </c>
      <c r="BD263" s="17" t="s">
        <v>383</v>
      </c>
      <c r="BE263" s="6" t="s">
        <v>22</v>
      </c>
      <c r="BF263" s="17"/>
      <c r="BG263" s="17"/>
      <c r="BI263" s="5" t="s">
        <v>265</v>
      </c>
      <c r="BJ263">
        <v>5</v>
      </c>
      <c r="BN263" s="17" t="s">
        <v>384</v>
      </c>
      <c r="BO263" s="17" t="s">
        <v>39</v>
      </c>
      <c r="BP263" s="17" t="s">
        <v>385</v>
      </c>
      <c r="BQ263" s="17" t="s">
        <v>386</v>
      </c>
      <c r="BX263" s="58" t="s">
        <v>383</v>
      </c>
      <c r="BY263" s="60" t="s">
        <v>21</v>
      </c>
      <c r="BZ263" s="58"/>
      <c r="CA263" s="58"/>
      <c r="CC263" s="5" t="s">
        <v>314</v>
      </c>
      <c r="CD263">
        <v>0</v>
      </c>
      <c r="CM263" s="5" t="s">
        <v>328</v>
      </c>
      <c r="CN263">
        <v>1</v>
      </c>
      <c r="CO263" s="30" t="s">
        <v>387</v>
      </c>
      <c r="CP263" s="17">
        <f>SUM(CN263:CN295)</f>
        <v>2</v>
      </c>
      <c r="CR263" s="5" t="s">
        <v>333</v>
      </c>
      <c r="CS263">
        <v>0</v>
      </c>
      <c r="CT263" s="30" t="s">
        <v>387</v>
      </c>
      <c r="CU263" s="17">
        <f>SUM(CS263:CS290)</f>
        <v>3</v>
      </c>
      <c r="CW263" s="66" t="s">
        <v>359</v>
      </c>
      <c r="CX263" s="62">
        <v>0</v>
      </c>
    </row>
    <row r="264" spans="1:104" x14ac:dyDescent="0.25">
      <c r="A264" s="5" t="s">
        <v>58</v>
      </c>
      <c r="B264" s="27">
        <v>0</v>
      </c>
      <c r="C264" s="15"/>
      <c r="D264" s="15"/>
      <c r="K264" s="5" t="s">
        <v>72</v>
      </c>
      <c r="L264">
        <v>2</v>
      </c>
      <c r="M264" s="30" t="s">
        <v>387</v>
      </c>
      <c r="N264" s="17">
        <f>SUM(L264:L279)</f>
        <v>3</v>
      </c>
      <c r="U264" s="5" t="s">
        <v>97</v>
      </c>
      <c r="V264">
        <v>0</v>
      </c>
      <c r="W264" s="30" t="s">
        <v>388</v>
      </c>
      <c r="X264" s="17">
        <f>MIN(V263:V295)</f>
        <v>0</v>
      </c>
      <c r="AE264" s="5" t="s">
        <v>141</v>
      </c>
      <c r="AF264">
        <v>0</v>
      </c>
      <c r="AG264" s="17"/>
      <c r="AH264" s="17"/>
      <c r="AO264" s="17" t="s">
        <v>384</v>
      </c>
      <c r="AP264" s="17" t="s">
        <v>39</v>
      </c>
      <c r="AQ264" s="17" t="s">
        <v>385</v>
      </c>
      <c r="AR264" s="17" t="s">
        <v>386</v>
      </c>
      <c r="AY264" s="5" t="s">
        <v>213</v>
      </c>
      <c r="AZ264">
        <v>2</v>
      </c>
      <c r="BD264" s="17" t="s">
        <v>384</v>
      </c>
      <c r="BE264" s="17" t="s">
        <v>39</v>
      </c>
      <c r="BF264" s="17" t="s">
        <v>385</v>
      </c>
      <c r="BG264" s="17" t="s">
        <v>386</v>
      </c>
      <c r="BI264" s="5" t="s">
        <v>266</v>
      </c>
      <c r="BJ264">
        <v>0</v>
      </c>
      <c r="BN264" s="5" t="s">
        <v>274</v>
      </c>
      <c r="BO264">
        <v>0</v>
      </c>
      <c r="BP264" s="30" t="s">
        <v>387</v>
      </c>
      <c r="BQ264" s="17">
        <f>SUM(BO264:BO279)</f>
        <v>9</v>
      </c>
      <c r="BX264" s="58" t="s">
        <v>384</v>
      </c>
      <c r="BY264" s="58" t="s">
        <v>39</v>
      </c>
      <c r="BZ264" s="58" t="s">
        <v>385</v>
      </c>
      <c r="CA264" s="58" t="s">
        <v>386</v>
      </c>
      <c r="CC264" s="5" t="s">
        <v>315</v>
      </c>
      <c r="CD264">
        <v>0</v>
      </c>
      <c r="CM264" s="5" t="s">
        <v>329</v>
      </c>
      <c r="CN264">
        <v>0</v>
      </c>
      <c r="CO264" s="30" t="s">
        <v>388</v>
      </c>
      <c r="CP264" s="17">
        <f>MIN(CN263:CN295)</f>
        <v>0</v>
      </c>
      <c r="CR264" s="5" t="s">
        <v>334</v>
      </c>
      <c r="CS264">
        <v>0</v>
      </c>
      <c r="CT264" s="30" t="s">
        <v>388</v>
      </c>
      <c r="CU264" s="17">
        <f>MIN(CS263:CS290)</f>
        <v>0</v>
      </c>
    </row>
    <row r="265" spans="1:104" x14ac:dyDescent="0.25">
      <c r="A265" s="5" t="s">
        <v>60</v>
      </c>
      <c r="B265" s="27">
        <v>1</v>
      </c>
      <c r="C265" s="17"/>
      <c r="D265" s="17"/>
      <c r="K265" s="5" t="s">
        <v>73</v>
      </c>
      <c r="L265">
        <v>0</v>
      </c>
      <c r="M265" s="30" t="s">
        <v>388</v>
      </c>
      <c r="N265" s="17">
        <f>MIN(L264:L279)</f>
        <v>0</v>
      </c>
      <c r="U265" s="5" t="s">
        <v>98</v>
      </c>
      <c r="V265">
        <v>0</v>
      </c>
      <c r="W265" s="30" t="s">
        <v>389</v>
      </c>
      <c r="X265" s="17">
        <f>MAX(V263:V295)</f>
        <v>1</v>
      </c>
      <c r="Z265" s="58" t="s">
        <v>382</v>
      </c>
      <c r="AA265" s="59" t="s">
        <v>627</v>
      </c>
      <c r="AB265" s="58"/>
      <c r="AC265" s="58">
        <v>2016</v>
      </c>
      <c r="AE265" s="5" t="s">
        <v>142</v>
      </c>
      <c r="AF265">
        <v>0</v>
      </c>
      <c r="AG265" s="17"/>
      <c r="AH265" s="17"/>
      <c r="AO265" s="5" t="s">
        <v>149</v>
      </c>
      <c r="AP265">
        <v>12</v>
      </c>
      <c r="AQ265" s="30" t="s">
        <v>387</v>
      </c>
      <c r="AR265" s="17">
        <f>SUM(AP265:AP289)</f>
        <v>146</v>
      </c>
      <c r="AT265" s="17" t="s">
        <v>382</v>
      </c>
      <c r="AU265" s="29" t="s">
        <v>369</v>
      </c>
      <c r="AV265" s="17"/>
      <c r="AW265" s="17">
        <v>2016</v>
      </c>
      <c r="AY265" s="5" t="s">
        <v>214</v>
      </c>
      <c r="AZ265">
        <v>1</v>
      </c>
      <c r="BD265" s="5" t="s">
        <v>221</v>
      </c>
      <c r="BE265">
        <v>1</v>
      </c>
      <c r="BF265" s="30" t="s">
        <v>387</v>
      </c>
      <c r="BG265" s="17">
        <f>SUM(BE265:BE289)</f>
        <v>2</v>
      </c>
      <c r="BI265" s="5" t="s">
        <v>267</v>
      </c>
      <c r="BJ265">
        <v>3</v>
      </c>
      <c r="BN265" s="5" t="s">
        <v>275</v>
      </c>
      <c r="BO265">
        <v>0</v>
      </c>
      <c r="BP265" s="30" t="s">
        <v>388</v>
      </c>
      <c r="BQ265" s="17">
        <f>MIN(BO264:BO279)</f>
        <v>0</v>
      </c>
      <c r="BX265" s="61" t="s">
        <v>274</v>
      </c>
      <c r="BY265" s="62">
        <v>0</v>
      </c>
      <c r="BZ265" s="63" t="s">
        <v>387</v>
      </c>
      <c r="CA265" s="58">
        <f>SUM(BY265:BY289)</f>
        <v>8</v>
      </c>
      <c r="CC265" s="5" t="s">
        <v>316</v>
      </c>
      <c r="CD265">
        <v>1</v>
      </c>
      <c r="CM265" s="5" t="s">
        <v>330</v>
      </c>
      <c r="CN265">
        <v>0</v>
      </c>
      <c r="CO265" s="30" t="s">
        <v>389</v>
      </c>
      <c r="CP265" s="17">
        <f>MAX(CN263:CN295)</f>
        <v>1</v>
      </c>
      <c r="CR265" s="5" t="s">
        <v>335</v>
      </c>
      <c r="CS265">
        <v>0</v>
      </c>
      <c r="CT265" s="30" t="s">
        <v>389</v>
      </c>
      <c r="CU265" s="17">
        <f>MAX(CS263:CS290)</f>
        <v>1</v>
      </c>
      <c r="CW265" s="58" t="s">
        <v>382</v>
      </c>
      <c r="CX265" s="59" t="s">
        <v>629</v>
      </c>
      <c r="CY265" s="58"/>
      <c r="CZ265" s="58">
        <v>2016</v>
      </c>
    </row>
    <row r="266" spans="1:104" x14ac:dyDescent="0.25">
      <c r="A266" s="5" t="s">
        <v>61</v>
      </c>
      <c r="B266" s="27">
        <v>1</v>
      </c>
      <c r="C266" s="17"/>
      <c r="D266" s="17"/>
      <c r="K266" s="5" t="s">
        <v>74</v>
      </c>
      <c r="L266">
        <v>0</v>
      </c>
      <c r="M266" s="30" t="s">
        <v>389</v>
      </c>
      <c r="N266" s="17">
        <f>MAX(L264:L279)</f>
        <v>2</v>
      </c>
      <c r="U266" s="5" t="s">
        <v>99</v>
      </c>
      <c r="V266">
        <v>0</v>
      </c>
      <c r="W266" s="30" t="s">
        <v>390</v>
      </c>
      <c r="X266" s="17">
        <f>VAR(V263:V295)</f>
        <v>5.8712121212121215E-2</v>
      </c>
      <c r="Z266" s="58" t="s">
        <v>383</v>
      </c>
      <c r="AA266" s="60" t="s">
        <v>11</v>
      </c>
      <c r="AB266" s="58"/>
      <c r="AC266" s="58"/>
      <c r="AO266" s="5" t="s">
        <v>150</v>
      </c>
      <c r="AP266">
        <v>2</v>
      </c>
      <c r="AQ266" s="30" t="s">
        <v>388</v>
      </c>
      <c r="AR266" s="17">
        <f>MIN(AP265:AP289)</f>
        <v>0</v>
      </c>
      <c r="AT266" s="17" t="s">
        <v>383</v>
      </c>
      <c r="AU266" s="6" t="s">
        <v>26</v>
      </c>
      <c r="AV266" s="17"/>
      <c r="AW266" s="17"/>
      <c r="AY266" s="5" t="s">
        <v>215</v>
      </c>
      <c r="AZ266">
        <v>10</v>
      </c>
      <c r="BD266" s="5" t="s">
        <v>222</v>
      </c>
      <c r="BE266">
        <v>0</v>
      </c>
      <c r="BF266" s="30" t="s">
        <v>388</v>
      </c>
      <c r="BG266" s="17">
        <f>MIN(BE265:BE289)</f>
        <v>0</v>
      </c>
      <c r="BI266" s="5" t="s">
        <v>268</v>
      </c>
      <c r="BJ266">
        <v>2</v>
      </c>
      <c r="BN266" s="5" t="s">
        <v>276</v>
      </c>
      <c r="BO266">
        <v>1</v>
      </c>
      <c r="BP266" s="30" t="s">
        <v>389</v>
      </c>
      <c r="BQ266" s="17">
        <f>MAX(BO264:BO279)</f>
        <v>2</v>
      </c>
      <c r="BX266" s="61" t="s">
        <v>275</v>
      </c>
      <c r="BY266" s="62">
        <v>0</v>
      </c>
      <c r="BZ266" s="63" t="s">
        <v>388</v>
      </c>
      <c r="CA266" s="58">
        <f>MIN(BY265:BY289)</f>
        <v>0</v>
      </c>
      <c r="CC266" s="5" t="s">
        <v>317</v>
      </c>
      <c r="CD266">
        <v>0</v>
      </c>
      <c r="CM266" s="5" t="s">
        <v>331</v>
      </c>
      <c r="CN266">
        <v>1</v>
      </c>
      <c r="CO266" s="30" t="s">
        <v>390</v>
      </c>
      <c r="CP266" s="17">
        <f>VAR(CN263:CN295)</f>
        <v>0.3</v>
      </c>
      <c r="CR266" s="5" t="s">
        <v>43</v>
      </c>
      <c r="CS266">
        <v>0</v>
      </c>
      <c r="CT266" s="30" t="s">
        <v>390</v>
      </c>
      <c r="CU266" s="17">
        <f>VAR(CS263:CS290)</f>
        <v>9.9206349206349201E-2</v>
      </c>
      <c r="CW266" s="58" t="s">
        <v>383</v>
      </c>
      <c r="CX266" s="60" t="s">
        <v>18</v>
      </c>
      <c r="CY266" s="58"/>
      <c r="CZ266" s="58"/>
    </row>
    <row r="267" spans="1:104" x14ac:dyDescent="0.25">
      <c r="A267" s="5" t="s">
        <v>62</v>
      </c>
      <c r="B267" s="27">
        <v>2</v>
      </c>
      <c r="C267" s="17"/>
      <c r="D267" s="1"/>
      <c r="K267" s="5" t="s">
        <v>75</v>
      </c>
      <c r="L267">
        <v>0</v>
      </c>
      <c r="M267" s="30" t="s">
        <v>390</v>
      </c>
      <c r="N267" s="17">
        <f>VAR(L264:L279)</f>
        <v>0.29583333333333334</v>
      </c>
      <c r="U267" s="5" t="s">
        <v>100</v>
      </c>
      <c r="V267">
        <v>0</v>
      </c>
      <c r="W267" s="30" t="s">
        <v>391</v>
      </c>
      <c r="X267" s="17">
        <f>AVERAGE(V263:V295)</f>
        <v>6.0606060606060608E-2</v>
      </c>
      <c r="Z267" s="58" t="s">
        <v>384</v>
      </c>
      <c r="AA267" s="58" t="s">
        <v>39</v>
      </c>
      <c r="AB267" s="58" t="s">
        <v>385</v>
      </c>
      <c r="AC267" s="58" t="s">
        <v>386</v>
      </c>
      <c r="AE267" s="17" t="s">
        <v>382</v>
      </c>
      <c r="AF267" s="29" t="s">
        <v>366</v>
      </c>
      <c r="AG267" s="17"/>
      <c r="AH267" s="17">
        <v>2016</v>
      </c>
      <c r="AO267" s="5" t="s">
        <v>151</v>
      </c>
      <c r="AP267">
        <v>4</v>
      </c>
      <c r="AQ267" s="30" t="s">
        <v>389</v>
      </c>
      <c r="AR267" s="17">
        <f>MAX(AP265:AP289)</f>
        <v>14</v>
      </c>
      <c r="AT267" s="17" t="s">
        <v>384</v>
      </c>
      <c r="AU267" s="17" t="s">
        <v>39</v>
      </c>
      <c r="AV267" s="17" t="s">
        <v>385</v>
      </c>
      <c r="AW267" s="17" t="s">
        <v>386</v>
      </c>
      <c r="AY267" s="5" t="s">
        <v>216</v>
      </c>
      <c r="AZ267">
        <v>3</v>
      </c>
      <c r="BD267" s="5" t="s">
        <v>223</v>
      </c>
      <c r="BE267">
        <v>0</v>
      </c>
      <c r="BF267" s="30" t="s">
        <v>389</v>
      </c>
      <c r="BG267" s="17">
        <f>MAX(BE265:BE289)</f>
        <v>1</v>
      </c>
      <c r="BI267" s="5" t="s">
        <v>269</v>
      </c>
      <c r="BJ267">
        <v>1</v>
      </c>
      <c r="BN267" s="5" t="s">
        <v>277</v>
      </c>
      <c r="BO267">
        <v>1</v>
      </c>
      <c r="BP267" s="30" t="s">
        <v>390</v>
      </c>
      <c r="BQ267" s="17">
        <f>VAR(BO264:BO279)</f>
        <v>0.39583333333333331</v>
      </c>
      <c r="BX267" s="61" t="s">
        <v>276</v>
      </c>
      <c r="BY267" s="62">
        <v>2</v>
      </c>
      <c r="BZ267" s="63" t="s">
        <v>389</v>
      </c>
      <c r="CA267" s="58">
        <f>MAX(BY265:BY289)</f>
        <v>3</v>
      </c>
      <c r="CC267" s="5" t="s">
        <v>318</v>
      </c>
      <c r="CD267">
        <v>0</v>
      </c>
      <c r="CM267" s="5" t="s">
        <v>332</v>
      </c>
      <c r="CN267">
        <v>0</v>
      </c>
      <c r="CO267" s="30" t="s">
        <v>391</v>
      </c>
      <c r="CP267" s="17">
        <f>AVERAGE(CN263:CN295)</f>
        <v>0.4</v>
      </c>
      <c r="CR267" s="5" t="s">
        <v>336</v>
      </c>
      <c r="CS267">
        <v>0</v>
      </c>
      <c r="CT267" s="30" t="s">
        <v>391</v>
      </c>
      <c r="CU267" s="17">
        <f>AVERAGE(CS263:CS290)</f>
        <v>0.10714285714285714</v>
      </c>
      <c r="CW267" s="58" t="s">
        <v>384</v>
      </c>
      <c r="CX267" s="58" t="s">
        <v>39</v>
      </c>
      <c r="CY267" s="58" t="s">
        <v>385</v>
      </c>
      <c r="CZ267" s="58" t="s">
        <v>386</v>
      </c>
    </row>
    <row r="268" spans="1:104" x14ac:dyDescent="0.25">
      <c r="A268" s="5" t="s">
        <v>63</v>
      </c>
      <c r="B268" s="27">
        <v>0</v>
      </c>
      <c r="C268" s="17"/>
      <c r="D268" s="1"/>
      <c r="K268" s="5" t="s">
        <v>76</v>
      </c>
      <c r="L268">
        <v>0</v>
      </c>
      <c r="M268" s="30" t="s">
        <v>391</v>
      </c>
      <c r="N268" s="17">
        <f>AVERAGE(L264:L279)</f>
        <v>0.1875</v>
      </c>
      <c r="U268" s="5" t="s">
        <v>101</v>
      </c>
      <c r="V268">
        <v>0</v>
      </c>
      <c r="W268" s="30" t="s">
        <v>392</v>
      </c>
      <c r="X268" s="17">
        <f>STDEV(V263:V295)</f>
        <v>0.24230584229877994</v>
      </c>
      <c r="Z268" s="61" t="s">
        <v>88</v>
      </c>
      <c r="AA268" s="62">
        <v>0</v>
      </c>
      <c r="AB268" s="63" t="s">
        <v>387</v>
      </c>
      <c r="AC268" s="58">
        <f>SUM(AA268:AA307)</f>
        <v>7</v>
      </c>
      <c r="AE268" s="17" t="s">
        <v>383</v>
      </c>
      <c r="AF268" s="6" t="s">
        <v>28</v>
      </c>
      <c r="AG268" s="17"/>
      <c r="AH268" s="17"/>
      <c r="AO268" s="5" t="s">
        <v>152</v>
      </c>
      <c r="AP268">
        <v>2</v>
      </c>
      <c r="AQ268" s="30" t="s">
        <v>390</v>
      </c>
      <c r="AR268" s="17">
        <f>VAR(AP265:AP289)</f>
        <v>12.723333333333334</v>
      </c>
      <c r="AT268" s="5" t="s">
        <v>175</v>
      </c>
      <c r="AU268">
        <v>0</v>
      </c>
      <c r="AV268" s="30" t="s">
        <v>387</v>
      </c>
      <c r="AW268" s="17">
        <f>SUM(AU268:AU285)</f>
        <v>1</v>
      </c>
      <c r="AY268" s="5" t="s">
        <v>217</v>
      </c>
      <c r="AZ268">
        <v>1</v>
      </c>
      <c r="BD268" s="5" t="s">
        <v>224</v>
      </c>
      <c r="BE268">
        <v>0</v>
      </c>
      <c r="BF268" s="30" t="s">
        <v>390</v>
      </c>
      <c r="BG268" s="17">
        <f>VAR(BE265:BE289)</f>
        <v>7.6666666666666675E-2</v>
      </c>
      <c r="BI268" s="5" t="s">
        <v>270</v>
      </c>
      <c r="BJ268">
        <v>5</v>
      </c>
      <c r="BN268" s="5" t="s">
        <v>279</v>
      </c>
      <c r="BO268">
        <v>1</v>
      </c>
      <c r="BP268" s="30" t="s">
        <v>391</v>
      </c>
      <c r="BQ268" s="17">
        <f>AVERAGE(BO264:BO279)</f>
        <v>0.5625</v>
      </c>
      <c r="BX268" s="61" t="s">
        <v>277</v>
      </c>
      <c r="BY268" s="62">
        <v>0</v>
      </c>
      <c r="BZ268" s="63" t="s">
        <v>390</v>
      </c>
      <c r="CA268" s="58">
        <f>VAR(BY265:BY289)</f>
        <v>0.55999999999999994</v>
      </c>
      <c r="CC268" s="5" t="s">
        <v>319</v>
      </c>
      <c r="CD268">
        <v>0</v>
      </c>
      <c r="CO268" s="30" t="s">
        <v>392</v>
      </c>
      <c r="CP268" s="17">
        <f>STDEV(CN263:CN295)</f>
        <v>0.54772255750516607</v>
      </c>
      <c r="CR268" s="5" t="s">
        <v>337</v>
      </c>
      <c r="CS268">
        <v>0</v>
      </c>
      <c r="CT268" s="30" t="s">
        <v>392</v>
      </c>
      <c r="CU268" s="17">
        <f>STDEV(CS263:CS290)</f>
        <v>0.31497039417435602</v>
      </c>
      <c r="CW268" s="61" t="s">
        <v>321</v>
      </c>
      <c r="CX268" s="62">
        <v>0</v>
      </c>
      <c r="CY268" s="63" t="s">
        <v>387</v>
      </c>
      <c r="CZ268" s="58">
        <f>SUM(CX268:CX307)</f>
        <v>4</v>
      </c>
    </row>
    <row r="269" spans="1:104" x14ac:dyDescent="0.25">
      <c r="A269" s="5" t="s">
        <v>64</v>
      </c>
      <c r="B269" s="27">
        <v>0</v>
      </c>
      <c r="C269" s="17"/>
      <c r="D269" s="1"/>
      <c r="K269" s="5" t="s">
        <v>77</v>
      </c>
      <c r="L269">
        <v>0</v>
      </c>
      <c r="M269" s="30" t="s">
        <v>392</v>
      </c>
      <c r="N269" s="17">
        <f>STDEV(L264:L279)</f>
        <v>0.54390562906935735</v>
      </c>
      <c r="U269" s="5" t="s">
        <v>103</v>
      </c>
      <c r="V269">
        <v>0</v>
      </c>
      <c r="W269" s="17"/>
      <c r="X269" s="17"/>
      <c r="Z269" s="61" t="s">
        <v>89</v>
      </c>
      <c r="AA269" s="62">
        <v>0</v>
      </c>
      <c r="AB269" s="63" t="s">
        <v>388</v>
      </c>
      <c r="AC269" s="58">
        <f>MIN(AA268:AA307)</f>
        <v>0</v>
      </c>
      <c r="AE269" s="17" t="s">
        <v>384</v>
      </c>
      <c r="AF269" s="17" t="s">
        <v>39</v>
      </c>
      <c r="AG269" s="17" t="s">
        <v>385</v>
      </c>
      <c r="AH269" s="17" t="s">
        <v>386</v>
      </c>
      <c r="AO269" s="5" t="s">
        <v>153</v>
      </c>
      <c r="AP269">
        <v>1</v>
      </c>
      <c r="AQ269" s="30" t="s">
        <v>391</v>
      </c>
      <c r="AR269" s="17">
        <f>AVERAGE(AP265:AP289)</f>
        <v>5.84</v>
      </c>
      <c r="AT269" s="5" t="s">
        <v>176</v>
      </c>
      <c r="AU269">
        <v>0</v>
      </c>
      <c r="AV269" s="30" t="s">
        <v>388</v>
      </c>
      <c r="AW269" s="17">
        <f>MIN(AU268:AU285)</f>
        <v>0</v>
      </c>
      <c r="AY269" s="5" t="s">
        <v>218</v>
      </c>
      <c r="AZ269">
        <v>0</v>
      </c>
      <c r="BD269" s="5" t="s">
        <v>225</v>
      </c>
      <c r="BE269">
        <v>0</v>
      </c>
      <c r="BF269" s="30" t="s">
        <v>391</v>
      </c>
      <c r="BG269" s="17">
        <f>AVERAGE(BE265:BE289)</f>
        <v>0.08</v>
      </c>
      <c r="BI269" s="5" t="s">
        <v>271</v>
      </c>
      <c r="BJ269">
        <v>1</v>
      </c>
      <c r="BN269" s="5" t="s">
        <v>278</v>
      </c>
      <c r="BO269">
        <v>1</v>
      </c>
      <c r="BP269" s="30" t="s">
        <v>392</v>
      </c>
      <c r="BQ269" s="17">
        <f>STDEV(BO264:BO279)</f>
        <v>0.62915286960589578</v>
      </c>
      <c r="BX269" s="61" t="s">
        <v>279</v>
      </c>
      <c r="BY269" s="62">
        <v>1</v>
      </c>
      <c r="BZ269" s="63" t="s">
        <v>391</v>
      </c>
      <c r="CA269" s="58">
        <f>AVERAGE(BY265:BY289)</f>
        <v>0.32</v>
      </c>
      <c r="CC269" s="5" t="s">
        <v>320</v>
      </c>
      <c r="CD269">
        <v>0</v>
      </c>
      <c r="CO269" s="17"/>
      <c r="CP269" s="17"/>
      <c r="CR269" s="5" t="s">
        <v>338</v>
      </c>
      <c r="CS269">
        <v>1</v>
      </c>
      <c r="CW269" s="61" t="s">
        <v>322</v>
      </c>
      <c r="CX269" s="62">
        <v>0</v>
      </c>
      <c r="CY269" s="63" t="s">
        <v>388</v>
      </c>
      <c r="CZ269" s="58">
        <f>MIN(CX268:CX307)</f>
        <v>0</v>
      </c>
    </row>
    <row r="270" spans="1:104" x14ac:dyDescent="0.25">
      <c r="K270" s="5" t="s">
        <v>78</v>
      </c>
      <c r="L270">
        <v>0</v>
      </c>
      <c r="M270" s="17"/>
      <c r="N270" s="17"/>
      <c r="U270" s="5" t="s">
        <v>104</v>
      </c>
      <c r="V270">
        <v>0</v>
      </c>
      <c r="W270" s="17"/>
      <c r="X270" s="17"/>
      <c r="Z270" s="61" t="s">
        <v>90</v>
      </c>
      <c r="AA270" s="62">
        <v>0</v>
      </c>
      <c r="AB270" s="63" t="s">
        <v>389</v>
      </c>
      <c r="AC270" s="58">
        <f>MAX(AA268:AA307)</f>
        <v>2</v>
      </c>
      <c r="AE270" s="5" t="s">
        <v>129</v>
      </c>
      <c r="AF270">
        <v>0</v>
      </c>
      <c r="AG270" s="30" t="s">
        <v>387</v>
      </c>
      <c r="AH270" s="17">
        <f>SUM(AF270:AF284)</f>
        <v>2</v>
      </c>
      <c r="AO270" s="5" t="s">
        <v>154</v>
      </c>
      <c r="AP270">
        <v>2</v>
      </c>
      <c r="AQ270" s="30" t="s">
        <v>392</v>
      </c>
      <c r="AR270" s="17">
        <f>STDEV(AP265:AP289)</f>
        <v>3.566978179542641</v>
      </c>
      <c r="AT270" s="5" t="s">
        <v>177</v>
      </c>
      <c r="AU270">
        <v>0</v>
      </c>
      <c r="AV270" s="30" t="s">
        <v>389</v>
      </c>
      <c r="AW270" s="17">
        <f>MAX(AU268:AU285)</f>
        <v>1</v>
      </c>
      <c r="AY270" s="5" t="s">
        <v>219</v>
      </c>
      <c r="AZ270">
        <v>0</v>
      </c>
      <c r="BD270" s="5" t="s">
        <v>226</v>
      </c>
      <c r="BE270">
        <v>0</v>
      </c>
      <c r="BF270" s="30" t="s">
        <v>392</v>
      </c>
      <c r="BG270" s="17">
        <f>STDEV(BE265:BE289)</f>
        <v>0.27688746209726917</v>
      </c>
      <c r="BI270" s="5" t="s">
        <v>272</v>
      </c>
      <c r="BJ270">
        <v>5</v>
      </c>
      <c r="BN270" s="5" t="s">
        <v>280</v>
      </c>
      <c r="BO270">
        <v>2</v>
      </c>
      <c r="BP270" s="17"/>
      <c r="BQ270" s="17"/>
      <c r="BX270" s="61" t="s">
        <v>278</v>
      </c>
      <c r="BY270" s="62">
        <v>0</v>
      </c>
      <c r="BZ270" s="63" t="s">
        <v>392</v>
      </c>
      <c r="CA270" s="58">
        <f>STDEV(BY265:BY289)</f>
        <v>0.74833147735478822</v>
      </c>
      <c r="CO270" s="17"/>
      <c r="CP270" s="17"/>
      <c r="CR270" s="5" t="s">
        <v>339</v>
      </c>
      <c r="CS270">
        <v>0</v>
      </c>
      <c r="CW270" s="61" t="s">
        <v>323</v>
      </c>
      <c r="CX270" s="62">
        <v>0</v>
      </c>
      <c r="CY270" s="63" t="s">
        <v>389</v>
      </c>
      <c r="CZ270" s="58">
        <f>MAX(CX268:CX307)</f>
        <v>1</v>
      </c>
    </row>
    <row r="271" spans="1:104" x14ac:dyDescent="0.25">
      <c r="A271" s="17" t="s">
        <v>382</v>
      </c>
      <c r="B271" s="29" t="s">
        <v>361</v>
      </c>
      <c r="C271" s="17"/>
      <c r="D271" s="17">
        <v>2016</v>
      </c>
      <c r="K271" s="5" t="s">
        <v>79</v>
      </c>
      <c r="L271">
        <v>0</v>
      </c>
      <c r="M271" s="17"/>
      <c r="N271" s="17"/>
      <c r="U271" s="5" t="s">
        <v>105</v>
      </c>
      <c r="V271">
        <v>0</v>
      </c>
      <c r="W271" s="17"/>
      <c r="X271" s="17"/>
      <c r="Z271" s="61" t="s">
        <v>91</v>
      </c>
      <c r="AA271" s="62">
        <v>0</v>
      </c>
      <c r="AB271" s="63" t="s">
        <v>390</v>
      </c>
      <c r="AC271" s="58">
        <f>VAR(AA268:AA307)</f>
        <v>0.25064102564102564</v>
      </c>
      <c r="AE271" s="5" t="s">
        <v>130</v>
      </c>
      <c r="AF271">
        <v>0</v>
      </c>
      <c r="AG271" s="30" t="s">
        <v>388</v>
      </c>
      <c r="AH271" s="17">
        <f>MIN(AF270:AF284)</f>
        <v>0</v>
      </c>
      <c r="AO271" s="5" t="s">
        <v>155</v>
      </c>
      <c r="AP271">
        <v>9</v>
      </c>
      <c r="AQ271" s="17"/>
      <c r="AR271" s="17"/>
      <c r="AT271" s="5" t="s">
        <v>178</v>
      </c>
      <c r="AU271">
        <v>0</v>
      </c>
      <c r="AV271" s="30" t="s">
        <v>390</v>
      </c>
      <c r="AW271" s="17">
        <f>VAR(AU268:AU285)</f>
        <v>5.5555555555555552E-2</v>
      </c>
      <c r="AY271" s="5" t="s">
        <v>220</v>
      </c>
      <c r="AZ271">
        <v>0</v>
      </c>
      <c r="BD271" s="5" t="s">
        <v>227</v>
      </c>
      <c r="BE271">
        <v>0</v>
      </c>
      <c r="BF271" s="17"/>
      <c r="BG271" s="17"/>
      <c r="BI271" s="5" t="s">
        <v>273</v>
      </c>
      <c r="BJ271">
        <v>4</v>
      </c>
      <c r="BN271" s="5" t="s">
        <v>281</v>
      </c>
      <c r="BO271">
        <v>1</v>
      </c>
      <c r="BP271" s="17"/>
      <c r="BQ271" s="17"/>
      <c r="BX271" s="61" t="s">
        <v>280</v>
      </c>
      <c r="BY271" s="62">
        <v>0</v>
      </c>
      <c r="BZ271" s="58"/>
      <c r="CA271" s="58"/>
      <c r="CC271" s="17" t="s">
        <v>382</v>
      </c>
      <c r="CD271" s="29" t="s">
        <v>375</v>
      </c>
      <c r="CE271" s="17"/>
      <c r="CF271" s="17">
        <v>2016</v>
      </c>
      <c r="CO271" s="17"/>
      <c r="CP271" s="17"/>
      <c r="CR271" s="5" t="s">
        <v>340</v>
      </c>
      <c r="CS271">
        <v>0</v>
      </c>
      <c r="CW271" s="61" t="s">
        <v>324</v>
      </c>
      <c r="CX271" s="62">
        <v>0</v>
      </c>
      <c r="CY271" s="63" t="s">
        <v>390</v>
      </c>
      <c r="CZ271" s="58">
        <f>VAR(CX268:CX307)</f>
        <v>9.2307692307692313E-2</v>
      </c>
    </row>
    <row r="272" spans="1:104" x14ac:dyDescent="0.25">
      <c r="A272" s="17" t="s">
        <v>383</v>
      </c>
      <c r="B272" s="6" t="s">
        <v>23</v>
      </c>
      <c r="C272" s="17"/>
      <c r="D272" s="17"/>
      <c r="K272" s="5" t="s">
        <v>80</v>
      </c>
      <c r="L272">
        <v>0</v>
      </c>
      <c r="M272" s="17"/>
      <c r="N272" s="17"/>
      <c r="U272" s="5" t="s">
        <v>106</v>
      </c>
      <c r="V272">
        <v>0</v>
      </c>
      <c r="W272" s="17"/>
      <c r="X272" s="17"/>
      <c r="Z272" s="61" t="s">
        <v>92</v>
      </c>
      <c r="AA272" s="62">
        <v>0</v>
      </c>
      <c r="AB272" s="63" t="s">
        <v>391</v>
      </c>
      <c r="AC272" s="58">
        <f>AVERAGE(AA268:AA307)</f>
        <v>0.17499999999999999</v>
      </c>
      <c r="AE272" s="5" t="s">
        <v>131</v>
      </c>
      <c r="AF272">
        <v>0</v>
      </c>
      <c r="AG272" s="30" t="s">
        <v>389</v>
      </c>
      <c r="AH272" s="17">
        <f>MAX(AF270:AF284)</f>
        <v>2</v>
      </c>
      <c r="AO272" s="5" t="s">
        <v>156</v>
      </c>
      <c r="AP272">
        <v>3</v>
      </c>
      <c r="AQ272" s="17"/>
      <c r="AR272" s="17"/>
      <c r="AT272" s="5" t="s">
        <v>179</v>
      </c>
      <c r="AU272">
        <v>0</v>
      </c>
      <c r="AV272" s="30" t="s">
        <v>391</v>
      </c>
      <c r="AW272" s="17">
        <f>AVERAGE(AU268:AU285)</f>
        <v>5.5555555555555552E-2</v>
      </c>
      <c r="BD272" s="5" t="s">
        <v>228</v>
      </c>
      <c r="BE272">
        <v>0</v>
      </c>
      <c r="BF272" s="17"/>
      <c r="BG272" s="17"/>
      <c r="BN272" s="5" t="s">
        <v>282</v>
      </c>
      <c r="BO272">
        <v>1</v>
      </c>
      <c r="BP272" s="17"/>
      <c r="BQ272" s="17"/>
      <c r="BX272" s="61" t="s">
        <v>281</v>
      </c>
      <c r="BY272" s="62">
        <v>0</v>
      </c>
      <c r="BZ272" s="58"/>
      <c r="CA272" s="58"/>
      <c r="CC272" s="17" t="s">
        <v>383</v>
      </c>
      <c r="CD272" s="6" t="s">
        <v>21</v>
      </c>
      <c r="CE272" s="17"/>
      <c r="CF272" s="17"/>
      <c r="CO272" s="17"/>
      <c r="CP272" s="17"/>
      <c r="CR272" s="5" t="s">
        <v>341</v>
      </c>
      <c r="CS272">
        <v>0</v>
      </c>
      <c r="CW272" s="61" t="s">
        <v>325</v>
      </c>
      <c r="CX272" s="62">
        <v>0</v>
      </c>
      <c r="CY272" s="63" t="s">
        <v>391</v>
      </c>
      <c r="CZ272" s="58">
        <f>AVERAGE(CX268:CX307)</f>
        <v>0.1</v>
      </c>
    </row>
    <row r="273" spans="1:104" x14ac:dyDescent="0.25">
      <c r="A273" s="17" t="s">
        <v>384</v>
      </c>
      <c r="B273" s="17" t="s">
        <v>39</v>
      </c>
      <c r="C273" s="17" t="s">
        <v>385</v>
      </c>
      <c r="D273" s="17" t="s">
        <v>386</v>
      </c>
      <c r="K273" s="5" t="s">
        <v>81</v>
      </c>
      <c r="L273">
        <v>1</v>
      </c>
      <c r="M273" s="17"/>
      <c r="N273" s="17"/>
      <c r="U273" s="5" t="s">
        <v>61</v>
      </c>
      <c r="V273">
        <v>0</v>
      </c>
      <c r="W273" s="17"/>
      <c r="X273" s="17"/>
      <c r="Z273" s="61" t="s">
        <v>93</v>
      </c>
      <c r="AA273" s="62">
        <v>0</v>
      </c>
      <c r="AB273" s="63" t="s">
        <v>392</v>
      </c>
      <c r="AC273" s="58">
        <f>STDEV(AA268:AA307)</f>
        <v>0.50064061525312309</v>
      </c>
      <c r="AE273" s="5" t="s">
        <v>132</v>
      </c>
      <c r="AF273">
        <v>0</v>
      </c>
      <c r="AG273" s="30" t="s">
        <v>390</v>
      </c>
      <c r="AH273" s="17">
        <f>VAR(AF270:AF284)</f>
        <v>0.26666666666666666</v>
      </c>
      <c r="AO273" s="5" t="s">
        <v>157</v>
      </c>
      <c r="AP273">
        <v>6</v>
      </c>
      <c r="AQ273" s="17"/>
      <c r="AR273" s="17"/>
      <c r="AT273" s="5" t="s">
        <v>180</v>
      </c>
      <c r="AU273">
        <v>0</v>
      </c>
      <c r="AV273" s="30" t="s">
        <v>392</v>
      </c>
      <c r="AW273" s="17">
        <f>STDEV(AU268:AU285)</f>
        <v>0.23570226039551584</v>
      </c>
      <c r="AY273" s="17" t="s">
        <v>382</v>
      </c>
      <c r="AZ273" s="29" t="s">
        <v>370</v>
      </c>
      <c r="BA273" s="17"/>
      <c r="BB273" s="17">
        <v>2016</v>
      </c>
      <c r="BD273" s="5" t="s">
        <v>229</v>
      </c>
      <c r="BE273">
        <v>0</v>
      </c>
      <c r="BF273" s="17"/>
      <c r="BG273" s="17"/>
      <c r="BI273" s="17" t="s">
        <v>382</v>
      </c>
      <c r="BJ273" s="29" t="s">
        <v>372</v>
      </c>
      <c r="BK273" s="17"/>
      <c r="BL273" s="17">
        <v>2016</v>
      </c>
      <c r="BN273" s="5" t="s">
        <v>283</v>
      </c>
      <c r="BO273">
        <v>0</v>
      </c>
      <c r="BP273" s="17"/>
      <c r="BQ273" s="17"/>
      <c r="BX273" s="61" t="s">
        <v>282</v>
      </c>
      <c r="BY273" s="62">
        <v>0</v>
      </c>
      <c r="BZ273" s="58"/>
      <c r="CA273" s="58"/>
      <c r="CC273" s="17" t="s">
        <v>384</v>
      </c>
      <c r="CD273" s="17" t="s">
        <v>39</v>
      </c>
      <c r="CE273" s="17" t="s">
        <v>385</v>
      </c>
      <c r="CF273" s="17" t="s">
        <v>386</v>
      </c>
      <c r="CO273" s="17"/>
      <c r="CP273" s="17"/>
      <c r="CR273" s="5" t="s">
        <v>342</v>
      </c>
      <c r="CS273">
        <v>0</v>
      </c>
      <c r="CW273" s="61" t="s">
        <v>326</v>
      </c>
      <c r="CX273" s="62">
        <v>0</v>
      </c>
      <c r="CY273" s="63" t="s">
        <v>392</v>
      </c>
      <c r="CZ273" s="58">
        <f>STDEV(CX268:CX307)</f>
        <v>0.30382181012510001</v>
      </c>
    </row>
    <row r="274" spans="1:104" x14ac:dyDescent="0.25">
      <c r="A274" s="5" t="s">
        <v>40</v>
      </c>
      <c r="B274">
        <v>0</v>
      </c>
      <c r="C274" s="30" t="s">
        <v>387</v>
      </c>
      <c r="D274" s="17">
        <f>SUM(B274:B296)</f>
        <v>1</v>
      </c>
      <c r="K274" s="5" t="s">
        <v>82</v>
      </c>
      <c r="L274">
        <v>0</v>
      </c>
      <c r="M274" s="17"/>
      <c r="N274" s="17"/>
      <c r="U274" s="5" t="s">
        <v>107</v>
      </c>
      <c r="V274">
        <v>0</v>
      </c>
      <c r="W274" s="17"/>
      <c r="X274" s="17"/>
      <c r="Z274" s="61" t="s">
        <v>94</v>
      </c>
      <c r="AA274" s="62">
        <v>0</v>
      </c>
      <c r="AB274" s="58"/>
      <c r="AC274" s="58"/>
      <c r="AE274" s="5" t="s">
        <v>133</v>
      </c>
      <c r="AF274">
        <v>0</v>
      </c>
      <c r="AG274" s="30" t="s">
        <v>391</v>
      </c>
      <c r="AH274" s="17">
        <f>AVERAGE(AF270:AF284)</f>
        <v>0.13333333333333333</v>
      </c>
      <c r="AO274" s="5" t="s">
        <v>158</v>
      </c>
      <c r="AP274">
        <v>7</v>
      </c>
      <c r="AQ274" s="17"/>
      <c r="AR274" s="17"/>
      <c r="AT274" s="5" t="s">
        <v>181</v>
      </c>
      <c r="AU274">
        <v>0</v>
      </c>
      <c r="AV274" s="17"/>
      <c r="AW274" s="17"/>
      <c r="AY274" s="17" t="s">
        <v>383</v>
      </c>
      <c r="AZ274" s="6" t="s">
        <v>167</v>
      </c>
      <c r="BA274" s="17"/>
      <c r="BB274" s="17"/>
      <c r="BD274" s="5" t="s">
        <v>230</v>
      </c>
      <c r="BE274">
        <v>0</v>
      </c>
      <c r="BF274" s="17"/>
      <c r="BG274" s="17"/>
      <c r="BI274" s="17" t="s">
        <v>383</v>
      </c>
      <c r="BJ274" s="6" t="s">
        <v>167</v>
      </c>
      <c r="BK274" s="17"/>
      <c r="BL274" s="17"/>
      <c r="BN274" s="5" t="s">
        <v>285</v>
      </c>
      <c r="BO274">
        <v>1</v>
      </c>
      <c r="BP274" s="17"/>
      <c r="BQ274" s="17"/>
      <c r="BX274" s="61" t="s">
        <v>283</v>
      </c>
      <c r="BY274" s="62">
        <v>0</v>
      </c>
      <c r="BZ274" s="58"/>
      <c r="CA274" s="58"/>
      <c r="CC274" s="5" t="s">
        <v>299</v>
      </c>
      <c r="CD274">
        <v>0</v>
      </c>
      <c r="CE274" s="30" t="s">
        <v>387</v>
      </c>
      <c r="CF274" s="17">
        <f>SUM(CD274:CD296)</f>
        <v>1</v>
      </c>
      <c r="CO274" s="17"/>
      <c r="CP274" s="17"/>
      <c r="CR274" s="5" t="s">
        <v>343</v>
      </c>
      <c r="CS274">
        <v>0</v>
      </c>
      <c r="CW274" s="61" t="s">
        <v>327</v>
      </c>
      <c r="CX274" s="62">
        <v>0</v>
      </c>
      <c r="CY274" s="58"/>
      <c r="CZ274" s="58"/>
    </row>
    <row r="275" spans="1:104" x14ac:dyDescent="0.25">
      <c r="A275" s="5" t="s">
        <v>41</v>
      </c>
      <c r="B275">
        <v>0</v>
      </c>
      <c r="C275" s="30" t="s">
        <v>388</v>
      </c>
      <c r="D275" s="17">
        <f>MIN(B274:B296)</f>
        <v>0</v>
      </c>
      <c r="K275" s="5" t="s">
        <v>83</v>
      </c>
      <c r="L275">
        <v>0</v>
      </c>
      <c r="M275" s="17"/>
      <c r="N275" s="17"/>
      <c r="U275" s="5" t="s">
        <v>108</v>
      </c>
      <c r="V275">
        <v>0</v>
      </c>
      <c r="W275" s="17"/>
      <c r="X275" s="17"/>
      <c r="Z275" s="61" t="s">
        <v>96</v>
      </c>
      <c r="AA275" s="62">
        <v>0</v>
      </c>
      <c r="AE275" s="5" t="s">
        <v>134</v>
      </c>
      <c r="AF275">
        <v>0</v>
      </c>
      <c r="AG275" s="30" t="s">
        <v>392</v>
      </c>
      <c r="AH275" s="17">
        <f>STDEV(AF270:AF284)</f>
        <v>0.5163977794943222</v>
      </c>
      <c r="AO275" s="5" t="s">
        <v>159</v>
      </c>
      <c r="AP275">
        <v>0</v>
      </c>
      <c r="AQ275" s="17"/>
      <c r="AR275" s="17"/>
      <c r="AT275" s="5" t="s">
        <v>182</v>
      </c>
      <c r="AU275">
        <v>0</v>
      </c>
      <c r="AV275" s="17"/>
      <c r="AW275" s="17"/>
      <c r="AY275" s="17" t="s">
        <v>384</v>
      </c>
      <c r="AZ275" s="17" t="s">
        <v>39</v>
      </c>
      <c r="BA275" s="17" t="s">
        <v>385</v>
      </c>
      <c r="BB275" s="17" t="s">
        <v>386</v>
      </c>
      <c r="BD275" s="5" t="s">
        <v>231</v>
      </c>
      <c r="BE275">
        <v>0</v>
      </c>
      <c r="BF275" s="17"/>
      <c r="BG275" s="17"/>
      <c r="BI275" s="17" t="s">
        <v>384</v>
      </c>
      <c r="BJ275" s="17" t="s">
        <v>39</v>
      </c>
      <c r="BK275" s="17" t="s">
        <v>385</v>
      </c>
      <c r="BL275" s="17" t="s">
        <v>386</v>
      </c>
      <c r="BN275" s="5" t="s">
        <v>284</v>
      </c>
      <c r="BO275">
        <v>0</v>
      </c>
      <c r="BP275" s="17"/>
      <c r="BQ275" s="17"/>
      <c r="BX275" s="61" t="s">
        <v>285</v>
      </c>
      <c r="BY275" s="62">
        <v>0</v>
      </c>
      <c r="BZ275" s="58"/>
      <c r="CA275" s="58"/>
      <c r="CC275" s="5" t="s">
        <v>300</v>
      </c>
      <c r="CD275">
        <v>0</v>
      </c>
      <c r="CE275" s="30" t="s">
        <v>388</v>
      </c>
      <c r="CF275" s="17">
        <f>MIN(CD274:CD296)</f>
        <v>0</v>
      </c>
      <c r="CO275" s="17"/>
      <c r="CP275" s="17"/>
      <c r="CR275" s="5" t="s">
        <v>344</v>
      </c>
      <c r="CS275">
        <v>0</v>
      </c>
      <c r="CW275" s="61" t="s">
        <v>328</v>
      </c>
      <c r="CX275" s="62">
        <v>0</v>
      </c>
    </row>
    <row r="276" spans="1:104" x14ac:dyDescent="0.25">
      <c r="A276" s="5" t="s">
        <v>42</v>
      </c>
      <c r="B276">
        <v>0</v>
      </c>
      <c r="C276" s="30" t="s">
        <v>389</v>
      </c>
      <c r="D276" s="17">
        <f>MAX(B274:B296)</f>
        <v>1</v>
      </c>
      <c r="K276" s="5" t="s">
        <v>84</v>
      </c>
      <c r="L276">
        <v>0</v>
      </c>
      <c r="M276" s="17"/>
      <c r="N276" s="17"/>
      <c r="U276" s="5" t="s">
        <v>109</v>
      </c>
      <c r="V276">
        <v>0</v>
      </c>
      <c r="W276" s="17"/>
      <c r="X276" s="17"/>
      <c r="Z276" s="61" t="s">
        <v>97</v>
      </c>
      <c r="AA276" s="62">
        <v>0</v>
      </c>
      <c r="AE276" s="5" t="s">
        <v>135</v>
      </c>
      <c r="AF276">
        <v>0</v>
      </c>
      <c r="AG276" s="17"/>
      <c r="AH276" s="17"/>
      <c r="AO276" s="5" t="s">
        <v>100</v>
      </c>
      <c r="AP276">
        <v>9</v>
      </c>
      <c r="AQ276" s="17"/>
      <c r="AR276" s="17"/>
      <c r="AT276" s="5" t="s">
        <v>183</v>
      </c>
      <c r="AU276">
        <v>0</v>
      </c>
      <c r="AV276" s="17"/>
      <c r="AW276" s="17"/>
      <c r="AY276" s="5" t="s">
        <v>192</v>
      </c>
      <c r="AZ276">
        <v>0</v>
      </c>
      <c r="BA276" s="30" t="s">
        <v>387</v>
      </c>
      <c r="BB276" s="17">
        <f>SUM(AZ276:AZ305)</f>
        <v>1</v>
      </c>
      <c r="BD276" s="5" t="s">
        <v>232</v>
      </c>
      <c r="BE276">
        <v>0</v>
      </c>
      <c r="BF276" s="17"/>
      <c r="BG276" s="17"/>
      <c r="BI276" s="5" t="s">
        <v>245</v>
      </c>
      <c r="BJ276">
        <v>0</v>
      </c>
      <c r="BK276" s="30" t="s">
        <v>387</v>
      </c>
      <c r="BL276" s="17">
        <f>SUM(BJ276:BJ305)</f>
        <v>1</v>
      </c>
      <c r="BN276" s="5" t="s">
        <v>286</v>
      </c>
      <c r="BO276">
        <v>0</v>
      </c>
      <c r="BP276" s="17"/>
      <c r="BQ276" s="17"/>
      <c r="BX276" s="61" t="s">
        <v>284</v>
      </c>
      <c r="BY276" s="62">
        <v>0</v>
      </c>
      <c r="BZ276" s="58"/>
      <c r="CA276" s="58"/>
      <c r="CC276" s="5" t="s">
        <v>301</v>
      </c>
      <c r="CD276">
        <v>0</v>
      </c>
      <c r="CE276" s="30" t="s">
        <v>389</v>
      </c>
      <c r="CF276" s="17">
        <f>MAX(CD274:CD296)</f>
        <v>1</v>
      </c>
      <c r="CO276" s="17"/>
      <c r="CP276" s="17"/>
      <c r="CR276" s="5" t="s">
        <v>345</v>
      </c>
      <c r="CS276">
        <v>0</v>
      </c>
      <c r="CW276" s="61" t="s">
        <v>329</v>
      </c>
      <c r="CX276" s="62">
        <v>0</v>
      </c>
    </row>
    <row r="277" spans="1:104" x14ac:dyDescent="0.25">
      <c r="A277" s="5" t="s">
        <v>43</v>
      </c>
      <c r="B277">
        <v>0</v>
      </c>
      <c r="C277" s="30" t="s">
        <v>390</v>
      </c>
      <c r="D277" s="17">
        <f>VAR(B274:B296)</f>
        <v>4.3478260869565216E-2</v>
      </c>
      <c r="K277" s="5" t="s">
        <v>85</v>
      </c>
      <c r="L277">
        <v>0</v>
      </c>
      <c r="M277" s="17"/>
      <c r="N277" s="17"/>
      <c r="U277" s="5" t="s">
        <v>110</v>
      </c>
      <c r="V277">
        <v>0</v>
      </c>
      <c r="W277" s="17"/>
      <c r="X277" s="17"/>
      <c r="Z277" s="61" t="s">
        <v>98</v>
      </c>
      <c r="AA277" s="62">
        <v>0</v>
      </c>
      <c r="AE277" s="5" t="s">
        <v>136</v>
      </c>
      <c r="AF277">
        <v>0</v>
      </c>
      <c r="AG277" s="17"/>
      <c r="AH277" s="17"/>
      <c r="AO277" s="5" t="s">
        <v>161</v>
      </c>
      <c r="AP277">
        <v>14</v>
      </c>
      <c r="AQ277" s="17"/>
      <c r="AR277" s="17"/>
      <c r="AT277" s="5" t="s">
        <v>184</v>
      </c>
      <c r="AU277">
        <v>0</v>
      </c>
      <c r="AV277" s="17"/>
      <c r="AW277" s="17"/>
      <c r="AY277" s="5" t="s">
        <v>193</v>
      </c>
      <c r="AZ277">
        <v>0</v>
      </c>
      <c r="BA277" s="30" t="s">
        <v>388</v>
      </c>
      <c r="BB277" s="17">
        <f>MIN(AZ276:AZ305)</f>
        <v>0</v>
      </c>
      <c r="BD277" s="5" t="s">
        <v>233</v>
      </c>
      <c r="BE277">
        <v>0</v>
      </c>
      <c r="BF277" s="17"/>
      <c r="BG277" s="17"/>
      <c r="BI277" s="5" t="s">
        <v>73</v>
      </c>
      <c r="BJ277">
        <v>0</v>
      </c>
      <c r="BK277" s="30" t="s">
        <v>388</v>
      </c>
      <c r="BL277" s="17">
        <f>MIN(BJ276:BJ305)</f>
        <v>0</v>
      </c>
      <c r="BN277" s="5" t="s">
        <v>287</v>
      </c>
      <c r="BO277">
        <v>0</v>
      </c>
      <c r="BP277" s="17"/>
      <c r="BQ277" s="17"/>
      <c r="BX277" s="61" t="s">
        <v>286</v>
      </c>
      <c r="BY277" s="62">
        <v>0</v>
      </c>
      <c r="BZ277" s="58"/>
      <c r="CA277" s="58"/>
      <c r="CC277" s="5" t="s">
        <v>302</v>
      </c>
      <c r="CD277">
        <v>0</v>
      </c>
      <c r="CE277" s="30" t="s">
        <v>390</v>
      </c>
      <c r="CF277" s="17">
        <f>VAR(CD274:CD296)</f>
        <v>4.3478260869565216E-2</v>
      </c>
      <c r="CO277" s="17"/>
      <c r="CP277" s="17"/>
      <c r="CR277" s="5" t="s">
        <v>346</v>
      </c>
      <c r="CS277">
        <v>0</v>
      </c>
      <c r="CW277" s="61" t="s">
        <v>330</v>
      </c>
      <c r="CX277" s="62">
        <v>0</v>
      </c>
    </row>
    <row r="278" spans="1:104" x14ac:dyDescent="0.25">
      <c r="A278" s="5" t="s">
        <v>44</v>
      </c>
      <c r="B278">
        <v>0</v>
      </c>
      <c r="C278" s="30" t="s">
        <v>391</v>
      </c>
      <c r="D278" s="17">
        <f>AVERAGE(B274:B296)</f>
        <v>4.3478260869565216E-2</v>
      </c>
      <c r="K278" s="5" t="s">
        <v>86</v>
      </c>
      <c r="L278">
        <v>0</v>
      </c>
      <c r="M278" s="17"/>
      <c r="N278" s="17"/>
      <c r="U278" s="5" t="s">
        <v>111</v>
      </c>
      <c r="V278">
        <v>0</v>
      </c>
      <c r="W278" s="17"/>
      <c r="X278" s="17"/>
      <c r="Z278" s="61" t="s">
        <v>99</v>
      </c>
      <c r="AA278" s="62">
        <v>0</v>
      </c>
      <c r="AE278" s="5" t="s">
        <v>44</v>
      </c>
      <c r="AF278">
        <v>0</v>
      </c>
      <c r="AG278" s="17"/>
      <c r="AH278" s="17"/>
      <c r="AO278" s="5" t="s">
        <v>162</v>
      </c>
      <c r="AP278">
        <v>4</v>
      </c>
      <c r="AQ278" s="17"/>
      <c r="AR278" s="17"/>
      <c r="AT278" s="5" t="s">
        <v>185</v>
      </c>
      <c r="AU278">
        <v>0</v>
      </c>
      <c r="AV278" s="17"/>
      <c r="AW278" s="17"/>
      <c r="AY278" s="5" t="s">
        <v>194</v>
      </c>
      <c r="AZ278">
        <v>0</v>
      </c>
      <c r="BA278" s="30" t="s">
        <v>389</v>
      </c>
      <c r="BB278" s="17">
        <f>MAX(AZ276:AZ305)</f>
        <v>1</v>
      </c>
      <c r="BD278" s="5" t="s">
        <v>234</v>
      </c>
      <c r="BE278">
        <v>0</v>
      </c>
      <c r="BF278" s="17"/>
      <c r="BG278" s="17"/>
      <c r="BI278" s="5" t="s">
        <v>246</v>
      </c>
      <c r="BJ278">
        <v>0</v>
      </c>
      <c r="BK278" s="30" t="s">
        <v>389</v>
      </c>
      <c r="BL278" s="17">
        <f>MAX(BJ276:BJ305)</f>
        <v>1</v>
      </c>
      <c r="BN278" s="5" t="s">
        <v>288</v>
      </c>
      <c r="BO278">
        <v>0</v>
      </c>
      <c r="BP278" s="17"/>
      <c r="BQ278" s="17"/>
      <c r="BX278" s="61" t="s">
        <v>287</v>
      </c>
      <c r="BY278" s="62">
        <v>0</v>
      </c>
      <c r="BZ278" s="58"/>
      <c r="CA278" s="58"/>
      <c r="CC278" s="5" t="s">
        <v>303</v>
      </c>
      <c r="CD278">
        <v>0</v>
      </c>
      <c r="CE278" s="30" t="s">
        <v>391</v>
      </c>
      <c r="CF278" s="17">
        <f>AVERAGE(CD274:CD296)</f>
        <v>4.3478260869565216E-2</v>
      </c>
      <c r="CO278" s="17"/>
      <c r="CP278" s="17"/>
      <c r="CR278" s="5" t="s">
        <v>347</v>
      </c>
      <c r="CS278">
        <v>0</v>
      </c>
      <c r="CW278" s="61" t="s">
        <v>331</v>
      </c>
      <c r="CX278" s="62">
        <v>0</v>
      </c>
    </row>
    <row r="279" spans="1:104" x14ac:dyDescent="0.25">
      <c r="A279" s="5" t="s">
        <v>45</v>
      </c>
      <c r="B279">
        <v>0</v>
      </c>
      <c r="C279" s="30" t="s">
        <v>392</v>
      </c>
      <c r="D279" s="17">
        <f>STDEV(B274:B296)</f>
        <v>0.20851441405707477</v>
      </c>
      <c r="K279" s="5" t="s">
        <v>87</v>
      </c>
      <c r="L279">
        <v>0</v>
      </c>
      <c r="M279" s="17"/>
      <c r="N279" s="17"/>
      <c r="U279" s="5" t="s">
        <v>112</v>
      </c>
      <c r="V279">
        <v>0</v>
      </c>
      <c r="W279" s="17"/>
      <c r="X279" s="17"/>
      <c r="Z279" s="61" t="s">
        <v>100</v>
      </c>
      <c r="AA279" s="62">
        <v>1</v>
      </c>
      <c r="AE279" s="5" t="s">
        <v>137</v>
      </c>
      <c r="AF279">
        <v>0</v>
      </c>
      <c r="AG279" s="17"/>
      <c r="AH279" s="17"/>
      <c r="AO279" s="5" t="s">
        <v>163</v>
      </c>
      <c r="AP279">
        <v>7</v>
      </c>
      <c r="AQ279" s="17"/>
      <c r="AR279" s="17"/>
      <c r="AT279" s="5" t="s">
        <v>186</v>
      </c>
      <c r="AU279">
        <v>0</v>
      </c>
      <c r="AV279" s="17"/>
      <c r="AW279" s="17"/>
      <c r="AY279" s="5" t="s">
        <v>195</v>
      </c>
      <c r="AZ279">
        <v>0</v>
      </c>
      <c r="BA279" s="30" t="s">
        <v>390</v>
      </c>
      <c r="BB279" s="17">
        <f>VAR(AZ276:AZ305)</f>
        <v>3.3333333333333333E-2</v>
      </c>
      <c r="BD279" s="5" t="s">
        <v>157</v>
      </c>
      <c r="BE279">
        <v>0</v>
      </c>
      <c r="BF279" s="17"/>
      <c r="BG279" s="17"/>
      <c r="BI279" s="5" t="s">
        <v>247</v>
      </c>
      <c r="BJ279">
        <v>0</v>
      </c>
      <c r="BK279" s="30" t="s">
        <v>390</v>
      </c>
      <c r="BL279" s="17">
        <f>VAR(BJ276:BJ305)</f>
        <v>3.3333333333333333E-2</v>
      </c>
      <c r="BN279" s="5" t="s">
        <v>289</v>
      </c>
      <c r="BO279">
        <v>0</v>
      </c>
      <c r="BP279" s="17"/>
      <c r="BQ279" s="17"/>
      <c r="BX279" s="61" t="s">
        <v>288</v>
      </c>
      <c r="BY279" s="62">
        <v>1</v>
      </c>
      <c r="BZ279" s="58"/>
      <c r="CA279" s="58"/>
      <c r="CC279" s="5" t="s">
        <v>304</v>
      </c>
      <c r="CD279">
        <v>0</v>
      </c>
      <c r="CE279" s="30" t="s">
        <v>392</v>
      </c>
      <c r="CF279" s="17">
        <f>STDEV(CD274:CD296)</f>
        <v>0.20851441405707477</v>
      </c>
      <c r="CR279" s="5" t="s">
        <v>348</v>
      </c>
      <c r="CS279">
        <v>0</v>
      </c>
      <c r="CW279" s="61" t="s">
        <v>332</v>
      </c>
      <c r="CX279" s="62">
        <v>0</v>
      </c>
    </row>
    <row r="280" spans="1:104" x14ac:dyDescent="0.25">
      <c r="A280" s="5" t="s">
        <v>47</v>
      </c>
      <c r="B280">
        <v>0</v>
      </c>
      <c r="C280" s="17"/>
      <c r="D280" s="17"/>
      <c r="U280" s="5" t="s">
        <v>113</v>
      </c>
      <c r="V280">
        <v>1</v>
      </c>
      <c r="W280" s="15"/>
      <c r="X280" s="15"/>
      <c r="Z280" s="61" t="s">
        <v>101</v>
      </c>
      <c r="AA280" s="62">
        <v>0</v>
      </c>
      <c r="AE280" s="5" t="s">
        <v>138</v>
      </c>
      <c r="AF280">
        <v>0</v>
      </c>
      <c r="AG280" s="17"/>
      <c r="AH280" s="17"/>
      <c r="AO280" s="5" t="s">
        <v>164</v>
      </c>
      <c r="AP280">
        <v>2</v>
      </c>
      <c r="AQ280" s="17"/>
      <c r="AR280" s="17"/>
      <c r="AT280" s="5" t="s">
        <v>187</v>
      </c>
      <c r="AU280">
        <v>0</v>
      </c>
      <c r="AV280" s="17"/>
      <c r="AW280" s="17"/>
      <c r="AY280" s="5" t="s">
        <v>196</v>
      </c>
      <c r="AZ280">
        <v>0</v>
      </c>
      <c r="BA280" s="30" t="s">
        <v>391</v>
      </c>
      <c r="BB280" s="17">
        <f>AVERAGE(AZ276:AZ305)</f>
        <v>3.3333333333333333E-2</v>
      </c>
      <c r="BD280" s="5" t="s">
        <v>235</v>
      </c>
      <c r="BE280">
        <v>0</v>
      </c>
      <c r="BF280" s="17"/>
      <c r="BG280" s="17"/>
      <c r="BI280" s="5" t="s">
        <v>248</v>
      </c>
      <c r="BJ280">
        <v>0</v>
      </c>
      <c r="BK280" s="30" t="s">
        <v>391</v>
      </c>
      <c r="BL280" s="17">
        <f>AVERAGE(BJ276:BJ305)</f>
        <v>3.3333333333333333E-2</v>
      </c>
      <c r="BX280" s="61" t="s">
        <v>289</v>
      </c>
      <c r="BY280" s="62">
        <v>0</v>
      </c>
      <c r="BZ280" s="58"/>
      <c r="CA280" s="58"/>
      <c r="CC280" s="5" t="s">
        <v>305</v>
      </c>
      <c r="CD280">
        <v>0</v>
      </c>
      <c r="CE280" s="17"/>
      <c r="CF280" s="17"/>
      <c r="CR280" s="5" t="s">
        <v>349</v>
      </c>
      <c r="CS280">
        <v>0</v>
      </c>
      <c r="CW280" s="61" t="s">
        <v>333</v>
      </c>
      <c r="CX280" s="62">
        <v>0</v>
      </c>
    </row>
    <row r="281" spans="1:104" x14ac:dyDescent="0.25">
      <c r="A281" s="5" t="s">
        <v>48</v>
      </c>
      <c r="B281">
        <v>1</v>
      </c>
      <c r="C281" s="17"/>
      <c r="D281" s="17"/>
      <c r="K281" s="17" t="s">
        <v>382</v>
      </c>
      <c r="L281" s="29" t="s">
        <v>363</v>
      </c>
      <c r="M281" s="17"/>
      <c r="N281" s="17">
        <v>2016</v>
      </c>
      <c r="U281" s="26" t="s">
        <v>114</v>
      </c>
      <c r="V281">
        <v>0</v>
      </c>
      <c r="W281" s="17"/>
      <c r="X281" s="17"/>
      <c r="Z281" s="61" t="s">
        <v>103</v>
      </c>
      <c r="AA281" s="62">
        <v>0</v>
      </c>
      <c r="AE281" s="5" t="s">
        <v>139</v>
      </c>
      <c r="AF281">
        <v>2</v>
      </c>
      <c r="AG281" s="17"/>
      <c r="AH281" s="17"/>
      <c r="AO281" s="5" t="s">
        <v>165</v>
      </c>
      <c r="AP281">
        <v>4</v>
      </c>
      <c r="AQ281" s="17"/>
      <c r="AR281" s="17"/>
      <c r="AT281" s="5" t="s">
        <v>188</v>
      </c>
      <c r="AU281">
        <v>0</v>
      </c>
      <c r="AV281" s="17"/>
      <c r="AW281" s="17"/>
      <c r="AY281" s="5" t="s">
        <v>197</v>
      </c>
      <c r="AZ281">
        <v>0</v>
      </c>
      <c r="BA281" s="30" t="s">
        <v>392</v>
      </c>
      <c r="BB281" s="17">
        <f>STDEV(AZ276:AZ305)</f>
        <v>0.18257418583505536</v>
      </c>
      <c r="BD281" s="5" t="s">
        <v>236</v>
      </c>
      <c r="BE281">
        <v>0</v>
      </c>
      <c r="BF281" s="17"/>
      <c r="BG281" s="17"/>
      <c r="BI281" s="5" t="s">
        <v>249</v>
      </c>
      <c r="BJ281">
        <v>0</v>
      </c>
      <c r="BK281" s="30" t="s">
        <v>392</v>
      </c>
      <c r="BL281" s="17">
        <f>STDEV(BJ276:BJ305)</f>
        <v>0.18257418583505536</v>
      </c>
      <c r="BN281" s="17" t="s">
        <v>382</v>
      </c>
      <c r="BO281" s="29" t="s">
        <v>440</v>
      </c>
      <c r="BP281" s="17"/>
      <c r="BQ281" s="17">
        <v>2016</v>
      </c>
      <c r="BX281" s="61" t="s">
        <v>290</v>
      </c>
      <c r="BY281" s="62">
        <v>0</v>
      </c>
      <c r="CC281" s="5" t="s">
        <v>306</v>
      </c>
      <c r="CD281">
        <v>0</v>
      </c>
      <c r="CE281" s="17"/>
      <c r="CF281" s="17"/>
      <c r="CR281" s="5" t="s">
        <v>350</v>
      </c>
      <c r="CS281">
        <v>0</v>
      </c>
      <c r="CW281" s="61" t="s">
        <v>334</v>
      </c>
      <c r="CX281" s="62">
        <v>0</v>
      </c>
    </row>
    <row r="282" spans="1:104" x14ac:dyDescent="0.25">
      <c r="A282" s="5" t="s">
        <v>49</v>
      </c>
      <c r="B282">
        <v>0</v>
      </c>
      <c r="C282" s="17"/>
      <c r="D282" s="17"/>
      <c r="K282" s="17" t="s">
        <v>383</v>
      </c>
      <c r="L282" s="6" t="s">
        <v>32</v>
      </c>
      <c r="M282" s="17"/>
      <c r="N282" s="17"/>
      <c r="U282" s="26" t="s">
        <v>115</v>
      </c>
      <c r="V282">
        <v>0</v>
      </c>
      <c r="W282" s="17"/>
      <c r="X282" s="17"/>
      <c r="Z282" s="61" t="s">
        <v>104</v>
      </c>
      <c r="AA282" s="62">
        <v>0</v>
      </c>
      <c r="AE282" s="5" t="s">
        <v>140</v>
      </c>
      <c r="AF282">
        <v>0</v>
      </c>
      <c r="AG282" s="17"/>
      <c r="AH282" s="17"/>
      <c r="AO282" s="5" t="s">
        <v>166</v>
      </c>
      <c r="AP282">
        <v>6</v>
      </c>
      <c r="AQ282" s="15"/>
      <c r="AR282" s="15"/>
      <c r="AT282" s="5" t="s">
        <v>395</v>
      </c>
      <c r="AU282">
        <v>1</v>
      </c>
      <c r="AV282" s="17"/>
      <c r="AW282" s="17"/>
      <c r="AY282" s="5" t="s">
        <v>198</v>
      </c>
      <c r="AZ282">
        <v>0</v>
      </c>
      <c r="BA282" s="17"/>
      <c r="BB282" s="17"/>
      <c r="BD282" s="5" t="s">
        <v>237</v>
      </c>
      <c r="BE282">
        <v>1</v>
      </c>
      <c r="BF282" s="15"/>
      <c r="BG282" s="15"/>
      <c r="BI282" s="5" t="s">
        <v>250</v>
      </c>
      <c r="BJ282">
        <v>0</v>
      </c>
      <c r="BK282" s="17"/>
      <c r="BL282" s="17"/>
      <c r="BN282" s="17" t="s">
        <v>383</v>
      </c>
      <c r="BO282" s="6" t="s">
        <v>26</v>
      </c>
      <c r="BP282" s="17"/>
      <c r="BQ282" s="17"/>
      <c r="BX282" s="61" t="s">
        <v>291</v>
      </c>
      <c r="BY282" s="62">
        <v>0</v>
      </c>
      <c r="CC282" s="5" t="s">
        <v>93</v>
      </c>
      <c r="CD282">
        <v>0</v>
      </c>
      <c r="CE282" s="17"/>
      <c r="CF282" s="17"/>
      <c r="CR282" s="5" t="s">
        <v>351</v>
      </c>
      <c r="CS282">
        <v>0</v>
      </c>
      <c r="CW282" s="61" t="s">
        <v>335</v>
      </c>
      <c r="CX282" s="62">
        <v>0</v>
      </c>
    </row>
    <row r="283" spans="1:104" x14ac:dyDescent="0.25">
      <c r="A283" s="5" t="s">
        <v>50</v>
      </c>
      <c r="B283">
        <v>0</v>
      </c>
      <c r="C283" s="17"/>
      <c r="D283" s="17"/>
      <c r="K283" s="17" t="s">
        <v>384</v>
      </c>
      <c r="L283" s="17" t="s">
        <v>39</v>
      </c>
      <c r="M283" s="17" t="s">
        <v>385</v>
      </c>
      <c r="N283" s="17" t="s">
        <v>386</v>
      </c>
      <c r="U283" s="26" t="s">
        <v>116</v>
      </c>
      <c r="V283">
        <v>0</v>
      </c>
      <c r="W283" s="17"/>
      <c r="X283" s="1"/>
      <c r="Z283" s="61" t="s">
        <v>105</v>
      </c>
      <c r="AA283" s="62">
        <v>0</v>
      </c>
      <c r="AE283" s="5" t="s">
        <v>141</v>
      </c>
      <c r="AF283">
        <v>0</v>
      </c>
      <c r="AG283" s="17"/>
      <c r="AH283" s="17"/>
      <c r="AO283" s="5" t="s">
        <v>168</v>
      </c>
      <c r="AP283">
        <v>9</v>
      </c>
      <c r="AQ283" s="17"/>
      <c r="AR283" s="17"/>
      <c r="AT283" s="5" t="s">
        <v>189</v>
      </c>
      <c r="AU283">
        <v>0</v>
      </c>
      <c r="AV283" s="17"/>
      <c r="AW283" s="17"/>
      <c r="AY283" s="5" t="s">
        <v>161</v>
      </c>
      <c r="AZ283">
        <v>0</v>
      </c>
      <c r="BA283" s="17"/>
      <c r="BB283" s="17"/>
      <c r="BD283" s="5" t="s">
        <v>238</v>
      </c>
      <c r="BE283">
        <v>0</v>
      </c>
      <c r="BI283" s="5" t="s">
        <v>251</v>
      </c>
      <c r="BJ283">
        <v>0</v>
      </c>
      <c r="BK283" s="17"/>
      <c r="BL283" s="17"/>
      <c r="BN283" s="17" t="s">
        <v>384</v>
      </c>
      <c r="BO283" s="17" t="s">
        <v>39</v>
      </c>
      <c r="BP283" s="17" t="s">
        <v>385</v>
      </c>
      <c r="BQ283" s="17" t="s">
        <v>386</v>
      </c>
      <c r="BX283" s="61" t="s">
        <v>292</v>
      </c>
      <c r="BY283" s="62">
        <v>3</v>
      </c>
      <c r="CC283" s="5" t="s">
        <v>307</v>
      </c>
      <c r="CD283">
        <v>0</v>
      </c>
      <c r="CE283" s="17"/>
      <c r="CF283" s="17"/>
      <c r="CR283" s="5" t="s">
        <v>352</v>
      </c>
      <c r="CS283">
        <v>0</v>
      </c>
      <c r="CW283" s="61" t="s">
        <v>43</v>
      </c>
      <c r="CX283" s="62">
        <v>0</v>
      </c>
    </row>
    <row r="284" spans="1:104" x14ac:dyDescent="0.25">
      <c r="A284" s="5" t="s">
        <v>51</v>
      </c>
      <c r="B284">
        <v>0</v>
      </c>
      <c r="C284" s="17"/>
      <c r="D284" s="17"/>
      <c r="K284" s="5" t="s">
        <v>72</v>
      </c>
      <c r="L284">
        <v>15</v>
      </c>
      <c r="M284" s="30" t="s">
        <v>387</v>
      </c>
      <c r="N284" s="17">
        <f>SUM(L284:L299)</f>
        <v>179</v>
      </c>
      <c r="U284" s="26" t="s">
        <v>117</v>
      </c>
      <c r="V284">
        <v>0</v>
      </c>
      <c r="W284" s="17"/>
      <c r="X284" s="1"/>
      <c r="Z284" s="61" t="s">
        <v>106</v>
      </c>
      <c r="AA284" s="62">
        <v>0</v>
      </c>
      <c r="AE284" s="5" t="s">
        <v>142</v>
      </c>
      <c r="AF284">
        <v>0</v>
      </c>
      <c r="AG284" s="17"/>
      <c r="AH284" s="17"/>
      <c r="AO284" s="5" t="s">
        <v>169</v>
      </c>
      <c r="AP284">
        <v>5</v>
      </c>
      <c r="AQ284" s="17"/>
      <c r="AR284" s="17"/>
      <c r="AT284" s="5" t="s">
        <v>190</v>
      </c>
      <c r="AU284">
        <v>0</v>
      </c>
      <c r="AV284" s="17"/>
      <c r="AW284" s="17"/>
      <c r="AY284" s="5" t="s">
        <v>199</v>
      </c>
      <c r="AZ284">
        <v>1</v>
      </c>
      <c r="BA284" s="17"/>
      <c r="BB284" s="17"/>
      <c r="BD284" s="5" t="s">
        <v>239</v>
      </c>
      <c r="BE284">
        <v>0</v>
      </c>
      <c r="BI284" s="5" t="s">
        <v>252</v>
      </c>
      <c r="BJ284">
        <v>0</v>
      </c>
      <c r="BK284" s="17"/>
      <c r="BL284" s="17"/>
      <c r="BN284" s="5" t="s">
        <v>274</v>
      </c>
      <c r="BO284">
        <v>0</v>
      </c>
      <c r="BP284" s="30" t="s">
        <v>387</v>
      </c>
      <c r="BQ284" s="17">
        <f>SUM(BO284:BO299)</f>
        <v>2</v>
      </c>
      <c r="BX284" s="61" t="s">
        <v>293</v>
      </c>
      <c r="BY284" s="62">
        <v>0</v>
      </c>
      <c r="CC284" s="5" t="s">
        <v>308</v>
      </c>
      <c r="CD284">
        <v>1</v>
      </c>
      <c r="CE284" s="17"/>
      <c r="CF284" s="17"/>
      <c r="CR284" s="5" t="s">
        <v>353</v>
      </c>
      <c r="CS284">
        <v>1</v>
      </c>
      <c r="CW284" s="61" t="s">
        <v>336</v>
      </c>
      <c r="CX284" s="62">
        <v>0</v>
      </c>
    </row>
    <row r="285" spans="1:104" x14ac:dyDescent="0.25">
      <c r="A285" s="5" t="s">
        <v>52</v>
      </c>
      <c r="B285">
        <v>0</v>
      </c>
      <c r="C285" s="17"/>
      <c r="D285" s="17"/>
      <c r="K285" s="5" t="s">
        <v>73</v>
      </c>
      <c r="L285">
        <v>6</v>
      </c>
      <c r="M285" s="30" t="s">
        <v>388</v>
      </c>
      <c r="N285" s="17">
        <f>MIN(L284:L299)</f>
        <v>4</v>
      </c>
      <c r="U285" s="26" t="s">
        <v>118</v>
      </c>
      <c r="V285">
        <v>0</v>
      </c>
      <c r="W285" s="17"/>
      <c r="X285" s="1"/>
      <c r="Z285" s="61" t="s">
        <v>61</v>
      </c>
      <c r="AA285" s="62">
        <v>0</v>
      </c>
      <c r="AO285" s="5" t="s">
        <v>170</v>
      </c>
      <c r="AP285">
        <v>6</v>
      </c>
      <c r="AQ285" s="17"/>
      <c r="AR285" s="1"/>
      <c r="AT285" s="5" t="s">
        <v>191</v>
      </c>
      <c r="AU285">
        <v>0</v>
      </c>
      <c r="AV285" s="15"/>
      <c r="AW285" s="15"/>
      <c r="AY285" s="5" t="s">
        <v>200</v>
      </c>
      <c r="AZ285">
        <v>0</v>
      </c>
      <c r="BA285" s="17"/>
      <c r="BB285" s="17"/>
      <c r="BD285" s="5" t="s">
        <v>240</v>
      </c>
      <c r="BE285">
        <v>0</v>
      </c>
      <c r="BI285" s="5" t="s">
        <v>253</v>
      </c>
      <c r="BJ285">
        <v>0</v>
      </c>
      <c r="BK285" s="17"/>
      <c r="BL285" s="17"/>
      <c r="BN285" s="5" t="s">
        <v>275</v>
      </c>
      <c r="BO285">
        <v>0</v>
      </c>
      <c r="BP285" s="30" t="s">
        <v>388</v>
      </c>
      <c r="BQ285" s="17">
        <f>MIN(BO284:BO299)</f>
        <v>0</v>
      </c>
      <c r="BX285" s="61" t="s">
        <v>294</v>
      </c>
      <c r="BY285" s="62">
        <v>0</v>
      </c>
      <c r="CC285" s="5" t="s">
        <v>309</v>
      </c>
      <c r="CD285">
        <v>0</v>
      </c>
      <c r="CE285" s="17"/>
      <c r="CF285" s="17"/>
      <c r="CR285" s="5" t="s">
        <v>354</v>
      </c>
      <c r="CS285">
        <v>0</v>
      </c>
      <c r="CW285" s="61" t="s">
        <v>337</v>
      </c>
      <c r="CX285" s="62">
        <v>0</v>
      </c>
    </row>
    <row r="286" spans="1:104" x14ac:dyDescent="0.25">
      <c r="A286" s="5" t="s">
        <v>53</v>
      </c>
      <c r="B286">
        <v>0</v>
      </c>
      <c r="C286" s="17"/>
      <c r="D286" s="17"/>
      <c r="K286" s="5" t="s">
        <v>74</v>
      </c>
      <c r="L286">
        <v>6</v>
      </c>
      <c r="M286" s="30" t="s">
        <v>389</v>
      </c>
      <c r="N286" s="17">
        <f>MAX(L284:L299)</f>
        <v>20</v>
      </c>
      <c r="U286" s="26" t="s">
        <v>119</v>
      </c>
      <c r="V286">
        <v>0</v>
      </c>
      <c r="Z286" s="61" t="s">
        <v>107</v>
      </c>
      <c r="AA286" s="62">
        <v>0</v>
      </c>
      <c r="AE286" s="17" t="s">
        <v>382</v>
      </c>
      <c r="AF286" s="29" t="s">
        <v>366</v>
      </c>
      <c r="AG286" s="17"/>
      <c r="AH286" s="17">
        <v>2016</v>
      </c>
      <c r="AO286" s="5" t="s">
        <v>171</v>
      </c>
      <c r="AP286">
        <v>8</v>
      </c>
      <c r="AQ286" s="17"/>
      <c r="AR286" s="1"/>
      <c r="AY286" s="5" t="s">
        <v>201</v>
      </c>
      <c r="AZ286">
        <v>0</v>
      </c>
      <c r="BA286" s="17"/>
      <c r="BB286" s="17"/>
      <c r="BD286" s="5" t="s">
        <v>241</v>
      </c>
      <c r="BE286">
        <v>0</v>
      </c>
      <c r="BI286" s="5" t="s">
        <v>254</v>
      </c>
      <c r="BJ286">
        <v>0</v>
      </c>
      <c r="BK286" s="17"/>
      <c r="BL286" s="17"/>
      <c r="BN286" s="5" t="s">
        <v>276</v>
      </c>
      <c r="BO286">
        <v>0</v>
      </c>
      <c r="BP286" s="30" t="s">
        <v>389</v>
      </c>
      <c r="BQ286" s="17">
        <f>MAX(BO284:BO299)</f>
        <v>1</v>
      </c>
      <c r="BX286" s="61" t="s">
        <v>295</v>
      </c>
      <c r="BY286" s="62">
        <v>0</v>
      </c>
      <c r="CC286" s="5" t="s">
        <v>310</v>
      </c>
      <c r="CD286">
        <v>0</v>
      </c>
      <c r="CE286" s="17"/>
      <c r="CF286" s="17"/>
      <c r="CR286" s="5" t="s">
        <v>355</v>
      </c>
      <c r="CS286">
        <v>0</v>
      </c>
      <c r="CW286" s="61" t="s">
        <v>338</v>
      </c>
      <c r="CX286" s="62">
        <v>0</v>
      </c>
    </row>
    <row r="287" spans="1:104" x14ac:dyDescent="0.25">
      <c r="A287" s="5" t="s">
        <v>54</v>
      </c>
      <c r="B287">
        <v>0</v>
      </c>
      <c r="C287" s="17"/>
      <c r="D287" s="17"/>
      <c r="K287" s="5" t="s">
        <v>75</v>
      </c>
      <c r="L287">
        <v>19</v>
      </c>
      <c r="M287" s="30" t="s">
        <v>390</v>
      </c>
      <c r="N287" s="17">
        <f>VAR(L284:L299)</f>
        <v>35.762500000000003</v>
      </c>
      <c r="U287" s="5" t="s">
        <v>120</v>
      </c>
      <c r="V287">
        <v>0</v>
      </c>
      <c r="Z287" s="61" t="s">
        <v>108</v>
      </c>
      <c r="AA287" s="62">
        <v>0</v>
      </c>
      <c r="AE287" s="17" t="s">
        <v>383</v>
      </c>
      <c r="AF287" s="6" t="s">
        <v>32</v>
      </c>
      <c r="AG287" s="17"/>
      <c r="AH287" s="17"/>
      <c r="AO287" s="5" t="s">
        <v>172</v>
      </c>
      <c r="AP287">
        <v>6</v>
      </c>
      <c r="AQ287" s="17"/>
      <c r="AR287" s="1"/>
      <c r="AT287" s="17" t="s">
        <v>382</v>
      </c>
      <c r="AU287" s="29" t="s">
        <v>369</v>
      </c>
      <c r="AV287" s="17"/>
      <c r="AW287" s="17">
        <v>2016</v>
      </c>
      <c r="AY287" s="5" t="s">
        <v>202</v>
      </c>
      <c r="AZ287">
        <v>0</v>
      </c>
      <c r="BA287" s="17"/>
      <c r="BB287" s="17"/>
      <c r="BD287" s="5" t="s">
        <v>242</v>
      </c>
      <c r="BE287">
        <v>0</v>
      </c>
      <c r="BI287" s="5" t="s">
        <v>255</v>
      </c>
      <c r="BJ287">
        <v>1</v>
      </c>
      <c r="BK287" s="17"/>
      <c r="BL287" s="17"/>
      <c r="BN287" s="5" t="s">
        <v>277</v>
      </c>
      <c r="BO287">
        <v>0</v>
      </c>
      <c r="BP287" s="30" t="s">
        <v>390</v>
      </c>
      <c r="BQ287" s="17">
        <f>VAR(BO284:BO299)</f>
        <v>0.11666666666666667</v>
      </c>
      <c r="BX287" s="61" t="s">
        <v>296</v>
      </c>
      <c r="BY287" s="62">
        <v>0</v>
      </c>
      <c r="CC287" s="5" t="s">
        <v>311</v>
      </c>
      <c r="CD287">
        <v>0</v>
      </c>
      <c r="CE287" s="17"/>
      <c r="CF287" s="17"/>
      <c r="CR287" s="2" t="s">
        <v>356</v>
      </c>
      <c r="CS287">
        <v>1</v>
      </c>
      <c r="CW287" s="61" t="s">
        <v>339</v>
      </c>
      <c r="CX287" s="62">
        <v>0</v>
      </c>
    </row>
    <row r="288" spans="1:104" x14ac:dyDescent="0.25">
      <c r="A288" s="5" t="s">
        <v>55</v>
      </c>
      <c r="B288">
        <v>0</v>
      </c>
      <c r="C288" s="17"/>
      <c r="D288" s="17"/>
      <c r="K288" s="5" t="s">
        <v>76</v>
      </c>
      <c r="L288">
        <v>4</v>
      </c>
      <c r="M288" s="30" t="s">
        <v>391</v>
      </c>
      <c r="N288" s="17">
        <f>AVERAGE(L284:L299)</f>
        <v>11.1875</v>
      </c>
      <c r="U288" s="5" t="s">
        <v>121</v>
      </c>
      <c r="V288">
        <v>1</v>
      </c>
      <c r="Z288" s="61" t="s">
        <v>109</v>
      </c>
      <c r="AA288" s="62">
        <v>1</v>
      </c>
      <c r="AE288" s="17" t="s">
        <v>384</v>
      </c>
      <c r="AF288" s="17" t="s">
        <v>39</v>
      </c>
      <c r="AG288" s="17" t="s">
        <v>385</v>
      </c>
      <c r="AH288" s="17" t="s">
        <v>386</v>
      </c>
      <c r="AO288" s="5" t="s">
        <v>173</v>
      </c>
      <c r="AP288">
        <v>11</v>
      </c>
      <c r="AT288" s="17" t="s">
        <v>383</v>
      </c>
      <c r="AU288" s="6" t="s">
        <v>102</v>
      </c>
      <c r="AV288" s="17"/>
      <c r="AW288" s="17"/>
      <c r="AY288" s="5" t="s">
        <v>203</v>
      </c>
      <c r="AZ288">
        <v>0</v>
      </c>
      <c r="BA288" s="17"/>
      <c r="BB288" s="17"/>
      <c r="BD288" s="5" t="s">
        <v>243</v>
      </c>
      <c r="BE288">
        <v>0</v>
      </c>
      <c r="BI288" s="5" t="s">
        <v>256</v>
      </c>
      <c r="BJ288">
        <v>0</v>
      </c>
      <c r="BK288" s="17"/>
      <c r="BL288" s="17"/>
      <c r="BN288" s="5" t="s">
        <v>279</v>
      </c>
      <c r="BO288">
        <v>1</v>
      </c>
      <c r="BP288" s="30" t="s">
        <v>391</v>
      </c>
      <c r="BQ288" s="17">
        <f>AVERAGE(BO284:BO299)</f>
        <v>0.125</v>
      </c>
      <c r="BX288" s="61" t="s">
        <v>297</v>
      </c>
      <c r="BY288" s="62">
        <v>0</v>
      </c>
      <c r="CC288" s="5" t="s">
        <v>312</v>
      </c>
      <c r="CD288">
        <v>0</v>
      </c>
      <c r="CE288" s="17"/>
      <c r="CF288" s="17"/>
      <c r="CR288" s="2" t="s">
        <v>357</v>
      </c>
      <c r="CS288">
        <v>0</v>
      </c>
      <c r="CW288" s="61" t="s">
        <v>340</v>
      </c>
      <c r="CX288" s="62">
        <v>1</v>
      </c>
    </row>
    <row r="289" spans="1:102" x14ac:dyDescent="0.25">
      <c r="A289" s="5" t="s">
        <v>56</v>
      </c>
      <c r="B289">
        <v>0</v>
      </c>
      <c r="C289" s="17"/>
      <c r="D289" s="17"/>
      <c r="K289" s="5" t="s">
        <v>77</v>
      </c>
      <c r="L289">
        <v>7</v>
      </c>
      <c r="M289" s="30" t="s">
        <v>392</v>
      </c>
      <c r="N289" s="17">
        <f>STDEV(L284:L299)</f>
        <v>5.9801755827065817</v>
      </c>
      <c r="U289" s="5" t="s">
        <v>122</v>
      </c>
      <c r="V289">
        <v>0</v>
      </c>
      <c r="Z289" s="61" t="s">
        <v>110</v>
      </c>
      <c r="AA289" s="62">
        <v>0</v>
      </c>
      <c r="AE289" s="5" t="s">
        <v>129</v>
      </c>
      <c r="AF289">
        <v>9</v>
      </c>
      <c r="AG289" s="30" t="s">
        <v>387</v>
      </c>
      <c r="AH289" s="17">
        <f>SUM(AF289:AF303)</f>
        <v>162</v>
      </c>
      <c r="AO289" s="5" t="s">
        <v>174</v>
      </c>
      <c r="AP289">
        <v>7</v>
      </c>
      <c r="AT289" s="17" t="s">
        <v>384</v>
      </c>
      <c r="AU289" s="17" t="s">
        <v>39</v>
      </c>
      <c r="AV289" s="17" t="s">
        <v>385</v>
      </c>
      <c r="AW289" s="17" t="s">
        <v>386</v>
      </c>
      <c r="AY289" s="5" t="s">
        <v>204</v>
      </c>
      <c r="AZ289">
        <v>0</v>
      </c>
      <c r="BA289" s="17"/>
      <c r="BB289" s="17"/>
      <c r="BD289" s="5" t="s">
        <v>244</v>
      </c>
      <c r="BE289">
        <v>0</v>
      </c>
      <c r="BI289" s="5" t="s">
        <v>257</v>
      </c>
      <c r="BJ289">
        <v>0</v>
      </c>
      <c r="BK289" s="17"/>
      <c r="BL289" s="17"/>
      <c r="BN289" s="5" t="s">
        <v>278</v>
      </c>
      <c r="BO289">
        <v>0</v>
      </c>
      <c r="BP289" s="30" t="s">
        <v>392</v>
      </c>
      <c r="BQ289" s="17">
        <f>STDEV(BO284:BO299)</f>
        <v>0.34156502553198659</v>
      </c>
      <c r="BX289" s="61" t="s">
        <v>298</v>
      </c>
      <c r="BY289" s="62">
        <v>1</v>
      </c>
      <c r="CC289" s="5" t="s">
        <v>313</v>
      </c>
      <c r="CD289">
        <v>0</v>
      </c>
      <c r="CE289" s="17"/>
      <c r="CF289" s="17"/>
      <c r="CR289" s="2" t="s">
        <v>358</v>
      </c>
      <c r="CS289">
        <v>0</v>
      </c>
      <c r="CW289" s="61" t="s">
        <v>341</v>
      </c>
      <c r="CX289" s="62">
        <v>0</v>
      </c>
    </row>
    <row r="290" spans="1:102" x14ac:dyDescent="0.25">
      <c r="A290" s="5" t="s">
        <v>57</v>
      </c>
      <c r="B290">
        <v>0</v>
      </c>
      <c r="C290" s="17"/>
      <c r="D290" s="17"/>
      <c r="K290" s="5" t="s">
        <v>78</v>
      </c>
      <c r="L290">
        <v>20</v>
      </c>
      <c r="M290" s="17"/>
      <c r="N290" s="17"/>
      <c r="U290" s="5" t="s">
        <v>123</v>
      </c>
      <c r="V290">
        <v>0</v>
      </c>
      <c r="Z290" s="61" t="s">
        <v>111</v>
      </c>
      <c r="AA290" s="62">
        <v>0</v>
      </c>
      <c r="AE290" s="5" t="s">
        <v>130</v>
      </c>
      <c r="AF290">
        <v>3</v>
      </c>
      <c r="AG290" s="30" t="s">
        <v>388</v>
      </c>
      <c r="AH290" s="17">
        <f>MIN(AF289:AF303)</f>
        <v>3</v>
      </c>
      <c r="AT290" s="5" t="s">
        <v>175</v>
      </c>
      <c r="AU290">
        <v>0</v>
      </c>
      <c r="AV290" s="30" t="s">
        <v>387</v>
      </c>
      <c r="AW290" s="17">
        <f>SUM(AU290:AU307)</f>
        <v>1</v>
      </c>
      <c r="AY290" s="5" t="s">
        <v>205</v>
      </c>
      <c r="AZ290">
        <v>0</v>
      </c>
      <c r="BA290" s="17"/>
      <c r="BB290" s="17"/>
      <c r="BI290" s="5" t="s">
        <v>258</v>
      </c>
      <c r="BJ290">
        <v>0</v>
      </c>
      <c r="BK290" s="17"/>
      <c r="BL290" s="17"/>
      <c r="BN290" s="5" t="s">
        <v>280</v>
      </c>
      <c r="BO290">
        <v>0</v>
      </c>
      <c r="BP290" s="17"/>
      <c r="BQ290" s="17"/>
      <c r="CC290" s="5" t="s">
        <v>314</v>
      </c>
      <c r="CD290">
        <v>0</v>
      </c>
      <c r="CR290" s="3" t="s">
        <v>359</v>
      </c>
      <c r="CS290">
        <v>0</v>
      </c>
      <c r="CW290" s="61" t="s">
        <v>342</v>
      </c>
      <c r="CX290" s="62">
        <v>0</v>
      </c>
    </row>
    <row r="291" spans="1:102" x14ac:dyDescent="0.25">
      <c r="A291" s="5" t="s">
        <v>58</v>
      </c>
      <c r="B291">
        <v>0</v>
      </c>
      <c r="C291" s="15"/>
      <c r="D291" s="15"/>
      <c r="K291" s="5" t="s">
        <v>79</v>
      </c>
      <c r="L291">
        <v>13</v>
      </c>
      <c r="M291" s="17"/>
      <c r="N291" s="17"/>
      <c r="U291" s="5" t="s">
        <v>124</v>
      </c>
      <c r="V291">
        <v>0</v>
      </c>
      <c r="Z291" s="61" t="s">
        <v>112</v>
      </c>
      <c r="AA291" s="62">
        <v>0</v>
      </c>
      <c r="AE291" s="5" t="s">
        <v>131</v>
      </c>
      <c r="AF291">
        <v>10</v>
      </c>
      <c r="AG291" s="30" t="s">
        <v>389</v>
      </c>
      <c r="AH291" s="17">
        <f>MAX(AF289:AF303)</f>
        <v>23</v>
      </c>
      <c r="AO291" s="17" t="s">
        <v>382</v>
      </c>
      <c r="AP291" s="29" t="s">
        <v>368</v>
      </c>
      <c r="AQ291" s="17"/>
      <c r="AR291" s="17">
        <v>2016</v>
      </c>
      <c r="AT291" s="5" t="s">
        <v>176</v>
      </c>
      <c r="AU291">
        <v>0</v>
      </c>
      <c r="AV291" s="30" t="s">
        <v>388</v>
      </c>
      <c r="AW291" s="17">
        <f>MIN(AU290:AU307)</f>
        <v>0</v>
      </c>
      <c r="AY291" s="5" t="s">
        <v>206</v>
      </c>
      <c r="AZ291">
        <v>0</v>
      </c>
      <c r="BA291" s="17"/>
      <c r="BB291" s="17"/>
      <c r="BD291" s="17" t="s">
        <v>382</v>
      </c>
      <c r="BE291" s="29" t="s">
        <v>371</v>
      </c>
      <c r="BF291" s="17"/>
      <c r="BG291" s="17">
        <v>2016</v>
      </c>
      <c r="BI291" s="5" t="s">
        <v>259</v>
      </c>
      <c r="BJ291">
        <v>0</v>
      </c>
      <c r="BK291" s="17"/>
      <c r="BL291" s="17"/>
      <c r="BN291" s="5" t="s">
        <v>281</v>
      </c>
      <c r="BO291">
        <v>0</v>
      </c>
      <c r="BP291" s="17"/>
      <c r="BQ291" s="17"/>
      <c r="BX291" s="58" t="s">
        <v>382</v>
      </c>
      <c r="BY291" s="59" t="s">
        <v>628</v>
      </c>
      <c r="BZ291" s="58"/>
      <c r="CA291" s="58">
        <v>2016</v>
      </c>
      <c r="CC291" s="5" t="s">
        <v>315</v>
      </c>
      <c r="CD291">
        <v>0</v>
      </c>
      <c r="CW291" s="61" t="s">
        <v>343</v>
      </c>
      <c r="CX291" s="62">
        <v>1</v>
      </c>
    </row>
    <row r="292" spans="1:102" x14ac:dyDescent="0.25">
      <c r="A292" s="5" t="s">
        <v>60</v>
      </c>
      <c r="B292">
        <v>0</v>
      </c>
      <c r="C292" s="17"/>
      <c r="D292" s="17"/>
      <c r="K292" s="5" t="s">
        <v>80</v>
      </c>
      <c r="L292">
        <v>20</v>
      </c>
      <c r="M292" s="17"/>
      <c r="N292" s="17"/>
      <c r="U292" s="5" t="s">
        <v>125</v>
      </c>
      <c r="V292">
        <v>0</v>
      </c>
      <c r="Z292" s="61" t="s">
        <v>113</v>
      </c>
      <c r="AA292" s="62">
        <v>1</v>
      </c>
      <c r="AE292" s="5" t="s">
        <v>132</v>
      </c>
      <c r="AF292">
        <v>12</v>
      </c>
      <c r="AG292" s="30" t="s">
        <v>390</v>
      </c>
      <c r="AH292" s="17">
        <f>VAR(AF289:AF303)</f>
        <v>19.171428571428578</v>
      </c>
      <c r="AO292" s="17" t="s">
        <v>383</v>
      </c>
      <c r="AP292" s="6" t="s">
        <v>167</v>
      </c>
      <c r="AQ292" s="17"/>
      <c r="AR292" s="17"/>
      <c r="AT292" s="5" t="s">
        <v>177</v>
      </c>
      <c r="AU292">
        <v>0</v>
      </c>
      <c r="AV292" s="30" t="s">
        <v>389</v>
      </c>
      <c r="AW292" s="17">
        <f>MAX(AU290:AU307)</f>
        <v>1</v>
      </c>
      <c r="AY292" s="5" t="s">
        <v>207</v>
      </c>
      <c r="AZ292">
        <v>0</v>
      </c>
      <c r="BA292" s="17"/>
      <c r="BB292" s="17"/>
      <c r="BD292" s="17" t="s">
        <v>383</v>
      </c>
      <c r="BE292" s="6" t="s">
        <v>23</v>
      </c>
      <c r="BF292" s="17"/>
      <c r="BG292" s="17"/>
      <c r="BI292" s="5" t="s">
        <v>260</v>
      </c>
      <c r="BJ292">
        <v>0</v>
      </c>
      <c r="BK292" s="17"/>
      <c r="BL292" s="17"/>
      <c r="BN292" s="5" t="s">
        <v>282</v>
      </c>
      <c r="BO292">
        <v>0</v>
      </c>
      <c r="BP292" s="17"/>
      <c r="BQ292" s="17"/>
      <c r="BX292" s="58" t="s">
        <v>383</v>
      </c>
      <c r="BY292" s="60" t="s">
        <v>22</v>
      </c>
      <c r="BZ292" s="58"/>
      <c r="CA292" s="58"/>
      <c r="CC292" s="5" t="s">
        <v>316</v>
      </c>
      <c r="CD292">
        <v>0</v>
      </c>
      <c r="CW292" s="61" t="s">
        <v>344</v>
      </c>
      <c r="CX292" s="62">
        <v>0</v>
      </c>
    </row>
    <row r="293" spans="1:102" x14ac:dyDescent="0.25">
      <c r="A293" s="5" t="s">
        <v>61</v>
      </c>
      <c r="B293">
        <v>0</v>
      </c>
      <c r="C293" s="17"/>
      <c r="D293" s="17"/>
      <c r="K293" s="5" t="s">
        <v>81</v>
      </c>
      <c r="L293">
        <v>12</v>
      </c>
      <c r="M293" s="17"/>
      <c r="N293" s="17"/>
      <c r="U293" s="5" t="s">
        <v>126</v>
      </c>
      <c r="V293">
        <v>0</v>
      </c>
      <c r="Z293" s="64" t="s">
        <v>114</v>
      </c>
      <c r="AA293" s="62">
        <v>0</v>
      </c>
      <c r="AE293" s="5" t="s">
        <v>133</v>
      </c>
      <c r="AF293">
        <v>9</v>
      </c>
      <c r="AG293" s="30" t="s">
        <v>391</v>
      </c>
      <c r="AH293" s="17">
        <f>AVERAGE(AF289:AF303)</f>
        <v>10.8</v>
      </c>
      <c r="AO293" s="17" t="s">
        <v>384</v>
      </c>
      <c r="AP293" s="17" t="s">
        <v>39</v>
      </c>
      <c r="AQ293" s="17" t="s">
        <v>385</v>
      </c>
      <c r="AR293" s="17" t="s">
        <v>386</v>
      </c>
      <c r="AT293" s="5" t="s">
        <v>178</v>
      </c>
      <c r="AU293">
        <v>0</v>
      </c>
      <c r="AV293" s="30" t="s">
        <v>390</v>
      </c>
      <c r="AW293" s="17">
        <f>VAR(AU290:AU307)</f>
        <v>5.5555555555555552E-2</v>
      </c>
      <c r="AY293" s="5" t="s">
        <v>208</v>
      </c>
      <c r="AZ293">
        <v>0</v>
      </c>
      <c r="BA293" s="15"/>
      <c r="BB293" s="15"/>
      <c r="BD293" s="17" t="s">
        <v>384</v>
      </c>
      <c r="BE293" s="17" t="s">
        <v>39</v>
      </c>
      <c r="BF293" s="17" t="s">
        <v>385</v>
      </c>
      <c r="BG293" s="17" t="s">
        <v>386</v>
      </c>
      <c r="BI293" s="5" t="s">
        <v>261</v>
      </c>
      <c r="BJ293">
        <v>0</v>
      </c>
      <c r="BK293" s="15"/>
      <c r="BL293" s="15"/>
      <c r="BN293" s="5" t="s">
        <v>283</v>
      </c>
      <c r="BO293">
        <v>0</v>
      </c>
      <c r="BP293" s="17"/>
      <c r="BQ293" s="17"/>
      <c r="BX293" s="58" t="s">
        <v>384</v>
      </c>
      <c r="BY293" s="58" t="s">
        <v>39</v>
      </c>
      <c r="BZ293" s="58" t="s">
        <v>385</v>
      </c>
      <c r="CA293" s="58" t="s">
        <v>386</v>
      </c>
      <c r="CC293" s="5" t="s">
        <v>317</v>
      </c>
      <c r="CD293">
        <v>0</v>
      </c>
      <c r="CW293" s="61" t="s">
        <v>345</v>
      </c>
      <c r="CX293" s="62">
        <v>0</v>
      </c>
    </row>
    <row r="294" spans="1:102" x14ac:dyDescent="0.25">
      <c r="A294" s="5" t="s">
        <v>62</v>
      </c>
      <c r="B294">
        <v>0</v>
      </c>
      <c r="C294" s="17"/>
      <c r="D294" s="1"/>
      <c r="K294" s="5" t="s">
        <v>82</v>
      </c>
      <c r="L294">
        <v>17</v>
      </c>
      <c r="M294" s="17"/>
      <c r="N294" s="17"/>
      <c r="U294" s="5" t="s">
        <v>127</v>
      </c>
      <c r="V294">
        <v>0</v>
      </c>
      <c r="Z294" s="64" t="s">
        <v>115</v>
      </c>
      <c r="AA294" s="62">
        <v>0</v>
      </c>
      <c r="AE294" s="5" t="s">
        <v>134</v>
      </c>
      <c r="AF294">
        <v>14</v>
      </c>
      <c r="AG294" s="30" t="s">
        <v>392</v>
      </c>
      <c r="AH294" s="17">
        <f>STDEV(AF289:AF303)</f>
        <v>4.3785189929276971</v>
      </c>
      <c r="AO294" s="5" t="s">
        <v>149</v>
      </c>
      <c r="AP294">
        <v>0</v>
      </c>
      <c r="AQ294" s="30" t="s">
        <v>387</v>
      </c>
      <c r="AR294" s="17">
        <f>SUM(AP294:AP318)</f>
        <v>3</v>
      </c>
      <c r="AT294" s="5" t="s">
        <v>179</v>
      </c>
      <c r="AU294">
        <v>0</v>
      </c>
      <c r="AV294" s="30" t="s">
        <v>391</v>
      </c>
      <c r="AW294" s="17">
        <f>AVERAGE(AU290:AU307)</f>
        <v>5.5555555555555552E-2</v>
      </c>
      <c r="AY294" s="5" t="s">
        <v>209</v>
      </c>
      <c r="AZ294">
        <v>0</v>
      </c>
      <c r="BD294" s="5" t="s">
        <v>221</v>
      </c>
      <c r="BE294">
        <v>0</v>
      </c>
      <c r="BF294" s="30" t="s">
        <v>387</v>
      </c>
      <c r="BG294" s="17">
        <f>SUM(BE294:BE318)</f>
        <v>1</v>
      </c>
      <c r="BI294" s="5" t="s">
        <v>262</v>
      </c>
      <c r="BJ294">
        <v>0</v>
      </c>
      <c r="BN294" s="5" t="s">
        <v>285</v>
      </c>
      <c r="BO294">
        <v>0</v>
      </c>
      <c r="BP294" s="17"/>
      <c r="BQ294" s="17"/>
      <c r="BX294" s="61" t="s">
        <v>274</v>
      </c>
      <c r="BY294" s="62">
        <v>0</v>
      </c>
      <c r="BZ294" s="63" t="s">
        <v>387</v>
      </c>
      <c r="CA294" s="58">
        <f>SUM(BY294:BY318)</f>
        <v>8</v>
      </c>
      <c r="CC294" s="5" t="s">
        <v>318</v>
      </c>
      <c r="CD294">
        <v>0</v>
      </c>
      <c r="CW294" s="61" t="s">
        <v>346</v>
      </c>
      <c r="CX294" s="62">
        <v>0</v>
      </c>
    </row>
    <row r="295" spans="1:102" x14ac:dyDescent="0.25">
      <c r="A295" s="5" t="s">
        <v>63</v>
      </c>
      <c r="B295">
        <v>0</v>
      </c>
      <c r="C295" s="17"/>
      <c r="D295" s="1"/>
      <c r="K295" s="5" t="s">
        <v>83</v>
      </c>
      <c r="L295">
        <v>16</v>
      </c>
      <c r="M295" s="17"/>
      <c r="N295" s="17"/>
      <c r="U295" s="5" t="s">
        <v>128</v>
      </c>
      <c r="V295">
        <v>0</v>
      </c>
      <c r="Z295" s="64" t="s">
        <v>116</v>
      </c>
      <c r="AA295" s="62">
        <v>0</v>
      </c>
      <c r="AE295" s="5" t="s">
        <v>135</v>
      </c>
      <c r="AF295">
        <v>11</v>
      </c>
      <c r="AG295" s="17"/>
      <c r="AH295" s="17"/>
      <c r="AO295" s="5" t="s">
        <v>150</v>
      </c>
      <c r="AP295">
        <v>0</v>
      </c>
      <c r="AQ295" s="30" t="s">
        <v>388</v>
      </c>
      <c r="AR295" s="17">
        <f>MIN(AP294:AP318)</f>
        <v>0</v>
      </c>
      <c r="AT295" s="5" t="s">
        <v>180</v>
      </c>
      <c r="AU295">
        <v>1</v>
      </c>
      <c r="AV295" s="30" t="s">
        <v>392</v>
      </c>
      <c r="AW295" s="17">
        <f>STDEV(AU290:AU307)</f>
        <v>0.23570226039551584</v>
      </c>
      <c r="AY295" s="5" t="s">
        <v>210</v>
      </c>
      <c r="AZ295">
        <v>0</v>
      </c>
      <c r="BD295" s="5" t="s">
        <v>222</v>
      </c>
      <c r="BE295">
        <v>0</v>
      </c>
      <c r="BF295" s="30" t="s">
        <v>388</v>
      </c>
      <c r="BG295" s="17">
        <f>MIN(BE294:BE318)</f>
        <v>0</v>
      </c>
      <c r="BI295" s="5" t="s">
        <v>263</v>
      </c>
      <c r="BJ295">
        <v>0</v>
      </c>
      <c r="BN295" s="5" t="s">
        <v>284</v>
      </c>
      <c r="BO295">
        <v>0</v>
      </c>
      <c r="BP295" s="17"/>
      <c r="BQ295" s="17"/>
      <c r="BX295" s="61" t="s">
        <v>275</v>
      </c>
      <c r="BY295" s="62">
        <v>0</v>
      </c>
      <c r="BZ295" s="63" t="s">
        <v>388</v>
      </c>
      <c r="CA295" s="58">
        <f>MIN(BY294:BY318)</f>
        <v>0</v>
      </c>
      <c r="CC295" s="5" t="s">
        <v>319</v>
      </c>
      <c r="CD295">
        <v>0</v>
      </c>
      <c r="CW295" s="61" t="s">
        <v>347</v>
      </c>
      <c r="CX295" s="62">
        <v>1</v>
      </c>
    </row>
    <row r="296" spans="1:102" x14ac:dyDescent="0.25">
      <c r="A296" s="5" t="s">
        <v>64</v>
      </c>
      <c r="B296">
        <v>0</v>
      </c>
      <c r="C296" s="17"/>
      <c r="D296" s="1"/>
      <c r="K296" s="5" t="s">
        <v>84</v>
      </c>
      <c r="L296">
        <v>6</v>
      </c>
      <c r="M296" s="17"/>
      <c r="N296" s="17"/>
      <c r="Z296" s="64" t="s">
        <v>117</v>
      </c>
      <c r="AA296" s="62">
        <v>0</v>
      </c>
      <c r="AE296" s="5" t="s">
        <v>136</v>
      </c>
      <c r="AF296">
        <v>11</v>
      </c>
      <c r="AG296" s="17"/>
      <c r="AH296" s="17"/>
      <c r="AO296" s="5" t="s">
        <v>151</v>
      </c>
      <c r="AP296">
        <v>0</v>
      </c>
      <c r="AQ296" s="30" t="s">
        <v>389</v>
      </c>
      <c r="AR296" s="17">
        <f>MAX(AP294:AP318)</f>
        <v>1</v>
      </c>
      <c r="AT296" s="5" t="s">
        <v>181</v>
      </c>
      <c r="AU296">
        <v>0</v>
      </c>
      <c r="AV296" s="17"/>
      <c r="AW296" s="17"/>
      <c r="AY296" s="5" t="s">
        <v>211</v>
      </c>
      <c r="AZ296">
        <v>0</v>
      </c>
      <c r="BD296" s="5" t="s">
        <v>223</v>
      </c>
      <c r="BE296">
        <v>0</v>
      </c>
      <c r="BF296" s="30" t="s">
        <v>389</v>
      </c>
      <c r="BG296" s="17">
        <f>MAX(BE294:BE318)</f>
        <v>1</v>
      </c>
      <c r="BI296" s="5" t="s">
        <v>264</v>
      </c>
      <c r="BJ296">
        <v>0</v>
      </c>
      <c r="BN296" s="5" t="s">
        <v>286</v>
      </c>
      <c r="BO296">
        <v>0</v>
      </c>
      <c r="BP296" s="17"/>
      <c r="BQ296" s="17"/>
      <c r="BX296" s="61" t="s">
        <v>276</v>
      </c>
      <c r="BY296" s="62">
        <v>0</v>
      </c>
      <c r="BZ296" s="63" t="s">
        <v>389</v>
      </c>
      <c r="CA296" s="58">
        <f>MAX(BY294:BY318)</f>
        <v>2</v>
      </c>
      <c r="CC296" s="5" t="s">
        <v>320</v>
      </c>
      <c r="CD296">
        <v>0</v>
      </c>
      <c r="CW296" s="61" t="s">
        <v>348</v>
      </c>
      <c r="CX296" s="62">
        <v>0</v>
      </c>
    </row>
    <row r="297" spans="1:102" x14ac:dyDescent="0.25">
      <c r="K297" s="5" t="s">
        <v>85</v>
      </c>
      <c r="L297">
        <v>5</v>
      </c>
      <c r="M297" s="17"/>
      <c r="N297" s="17"/>
      <c r="U297" s="17" t="s">
        <v>382</v>
      </c>
      <c r="V297" s="29" t="s">
        <v>400</v>
      </c>
      <c r="W297" s="17"/>
      <c r="X297" s="17">
        <v>2016</v>
      </c>
      <c r="Z297" s="64" t="s">
        <v>118</v>
      </c>
      <c r="AA297" s="62">
        <v>0</v>
      </c>
      <c r="AE297" s="5" t="s">
        <v>44</v>
      </c>
      <c r="AF297">
        <v>11</v>
      </c>
      <c r="AG297" s="17"/>
      <c r="AH297" s="17"/>
      <c r="AO297" s="5" t="s">
        <v>152</v>
      </c>
      <c r="AP297">
        <v>0</v>
      </c>
      <c r="AQ297" s="30" t="s">
        <v>390</v>
      </c>
      <c r="AR297" s="17">
        <f>VAR(AP294:AP318)</f>
        <v>0.11</v>
      </c>
      <c r="AT297" s="5" t="s">
        <v>182</v>
      </c>
      <c r="AU297">
        <v>0</v>
      </c>
      <c r="AV297" s="17"/>
      <c r="AW297" s="17"/>
      <c r="AY297" s="5" t="s">
        <v>212</v>
      </c>
      <c r="AZ297">
        <v>0</v>
      </c>
      <c r="BD297" s="5" t="s">
        <v>224</v>
      </c>
      <c r="BE297">
        <v>0</v>
      </c>
      <c r="BF297" s="30" t="s">
        <v>390</v>
      </c>
      <c r="BG297" s="17">
        <f>VAR(BE294:BE318)</f>
        <v>0.04</v>
      </c>
      <c r="BI297" s="5" t="s">
        <v>265</v>
      </c>
      <c r="BJ297">
        <v>0</v>
      </c>
      <c r="BN297" s="5" t="s">
        <v>287</v>
      </c>
      <c r="BO297">
        <v>1</v>
      </c>
      <c r="BP297" s="17"/>
      <c r="BQ297" s="17"/>
      <c r="BX297" s="61" t="s">
        <v>277</v>
      </c>
      <c r="BY297" s="62">
        <v>1</v>
      </c>
      <c r="BZ297" s="63" t="s">
        <v>390</v>
      </c>
      <c r="CA297" s="58">
        <f>VAR(BY294:BY318)</f>
        <v>0.39333333333333331</v>
      </c>
      <c r="CM297" s="17" t="s">
        <v>382</v>
      </c>
      <c r="CN297" s="29" t="s">
        <v>442</v>
      </c>
      <c r="CO297" s="17"/>
      <c r="CP297" s="17">
        <v>2016</v>
      </c>
      <c r="CR297" s="17" t="s">
        <v>382</v>
      </c>
      <c r="CS297" s="29" t="s">
        <v>442</v>
      </c>
      <c r="CT297" s="17"/>
      <c r="CU297" s="17">
        <v>2016</v>
      </c>
      <c r="CW297" s="61" t="s">
        <v>349</v>
      </c>
      <c r="CX297" s="62">
        <v>0</v>
      </c>
    </row>
    <row r="298" spans="1:102" x14ac:dyDescent="0.25">
      <c r="A298" s="17" t="s">
        <v>382</v>
      </c>
      <c r="B298" s="29" t="s">
        <v>361</v>
      </c>
      <c r="C298" s="17"/>
      <c r="D298" s="17">
        <v>2016</v>
      </c>
      <c r="K298" s="5" t="s">
        <v>86</v>
      </c>
      <c r="L298">
        <v>9</v>
      </c>
      <c r="M298" s="17"/>
      <c r="N298" s="17"/>
      <c r="U298" s="17" t="s">
        <v>383</v>
      </c>
      <c r="V298" s="6" t="s">
        <v>16</v>
      </c>
      <c r="W298" s="17"/>
      <c r="X298" s="17"/>
      <c r="Z298" s="64" t="s">
        <v>119</v>
      </c>
      <c r="AA298" s="62">
        <v>0</v>
      </c>
      <c r="AE298" s="5" t="s">
        <v>137</v>
      </c>
      <c r="AF298">
        <v>10</v>
      </c>
      <c r="AG298" s="17"/>
      <c r="AH298" s="17"/>
      <c r="AO298" s="5" t="s">
        <v>153</v>
      </c>
      <c r="AP298">
        <v>0</v>
      </c>
      <c r="AQ298" s="30" t="s">
        <v>391</v>
      </c>
      <c r="AR298" s="17">
        <f>AVERAGE(AP294:AP318)</f>
        <v>0.12</v>
      </c>
      <c r="AT298" s="5" t="s">
        <v>183</v>
      </c>
      <c r="AU298">
        <v>0</v>
      </c>
      <c r="AV298" s="17"/>
      <c r="AW298" s="17"/>
      <c r="AY298" s="5" t="s">
        <v>213</v>
      </c>
      <c r="AZ298">
        <v>0</v>
      </c>
      <c r="BD298" s="5" t="s">
        <v>225</v>
      </c>
      <c r="BE298">
        <v>0</v>
      </c>
      <c r="BF298" s="30" t="s">
        <v>391</v>
      </c>
      <c r="BG298" s="17">
        <f>AVERAGE(BE294:BE318)</f>
        <v>0.04</v>
      </c>
      <c r="BI298" s="5" t="s">
        <v>266</v>
      </c>
      <c r="BJ298">
        <v>0</v>
      </c>
      <c r="BN298" s="5" t="s">
        <v>288</v>
      </c>
      <c r="BO298">
        <v>0</v>
      </c>
      <c r="BP298" s="17"/>
      <c r="BQ298" s="17"/>
      <c r="BX298" s="61" t="s">
        <v>279</v>
      </c>
      <c r="BY298" s="62">
        <v>0</v>
      </c>
      <c r="BZ298" s="63" t="s">
        <v>391</v>
      </c>
      <c r="CA298" s="58">
        <f>AVERAGE(BY294:BY318)</f>
        <v>0.32</v>
      </c>
      <c r="CC298" s="17" t="s">
        <v>382</v>
      </c>
      <c r="CD298" s="29" t="s">
        <v>375</v>
      </c>
      <c r="CE298" s="17"/>
      <c r="CF298" s="17">
        <v>2016</v>
      </c>
      <c r="CM298" s="17" t="s">
        <v>383</v>
      </c>
      <c r="CN298" s="6" t="s">
        <v>21</v>
      </c>
      <c r="CO298" s="15"/>
      <c r="CP298" s="17"/>
      <c r="CR298" s="17" t="s">
        <v>383</v>
      </c>
      <c r="CS298" s="6" t="s">
        <v>21</v>
      </c>
      <c r="CT298" s="15"/>
      <c r="CU298" s="17"/>
      <c r="CW298" s="61" t="s">
        <v>350</v>
      </c>
      <c r="CX298" s="62">
        <v>0</v>
      </c>
    </row>
    <row r="299" spans="1:102" x14ac:dyDescent="0.25">
      <c r="A299" s="17" t="s">
        <v>383</v>
      </c>
      <c r="B299" s="28" t="s">
        <v>24</v>
      </c>
      <c r="C299" s="17"/>
      <c r="D299" s="17"/>
      <c r="K299" s="5" t="s">
        <v>87</v>
      </c>
      <c r="L299">
        <v>4</v>
      </c>
      <c r="M299" s="17"/>
      <c r="N299" s="17"/>
      <c r="U299" s="17" t="s">
        <v>384</v>
      </c>
      <c r="V299" s="17" t="s">
        <v>39</v>
      </c>
      <c r="W299" s="17" t="s">
        <v>385</v>
      </c>
      <c r="X299" s="17" t="s">
        <v>386</v>
      </c>
      <c r="Z299" s="61" t="s">
        <v>120</v>
      </c>
      <c r="AA299" s="62">
        <v>0</v>
      </c>
      <c r="AE299" s="5" t="s">
        <v>138</v>
      </c>
      <c r="AF299">
        <v>13</v>
      </c>
      <c r="AG299" s="17"/>
      <c r="AH299" s="17"/>
      <c r="AO299" s="5" t="s">
        <v>154</v>
      </c>
      <c r="AP299">
        <v>0</v>
      </c>
      <c r="AQ299" s="30" t="s">
        <v>392</v>
      </c>
      <c r="AR299" s="17">
        <f>STDEV(AP294:AP318)</f>
        <v>0.33166247903553997</v>
      </c>
      <c r="AT299" s="5" t="s">
        <v>184</v>
      </c>
      <c r="AU299">
        <v>0</v>
      </c>
      <c r="AV299" s="17"/>
      <c r="AW299" s="17"/>
      <c r="AY299" s="5" t="s">
        <v>214</v>
      </c>
      <c r="AZ299">
        <v>0</v>
      </c>
      <c r="BD299" s="5" t="s">
        <v>226</v>
      </c>
      <c r="BE299">
        <v>0</v>
      </c>
      <c r="BF299" s="30" t="s">
        <v>392</v>
      </c>
      <c r="BG299" s="17">
        <f>STDEV(BE294:BE318)</f>
        <v>0.2</v>
      </c>
      <c r="BI299" s="5" t="s">
        <v>267</v>
      </c>
      <c r="BJ299">
        <v>0</v>
      </c>
      <c r="BN299" s="5" t="s">
        <v>289</v>
      </c>
      <c r="BO299">
        <v>0</v>
      </c>
      <c r="BP299" s="17"/>
      <c r="BQ299" s="17"/>
      <c r="BX299" s="61" t="s">
        <v>278</v>
      </c>
      <c r="BY299" s="62">
        <v>2</v>
      </c>
      <c r="BZ299" s="63" t="s">
        <v>392</v>
      </c>
      <c r="CA299" s="58">
        <f>STDEV(BY294:BY318)</f>
        <v>0.62716292407422591</v>
      </c>
      <c r="CC299" s="17" t="s">
        <v>383</v>
      </c>
      <c r="CD299" s="6" t="s">
        <v>24</v>
      </c>
      <c r="CE299" s="17"/>
      <c r="CF299" s="17"/>
      <c r="CM299" s="17" t="s">
        <v>384</v>
      </c>
      <c r="CN299" s="17" t="s">
        <v>39</v>
      </c>
      <c r="CO299" s="17" t="s">
        <v>385</v>
      </c>
      <c r="CP299" s="17" t="s">
        <v>386</v>
      </c>
      <c r="CR299" s="17" t="s">
        <v>384</v>
      </c>
      <c r="CS299" s="17" t="s">
        <v>39</v>
      </c>
      <c r="CT299" s="17" t="s">
        <v>385</v>
      </c>
      <c r="CU299" s="17" t="s">
        <v>386</v>
      </c>
      <c r="CW299" s="61" t="s">
        <v>351</v>
      </c>
      <c r="CX299" s="62">
        <v>0</v>
      </c>
    </row>
    <row r="300" spans="1:102" x14ac:dyDescent="0.25">
      <c r="A300" s="17" t="s">
        <v>384</v>
      </c>
      <c r="B300" s="17" t="s">
        <v>39</v>
      </c>
      <c r="C300" s="17" t="s">
        <v>385</v>
      </c>
      <c r="D300" s="17" t="s">
        <v>386</v>
      </c>
      <c r="U300" s="5" t="s">
        <v>96</v>
      </c>
      <c r="V300">
        <v>0</v>
      </c>
      <c r="W300" s="30" t="s">
        <v>387</v>
      </c>
      <c r="X300" s="17">
        <f>SUM(V300:V332)</f>
        <v>2</v>
      </c>
      <c r="Z300" s="61" t="s">
        <v>121</v>
      </c>
      <c r="AA300" s="62">
        <v>2</v>
      </c>
      <c r="AE300" s="5" t="s">
        <v>139</v>
      </c>
      <c r="AF300">
        <v>11</v>
      </c>
      <c r="AG300" s="17"/>
      <c r="AH300" s="17"/>
      <c r="AO300" s="5" t="s">
        <v>155</v>
      </c>
      <c r="AP300">
        <v>0</v>
      </c>
      <c r="AQ300" s="17"/>
      <c r="AR300" s="17"/>
      <c r="AT300" s="5" t="s">
        <v>185</v>
      </c>
      <c r="AU300">
        <v>0</v>
      </c>
      <c r="AV300" s="17"/>
      <c r="AW300" s="17"/>
      <c r="AY300" s="5" t="s">
        <v>215</v>
      </c>
      <c r="AZ300">
        <v>0</v>
      </c>
      <c r="BD300" s="5" t="s">
        <v>227</v>
      </c>
      <c r="BE300">
        <v>0</v>
      </c>
      <c r="BF300" s="17"/>
      <c r="BG300" s="17"/>
      <c r="BI300" s="5" t="s">
        <v>268</v>
      </c>
      <c r="BJ300">
        <v>0</v>
      </c>
      <c r="BX300" s="61" t="s">
        <v>280</v>
      </c>
      <c r="BY300" s="62">
        <v>1</v>
      </c>
      <c r="BZ300" s="58"/>
      <c r="CA300" s="58"/>
      <c r="CC300" s="17" t="s">
        <v>384</v>
      </c>
      <c r="CD300" s="17" t="s">
        <v>39</v>
      </c>
      <c r="CE300" s="17" t="s">
        <v>385</v>
      </c>
      <c r="CF300" s="17" t="s">
        <v>386</v>
      </c>
      <c r="CM300" s="5" t="s">
        <v>328</v>
      </c>
      <c r="CN300">
        <v>0</v>
      </c>
      <c r="CO300" s="30" t="s">
        <v>387</v>
      </c>
      <c r="CP300" s="17">
        <f>SUM(CN300:CN332)</f>
        <v>0</v>
      </c>
      <c r="CR300" s="5" t="s">
        <v>333</v>
      </c>
      <c r="CS300">
        <v>0</v>
      </c>
      <c r="CT300" s="30" t="s">
        <v>387</v>
      </c>
      <c r="CU300" s="17">
        <f>SUM(CS300:CS327)</f>
        <v>1</v>
      </c>
      <c r="CW300" s="61" t="s">
        <v>352</v>
      </c>
      <c r="CX300" s="62">
        <v>0</v>
      </c>
    </row>
    <row r="301" spans="1:102" x14ac:dyDescent="0.25">
      <c r="A301" s="5" t="s">
        <v>40</v>
      </c>
      <c r="B301" s="27">
        <v>1</v>
      </c>
      <c r="C301" s="30" t="s">
        <v>387</v>
      </c>
      <c r="D301" s="17">
        <f>SUM(B301:B323)</f>
        <v>13</v>
      </c>
      <c r="K301" s="17" t="s">
        <v>382</v>
      </c>
      <c r="L301" s="29" t="s">
        <v>363</v>
      </c>
      <c r="M301" s="17"/>
      <c r="N301" s="17">
        <v>2016</v>
      </c>
      <c r="U301" s="5" t="s">
        <v>97</v>
      </c>
      <c r="V301">
        <v>0</v>
      </c>
      <c r="W301" s="30" t="s">
        <v>388</v>
      </c>
      <c r="X301" s="17">
        <f>MIN(V300:V332)</f>
        <v>0</v>
      </c>
      <c r="Z301" s="61" t="s">
        <v>122</v>
      </c>
      <c r="AA301" s="62">
        <v>0</v>
      </c>
      <c r="AE301" s="5" t="s">
        <v>140</v>
      </c>
      <c r="AF301">
        <v>5</v>
      </c>
      <c r="AG301" s="17"/>
      <c r="AH301" s="17"/>
      <c r="AO301" s="5" t="s">
        <v>156</v>
      </c>
      <c r="AP301">
        <v>0</v>
      </c>
      <c r="AQ301" s="17"/>
      <c r="AR301" s="17"/>
      <c r="AT301" s="5" t="s">
        <v>186</v>
      </c>
      <c r="AU301">
        <v>0</v>
      </c>
      <c r="AV301" s="17"/>
      <c r="AW301" s="17"/>
      <c r="AY301" s="5" t="s">
        <v>216</v>
      </c>
      <c r="AZ301">
        <v>0</v>
      </c>
      <c r="BD301" s="5" t="s">
        <v>228</v>
      </c>
      <c r="BE301">
        <v>0</v>
      </c>
      <c r="BF301" s="17"/>
      <c r="BG301" s="17"/>
      <c r="BI301" s="5" t="s">
        <v>269</v>
      </c>
      <c r="BJ301">
        <v>0</v>
      </c>
      <c r="BN301" s="17" t="s">
        <v>382</v>
      </c>
      <c r="BO301" s="29" t="s">
        <v>440</v>
      </c>
      <c r="BP301" s="17"/>
      <c r="BQ301" s="17">
        <v>2016</v>
      </c>
      <c r="BX301" s="61" t="s">
        <v>281</v>
      </c>
      <c r="BY301" s="62">
        <v>0</v>
      </c>
      <c r="BZ301" s="58"/>
      <c r="CA301" s="58"/>
      <c r="CC301" s="5" t="s">
        <v>299</v>
      </c>
      <c r="CD301">
        <v>0</v>
      </c>
      <c r="CE301" s="30" t="s">
        <v>387</v>
      </c>
      <c r="CF301" s="17">
        <f>SUM(CD301:CD323)</f>
        <v>1</v>
      </c>
      <c r="CM301" s="5" t="s">
        <v>329</v>
      </c>
      <c r="CN301">
        <v>0</v>
      </c>
      <c r="CO301" s="30" t="s">
        <v>388</v>
      </c>
      <c r="CP301" s="17">
        <f>MIN(CN300:CN332)</f>
        <v>0</v>
      </c>
      <c r="CR301" s="5" t="s">
        <v>334</v>
      </c>
      <c r="CS301">
        <v>0</v>
      </c>
      <c r="CT301" s="30" t="s">
        <v>388</v>
      </c>
      <c r="CU301" s="17">
        <f>MIN(CS300:CS327)</f>
        <v>0</v>
      </c>
      <c r="CW301" s="61" t="s">
        <v>353</v>
      </c>
      <c r="CX301" s="62">
        <v>0</v>
      </c>
    </row>
    <row r="302" spans="1:102" x14ac:dyDescent="0.25">
      <c r="A302" s="5" t="s">
        <v>41</v>
      </c>
      <c r="B302" s="27">
        <v>0</v>
      </c>
      <c r="C302" s="30" t="s">
        <v>388</v>
      </c>
      <c r="D302" s="17">
        <f>MIN(B301:B323)</f>
        <v>0</v>
      </c>
      <c r="K302" s="17" t="s">
        <v>383</v>
      </c>
      <c r="L302" s="6" t="s">
        <v>33</v>
      </c>
      <c r="M302" s="17"/>
      <c r="N302" s="17"/>
      <c r="U302" s="5" t="s">
        <v>98</v>
      </c>
      <c r="V302">
        <v>0</v>
      </c>
      <c r="W302" s="30" t="s">
        <v>389</v>
      </c>
      <c r="X302" s="17">
        <f>MAX(V300:V332)</f>
        <v>2</v>
      </c>
      <c r="Z302" s="61" t="s">
        <v>123</v>
      </c>
      <c r="AA302" s="62">
        <v>0</v>
      </c>
      <c r="AE302" s="5" t="s">
        <v>141</v>
      </c>
      <c r="AF302">
        <v>10</v>
      </c>
      <c r="AG302" s="17"/>
      <c r="AH302" s="17"/>
      <c r="AO302" s="5" t="s">
        <v>157</v>
      </c>
      <c r="AP302">
        <v>0</v>
      </c>
      <c r="AQ302" s="17"/>
      <c r="AR302" s="17"/>
      <c r="AT302" s="5" t="s">
        <v>187</v>
      </c>
      <c r="AU302">
        <v>0</v>
      </c>
      <c r="AV302" s="17"/>
      <c r="AW302" s="17"/>
      <c r="AY302" s="5" t="s">
        <v>217</v>
      </c>
      <c r="AZ302">
        <v>0</v>
      </c>
      <c r="BD302" s="5" t="s">
        <v>229</v>
      </c>
      <c r="BE302">
        <v>0</v>
      </c>
      <c r="BF302" s="17"/>
      <c r="BG302" s="17"/>
      <c r="BI302" s="5" t="s">
        <v>270</v>
      </c>
      <c r="BJ302">
        <v>0</v>
      </c>
      <c r="BN302" s="17" t="s">
        <v>383</v>
      </c>
      <c r="BO302" s="6" t="s">
        <v>27</v>
      </c>
      <c r="BP302" s="17"/>
      <c r="BQ302" s="17"/>
      <c r="BX302" s="61" t="s">
        <v>282</v>
      </c>
      <c r="BY302" s="62">
        <v>1</v>
      </c>
      <c r="BZ302" s="58"/>
      <c r="CA302" s="58"/>
      <c r="CC302" s="5" t="s">
        <v>300</v>
      </c>
      <c r="CD302">
        <v>0</v>
      </c>
      <c r="CE302" s="30" t="s">
        <v>388</v>
      </c>
      <c r="CF302" s="17">
        <f>MIN(CD301:CD323)</f>
        <v>0</v>
      </c>
      <c r="CM302" s="5" t="s">
        <v>330</v>
      </c>
      <c r="CN302">
        <v>0</v>
      </c>
      <c r="CO302" s="30" t="s">
        <v>389</v>
      </c>
      <c r="CP302" s="17">
        <f>MAX(CN300:CN332)</f>
        <v>0</v>
      </c>
      <c r="CR302" s="5" t="s">
        <v>335</v>
      </c>
      <c r="CS302">
        <v>0</v>
      </c>
      <c r="CT302" s="30" t="s">
        <v>389</v>
      </c>
      <c r="CU302" s="17">
        <f>MAX(CS300:CS327)</f>
        <v>1</v>
      </c>
      <c r="CW302" s="61" t="s">
        <v>354</v>
      </c>
      <c r="CX302" s="62">
        <v>0</v>
      </c>
    </row>
    <row r="303" spans="1:102" x14ac:dyDescent="0.25">
      <c r="A303" s="5" t="s">
        <v>42</v>
      </c>
      <c r="B303" s="27">
        <v>0</v>
      </c>
      <c r="C303" s="30" t="s">
        <v>389</v>
      </c>
      <c r="D303" s="17">
        <f>MAX(B301:B323)</f>
        <v>4</v>
      </c>
      <c r="K303" s="17" t="s">
        <v>384</v>
      </c>
      <c r="L303" s="17" t="s">
        <v>39</v>
      </c>
      <c r="M303" s="17" t="s">
        <v>385</v>
      </c>
      <c r="N303" s="17" t="s">
        <v>386</v>
      </c>
      <c r="U303" s="5" t="s">
        <v>99</v>
      </c>
      <c r="V303">
        <v>0</v>
      </c>
      <c r="W303" s="30" t="s">
        <v>390</v>
      </c>
      <c r="X303" s="17">
        <f>VAR(V300:V332)</f>
        <v>0.12121212121212122</v>
      </c>
      <c r="Z303" s="61" t="s">
        <v>124</v>
      </c>
      <c r="AA303" s="62">
        <v>0</v>
      </c>
      <c r="AE303" s="5" t="s">
        <v>142</v>
      </c>
      <c r="AF303">
        <v>23</v>
      </c>
      <c r="AG303" s="17"/>
      <c r="AH303" s="17"/>
      <c r="AO303" s="5" t="s">
        <v>158</v>
      </c>
      <c r="AP303">
        <v>0</v>
      </c>
      <c r="AQ303" s="17"/>
      <c r="AR303" s="17"/>
      <c r="AT303" s="5" t="s">
        <v>188</v>
      </c>
      <c r="AU303">
        <v>0</v>
      </c>
      <c r="AV303" s="17"/>
      <c r="AW303" s="17"/>
      <c r="AY303" s="5" t="s">
        <v>218</v>
      </c>
      <c r="AZ303">
        <v>0</v>
      </c>
      <c r="BD303" s="5" t="s">
        <v>230</v>
      </c>
      <c r="BE303">
        <v>0</v>
      </c>
      <c r="BF303" s="17"/>
      <c r="BG303" s="17"/>
      <c r="BI303" s="5" t="s">
        <v>271</v>
      </c>
      <c r="BJ303">
        <v>0</v>
      </c>
      <c r="BN303" s="17" t="s">
        <v>384</v>
      </c>
      <c r="BO303" s="17" t="s">
        <v>39</v>
      </c>
      <c r="BP303" s="17" t="s">
        <v>385</v>
      </c>
      <c r="BQ303" s="17" t="s">
        <v>386</v>
      </c>
      <c r="BX303" s="61" t="s">
        <v>283</v>
      </c>
      <c r="BY303" s="62">
        <v>0</v>
      </c>
      <c r="BZ303" s="58"/>
      <c r="CA303" s="58"/>
      <c r="CC303" s="5" t="s">
        <v>301</v>
      </c>
      <c r="CD303">
        <v>1</v>
      </c>
      <c r="CE303" s="30" t="s">
        <v>389</v>
      </c>
      <c r="CF303" s="17">
        <f>MAX(CD301:CD323)</f>
        <v>1</v>
      </c>
      <c r="CM303" s="5" t="s">
        <v>331</v>
      </c>
      <c r="CN303">
        <v>0</v>
      </c>
      <c r="CO303" s="30" t="s">
        <v>390</v>
      </c>
      <c r="CP303" s="17">
        <f>VAR(CN300:CN332)</f>
        <v>0</v>
      </c>
      <c r="CR303" s="5" t="s">
        <v>43</v>
      </c>
      <c r="CS303">
        <v>0</v>
      </c>
      <c r="CT303" s="30" t="s">
        <v>390</v>
      </c>
      <c r="CU303" s="17">
        <f>VAR(CS300:CS327)</f>
        <v>3.5714285714285712E-2</v>
      </c>
      <c r="CW303" s="61" t="s">
        <v>355</v>
      </c>
      <c r="CX303" s="62">
        <v>0</v>
      </c>
    </row>
    <row r="304" spans="1:102" x14ac:dyDescent="0.25">
      <c r="A304" s="5" t="s">
        <v>43</v>
      </c>
      <c r="B304" s="27">
        <v>0</v>
      </c>
      <c r="C304" s="30" t="s">
        <v>390</v>
      </c>
      <c r="D304" s="17">
        <f>VAR(B301:B323)</f>
        <v>0.89328063241106714</v>
      </c>
      <c r="K304" s="5" t="s">
        <v>72</v>
      </c>
      <c r="L304">
        <v>0</v>
      </c>
      <c r="M304" s="30" t="s">
        <v>387</v>
      </c>
      <c r="N304" s="17">
        <f>SUM(L304:L319)</f>
        <v>5</v>
      </c>
      <c r="U304" s="5" t="s">
        <v>100</v>
      </c>
      <c r="V304">
        <v>0</v>
      </c>
      <c r="W304" s="30" t="s">
        <v>391</v>
      </c>
      <c r="X304" s="17">
        <f>AVERAGE(V300:V332)</f>
        <v>6.0606060606060608E-2</v>
      </c>
      <c r="Z304" s="61" t="s">
        <v>125</v>
      </c>
      <c r="AA304" s="62">
        <v>0</v>
      </c>
      <c r="AO304" s="5" t="s">
        <v>159</v>
      </c>
      <c r="AP304">
        <v>0</v>
      </c>
      <c r="AQ304" s="17"/>
      <c r="AR304" s="17"/>
      <c r="AT304" s="5" t="s">
        <v>395</v>
      </c>
      <c r="AU304">
        <v>0</v>
      </c>
      <c r="AV304" s="17"/>
      <c r="AW304" s="17"/>
      <c r="AY304" s="5" t="s">
        <v>219</v>
      </c>
      <c r="AZ304">
        <v>0</v>
      </c>
      <c r="BD304" s="5" t="s">
        <v>231</v>
      </c>
      <c r="BE304">
        <v>0</v>
      </c>
      <c r="BF304" s="17"/>
      <c r="BG304" s="17"/>
      <c r="BI304" s="5" t="s">
        <v>272</v>
      </c>
      <c r="BJ304">
        <v>0</v>
      </c>
      <c r="BN304" s="5" t="s">
        <v>274</v>
      </c>
      <c r="BO304">
        <v>0</v>
      </c>
      <c r="BP304" s="30" t="s">
        <v>387</v>
      </c>
      <c r="BQ304" s="17">
        <f>SUM(BO304:BO319)</f>
        <v>1</v>
      </c>
      <c r="BX304" s="61" t="s">
        <v>285</v>
      </c>
      <c r="BY304" s="62">
        <v>0</v>
      </c>
      <c r="BZ304" s="58"/>
      <c r="CA304" s="58"/>
      <c r="CC304" s="5" t="s">
        <v>302</v>
      </c>
      <c r="CD304">
        <v>0</v>
      </c>
      <c r="CE304" s="30" t="s">
        <v>390</v>
      </c>
      <c r="CF304" s="17">
        <f>VAR(CD301:CD323)</f>
        <v>4.3478260869565216E-2</v>
      </c>
      <c r="CM304" s="5" t="s">
        <v>332</v>
      </c>
      <c r="CN304">
        <v>0</v>
      </c>
      <c r="CO304" s="30" t="s">
        <v>391</v>
      </c>
      <c r="CP304" s="17">
        <f>AVERAGE(CN300:CN332)</f>
        <v>0</v>
      </c>
      <c r="CR304" s="5" t="s">
        <v>336</v>
      </c>
      <c r="CS304">
        <v>0</v>
      </c>
      <c r="CT304" s="30" t="s">
        <v>391</v>
      </c>
      <c r="CU304" s="17">
        <f>AVERAGE(CS300:CS327)</f>
        <v>3.5714285714285712E-2</v>
      </c>
      <c r="CW304" s="66" t="s">
        <v>356</v>
      </c>
      <c r="CX304" s="62">
        <v>0</v>
      </c>
    </row>
    <row r="305" spans="1:104" x14ac:dyDescent="0.25">
      <c r="A305" s="5" t="s">
        <v>44</v>
      </c>
      <c r="B305" s="27">
        <v>0</v>
      </c>
      <c r="C305" s="30" t="s">
        <v>391</v>
      </c>
      <c r="D305" s="17">
        <f>AVERAGE(B301:B323)</f>
        <v>0.56521739130434778</v>
      </c>
      <c r="K305" s="5" t="s">
        <v>73</v>
      </c>
      <c r="L305">
        <v>0</v>
      </c>
      <c r="M305" s="30" t="s">
        <v>388</v>
      </c>
      <c r="N305" s="17">
        <f>MIN(L304:L319)</f>
        <v>0</v>
      </c>
      <c r="U305" s="5" t="s">
        <v>101</v>
      </c>
      <c r="V305">
        <v>0</v>
      </c>
      <c r="W305" s="30" t="s">
        <v>392</v>
      </c>
      <c r="X305" s="17">
        <f>STDEV(V300:V332)</f>
        <v>0.3481553119113957</v>
      </c>
      <c r="Z305" s="61" t="s">
        <v>126</v>
      </c>
      <c r="AA305" s="62">
        <v>0</v>
      </c>
      <c r="AE305" s="17" t="s">
        <v>382</v>
      </c>
      <c r="AF305" s="29" t="s">
        <v>366</v>
      </c>
      <c r="AG305" s="17"/>
      <c r="AH305" s="17">
        <v>2016</v>
      </c>
      <c r="AO305" s="5" t="s">
        <v>100</v>
      </c>
      <c r="AP305">
        <v>0</v>
      </c>
      <c r="AQ305" s="17"/>
      <c r="AR305" s="17"/>
      <c r="AT305" s="5" t="s">
        <v>189</v>
      </c>
      <c r="AU305">
        <v>0</v>
      </c>
      <c r="AV305" s="17"/>
      <c r="AW305" s="17"/>
      <c r="AY305" s="5" t="s">
        <v>220</v>
      </c>
      <c r="AZ305">
        <v>0</v>
      </c>
      <c r="BD305" s="5" t="s">
        <v>232</v>
      </c>
      <c r="BE305">
        <v>0</v>
      </c>
      <c r="BF305" s="17"/>
      <c r="BG305" s="17"/>
      <c r="BI305" s="5" t="s">
        <v>273</v>
      </c>
      <c r="BJ305">
        <v>0</v>
      </c>
      <c r="BN305" s="5" t="s">
        <v>275</v>
      </c>
      <c r="BO305">
        <v>0</v>
      </c>
      <c r="BP305" s="30" t="s">
        <v>388</v>
      </c>
      <c r="BQ305" s="17">
        <f>MIN(BO304:BO319)</f>
        <v>0</v>
      </c>
      <c r="BX305" s="61" t="s">
        <v>284</v>
      </c>
      <c r="BY305" s="62">
        <v>0</v>
      </c>
      <c r="BZ305" s="58"/>
      <c r="CA305" s="58"/>
      <c r="CC305" s="5" t="s">
        <v>303</v>
      </c>
      <c r="CD305">
        <v>0</v>
      </c>
      <c r="CE305" s="30" t="s">
        <v>391</v>
      </c>
      <c r="CF305" s="17">
        <f>AVERAGE(CD301:CD323)</f>
        <v>4.3478260869565216E-2</v>
      </c>
      <c r="CO305" s="30" t="s">
        <v>392</v>
      </c>
      <c r="CP305" s="17">
        <f>STDEV(CN300:CN332)</f>
        <v>0</v>
      </c>
      <c r="CR305" s="5" t="s">
        <v>337</v>
      </c>
      <c r="CS305">
        <v>0</v>
      </c>
      <c r="CT305" s="30" t="s">
        <v>392</v>
      </c>
      <c r="CU305" s="17">
        <f>STDEV(CS300:CS327)</f>
        <v>0.1889822365046136</v>
      </c>
      <c r="CW305" s="66" t="s">
        <v>357</v>
      </c>
      <c r="CX305" s="62">
        <v>0</v>
      </c>
    </row>
    <row r="306" spans="1:104" x14ac:dyDescent="0.25">
      <c r="A306" s="5" t="s">
        <v>45</v>
      </c>
      <c r="B306" s="27">
        <v>1</v>
      </c>
      <c r="C306" s="30" t="s">
        <v>392</v>
      </c>
      <c r="D306" s="17">
        <f>STDEV(B301:B323)</f>
        <v>0.94513524556598094</v>
      </c>
      <c r="K306" s="5" t="s">
        <v>74</v>
      </c>
      <c r="L306">
        <v>0</v>
      </c>
      <c r="M306" s="30" t="s">
        <v>389</v>
      </c>
      <c r="N306" s="17">
        <f>MAX(L304:L319)</f>
        <v>2</v>
      </c>
      <c r="U306" s="5" t="s">
        <v>103</v>
      </c>
      <c r="V306">
        <v>0</v>
      </c>
      <c r="W306" s="17"/>
      <c r="X306" s="17"/>
      <c r="Z306" s="61" t="s">
        <v>127</v>
      </c>
      <c r="AA306" s="62">
        <v>2</v>
      </c>
      <c r="AE306" s="17" t="s">
        <v>383</v>
      </c>
      <c r="AF306" s="6" t="s">
        <v>33</v>
      </c>
      <c r="AG306" s="17"/>
      <c r="AH306" s="17"/>
      <c r="AO306" s="5" t="s">
        <v>161</v>
      </c>
      <c r="AP306">
        <v>0</v>
      </c>
      <c r="AQ306" s="17"/>
      <c r="AR306" s="17"/>
      <c r="AT306" s="5" t="s">
        <v>190</v>
      </c>
      <c r="AU306">
        <v>0</v>
      </c>
      <c r="AV306" s="17"/>
      <c r="AW306" s="17"/>
      <c r="BD306" s="5" t="s">
        <v>233</v>
      </c>
      <c r="BE306">
        <v>1</v>
      </c>
      <c r="BF306" s="17"/>
      <c r="BG306" s="17"/>
      <c r="BN306" s="5" t="s">
        <v>276</v>
      </c>
      <c r="BO306">
        <v>0</v>
      </c>
      <c r="BP306" s="30" t="s">
        <v>389</v>
      </c>
      <c r="BQ306" s="17">
        <f>MAX(BO304:BO319)</f>
        <v>1</v>
      </c>
      <c r="BX306" s="61" t="s">
        <v>286</v>
      </c>
      <c r="BY306" s="62">
        <v>0</v>
      </c>
      <c r="BZ306" s="58"/>
      <c r="CA306" s="58"/>
      <c r="CC306" s="5" t="s">
        <v>304</v>
      </c>
      <c r="CD306">
        <v>0</v>
      </c>
      <c r="CE306" s="30" t="s">
        <v>392</v>
      </c>
      <c r="CF306" s="17">
        <f>STDEV(CD301:CD323)</f>
        <v>0.20851441405707477</v>
      </c>
      <c r="CO306" s="17"/>
      <c r="CP306" s="17"/>
      <c r="CR306" s="5" t="s">
        <v>338</v>
      </c>
      <c r="CS306">
        <v>0</v>
      </c>
      <c r="CW306" s="66" t="s">
        <v>358</v>
      </c>
      <c r="CX306" s="62">
        <v>1</v>
      </c>
    </row>
    <row r="307" spans="1:104" x14ac:dyDescent="0.25">
      <c r="A307" s="5" t="s">
        <v>47</v>
      </c>
      <c r="B307" s="27">
        <v>0</v>
      </c>
      <c r="C307" s="17"/>
      <c r="D307" s="17"/>
      <c r="K307" s="5" t="s">
        <v>75</v>
      </c>
      <c r="L307">
        <v>0</v>
      </c>
      <c r="M307" s="30" t="s">
        <v>390</v>
      </c>
      <c r="N307" s="17">
        <f>VAR(L304:L319)</f>
        <v>0.36249999999999999</v>
      </c>
      <c r="U307" s="5" t="s">
        <v>104</v>
      </c>
      <c r="V307">
        <v>0</v>
      </c>
      <c r="W307" s="17"/>
      <c r="X307" s="17"/>
      <c r="Z307" s="61" t="s">
        <v>128</v>
      </c>
      <c r="AA307" s="62">
        <v>0</v>
      </c>
      <c r="AE307" s="17" t="s">
        <v>384</v>
      </c>
      <c r="AF307" s="17" t="s">
        <v>39</v>
      </c>
      <c r="AG307" s="17" t="s">
        <v>385</v>
      </c>
      <c r="AH307" s="17" t="s">
        <v>386</v>
      </c>
      <c r="AO307" s="5" t="s">
        <v>162</v>
      </c>
      <c r="AP307">
        <v>1</v>
      </c>
      <c r="AQ307" s="17"/>
      <c r="AR307" s="17"/>
      <c r="AT307" s="5" t="s">
        <v>191</v>
      </c>
      <c r="AU307">
        <v>0</v>
      </c>
      <c r="AV307" s="15"/>
      <c r="AW307" s="15"/>
      <c r="AY307" s="17" t="s">
        <v>382</v>
      </c>
      <c r="AZ307" s="29" t="s">
        <v>370</v>
      </c>
      <c r="BA307" s="17"/>
      <c r="BB307" s="17">
        <v>2016</v>
      </c>
      <c r="BD307" s="5" t="s">
        <v>234</v>
      </c>
      <c r="BE307">
        <v>0</v>
      </c>
      <c r="BF307" s="17"/>
      <c r="BG307" s="17"/>
      <c r="BI307" s="17" t="s">
        <v>382</v>
      </c>
      <c r="BJ307" s="29" t="s">
        <v>372</v>
      </c>
      <c r="BK307" s="17"/>
      <c r="BL307" s="17">
        <v>2016</v>
      </c>
      <c r="BN307" s="5" t="s">
        <v>277</v>
      </c>
      <c r="BO307">
        <v>0</v>
      </c>
      <c r="BP307" s="30" t="s">
        <v>390</v>
      </c>
      <c r="BQ307" s="17">
        <f>VAR(BO304:BO319)</f>
        <v>6.25E-2</v>
      </c>
      <c r="BX307" s="61" t="s">
        <v>287</v>
      </c>
      <c r="BY307" s="62">
        <v>0</v>
      </c>
      <c r="BZ307" s="58"/>
      <c r="CA307" s="58"/>
      <c r="CC307" s="5" t="s">
        <v>305</v>
      </c>
      <c r="CD307">
        <v>0</v>
      </c>
      <c r="CE307" s="17"/>
      <c r="CF307" s="17"/>
      <c r="CO307" s="17"/>
      <c r="CP307" s="17"/>
      <c r="CR307" s="5" t="s">
        <v>339</v>
      </c>
      <c r="CS307">
        <v>0</v>
      </c>
      <c r="CW307" s="66" t="s">
        <v>359</v>
      </c>
      <c r="CX307" s="62">
        <v>0</v>
      </c>
    </row>
    <row r="308" spans="1:104" x14ac:dyDescent="0.25">
      <c r="A308" s="5" t="s">
        <v>48</v>
      </c>
      <c r="B308" s="27">
        <v>0</v>
      </c>
      <c r="C308" s="17"/>
      <c r="D308" s="17"/>
      <c r="K308" s="5" t="s">
        <v>76</v>
      </c>
      <c r="L308">
        <v>0</v>
      </c>
      <c r="M308" s="30" t="s">
        <v>391</v>
      </c>
      <c r="N308" s="17">
        <f>AVERAGE(L304:L319)</f>
        <v>0.3125</v>
      </c>
      <c r="U308" s="5" t="s">
        <v>105</v>
      </c>
      <c r="V308">
        <v>0</v>
      </c>
      <c r="W308" s="17"/>
      <c r="X308" s="17"/>
      <c r="AE308" s="5" t="s">
        <v>129</v>
      </c>
      <c r="AF308">
        <v>0</v>
      </c>
      <c r="AG308" s="30" t="s">
        <v>387</v>
      </c>
      <c r="AH308" s="17">
        <f>SUM(AF308:AF322)</f>
        <v>2</v>
      </c>
      <c r="AO308" s="5" t="s">
        <v>163</v>
      </c>
      <c r="AP308">
        <v>0</v>
      </c>
      <c r="AQ308" s="17"/>
      <c r="AR308" s="17"/>
      <c r="AY308" s="17" t="s">
        <v>383</v>
      </c>
      <c r="AZ308" s="6" t="s">
        <v>21</v>
      </c>
      <c r="BA308" s="17"/>
      <c r="BB308" s="17"/>
      <c r="BD308" s="5" t="s">
        <v>157</v>
      </c>
      <c r="BE308">
        <v>0</v>
      </c>
      <c r="BF308" s="17"/>
      <c r="BG308" s="17"/>
      <c r="BI308" s="17" t="s">
        <v>383</v>
      </c>
      <c r="BJ308" s="6" t="s">
        <v>20</v>
      </c>
      <c r="BK308" s="17"/>
      <c r="BL308" s="17"/>
      <c r="BN308" s="5" t="s">
        <v>279</v>
      </c>
      <c r="BO308">
        <v>0</v>
      </c>
      <c r="BP308" s="30" t="s">
        <v>391</v>
      </c>
      <c r="BQ308" s="17">
        <f>AVERAGE(BO304:BO319)</f>
        <v>6.25E-2</v>
      </c>
      <c r="BX308" s="61" t="s">
        <v>288</v>
      </c>
      <c r="BY308" s="62">
        <v>0</v>
      </c>
      <c r="BZ308" s="58"/>
      <c r="CA308" s="58"/>
      <c r="CC308" s="5" t="s">
        <v>306</v>
      </c>
      <c r="CD308">
        <v>0</v>
      </c>
      <c r="CE308" s="17"/>
      <c r="CF308" s="17"/>
      <c r="CO308" s="17"/>
      <c r="CP308" s="17"/>
      <c r="CR308" s="5" t="s">
        <v>340</v>
      </c>
      <c r="CS308">
        <v>0</v>
      </c>
    </row>
    <row r="309" spans="1:104" x14ac:dyDescent="0.25">
      <c r="A309" s="5" t="s">
        <v>49</v>
      </c>
      <c r="B309" s="27">
        <v>4</v>
      </c>
      <c r="C309" s="17"/>
      <c r="D309" s="17"/>
      <c r="K309" s="5" t="s">
        <v>77</v>
      </c>
      <c r="L309">
        <v>1</v>
      </c>
      <c r="M309" s="30" t="s">
        <v>392</v>
      </c>
      <c r="N309" s="17">
        <f>STDEV(L304:L319)</f>
        <v>0.60207972893961481</v>
      </c>
      <c r="U309" s="5" t="s">
        <v>106</v>
      </c>
      <c r="V309">
        <v>0</v>
      </c>
      <c r="W309" s="17"/>
      <c r="X309" s="17"/>
      <c r="Z309" s="58" t="s">
        <v>382</v>
      </c>
      <c r="AA309" s="59" t="s">
        <v>627</v>
      </c>
      <c r="AB309" s="58"/>
      <c r="AC309" s="58">
        <v>2016</v>
      </c>
      <c r="AE309" s="5" t="s">
        <v>130</v>
      </c>
      <c r="AF309">
        <v>0</v>
      </c>
      <c r="AG309" s="30" t="s">
        <v>388</v>
      </c>
      <c r="AH309" s="17">
        <f>MIN(AF308:AF322)</f>
        <v>0</v>
      </c>
      <c r="AO309" s="5" t="s">
        <v>164</v>
      </c>
      <c r="AP309">
        <v>0</v>
      </c>
      <c r="AQ309" s="17"/>
      <c r="AR309" s="17"/>
      <c r="AT309" s="17" t="s">
        <v>382</v>
      </c>
      <c r="AU309" s="29" t="s">
        <v>369</v>
      </c>
      <c r="AV309" s="17"/>
      <c r="AW309" s="17">
        <v>2016</v>
      </c>
      <c r="AY309" s="17" t="s">
        <v>384</v>
      </c>
      <c r="AZ309" s="17" t="s">
        <v>39</v>
      </c>
      <c r="BA309" s="17" t="s">
        <v>385</v>
      </c>
      <c r="BB309" s="17" t="s">
        <v>386</v>
      </c>
      <c r="BD309" s="5" t="s">
        <v>235</v>
      </c>
      <c r="BE309">
        <v>0</v>
      </c>
      <c r="BF309" s="17"/>
      <c r="BG309" s="17"/>
      <c r="BI309" s="17" t="s">
        <v>384</v>
      </c>
      <c r="BJ309" s="17" t="s">
        <v>39</v>
      </c>
      <c r="BK309" s="17" t="s">
        <v>385</v>
      </c>
      <c r="BL309" s="17" t="s">
        <v>386</v>
      </c>
      <c r="BN309" s="5" t="s">
        <v>278</v>
      </c>
      <c r="BO309">
        <v>0</v>
      </c>
      <c r="BP309" s="30" t="s">
        <v>392</v>
      </c>
      <c r="BQ309" s="17">
        <f>STDEV(BO304:BO319)</f>
        <v>0.25</v>
      </c>
      <c r="BX309" s="61" t="s">
        <v>289</v>
      </c>
      <c r="BY309" s="62">
        <v>0</v>
      </c>
      <c r="BZ309" s="58"/>
      <c r="CA309" s="58"/>
      <c r="CC309" s="5" t="s">
        <v>93</v>
      </c>
      <c r="CD309">
        <v>0</v>
      </c>
      <c r="CE309" s="17"/>
      <c r="CF309" s="17"/>
      <c r="CO309" s="17"/>
      <c r="CP309" s="17"/>
      <c r="CR309" s="5" t="s">
        <v>341</v>
      </c>
      <c r="CS309">
        <v>0</v>
      </c>
      <c r="CW309" s="58" t="s">
        <v>382</v>
      </c>
      <c r="CX309" s="59" t="s">
        <v>629</v>
      </c>
      <c r="CY309" s="58"/>
      <c r="CZ309" s="58">
        <v>2016</v>
      </c>
    </row>
    <row r="310" spans="1:104" x14ac:dyDescent="0.25">
      <c r="A310" s="5" t="s">
        <v>50</v>
      </c>
      <c r="B310" s="27">
        <v>0</v>
      </c>
      <c r="C310" s="17"/>
      <c r="D310" s="17"/>
      <c r="K310" s="5" t="s">
        <v>78</v>
      </c>
      <c r="L310">
        <v>1</v>
      </c>
      <c r="M310" s="17"/>
      <c r="N310" s="17"/>
      <c r="U310" s="5" t="s">
        <v>61</v>
      </c>
      <c r="V310">
        <v>0</v>
      </c>
      <c r="W310" s="17"/>
      <c r="X310" s="17"/>
      <c r="Z310" s="58" t="s">
        <v>383</v>
      </c>
      <c r="AA310" s="60" t="s">
        <v>59</v>
      </c>
      <c r="AB310" s="58"/>
      <c r="AC310" s="58"/>
      <c r="AE310" s="5" t="s">
        <v>131</v>
      </c>
      <c r="AF310">
        <v>1</v>
      </c>
      <c r="AG310" s="30" t="s">
        <v>389</v>
      </c>
      <c r="AH310" s="17">
        <f>MAX(AF308:AF322)</f>
        <v>1</v>
      </c>
      <c r="AO310" s="5" t="s">
        <v>165</v>
      </c>
      <c r="AP310">
        <v>0</v>
      </c>
      <c r="AQ310" s="17"/>
      <c r="AR310" s="17"/>
      <c r="AT310" s="17" t="s">
        <v>383</v>
      </c>
      <c r="AU310" s="6" t="s">
        <v>32</v>
      </c>
      <c r="AV310" s="17"/>
      <c r="AW310" s="17"/>
      <c r="AY310" s="5" t="s">
        <v>192</v>
      </c>
      <c r="AZ310">
        <v>0</v>
      </c>
      <c r="BA310" s="30" t="s">
        <v>387</v>
      </c>
      <c r="BB310" s="17">
        <f>SUM(AZ310:AZ339)</f>
        <v>3</v>
      </c>
      <c r="BD310" s="5" t="s">
        <v>236</v>
      </c>
      <c r="BE310">
        <v>0</v>
      </c>
      <c r="BF310" s="17"/>
      <c r="BG310" s="17"/>
      <c r="BI310" s="5" t="s">
        <v>245</v>
      </c>
      <c r="BJ310">
        <v>0</v>
      </c>
      <c r="BK310" s="30" t="s">
        <v>387</v>
      </c>
      <c r="BL310" s="17">
        <f>SUM(BJ310:BJ339)</f>
        <v>1</v>
      </c>
      <c r="BN310" s="5" t="s">
        <v>280</v>
      </c>
      <c r="BO310">
        <v>0</v>
      </c>
      <c r="BP310" s="17"/>
      <c r="BQ310" s="17"/>
      <c r="BX310" s="61" t="s">
        <v>290</v>
      </c>
      <c r="BY310" s="62">
        <v>0</v>
      </c>
      <c r="CC310" s="5" t="s">
        <v>307</v>
      </c>
      <c r="CD310">
        <v>0</v>
      </c>
      <c r="CE310" s="17"/>
      <c r="CF310" s="17"/>
      <c r="CO310" s="17"/>
      <c r="CP310" s="17"/>
      <c r="CR310" s="5" t="s">
        <v>342</v>
      </c>
      <c r="CS310">
        <v>1</v>
      </c>
      <c r="CW310" s="58" t="s">
        <v>383</v>
      </c>
      <c r="CX310" s="60" t="s">
        <v>19</v>
      </c>
      <c r="CY310" s="58"/>
      <c r="CZ310" s="58"/>
    </row>
    <row r="311" spans="1:104" x14ac:dyDescent="0.25">
      <c r="A311" s="5" t="s">
        <v>51</v>
      </c>
      <c r="B311" s="27">
        <v>1</v>
      </c>
      <c r="C311" s="17"/>
      <c r="D311" s="17"/>
      <c r="K311" s="5" t="s">
        <v>79</v>
      </c>
      <c r="L311">
        <v>1</v>
      </c>
      <c r="M311" s="17"/>
      <c r="N311" s="17"/>
      <c r="U311" s="5" t="s">
        <v>107</v>
      </c>
      <c r="V311">
        <v>0</v>
      </c>
      <c r="W311" s="17"/>
      <c r="X311" s="17"/>
      <c r="Z311" s="58" t="s">
        <v>384</v>
      </c>
      <c r="AA311" s="58" t="s">
        <v>39</v>
      </c>
      <c r="AB311" s="58" t="s">
        <v>385</v>
      </c>
      <c r="AC311" s="58" t="s">
        <v>386</v>
      </c>
      <c r="AE311" s="5" t="s">
        <v>132</v>
      </c>
      <c r="AF311">
        <v>0</v>
      </c>
      <c r="AG311" s="30" t="s">
        <v>390</v>
      </c>
      <c r="AH311" s="17">
        <f>VAR(AF308:AF322)</f>
        <v>0.12380952380952381</v>
      </c>
      <c r="AO311" s="5" t="s">
        <v>166</v>
      </c>
      <c r="AP311">
        <v>1</v>
      </c>
      <c r="AQ311" s="15"/>
      <c r="AR311" s="15"/>
      <c r="AT311" s="17" t="s">
        <v>384</v>
      </c>
      <c r="AU311" s="17" t="s">
        <v>39</v>
      </c>
      <c r="AV311" s="17" t="s">
        <v>385</v>
      </c>
      <c r="AW311" s="17" t="s">
        <v>386</v>
      </c>
      <c r="AY311" s="5" t="s">
        <v>193</v>
      </c>
      <c r="AZ311">
        <v>0</v>
      </c>
      <c r="BA311" s="30" t="s">
        <v>388</v>
      </c>
      <c r="BB311" s="17">
        <f>MIN(AZ310:AZ339)</f>
        <v>0</v>
      </c>
      <c r="BD311" s="5" t="s">
        <v>237</v>
      </c>
      <c r="BE311">
        <v>0</v>
      </c>
      <c r="BF311" s="15"/>
      <c r="BG311" s="15"/>
      <c r="BI311" s="5" t="s">
        <v>73</v>
      </c>
      <c r="BJ311">
        <v>0</v>
      </c>
      <c r="BK311" s="30" t="s">
        <v>388</v>
      </c>
      <c r="BL311" s="17">
        <f>MIN(BJ310:BJ339)</f>
        <v>0</v>
      </c>
      <c r="BN311" s="5" t="s">
        <v>281</v>
      </c>
      <c r="BO311">
        <v>0</v>
      </c>
      <c r="BP311" s="17"/>
      <c r="BQ311" s="17"/>
      <c r="BX311" s="61" t="s">
        <v>291</v>
      </c>
      <c r="BY311" s="62">
        <v>0</v>
      </c>
      <c r="CC311" s="5" t="s">
        <v>308</v>
      </c>
      <c r="CD311">
        <v>0</v>
      </c>
      <c r="CE311" s="17"/>
      <c r="CF311" s="17"/>
      <c r="CO311" s="17"/>
      <c r="CP311" s="17"/>
      <c r="CR311" s="5" t="s">
        <v>343</v>
      </c>
      <c r="CS311">
        <v>0</v>
      </c>
      <c r="CW311" s="58" t="s">
        <v>384</v>
      </c>
      <c r="CX311" s="58" t="s">
        <v>39</v>
      </c>
      <c r="CY311" s="58" t="s">
        <v>385</v>
      </c>
      <c r="CZ311" s="58" t="s">
        <v>386</v>
      </c>
    </row>
    <row r="312" spans="1:104" x14ac:dyDescent="0.25">
      <c r="A312" s="5" t="s">
        <v>52</v>
      </c>
      <c r="B312" s="27">
        <v>0</v>
      </c>
      <c r="C312" s="17"/>
      <c r="D312" s="17"/>
      <c r="K312" s="5" t="s">
        <v>80</v>
      </c>
      <c r="L312">
        <v>0</v>
      </c>
      <c r="M312" s="17"/>
      <c r="N312" s="17"/>
      <c r="U312" s="5" t="s">
        <v>108</v>
      </c>
      <c r="V312">
        <v>0</v>
      </c>
      <c r="W312" s="17"/>
      <c r="X312" s="17"/>
      <c r="Z312" s="61" t="s">
        <v>88</v>
      </c>
      <c r="AA312" s="62">
        <v>0</v>
      </c>
      <c r="AB312" s="63" t="s">
        <v>387</v>
      </c>
      <c r="AC312" s="58">
        <f>SUM(AA312:AA351)</f>
        <v>2</v>
      </c>
      <c r="AE312" s="5" t="s">
        <v>133</v>
      </c>
      <c r="AF312">
        <v>0</v>
      </c>
      <c r="AG312" s="30" t="s">
        <v>391</v>
      </c>
      <c r="AH312" s="17">
        <f>AVERAGE(AF308:AF322)</f>
        <v>0.13333333333333333</v>
      </c>
      <c r="AO312" s="5" t="s">
        <v>168</v>
      </c>
      <c r="AP312">
        <v>0</v>
      </c>
      <c r="AQ312" s="17"/>
      <c r="AR312" s="17"/>
      <c r="AT312" s="5" t="s">
        <v>175</v>
      </c>
      <c r="AU312">
        <v>6</v>
      </c>
      <c r="AV312" s="30" t="s">
        <v>387</v>
      </c>
      <c r="AW312" s="17">
        <f>SUM(AU312:AU329)</f>
        <v>367</v>
      </c>
      <c r="AY312" s="5" t="s">
        <v>194</v>
      </c>
      <c r="AZ312">
        <v>0</v>
      </c>
      <c r="BA312" s="30" t="s">
        <v>389</v>
      </c>
      <c r="BB312" s="17">
        <f>MAX(AZ310:AZ339)</f>
        <v>1</v>
      </c>
      <c r="BD312" s="5" t="s">
        <v>238</v>
      </c>
      <c r="BE312">
        <v>0</v>
      </c>
      <c r="BI312" s="5" t="s">
        <v>246</v>
      </c>
      <c r="BJ312">
        <v>0</v>
      </c>
      <c r="BK312" s="30" t="s">
        <v>389</v>
      </c>
      <c r="BL312" s="17">
        <f>MAX(BJ310:BJ339)</f>
        <v>1</v>
      </c>
      <c r="BN312" s="5" t="s">
        <v>282</v>
      </c>
      <c r="BO312">
        <v>0</v>
      </c>
      <c r="BP312" s="17"/>
      <c r="BQ312" s="17"/>
      <c r="BX312" s="61" t="s">
        <v>292</v>
      </c>
      <c r="BY312" s="62">
        <v>0</v>
      </c>
      <c r="CC312" s="5" t="s">
        <v>309</v>
      </c>
      <c r="CD312">
        <v>0</v>
      </c>
      <c r="CE312" s="17"/>
      <c r="CF312" s="17"/>
      <c r="CO312" s="17"/>
      <c r="CP312" s="17"/>
      <c r="CR312" s="5" t="s">
        <v>344</v>
      </c>
      <c r="CS312">
        <v>0</v>
      </c>
      <c r="CW312" s="61" t="s">
        <v>321</v>
      </c>
      <c r="CX312" s="62">
        <v>4</v>
      </c>
      <c r="CY312" s="63" t="s">
        <v>387</v>
      </c>
      <c r="CZ312" s="58">
        <f>SUM(CX312:CX351)</f>
        <v>155</v>
      </c>
    </row>
    <row r="313" spans="1:104" x14ac:dyDescent="0.25">
      <c r="A313" s="5" t="s">
        <v>53</v>
      </c>
      <c r="B313" s="27">
        <v>0</v>
      </c>
      <c r="C313" s="17"/>
      <c r="D313" s="17"/>
      <c r="K313" s="5" t="s">
        <v>81</v>
      </c>
      <c r="L313">
        <v>0</v>
      </c>
      <c r="M313" s="17"/>
      <c r="N313" s="17"/>
      <c r="U313" s="5" t="s">
        <v>109</v>
      </c>
      <c r="V313">
        <v>0</v>
      </c>
      <c r="W313" s="17"/>
      <c r="X313" s="17"/>
      <c r="Z313" s="61" t="s">
        <v>89</v>
      </c>
      <c r="AA313" s="62">
        <v>0</v>
      </c>
      <c r="AB313" s="63" t="s">
        <v>388</v>
      </c>
      <c r="AC313" s="58">
        <f>MIN(AA312:AA351)</f>
        <v>0</v>
      </c>
      <c r="AE313" s="5" t="s">
        <v>134</v>
      </c>
      <c r="AF313">
        <v>0</v>
      </c>
      <c r="AG313" s="30" t="s">
        <v>392</v>
      </c>
      <c r="AH313" s="17">
        <f>STDEV(AF308:AF322)</f>
        <v>0.35186577527449842</v>
      </c>
      <c r="AO313" s="5" t="s">
        <v>169</v>
      </c>
      <c r="AP313">
        <v>0</v>
      </c>
      <c r="AQ313" s="17"/>
      <c r="AR313" s="17"/>
      <c r="AT313" s="5" t="s">
        <v>176</v>
      </c>
      <c r="AU313">
        <v>6</v>
      </c>
      <c r="AV313" s="30" t="s">
        <v>388</v>
      </c>
      <c r="AW313" s="17">
        <f>MIN(AU312:AU329)</f>
        <v>0</v>
      </c>
      <c r="AY313" s="5" t="s">
        <v>195</v>
      </c>
      <c r="AZ313">
        <v>0</v>
      </c>
      <c r="BA313" s="30" t="s">
        <v>390</v>
      </c>
      <c r="BB313" s="17">
        <f>VAR(AZ310:AZ339)</f>
        <v>9.3103448275862075E-2</v>
      </c>
      <c r="BD313" s="5" t="s">
        <v>239</v>
      </c>
      <c r="BE313">
        <v>0</v>
      </c>
      <c r="BI313" s="5" t="s">
        <v>247</v>
      </c>
      <c r="BJ313">
        <v>0</v>
      </c>
      <c r="BK313" s="30" t="s">
        <v>390</v>
      </c>
      <c r="BL313" s="17">
        <f>VAR(BJ310:BJ339)</f>
        <v>3.3333333333333333E-2</v>
      </c>
      <c r="BN313" s="5" t="s">
        <v>283</v>
      </c>
      <c r="BO313">
        <v>0</v>
      </c>
      <c r="BP313" s="17"/>
      <c r="BQ313" s="17"/>
      <c r="BX313" s="61" t="s">
        <v>293</v>
      </c>
      <c r="BY313" s="62">
        <v>1</v>
      </c>
      <c r="CC313" s="5" t="s">
        <v>310</v>
      </c>
      <c r="CD313">
        <v>0</v>
      </c>
      <c r="CE313" s="17"/>
      <c r="CF313" s="17"/>
      <c r="CO313" s="17"/>
      <c r="CP313" s="17"/>
      <c r="CR313" s="5" t="s">
        <v>345</v>
      </c>
      <c r="CS313">
        <v>0</v>
      </c>
      <c r="CW313" s="61" t="s">
        <v>322</v>
      </c>
      <c r="CX313" s="62">
        <v>3</v>
      </c>
      <c r="CY313" s="63" t="s">
        <v>388</v>
      </c>
      <c r="CZ313" s="58">
        <f>MIN(CX312:CX351)</f>
        <v>0</v>
      </c>
    </row>
    <row r="314" spans="1:104" x14ac:dyDescent="0.25">
      <c r="A314" s="5" t="s">
        <v>54</v>
      </c>
      <c r="B314" s="27">
        <v>0</v>
      </c>
      <c r="C314" s="17"/>
      <c r="D314" s="17"/>
      <c r="K314" s="5" t="s">
        <v>82</v>
      </c>
      <c r="L314">
        <v>2</v>
      </c>
      <c r="M314" s="17"/>
      <c r="N314" s="17"/>
      <c r="U314" s="5" t="s">
        <v>110</v>
      </c>
      <c r="V314">
        <v>0</v>
      </c>
      <c r="W314" s="17"/>
      <c r="X314" s="17"/>
      <c r="Z314" s="61" t="s">
        <v>90</v>
      </c>
      <c r="AA314" s="62">
        <v>0</v>
      </c>
      <c r="AB314" s="63" t="s">
        <v>389</v>
      </c>
      <c r="AC314" s="58">
        <f>MAX(AA312:AA351)</f>
        <v>1</v>
      </c>
      <c r="AE314" s="5" t="s">
        <v>135</v>
      </c>
      <c r="AF314">
        <v>0</v>
      </c>
      <c r="AG314" s="17"/>
      <c r="AH314" s="17"/>
      <c r="AO314" s="5" t="s">
        <v>170</v>
      </c>
      <c r="AP314">
        <v>0</v>
      </c>
      <c r="AQ314" s="17"/>
      <c r="AR314" s="1"/>
      <c r="AT314" s="5" t="s">
        <v>177</v>
      </c>
      <c r="AU314">
        <v>9</v>
      </c>
      <c r="AV314" s="30" t="s">
        <v>389</v>
      </c>
      <c r="AW314" s="17">
        <f>MAX(AU312:AU329)</f>
        <v>51</v>
      </c>
      <c r="AY314" s="5" t="s">
        <v>196</v>
      </c>
      <c r="AZ314">
        <v>0</v>
      </c>
      <c r="BA314" s="30" t="s">
        <v>391</v>
      </c>
      <c r="BB314" s="17">
        <f>AVERAGE(AZ310:AZ339)</f>
        <v>0.1</v>
      </c>
      <c r="BD314" s="5" t="s">
        <v>240</v>
      </c>
      <c r="BE314">
        <v>0</v>
      </c>
      <c r="BI314" s="5" t="s">
        <v>248</v>
      </c>
      <c r="BJ314">
        <v>0</v>
      </c>
      <c r="BK314" s="30" t="s">
        <v>391</v>
      </c>
      <c r="BL314" s="17">
        <f>AVERAGE(BJ310:BJ339)</f>
        <v>3.3333333333333333E-2</v>
      </c>
      <c r="BN314" s="5" t="s">
        <v>285</v>
      </c>
      <c r="BO314">
        <v>1</v>
      </c>
      <c r="BP314" s="17"/>
      <c r="BQ314" s="17"/>
      <c r="BX314" s="61" t="s">
        <v>294</v>
      </c>
      <c r="BY314" s="62">
        <v>2</v>
      </c>
      <c r="CC314" s="5" t="s">
        <v>311</v>
      </c>
      <c r="CD314">
        <v>0</v>
      </c>
      <c r="CE314" s="17"/>
      <c r="CF314" s="17"/>
      <c r="CO314" s="17"/>
      <c r="CP314" s="17"/>
      <c r="CR314" s="5" t="s">
        <v>346</v>
      </c>
      <c r="CS314">
        <v>0</v>
      </c>
      <c r="CW314" s="61" t="s">
        <v>323</v>
      </c>
      <c r="CX314" s="62">
        <v>10</v>
      </c>
      <c r="CY314" s="63" t="s">
        <v>389</v>
      </c>
      <c r="CZ314" s="58">
        <f>MAX(CX312:CX351)</f>
        <v>23</v>
      </c>
    </row>
    <row r="315" spans="1:104" x14ac:dyDescent="0.25">
      <c r="A315" s="5" t="s">
        <v>55</v>
      </c>
      <c r="B315" s="27">
        <v>0</v>
      </c>
      <c r="C315" s="17"/>
      <c r="D315" s="17"/>
      <c r="K315" s="5" t="s">
        <v>83</v>
      </c>
      <c r="L315">
        <v>0</v>
      </c>
      <c r="M315" s="17"/>
      <c r="N315" s="17"/>
      <c r="U315" s="5" t="s">
        <v>111</v>
      </c>
      <c r="V315">
        <v>0</v>
      </c>
      <c r="W315" s="17"/>
      <c r="X315" s="17"/>
      <c r="Z315" s="61" t="s">
        <v>91</v>
      </c>
      <c r="AA315" s="62">
        <v>0</v>
      </c>
      <c r="AB315" s="63" t="s">
        <v>390</v>
      </c>
      <c r="AC315" s="58">
        <f>VAR(AA312:AA351)</f>
        <v>4.8717948717948718E-2</v>
      </c>
      <c r="AE315" s="5" t="s">
        <v>136</v>
      </c>
      <c r="AF315">
        <v>0</v>
      </c>
      <c r="AG315" s="17"/>
      <c r="AH315" s="17"/>
      <c r="AO315" s="5" t="s">
        <v>171</v>
      </c>
      <c r="AP315">
        <v>0</v>
      </c>
      <c r="AQ315" s="17"/>
      <c r="AR315" s="1"/>
      <c r="AT315" s="5" t="s">
        <v>178</v>
      </c>
      <c r="AU315">
        <v>15</v>
      </c>
      <c r="AV315" s="30" t="s">
        <v>390</v>
      </c>
      <c r="AW315" s="17">
        <f>VAR(AU312:AU329)</f>
        <v>214.95751633986924</v>
      </c>
      <c r="AY315" s="5" t="s">
        <v>197</v>
      </c>
      <c r="AZ315">
        <v>0</v>
      </c>
      <c r="BA315" s="30" t="s">
        <v>392</v>
      </c>
      <c r="BB315" s="17">
        <f>STDEV(AZ310:AZ339)</f>
        <v>0.30512857662936466</v>
      </c>
      <c r="BD315" s="5" t="s">
        <v>241</v>
      </c>
      <c r="BE315">
        <v>0</v>
      </c>
      <c r="BI315" s="5" t="s">
        <v>249</v>
      </c>
      <c r="BJ315">
        <v>0</v>
      </c>
      <c r="BK315" s="30" t="s">
        <v>392</v>
      </c>
      <c r="BL315" s="17">
        <f>STDEV(BJ310:BJ339)</f>
        <v>0.18257418583505536</v>
      </c>
      <c r="BN315" s="5" t="s">
        <v>284</v>
      </c>
      <c r="BO315">
        <v>0</v>
      </c>
      <c r="BP315" s="17"/>
      <c r="BQ315" s="17"/>
      <c r="BX315" s="61" t="s">
        <v>295</v>
      </c>
      <c r="BY315" s="62">
        <v>0</v>
      </c>
      <c r="CC315" s="5" t="s">
        <v>312</v>
      </c>
      <c r="CD315">
        <v>0</v>
      </c>
      <c r="CE315" s="17"/>
      <c r="CF315" s="17"/>
      <c r="CO315" s="17"/>
      <c r="CP315" s="17"/>
      <c r="CR315" s="5" t="s">
        <v>347</v>
      </c>
      <c r="CS315">
        <v>0</v>
      </c>
      <c r="CW315" s="61" t="s">
        <v>324</v>
      </c>
      <c r="CX315" s="62">
        <v>23</v>
      </c>
      <c r="CY315" s="63" t="s">
        <v>390</v>
      </c>
      <c r="CZ315" s="58">
        <f>VAR(CX312:CX351)</f>
        <v>14.932692307692308</v>
      </c>
    </row>
    <row r="316" spans="1:104" x14ac:dyDescent="0.25">
      <c r="A316" s="5" t="s">
        <v>56</v>
      </c>
      <c r="B316" s="27">
        <v>1</v>
      </c>
      <c r="C316" s="17"/>
      <c r="D316" s="17"/>
      <c r="K316" s="5" t="s">
        <v>84</v>
      </c>
      <c r="L316">
        <v>0</v>
      </c>
      <c r="M316" s="17"/>
      <c r="N316" s="17"/>
      <c r="U316" s="5" t="s">
        <v>112</v>
      </c>
      <c r="V316">
        <v>0</v>
      </c>
      <c r="W316" s="17"/>
      <c r="X316" s="17"/>
      <c r="Z316" s="61" t="s">
        <v>92</v>
      </c>
      <c r="AA316" s="62">
        <v>0</v>
      </c>
      <c r="AB316" s="63" t="s">
        <v>391</v>
      </c>
      <c r="AC316" s="58">
        <f>AVERAGE(AA312:AA351)</f>
        <v>0.05</v>
      </c>
      <c r="AE316" s="5" t="s">
        <v>44</v>
      </c>
      <c r="AF316">
        <v>0</v>
      </c>
      <c r="AG316" s="17"/>
      <c r="AH316" s="17"/>
      <c r="AO316" s="5" t="s">
        <v>172</v>
      </c>
      <c r="AP316">
        <v>0</v>
      </c>
      <c r="AQ316" s="17"/>
      <c r="AR316" s="1"/>
      <c r="AT316" s="5" t="s">
        <v>179</v>
      </c>
      <c r="AU316">
        <v>16</v>
      </c>
      <c r="AV316" s="30" t="s">
        <v>391</v>
      </c>
      <c r="AW316" s="17">
        <f>AVERAGE(AU312:AU329)</f>
        <v>20.388888888888889</v>
      </c>
      <c r="AY316" s="5" t="s">
        <v>198</v>
      </c>
      <c r="AZ316">
        <v>0</v>
      </c>
      <c r="BA316" s="17"/>
      <c r="BB316" s="17"/>
      <c r="BD316" s="5" t="s">
        <v>242</v>
      </c>
      <c r="BE316">
        <v>0</v>
      </c>
      <c r="BI316" s="5" t="s">
        <v>250</v>
      </c>
      <c r="BJ316">
        <v>0</v>
      </c>
      <c r="BK316" s="17"/>
      <c r="BL316" s="17"/>
      <c r="BN316" s="5" t="s">
        <v>286</v>
      </c>
      <c r="BO316">
        <v>0</v>
      </c>
      <c r="BP316" s="17"/>
      <c r="BQ316" s="17"/>
      <c r="BX316" s="61" t="s">
        <v>296</v>
      </c>
      <c r="BY316" s="62">
        <v>0</v>
      </c>
      <c r="CC316" s="5" t="s">
        <v>313</v>
      </c>
      <c r="CD316">
        <v>0</v>
      </c>
      <c r="CE316" s="17"/>
      <c r="CF316" s="17"/>
      <c r="CR316" s="5" t="s">
        <v>348</v>
      </c>
      <c r="CS316">
        <v>0</v>
      </c>
      <c r="CW316" s="61" t="s">
        <v>325</v>
      </c>
      <c r="CX316" s="62">
        <v>2</v>
      </c>
      <c r="CY316" s="63" t="s">
        <v>391</v>
      </c>
      <c r="CZ316" s="58">
        <f>AVERAGE(CX312:CX351)</f>
        <v>3.875</v>
      </c>
    </row>
    <row r="317" spans="1:104" x14ac:dyDescent="0.25">
      <c r="A317" s="5" t="s">
        <v>57</v>
      </c>
      <c r="B317" s="27">
        <v>0</v>
      </c>
      <c r="C317" s="17"/>
      <c r="D317" s="17"/>
      <c r="K317" s="5" t="s">
        <v>85</v>
      </c>
      <c r="L317">
        <v>0</v>
      </c>
      <c r="M317" s="17"/>
      <c r="N317" s="17"/>
      <c r="U317" s="5" t="s">
        <v>113</v>
      </c>
      <c r="V317">
        <v>0</v>
      </c>
      <c r="W317" s="15"/>
      <c r="X317" s="15"/>
      <c r="Z317" s="61" t="s">
        <v>93</v>
      </c>
      <c r="AA317" s="62">
        <v>0</v>
      </c>
      <c r="AB317" s="63" t="s">
        <v>392</v>
      </c>
      <c r="AC317" s="58">
        <f>STDEV(AA312:AA351)</f>
        <v>0.22072142786315224</v>
      </c>
      <c r="AE317" s="5" t="s">
        <v>137</v>
      </c>
      <c r="AF317">
        <v>0</v>
      </c>
      <c r="AG317" s="17"/>
      <c r="AH317" s="17"/>
      <c r="AO317" s="5" t="s">
        <v>173</v>
      </c>
      <c r="AP317">
        <v>1</v>
      </c>
      <c r="AT317" s="5" t="s">
        <v>180</v>
      </c>
      <c r="AU317">
        <v>10</v>
      </c>
      <c r="AV317" s="30" t="s">
        <v>392</v>
      </c>
      <c r="AW317" s="17">
        <f>STDEV(AU312:AU329)</f>
        <v>14.661429546257393</v>
      </c>
      <c r="AY317" s="5" t="s">
        <v>161</v>
      </c>
      <c r="AZ317">
        <v>1</v>
      </c>
      <c r="BA317" s="17"/>
      <c r="BB317" s="17"/>
      <c r="BD317" s="5" t="s">
        <v>243</v>
      </c>
      <c r="BE317">
        <v>0</v>
      </c>
      <c r="BI317" s="5" t="s">
        <v>251</v>
      </c>
      <c r="BJ317">
        <v>0</v>
      </c>
      <c r="BK317" s="17"/>
      <c r="BL317" s="17"/>
      <c r="BN317" s="5" t="s">
        <v>287</v>
      </c>
      <c r="BO317">
        <v>0</v>
      </c>
      <c r="BP317" s="17"/>
      <c r="BQ317" s="17"/>
      <c r="BX317" s="61" t="s">
        <v>297</v>
      </c>
      <c r="BY317" s="62">
        <v>0</v>
      </c>
      <c r="CC317" s="5" t="s">
        <v>314</v>
      </c>
      <c r="CD317">
        <v>0</v>
      </c>
      <c r="CR317" s="5" t="s">
        <v>349</v>
      </c>
      <c r="CS317">
        <v>0</v>
      </c>
      <c r="CW317" s="61" t="s">
        <v>326</v>
      </c>
      <c r="CX317" s="62">
        <v>4</v>
      </c>
      <c r="CY317" s="63" t="s">
        <v>392</v>
      </c>
      <c r="CZ317" s="58">
        <f>STDEV(CX312:CX351)</f>
        <v>3.8642841908550554</v>
      </c>
    </row>
    <row r="318" spans="1:104" x14ac:dyDescent="0.25">
      <c r="A318" s="5" t="s">
        <v>58</v>
      </c>
      <c r="B318" s="27">
        <v>1</v>
      </c>
      <c r="C318" s="15"/>
      <c r="D318" s="15"/>
      <c r="K318" s="5" t="s">
        <v>86</v>
      </c>
      <c r="L318">
        <v>0</v>
      </c>
      <c r="M318" s="17"/>
      <c r="N318" s="17"/>
      <c r="U318" s="26" t="s">
        <v>114</v>
      </c>
      <c r="V318">
        <v>0</v>
      </c>
      <c r="W318" s="17"/>
      <c r="X318" s="17"/>
      <c r="Z318" s="61" t="s">
        <v>94</v>
      </c>
      <c r="AA318" s="62">
        <v>0</v>
      </c>
      <c r="AB318" s="58"/>
      <c r="AC318" s="58"/>
      <c r="AE318" s="5" t="s">
        <v>138</v>
      </c>
      <c r="AF318">
        <v>0</v>
      </c>
      <c r="AG318" s="17"/>
      <c r="AH318" s="17"/>
      <c r="AO318" s="5" t="s">
        <v>174</v>
      </c>
      <c r="AP318">
        <v>0</v>
      </c>
      <c r="AT318" s="5" t="s">
        <v>181</v>
      </c>
      <c r="AU318">
        <v>21</v>
      </c>
      <c r="AV318" s="17"/>
      <c r="AW318" s="17"/>
      <c r="AY318" s="5" t="s">
        <v>199</v>
      </c>
      <c r="AZ318">
        <v>1</v>
      </c>
      <c r="BA318" s="17"/>
      <c r="BB318" s="17"/>
      <c r="BD318" s="5" t="s">
        <v>244</v>
      </c>
      <c r="BE318">
        <v>0</v>
      </c>
      <c r="BI318" s="5" t="s">
        <v>252</v>
      </c>
      <c r="BJ318">
        <v>0</v>
      </c>
      <c r="BK318" s="17"/>
      <c r="BL318" s="17"/>
      <c r="BN318" s="5" t="s">
        <v>288</v>
      </c>
      <c r="BO318">
        <v>0</v>
      </c>
      <c r="BP318" s="17"/>
      <c r="BQ318" s="17"/>
      <c r="BX318" s="61" t="s">
        <v>298</v>
      </c>
      <c r="BY318" s="62">
        <v>0</v>
      </c>
      <c r="CC318" s="5" t="s">
        <v>315</v>
      </c>
      <c r="CD318">
        <v>0</v>
      </c>
      <c r="CR318" s="5" t="s">
        <v>350</v>
      </c>
      <c r="CS318">
        <v>0</v>
      </c>
      <c r="CW318" s="61" t="s">
        <v>327</v>
      </c>
      <c r="CX318" s="62">
        <v>6</v>
      </c>
      <c r="CY318" s="58"/>
      <c r="CZ318" s="58"/>
    </row>
    <row r="319" spans="1:104" x14ac:dyDescent="0.25">
      <c r="A319" s="5" t="s">
        <v>60</v>
      </c>
      <c r="B319" s="27">
        <v>1</v>
      </c>
      <c r="C319" s="17"/>
      <c r="D319" s="17"/>
      <c r="K319" s="5" t="s">
        <v>87</v>
      </c>
      <c r="L319">
        <v>0</v>
      </c>
      <c r="M319" s="17"/>
      <c r="N319" s="17"/>
      <c r="U319" s="26" t="s">
        <v>115</v>
      </c>
      <c r="V319">
        <v>0</v>
      </c>
      <c r="W319" s="17"/>
      <c r="X319" s="17"/>
      <c r="Z319" s="61" t="s">
        <v>96</v>
      </c>
      <c r="AA319" s="62">
        <v>0</v>
      </c>
      <c r="AE319" s="5" t="s">
        <v>139</v>
      </c>
      <c r="AF319">
        <v>0</v>
      </c>
      <c r="AG319" s="17"/>
      <c r="AH319" s="17"/>
      <c r="AT319" s="5" t="s">
        <v>182</v>
      </c>
      <c r="AU319">
        <v>19</v>
      </c>
      <c r="AV319" s="17"/>
      <c r="AW319" s="17"/>
      <c r="AY319" s="5" t="s">
        <v>200</v>
      </c>
      <c r="AZ319">
        <v>0</v>
      </c>
      <c r="BA319" s="17"/>
      <c r="BB319" s="17"/>
      <c r="BI319" s="5" t="s">
        <v>253</v>
      </c>
      <c r="BJ319">
        <v>0</v>
      </c>
      <c r="BK319" s="17"/>
      <c r="BL319" s="17"/>
      <c r="BN319" s="5" t="s">
        <v>289</v>
      </c>
      <c r="BO319">
        <v>0</v>
      </c>
      <c r="BP319" s="17"/>
      <c r="BQ319" s="17"/>
      <c r="CC319" s="5" t="s">
        <v>316</v>
      </c>
      <c r="CD319">
        <v>0</v>
      </c>
      <c r="CR319" s="5" t="s">
        <v>351</v>
      </c>
      <c r="CS319">
        <v>0</v>
      </c>
      <c r="CW319" s="61" t="s">
        <v>328</v>
      </c>
      <c r="CX319" s="62">
        <v>4</v>
      </c>
    </row>
    <row r="320" spans="1:104" x14ac:dyDescent="0.25">
      <c r="A320" s="5" t="s">
        <v>61</v>
      </c>
      <c r="B320" s="27">
        <v>2</v>
      </c>
      <c r="C320" s="17"/>
      <c r="D320" s="17"/>
      <c r="U320" s="26" t="s">
        <v>116</v>
      </c>
      <c r="V320">
        <v>0</v>
      </c>
      <c r="W320" s="17"/>
      <c r="X320" s="1"/>
      <c r="Z320" s="61" t="s">
        <v>97</v>
      </c>
      <c r="AA320" s="62">
        <v>0</v>
      </c>
      <c r="AE320" s="5" t="s">
        <v>140</v>
      </c>
      <c r="AF320">
        <v>0</v>
      </c>
      <c r="AG320" s="17"/>
      <c r="AH320" s="17"/>
      <c r="AO320" s="17" t="s">
        <v>382</v>
      </c>
      <c r="AP320" s="29" t="s">
        <v>368</v>
      </c>
      <c r="AQ320" s="17"/>
      <c r="AR320" s="17">
        <v>2016</v>
      </c>
      <c r="AT320" s="5" t="s">
        <v>183</v>
      </c>
      <c r="AU320">
        <v>37</v>
      </c>
      <c r="AV320" s="17"/>
      <c r="AW320" s="17"/>
      <c r="AY320" s="5" t="s">
        <v>201</v>
      </c>
      <c r="AZ320">
        <v>0</v>
      </c>
      <c r="BA320" s="17"/>
      <c r="BB320" s="17"/>
      <c r="BD320" s="17" t="s">
        <v>382</v>
      </c>
      <c r="BE320" s="29" t="s">
        <v>371</v>
      </c>
      <c r="BF320" s="17"/>
      <c r="BG320" s="17">
        <v>2016</v>
      </c>
      <c r="BI320" s="5" t="s">
        <v>254</v>
      </c>
      <c r="BJ320">
        <v>0</v>
      </c>
      <c r="BK320" s="17"/>
      <c r="BL320" s="17"/>
      <c r="BX320" s="58" t="s">
        <v>382</v>
      </c>
      <c r="BY320" s="59" t="s">
        <v>628</v>
      </c>
      <c r="BZ320" s="58"/>
      <c r="CA320" s="58">
        <v>2016</v>
      </c>
      <c r="CC320" s="5" t="s">
        <v>317</v>
      </c>
      <c r="CD320">
        <v>0</v>
      </c>
      <c r="CR320" s="5" t="s">
        <v>352</v>
      </c>
      <c r="CS320">
        <v>0</v>
      </c>
      <c r="CW320" s="61" t="s">
        <v>329</v>
      </c>
      <c r="CX320" s="62">
        <v>2</v>
      </c>
    </row>
    <row r="321" spans="1:102" x14ac:dyDescent="0.25">
      <c r="A321" s="5" t="s">
        <v>62</v>
      </c>
      <c r="B321" s="27">
        <v>0</v>
      </c>
      <c r="C321" s="17"/>
      <c r="D321" s="1"/>
      <c r="K321" s="17" t="s">
        <v>382</v>
      </c>
      <c r="L321" s="29" t="s">
        <v>363</v>
      </c>
      <c r="M321" s="17"/>
      <c r="N321" s="17">
        <v>2016</v>
      </c>
      <c r="U321" s="26" t="s">
        <v>117</v>
      </c>
      <c r="V321">
        <v>0</v>
      </c>
      <c r="W321" s="17"/>
      <c r="X321" s="1"/>
      <c r="Z321" s="61" t="s">
        <v>98</v>
      </c>
      <c r="AA321" s="62">
        <v>0</v>
      </c>
      <c r="AE321" s="5" t="s">
        <v>141</v>
      </c>
      <c r="AF321">
        <v>1</v>
      </c>
      <c r="AG321" s="17"/>
      <c r="AH321" s="17"/>
      <c r="AO321" s="17" t="s">
        <v>383</v>
      </c>
      <c r="AP321" s="6" t="s">
        <v>21</v>
      </c>
      <c r="AQ321" s="17"/>
      <c r="AR321" s="17"/>
      <c r="AT321" s="5" t="s">
        <v>184</v>
      </c>
      <c r="AU321">
        <v>31</v>
      </c>
      <c r="AV321" s="17"/>
      <c r="AW321" s="17"/>
      <c r="AY321" s="5" t="s">
        <v>202</v>
      </c>
      <c r="AZ321">
        <v>0</v>
      </c>
      <c r="BA321" s="17"/>
      <c r="BB321" s="17"/>
      <c r="BD321" s="17" t="s">
        <v>383</v>
      </c>
      <c r="BE321" s="6" t="s">
        <v>25</v>
      </c>
      <c r="BF321" s="17"/>
      <c r="BG321" s="17"/>
      <c r="BI321" s="5" t="s">
        <v>255</v>
      </c>
      <c r="BJ321">
        <v>0</v>
      </c>
      <c r="BK321" s="17"/>
      <c r="BL321" s="17"/>
      <c r="BN321" s="17" t="s">
        <v>382</v>
      </c>
      <c r="BO321" s="29" t="s">
        <v>440</v>
      </c>
      <c r="BP321" s="17"/>
      <c r="BQ321" s="17">
        <v>2016</v>
      </c>
      <c r="BX321" s="58" t="s">
        <v>383</v>
      </c>
      <c r="BY321" s="60" t="s">
        <v>23</v>
      </c>
      <c r="BZ321" s="58"/>
      <c r="CA321" s="58"/>
      <c r="CC321" s="5" t="s">
        <v>318</v>
      </c>
      <c r="CD321">
        <v>0</v>
      </c>
      <c r="CR321" s="5" t="s">
        <v>353</v>
      </c>
      <c r="CS321">
        <v>0</v>
      </c>
      <c r="CW321" s="61" t="s">
        <v>330</v>
      </c>
      <c r="CX321" s="62">
        <v>0</v>
      </c>
    </row>
    <row r="322" spans="1:102" x14ac:dyDescent="0.25">
      <c r="A322" s="5" t="s">
        <v>63</v>
      </c>
      <c r="B322" s="27">
        <v>1</v>
      </c>
      <c r="C322" s="17"/>
      <c r="D322" s="1"/>
      <c r="K322" s="17" t="s">
        <v>383</v>
      </c>
      <c r="L322" s="6" t="s">
        <v>37</v>
      </c>
      <c r="M322" s="17"/>
      <c r="N322" s="17"/>
      <c r="U322" s="26" t="s">
        <v>118</v>
      </c>
      <c r="V322">
        <v>0</v>
      </c>
      <c r="W322" s="17"/>
      <c r="X322" s="1"/>
      <c r="Z322" s="61" t="s">
        <v>99</v>
      </c>
      <c r="AA322" s="62">
        <v>0</v>
      </c>
      <c r="AE322" s="5" t="s">
        <v>142</v>
      </c>
      <c r="AF322">
        <v>0</v>
      </c>
      <c r="AG322" s="17"/>
      <c r="AH322" s="17"/>
      <c r="AO322" s="17" t="s">
        <v>384</v>
      </c>
      <c r="AP322" s="17" t="s">
        <v>39</v>
      </c>
      <c r="AQ322" s="17" t="s">
        <v>385</v>
      </c>
      <c r="AR322" s="17" t="s">
        <v>386</v>
      </c>
      <c r="AT322" s="5" t="s">
        <v>185</v>
      </c>
      <c r="AU322">
        <v>34</v>
      </c>
      <c r="AV322" s="17"/>
      <c r="AW322" s="17"/>
      <c r="AY322" s="5" t="s">
        <v>203</v>
      </c>
      <c r="AZ322">
        <v>0</v>
      </c>
      <c r="BA322" s="17"/>
      <c r="BB322" s="17"/>
      <c r="BD322" s="17" t="s">
        <v>384</v>
      </c>
      <c r="BE322" s="17" t="s">
        <v>39</v>
      </c>
      <c r="BF322" s="17" t="s">
        <v>385</v>
      </c>
      <c r="BG322" s="17" t="s">
        <v>386</v>
      </c>
      <c r="BI322" s="5" t="s">
        <v>256</v>
      </c>
      <c r="BJ322">
        <v>1</v>
      </c>
      <c r="BK322" s="17"/>
      <c r="BL322" s="17"/>
      <c r="BN322" s="17" t="s">
        <v>383</v>
      </c>
      <c r="BO322" s="6" t="s">
        <v>102</v>
      </c>
      <c r="BP322" s="17"/>
      <c r="BQ322" s="17"/>
      <c r="BX322" s="58" t="s">
        <v>384</v>
      </c>
      <c r="BY322" s="58" t="s">
        <v>39</v>
      </c>
      <c r="BZ322" s="58" t="s">
        <v>385</v>
      </c>
      <c r="CA322" s="58" t="s">
        <v>386</v>
      </c>
      <c r="CC322" s="5" t="s">
        <v>319</v>
      </c>
      <c r="CD322">
        <v>0</v>
      </c>
      <c r="CR322" s="5" t="s">
        <v>354</v>
      </c>
      <c r="CS322">
        <v>0</v>
      </c>
      <c r="CW322" s="61" t="s">
        <v>331</v>
      </c>
      <c r="CX322" s="62">
        <v>1</v>
      </c>
    </row>
    <row r="323" spans="1:102" x14ac:dyDescent="0.25">
      <c r="A323" s="5" t="s">
        <v>64</v>
      </c>
      <c r="B323" s="27">
        <v>0</v>
      </c>
      <c r="C323" s="17"/>
      <c r="D323" s="1"/>
      <c r="K323" s="17" t="s">
        <v>384</v>
      </c>
      <c r="L323" s="17" t="s">
        <v>39</v>
      </c>
      <c r="M323" s="17" t="s">
        <v>385</v>
      </c>
      <c r="N323" s="17" t="s">
        <v>386</v>
      </c>
      <c r="U323" s="26" t="s">
        <v>119</v>
      </c>
      <c r="V323">
        <v>0</v>
      </c>
      <c r="Z323" s="61" t="s">
        <v>100</v>
      </c>
      <c r="AA323" s="62">
        <v>0</v>
      </c>
      <c r="AO323" s="5" t="s">
        <v>149</v>
      </c>
      <c r="AP323">
        <v>1</v>
      </c>
      <c r="AQ323" s="30" t="s">
        <v>387</v>
      </c>
      <c r="AR323" s="17">
        <f>SUM(AP323:AP347)</f>
        <v>2</v>
      </c>
      <c r="AT323" s="5" t="s">
        <v>186</v>
      </c>
      <c r="AU323">
        <v>51</v>
      </c>
      <c r="AV323" s="17"/>
      <c r="AW323" s="17"/>
      <c r="AY323" s="5" t="s">
        <v>204</v>
      </c>
      <c r="AZ323">
        <v>0</v>
      </c>
      <c r="BA323" s="17"/>
      <c r="BB323" s="17"/>
      <c r="BD323" s="5" t="s">
        <v>221</v>
      </c>
      <c r="BE323">
        <v>0</v>
      </c>
      <c r="BF323" s="30" t="s">
        <v>387</v>
      </c>
      <c r="BG323" s="17">
        <f>SUM(BE323:BE347)</f>
        <v>11</v>
      </c>
      <c r="BI323" s="5" t="s">
        <v>257</v>
      </c>
      <c r="BJ323">
        <v>0</v>
      </c>
      <c r="BK323" s="17"/>
      <c r="BL323" s="17"/>
      <c r="BN323" s="17" t="s">
        <v>384</v>
      </c>
      <c r="BO323" s="17" t="s">
        <v>39</v>
      </c>
      <c r="BP323" s="17" t="s">
        <v>385</v>
      </c>
      <c r="BQ323" s="17" t="s">
        <v>386</v>
      </c>
      <c r="BX323" s="61" t="s">
        <v>274</v>
      </c>
      <c r="BY323" s="62">
        <v>0</v>
      </c>
      <c r="BZ323" s="63" t="s">
        <v>387</v>
      </c>
      <c r="CA323" s="58">
        <f>SUM(BY323:BY347)</f>
        <v>2</v>
      </c>
      <c r="CC323" s="5" t="s">
        <v>320</v>
      </c>
      <c r="CD323">
        <v>0</v>
      </c>
      <c r="CR323" s="5" t="s">
        <v>355</v>
      </c>
      <c r="CS323">
        <v>0</v>
      </c>
      <c r="CW323" s="61" t="s">
        <v>332</v>
      </c>
      <c r="CX323" s="62">
        <v>0</v>
      </c>
    </row>
    <row r="324" spans="1:102" x14ac:dyDescent="0.25">
      <c r="K324" s="5" t="s">
        <v>72</v>
      </c>
      <c r="L324">
        <v>4</v>
      </c>
      <c r="M324" s="30" t="s">
        <v>387</v>
      </c>
      <c r="N324" s="17">
        <f>SUM(L324:L339)</f>
        <v>40</v>
      </c>
      <c r="U324" s="5" t="s">
        <v>120</v>
      </c>
      <c r="V324">
        <v>0</v>
      </c>
      <c r="Z324" s="61" t="s">
        <v>101</v>
      </c>
      <c r="AA324" s="62">
        <v>0</v>
      </c>
      <c r="AE324" s="17" t="s">
        <v>382</v>
      </c>
      <c r="AF324" s="29" t="s">
        <v>366</v>
      </c>
      <c r="AG324" s="17"/>
      <c r="AH324" s="17">
        <v>2016</v>
      </c>
      <c r="AO324" s="5" t="s">
        <v>150</v>
      </c>
      <c r="AP324">
        <v>0</v>
      </c>
      <c r="AQ324" s="30" t="s">
        <v>388</v>
      </c>
      <c r="AR324" s="17">
        <f>MIN(AP323:AP347)</f>
        <v>0</v>
      </c>
      <c r="AT324" s="5" t="s">
        <v>187</v>
      </c>
      <c r="AU324">
        <v>20</v>
      </c>
      <c r="AV324" s="17"/>
      <c r="AW324" s="17"/>
      <c r="AY324" s="5" t="s">
        <v>205</v>
      </c>
      <c r="AZ324">
        <v>0</v>
      </c>
      <c r="BA324" s="17"/>
      <c r="BB324" s="17"/>
      <c r="BD324" s="5" t="s">
        <v>222</v>
      </c>
      <c r="BE324">
        <v>0</v>
      </c>
      <c r="BF324" s="30" t="s">
        <v>388</v>
      </c>
      <c r="BG324" s="17">
        <f>MIN(BE323:BE347)</f>
        <v>0</v>
      </c>
      <c r="BI324" s="5" t="s">
        <v>258</v>
      </c>
      <c r="BJ324">
        <v>0</v>
      </c>
      <c r="BK324" s="17"/>
      <c r="BL324" s="17"/>
      <c r="BN324" s="5" t="s">
        <v>274</v>
      </c>
      <c r="BO324">
        <v>0</v>
      </c>
      <c r="BP324" s="30" t="s">
        <v>387</v>
      </c>
      <c r="BQ324" s="17">
        <f>SUM(BO324:BO339)</f>
        <v>2</v>
      </c>
      <c r="BX324" s="61" t="s">
        <v>275</v>
      </c>
      <c r="BY324" s="62">
        <v>0</v>
      </c>
      <c r="BZ324" s="63" t="s">
        <v>388</v>
      </c>
      <c r="CA324" s="58">
        <f>MIN(BY323:BY347)</f>
        <v>0</v>
      </c>
      <c r="CR324" s="2" t="s">
        <v>356</v>
      </c>
      <c r="CS324">
        <v>0</v>
      </c>
      <c r="CW324" s="61" t="s">
        <v>333</v>
      </c>
      <c r="CX324" s="62">
        <v>1</v>
      </c>
    </row>
    <row r="325" spans="1:102" x14ac:dyDescent="0.25">
      <c r="A325" s="17" t="s">
        <v>382</v>
      </c>
      <c r="B325" s="29" t="s">
        <v>361</v>
      </c>
      <c r="C325" s="17"/>
      <c r="D325" s="17">
        <v>2016</v>
      </c>
      <c r="K325" s="5" t="s">
        <v>73</v>
      </c>
      <c r="L325">
        <v>0</v>
      </c>
      <c r="M325" s="30" t="s">
        <v>388</v>
      </c>
      <c r="N325" s="17">
        <f>MIN(L324:L339)</f>
        <v>0</v>
      </c>
      <c r="U325" s="5" t="s">
        <v>121</v>
      </c>
      <c r="V325">
        <v>0</v>
      </c>
      <c r="Z325" s="61" t="s">
        <v>103</v>
      </c>
      <c r="AA325" s="62">
        <v>0</v>
      </c>
      <c r="AE325" s="17" t="s">
        <v>383</v>
      </c>
      <c r="AF325" s="6" t="s">
        <v>37</v>
      </c>
      <c r="AG325" s="17"/>
      <c r="AH325" s="17"/>
      <c r="AO325" s="5" t="s">
        <v>151</v>
      </c>
      <c r="AP325">
        <v>0</v>
      </c>
      <c r="AQ325" s="30" t="s">
        <v>389</v>
      </c>
      <c r="AR325" s="17">
        <f>MAX(AP323:AP347)</f>
        <v>1</v>
      </c>
      <c r="AT325" s="5" t="s">
        <v>188</v>
      </c>
      <c r="AU325">
        <v>42</v>
      </c>
      <c r="AV325" s="17"/>
      <c r="AW325" s="17"/>
      <c r="AY325" s="5" t="s">
        <v>206</v>
      </c>
      <c r="AZ325">
        <v>0</v>
      </c>
      <c r="BA325" s="17"/>
      <c r="BB325" s="17"/>
      <c r="BD325" s="5" t="s">
        <v>223</v>
      </c>
      <c r="BE325">
        <v>0</v>
      </c>
      <c r="BF325" s="30" t="s">
        <v>389</v>
      </c>
      <c r="BG325" s="17">
        <f>MAX(BE323:BE347)</f>
        <v>2</v>
      </c>
      <c r="BI325" s="5" t="s">
        <v>259</v>
      </c>
      <c r="BJ325">
        <v>0</v>
      </c>
      <c r="BK325" s="17"/>
      <c r="BL325" s="17"/>
      <c r="BN325" s="5" t="s">
        <v>275</v>
      </c>
      <c r="BO325">
        <v>0</v>
      </c>
      <c r="BP325" s="30" t="s">
        <v>388</v>
      </c>
      <c r="BQ325" s="17">
        <f>MIN(BO324:BO339)</f>
        <v>0</v>
      </c>
      <c r="BX325" s="61" t="s">
        <v>276</v>
      </c>
      <c r="BY325" s="62">
        <v>0</v>
      </c>
      <c r="BZ325" s="63" t="s">
        <v>389</v>
      </c>
      <c r="CA325" s="58">
        <f>MAX(BY323:BY347)</f>
        <v>1</v>
      </c>
      <c r="CC325" s="17" t="s">
        <v>382</v>
      </c>
      <c r="CD325" s="29" t="s">
        <v>375</v>
      </c>
      <c r="CE325" s="17"/>
      <c r="CF325" s="17">
        <v>2016</v>
      </c>
      <c r="CR325" s="2" t="s">
        <v>357</v>
      </c>
      <c r="CS325">
        <v>0</v>
      </c>
      <c r="CW325" s="61" t="s">
        <v>334</v>
      </c>
      <c r="CX325" s="62">
        <v>3</v>
      </c>
    </row>
    <row r="326" spans="1:102" x14ac:dyDescent="0.25">
      <c r="A326" s="17" t="s">
        <v>383</v>
      </c>
      <c r="B326" s="28" t="s">
        <v>25</v>
      </c>
      <c r="C326" s="17"/>
      <c r="D326" s="17"/>
      <c r="K326" s="5" t="s">
        <v>74</v>
      </c>
      <c r="L326">
        <v>0</v>
      </c>
      <c r="M326" s="30" t="s">
        <v>389</v>
      </c>
      <c r="N326" s="17">
        <f>MAX(L324:L339)</f>
        <v>6</v>
      </c>
      <c r="U326" s="5" t="s">
        <v>122</v>
      </c>
      <c r="V326">
        <v>2</v>
      </c>
      <c r="Z326" s="61" t="s">
        <v>104</v>
      </c>
      <c r="AA326" s="62">
        <v>0</v>
      </c>
      <c r="AE326" s="17" t="s">
        <v>384</v>
      </c>
      <c r="AF326" s="17" t="s">
        <v>39</v>
      </c>
      <c r="AG326" s="17" t="s">
        <v>385</v>
      </c>
      <c r="AH326" s="17" t="s">
        <v>386</v>
      </c>
      <c r="AO326" s="5" t="s">
        <v>152</v>
      </c>
      <c r="AP326">
        <v>0</v>
      </c>
      <c r="AQ326" s="30" t="s">
        <v>390</v>
      </c>
      <c r="AR326" s="17">
        <f>VAR(AP323:AP347)</f>
        <v>7.6666666666666675E-2</v>
      </c>
      <c r="AT326" s="5" t="s">
        <v>395</v>
      </c>
      <c r="AU326">
        <v>35</v>
      </c>
      <c r="AV326" s="17"/>
      <c r="AW326" s="17"/>
      <c r="AY326" s="5" t="s">
        <v>207</v>
      </c>
      <c r="AZ326">
        <v>0</v>
      </c>
      <c r="BA326" s="17"/>
      <c r="BB326" s="17"/>
      <c r="BD326" s="5" t="s">
        <v>224</v>
      </c>
      <c r="BE326">
        <v>1</v>
      </c>
      <c r="BF326" s="30" t="s">
        <v>390</v>
      </c>
      <c r="BG326" s="17">
        <f>VAR(BE323:BE347)</f>
        <v>0.42333333333333334</v>
      </c>
      <c r="BI326" s="5" t="s">
        <v>260</v>
      </c>
      <c r="BJ326">
        <v>0</v>
      </c>
      <c r="BK326" s="17"/>
      <c r="BL326" s="17"/>
      <c r="BN326" s="5" t="s">
        <v>276</v>
      </c>
      <c r="BO326">
        <v>0</v>
      </c>
      <c r="BP326" s="30" t="s">
        <v>389</v>
      </c>
      <c r="BQ326" s="17">
        <f>MAX(BO324:BO339)</f>
        <v>1</v>
      </c>
      <c r="BX326" s="61" t="s">
        <v>277</v>
      </c>
      <c r="BY326" s="62">
        <v>0</v>
      </c>
      <c r="BZ326" s="63" t="s">
        <v>390</v>
      </c>
      <c r="CA326" s="58">
        <f>VAR(BY323:BY347)</f>
        <v>7.6666666666666675E-2</v>
      </c>
      <c r="CC326" s="17" t="s">
        <v>383</v>
      </c>
      <c r="CD326" s="6" t="s">
        <v>25</v>
      </c>
      <c r="CE326" s="17"/>
      <c r="CF326" s="17"/>
      <c r="CR326" s="2" t="s">
        <v>358</v>
      </c>
      <c r="CS326">
        <v>0</v>
      </c>
      <c r="CW326" s="61" t="s">
        <v>335</v>
      </c>
      <c r="CX326" s="62">
        <v>0</v>
      </c>
    </row>
    <row r="327" spans="1:102" x14ac:dyDescent="0.25">
      <c r="A327" s="17" t="s">
        <v>384</v>
      </c>
      <c r="B327" s="17" t="s">
        <v>39</v>
      </c>
      <c r="C327" s="17" t="s">
        <v>385</v>
      </c>
      <c r="D327" s="17" t="s">
        <v>386</v>
      </c>
      <c r="K327" s="5" t="s">
        <v>75</v>
      </c>
      <c r="L327">
        <v>2</v>
      </c>
      <c r="M327" s="30" t="s">
        <v>390</v>
      </c>
      <c r="N327" s="17">
        <f>VAR(L324:L339)</f>
        <v>5.4666666666666668</v>
      </c>
      <c r="U327" s="5" t="s">
        <v>123</v>
      </c>
      <c r="V327">
        <v>0</v>
      </c>
      <c r="Z327" s="61" t="s">
        <v>105</v>
      </c>
      <c r="AA327" s="62">
        <v>0</v>
      </c>
      <c r="AE327" s="5" t="s">
        <v>129</v>
      </c>
      <c r="AF327">
        <v>2</v>
      </c>
      <c r="AG327" s="30" t="s">
        <v>387</v>
      </c>
      <c r="AH327" s="17">
        <f>SUM(AF327:AF341)</f>
        <v>46</v>
      </c>
      <c r="AO327" s="5" t="s">
        <v>153</v>
      </c>
      <c r="AP327">
        <v>0</v>
      </c>
      <c r="AQ327" s="30" t="s">
        <v>391</v>
      </c>
      <c r="AR327" s="17">
        <f>AVERAGE(AP323:AP347)</f>
        <v>0.08</v>
      </c>
      <c r="AT327" s="5" t="s">
        <v>189</v>
      </c>
      <c r="AU327">
        <v>10</v>
      </c>
      <c r="AV327" s="17"/>
      <c r="AW327" s="17"/>
      <c r="AY327" s="5" t="s">
        <v>208</v>
      </c>
      <c r="AZ327">
        <v>0</v>
      </c>
      <c r="BA327" s="15"/>
      <c r="BB327" s="15"/>
      <c r="BD327" s="5" t="s">
        <v>225</v>
      </c>
      <c r="BE327">
        <v>0</v>
      </c>
      <c r="BF327" s="30" t="s">
        <v>391</v>
      </c>
      <c r="BG327" s="17">
        <f>AVERAGE(BE323:BE347)</f>
        <v>0.44</v>
      </c>
      <c r="BI327" s="5" t="s">
        <v>261</v>
      </c>
      <c r="BJ327">
        <v>0</v>
      </c>
      <c r="BK327" s="15"/>
      <c r="BL327" s="15"/>
      <c r="BN327" s="5" t="s">
        <v>277</v>
      </c>
      <c r="BO327">
        <v>0</v>
      </c>
      <c r="BP327" s="30" t="s">
        <v>390</v>
      </c>
      <c r="BQ327" s="17">
        <f>VAR(BO324:BO339)</f>
        <v>0.11666666666666667</v>
      </c>
      <c r="BX327" s="61" t="s">
        <v>279</v>
      </c>
      <c r="BY327" s="62">
        <v>1</v>
      </c>
      <c r="BZ327" s="63" t="s">
        <v>391</v>
      </c>
      <c r="CA327" s="58">
        <f>AVERAGE(BY323:BY347)</f>
        <v>0.08</v>
      </c>
      <c r="CC327" s="17" t="s">
        <v>384</v>
      </c>
      <c r="CD327" s="17" t="s">
        <v>39</v>
      </c>
      <c r="CE327" s="17" t="s">
        <v>385</v>
      </c>
      <c r="CF327" s="17" t="s">
        <v>386</v>
      </c>
      <c r="CR327" s="3" t="s">
        <v>359</v>
      </c>
      <c r="CS327">
        <v>0</v>
      </c>
      <c r="CW327" s="61" t="s">
        <v>43</v>
      </c>
      <c r="CX327" s="62">
        <v>5</v>
      </c>
    </row>
    <row r="328" spans="1:102" x14ac:dyDescent="0.25">
      <c r="A328" s="5" t="s">
        <v>40</v>
      </c>
      <c r="B328" s="27">
        <v>0</v>
      </c>
      <c r="C328" s="30" t="s">
        <v>387</v>
      </c>
      <c r="D328" s="17">
        <f>SUM(B328:B350)</f>
        <v>5</v>
      </c>
      <c r="K328" s="5" t="s">
        <v>76</v>
      </c>
      <c r="L328">
        <v>0</v>
      </c>
      <c r="M328" s="30" t="s">
        <v>391</v>
      </c>
      <c r="N328" s="17">
        <f>AVERAGE(L324:L339)</f>
        <v>2.5</v>
      </c>
      <c r="U328" s="5" t="s">
        <v>124</v>
      </c>
      <c r="V328">
        <v>0</v>
      </c>
      <c r="Z328" s="61" t="s">
        <v>106</v>
      </c>
      <c r="AA328" s="62">
        <v>0</v>
      </c>
      <c r="AE328" s="5" t="s">
        <v>130</v>
      </c>
      <c r="AF328">
        <v>0</v>
      </c>
      <c r="AG328" s="30" t="s">
        <v>388</v>
      </c>
      <c r="AH328" s="17">
        <f>MIN(AF327:AF341)</f>
        <v>0</v>
      </c>
      <c r="AO328" s="5" t="s">
        <v>154</v>
      </c>
      <c r="AP328">
        <v>0</v>
      </c>
      <c r="AQ328" s="30" t="s">
        <v>392</v>
      </c>
      <c r="AR328" s="17">
        <f>STDEV(AP323:AP347)</f>
        <v>0.27688746209726917</v>
      </c>
      <c r="AT328" s="5" t="s">
        <v>190</v>
      </c>
      <c r="AU328">
        <v>5</v>
      </c>
      <c r="AV328" s="17"/>
      <c r="AW328" s="17"/>
      <c r="AY328" s="5" t="s">
        <v>209</v>
      </c>
      <c r="AZ328">
        <v>0</v>
      </c>
      <c r="BD328" s="5" t="s">
        <v>226</v>
      </c>
      <c r="BE328">
        <v>1</v>
      </c>
      <c r="BF328" s="30" t="s">
        <v>392</v>
      </c>
      <c r="BG328" s="17">
        <f>STDEV(BE323:BE347)</f>
        <v>0.65064070986477118</v>
      </c>
      <c r="BI328" s="5" t="s">
        <v>262</v>
      </c>
      <c r="BJ328">
        <v>0</v>
      </c>
      <c r="BN328" s="5" t="s">
        <v>279</v>
      </c>
      <c r="BO328">
        <v>0</v>
      </c>
      <c r="BP328" s="30" t="s">
        <v>391</v>
      </c>
      <c r="BQ328" s="17">
        <f>AVERAGE(BO324:BO339)</f>
        <v>0.125</v>
      </c>
      <c r="BX328" s="61" t="s">
        <v>278</v>
      </c>
      <c r="BY328" s="62">
        <v>0</v>
      </c>
      <c r="BZ328" s="63" t="s">
        <v>392</v>
      </c>
      <c r="CA328" s="58">
        <f>STDEV(BY323:BY347)</f>
        <v>0.27688746209726917</v>
      </c>
      <c r="CC328" s="5" t="s">
        <v>299</v>
      </c>
      <c r="CD328">
        <v>0</v>
      </c>
      <c r="CE328" s="30" t="s">
        <v>387</v>
      </c>
      <c r="CF328" s="17">
        <f>SUM(CD328:CD350)</f>
        <v>3</v>
      </c>
      <c r="CW328" s="61" t="s">
        <v>336</v>
      </c>
      <c r="CX328" s="62">
        <v>2</v>
      </c>
    </row>
    <row r="329" spans="1:102" x14ac:dyDescent="0.25">
      <c r="A329" s="5" t="s">
        <v>41</v>
      </c>
      <c r="B329" s="27">
        <v>0</v>
      </c>
      <c r="C329" s="30" t="s">
        <v>388</v>
      </c>
      <c r="D329" s="17">
        <f>MIN(B328:B350)</f>
        <v>0</v>
      </c>
      <c r="K329" s="5" t="s">
        <v>77</v>
      </c>
      <c r="L329">
        <v>0</v>
      </c>
      <c r="M329" s="30" t="s">
        <v>392</v>
      </c>
      <c r="N329" s="17">
        <f>STDEV(L324:L339)</f>
        <v>2.3380903889000244</v>
      </c>
      <c r="U329" s="5" t="s">
        <v>125</v>
      </c>
      <c r="V329">
        <v>0</v>
      </c>
      <c r="Z329" s="61" t="s">
        <v>61</v>
      </c>
      <c r="AA329" s="62">
        <v>0</v>
      </c>
      <c r="AE329" s="5" t="s">
        <v>131</v>
      </c>
      <c r="AF329">
        <v>0</v>
      </c>
      <c r="AG329" s="30" t="s">
        <v>389</v>
      </c>
      <c r="AH329" s="17">
        <f>MAX(AF327:AF341)</f>
        <v>8</v>
      </c>
      <c r="AO329" s="5" t="s">
        <v>155</v>
      </c>
      <c r="AP329">
        <v>0</v>
      </c>
      <c r="AQ329" s="17"/>
      <c r="AR329" s="17"/>
      <c r="AT329" s="5" t="s">
        <v>191</v>
      </c>
      <c r="AU329">
        <v>0</v>
      </c>
      <c r="AV329" s="15"/>
      <c r="AW329" s="15"/>
      <c r="AY329" s="5" t="s">
        <v>210</v>
      </c>
      <c r="AZ329">
        <v>0</v>
      </c>
      <c r="BD329" s="5" t="s">
        <v>227</v>
      </c>
      <c r="BE329">
        <v>1</v>
      </c>
      <c r="BF329" s="17"/>
      <c r="BG329" s="17"/>
      <c r="BI329" s="5" t="s">
        <v>263</v>
      </c>
      <c r="BJ329">
        <v>0</v>
      </c>
      <c r="BN329" s="5" t="s">
        <v>278</v>
      </c>
      <c r="BO329">
        <v>0</v>
      </c>
      <c r="BP329" s="30" t="s">
        <v>392</v>
      </c>
      <c r="BQ329" s="17">
        <f>STDEV(BO324:BO339)</f>
        <v>0.34156502553198659</v>
      </c>
      <c r="BX329" s="61" t="s">
        <v>280</v>
      </c>
      <c r="BY329" s="62">
        <v>0</v>
      </c>
      <c r="BZ329" s="58"/>
      <c r="CA329" s="58"/>
      <c r="CC329" s="5" t="s">
        <v>300</v>
      </c>
      <c r="CD329">
        <v>0</v>
      </c>
      <c r="CE329" s="30" t="s">
        <v>388</v>
      </c>
      <c r="CF329" s="17">
        <f>MIN(CD328:CD350)</f>
        <v>0</v>
      </c>
      <c r="CW329" s="61" t="s">
        <v>337</v>
      </c>
      <c r="CX329" s="62">
        <v>7</v>
      </c>
    </row>
    <row r="330" spans="1:102" x14ac:dyDescent="0.25">
      <c r="A330" s="5" t="s">
        <v>42</v>
      </c>
      <c r="B330" s="27">
        <v>0</v>
      </c>
      <c r="C330" s="30" t="s">
        <v>389</v>
      </c>
      <c r="D330" s="17">
        <f>MAX(B328:B350)</f>
        <v>2</v>
      </c>
      <c r="K330" s="5" t="s">
        <v>78</v>
      </c>
      <c r="L330">
        <v>6</v>
      </c>
      <c r="M330" s="17"/>
      <c r="N330" s="17"/>
      <c r="U330" s="5" t="s">
        <v>126</v>
      </c>
      <c r="V330">
        <v>0</v>
      </c>
      <c r="Z330" s="61" t="s">
        <v>107</v>
      </c>
      <c r="AA330" s="62">
        <v>0</v>
      </c>
      <c r="AE330" s="5" t="s">
        <v>132</v>
      </c>
      <c r="AF330">
        <v>6</v>
      </c>
      <c r="AG330" s="30" t="s">
        <v>390</v>
      </c>
      <c r="AH330" s="17">
        <f>VAR(AF327:AF341)</f>
        <v>6.3523809523809529</v>
      </c>
      <c r="AO330" s="5" t="s">
        <v>156</v>
      </c>
      <c r="AP330">
        <v>0</v>
      </c>
      <c r="AQ330" s="17"/>
      <c r="AR330" s="17"/>
      <c r="AY330" s="5" t="s">
        <v>211</v>
      </c>
      <c r="AZ330">
        <v>0</v>
      </c>
      <c r="BD330" s="5" t="s">
        <v>228</v>
      </c>
      <c r="BE330">
        <v>0</v>
      </c>
      <c r="BF330" s="17"/>
      <c r="BG330" s="17"/>
      <c r="BI330" s="5" t="s">
        <v>264</v>
      </c>
      <c r="BJ330">
        <v>0</v>
      </c>
      <c r="BN330" s="5" t="s">
        <v>280</v>
      </c>
      <c r="BO330">
        <v>0</v>
      </c>
      <c r="BP330" s="17"/>
      <c r="BQ330" s="17"/>
      <c r="BX330" s="61" t="s">
        <v>281</v>
      </c>
      <c r="BY330" s="62">
        <v>0</v>
      </c>
      <c r="BZ330" s="58"/>
      <c r="CA330" s="58"/>
      <c r="CC330" s="5" t="s">
        <v>301</v>
      </c>
      <c r="CD330">
        <v>0</v>
      </c>
      <c r="CE330" s="30" t="s">
        <v>389</v>
      </c>
      <c r="CF330" s="17">
        <f>MAX(CD328:CD350)</f>
        <v>1</v>
      </c>
      <c r="CW330" s="61" t="s">
        <v>338</v>
      </c>
      <c r="CX330" s="62">
        <v>5</v>
      </c>
    </row>
    <row r="331" spans="1:102" x14ac:dyDescent="0.25">
      <c r="A331" s="5" t="s">
        <v>43</v>
      </c>
      <c r="B331" s="27">
        <v>0</v>
      </c>
      <c r="C331" s="30" t="s">
        <v>390</v>
      </c>
      <c r="D331" s="17">
        <f>VAR(B328:B350)</f>
        <v>0.26877470355731226</v>
      </c>
      <c r="K331" s="5" t="s">
        <v>79</v>
      </c>
      <c r="L331">
        <v>0</v>
      </c>
      <c r="M331" s="17"/>
      <c r="N331" s="17"/>
      <c r="U331" s="5" t="s">
        <v>127</v>
      </c>
      <c r="V331">
        <v>0</v>
      </c>
      <c r="Z331" s="61" t="s">
        <v>108</v>
      </c>
      <c r="AA331" s="62">
        <v>0</v>
      </c>
      <c r="AE331" s="5" t="s">
        <v>133</v>
      </c>
      <c r="AF331">
        <v>7</v>
      </c>
      <c r="AG331" s="30" t="s">
        <v>391</v>
      </c>
      <c r="AH331" s="17">
        <f>AVERAGE(AF327:AF341)</f>
        <v>3.0666666666666669</v>
      </c>
      <c r="AO331" s="5" t="s">
        <v>157</v>
      </c>
      <c r="AP331">
        <v>0</v>
      </c>
      <c r="AQ331" s="17"/>
      <c r="AR331" s="17"/>
      <c r="AT331" s="17" t="s">
        <v>382</v>
      </c>
      <c r="AU331" s="29" t="s">
        <v>369</v>
      </c>
      <c r="AV331" s="17"/>
      <c r="AW331" s="17">
        <v>2016</v>
      </c>
      <c r="AY331" s="5" t="s">
        <v>212</v>
      </c>
      <c r="AZ331">
        <v>0</v>
      </c>
      <c r="BD331" s="5" t="s">
        <v>229</v>
      </c>
      <c r="BE331">
        <v>0</v>
      </c>
      <c r="BF331" s="17"/>
      <c r="BG331" s="17"/>
      <c r="BI331" s="5" t="s">
        <v>265</v>
      </c>
      <c r="BJ331">
        <v>0</v>
      </c>
      <c r="BN331" s="5" t="s">
        <v>281</v>
      </c>
      <c r="BO331">
        <v>1</v>
      </c>
      <c r="BP331" s="17"/>
      <c r="BQ331" s="17"/>
      <c r="BX331" s="61" t="s">
        <v>282</v>
      </c>
      <c r="BY331" s="62">
        <v>0</v>
      </c>
      <c r="BZ331" s="58"/>
      <c r="CA331" s="58"/>
      <c r="CC331" s="5" t="s">
        <v>302</v>
      </c>
      <c r="CD331">
        <v>0</v>
      </c>
      <c r="CE331" s="30" t="s">
        <v>390</v>
      </c>
      <c r="CF331" s="17">
        <f>VAR(CD328:CD350)</f>
        <v>0.11857707509881422</v>
      </c>
      <c r="CW331" s="61" t="s">
        <v>339</v>
      </c>
      <c r="CX331" s="62">
        <v>1</v>
      </c>
    </row>
    <row r="332" spans="1:102" x14ac:dyDescent="0.25">
      <c r="A332" s="5" t="s">
        <v>44</v>
      </c>
      <c r="B332" s="27">
        <v>0</v>
      </c>
      <c r="C332" s="30" t="s">
        <v>391</v>
      </c>
      <c r="D332" s="17">
        <f>AVERAGE(B328:B350)</f>
        <v>0.21739130434782608</v>
      </c>
      <c r="K332" s="5" t="s">
        <v>80</v>
      </c>
      <c r="L332">
        <v>4</v>
      </c>
      <c r="M332" s="17"/>
      <c r="N332" s="17"/>
      <c r="U332" s="5" t="s">
        <v>128</v>
      </c>
      <c r="V332">
        <v>0</v>
      </c>
      <c r="Z332" s="61" t="s">
        <v>109</v>
      </c>
      <c r="AA332" s="62">
        <v>0</v>
      </c>
      <c r="AE332" s="5" t="s">
        <v>134</v>
      </c>
      <c r="AF332">
        <v>3</v>
      </c>
      <c r="AG332" s="30" t="s">
        <v>392</v>
      </c>
      <c r="AH332" s="17">
        <f>STDEV(AF327:AF341)</f>
        <v>2.5203930154602778</v>
      </c>
      <c r="AO332" s="5" t="s">
        <v>158</v>
      </c>
      <c r="AP332">
        <v>0</v>
      </c>
      <c r="AQ332" s="17"/>
      <c r="AR332" s="17"/>
      <c r="AT332" s="17" t="s">
        <v>383</v>
      </c>
      <c r="AU332" s="6" t="s">
        <v>33</v>
      </c>
      <c r="AV332" s="17"/>
      <c r="AW332" s="17"/>
      <c r="AY332" s="5" t="s">
        <v>213</v>
      </c>
      <c r="AZ332">
        <v>0</v>
      </c>
      <c r="BD332" s="5" t="s">
        <v>230</v>
      </c>
      <c r="BE332">
        <v>0</v>
      </c>
      <c r="BF332" s="17"/>
      <c r="BG332" s="17"/>
      <c r="BI332" s="5" t="s">
        <v>266</v>
      </c>
      <c r="BJ332">
        <v>0</v>
      </c>
      <c r="BN332" s="5" t="s">
        <v>282</v>
      </c>
      <c r="BO332">
        <v>1</v>
      </c>
      <c r="BP332" s="17"/>
      <c r="BQ332" s="17"/>
      <c r="BX332" s="61" t="s">
        <v>283</v>
      </c>
      <c r="BY332" s="62">
        <v>0</v>
      </c>
      <c r="BZ332" s="58"/>
      <c r="CA332" s="58"/>
      <c r="CC332" s="5" t="s">
        <v>303</v>
      </c>
      <c r="CD332">
        <v>1</v>
      </c>
      <c r="CE332" s="30" t="s">
        <v>391</v>
      </c>
      <c r="CF332" s="17">
        <f>AVERAGE(CD328:CD350)</f>
        <v>0.13043478260869565</v>
      </c>
      <c r="CW332" s="61" t="s">
        <v>340</v>
      </c>
      <c r="CX332" s="62">
        <v>4</v>
      </c>
    </row>
    <row r="333" spans="1:102" x14ac:dyDescent="0.25">
      <c r="A333" s="5" t="s">
        <v>45</v>
      </c>
      <c r="B333" s="27">
        <v>1</v>
      </c>
      <c r="C333" s="30" t="s">
        <v>392</v>
      </c>
      <c r="D333" s="17">
        <f>STDEV(B328:B350)</f>
        <v>0.51843485951208201</v>
      </c>
      <c r="K333" s="5" t="s">
        <v>81</v>
      </c>
      <c r="L333">
        <v>6</v>
      </c>
      <c r="M333" s="17"/>
      <c r="N333" s="17"/>
      <c r="Z333" s="61" t="s">
        <v>110</v>
      </c>
      <c r="AA333" s="62">
        <v>0</v>
      </c>
      <c r="AE333" s="5" t="s">
        <v>135</v>
      </c>
      <c r="AF333">
        <v>3</v>
      </c>
      <c r="AG333" s="17"/>
      <c r="AH333" s="17"/>
      <c r="AO333" s="5" t="s">
        <v>159</v>
      </c>
      <c r="AP333">
        <v>0</v>
      </c>
      <c r="AQ333" s="17"/>
      <c r="AR333" s="17"/>
      <c r="AT333" s="17" t="s">
        <v>384</v>
      </c>
      <c r="AU333" s="17" t="s">
        <v>39</v>
      </c>
      <c r="AV333" s="17" t="s">
        <v>385</v>
      </c>
      <c r="AW333" s="17" t="s">
        <v>386</v>
      </c>
      <c r="AY333" s="5" t="s">
        <v>214</v>
      </c>
      <c r="AZ333">
        <v>0</v>
      </c>
      <c r="BD333" s="5" t="s">
        <v>231</v>
      </c>
      <c r="BE333">
        <v>0</v>
      </c>
      <c r="BF333" s="17"/>
      <c r="BG333" s="17"/>
      <c r="BI333" s="5" t="s">
        <v>267</v>
      </c>
      <c r="BJ333">
        <v>0</v>
      </c>
      <c r="BN333" s="5" t="s">
        <v>283</v>
      </c>
      <c r="BO333">
        <v>0</v>
      </c>
      <c r="BP333" s="17"/>
      <c r="BQ333" s="17"/>
      <c r="BX333" s="61" t="s">
        <v>285</v>
      </c>
      <c r="BY333" s="62">
        <v>0</v>
      </c>
      <c r="BZ333" s="58"/>
      <c r="CA333" s="58"/>
      <c r="CC333" s="5" t="s">
        <v>304</v>
      </c>
      <c r="CD333">
        <v>0</v>
      </c>
      <c r="CE333" s="30" t="s">
        <v>392</v>
      </c>
      <c r="CF333" s="17">
        <f>STDEV(CD328:CD350)</f>
        <v>0.34435022157509093</v>
      </c>
      <c r="CW333" s="61" t="s">
        <v>341</v>
      </c>
      <c r="CX333" s="62">
        <v>2</v>
      </c>
    </row>
    <row r="334" spans="1:102" x14ac:dyDescent="0.25">
      <c r="A334" s="5" t="s">
        <v>47</v>
      </c>
      <c r="B334" s="27">
        <v>0</v>
      </c>
      <c r="C334" s="17"/>
      <c r="D334" s="17"/>
      <c r="K334" s="5" t="s">
        <v>82</v>
      </c>
      <c r="L334">
        <v>5</v>
      </c>
      <c r="M334" s="17"/>
      <c r="N334" s="17"/>
      <c r="U334" s="17" t="s">
        <v>382</v>
      </c>
      <c r="V334" s="29" t="s">
        <v>400</v>
      </c>
      <c r="W334" s="17"/>
      <c r="X334" s="17">
        <v>2016</v>
      </c>
      <c r="Z334" s="61" t="s">
        <v>111</v>
      </c>
      <c r="AA334" s="62">
        <v>0</v>
      </c>
      <c r="AE334" s="5" t="s">
        <v>136</v>
      </c>
      <c r="AF334">
        <v>8</v>
      </c>
      <c r="AG334" s="17"/>
      <c r="AH334" s="17"/>
      <c r="AO334" s="5" t="s">
        <v>100</v>
      </c>
      <c r="AP334">
        <v>0</v>
      </c>
      <c r="AQ334" s="17"/>
      <c r="AR334" s="17"/>
      <c r="AT334" s="5" t="s">
        <v>175</v>
      </c>
      <c r="AU334">
        <v>0</v>
      </c>
      <c r="AV334" s="30" t="s">
        <v>387</v>
      </c>
      <c r="AW334" s="17">
        <f>SUM(AU334:AU351)</f>
        <v>8</v>
      </c>
      <c r="AY334" s="5" t="s">
        <v>215</v>
      </c>
      <c r="AZ334">
        <v>1</v>
      </c>
      <c r="BD334" s="5" t="s">
        <v>232</v>
      </c>
      <c r="BE334">
        <v>0</v>
      </c>
      <c r="BF334" s="17"/>
      <c r="BG334" s="17"/>
      <c r="BI334" s="5" t="s">
        <v>268</v>
      </c>
      <c r="BJ334">
        <v>0</v>
      </c>
      <c r="BN334" s="5" t="s">
        <v>285</v>
      </c>
      <c r="BO334">
        <v>0</v>
      </c>
      <c r="BP334" s="17"/>
      <c r="BQ334" s="17"/>
      <c r="BX334" s="61" t="s">
        <v>284</v>
      </c>
      <c r="BY334" s="62">
        <v>0</v>
      </c>
      <c r="BZ334" s="58"/>
      <c r="CA334" s="58"/>
      <c r="CC334" s="5" t="s">
        <v>305</v>
      </c>
      <c r="CD334">
        <v>1</v>
      </c>
      <c r="CE334" s="17"/>
      <c r="CF334" s="17"/>
      <c r="CM334" s="17" t="s">
        <v>382</v>
      </c>
      <c r="CN334" s="29" t="s">
        <v>442</v>
      </c>
      <c r="CO334" s="17"/>
      <c r="CP334" s="17">
        <v>2016</v>
      </c>
      <c r="CR334" s="17" t="s">
        <v>382</v>
      </c>
      <c r="CS334" s="29" t="s">
        <v>442</v>
      </c>
      <c r="CT334" s="17"/>
      <c r="CU334" s="17">
        <v>2016</v>
      </c>
      <c r="CW334" s="61" t="s">
        <v>342</v>
      </c>
      <c r="CX334" s="62">
        <v>5</v>
      </c>
    </row>
    <row r="335" spans="1:102" x14ac:dyDescent="0.25">
      <c r="A335" s="5" t="s">
        <v>48</v>
      </c>
      <c r="B335" s="27">
        <v>0</v>
      </c>
      <c r="C335" s="17"/>
      <c r="D335" s="17"/>
      <c r="K335" s="5" t="s">
        <v>83</v>
      </c>
      <c r="L335">
        <v>5</v>
      </c>
      <c r="M335" s="17"/>
      <c r="N335" s="17"/>
      <c r="U335" s="17" t="s">
        <v>383</v>
      </c>
      <c r="V335" s="6" t="s">
        <v>18</v>
      </c>
      <c r="W335" s="17"/>
      <c r="X335" s="17"/>
      <c r="Z335" s="61" t="s">
        <v>112</v>
      </c>
      <c r="AA335" s="62">
        <v>0</v>
      </c>
      <c r="AE335" s="5" t="s">
        <v>44</v>
      </c>
      <c r="AF335">
        <v>5</v>
      </c>
      <c r="AG335" s="17"/>
      <c r="AH335" s="17"/>
      <c r="AO335" s="5" t="s">
        <v>161</v>
      </c>
      <c r="AP335">
        <v>0</v>
      </c>
      <c r="AQ335" s="17"/>
      <c r="AR335" s="17"/>
      <c r="AT335" s="5" t="s">
        <v>176</v>
      </c>
      <c r="AU335">
        <v>0</v>
      </c>
      <c r="AV335" s="30" t="s">
        <v>388</v>
      </c>
      <c r="AW335" s="17">
        <f>MIN(AU334:AU351)</f>
        <v>0</v>
      </c>
      <c r="AY335" s="5" t="s">
        <v>216</v>
      </c>
      <c r="AZ335">
        <v>0</v>
      </c>
      <c r="BD335" s="5" t="s">
        <v>233</v>
      </c>
      <c r="BE335">
        <v>1</v>
      </c>
      <c r="BF335" s="17"/>
      <c r="BG335" s="17"/>
      <c r="BI335" s="5" t="s">
        <v>269</v>
      </c>
      <c r="BJ335">
        <v>0</v>
      </c>
      <c r="BN335" s="5" t="s">
        <v>284</v>
      </c>
      <c r="BO335">
        <v>0</v>
      </c>
      <c r="BP335" s="17"/>
      <c r="BQ335" s="17"/>
      <c r="BX335" s="61" t="s">
        <v>286</v>
      </c>
      <c r="BY335" s="62">
        <v>0</v>
      </c>
      <c r="BZ335" s="58"/>
      <c r="CA335" s="58"/>
      <c r="CC335" s="5" t="s">
        <v>306</v>
      </c>
      <c r="CD335">
        <v>0</v>
      </c>
      <c r="CE335" s="17"/>
      <c r="CF335" s="17"/>
      <c r="CM335" s="17" t="s">
        <v>383</v>
      </c>
      <c r="CN335" s="6" t="s">
        <v>22</v>
      </c>
      <c r="CO335" s="15"/>
      <c r="CP335" s="17"/>
      <c r="CR335" s="17" t="s">
        <v>383</v>
      </c>
      <c r="CS335" s="6" t="s">
        <v>22</v>
      </c>
      <c r="CT335" s="15"/>
      <c r="CU335" s="17"/>
      <c r="CW335" s="61" t="s">
        <v>343</v>
      </c>
      <c r="CX335" s="62">
        <v>3</v>
      </c>
    </row>
    <row r="336" spans="1:102" x14ac:dyDescent="0.25">
      <c r="A336" s="5" t="s">
        <v>49</v>
      </c>
      <c r="B336" s="27">
        <v>0</v>
      </c>
      <c r="C336" s="17"/>
      <c r="D336" s="17"/>
      <c r="K336" s="5" t="s">
        <v>84</v>
      </c>
      <c r="L336">
        <v>2</v>
      </c>
      <c r="M336" s="17"/>
      <c r="N336" s="17"/>
      <c r="U336" s="17" t="s">
        <v>384</v>
      </c>
      <c r="V336" s="17" t="s">
        <v>39</v>
      </c>
      <c r="W336" s="17" t="s">
        <v>385</v>
      </c>
      <c r="X336" s="17" t="s">
        <v>386</v>
      </c>
      <c r="Z336" s="61" t="s">
        <v>113</v>
      </c>
      <c r="AA336" s="62">
        <v>1</v>
      </c>
      <c r="AE336" s="5" t="s">
        <v>137</v>
      </c>
      <c r="AF336">
        <v>1</v>
      </c>
      <c r="AG336" s="17"/>
      <c r="AH336" s="17"/>
      <c r="AO336" s="5" t="s">
        <v>162</v>
      </c>
      <c r="AP336">
        <v>0</v>
      </c>
      <c r="AQ336" s="17"/>
      <c r="AR336" s="17"/>
      <c r="AT336" s="5" t="s">
        <v>177</v>
      </c>
      <c r="AU336">
        <v>0</v>
      </c>
      <c r="AV336" s="30" t="s">
        <v>389</v>
      </c>
      <c r="AW336" s="17">
        <f>MAX(AU334:AU351)</f>
        <v>1</v>
      </c>
      <c r="AY336" s="5" t="s">
        <v>217</v>
      </c>
      <c r="AZ336">
        <v>0</v>
      </c>
      <c r="BD336" s="5" t="s">
        <v>234</v>
      </c>
      <c r="BE336">
        <v>2</v>
      </c>
      <c r="BF336" s="17"/>
      <c r="BG336" s="17"/>
      <c r="BI336" s="5" t="s">
        <v>270</v>
      </c>
      <c r="BJ336">
        <v>0</v>
      </c>
      <c r="BN336" s="5" t="s">
        <v>286</v>
      </c>
      <c r="BO336">
        <v>0</v>
      </c>
      <c r="BP336" s="17"/>
      <c r="BQ336" s="17"/>
      <c r="BX336" s="61" t="s">
        <v>287</v>
      </c>
      <c r="BY336" s="62">
        <v>0</v>
      </c>
      <c r="BZ336" s="58"/>
      <c r="CA336" s="58"/>
      <c r="CC336" s="5" t="s">
        <v>93</v>
      </c>
      <c r="CD336">
        <v>0</v>
      </c>
      <c r="CE336" s="17"/>
      <c r="CF336" s="17"/>
      <c r="CM336" s="17" t="s">
        <v>384</v>
      </c>
      <c r="CN336" s="17" t="s">
        <v>39</v>
      </c>
      <c r="CO336" s="17" t="s">
        <v>385</v>
      </c>
      <c r="CP336" s="17" t="s">
        <v>386</v>
      </c>
      <c r="CR336" s="17" t="s">
        <v>384</v>
      </c>
      <c r="CS336" s="17" t="s">
        <v>39</v>
      </c>
      <c r="CT336" s="17" t="s">
        <v>385</v>
      </c>
      <c r="CU336" s="17" t="s">
        <v>386</v>
      </c>
      <c r="CW336" s="61" t="s">
        <v>344</v>
      </c>
      <c r="CX336" s="62">
        <v>3</v>
      </c>
    </row>
    <row r="337" spans="1:102" x14ac:dyDescent="0.25">
      <c r="A337" s="5" t="s">
        <v>50</v>
      </c>
      <c r="B337" s="27">
        <v>1</v>
      </c>
      <c r="C337" s="17"/>
      <c r="D337" s="17"/>
      <c r="K337" s="5" t="s">
        <v>85</v>
      </c>
      <c r="L337">
        <v>0</v>
      </c>
      <c r="M337" s="17"/>
      <c r="N337" s="17"/>
      <c r="U337" s="5" t="s">
        <v>96</v>
      </c>
      <c r="V337">
        <v>0</v>
      </c>
      <c r="W337" s="30" t="s">
        <v>387</v>
      </c>
      <c r="X337" s="17">
        <f>SUM(V337:V369)</f>
        <v>14</v>
      </c>
      <c r="Z337" s="64" t="s">
        <v>114</v>
      </c>
      <c r="AA337" s="62">
        <v>0</v>
      </c>
      <c r="AE337" s="5" t="s">
        <v>138</v>
      </c>
      <c r="AF337">
        <v>0</v>
      </c>
      <c r="AG337" s="17"/>
      <c r="AH337" s="17"/>
      <c r="AO337" s="5" t="s">
        <v>163</v>
      </c>
      <c r="AP337">
        <v>0</v>
      </c>
      <c r="AQ337" s="17"/>
      <c r="AR337" s="17"/>
      <c r="AT337" s="5" t="s">
        <v>178</v>
      </c>
      <c r="AU337">
        <v>0</v>
      </c>
      <c r="AV337" s="30" t="s">
        <v>390</v>
      </c>
      <c r="AW337" s="17">
        <f>VAR(AU334:AU351)</f>
        <v>0.26143790849673204</v>
      </c>
      <c r="AY337" s="5" t="s">
        <v>218</v>
      </c>
      <c r="AZ337">
        <v>0</v>
      </c>
      <c r="BD337" s="5" t="s">
        <v>157</v>
      </c>
      <c r="BE337">
        <v>1</v>
      </c>
      <c r="BF337" s="17"/>
      <c r="BG337" s="17"/>
      <c r="BI337" s="5" t="s">
        <v>271</v>
      </c>
      <c r="BJ337">
        <v>0</v>
      </c>
      <c r="BN337" s="5" t="s">
        <v>287</v>
      </c>
      <c r="BO337">
        <v>0</v>
      </c>
      <c r="BP337" s="17"/>
      <c r="BQ337" s="17"/>
      <c r="BX337" s="61" t="s">
        <v>288</v>
      </c>
      <c r="BY337" s="62">
        <v>0</v>
      </c>
      <c r="BZ337" s="58"/>
      <c r="CA337" s="58"/>
      <c r="CC337" s="5" t="s">
        <v>307</v>
      </c>
      <c r="CD337">
        <v>0</v>
      </c>
      <c r="CE337" s="17"/>
      <c r="CF337" s="17"/>
      <c r="CM337" s="5" t="s">
        <v>328</v>
      </c>
      <c r="CN337">
        <v>0</v>
      </c>
      <c r="CO337" s="30" t="s">
        <v>387</v>
      </c>
      <c r="CP337" s="17">
        <f>SUM(CN337:CN369)</f>
        <v>1</v>
      </c>
      <c r="CR337" s="5" t="s">
        <v>333</v>
      </c>
      <c r="CS337">
        <v>0</v>
      </c>
      <c r="CT337" s="30" t="s">
        <v>387</v>
      </c>
      <c r="CU337" s="17">
        <f>SUM(CS337:CS364)</f>
        <v>5</v>
      </c>
      <c r="CW337" s="61" t="s">
        <v>345</v>
      </c>
      <c r="CX337" s="62">
        <v>0</v>
      </c>
    </row>
    <row r="338" spans="1:102" x14ac:dyDescent="0.25">
      <c r="A338" s="5" t="s">
        <v>51</v>
      </c>
      <c r="B338" s="27">
        <v>0</v>
      </c>
      <c r="C338" s="17"/>
      <c r="D338" s="17"/>
      <c r="K338" s="5" t="s">
        <v>86</v>
      </c>
      <c r="L338">
        <v>4</v>
      </c>
      <c r="M338" s="17"/>
      <c r="N338" s="17"/>
      <c r="U338" s="5" t="s">
        <v>97</v>
      </c>
      <c r="V338">
        <v>2</v>
      </c>
      <c r="W338" s="30" t="s">
        <v>388</v>
      </c>
      <c r="X338" s="17">
        <f>MIN(V337:V369)</f>
        <v>0</v>
      </c>
      <c r="Z338" s="64" t="s">
        <v>115</v>
      </c>
      <c r="AA338" s="62">
        <v>0</v>
      </c>
      <c r="AE338" s="5" t="s">
        <v>139</v>
      </c>
      <c r="AF338">
        <v>2</v>
      </c>
      <c r="AG338" s="17"/>
      <c r="AH338" s="17"/>
      <c r="AO338" s="5" t="s">
        <v>164</v>
      </c>
      <c r="AP338">
        <v>1</v>
      </c>
      <c r="AQ338" s="17"/>
      <c r="AR338" s="17"/>
      <c r="AT338" s="5" t="s">
        <v>179</v>
      </c>
      <c r="AU338">
        <v>0</v>
      </c>
      <c r="AV338" s="30" t="s">
        <v>391</v>
      </c>
      <c r="AW338" s="17">
        <f>AVERAGE(AU334:AU351)</f>
        <v>0.44444444444444442</v>
      </c>
      <c r="AY338" s="5" t="s">
        <v>219</v>
      </c>
      <c r="AZ338">
        <v>0</v>
      </c>
      <c r="BD338" s="5" t="s">
        <v>235</v>
      </c>
      <c r="BE338">
        <v>0</v>
      </c>
      <c r="BF338" s="17"/>
      <c r="BG338" s="17"/>
      <c r="BI338" s="5" t="s">
        <v>272</v>
      </c>
      <c r="BJ338">
        <v>0</v>
      </c>
      <c r="BN338" s="5" t="s">
        <v>288</v>
      </c>
      <c r="BO338">
        <v>0</v>
      </c>
      <c r="BP338" s="17"/>
      <c r="BQ338" s="17"/>
      <c r="BX338" s="61" t="s">
        <v>289</v>
      </c>
      <c r="BY338" s="62">
        <v>0</v>
      </c>
      <c r="BZ338" s="58"/>
      <c r="CA338" s="58"/>
      <c r="CC338" s="5" t="s">
        <v>308</v>
      </c>
      <c r="CD338">
        <v>0</v>
      </c>
      <c r="CE338" s="17"/>
      <c r="CF338" s="17"/>
      <c r="CM338" s="5" t="s">
        <v>329</v>
      </c>
      <c r="CN338">
        <v>1</v>
      </c>
      <c r="CO338" s="30" t="s">
        <v>388</v>
      </c>
      <c r="CP338" s="17">
        <f>MIN(CN337:CN369)</f>
        <v>0</v>
      </c>
      <c r="CR338" s="5" t="s">
        <v>334</v>
      </c>
      <c r="CS338">
        <v>0</v>
      </c>
      <c r="CT338" s="30" t="s">
        <v>388</v>
      </c>
      <c r="CU338" s="17">
        <f>MIN(CS337:CS364)</f>
        <v>0</v>
      </c>
      <c r="CW338" s="61" t="s">
        <v>346</v>
      </c>
      <c r="CX338" s="62">
        <v>8</v>
      </c>
    </row>
    <row r="339" spans="1:102" x14ac:dyDescent="0.25">
      <c r="A339" s="5" t="s">
        <v>52</v>
      </c>
      <c r="B339" s="27">
        <v>0</v>
      </c>
      <c r="C339" s="17"/>
      <c r="D339" s="17"/>
      <c r="K339" s="5" t="s">
        <v>87</v>
      </c>
      <c r="L339">
        <v>2</v>
      </c>
      <c r="M339" s="17"/>
      <c r="N339" s="17"/>
      <c r="U339" s="5" t="s">
        <v>98</v>
      </c>
      <c r="V339">
        <v>1</v>
      </c>
      <c r="W339" s="30" t="s">
        <v>389</v>
      </c>
      <c r="X339" s="17">
        <f>MAX(V337:V369)</f>
        <v>4</v>
      </c>
      <c r="Z339" s="64" t="s">
        <v>116</v>
      </c>
      <c r="AA339" s="62">
        <v>0</v>
      </c>
      <c r="AE339" s="5" t="s">
        <v>140</v>
      </c>
      <c r="AF339">
        <v>2</v>
      </c>
      <c r="AG339" s="17"/>
      <c r="AH339" s="17"/>
      <c r="AO339" s="5" t="s">
        <v>165</v>
      </c>
      <c r="AP339">
        <v>0</v>
      </c>
      <c r="AQ339" s="17"/>
      <c r="AR339" s="17"/>
      <c r="AT339" s="5" t="s">
        <v>180</v>
      </c>
      <c r="AU339">
        <v>0</v>
      </c>
      <c r="AV339" s="30" t="s">
        <v>392</v>
      </c>
      <c r="AW339" s="17">
        <f>STDEV(AU334:AU351)</f>
        <v>0.51130999256491361</v>
      </c>
      <c r="AY339" s="5" t="s">
        <v>220</v>
      </c>
      <c r="AZ339">
        <v>0</v>
      </c>
      <c r="BD339" s="5" t="s">
        <v>236</v>
      </c>
      <c r="BE339">
        <v>1</v>
      </c>
      <c r="BF339" s="17"/>
      <c r="BG339" s="17"/>
      <c r="BI339" s="5" t="s">
        <v>273</v>
      </c>
      <c r="BJ339">
        <v>0</v>
      </c>
      <c r="BN339" s="5" t="s">
        <v>289</v>
      </c>
      <c r="BO339">
        <v>0</v>
      </c>
      <c r="BP339" s="17"/>
      <c r="BQ339" s="17"/>
      <c r="BX339" s="61" t="s">
        <v>290</v>
      </c>
      <c r="BY339" s="62">
        <v>1</v>
      </c>
      <c r="CC339" s="5" t="s">
        <v>309</v>
      </c>
      <c r="CD339">
        <v>0</v>
      </c>
      <c r="CE339" s="17"/>
      <c r="CF339" s="17"/>
      <c r="CM339" s="5" t="s">
        <v>330</v>
      </c>
      <c r="CN339">
        <v>0</v>
      </c>
      <c r="CO339" s="30" t="s">
        <v>389</v>
      </c>
      <c r="CP339" s="17">
        <f>MAX(CN337:CN369)</f>
        <v>1</v>
      </c>
      <c r="CR339" s="5" t="s">
        <v>335</v>
      </c>
      <c r="CS339">
        <v>0</v>
      </c>
      <c r="CT339" s="30" t="s">
        <v>389</v>
      </c>
      <c r="CU339" s="17">
        <f>MAX(CS337:CS364)</f>
        <v>2</v>
      </c>
      <c r="CW339" s="61" t="s">
        <v>347</v>
      </c>
      <c r="CX339" s="62">
        <v>6</v>
      </c>
    </row>
    <row r="340" spans="1:102" x14ac:dyDescent="0.25">
      <c r="A340" s="5" t="s">
        <v>53</v>
      </c>
      <c r="B340" s="27">
        <v>1</v>
      </c>
      <c r="C340" s="17"/>
      <c r="D340" s="17"/>
      <c r="U340" s="5" t="s">
        <v>99</v>
      </c>
      <c r="V340">
        <v>4</v>
      </c>
      <c r="W340" s="30" t="s">
        <v>390</v>
      </c>
      <c r="X340" s="17">
        <f>VAR(V337:V369)</f>
        <v>0.68939393939393945</v>
      </c>
      <c r="Z340" s="64" t="s">
        <v>117</v>
      </c>
      <c r="AA340" s="62">
        <v>0</v>
      </c>
      <c r="AE340" s="5" t="s">
        <v>141</v>
      </c>
      <c r="AF340">
        <v>4</v>
      </c>
      <c r="AG340" s="17"/>
      <c r="AH340" s="17"/>
      <c r="AO340" s="5" t="s">
        <v>166</v>
      </c>
      <c r="AP340">
        <v>0</v>
      </c>
      <c r="AQ340" s="15"/>
      <c r="AR340" s="15"/>
      <c r="AT340" s="5" t="s">
        <v>181</v>
      </c>
      <c r="AU340">
        <v>0</v>
      </c>
      <c r="AV340" s="17"/>
      <c r="AW340" s="17"/>
      <c r="BD340" s="5" t="s">
        <v>237</v>
      </c>
      <c r="BE340">
        <v>0</v>
      </c>
      <c r="BF340" s="15"/>
      <c r="BG340" s="15"/>
      <c r="BX340" s="61" t="s">
        <v>291</v>
      </c>
      <c r="BY340" s="62">
        <v>0</v>
      </c>
      <c r="CC340" s="5" t="s">
        <v>310</v>
      </c>
      <c r="CD340">
        <v>0</v>
      </c>
      <c r="CE340" s="17"/>
      <c r="CF340" s="17"/>
      <c r="CM340" s="5" t="s">
        <v>331</v>
      </c>
      <c r="CN340">
        <v>0</v>
      </c>
      <c r="CO340" s="30" t="s">
        <v>390</v>
      </c>
      <c r="CP340" s="17">
        <f>VAR(CN337:CN369)</f>
        <v>0.2</v>
      </c>
      <c r="CR340" s="5" t="s">
        <v>43</v>
      </c>
      <c r="CS340">
        <v>1</v>
      </c>
      <c r="CT340" s="30" t="s">
        <v>390</v>
      </c>
      <c r="CU340" s="17">
        <f>VAR(CS337:CS364)</f>
        <v>0.22619047619047616</v>
      </c>
      <c r="CW340" s="61" t="s">
        <v>348</v>
      </c>
      <c r="CX340" s="62">
        <v>4</v>
      </c>
    </row>
    <row r="341" spans="1:102" x14ac:dyDescent="0.25">
      <c r="A341" s="5" t="s">
        <v>54</v>
      </c>
      <c r="B341" s="27">
        <v>0</v>
      </c>
      <c r="C341" s="17"/>
      <c r="D341" s="17"/>
      <c r="U341" s="5" t="s">
        <v>100</v>
      </c>
      <c r="V341">
        <v>0</v>
      </c>
      <c r="W341" s="30" t="s">
        <v>391</v>
      </c>
      <c r="X341" s="17">
        <f>AVERAGE(V337:V369)</f>
        <v>0.42424242424242425</v>
      </c>
      <c r="Z341" s="64" t="s">
        <v>118</v>
      </c>
      <c r="AA341" s="62">
        <v>0</v>
      </c>
      <c r="AE341" s="5" t="s">
        <v>142</v>
      </c>
      <c r="AF341">
        <v>3</v>
      </c>
      <c r="AG341" s="17"/>
      <c r="AH341" s="17"/>
      <c r="AO341" s="5" t="s">
        <v>168</v>
      </c>
      <c r="AP341">
        <v>0</v>
      </c>
      <c r="AQ341" s="17"/>
      <c r="AR341" s="17"/>
      <c r="AT341" s="5" t="s">
        <v>182</v>
      </c>
      <c r="AU341">
        <v>0</v>
      </c>
      <c r="AV341" s="17"/>
      <c r="AW341" s="17"/>
      <c r="AY341" s="17" t="s">
        <v>382</v>
      </c>
      <c r="AZ341" s="29" t="s">
        <v>370</v>
      </c>
      <c r="BA341" s="17"/>
      <c r="BB341" s="17">
        <v>2016</v>
      </c>
      <c r="BD341" s="5" t="s">
        <v>238</v>
      </c>
      <c r="BE341">
        <v>0</v>
      </c>
      <c r="BI341" s="17" t="s">
        <v>382</v>
      </c>
      <c r="BJ341" s="29" t="s">
        <v>372</v>
      </c>
      <c r="BK341" s="17"/>
      <c r="BL341" s="17">
        <v>2016</v>
      </c>
      <c r="BN341" s="17" t="s">
        <v>382</v>
      </c>
      <c r="BO341" s="29" t="s">
        <v>440</v>
      </c>
      <c r="BP341" s="17"/>
      <c r="BQ341" s="17">
        <v>2016</v>
      </c>
      <c r="BX341" s="61" t="s">
        <v>292</v>
      </c>
      <c r="BY341" s="62">
        <v>0</v>
      </c>
      <c r="CC341" s="5" t="s">
        <v>311</v>
      </c>
      <c r="CD341">
        <v>0</v>
      </c>
      <c r="CE341" s="17"/>
      <c r="CF341" s="17"/>
      <c r="CM341" s="5" t="s">
        <v>332</v>
      </c>
      <c r="CN341">
        <v>0</v>
      </c>
      <c r="CO341" s="30" t="s">
        <v>391</v>
      </c>
      <c r="CP341" s="17">
        <f>AVERAGE(CN337:CN369)</f>
        <v>0.2</v>
      </c>
      <c r="CR341" s="5" t="s">
        <v>336</v>
      </c>
      <c r="CS341">
        <v>1</v>
      </c>
      <c r="CT341" s="30" t="s">
        <v>391</v>
      </c>
      <c r="CU341" s="17">
        <f>AVERAGE(CS337:CS364)</f>
        <v>0.17857142857142858</v>
      </c>
      <c r="CW341" s="61" t="s">
        <v>349</v>
      </c>
      <c r="CX341" s="62">
        <v>2</v>
      </c>
    </row>
    <row r="342" spans="1:102" x14ac:dyDescent="0.25">
      <c r="A342" s="5" t="s">
        <v>55</v>
      </c>
      <c r="B342" s="27">
        <v>0</v>
      </c>
      <c r="C342" s="17"/>
      <c r="D342" s="17"/>
      <c r="U342" s="5" t="s">
        <v>101</v>
      </c>
      <c r="V342">
        <v>0</v>
      </c>
      <c r="W342" s="30" t="s">
        <v>392</v>
      </c>
      <c r="X342" s="17">
        <f>STDEV(V337:V369)</f>
        <v>0.83029750053456108</v>
      </c>
      <c r="Z342" s="64" t="s">
        <v>119</v>
      </c>
      <c r="AA342" s="62">
        <v>0</v>
      </c>
      <c r="AO342" s="5" t="s">
        <v>169</v>
      </c>
      <c r="AP342">
        <v>0</v>
      </c>
      <c r="AQ342" s="17"/>
      <c r="AR342" s="17"/>
      <c r="AT342" s="5" t="s">
        <v>183</v>
      </c>
      <c r="AU342">
        <v>1</v>
      </c>
      <c r="AV342" s="17"/>
      <c r="AW342" s="17"/>
      <c r="AY342" s="17" t="s">
        <v>383</v>
      </c>
      <c r="AZ342" s="6" t="s">
        <v>23</v>
      </c>
      <c r="BA342" s="17"/>
      <c r="BB342" s="17"/>
      <c r="BD342" s="5" t="s">
        <v>239</v>
      </c>
      <c r="BE342">
        <v>2</v>
      </c>
      <c r="BI342" s="17" t="s">
        <v>383</v>
      </c>
      <c r="BJ342" s="6" t="s">
        <v>21</v>
      </c>
      <c r="BK342" s="17"/>
      <c r="BL342" s="17"/>
      <c r="BN342" s="17" t="s">
        <v>383</v>
      </c>
      <c r="BO342" s="6" t="s">
        <v>30</v>
      </c>
      <c r="BP342" s="17"/>
      <c r="BQ342" s="17"/>
      <c r="BX342" s="61" t="s">
        <v>293</v>
      </c>
      <c r="BY342" s="62">
        <v>0</v>
      </c>
      <c r="CC342" s="5" t="s">
        <v>312</v>
      </c>
      <c r="CD342">
        <v>0</v>
      </c>
      <c r="CE342" s="17"/>
      <c r="CF342" s="17"/>
      <c r="CO342" s="30" t="s">
        <v>392</v>
      </c>
      <c r="CP342" s="17">
        <f>STDEV(CN337:CN369)</f>
        <v>0.44721359549995793</v>
      </c>
      <c r="CR342" s="5" t="s">
        <v>337</v>
      </c>
      <c r="CS342">
        <v>0</v>
      </c>
      <c r="CT342" s="30" t="s">
        <v>392</v>
      </c>
      <c r="CU342" s="17">
        <f>STDEV(CS337:CS364)</f>
        <v>0.47559486560567088</v>
      </c>
      <c r="CW342" s="61" t="s">
        <v>350</v>
      </c>
      <c r="CX342" s="62">
        <v>2</v>
      </c>
    </row>
    <row r="343" spans="1:102" x14ac:dyDescent="0.25">
      <c r="A343" s="5" t="s">
        <v>56</v>
      </c>
      <c r="B343" s="27">
        <v>0</v>
      </c>
      <c r="C343" s="17"/>
      <c r="D343" s="17"/>
      <c r="U343" s="5" t="s">
        <v>103</v>
      </c>
      <c r="V343">
        <v>1</v>
      </c>
      <c r="W343" s="17"/>
      <c r="X343" s="17"/>
      <c r="Z343" s="61" t="s">
        <v>120</v>
      </c>
      <c r="AA343" s="62">
        <v>0</v>
      </c>
      <c r="AO343" s="5" t="s">
        <v>170</v>
      </c>
      <c r="AP343">
        <v>0</v>
      </c>
      <c r="AQ343" s="17"/>
      <c r="AR343" s="1"/>
      <c r="AT343" s="5" t="s">
        <v>184</v>
      </c>
      <c r="AU343">
        <v>1</v>
      </c>
      <c r="AV343" s="17"/>
      <c r="AW343" s="17"/>
      <c r="AY343" s="17" t="s">
        <v>384</v>
      </c>
      <c r="AZ343" s="17" t="s">
        <v>39</v>
      </c>
      <c r="BA343" s="17" t="s">
        <v>385</v>
      </c>
      <c r="BB343" s="17" t="s">
        <v>386</v>
      </c>
      <c r="BD343" s="5" t="s">
        <v>240</v>
      </c>
      <c r="BE343">
        <v>0</v>
      </c>
      <c r="BI343" s="17" t="s">
        <v>384</v>
      </c>
      <c r="BJ343" s="17" t="s">
        <v>39</v>
      </c>
      <c r="BK343" s="17" t="s">
        <v>385</v>
      </c>
      <c r="BL343" s="17" t="s">
        <v>386</v>
      </c>
      <c r="BN343" s="17" t="s">
        <v>384</v>
      </c>
      <c r="BO343" s="17" t="s">
        <v>39</v>
      </c>
      <c r="BP343" s="17" t="s">
        <v>385</v>
      </c>
      <c r="BQ343" s="17" t="s">
        <v>386</v>
      </c>
      <c r="BX343" s="61" t="s">
        <v>294</v>
      </c>
      <c r="BY343" s="62">
        <v>0</v>
      </c>
      <c r="CC343" s="5" t="s">
        <v>313</v>
      </c>
      <c r="CD343">
        <v>1</v>
      </c>
      <c r="CE343" s="17"/>
      <c r="CF343" s="17"/>
      <c r="CO343" s="17"/>
      <c r="CP343" s="17"/>
      <c r="CR343" s="5" t="s">
        <v>338</v>
      </c>
      <c r="CS343">
        <v>1</v>
      </c>
      <c r="CW343" s="61" t="s">
        <v>351</v>
      </c>
      <c r="CX343" s="62">
        <v>5</v>
      </c>
    </row>
    <row r="344" spans="1:102" x14ac:dyDescent="0.25">
      <c r="A344" s="5" t="s">
        <v>57</v>
      </c>
      <c r="B344" s="27">
        <v>0</v>
      </c>
      <c r="C344" s="17"/>
      <c r="D344" s="17"/>
      <c r="U344" s="5" t="s">
        <v>104</v>
      </c>
      <c r="V344">
        <v>0</v>
      </c>
      <c r="W344" s="17"/>
      <c r="X344" s="17"/>
      <c r="Z344" s="61" t="s">
        <v>121</v>
      </c>
      <c r="AA344" s="62">
        <v>1</v>
      </c>
      <c r="AO344" s="5" t="s">
        <v>171</v>
      </c>
      <c r="AP344">
        <v>0</v>
      </c>
      <c r="AQ344" s="17"/>
      <c r="AR344" s="1"/>
      <c r="AT344" s="5" t="s">
        <v>185</v>
      </c>
      <c r="AU344">
        <v>1</v>
      </c>
      <c r="AV344" s="17"/>
      <c r="AW344" s="17"/>
      <c r="AY344" s="5" t="s">
        <v>192</v>
      </c>
      <c r="AZ344">
        <v>0</v>
      </c>
      <c r="BA344" s="30" t="s">
        <v>387</v>
      </c>
      <c r="BB344" s="17">
        <f>SUM(AZ344:AZ373)</f>
        <v>1</v>
      </c>
      <c r="BD344" s="5" t="s">
        <v>241</v>
      </c>
      <c r="BE344">
        <v>0</v>
      </c>
      <c r="BI344" s="5" t="s">
        <v>245</v>
      </c>
      <c r="BJ344">
        <v>0</v>
      </c>
      <c r="BK344" s="30" t="s">
        <v>387</v>
      </c>
      <c r="BL344" s="17">
        <f>SUM(BJ344:BJ373)</f>
        <v>3</v>
      </c>
      <c r="BN344" s="5" t="s">
        <v>274</v>
      </c>
      <c r="BO344">
        <v>0</v>
      </c>
      <c r="BP344" s="30" t="s">
        <v>387</v>
      </c>
      <c r="BQ344" s="17">
        <f>SUM(BO344:BO359)</f>
        <v>2</v>
      </c>
      <c r="BX344" s="61" t="s">
        <v>295</v>
      </c>
      <c r="BY344" s="62">
        <v>0</v>
      </c>
      <c r="CC344" s="5" t="s">
        <v>314</v>
      </c>
      <c r="CD344">
        <v>0</v>
      </c>
      <c r="CO344" s="17"/>
      <c r="CP344" s="17"/>
      <c r="CR344" s="5" t="s">
        <v>339</v>
      </c>
      <c r="CS344">
        <v>0</v>
      </c>
      <c r="CW344" s="61" t="s">
        <v>352</v>
      </c>
      <c r="CX344" s="62">
        <v>2</v>
      </c>
    </row>
    <row r="345" spans="1:102" x14ac:dyDescent="0.25">
      <c r="A345" s="5" t="s">
        <v>58</v>
      </c>
      <c r="B345" s="27">
        <v>0</v>
      </c>
      <c r="C345" s="15"/>
      <c r="D345" s="15"/>
      <c r="U345" s="5" t="s">
        <v>105</v>
      </c>
      <c r="V345">
        <v>1</v>
      </c>
      <c r="W345" s="17"/>
      <c r="X345" s="17"/>
      <c r="Z345" s="61" t="s">
        <v>122</v>
      </c>
      <c r="AA345" s="62">
        <v>0</v>
      </c>
      <c r="AO345" s="5" t="s">
        <v>172</v>
      </c>
      <c r="AP345">
        <v>0</v>
      </c>
      <c r="AQ345" s="17"/>
      <c r="AR345" s="1"/>
      <c r="AT345" s="5" t="s">
        <v>186</v>
      </c>
      <c r="AU345">
        <v>1</v>
      </c>
      <c r="AV345" s="17"/>
      <c r="AW345" s="17"/>
      <c r="AY345" s="5" t="s">
        <v>193</v>
      </c>
      <c r="AZ345">
        <v>0</v>
      </c>
      <c r="BA345" s="30" t="s">
        <v>388</v>
      </c>
      <c r="BB345" s="17">
        <f>MIN(AZ344:AZ373)</f>
        <v>0</v>
      </c>
      <c r="BD345" s="5" t="s">
        <v>242</v>
      </c>
      <c r="BE345">
        <v>0</v>
      </c>
      <c r="BI345" s="5" t="s">
        <v>73</v>
      </c>
      <c r="BJ345">
        <v>0</v>
      </c>
      <c r="BK345" s="30" t="s">
        <v>388</v>
      </c>
      <c r="BL345" s="17">
        <f>MIN(BJ344:BJ373)</f>
        <v>0</v>
      </c>
      <c r="BN345" s="5" t="s">
        <v>275</v>
      </c>
      <c r="BO345">
        <v>0</v>
      </c>
      <c r="BP345" s="30" t="s">
        <v>388</v>
      </c>
      <c r="BQ345" s="17">
        <f>MIN(BO344:BO359)</f>
        <v>0</v>
      </c>
      <c r="BX345" s="61" t="s">
        <v>296</v>
      </c>
      <c r="BY345" s="62">
        <v>0</v>
      </c>
      <c r="CC345" s="5" t="s">
        <v>315</v>
      </c>
      <c r="CD345">
        <v>0</v>
      </c>
      <c r="CO345" s="17"/>
      <c r="CP345" s="17"/>
      <c r="CR345" s="5" t="s">
        <v>340</v>
      </c>
      <c r="CS345">
        <v>0</v>
      </c>
      <c r="CW345" s="61" t="s">
        <v>353</v>
      </c>
      <c r="CX345" s="62">
        <v>3</v>
      </c>
    </row>
    <row r="346" spans="1:102" x14ac:dyDescent="0.25">
      <c r="A346" s="5" t="s">
        <v>60</v>
      </c>
      <c r="B346" s="27">
        <v>0</v>
      </c>
      <c r="C346" s="17"/>
      <c r="D346" s="17"/>
      <c r="U346" s="5" t="s">
        <v>106</v>
      </c>
      <c r="V346">
        <v>0</v>
      </c>
      <c r="W346" s="17"/>
      <c r="X346" s="17"/>
      <c r="Z346" s="61" t="s">
        <v>123</v>
      </c>
      <c r="AA346" s="62">
        <v>0</v>
      </c>
      <c r="AO346" s="5" t="s">
        <v>173</v>
      </c>
      <c r="AP346">
        <v>0</v>
      </c>
      <c r="AT346" s="5" t="s">
        <v>187</v>
      </c>
      <c r="AU346">
        <v>1</v>
      </c>
      <c r="AV346" s="17"/>
      <c r="AW346" s="17"/>
      <c r="AY346" s="5" t="s">
        <v>194</v>
      </c>
      <c r="AZ346">
        <v>0</v>
      </c>
      <c r="BA346" s="30" t="s">
        <v>389</v>
      </c>
      <c r="BB346" s="17">
        <f>MAX(AZ344:AZ373)</f>
        <v>1</v>
      </c>
      <c r="BD346" s="5" t="s">
        <v>243</v>
      </c>
      <c r="BE346">
        <v>1</v>
      </c>
      <c r="BI346" s="5" t="s">
        <v>246</v>
      </c>
      <c r="BJ346">
        <v>0</v>
      </c>
      <c r="BK346" s="30" t="s">
        <v>389</v>
      </c>
      <c r="BL346" s="17">
        <f>MAX(BJ344:BJ373)</f>
        <v>2</v>
      </c>
      <c r="BN346" s="5" t="s">
        <v>276</v>
      </c>
      <c r="BO346">
        <v>0</v>
      </c>
      <c r="BP346" s="30" t="s">
        <v>389</v>
      </c>
      <c r="BQ346" s="17">
        <f>MAX(BO344:BO359)</f>
        <v>1</v>
      </c>
      <c r="BX346" s="61" t="s">
        <v>297</v>
      </c>
      <c r="BY346" s="62">
        <v>0</v>
      </c>
      <c r="CC346" s="5" t="s">
        <v>316</v>
      </c>
      <c r="CD346">
        <v>0</v>
      </c>
      <c r="CO346" s="17"/>
      <c r="CP346" s="17"/>
      <c r="CR346" s="5" t="s">
        <v>341</v>
      </c>
      <c r="CS346">
        <v>0</v>
      </c>
      <c r="CW346" s="61" t="s">
        <v>354</v>
      </c>
      <c r="CX346" s="62">
        <v>4</v>
      </c>
    </row>
    <row r="347" spans="1:102" x14ac:dyDescent="0.25">
      <c r="A347" s="5" t="s">
        <v>61</v>
      </c>
      <c r="B347" s="27">
        <v>0</v>
      </c>
      <c r="C347" s="17"/>
      <c r="D347" s="17"/>
      <c r="U347" s="5" t="s">
        <v>61</v>
      </c>
      <c r="V347">
        <v>0</v>
      </c>
      <c r="W347" s="17"/>
      <c r="X347" s="17"/>
      <c r="Z347" s="61" t="s">
        <v>124</v>
      </c>
      <c r="AA347" s="62">
        <v>0</v>
      </c>
      <c r="AO347" s="5" t="s">
        <v>174</v>
      </c>
      <c r="AP347">
        <v>0</v>
      </c>
      <c r="AT347" s="5" t="s">
        <v>188</v>
      </c>
      <c r="AU347">
        <v>0</v>
      </c>
      <c r="AV347" s="17"/>
      <c r="AW347" s="17"/>
      <c r="AY347" s="5" t="s">
        <v>195</v>
      </c>
      <c r="AZ347">
        <v>0</v>
      </c>
      <c r="BA347" s="30" t="s">
        <v>390</v>
      </c>
      <c r="BB347" s="17">
        <f>VAR(AZ344:AZ373)</f>
        <v>3.3333333333333333E-2</v>
      </c>
      <c r="BD347" s="5" t="s">
        <v>244</v>
      </c>
      <c r="BE347">
        <v>0</v>
      </c>
      <c r="BI347" s="5" t="s">
        <v>247</v>
      </c>
      <c r="BJ347">
        <v>0</v>
      </c>
      <c r="BK347" s="30" t="s">
        <v>390</v>
      </c>
      <c r="BL347" s="17">
        <f>VAR(BJ344:BJ373)</f>
        <v>0.1620689655172414</v>
      </c>
      <c r="BN347" s="5" t="s">
        <v>277</v>
      </c>
      <c r="BO347">
        <v>0</v>
      </c>
      <c r="BP347" s="30" t="s">
        <v>390</v>
      </c>
      <c r="BQ347" s="17">
        <f>VAR(BO344:BO359)</f>
        <v>0.11666666666666667</v>
      </c>
      <c r="BX347" s="61" t="s">
        <v>298</v>
      </c>
      <c r="BY347" s="62">
        <v>0</v>
      </c>
      <c r="CC347" s="5" t="s">
        <v>317</v>
      </c>
      <c r="CD347">
        <v>0</v>
      </c>
      <c r="CO347" s="17"/>
      <c r="CP347" s="17"/>
      <c r="CR347" s="5" t="s">
        <v>342</v>
      </c>
      <c r="CS347">
        <v>0</v>
      </c>
      <c r="CW347" s="61" t="s">
        <v>355</v>
      </c>
      <c r="CX347" s="62">
        <v>2</v>
      </c>
    </row>
    <row r="348" spans="1:102" x14ac:dyDescent="0.25">
      <c r="A348" s="5" t="s">
        <v>62</v>
      </c>
      <c r="B348" s="27">
        <v>2</v>
      </c>
      <c r="C348" s="17"/>
      <c r="D348" s="1"/>
      <c r="U348" s="5" t="s">
        <v>107</v>
      </c>
      <c r="V348">
        <v>0</v>
      </c>
      <c r="W348" s="17"/>
      <c r="X348" s="17"/>
      <c r="Z348" s="61" t="s">
        <v>125</v>
      </c>
      <c r="AA348" s="62">
        <v>0</v>
      </c>
      <c r="AT348" s="5" t="s">
        <v>395</v>
      </c>
      <c r="AU348">
        <v>1</v>
      </c>
      <c r="AV348" s="17"/>
      <c r="AW348" s="17"/>
      <c r="AY348" s="5" t="s">
        <v>196</v>
      </c>
      <c r="AZ348">
        <v>0</v>
      </c>
      <c r="BA348" s="30" t="s">
        <v>391</v>
      </c>
      <c r="BB348" s="17">
        <f>AVERAGE(AZ344:AZ373)</f>
        <v>3.3333333333333333E-2</v>
      </c>
      <c r="BI348" s="5" t="s">
        <v>248</v>
      </c>
      <c r="BJ348">
        <v>0</v>
      </c>
      <c r="BK348" s="30" t="s">
        <v>391</v>
      </c>
      <c r="BL348" s="17">
        <f>AVERAGE(BJ344:BJ373)</f>
        <v>0.1</v>
      </c>
      <c r="BN348" s="5" t="s">
        <v>279</v>
      </c>
      <c r="BO348">
        <v>1</v>
      </c>
      <c r="BP348" s="30" t="s">
        <v>391</v>
      </c>
      <c r="BQ348" s="17">
        <f>AVERAGE(BO344:BO359)</f>
        <v>0.125</v>
      </c>
      <c r="CC348" s="5" t="s">
        <v>318</v>
      </c>
      <c r="CD348">
        <v>0</v>
      </c>
      <c r="CO348" s="17"/>
      <c r="CP348" s="17"/>
      <c r="CR348" s="5" t="s">
        <v>343</v>
      </c>
      <c r="CS348">
        <v>0</v>
      </c>
      <c r="CW348" s="66" t="s">
        <v>356</v>
      </c>
      <c r="CX348" s="62">
        <v>8</v>
      </c>
    </row>
    <row r="349" spans="1:102" x14ac:dyDescent="0.25">
      <c r="A349" s="5" t="s">
        <v>63</v>
      </c>
      <c r="B349" s="27">
        <v>0</v>
      </c>
      <c r="C349" s="17"/>
      <c r="D349" s="1"/>
      <c r="U349" s="5" t="s">
        <v>108</v>
      </c>
      <c r="V349">
        <v>0</v>
      </c>
      <c r="W349" s="17"/>
      <c r="X349" s="17"/>
      <c r="Z349" s="61" t="s">
        <v>126</v>
      </c>
      <c r="AA349" s="62">
        <v>0</v>
      </c>
      <c r="AO349" s="17" t="s">
        <v>382</v>
      </c>
      <c r="AP349" s="29" t="s">
        <v>368</v>
      </c>
      <c r="AQ349" s="17"/>
      <c r="AR349" s="17">
        <v>2016</v>
      </c>
      <c r="AT349" s="5" t="s">
        <v>189</v>
      </c>
      <c r="AU349">
        <v>1</v>
      </c>
      <c r="AV349" s="17"/>
      <c r="AW349" s="17"/>
      <c r="AY349" s="5" t="s">
        <v>197</v>
      </c>
      <c r="AZ349">
        <v>0</v>
      </c>
      <c r="BA349" s="30" t="s">
        <v>392</v>
      </c>
      <c r="BB349" s="17">
        <f>STDEV(AZ344:AZ373)</f>
        <v>0.18257418583505536</v>
      </c>
      <c r="BD349" s="17" t="s">
        <v>382</v>
      </c>
      <c r="BE349" s="29" t="s">
        <v>371</v>
      </c>
      <c r="BF349" s="17"/>
      <c r="BG349" s="17">
        <v>2016</v>
      </c>
      <c r="BI349" s="5" t="s">
        <v>249</v>
      </c>
      <c r="BJ349">
        <v>0</v>
      </c>
      <c r="BK349" s="30" t="s">
        <v>392</v>
      </c>
      <c r="BL349" s="17">
        <f>STDEV(BJ344:BJ373)</f>
        <v>0.40257789993644882</v>
      </c>
      <c r="BN349" s="5" t="s">
        <v>278</v>
      </c>
      <c r="BO349">
        <v>0</v>
      </c>
      <c r="BP349" s="30" t="s">
        <v>392</v>
      </c>
      <c r="BQ349" s="17">
        <f>STDEV(BO344:BO359)</f>
        <v>0.34156502553198659</v>
      </c>
      <c r="BX349" s="58" t="s">
        <v>382</v>
      </c>
      <c r="BY349" s="59" t="s">
        <v>628</v>
      </c>
      <c r="BZ349" s="58"/>
      <c r="CA349" s="58">
        <v>2016</v>
      </c>
      <c r="CC349" s="5" t="s">
        <v>319</v>
      </c>
      <c r="CD349">
        <v>0</v>
      </c>
      <c r="CO349" s="17"/>
      <c r="CP349" s="17"/>
      <c r="CR349" s="5" t="s">
        <v>344</v>
      </c>
      <c r="CS349">
        <v>0</v>
      </c>
      <c r="CW349" s="66" t="s">
        <v>357</v>
      </c>
      <c r="CX349" s="62">
        <v>4</v>
      </c>
    </row>
    <row r="350" spans="1:102" x14ac:dyDescent="0.25">
      <c r="A350" s="5" t="s">
        <v>64</v>
      </c>
      <c r="B350" s="27">
        <v>0</v>
      </c>
      <c r="C350" s="17"/>
      <c r="D350" s="1"/>
      <c r="U350" s="5" t="s">
        <v>109</v>
      </c>
      <c r="V350">
        <v>0</v>
      </c>
      <c r="W350" s="17"/>
      <c r="X350" s="17"/>
      <c r="Z350" s="61" t="s">
        <v>127</v>
      </c>
      <c r="AA350" s="62">
        <v>0</v>
      </c>
      <c r="AO350" s="17" t="s">
        <v>383</v>
      </c>
      <c r="AP350" s="6" t="s">
        <v>22</v>
      </c>
      <c r="AQ350" s="17"/>
      <c r="AR350" s="17"/>
      <c r="AT350" s="5" t="s">
        <v>190</v>
      </c>
      <c r="AU350">
        <v>1</v>
      </c>
      <c r="AV350" s="17"/>
      <c r="AW350" s="17"/>
      <c r="AY350" s="5" t="s">
        <v>198</v>
      </c>
      <c r="AZ350">
        <v>0</v>
      </c>
      <c r="BA350" s="17"/>
      <c r="BB350" s="17"/>
      <c r="BD350" s="17" t="s">
        <v>383</v>
      </c>
      <c r="BE350" s="6" t="s">
        <v>26</v>
      </c>
      <c r="BF350" s="17"/>
      <c r="BG350" s="17"/>
      <c r="BI350" s="5" t="s">
        <v>250</v>
      </c>
      <c r="BJ350">
        <v>0</v>
      </c>
      <c r="BK350" s="17"/>
      <c r="BL350" s="17"/>
      <c r="BN350" s="5" t="s">
        <v>280</v>
      </c>
      <c r="BO350">
        <v>0</v>
      </c>
      <c r="BP350" s="17"/>
      <c r="BQ350" s="17"/>
      <c r="BX350" s="58" t="s">
        <v>383</v>
      </c>
      <c r="BY350" s="60" t="s">
        <v>24</v>
      </c>
      <c r="BZ350" s="58"/>
      <c r="CA350" s="58"/>
      <c r="CC350" s="5" t="s">
        <v>320</v>
      </c>
      <c r="CD350">
        <v>0</v>
      </c>
      <c r="CO350" s="17"/>
      <c r="CP350" s="17"/>
      <c r="CR350" s="5" t="s">
        <v>345</v>
      </c>
      <c r="CS350">
        <v>0</v>
      </c>
      <c r="CW350" s="66" t="s">
        <v>358</v>
      </c>
      <c r="CX350" s="62">
        <v>3</v>
      </c>
    </row>
    <row r="351" spans="1:102" x14ac:dyDescent="0.25">
      <c r="U351" s="5" t="s">
        <v>110</v>
      </c>
      <c r="V351">
        <v>0</v>
      </c>
      <c r="W351" s="17"/>
      <c r="X351" s="17"/>
      <c r="Z351" s="61" t="s">
        <v>128</v>
      </c>
      <c r="AA351" s="62">
        <v>0</v>
      </c>
      <c r="AO351" s="17" t="s">
        <v>384</v>
      </c>
      <c r="AP351" s="17" t="s">
        <v>39</v>
      </c>
      <c r="AQ351" s="17" t="s">
        <v>385</v>
      </c>
      <c r="AR351" s="17" t="s">
        <v>386</v>
      </c>
      <c r="AT351" s="5" t="s">
        <v>191</v>
      </c>
      <c r="AU351">
        <v>0</v>
      </c>
      <c r="AV351" s="15"/>
      <c r="AW351" s="15"/>
      <c r="AY351" s="5" t="s">
        <v>161</v>
      </c>
      <c r="AZ351">
        <v>0</v>
      </c>
      <c r="BA351" s="17"/>
      <c r="BB351" s="17"/>
      <c r="BD351" s="17" t="s">
        <v>384</v>
      </c>
      <c r="BE351" s="17" t="s">
        <v>39</v>
      </c>
      <c r="BF351" s="17" t="s">
        <v>385</v>
      </c>
      <c r="BG351" s="17" t="s">
        <v>386</v>
      </c>
      <c r="BI351" s="5" t="s">
        <v>251</v>
      </c>
      <c r="BJ351">
        <v>0</v>
      </c>
      <c r="BK351" s="17"/>
      <c r="BL351" s="17"/>
      <c r="BN351" s="5" t="s">
        <v>281</v>
      </c>
      <c r="BO351">
        <v>0</v>
      </c>
      <c r="BP351" s="17"/>
      <c r="BQ351" s="17"/>
      <c r="BX351" s="58" t="s">
        <v>384</v>
      </c>
      <c r="BY351" s="58" t="s">
        <v>39</v>
      </c>
      <c r="BZ351" s="58" t="s">
        <v>385</v>
      </c>
      <c r="CA351" s="58" t="s">
        <v>386</v>
      </c>
      <c r="CO351" s="17"/>
      <c r="CP351" s="17"/>
      <c r="CR351" s="5" t="s">
        <v>346</v>
      </c>
      <c r="CS351">
        <v>0</v>
      </c>
      <c r="CW351" s="66" t="s">
        <v>359</v>
      </c>
      <c r="CX351" s="62">
        <v>2</v>
      </c>
    </row>
    <row r="352" spans="1:102" x14ac:dyDescent="0.25">
      <c r="A352" s="17" t="s">
        <v>382</v>
      </c>
      <c r="B352" s="29" t="s">
        <v>361</v>
      </c>
      <c r="C352" s="17"/>
      <c r="D352" s="17">
        <v>2016</v>
      </c>
      <c r="U352" s="5" t="s">
        <v>111</v>
      </c>
      <c r="V352">
        <v>0</v>
      </c>
      <c r="W352" s="17"/>
      <c r="X352" s="17"/>
      <c r="AO352" s="5" t="s">
        <v>149</v>
      </c>
      <c r="AP352">
        <v>1</v>
      </c>
      <c r="AQ352" s="30" t="s">
        <v>387</v>
      </c>
      <c r="AR352" s="17">
        <f>SUM(AP352:AP376)</f>
        <v>1</v>
      </c>
      <c r="AY352" s="5" t="s">
        <v>199</v>
      </c>
      <c r="AZ352">
        <v>0</v>
      </c>
      <c r="BA352" s="17"/>
      <c r="BB352" s="17"/>
      <c r="BD352" s="5" t="s">
        <v>221</v>
      </c>
      <c r="BE352">
        <v>0</v>
      </c>
      <c r="BF352" s="30" t="s">
        <v>387</v>
      </c>
      <c r="BG352" s="17">
        <f>SUM(BE352:BE376)</f>
        <v>1</v>
      </c>
      <c r="BI352" s="5" t="s">
        <v>252</v>
      </c>
      <c r="BJ352">
        <v>0</v>
      </c>
      <c r="BK352" s="17"/>
      <c r="BL352" s="17"/>
      <c r="BN352" s="5" t="s">
        <v>282</v>
      </c>
      <c r="BO352">
        <v>1</v>
      </c>
      <c r="BP352" s="17"/>
      <c r="BQ352" s="17"/>
      <c r="BX352" s="61" t="s">
        <v>274</v>
      </c>
      <c r="BY352" s="62">
        <v>0</v>
      </c>
      <c r="BZ352" s="63" t="s">
        <v>387</v>
      </c>
      <c r="CA352" s="58">
        <f>SUM(BY352:BY376)</f>
        <v>8</v>
      </c>
      <c r="CC352" s="17" t="s">
        <v>382</v>
      </c>
      <c r="CD352" s="29" t="s">
        <v>375</v>
      </c>
      <c r="CE352" s="17"/>
      <c r="CF352" s="17">
        <v>2016</v>
      </c>
      <c r="CO352" s="17"/>
      <c r="CP352" s="17"/>
      <c r="CR352" s="5" t="s">
        <v>347</v>
      </c>
      <c r="CS352">
        <v>2</v>
      </c>
    </row>
    <row r="353" spans="1:104" x14ac:dyDescent="0.25">
      <c r="A353" s="17" t="s">
        <v>383</v>
      </c>
      <c r="B353" s="6" t="s">
        <v>26</v>
      </c>
      <c r="C353" s="17"/>
      <c r="D353" s="17"/>
      <c r="U353" s="5" t="s">
        <v>112</v>
      </c>
      <c r="V353">
        <v>0</v>
      </c>
      <c r="W353" s="17"/>
      <c r="X353" s="17"/>
      <c r="Z353" s="58" t="s">
        <v>382</v>
      </c>
      <c r="AA353" s="59" t="s">
        <v>627</v>
      </c>
      <c r="AB353" s="58"/>
      <c r="AC353" s="58">
        <v>2016</v>
      </c>
      <c r="AO353" s="5" t="s">
        <v>150</v>
      </c>
      <c r="AP353">
        <v>0</v>
      </c>
      <c r="AQ353" s="30" t="s">
        <v>388</v>
      </c>
      <c r="AR353" s="17">
        <f>MIN(AP352:AP376)</f>
        <v>0</v>
      </c>
      <c r="AT353" s="17" t="s">
        <v>382</v>
      </c>
      <c r="AU353" s="29" t="s">
        <v>369</v>
      </c>
      <c r="AV353" s="17"/>
      <c r="AW353" s="17">
        <v>2016</v>
      </c>
      <c r="AY353" s="5" t="s">
        <v>200</v>
      </c>
      <c r="AZ353">
        <v>0</v>
      </c>
      <c r="BA353" s="17"/>
      <c r="BB353" s="17"/>
      <c r="BD353" s="5" t="s">
        <v>222</v>
      </c>
      <c r="BE353">
        <v>0</v>
      </c>
      <c r="BF353" s="30" t="s">
        <v>388</v>
      </c>
      <c r="BG353" s="17">
        <f>MIN(BE352:BE376)</f>
        <v>0</v>
      </c>
      <c r="BI353" s="5" t="s">
        <v>253</v>
      </c>
      <c r="BJ353">
        <v>0</v>
      </c>
      <c r="BK353" s="17"/>
      <c r="BL353" s="17"/>
      <c r="BN353" s="5" t="s">
        <v>283</v>
      </c>
      <c r="BO353">
        <v>0</v>
      </c>
      <c r="BP353" s="17"/>
      <c r="BQ353" s="17"/>
      <c r="BX353" s="61" t="s">
        <v>275</v>
      </c>
      <c r="BY353" s="62">
        <v>0</v>
      </c>
      <c r="BZ353" s="63" t="s">
        <v>388</v>
      </c>
      <c r="CA353" s="58">
        <f>MIN(BY352:BY376)</f>
        <v>0</v>
      </c>
      <c r="CC353" s="17" t="s">
        <v>383</v>
      </c>
      <c r="CD353" s="6" t="s">
        <v>26</v>
      </c>
      <c r="CE353" s="17"/>
      <c r="CF353" s="17"/>
      <c r="CR353" s="5" t="s">
        <v>348</v>
      </c>
      <c r="CS353">
        <v>0</v>
      </c>
      <c r="CW353" s="58" t="s">
        <v>382</v>
      </c>
      <c r="CX353" s="59" t="s">
        <v>629</v>
      </c>
      <c r="CY353" s="58"/>
      <c r="CZ353" s="58">
        <v>2016</v>
      </c>
    </row>
    <row r="354" spans="1:104" x14ac:dyDescent="0.25">
      <c r="A354" s="17" t="s">
        <v>384</v>
      </c>
      <c r="B354" s="17" t="s">
        <v>39</v>
      </c>
      <c r="C354" s="17" t="s">
        <v>385</v>
      </c>
      <c r="D354" s="17" t="s">
        <v>386</v>
      </c>
      <c r="U354" s="5" t="s">
        <v>113</v>
      </c>
      <c r="V354">
        <v>0</v>
      </c>
      <c r="W354" s="15"/>
      <c r="X354" s="15"/>
      <c r="Z354" s="58" t="s">
        <v>383</v>
      </c>
      <c r="AA354" s="60" t="s">
        <v>16</v>
      </c>
      <c r="AB354" s="58"/>
      <c r="AC354" s="58"/>
      <c r="AO354" s="5" t="s">
        <v>151</v>
      </c>
      <c r="AP354">
        <v>0</v>
      </c>
      <c r="AQ354" s="30" t="s">
        <v>389</v>
      </c>
      <c r="AR354" s="17">
        <f>MAX(AP352:AP376)</f>
        <v>1</v>
      </c>
      <c r="AT354" s="17" t="s">
        <v>383</v>
      </c>
      <c r="AU354" s="6" t="s">
        <v>37</v>
      </c>
      <c r="AV354" s="17"/>
      <c r="AW354" s="17"/>
      <c r="AY354" s="5" t="s">
        <v>201</v>
      </c>
      <c r="AZ354">
        <v>0</v>
      </c>
      <c r="BA354" s="17"/>
      <c r="BB354" s="17"/>
      <c r="BD354" s="5" t="s">
        <v>223</v>
      </c>
      <c r="BE354">
        <v>0</v>
      </c>
      <c r="BF354" s="30" t="s">
        <v>389</v>
      </c>
      <c r="BG354" s="17">
        <f>MAX(BE352:BE376)</f>
        <v>1</v>
      </c>
      <c r="BI354" s="5" t="s">
        <v>254</v>
      </c>
      <c r="BJ354">
        <v>0</v>
      </c>
      <c r="BK354" s="17"/>
      <c r="BL354" s="17"/>
      <c r="BN354" s="5" t="s">
        <v>285</v>
      </c>
      <c r="BO354">
        <v>0</v>
      </c>
      <c r="BP354" s="17"/>
      <c r="BQ354" s="17"/>
      <c r="BX354" s="61" t="s">
        <v>276</v>
      </c>
      <c r="BY354" s="62">
        <v>1</v>
      </c>
      <c r="BZ354" s="63" t="s">
        <v>389</v>
      </c>
      <c r="CA354" s="58">
        <f>MAX(BY352:BY376)</f>
        <v>2</v>
      </c>
      <c r="CC354" s="17" t="s">
        <v>384</v>
      </c>
      <c r="CD354" s="17" t="s">
        <v>39</v>
      </c>
      <c r="CE354" s="17" t="s">
        <v>385</v>
      </c>
      <c r="CF354" s="17" t="s">
        <v>386</v>
      </c>
      <c r="CR354" s="5" t="s">
        <v>349</v>
      </c>
      <c r="CS354">
        <v>0</v>
      </c>
      <c r="CW354" s="58" t="s">
        <v>383</v>
      </c>
      <c r="CX354" s="60" t="s">
        <v>167</v>
      </c>
      <c r="CY354" s="58"/>
      <c r="CZ354" s="58"/>
    </row>
    <row r="355" spans="1:104" x14ac:dyDescent="0.25">
      <c r="A355" s="5" t="s">
        <v>40</v>
      </c>
      <c r="B355" s="27">
        <v>0</v>
      </c>
      <c r="C355" s="30" t="s">
        <v>387</v>
      </c>
      <c r="D355" s="17">
        <f>SUM(B355:B377)</f>
        <v>1</v>
      </c>
      <c r="U355" s="26" t="s">
        <v>114</v>
      </c>
      <c r="V355">
        <v>0</v>
      </c>
      <c r="W355" s="17"/>
      <c r="X355" s="17"/>
      <c r="Z355" s="58" t="s">
        <v>384</v>
      </c>
      <c r="AA355" s="58" t="s">
        <v>39</v>
      </c>
      <c r="AB355" s="58" t="s">
        <v>385</v>
      </c>
      <c r="AC355" s="58" t="s">
        <v>386</v>
      </c>
      <c r="AO355" s="5" t="s">
        <v>152</v>
      </c>
      <c r="AP355">
        <v>0</v>
      </c>
      <c r="AQ355" s="30" t="s">
        <v>390</v>
      </c>
      <c r="AR355" s="17">
        <f>VAR(AP352:AP376)</f>
        <v>0.04</v>
      </c>
      <c r="AT355" s="17" t="s">
        <v>384</v>
      </c>
      <c r="AU355" s="17" t="s">
        <v>39</v>
      </c>
      <c r="AV355" s="17" t="s">
        <v>385</v>
      </c>
      <c r="AW355" s="17" t="s">
        <v>386</v>
      </c>
      <c r="AY355" s="5" t="s">
        <v>202</v>
      </c>
      <c r="AZ355">
        <v>0</v>
      </c>
      <c r="BA355" s="17"/>
      <c r="BB355" s="17"/>
      <c r="BD355" s="5" t="s">
        <v>224</v>
      </c>
      <c r="BE355">
        <v>0</v>
      </c>
      <c r="BF355" s="30" t="s">
        <v>390</v>
      </c>
      <c r="BG355" s="17">
        <f>VAR(BE352:BE376)</f>
        <v>0.04</v>
      </c>
      <c r="BI355" s="5" t="s">
        <v>255</v>
      </c>
      <c r="BJ355">
        <v>0</v>
      </c>
      <c r="BK355" s="17"/>
      <c r="BL355" s="17"/>
      <c r="BN355" s="5" t="s">
        <v>284</v>
      </c>
      <c r="BO355">
        <v>0</v>
      </c>
      <c r="BP355" s="17"/>
      <c r="BQ355" s="17"/>
      <c r="BX355" s="61" t="s">
        <v>277</v>
      </c>
      <c r="BY355" s="62">
        <v>0</v>
      </c>
      <c r="BZ355" s="63" t="s">
        <v>390</v>
      </c>
      <c r="CA355" s="58">
        <f>VAR(BY352:BY376)</f>
        <v>0.31</v>
      </c>
      <c r="CC355" s="5" t="s">
        <v>299</v>
      </c>
      <c r="CD355">
        <v>0</v>
      </c>
      <c r="CE355" s="30" t="s">
        <v>387</v>
      </c>
      <c r="CF355" s="17">
        <f>SUM(CD355:CD377)</f>
        <v>3</v>
      </c>
      <c r="CR355" s="5" t="s">
        <v>350</v>
      </c>
      <c r="CS355">
        <v>0</v>
      </c>
      <c r="CW355" s="58" t="s">
        <v>384</v>
      </c>
      <c r="CX355" s="58" t="s">
        <v>39</v>
      </c>
      <c r="CY355" s="58" t="s">
        <v>385</v>
      </c>
      <c r="CZ355" s="58" t="s">
        <v>386</v>
      </c>
    </row>
    <row r="356" spans="1:104" x14ac:dyDescent="0.25">
      <c r="A356" s="5" t="s">
        <v>41</v>
      </c>
      <c r="B356" s="27">
        <v>0</v>
      </c>
      <c r="C356" s="30" t="s">
        <v>388</v>
      </c>
      <c r="D356" s="17">
        <f>MIN(B355:B377)</f>
        <v>0</v>
      </c>
      <c r="U356" s="26" t="s">
        <v>115</v>
      </c>
      <c r="V356">
        <v>0</v>
      </c>
      <c r="W356" s="17"/>
      <c r="X356" s="17"/>
      <c r="Z356" s="61" t="s">
        <v>88</v>
      </c>
      <c r="AA356" s="62">
        <v>0</v>
      </c>
      <c r="AB356" s="63" t="s">
        <v>387</v>
      </c>
      <c r="AC356" s="58">
        <f>SUM(AA356:AA395)</f>
        <v>3</v>
      </c>
      <c r="AO356" s="5" t="s">
        <v>153</v>
      </c>
      <c r="AP356">
        <v>0</v>
      </c>
      <c r="AQ356" s="30" t="s">
        <v>391</v>
      </c>
      <c r="AR356" s="17">
        <f>AVERAGE(AP352:AP376)</f>
        <v>0.04</v>
      </c>
      <c r="AT356" s="5" t="s">
        <v>175</v>
      </c>
      <c r="AU356">
        <v>2</v>
      </c>
      <c r="AV356" s="30" t="s">
        <v>387</v>
      </c>
      <c r="AW356" s="17">
        <f>SUM(AU356:AU373)</f>
        <v>53</v>
      </c>
      <c r="AY356" s="5" t="s">
        <v>203</v>
      </c>
      <c r="AZ356">
        <v>0</v>
      </c>
      <c r="BA356" s="17"/>
      <c r="BB356" s="17"/>
      <c r="BD356" s="5" t="s">
        <v>225</v>
      </c>
      <c r="BE356">
        <v>0</v>
      </c>
      <c r="BF356" s="30" t="s">
        <v>391</v>
      </c>
      <c r="BG356" s="17">
        <f>AVERAGE(BE352:BE376)</f>
        <v>0.04</v>
      </c>
      <c r="BI356" s="5" t="s">
        <v>256</v>
      </c>
      <c r="BJ356">
        <v>0</v>
      </c>
      <c r="BK356" s="17"/>
      <c r="BL356" s="17"/>
      <c r="BN356" s="5" t="s">
        <v>286</v>
      </c>
      <c r="BO356">
        <v>0</v>
      </c>
      <c r="BP356" s="17"/>
      <c r="BQ356" s="17"/>
      <c r="BX356" s="61" t="s">
        <v>279</v>
      </c>
      <c r="BY356" s="62">
        <v>0</v>
      </c>
      <c r="BZ356" s="63" t="s">
        <v>391</v>
      </c>
      <c r="CA356" s="58">
        <f>AVERAGE(BY352:BY376)</f>
        <v>0.32</v>
      </c>
      <c r="CC356" s="5" t="s">
        <v>300</v>
      </c>
      <c r="CD356">
        <v>0</v>
      </c>
      <c r="CE356" s="30" t="s">
        <v>388</v>
      </c>
      <c r="CF356" s="17">
        <f>MIN(CD355:CD377)</f>
        <v>0</v>
      </c>
      <c r="CR356" s="5" t="s">
        <v>351</v>
      </c>
      <c r="CS356">
        <v>0</v>
      </c>
      <c r="CW356" s="61" t="s">
        <v>321</v>
      </c>
      <c r="CX356" s="62">
        <v>0</v>
      </c>
      <c r="CY356" s="63" t="s">
        <v>387</v>
      </c>
      <c r="CZ356" s="58">
        <f>SUM(CX356:CX395)</f>
        <v>5</v>
      </c>
    </row>
    <row r="357" spans="1:104" x14ac:dyDescent="0.25">
      <c r="A357" s="5" t="s">
        <v>42</v>
      </c>
      <c r="B357" s="27">
        <v>0</v>
      </c>
      <c r="C357" s="30" t="s">
        <v>389</v>
      </c>
      <c r="D357" s="17">
        <f>MAX(B355:B377)</f>
        <v>1</v>
      </c>
      <c r="U357" s="26" t="s">
        <v>116</v>
      </c>
      <c r="V357">
        <v>1</v>
      </c>
      <c r="W357" s="17"/>
      <c r="X357" s="1"/>
      <c r="Z357" s="61" t="s">
        <v>89</v>
      </c>
      <c r="AA357" s="62">
        <v>0</v>
      </c>
      <c r="AB357" s="63" t="s">
        <v>388</v>
      </c>
      <c r="AC357" s="58">
        <f>MIN(AA356:AA395)</f>
        <v>0</v>
      </c>
      <c r="AO357" s="5" t="s">
        <v>154</v>
      </c>
      <c r="AP357">
        <v>0</v>
      </c>
      <c r="AQ357" s="30" t="s">
        <v>392</v>
      </c>
      <c r="AR357" s="17">
        <f>STDEV(AP352:AP376)</f>
        <v>0.2</v>
      </c>
      <c r="AT357" s="5" t="s">
        <v>176</v>
      </c>
      <c r="AU357">
        <v>1</v>
      </c>
      <c r="AV357" s="30" t="s">
        <v>388</v>
      </c>
      <c r="AW357" s="17">
        <f>MIN(AU356:AU373)</f>
        <v>0</v>
      </c>
      <c r="AY357" s="5" t="s">
        <v>204</v>
      </c>
      <c r="AZ357">
        <v>0</v>
      </c>
      <c r="BA357" s="17"/>
      <c r="BB357" s="17"/>
      <c r="BD357" s="5" t="s">
        <v>226</v>
      </c>
      <c r="BE357">
        <v>0</v>
      </c>
      <c r="BF357" s="30" t="s">
        <v>392</v>
      </c>
      <c r="BG357" s="17">
        <f>STDEV(BE352:BE376)</f>
        <v>0.2</v>
      </c>
      <c r="BI357" s="5" t="s">
        <v>257</v>
      </c>
      <c r="BJ357">
        <v>0</v>
      </c>
      <c r="BK357" s="17"/>
      <c r="BL357" s="17"/>
      <c r="BN357" s="5" t="s">
        <v>287</v>
      </c>
      <c r="BO357">
        <v>0</v>
      </c>
      <c r="BP357" s="17"/>
      <c r="BQ357" s="17"/>
      <c r="BX357" s="61" t="s">
        <v>278</v>
      </c>
      <c r="BY357" s="62">
        <v>0</v>
      </c>
      <c r="BZ357" s="63" t="s">
        <v>392</v>
      </c>
      <c r="CA357" s="58">
        <f>STDEV(BY352:BY376)</f>
        <v>0.55677643628300222</v>
      </c>
      <c r="CC357" s="5" t="s">
        <v>301</v>
      </c>
      <c r="CD357">
        <v>0</v>
      </c>
      <c r="CE357" s="30" t="s">
        <v>389</v>
      </c>
      <c r="CF357" s="17">
        <f>MAX(CD355:CD377)</f>
        <v>1</v>
      </c>
      <c r="CR357" s="5" t="s">
        <v>352</v>
      </c>
      <c r="CS357">
        <v>0</v>
      </c>
      <c r="CW357" s="61" t="s">
        <v>322</v>
      </c>
      <c r="CX357" s="62">
        <v>0</v>
      </c>
      <c r="CY357" s="63" t="s">
        <v>388</v>
      </c>
      <c r="CZ357" s="58">
        <f>MIN(CX356:CX395)</f>
        <v>0</v>
      </c>
    </row>
    <row r="358" spans="1:104" x14ac:dyDescent="0.25">
      <c r="A358" s="5" t="s">
        <v>43</v>
      </c>
      <c r="B358" s="27">
        <v>0</v>
      </c>
      <c r="C358" s="30" t="s">
        <v>390</v>
      </c>
      <c r="D358" s="17">
        <f>VAR(B355:B377)</f>
        <v>4.3478260869565216E-2</v>
      </c>
      <c r="U358" s="26" t="s">
        <v>117</v>
      </c>
      <c r="V358">
        <v>1</v>
      </c>
      <c r="W358" s="17"/>
      <c r="X358" s="1"/>
      <c r="Z358" s="61" t="s">
        <v>90</v>
      </c>
      <c r="AA358" s="62">
        <v>0</v>
      </c>
      <c r="AB358" s="63" t="s">
        <v>389</v>
      </c>
      <c r="AC358" s="58">
        <f>MAX(AA356:AA395)</f>
        <v>2</v>
      </c>
      <c r="AO358" s="5" t="s">
        <v>155</v>
      </c>
      <c r="AP358">
        <v>0</v>
      </c>
      <c r="AQ358" s="17"/>
      <c r="AR358" s="17"/>
      <c r="AT358" s="5" t="s">
        <v>177</v>
      </c>
      <c r="AU358">
        <v>4</v>
      </c>
      <c r="AV358" s="30" t="s">
        <v>389</v>
      </c>
      <c r="AW358" s="17">
        <f>MAX(AU356:AU373)</f>
        <v>9</v>
      </c>
      <c r="AY358" s="5" t="s">
        <v>205</v>
      </c>
      <c r="AZ358">
        <v>0</v>
      </c>
      <c r="BA358" s="17"/>
      <c r="BB358" s="17"/>
      <c r="BD358" s="5" t="s">
        <v>227</v>
      </c>
      <c r="BE358">
        <v>1</v>
      </c>
      <c r="BF358" s="17"/>
      <c r="BG358" s="17"/>
      <c r="BI358" s="5" t="s">
        <v>258</v>
      </c>
      <c r="BJ358">
        <v>0</v>
      </c>
      <c r="BK358" s="17"/>
      <c r="BL358" s="17"/>
      <c r="BN358" s="5" t="s">
        <v>288</v>
      </c>
      <c r="BO358">
        <v>0</v>
      </c>
      <c r="BP358" s="17"/>
      <c r="BQ358" s="17"/>
      <c r="BX358" s="61" t="s">
        <v>280</v>
      </c>
      <c r="BY358" s="62">
        <v>0</v>
      </c>
      <c r="BZ358" s="58"/>
      <c r="CA358" s="58"/>
      <c r="CC358" s="5" t="s">
        <v>302</v>
      </c>
      <c r="CD358">
        <v>0</v>
      </c>
      <c r="CE358" s="30" t="s">
        <v>390</v>
      </c>
      <c r="CF358" s="17">
        <f>VAR(CD355:CD377)</f>
        <v>0.11857707509881422</v>
      </c>
      <c r="CR358" s="5" t="s">
        <v>353</v>
      </c>
      <c r="CS358">
        <v>0</v>
      </c>
      <c r="CW358" s="61" t="s">
        <v>323</v>
      </c>
      <c r="CX358" s="62">
        <v>0</v>
      </c>
      <c r="CY358" s="63" t="s">
        <v>389</v>
      </c>
      <c r="CZ358" s="58">
        <f>MAX(CX356:CX395)</f>
        <v>1</v>
      </c>
    </row>
    <row r="359" spans="1:104" x14ac:dyDescent="0.25">
      <c r="A359" s="5" t="s">
        <v>44</v>
      </c>
      <c r="B359" s="27">
        <v>0</v>
      </c>
      <c r="C359" s="30" t="s">
        <v>391</v>
      </c>
      <c r="D359" s="17">
        <f>AVERAGE(B355:B377)</f>
        <v>4.3478260869565216E-2</v>
      </c>
      <c r="U359" s="26" t="s">
        <v>118</v>
      </c>
      <c r="V359">
        <v>0</v>
      </c>
      <c r="W359" s="17"/>
      <c r="X359" s="1"/>
      <c r="Z359" s="61" t="s">
        <v>91</v>
      </c>
      <c r="AA359" s="62">
        <v>0</v>
      </c>
      <c r="AB359" s="63" t="s">
        <v>390</v>
      </c>
      <c r="AC359" s="58">
        <f>VAR(AA356:AA395)</f>
        <v>0.12243589743589745</v>
      </c>
      <c r="AO359" s="5" t="s">
        <v>156</v>
      </c>
      <c r="AP359">
        <v>0</v>
      </c>
      <c r="AQ359" s="17"/>
      <c r="AR359" s="17"/>
      <c r="AT359" s="5" t="s">
        <v>178</v>
      </c>
      <c r="AU359">
        <v>2</v>
      </c>
      <c r="AV359" s="30" t="s">
        <v>390</v>
      </c>
      <c r="AW359" s="17">
        <f>VAR(AU356:AU373)</f>
        <v>4.9967320261437917</v>
      </c>
      <c r="AY359" s="5" t="s">
        <v>206</v>
      </c>
      <c r="AZ359">
        <v>0</v>
      </c>
      <c r="BA359" s="17"/>
      <c r="BB359" s="17"/>
      <c r="BD359" s="5" t="s">
        <v>228</v>
      </c>
      <c r="BE359">
        <v>0</v>
      </c>
      <c r="BF359" s="17"/>
      <c r="BG359" s="17"/>
      <c r="BI359" s="5" t="s">
        <v>259</v>
      </c>
      <c r="BJ359">
        <v>0</v>
      </c>
      <c r="BK359" s="17"/>
      <c r="BL359" s="17"/>
      <c r="BN359" s="5" t="s">
        <v>289</v>
      </c>
      <c r="BO359">
        <v>0</v>
      </c>
      <c r="BP359" s="17"/>
      <c r="BQ359" s="17"/>
      <c r="BX359" s="61" t="s">
        <v>281</v>
      </c>
      <c r="BY359" s="62">
        <v>0</v>
      </c>
      <c r="BZ359" s="58"/>
      <c r="CA359" s="58"/>
      <c r="CC359" s="5" t="s">
        <v>303</v>
      </c>
      <c r="CD359">
        <v>0</v>
      </c>
      <c r="CE359" s="30" t="s">
        <v>391</v>
      </c>
      <c r="CF359" s="17">
        <f>AVERAGE(CD355:CD377)</f>
        <v>0.13043478260869565</v>
      </c>
      <c r="CR359" s="5" t="s">
        <v>354</v>
      </c>
      <c r="CS359">
        <v>0</v>
      </c>
      <c r="CW359" s="61" t="s">
        <v>324</v>
      </c>
      <c r="CX359" s="62">
        <v>0</v>
      </c>
      <c r="CY359" s="63" t="s">
        <v>390</v>
      </c>
      <c r="CZ359" s="58">
        <f>VAR(CX356:CX395)</f>
        <v>0.11217948717948718</v>
      </c>
    </row>
    <row r="360" spans="1:104" x14ac:dyDescent="0.25">
      <c r="A360" s="5" t="s">
        <v>45</v>
      </c>
      <c r="B360" s="27">
        <v>0</v>
      </c>
      <c r="C360" s="30" t="s">
        <v>392</v>
      </c>
      <c r="D360" s="17">
        <f>STDEV(B355:B377)</f>
        <v>0.20851441405707477</v>
      </c>
      <c r="U360" s="26" t="s">
        <v>119</v>
      </c>
      <c r="V360">
        <v>1</v>
      </c>
      <c r="Z360" s="61" t="s">
        <v>92</v>
      </c>
      <c r="AA360" s="62">
        <v>1</v>
      </c>
      <c r="AB360" s="63" t="s">
        <v>391</v>
      </c>
      <c r="AC360" s="58">
        <f>AVERAGE(AA356:AA395)</f>
        <v>7.4999999999999997E-2</v>
      </c>
      <c r="AO360" s="5" t="s">
        <v>157</v>
      </c>
      <c r="AP360">
        <v>0</v>
      </c>
      <c r="AQ360" s="17"/>
      <c r="AR360" s="17"/>
      <c r="AT360" s="5" t="s">
        <v>179</v>
      </c>
      <c r="AU360">
        <v>2</v>
      </c>
      <c r="AV360" s="30" t="s">
        <v>391</v>
      </c>
      <c r="AW360" s="17">
        <f>AVERAGE(AU356:AU373)</f>
        <v>2.9444444444444446</v>
      </c>
      <c r="AY360" s="5" t="s">
        <v>207</v>
      </c>
      <c r="AZ360">
        <v>0</v>
      </c>
      <c r="BA360" s="17"/>
      <c r="BB360" s="17"/>
      <c r="BD360" s="5" t="s">
        <v>229</v>
      </c>
      <c r="BE360">
        <v>0</v>
      </c>
      <c r="BF360" s="17"/>
      <c r="BG360" s="17"/>
      <c r="BI360" s="5" t="s">
        <v>260</v>
      </c>
      <c r="BJ360">
        <v>0</v>
      </c>
      <c r="BK360" s="17"/>
      <c r="BL360" s="17"/>
      <c r="BX360" s="61" t="s">
        <v>282</v>
      </c>
      <c r="BY360" s="62">
        <v>1</v>
      </c>
      <c r="BZ360" s="58"/>
      <c r="CA360" s="58"/>
      <c r="CC360" s="5" t="s">
        <v>304</v>
      </c>
      <c r="CD360">
        <v>0</v>
      </c>
      <c r="CE360" s="30" t="s">
        <v>392</v>
      </c>
      <c r="CF360" s="17">
        <f>STDEV(CD355:CD377)</f>
        <v>0.34435022157509093</v>
      </c>
      <c r="CR360" s="5" t="s">
        <v>355</v>
      </c>
      <c r="CS360">
        <v>0</v>
      </c>
      <c r="CW360" s="61" t="s">
        <v>325</v>
      </c>
      <c r="CX360" s="62">
        <v>0</v>
      </c>
      <c r="CY360" s="63" t="s">
        <v>391</v>
      </c>
      <c r="CZ360" s="58">
        <f>AVERAGE(CX356:CX395)</f>
        <v>0.125</v>
      </c>
    </row>
    <row r="361" spans="1:104" x14ac:dyDescent="0.25">
      <c r="A361" s="5" t="s">
        <v>47</v>
      </c>
      <c r="B361" s="27">
        <v>0</v>
      </c>
      <c r="C361" s="17"/>
      <c r="D361" s="17"/>
      <c r="U361" s="5" t="s">
        <v>120</v>
      </c>
      <c r="V361">
        <v>0</v>
      </c>
      <c r="Z361" s="61" t="s">
        <v>93</v>
      </c>
      <c r="AA361" s="62">
        <v>0</v>
      </c>
      <c r="AB361" s="63" t="s">
        <v>392</v>
      </c>
      <c r="AC361" s="58">
        <f>STDEV(AA356:AA395)</f>
        <v>0.34990841292529312</v>
      </c>
      <c r="AO361" s="5" t="s">
        <v>158</v>
      </c>
      <c r="AP361">
        <v>0</v>
      </c>
      <c r="AQ361" s="17"/>
      <c r="AR361" s="17"/>
      <c r="AT361" s="5" t="s">
        <v>180</v>
      </c>
      <c r="AU361">
        <v>3</v>
      </c>
      <c r="AV361" s="30" t="s">
        <v>392</v>
      </c>
      <c r="AW361" s="17">
        <f>STDEV(AU356:AU373)</f>
        <v>2.2353371168894842</v>
      </c>
      <c r="AY361" s="5" t="s">
        <v>208</v>
      </c>
      <c r="AZ361">
        <v>0</v>
      </c>
      <c r="BA361" s="15"/>
      <c r="BB361" s="15"/>
      <c r="BD361" s="5" t="s">
        <v>230</v>
      </c>
      <c r="BE361">
        <v>0</v>
      </c>
      <c r="BF361" s="17"/>
      <c r="BG361" s="17"/>
      <c r="BI361" s="5" t="s">
        <v>261</v>
      </c>
      <c r="BJ361">
        <v>0</v>
      </c>
      <c r="BK361" s="15"/>
      <c r="BL361" s="15"/>
      <c r="BN361" s="17" t="s">
        <v>382</v>
      </c>
      <c r="BO361" s="29" t="s">
        <v>440</v>
      </c>
      <c r="BP361" s="17"/>
      <c r="BQ361" s="17">
        <v>2016</v>
      </c>
      <c r="BX361" s="61" t="s">
        <v>283</v>
      </c>
      <c r="BY361" s="62">
        <v>0</v>
      </c>
      <c r="BZ361" s="58"/>
      <c r="CA361" s="58"/>
      <c r="CC361" s="5" t="s">
        <v>305</v>
      </c>
      <c r="CD361">
        <v>1</v>
      </c>
      <c r="CE361" s="17"/>
      <c r="CF361" s="17"/>
      <c r="CR361" s="2" t="s">
        <v>356</v>
      </c>
      <c r="CS361">
        <v>0</v>
      </c>
      <c r="CW361" s="61" t="s">
        <v>326</v>
      </c>
      <c r="CX361" s="62">
        <v>0</v>
      </c>
      <c r="CY361" s="63" t="s">
        <v>392</v>
      </c>
      <c r="CZ361" s="58">
        <f>STDEV(CX356:CX395)</f>
        <v>0.33493206352854182</v>
      </c>
    </row>
    <row r="362" spans="1:104" x14ac:dyDescent="0.25">
      <c r="A362" s="5" t="s">
        <v>48</v>
      </c>
      <c r="B362" s="27">
        <v>0</v>
      </c>
      <c r="C362" s="17"/>
      <c r="D362" s="17"/>
      <c r="U362" s="5" t="s">
        <v>121</v>
      </c>
      <c r="V362">
        <v>1</v>
      </c>
      <c r="Z362" s="61" t="s">
        <v>94</v>
      </c>
      <c r="AA362" s="62">
        <v>0</v>
      </c>
      <c r="AB362" s="58"/>
      <c r="AC362" s="58"/>
      <c r="AO362" s="5" t="s">
        <v>159</v>
      </c>
      <c r="AP362">
        <v>0</v>
      </c>
      <c r="AQ362" s="17"/>
      <c r="AR362" s="17"/>
      <c r="AT362" s="5" t="s">
        <v>181</v>
      </c>
      <c r="AU362">
        <v>4</v>
      </c>
      <c r="AV362" s="17"/>
      <c r="AW362" s="17"/>
      <c r="AY362" s="5" t="s">
        <v>209</v>
      </c>
      <c r="AZ362">
        <v>0</v>
      </c>
      <c r="BD362" s="5" t="s">
        <v>231</v>
      </c>
      <c r="BE362">
        <v>0</v>
      </c>
      <c r="BF362" s="17"/>
      <c r="BG362" s="17"/>
      <c r="BI362" s="5" t="s">
        <v>262</v>
      </c>
      <c r="BJ362">
        <v>0</v>
      </c>
      <c r="BN362" s="17" t="s">
        <v>383</v>
      </c>
      <c r="BO362" s="6" t="s">
        <v>32</v>
      </c>
      <c r="BP362" s="17"/>
      <c r="BQ362" s="17"/>
      <c r="BX362" s="61" t="s">
        <v>285</v>
      </c>
      <c r="BY362" s="62">
        <v>1</v>
      </c>
      <c r="BZ362" s="58"/>
      <c r="CA362" s="58"/>
      <c r="CC362" s="5" t="s">
        <v>306</v>
      </c>
      <c r="CD362">
        <v>0</v>
      </c>
      <c r="CE362" s="17"/>
      <c r="CF362" s="17"/>
      <c r="CR362" s="2" t="s">
        <v>357</v>
      </c>
      <c r="CS362">
        <v>0</v>
      </c>
      <c r="CW362" s="61" t="s">
        <v>327</v>
      </c>
      <c r="CX362" s="62">
        <v>0</v>
      </c>
      <c r="CY362" s="58"/>
      <c r="CZ362" s="58"/>
    </row>
    <row r="363" spans="1:104" x14ac:dyDescent="0.25">
      <c r="A363" s="5" t="s">
        <v>49</v>
      </c>
      <c r="B363" s="27">
        <v>0</v>
      </c>
      <c r="C363" s="17"/>
      <c r="D363" s="17"/>
      <c r="U363" s="5" t="s">
        <v>122</v>
      </c>
      <c r="V363">
        <v>0</v>
      </c>
      <c r="Z363" s="61" t="s">
        <v>96</v>
      </c>
      <c r="AA363" s="62">
        <v>0</v>
      </c>
      <c r="AO363" s="5" t="s">
        <v>100</v>
      </c>
      <c r="AP363">
        <v>0</v>
      </c>
      <c r="AQ363" s="17"/>
      <c r="AR363" s="17"/>
      <c r="AT363" s="5" t="s">
        <v>182</v>
      </c>
      <c r="AU363">
        <v>1</v>
      </c>
      <c r="AV363" s="17"/>
      <c r="AW363" s="17"/>
      <c r="AY363" s="5" t="s">
        <v>210</v>
      </c>
      <c r="AZ363">
        <v>1</v>
      </c>
      <c r="BD363" s="5" t="s">
        <v>232</v>
      </c>
      <c r="BE363">
        <v>0</v>
      </c>
      <c r="BF363" s="17"/>
      <c r="BG363" s="17"/>
      <c r="BI363" s="5" t="s">
        <v>263</v>
      </c>
      <c r="BJ363">
        <v>0</v>
      </c>
      <c r="BN363" s="17" t="s">
        <v>384</v>
      </c>
      <c r="BO363" s="17" t="s">
        <v>39</v>
      </c>
      <c r="BP363" s="17" t="s">
        <v>385</v>
      </c>
      <c r="BQ363" s="17" t="s">
        <v>386</v>
      </c>
      <c r="BX363" s="61" t="s">
        <v>284</v>
      </c>
      <c r="BY363" s="62">
        <v>1</v>
      </c>
      <c r="BZ363" s="58"/>
      <c r="CA363" s="58"/>
      <c r="CC363" s="5" t="s">
        <v>93</v>
      </c>
      <c r="CD363">
        <v>0</v>
      </c>
      <c r="CE363" s="17"/>
      <c r="CF363" s="17"/>
      <c r="CR363" s="2" t="s">
        <v>358</v>
      </c>
      <c r="CS363">
        <v>0</v>
      </c>
      <c r="CW363" s="61" t="s">
        <v>328</v>
      </c>
      <c r="CX363" s="62">
        <v>1</v>
      </c>
    </row>
    <row r="364" spans="1:104" x14ac:dyDescent="0.25">
      <c r="A364" s="5" t="s">
        <v>50</v>
      </c>
      <c r="B364" s="27">
        <v>0</v>
      </c>
      <c r="C364" s="17"/>
      <c r="D364" s="17"/>
      <c r="U364" s="5" t="s">
        <v>123</v>
      </c>
      <c r="V364">
        <v>0</v>
      </c>
      <c r="Z364" s="61" t="s">
        <v>97</v>
      </c>
      <c r="AA364" s="62">
        <v>0</v>
      </c>
      <c r="AO364" s="5" t="s">
        <v>161</v>
      </c>
      <c r="AP364">
        <v>0</v>
      </c>
      <c r="AQ364" s="17"/>
      <c r="AR364" s="17"/>
      <c r="AT364" s="5" t="s">
        <v>183</v>
      </c>
      <c r="AU364">
        <v>9</v>
      </c>
      <c r="AV364" s="17"/>
      <c r="AW364" s="17"/>
      <c r="AY364" s="5" t="s">
        <v>211</v>
      </c>
      <c r="AZ364">
        <v>0</v>
      </c>
      <c r="BD364" s="5" t="s">
        <v>233</v>
      </c>
      <c r="BE364">
        <v>0</v>
      </c>
      <c r="BF364" s="17"/>
      <c r="BG364" s="17"/>
      <c r="BI364" s="5" t="s">
        <v>264</v>
      </c>
      <c r="BJ364">
        <v>0</v>
      </c>
      <c r="BN364" s="5" t="s">
        <v>274</v>
      </c>
      <c r="BO364">
        <v>13</v>
      </c>
      <c r="BP364" s="30" t="s">
        <v>387</v>
      </c>
      <c r="BQ364" s="17">
        <f>SUM(BO364:BO379)</f>
        <v>333</v>
      </c>
      <c r="BX364" s="61" t="s">
        <v>286</v>
      </c>
      <c r="BY364" s="62">
        <v>2</v>
      </c>
      <c r="BZ364" s="58"/>
      <c r="CA364" s="58"/>
      <c r="CC364" s="5" t="s">
        <v>307</v>
      </c>
      <c r="CD364">
        <v>0</v>
      </c>
      <c r="CE364" s="17"/>
      <c r="CF364" s="17"/>
      <c r="CR364" s="3" t="s">
        <v>359</v>
      </c>
      <c r="CS364">
        <v>0</v>
      </c>
      <c r="CW364" s="61" t="s">
        <v>329</v>
      </c>
      <c r="CX364" s="62">
        <v>0</v>
      </c>
    </row>
    <row r="365" spans="1:104" x14ac:dyDescent="0.25">
      <c r="A365" s="5" t="s">
        <v>51</v>
      </c>
      <c r="B365" s="27">
        <v>0</v>
      </c>
      <c r="C365" s="17"/>
      <c r="D365" s="17"/>
      <c r="U365" s="5" t="s">
        <v>124</v>
      </c>
      <c r="V365">
        <v>1</v>
      </c>
      <c r="Z365" s="61" t="s">
        <v>98</v>
      </c>
      <c r="AA365" s="62">
        <v>0</v>
      </c>
      <c r="AO365" s="5" t="s">
        <v>162</v>
      </c>
      <c r="AP365">
        <v>0</v>
      </c>
      <c r="AQ365" s="17"/>
      <c r="AR365" s="17"/>
      <c r="AT365" s="5" t="s">
        <v>184</v>
      </c>
      <c r="AU365">
        <v>3</v>
      </c>
      <c r="AV365" s="17"/>
      <c r="AW365" s="17"/>
      <c r="AY365" s="5" t="s">
        <v>212</v>
      </c>
      <c r="AZ365">
        <v>0</v>
      </c>
      <c r="BD365" s="5" t="s">
        <v>234</v>
      </c>
      <c r="BE365">
        <v>0</v>
      </c>
      <c r="BF365" s="17"/>
      <c r="BG365" s="17"/>
      <c r="BI365" s="5" t="s">
        <v>265</v>
      </c>
      <c r="BJ365">
        <v>0</v>
      </c>
      <c r="BN365" s="5" t="s">
        <v>275</v>
      </c>
      <c r="BO365">
        <v>8</v>
      </c>
      <c r="BP365" s="30" t="s">
        <v>388</v>
      </c>
      <c r="BQ365" s="17">
        <f>MIN(BO364:BO379)</f>
        <v>8</v>
      </c>
      <c r="BX365" s="61" t="s">
        <v>287</v>
      </c>
      <c r="BY365" s="62">
        <v>0</v>
      </c>
      <c r="BZ365" s="58"/>
      <c r="CA365" s="58"/>
      <c r="CC365" s="5" t="s">
        <v>308</v>
      </c>
      <c r="CD365">
        <v>0</v>
      </c>
      <c r="CE365" s="17"/>
      <c r="CF365" s="17"/>
      <c r="CW365" s="61" t="s">
        <v>330</v>
      </c>
      <c r="CX365" s="62">
        <v>0</v>
      </c>
    </row>
    <row r="366" spans="1:104" x14ac:dyDescent="0.25">
      <c r="A366" s="5" t="s">
        <v>52</v>
      </c>
      <c r="B366" s="27">
        <v>0</v>
      </c>
      <c r="C366" s="17"/>
      <c r="D366" s="17"/>
      <c r="U366" s="5" t="s">
        <v>125</v>
      </c>
      <c r="V366">
        <v>0</v>
      </c>
      <c r="Z366" s="61" t="s">
        <v>99</v>
      </c>
      <c r="AA366" s="62">
        <v>0</v>
      </c>
      <c r="AO366" s="5" t="s">
        <v>163</v>
      </c>
      <c r="AP366">
        <v>0</v>
      </c>
      <c r="AQ366" s="17"/>
      <c r="AR366" s="17"/>
      <c r="AT366" s="5" t="s">
        <v>185</v>
      </c>
      <c r="AU366">
        <v>5</v>
      </c>
      <c r="AV366" s="17"/>
      <c r="AW366" s="17"/>
      <c r="AY366" s="5" t="s">
        <v>213</v>
      </c>
      <c r="AZ366">
        <v>0</v>
      </c>
      <c r="BD366" s="5" t="s">
        <v>157</v>
      </c>
      <c r="BE366">
        <v>0</v>
      </c>
      <c r="BF366" s="17"/>
      <c r="BG366" s="17"/>
      <c r="BI366" s="5" t="s">
        <v>266</v>
      </c>
      <c r="BJ366">
        <v>0</v>
      </c>
      <c r="BN366" s="5" t="s">
        <v>276</v>
      </c>
      <c r="BO366">
        <v>12</v>
      </c>
      <c r="BP366" s="30" t="s">
        <v>389</v>
      </c>
      <c r="BQ366" s="17">
        <f>MAX(BO364:BO379)</f>
        <v>32</v>
      </c>
      <c r="BX366" s="61" t="s">
        <v>288</v>
      </c>
      <c r="BY366" s="62">
        <v>0</v>
      </c>
      <c r="BZ366" s="58"/>
      <c r="CA366" s="58"/>
      <c r="CC366" s="5" t="s">
        <v>309</v>
      </c>
      <c r="CD366">
        <v>0</v>
      </c>
      <c r="CE366" s="17"/>
      <c r="CF366" s="17"/>
      <c r="CW366" s="61" t="s">
        <v>331</v>
      </c>
      <c r="CX366" s="62">
        <v>1</v>
      </c>
    </row>
    <row r="367" spans="1:104" x14ac:dyDescent="0.25">
      <c r="A367" s="5" t="s">
        <v>53</v>
      </c>
      <c r="B367" s="27">
        <v>0</v>
      </c>
      <c r="C367" s="17"/>
      <c r="D367" s="17"/>
      <c r="U367" s="5" t="s">
        <v>126</v>
      </c>
      <c r="V367">
        <v>0</v>
      </c>
      <c r="Z367" s="61" t="s">
        <v>100</v>
      </c>
      <c r="AA367" s="62">
        <v>0</v>
      </c>
      <c r="AO367" s="5" t="s">
        <v>164</v>
      </c>
      <c r="AP367">
        <v>0</v>
      </c>
      <c r="AQ367" s="17"/>
      <c r="AR367" s="17"/>
      <c r="AT367" s="5" t="s">
        <v>186</v>
      </c>
      <c r="AU367">
        <v>3</v>
      </c>
      <c r="AV367" s="17"/>
      <c r="AW367" s="17"/>
      <c r="AY367" s="5" t="s">
        <v>214</v>
      </c>
      <c r="AZ367">
        <v>0</v>
      </c>
      <c r="BD367" s="5" t="s">
        <v>235</v>
      </c>
      <c r="BE367">
        <v>0</v>
      </c>
      <c r="BF367" s="17"/>
      <c r="BG367" s="17"/>
      <c r="BI367" s="5" t="s">
        <v>267</v>
      </c>
      <c r="BJ367">
        <v>0</v>
      </c>
      <c r="BN367" s="5" t="s">
        <v>277</v>
      </c>
      <c r="BO367">
        <v>27</v>
      </c>
      <c r="BP367" s="30" t="s">
        <v>390</v>
      </c>
      <c r="BQ367" s="17">
        <f>VAR(BO364:BO379)</f>
        <v>55.62916666666667</v>
      </c>
      <c r="BX367" s="61" t="s">
        <v>289</v>
      </c>
      <c r="BY367" s="62">
        <v>1</v>
      </c>
      <c r="BZ367" s="58"/>
      <c r="CA367" s="58"/>
      <c r="CC367" s="5" t="s">
        <v>310</v>
      </c>
      <c r="CD367">
        <v>0</v>
      </c>
      <c r="CE367" s="17"/>
      <c r="CF367" s="17"/>
      <c r="CW367" s="61" t="s">
        <v>332</v>
      </c>
      <c r="CX367" s="62">
        <v>0</v>
      </c>
    </row>
    <row r="368" spans="1:104" x14ac:dyDescent="0.25">
      <c r="A368" s="5" t="s">
        <v>54</v>
      </c>
      <c r="B368" s="27">
        <v>0</v>
      </c>
      <c r="C368" s="17"/>
      <c r="D368" s="17"/>
      <c r="U368" s="5" t="s">
        <v>127</v>
      </c>
      <c r="V368">
        <v>0</v>
      </c>
      <c r="Z368" s="61" t="s">
        <v>101</v>
      </c>
      <c r="AA368" s="62">
        <v>0</v>
      </c>
      <c r="AO368" s="5" t="s">
        <v>165</v>
      </c>
      <c r="AP368">
        <v>0</v>
      </c>
      <c r="AQ368" s="17"/>
      <c r="AR368" s="17"/>
      <c r="AT368" s="5" t="s">
        <v>187</v>
      </c>
      <c r="AU368">
        <v>2</v>
      </c>
      <c r="AV368" s="17"/>
      <c r="AW368" s="17"/>
      <c r="AY368" s="5" t="s">
        <v>215</v>
      </c>
      <c r="AZ368">
        <v>0</v>
      </c>
      <c r="BD368" s="5" t="s">
        <v>236</v>
      </c>
      <c r="BE368">
        <v>0</v>
      </c>
      <c r="BF368" s="17"/>
      <c r="BG368" s="17"/>
      <c r="BI368" s="5" t="s">
        <v>268</v>
      </c>
      <c r="BJ368">
        <v>0</v>
      </c>
      <c r="BN368" s="5" t="s">
        <v>279</v>
      </c>
      <c r="BO368">
        <v>32</v>
      </c>
      <c r="BP368" s="30" t="s">
        <v>391</v>
      </c>
      <c r="BQ368" s="17">
        <f>AVERAGE(BO364:BO379)</f>
        <v>20.8125</v>
      </c>
      <c r="BX368" s="61" t="s">
        <v>290</v>
      </c>
      <c r="BY368" s="62">
        <v>0</v>
      </c>
      <c r="CC368" s="5" t="s">
        <v>311</v>
      </c>
      <c r="CD368">
        <v>0</v>
      </c>
      <c r="CE368" s="17"/>
      <c r="CF368" s="17"/>
      <c r="CW368" s="61" t="s">
        <v>333</v>
      </c>
      <c r="CX368" s="62">
        <v>0</v>
      </c>
    </row>
    <row r="369" spans="1:102" x14ac:dyDescent="0.25">
      <c r="A369" s="5" t="s">
        <v>55</v>
      </c>
      <c r="B369" s="27">
        <v>0</v>
      </c>
      <c r="C369" s="17"/>
      <c r="D369" s="17"/>
      <c r="U369" s="5" t="s">
        <v>128</v>
      </c>
      <c r="V369">
        <v>0</v>
      </c>
      <c r="Z369" s="61" t="s">
        <v>103</v>
      </c>
      <c r="AA369" s="62">
        <v>0</v>
      </c>
      <c r="AO369" s="5" t="s">
        <v>166</v>
      </c>
      <c r="AP369">
        <v>0</v>
      </c>
      <c r="AQ369" s="15"/>
      <c r="AR369" s="15"/>
      <c r="AT369" s="5" t="s">
        <v>188</v>
      </c>
      <c r="AU369">
        <v>7</v>
      </c>
      <c r="AV369" s="17"/>
      <c r="AW369" s="17"/>
      <c r="AY369" s="5" t="s">
        <v>216</v>
      </c>
      <c r="AZ369">
        <v>0</v>
      </c>
      <c r="BD369" s="5" t="s">
        <v>237</v>
      </c>
      <c r="BE369">
        <v>0</v>
      </c>
      <c r="BF369" s="15"/>
      <c r="BG369" s="15"/>
      <c r="BI369" s="5" t="s">
        <v>269</v>
      </c>
      <c r="BJ369">
        <v>0</v>
      </c>
      <c r="BN369" s="5" t="s">
        <v>278</v>
      </c>
      <c r="BO369">
        <v>16</v>
      </c>
      <c r="BP369" s="30" t="s">
        <v>392</v>
      </c>
      <c r="BQ369" s="17">
        <f>STDEV(BO364:BO379)</f>
        <v>7.4584962738253529</v>
      </c>
      <c r="BX369" s="61" t="s">
        <v>291</v>
      </c>
      <c r="BY369" s="62">
        <v>0</v>
      </c>
      <c r="CC369" s="5" t="s">
        <v>312</v>
      </c>
      <c r="CD369">
        <v>0</v>
      </c>
      <c r="CE369" s="17"/>
      <c r="CF369" s="17"/>
      <c r="CW369" s="61" t="s">
        <v>334</v>
      </c>
      <c r="CX369" s="62">
        <v>0</v>
      </c>
    </row>
    <row r="370" spans="1:102" x14ac:dyDescent="0.25">
      <c r="A370" s="5" t="s">
        <v>56</v>
      </c>
      <c r="B370" s="27">
        <v>0</v>
      </c>
      <c r="C370" s="17"/>
      <c r="D370" s="17"/>
      <c r="Z370" s="61" t="s">
        <v>104</v>
      </c>
      <c r="AA370" s="62">
        <v>0</v>
      </c>
      <c r="AO370" s="5" t="s">
        <v>168</v>
      </c>
      <c r="AP370">
        <v>0</v>
      </c>
      <c r="AQ370" s="17"/>
      <c r="AR370" s="17"/>
      <c r="AT370" s="5" t="s">
        <v>395</v>
      </c>
      <c r="AU370">
        <v>2</v>
      </c>
      <c r="AV370" s="17"/>
      <c r="AW370" s="17"/>
      <c r="AY370" s="5" t="s">
        <v>217</v>
      </c>
      <c r="AZ370">
        <v>0</v>
      </c>
      <c r="BD370" s="5" t="s">
        <v>238</v>
      </c>
      <c r="BE370">
        <v>0</v>
      </c>
      <c r="BI370" s="5" t="s">
        <v>270</v>
      </c>
      <c r="BJ370">
        <v>0</v>
      </c>
      <c r="BN370" s="5" t="s">
        <v>280</v>
      </c>
      <c r="BO370">
        <v>27</v>
      </c>
      <c r="BP370" s="17"/>
      <c r="BQ370" s="17"/>
      <c r="BX370" s="61" t="s">
        <v>292</v>
      </c>
      <c r="BY370" s="62">
        <v>1</v>
      </c>
      <c r="CC370" s="5" t="s">
        <v>313</v>
      </c>
      <c r="CD370">
        <v>1</v>
      </c>
      <c r="CE370" s="17"/>
      <c r="CF370" s="17"/>
      <c r="CW370" s="61" t="s">
        <v>335</v>
      </c>
      <c r="CX370" s="62">
        <v>0</v>
      </c>
    </row>
    <row r="371" spans="1:102" x14ac:dyDescent="0.25">
      <c r="A371" s="5" t="s">
        <v>57</v>
      </c>
      <c r="B371" s="27">
        <v>1</v>
      </c>
      <c r="C371" s="17"/>
      <c r="D371" s="17"/>
      <c r="U371" s="17" t="s">
        <v>382</v>
      </c>
      <c r="V371" s="29" t="s">
        <v>400</v>
      </c>
      <c r="W371" s="17"/>
      <c r="X371" s="17">
        <v>2016</v>
      </c>
      <c r="Z371" s="61" t="s">
        <v>105</v>
      </c>
      <c r="AA371" s="62">
        <v>0</v>
      </c>
      <c r="AO371" s="5" t="s">
        <v>169</v>
      </c>
      <c r="AP371">
        <v>0</v>
      </c>
      <c r="AQ371" s="17"/>
      <c r="AR371" s="17"/>
      <c r="AT371" s="5" t="s">
        <v>189</v>
      </c>
      <c r="AU371">
        <v>2</v>
      </c>
      <c r="AV371" s="17"/>
      <c r="AW371" s="17"/>
      <c r="AY371" s="5" t="s">
        <v>218</v>
      </c>
      <c r="AZ371">
        <v>0</v>
      </c>
      <c r="BD371" s="5" t="s">
        <v>239</v>
      </c>
      <c r="BE371">
        <v>0</v>
      </c>
      <c r="BI371" s="5" t="s">
        <v>271</v>
      </c>
      <c r="BJ371">
        <v>0</v>
      </c>
      <c r="BN371" s="5" t="s">
        <v>281</v>
      </c>
      <c r="BO371">
        <v>11</v>
      </c>
      <c r="BP371" s="17"/>
      <c r="BQ371" s="17"/>
      <c r="BX371" s="61" t="s">
        <v>293</v>
      </c>
      <c r="BY371" s="62">
        <v>0</v>
      </c>
      <c r="CC371" s="5" t="s">
        <v>314</v>
      </c>
      <c r="CD371">
        <v>0</v>
      </c>
      <c r="CM371" s="17" t="s">
        <v>382</v>
      </c>
      <c r="CN371" s="29" t="s">
        <v>442</v>
      </c>
      <c r="CO371" s="17"/>
      <c r="CP371" s="17">
        <v>2016</v>
      </c>
      <c r="CR371" s="17" t="s">
        <v>382</v>
      </c>
      <c r="CS371" s="29" t="s">
        <v>442</v>
      </c>
      <c r="CT371" s="17"/>
      <c r="CU371" s="17">
        <v>2016</v>
      </c>
      <c r="CW371" s="61" t="s">
        <v>43</v>
      </c>
      <c r="CX371" s="62">
        <v>0</v>
      </c>
    </row>
    <row r="372" spans="1:102" x14ac:dyDescent="0.25">
      <c r="A372" s="5" t="s">
        <v>58</v>
      </c>
      <c r="B372" s="27">
        <v>0</v>
      </c>
      <c r="C372" s="15"/>
      <c r="D372" s="15"/>
      <c r="U372" s="17" t="s">
        <v>383</v>
      </c>
      <c r="V372" s="6" t="s">
        <v>19</v>
      </c>
      <c r="W372" s="17"/>
      <c r="X372" s="17"/>
      <c r="Z372" s="61" t="s">
        <v>106</v>
      </c>
      <c r="AA372" s="62">
        <v>0</v>
      </c>
      <c r="AO372" s="5" t="s">
        <v>170</v>
      </c>
      <c r="AP372">
        <v>0</v>
      </c>
      <c r="AQ372" s="17"/>
      <c r="AR372" s="1"/>
      <c r="AT372" s="5" t="s">
        <v>190</v>
      </c>
      <c r="AU372">
        <v>1</v>
      </c>
      <c r="AV372" s="17"/>
      <c r="AW372" s="17"/>
      <c r="AY372" s="5" t="s">
        <v>219</v>
      </c>
      <c r="AZ372">
        <v>0</v>
      </c>
      <c r="BD372" s="5" t="s">
        <v>240</v>
      </c>
      <c r="BE372">
        <v>0</v>
      </c>
      <c r="BI372" s="5" t="s">
        <v>272</v>
      </c>
      <c r="BJ372">
        <v>2</v>
      </c>
      <c r="BN372" s="5" t="s">
        <v>282</v>
      </c>
      <c r="BO372">
        <v>19</v>
      </c>
      <c r="BP372" s="17"/>
      <c r="BQ372" s="17"/>
      <c r="BX372" s="61" t="s">
        <v>294</v>
      </c>
      <c r="BY372" s="62">
        <v>0</v>
      </c>
      <c r="CC372" s="5" t="s">
        <v>315</v>
      </c>
      <c r="CD372">
        <v>0</v>
      </c>
      <c r="CM372" s="17" t="s">
        <v>383</v>
      </c>
      <c r="CN372" s="6" t="s">
        <v>23</v>
      </c>
      <c r="CO372" s="15"/>
      <c r="CP372" s="17"/>
      <c r="CR372" s="17" t="s">
        <v>383</v>
      </c>
      <c r="CS372" s="6" t="s">
        <v>23</v>
      </c>
      <c r="CT372" s="15"/>
      <c r="CU372" s="17"/>
      <c r="CW372" s="61" t="s">
        <v>336</v>
      </c>
      <c r="CX372" s="62">
        <v>0</v>
      </c>
    </row>
    <row r="373" spans="1:102" x14ac:dyDescent="0.25">
      <c r="A373" s="5" t="s">
        <v>60</v>
      </c>
      <c r="B373" s="27">
        <v>0</v>
      </c>
      <c r="C373" s="17"/>
      <c r="D373" s="17"/>
      <c r="U373" s="17" t="s">
        <v>384</v>
      </c>
      <c r="V373" s="17" t="s">
        <v>39</v>
      </c>
      <c r="W373" s="17" t="s">
        <v>385</v>
      </c>
      <c r="X373" s="17" t="s">
        <v>386</v>
      </c>
      <c r="Z373" s="61" t="s">
        <v>61</v>
      </c>
      <c r="AA373" s="62">
        <v>0</v>
      </c>
      <c r="AO373" s="5" t="s">
        <v>171</v>
      </c>
      <c r="AP373">
        <v>0</v>
      </c>
      <c r="AQ373" s="17"/>
      <c r="AR373" s="1"/>
      <c r="AT373" s="5" t="s">
        <v>191</v>
      </c>
      <c r="AU373">
        <v>0</v>
      </c>
      <c r="AV373" s="15"/>
      <c r="AW373" s="15"/>
      <c r="AY373" s="5" t="s">
        <v>220</v>
      </c>
      <c r="AZ373">
        <v>0</v>
      </c>
      <c r="BD373" s="5" t="s">
        <v>241</v>
      </c>
      <c r="BE373">
        <v>0</v>
      </c>
      <c r="BI373" s="5" t="s">
        <v>273</v>
      </c>
      <c r="BJ373">
        <v>1</v>
      </c>
      <c r="BN373" s="5" t="s">
        <v>283</v>
      </c>
      <c r="BO373">
        <v>29</v>
      </c>
      <c r="BP373" s="17"/>
      <c r="BQ373" s="17"/>
      <c r="BX373" s="61" t="s">
        <v>295</v>
      </c>
      <c r="BY373" s="62">
        <v>0</v>
      </c>
      <c r="CC373" s="5" t="s">
        <v>316</v>
      </c>
      <c r="CD373">
        <v>0</v>
      </c>
      <c r="CM373" s="17" t="s">
        <v>384</v>
      </c>
      <c r="CN373" s="17" t="s">
        <v>39</v>
      </c>
      <c r="CO373" s="17" t="s">
        <v>385</v>
      </c>
      <c r="CP373" s="17" t="s">
        <v>386</v>
      </c>
      <c r="CR373" s="17" t="s">
        <v>384</v>
      </c>
      <c r="CS373" s="17" t="s">
        <v>39</v>
      </c>
      <c r="CT373" s="17" t="s">
        <v>385</v>
      </c>
      <c r="CU373" s="17" t="s">
        <v>386</v>
      </c>
      <c r="CW373" s="61" t="s">
        <v>337</v>
      </c>
      <c r="CX373" s="62">
        <v>0</v>
      </c>
    </row>
    <row r="374" spans="1:102" x14ac:dyDescent="0.25">
      <c r="A374" s="5" t="s">
        <v>61</v>
      </c>
      <c r="B374" s="27">
        <v>0</v>
      </c>
      <c r="C374" s="17"/>
      <c r="D374" s="17"/>
      <c r="U374" s="5" t="s">
        <v>96</v>
      </c>
      <c r="V374">
        <v>3</v>
      </c>
      <c r="W374" s="30" t="s">
        <v>387</v>
      </c>
      <c r="X374" s="17">
        <f>SUM(V374:V406)</f>
        <v>178</v>
      </c>
      <c r="Z374" s="61" t="s">
        <v>107</v>
      </c>
      <c r="AA374" s="62">
        <v>0</v>
      </c>
      <c r="AO374" s="5" t="s">
        <v>172</v>
      </c>
      <c r="AP374">
        <v>0</v>
      </c>
      <c r="AQ374" s="17"/>
      <c r="AR374" s="1"/>
      <c r="BD374" s="5" t="s">
        <v>242</v>
      </c>
      <c r="BE374">
        <v>0</v>
      </c>
      <c r="BN374" s="5" t="s">
        <v>285</v>
      </c>
      <c r="BO374">
        <v>27</v>
      </c>
      <c r="BP374" s="17"/>
      <c r="BQ374" s="17"/>
      <c r="BX374" s="61" t="s">
        <v>296</v>
      </c>
      <c r="BY374" s="62">
        <v>0</v>
      </c>
      <c r="CC374" s="5" t="s">
        <v>317</v>
      </c>
      <c r="CD374">
        <v>0</v>
      </c>
      <c r="CM374" s="5" t="s">
        <v>328</v>
      </c>
      <c r="CN374">
        <v>0</v>
      </c>
      <c r="CO374" s="30" t="s">
        <v>387</v>
      </c>
      <c r="CP374" s="17">
        <f>SUM(CN374:CN406)</f>
        <v>0</v>
      </c>
      <c r="CR374" s="5" t="s">
        <v>333</v>
      </c>
      <c r="CS374">
        <v>0</v>
      </c>
      <c r="CT374" s="30" t="s">
        <v>387</v>
      </c>
      <c r="CU374" s="17">
        <f>SUM(CS374:CS401)</f>
        <v>6</v>
      </c>
      <c r="CW374" s="61" t="s">
        <v>338</v>
      </c>
      <c r="CX374" s="62">
        <v>1</v>
      </c>
    </row>
    <row r="375" spans="1:102" x14ac:dyDescent="0.25">
      <c r="A375" s="5" t="s">
        <v>62</v>
      </c>
      <c r="B375" s="27">
        <v>0</v>
      </c>
      <c r="C375" s="17"/>
      <c r="D375" s="1"/>
      <c r="U375" s="5" t="s">
        <v>97</v>
      </c>
      <c r="V375">
        <v>7</v>
      </c>
      <c r="W375" s="30" t="s">
        <v>388</v>
      </c>
      <c r="X375" s="17">
        <f>MIN(V374:V406)</f>
        <v>0</v>
      </c>
      <c r="Z375" s="61" t="s">
        <v>108</v>
      </c>
      <c r="AA375" s="62">
        <v>0</v>
      </c>
      <c r="AO375" s="5" t="s">
        <v>173</v>
      </c>
      <c r="AP375">
        <v>0</v>
      </c>
      <c r="AY375" s="17" t="s">
        <v>382</v>
      </c>
      <c r="AZ375" s="29" t="s">
        <v>370</v>
      </c>
      <c r="BA375" s="17"/>
      <c r="BB375" s="17">
        <v>2016</v>
      </c>
      <c r="BD375" s="5" t="s">
        <v>243</v>
      </c>
      <c r="BE375">
        <v>0</v>
      </c>
      <c r="BI375" s="17" t="s">
        <v>382</v>
      </c>
      <c r="BJ375" s="29" t="s">
        <v>372</v>
      </c>
      <c r="BK375" s="17"/>
      <c r="BL375" s="17">
        <v>2016</v>
      </c>
      <c r="BN375" s="5" t="s">
        <v>284</v>
      </c>
      <c r="BO375">
        <v>27</v>
      </c>
      <c r="BP375" s="17"/>
      <c r="BQ375" s="17"/>
      <c r="BX375" s="61" t="s">
        <v>297</v>
      </c>
      <c r="BY375" s="62">
        <v>0</v>
      </c>
      <c r="CC375" s="5" t="s">
        <v>318</v>
      </c>
      <c r="CD375">
        <v>0</v>
      </c>
      <c r="CM375" s="5" t="s">
        <v>329</v>
      </c>
      <c r="CN375">
        <v>0</v>
      </c>
      <c r="CO375" s="30" t="s">
        <v>388</v>
      </c>
      <c r="CP375" s="17">
        <f>MIN(CN374:CN406)</f>
        <v>0</v>
      </c>
      <c r="CR375" s="5" t="s">
        <v>334</v>
      </c>
      <c r="CS375">
        <v>0</v>
      </c>
      <c r="CT375" s="30" t="s">
        <v>388</v>
      </c>
      <c r="CU375" s="17">
        <f>MIN(CS374:CS401)</f>
        <v>0</v>
      </c>
      <c r="CW375" s="61" t="s">
        <v>339</v>
      </c>
      <c r="CX375" s="62">
        <v>0</v>
      </c>
    </row>
    <row r="376" spans="1:102" x14ac:dyDescent="0.25">
      <c r="A376" s="5" t="s">
        <v>63</v>
      </c>
      <c r="B376" s="27">
        <v>0</v>
      </c>
      <c r="C376" s="17"/>
      <c r="D376" s="1"/>
      <c r="U376" s="5" t="s">
        <v>98</v>
      </c>
      <c r="V376">
        <v>18</v>
      </c>
      <c r="W376" s="30" t="s">
        <v>389</v>
      </c>
      <c r="X376" s="17">
        <f>MAX(V374:V406)</f>
        <v>18</v>
      </c>
      <c r="Z376" s="61" t="s">
        <v>109</v>
      </c>
      <c r="AA376" s="62">
        <v>0</v>
      </c>
      <c r="AO376" s="5" t="s">
        <v>174</v>
      </c>
      <c r="AP376">
        <v>0</v>
      </c>
      <c r="AY376" s="17" t="s">
        <v>383</v>
      </c>
      <c r="AZ376" s="6" t="s">
        <v>24</v>
      </c>
      <c r="BA376" s="17"/>
      <c r="BB376" s="17"/>
      <c r="BD376" s="5" t="s">
        <v>244</v>
      </c>
      <c r="BE376">
        <v>0</v>
      </c>
      <c r="BI376" s="17" t="s">
        <v>383</v>
      </c>
      <c r="BJ376" s="6" t="s">
        <v>22</v>
      </c>
      <c r="BK376" s="17"/>
      <c r="BL376" s="17"/>
      <c r="BN376" s="5" t="s">
        <v>286</v>
      </c>
      <c r="BO376">
        <v>20</v>
      </c>
      <c r="BP376" s="17"/>
      <c r="BQ376" s="17"/>
      <c r="BX376" s="61" t="s">
        <v>298</v>
      </c>
      <c r="BY376" s="62">
        <v>0</v>
      </c>
      <c r="CC376" s="5" t="s">
        <v>319</v>
      </c>
      <c r="CD376">
        <v>1</v>
      </c>
      <c r="CM376" s="5" t="s">
        <v>330</v>
      </c>
      <c r="CN376">
        <v>0</v>
      </c>
      <c r="CO376" s="30" t="s">
        <v>389</v>
      </c>
      <c r="CP376" s="17">
        <f>MAX(CN374:CN406)</f>
        <v>0</v>
      </c>
      <c r="CR376" s="5" t="s">
        <v>335</v>
      </c>
      <c r="CS376">
        <v>1</v>
      </c>
      <c r="CT376" s="30" t="s">
        <v>389</v>
      </c>
      <c r="CU376" s="17">
        <f>MAX(CS374:CS401)</f>
        <v>1</v>
      </c>
      <c r="CW376" s="61" t="s">
        <v>340</v>
      </c>
      <c r="CX376" s="62">
        <v>0</v>
      </c>
    </row>
    <row r="377" spans="1:102" x14ac:dyDescent="0.25">
      <c r="A377" s="5" t="s">
        <v>64</v>
      </c>
      <c r="B377" s="27">
        <v>0</v>
      </c>
      <c r="C377" s="17"/>
      <c r="D377" s="1"/>
      <c r="U377" s="5" t="s">
        <v>99</v>
      </c>
      <c r="V377">
        <v>4</v>
      </c>
      <c r="W377" s="30" t="s">
        <v>390</v>
      </c>
      <c r="X377" s="17">
        <f>VAR(V374:V406)</f>
        <v>12.308712121212121</v>
      </c>
      <c r="Z377" s="61" t="s">
        <v>110</v>
      </c>
      <c r="AA377" s="62">
        <v>0</v>
      </c>
      <c r="AY377" s="17" t="s">
        <v>384</v>
      </c>
      <c r="AZ377" s="17" t="s">
        <v>39</v>
      </c>
      <c r="BA377" s="17" t="s">
        <v>385</v>
      </c>
      <c r="BB377" s="17" t="s">
        <v>386</v>
      </c>
      <c r="BI377" s="17" t="s">
        <v>384</v>
      </c>
      <c r="BJ377" s="17" t="s">
        <v>39</v>
      </c>
      <c r="BK377" s="17" t="s">
        <v>385</v>
      </c>
      <c r="BL377" s="17" t="s">
        <v>386</v>
      </c>
      <c r="BN377" s="5" t="s">
        <v>287</v>
      </c>
      <c r="BO377">
        <v>19</v>
      </c>
      <c r="BP377" s="17"/>
      <c r="BQ377" s="17"/>
      <c r="CC377" s="5" t="s">
        <v>320</v>
      </c>
      <c r="CD377">
        <v>0</v>
      </c>
      <c r="CM377" s="5" t="s">
        <v>331</v>
      </c>
      <c r="CN377">
        <v>0</v>
      </c>
      <c r="CO377" s="30" t="s">
        <v>390</v>
      </c>
      <c r="CP377" s="17">
        <f>VAR(CN374:CN406)</f>
        <v>0</v>
      </c>
      <c r="CR377" s="5" t="s">
        <v>43</v>
      </c>
      <c r="CS377">
        <v>0</v>
      </c>
      <c r="CT377" s="30" t="s">
        <v>390</v>
      </c>
      <c r="CU377" s="17">
        <f>VAR(CS374:CS401)</f>
        <v>0.17460317460317462</v>
      </c>
      <c r="CW377" s="61" t="s">
        <v>341</v>
      </c>
      <c r="CX377" s="62">
        <v>0</v>
      </c>
    </row>
    <row r="378" spans="1:102" x14ac:dyDescent="0.25">
      <c r="U378" s="5" t="s">
        <v>100</v>
      </c>
      <c r="V378">
        <v>2</v>
      </c>
      <c r="W378" s="30" t="s">
        <v>391</v>
      </c>
      <c r="X378" s="17">
        <f>AVERAGE(V374:V406)</f>
        <v>5.3939393939393936</v>
      </c>
      <c r="Z378" s="61" t="s">
        <v>111</v>
      </c>
      <c r="AA378" s="62">
        <v>0</v>
      </c>
      <c r="AO378" s="17" t="s">
        <v>382</v>
      </c>
      <c r="AP378" s="29" t="s">
        <v>368</v>
      </c>
      <c r="AQ378" s="17"/>
      <c r="AR378" s="17">
        <v>2016</v>
      </c>
      <c r="AY378" s="5" t="s">
        <v>192</v>
      </c>
      <c r="AZ378">
        <v>0</v>
      </c>
      <c r="BA378" s="30" t="s">
        <v>387</v>
      </c>
      <c r="BB378" s="17">
        <f>SUM(AZ378:AZ407)</f>
        <v>3</v>
      </c>
      <c r="BD378" s="17" t="s">
        <v>382</v>
      </c>
      <c r="BE378" s="29" t="s">
        <v>371</v>
      </c>
      <c r="BF378" s="17"/>
      <c r="BG378" s="17">
        <v>2016</v>
      </c>
      <c r="BI378" s="5" t="s">
        <v>245</v>
      </c>
      <c r="BJ378">
        <v>1</v>
      </c>
      <c r="BK378" s="30" t="s">
        <v>387</v>
      </c>
      <c r="BL378" s="17">
        <f>SUM(BJ378:BJ407)</f>
        <v>16</v>
      </c>
      <c r="BN378" s="5" t="s">
        <v>288</v>
      </c>
      <c r="BO378">
        <v>18</v>
      </c>
      <c r="BP378" s="17"/>
      <c r="BQ378" s="17"/>
      <c r="BX378" s="58" t="s">
        <v>382</v>
      </c>
      <c r="BY378" s="59" t="s">
        <v>628</v>
      </c>
      <c r="BZ378" s="58"/>
      <c r="CA378" s="58">
        <v>2016</v>
      </c>
      <c r="CM378" s="5" t="s">
        <v>332</v>
      </c>
      <c r="CN378">
        <v>0</v>
      </c>
      <c r="CO378" s="30" t="s">
        <v>391</v>
      </c>
      <c r="CP378" s="17">
        <f>AVERAGE(CN374:CN406)</f>
        <v>0</v>
      </c>
      <c r="CR378" s="5" t="s">
        <v>336</v>
      </c>
      <c r="CS378">
        <v>1</v>
      </c>
      <c r="CT378" s="30" t="s">
        <v>391</v>
      </c>
      <c r="CU378" s="17">
        <f>AVERAGE(CS374:CS401)</f>
        <v>0.21428571428571427</v>
      </c>
      <c r="CW378" s="61" t="s">
        <v>342</v>
      </c>
      <c r="CX378" s="62">
        <v>0</v>
      </c>
    </row>
    <row r="379" spans="1:102" x14ac:dyDescent="0.25">
      <c r="A379" s="17" t="s">
        <v>382</v>
      </c>
      <c r="B379" s="29" t="s">
        <v>361</v>
      </c>
      <c r="C379" s="17"/>
      <c r="D379" s="17">
        <v>2016</v>
      </c>
      <c r="U379" s="5" t="s">
        <v>101</v>
      </c>
      <c r="V379">
        <v>3</v>
      </c>
      <c r="W379" s="30" t="s">
        <v>392</v>
      </c>
      <c r="X379" s="17">
        <f>STDEV(V374:V406)</f>
        <v>3.5083774200065934</v>
      </c>
      <c r="Z379" s="61" t="s">
        <v>112</v>
      </c>
      <c r="AA379" s="62">
        <v>0</v>
      </c>
      <c r="AO379" s="17" t="s">
        <v>383</v>
      </c>
      <c r="AP379" s="6" t="s">
        <v>23</v>
      </c>
      <c r="AQ379" s="17"/>
      <c r="AR379" s="17"/>
      <c r="AY379" s="5" t="s">
        <v>193</v>
      </c>
      <c r="AZ379">
        <v>0</v>
      </c>
      <c r="BA379" s="30" t="s">
        <v>388</v>
      </c>
      <c r="BB379" s="17">
        <f>MIN(AZ378:AZ407)</f>
        <v>0</v>
      </c>
      <c r="BD379" s="17" t="s">
        <v>383</v>
      </c>
      <c r="BE379" s="6" t="s">
        <v>26</v>
      </c>
      <c r="BF379" s="17"/>
      <c r="BG379" s="17"/>
      <c r="BI379" s="5" t="s">
        <v>73</v>
      </c>
      <c r="BJ379">
        <v>0</v>
      </c>
      <c r="BK379" s="30" t="s">
        <v>388</v>
      </c>
      <c r="BL379" s="17">
        <f>MIN(BJ378:BJ407)</f>
        <v>0</v>
      </c>
      <c r="BN379" s="5" t="s">
        <v>289</v>
      </c>
      <c r="BO379">
        <v>28</v>
      </c>
      <c r="BP379" s="17"/>
      <c r="BQ379" s="17"/>
      <c r="BX379" s="58" t="s">
        <v>383</v>
      </c>
      <c r="BY379" s="60" t="s">
        <v>25</v>
      </c>
      <c r="BZ379" s="58"/>
      <c r="CA379" s="58"/>
      <c r="CC379" s="17" t="s">
        <v>382</v>
      </c>
      <c r="CD379" s="29" t="s">
        <v>375</v>
      </c>
      <c r="CE379" s="17"/>
      <c r="CF379" s="17">
        <v>2016</v>
      </c>
      <c r="CO379" s="30" t="s">
        <v>392</v>
      </c>
      <c r="CP379" s="17">
        <f>STDEV(CN374:CN406)</f>
        <v>0</v>
      </c>
      <c r="CR379" s="5" t="s">
        <v>337</v>
      </c>
      <c r="CS379">
        <v>0</v>
      </c>
      <c r="CT379" s="30" t="s">
        <v>392</v>
      </c>
      <c r="CU379" s="17">
        <f>STDEV(CS374:CS401)</f>
        <v>0.4178554470186725</v>
      </c>
      <c r="CW379" s="61" t="s">
        <v>343</v>
      </c>
      <c r="CX379" s="62">
        <v>0</v>
      </c>
    </row>
    <row r="380" spans="1:102" x14ac:dyDescent="0.25">
      <c r="A380" s="17" t="s">
        <v>383</v>
      </c>
      <c r="B380" s="28" t="s">
        <v>46</v>
      </c>
      <c r="C380" s="17"/>
      <c r="D380" s="17"/>
      <c r="U380" s="5" t="s">
        <v>103</v>
      </c>
      <c r="V380">
        <v>5</v>
      </c>
      <c r="W380" s="17"/>
      <c r="X380" s="17"/>
      <c r="Z380" s="61" t="s">
        <v>113</v>
      </c>
      <c r="AA380" s="62">
        <v>0</v>
      </c>
      <c r="AO380" s="17" t="s">
        <v>384</v>
      </c>
      <c r="AP380" s="17" t="s">
        <v>39</v>
      </c>
      <c r="AQ380" s="17" t="s">
        <v>385</v>
      </c>
      <c r="AR380" s="17" t="s">
        <v>386</v>
      </c>
      <c r="AY380" s="5" t="s">
        <v>194</v>
      </c>
      <c r="AZ380">
        <v>0</v>
      </c>
      <c r="BA380" s="30" t="s">
        <v>389</v>
      </c>
      <c r="BB380" s="17">
        <f>MAX(AZ378:AZ407)</f>
        <v>1</v>
      </c>
      <c r="BD380" s="17" t="s">
        <v>384</v>
      </c>
      <c r="BE380" s="17" t="s">
        <v>39</v>
      </c>
      <c r="BF380" s="17" t="s">
        <v>385</v>
      </c>
      <c r="BG380" s="17" t="s">
        <v>386</v>
      </c>
      <c r="BI380" s="5" t="s">
        <v>246</v>
      </c>
      <c r="BJ380">
        <v>0</v>
      </c>
      <c r="BK380" s="30" t="s">
        <v>389</v>
      </c>
      <c r="BL380" s="17">
        <f>MAX(BJ378:BJ407)</f>
        <v>2</v>
      </c>
      <c r="BX380" s="58" t="s">
        <v>384</v>
      </c>
      <c r="BY380" s="58" t="s">
        <v>39</v>
      </c>
      <c r="BZ380" s="58" t="s">
        <v>385</v>
      </c>
      <c r="CA380" s="58" t="s">
        <v>386</v>
      </c>
      <c r="CC380" s="17" t="s">
        <v>383</v>
      </c>
      <c r="CD380" s="6" t="s">
        <v>32</v>
      </c>
      <c r="CE380" s="17"/>
      <c r="CF380" s="17"/>
      <c r="CO380" s="17"/>
      <c r="CP380" s="17"/>
      <c r="CR380" s="5" t="s">
        <v>338</v>
      </c>
      <c r="CS380">
        <v>0</v>
      </c>
      <c r="CW380" s="61" t="s">
        <v>344</v>
      </c>
      <c r="CX380" s="62">
        <v>0</v>
      </c>
    </row>
    <row r="381" spans="1:102" x14ac:dyDescent="0.25">
      <c r="A381" s="17" t="s">
        <v>384</v>
      </c>
      <c r="B381" s="17" t="s">
        <v>39</v>
      </c>
      <c r="C381" s="17" t="s">
        <v>385</v>
      </c>
      <c r="D381" s="17" t="s">
        <v>386</v>
      </c>
      <c r="U381" s="5" t="s">
        <v>104</v>
      </c>
      <c r="V381">
        <v>7</v>
      </c>
      <c r="W381" s="17"/>
      <c r="X381" s="17"/>
      <c r="Z381" s="64" t="s">
        <v>114</v>
      </c>
      <c r="AA381" s="62">
        <v>0</v>
      </c>
      <c r="AO381" s="5" t="s">
        <v>149</v>
      </c>
      <c r="AP381">
        <v>0</v>
      </c>
      <c r="AQ381" s="30" t="s">
        <v>387</v>
      </c>
      <c r="AR381" s="17">
        <f>SUM(AP381:AP405)</f>
        <v>2</v>
      </c>
      <c r="AY381" s="5" t="s">
        <v>195</v>
      </c>
      <c r="AZ381">
        <v>0</v>
      </c>
      <c r="BA381" s="30" t="s">
        <v>390</v>
      </c>
      <c r="BB381" s="17">
        <f>VAR(AZ378:AZ407)</f>
        <v>9.3103448275862075E-2</v>
      </c>
      <c r="BD381" s="5" t="s">
        <v>221</v>
      </c>
      <c r="BE381">
        <v>0</v>
      </c>
      <c r="BF381" s="30" t="s">
        <v>387</v>
      </c>
      <c r="BG381" s="17">
        <f>SUM(BE381:BE405)</f>
        <v>1</v>
      </c>
      <c r="BI381" s="5" t="s">
        <v>247</v>
      </c>
      <c r="BJ381">
        <v>0</v>
      </c>
      <c r="BK381" s="30" t="s">
        <v>390</v>
      </c>
      <c r="BL381" s="17">
        <f>VAR(BJ378:BJ407)</f>
        <v>0.53333333333333333</v>
      </c>
      <c r="BN381" s="17" t="s">
        <v>382</v>
      </c>
      <c r="BO381" s="29" t="s">
        <v>440</v>
      </c>
      <c r="BP381" s="17"/>
      <c r="BQ381" s="17">
        <v>2016</v>
      </c>
      <c r="BX381" s="61" t="s">
        <v>274</v>
      </c>
      <c r="BY381" s="62">
        <v>0</v>
      </c>
      <c r="BZ381" s="63" t="s">
        <v>387</v>
      </c>
      <c r="CA381" s="58">
        <f>SUM(BY381:BY405)</f>
        <v>10</v>
      </c>
      <c r="CC381" s="17" t="s">
        <v>384</v>
      </c>
      <c r="CD381" s="17" t="s">
        <v>39</v>
      </c>
      <c r="CE381" s="17" t="s">
        <v>385</v>
      </c>
      <c r="CF381" s="17" t="s">
        <v>386</v>
      </c>
      <c r="CO381" s="17"/>
      <c r="CP381" s="17"/>
      <c r="CR381" s="5" t="s">
        <v>339</v>
      </c>
      <c r="CS381">
        <v>0</v>
      </c>
      <c r="CW381" s="61" t="s">
        <v>345</v>
      </c>
      <c r="CX381" s="62">
        <v>0</v>
      </c>
    </row>
    <row r="382" spans="1:102" x14ac:dyDescent="0.25">
      <c r="A382" s="5" t="s">
        <v>40</v>
      </c>
      <c r="B382" s="27">
        <v>0</v>
      </c>
      <c r="C382" s="30" t="s">
        <v>387</v>
      </c>
      <c r="D382" s="17">
        <f>SUM(B382:B404)</f>
        <v>11</v>
      </c>
      <c r="U382" s="5" t="s">
        <v>105</v>
      </c>
      <c r="V382">
        <v>0</v>
      </c>
      <c r="W382" s="17"/>
      <c r="X382" s="17"/>
      <c r="Z382" s="64" t="s">
        <v>115</v>
      </c>
      <c r="AA382" s="62">
        <v>0</v>
      </c>
      <c r="AO382" s="5" t="s">
        <v>150</v>
      </c>
      <c r="AP382">
        <v>0</v>
      </c>
      <c r="AQ382" s="30" t="s">
        <v>388</v>
      </c>
      <c r="AR382" s="17">
        <f>MIN(AP381:AP405)</f>
        <v>0</v>
      </c>
      <c r="AY382" s="5" t="s">
        <v>196</v>
      </c>
      <c r="AZ382">
        <v>0</v>
      </c>
      <c r="BA382" s="30" t="s">
        <v>391</v>
      </c>
      <c r="BB382" s="17">
        <f>AVERAGE(AZ378:AZ407)</f>
        <v>0.1</v>
      </c>
      <c r="BD382" s="5" t="s">
        <v>222</v>
      </c>
      <c r="BE382">
        <v>0</v>
      </c>
      <c r="BF382" s="30" t="s">
        <v>388</v>
      </c>
      <c r="BG382" s="17">
        <f>MIN(BE381:BE405)</f>
        <v>0</v>
      </c>
      <c r="BI382" s="5" t="s">
        <v>248</v>
      </c>
      <c r="BJ382">
        <v>2</v>
      </c>
      <c r="BK382" s="30" t="s">
        <v>391</v>
      </c>
      <c r="BL382" s="17">
        <f>AVERAGE(BJ378:BJ407)</f>
        <v>0.53333333333333333</v>
      </c>
      <c r="BN382" s="17" t="s">
        <v>383</v>
      </c>
      <c r="BO382" s="6" t="s">
        <v>33</v>
      </c>
      <c r="BP382" s="17"/>
      <c r="BQ382" s="17"/>
      <c r="BX382" s="61" t="s">
        <v>275</v>
      </c>
      <c r="BY382" s="62">
        <v>0</v>
      </c>
      <c r="BZ382" s="63" t="s">
        <v>388</v>
      </c>
      <c r="CA382" s="58">
        <f>MIN(BY381:BY405)</f>
        <v>0</v>
      </c>
      <c r="CC382" s="5" t="s">
        <v>299</v>
      </c>
      <c r="CD382">
        <v>9</v>
      </c>
      <c r="CE382" s="30" t="s">
        <v>387</v>
      </c>
      <c r="CF382" s="17">
        <f>SUM(CD382:CD404)</f>
        <v>276</v>
      </c>
      <c r="CO382" s="17"/>
      <c r="CP382" s="17"/>
      <c r="CR382" s="5" t="s">
        <v>340</v>
      </c>
      <c r="CS382">
        <v>0</v>
      </c>
      <c r="CW382" s="61" t="s">
        <v>346</v>
      </c>
      <c r="CX382" s="62">
        <v>0</v>
      </c>
    </row>
    <row r="383" spans="1:102" x14ac:dyDescent="0.25">
      <c r="A383" s="5" t="s">
        <v>41</v>
      </c>
      <c r="B383" s="27">
        <v>0</v>
      </c>
      <c r="C383" s="30" t="s">
        <v>388</v>
      </c>
      <c r="D383" s="17">
        <f>MIN(B382:B404)</f>
        <v>0</v>
      </c>
      <c r="U383" s="5" t="s">
        <v>106</v>
      </c>
      <c r="V383">
        <v>12</v>
      </c>
      <c r="W383" s="17"/>
      <c r="X383" s="17"/>
      <c r="Z383" s="64" t="s">
        <v>116</v>
      </c>
      <c r="AA383" s="62">
        <v>0</v>
      </c>
      <c r="AO383" s="5" t="s">
        <v>151</v>
      </c>
      <c r="AP383">
        <v>0</v>
      </c>
      <c r="AQ383" s="30" t="s">
        <v>389</v>
      </c>
      <c r="AR383" s="17">
        <f>MAX(AP381:AP405)</f>
        <v>1</v>
      </c>
      <c r="AY383" s="5" t="s">
        <v>197</v>
      </c>
      <c r="AZ383">
        <v>0</v>
      </c>
      <c r="BA383" s="30" t="s">
        <v>392</v>
      </c>
      <c r="BB383" s="17">
        <f>STDEV(AZ378:AZ407)</f>
        <v>0.30512857662936466</v>
      </c>
      <c r="BD383" s="5" t="s">
        <v>223</v>
      </c>
      <c r="BE383">
        <v>0</v>
      </c>
      <c r="BF383" s="30" t="s">
        <v>389</v>
      </c>
      <c r="BG383" s="17">
        <f>MAX(BE381:BE405)</f>
        <v>1</v>
      </c>
      <c r="BI383" s="5" t="s">
        <v>249</v>
      </c>
      <c r="BJ383">
        <v>1</v>
      </c>
      <c r="BK383" s="30" t="s">
        <v>392</v>
      </c>
      <c r="BL383" s="17">
        <f>STDEV(BJ378:BJ407)</f>
        <v>0.73029674334022143</v>
      </c>
      <c r="BN383" s="17" t="s">
        <v>384</v>
      </c>
      <c r="BO383" s="17" t="s">
        <v>39</v>
      </c>
      <c r="BP383" s="17" t="s">
        <v>385</v>
      </c>
      <c r="BQ383" s="17" t="s">
        <v>386</v>
      </c>
      <c r="BX383" s="61" t="s">
        <v>276</v>
      </c>
      <c r="BY383" s="62">
        <v>1</v>
      </c>
      <c r="BZ383" s="63" t="s">
        <v>389</v>
      </c>
      <c r="CA383" s="58">
        <f>MAX(BY381:BY405)</f>
        <v>2</v>
      </c>
      <c r="CC383" s="5" t="s">
        <v>300</v>
      </c>
      <c r="CD383">
        <v>4</v>
      </c>
      <c r="CE383" s="30" t="s">
        <v>388</v>
      </c>
      <c r="CF383" s="17">
        <f>MIN(CD382:CD404)</f>
        <v>1</v>
      </c>
      <c r="CO383" s="17"/>
      <c r="CP383" s="17"/>
      <c r="CR383" s="5" t="s">
        <v>341</v>
      </c>
      <c r="CS383">
        <v>1</v>
      </c>
      <c r="CW383" s="61" t="s">
        <v>347</v>
      </c>
      <c r="CX383" s="62">
        <v>0</v>
      </c>
    </row>
    <row r="384" spans="1:102" x14ac:dyDescent="0.25">
      <c r="A384" s="5" t="s">
        <v>42</v>
      </c>
      <c r="B384" s="27">
        <v>0</v>
      </c>
      <c r="C384" s="30" t="s">
        <v>389</v>
      </c>
      <c r="D384" s="17">
        <f>MAX(B382:B404)</f>
        <v>3</v>
      </c>
      <c r="U384" s="5" t="s">
        <v>61</v>
      </c>
      <c r="V384">
        <v>2</v>
      </c>
      <c r="W384" s="17"/>
      <c r="X384" s="17"/>
      <c r="Z384" s="64" t="s">
        <v>117</v>
      </c>
      <c r="AA384" s="62">
        <v>0</v>
      </c>
      <c r="AO384" s="5" t="s">
        <v>152</v>
      </c>
      <c r="AP384">
        <v>0</v>
      </c>
      <c r="AQ384" s="30" t="s">
        <v>390</v>
      </c>
      <c r="AR384" s="17">
        <f>VAR(AP381:AP405)</f>
        <v>7.6666666666666675E-2</v>
      </c>
      <c r="AY384" s="5" t="s">
        <v>198</v>
      </c>
      <c r="AZ384">
        <v>0</v>
      </c>
      <c r="BA384" s="17"/>
      <c r="BB384" s="17"/>
      <c r="BD384" s="5" t="s">
        <v>224</v>
      </c>
      <c r="BE384">
        <v>0</v>
      </c>
      <c r="BF384" s="30" t="s">
        <v>390</v>
      </c>
      <c r="BG384" s="17">
        <f>VAR(BE381:BE405)</f>
        <v>0.04</v>
      </c>
      <c r="BI384" s="5" t="s">
        <v>250</v>
      </c>
      <c r="BJ384">
        <v>2</v>
      </c>
      <c r="BK384" s="17"/>
      <c r="BL384" s="17"/>
      <c r="BN384" s="5" t="s">
        <v>274</v>
      </c>
      <c r="BO384">
        <v>0</v>
      </c>
      <c r="BP384" s="30" t="s">
        <v>387</v>
      </c>
      <c r="BQ384" s="17">
        <f>SUM(BO384:BO399)</f>
        <v>3</v>
      </c>
      <c r="BX384" s="61" t="s">
        <v>277</v>
      </c>
      <c r="BY384" s="62">
        <v>1</v>
      </c>
      <c r="BZ384" s="63" t="s">
        <v>390</v>
      </c>
      <c r="CA384" s="58">
        <f>VAR(BY381:BY405)</f>
        <v>0.33333333333333331</v>
      </c>
      <c r="CC384" s="5" t="s">
        <v>301</v>
      </c>
      <c r="CD384">
        <v>1</v>
      </c>
      <c r="CE384" s="30" t="s">
        <v>389</v>
      </c>
      <c r="CF384" s="17">
        <f>MAX(CD382:CD404)</f>
        <v>30</v>
      </c>
      <c r="CO384" s="17"/>
      <c r="CP384" s="17"/>
      <c r="CR384" s="5" t="s">
        <v>342</v>
      </c>
      <c r="CS384">
        <v>0</v>
      </c>
      <c r="CW384" s="61" t="s">
        <v>348</v>
      </c>
      <c r="CX384" s="62">
        <v>0</v>
      </c>
    </row>
    <row r="385" spans="1:104" x14ac:dyDescent="0.25">
      <c r="A385" s="5" t="s">
        <v>43</v>
      </c>
      <c r="B385" s="27">
        <v>0</v>
      </c>
      <c r="C385" s="30" t="s">
        <v>390</v>
      </c>
      <c r="D385" s="17">
        <f>VAR(B382:B404)</f>
        <v>0.71541501976284583</v>
      </c>
      <c r="U385" s="5" t="s">
        <v>107</v>
      </c>
      <c r="V385">
        <v>2</v>
      </c>
      <c r="W385" s="17"/>
      <c r="X385" s="17"/>
      <c r="Z385" s="64" t="s">
        <v>118</v>
      </c>
      <c r="AA385" s="62">
        <v>0</v>
      </c>
      <c r="AO385" s="5" t="s">
        <v>153</v>
      </c>
      <c r="AP385">
        <v>0</v>
      </c>
      <c r="AQ385" s="30" t="s">
        <v>391</v>
      </c>
      <c r="AR385" s="17">
        <f>AVERAGE(AP381:AP405)</f>
        <v>0.08</v>
      </c>
      <c r="AY385" s="5" t="s">
        <v>161</v>
      </c>
      <c r="AZ385">
        <v>0</v>
      </c>
      <c r="BA385" s="17"/>
      <c r="BB385" s="17"/>
      <c r="BD385" s="5" t="s">
        <v>225</v>
      </c>
      <c r="BE385">
        <v>0</v>
      </c>
      <c r="BF385" s="30" t="s">
        <v>391</v>
      </c>
      <c r="BG385" s="17">
        <f>AVERAGE(BE381:BE405)</f>
        <v>0.04</v>
      </c>
      <c r="BI385" s="5" t="s">
        <v>251</v>
      </c>
      <c r="BJ385">
        <v>0</v>
      </c>
      <c r="BK385" s="17"/>
      <c r="BL385" s="17"/>
      <c r="BN385" s="5" t="s">
        <v>275</v>
      </c>
      <c r="BO385">
        <v>0</v>
      </c>
      <c r="BP385" s="30" t="s">
        <v>388</v>
      </c>
      <c r="BQ385" s="17">
        <f>MIN(BO384:BO399)</f>
        <v>0</v>
      </c>
      <c r="BX385" s="61" t="s">
        <v>279</v>
      </c>
      <c r="BY385" s="62">
        <v>1</v>
      </c>
      <c r="BZ385" s="63" t="s">
        <v>391</v>
      </c>
      <c r="CA385" s="58">
        <f>AVERAGE(BY381:BY405)</f>
        <v>0.4</v>
      </c>
      <c r="CC385" s="5" t="s">
        <v>302</v>
      </c>
      <c r="CD385">
        <v>12</v>
      </c>
      <c r="CE385" s="30" t="s">
        <v>390</v>
      </c>
      <c r="CF385" s="17">
        <f>VAR(CD382:CD404)</f>
        <v>65.090909090909093</v>
      </c>
      <c r="CO385" s="17"/>
      <c r="CP385" s="17"/>
      <c r="CR385" s="5" t="s">
        <v>343</v>
      </c>
      <c r="CS385">
        <v>0</v>
      </c>
      <c r="CW385" s="61" t="s">
        <v>349</v>
      </c>
      <c r="CX385" s="62">
        <v>0</v>
      </c>
    </row>
    <row r="386" spans="1:104" x14ac:dyDescent="0.25">
      <c r="A386" s="5" t="s">
        <v>44</v>
      </c>
      <c r="B386" s="27">
        <v>0</v>
      </c>
      <c r="C386" s="30" t="s">
        <v>391</v>
      </c>
      <c r="D386" s="17">
        <f>AVERAGE(B382:B404)</f>
        <v>0.47826086956521741</v>
      </c>
      <c r="U386" s="5" t="s">
        <v>108</v>
      </c>
      <c r="V386">
        <v>8</v>
      </c>
      <c r="W386" s="17"/>
      <c r="X386" s="17"/>
      <c r="Z386" s="64" t="s">
        <v>119</v>
      </c>
      <c r="AA386" s="62">
        <v>0</v>
      </c>
      <c r="AO386" s="5" t="s">
        <v>154</v>
      </c>
      <c r="AP386">
        <v>0</v>
      </c>
      <c r="AQ386" s="30" t="s">
        <v>392</v>
      </c>
      <c r="AR386" s="17">
        <f>STDEV(AP381:AP405)</f>
        <v>0.27688746209726917</v>
      </c>
      <c r="AY386" s="5" t="s">
        <v>199</v>
      </c>
      <c r="AZ386">
        <v>0</v>
      </c>
      <c r="BA386" s="17"/>
      <c r="BB386" s="17"/>
      <c r="BD386" s="5" t="s">
        <v>226</v>
      </c>
      <c r="BE386">
        <v>0</v>
      </c>
      <c r="BF386" s="30" t="s">
        <v>392</v>
      </c>
      <c r="BG386" s="17">
        <f>STDEV(BE381:BE405)</f>
        <v>0.2</v>
      </c>
      <c r="BI386" s="5" t="s">
        <v>252</v>
      </c>
      <c r="BJ386">
        <v>0</v>
      </c>
      <c r="BK386" s="17"/>
      <c r="BL386" s="17"/>
      <c r="BN386" s="5" t="s">
        <v>276</v>
      </c>
      <c r="BO386">
        <v>0</v>
      </c>
      <c r="BP386" s="30" t="s">
        <v>389</v>
      </c>
      <c r="BQ386" s="17">
        <f>MAX(BO384:BO399)</f>
        <v>2</v>
      </c>
      <c r="BX386" s="61" t="s">
        <v>278</v>
      </c>
      <c r="BY386" s="62">
        <v>1</v>
      </c>
      <c r="BZ386" s="63" t="s">
        <v>392</v>
      </c>
      <c r="CA386" s="58">
        <f>STDEV(BY381:BY405)</f>
        <v>0.57735026918962573</v>
      </c>
      <c r="CC386" s="5" t="s">
        <v>303</v>
      </c>
      <c r="CD386">
        <v>5</v>
      </c>
      <c r="CE386" s="30" t="s">
        <v>391</v>
      </c>
      <c r="CF386" s="17">
        <f>AVERAGE(CD382:CD404)</f>
        <v>12</v>
      </c>
      <c r="CO386" s="17"/>
      <c r="CP386" s="17"/>
      <c r="CR386" s="5" t="s">
        <v>344</v>
      </c>
      <c r="CS386">
        <v>0</v>
      </c>
      <c r="CW386" s="61" t="s">
        <v>350</v>
      </c>
      <c r="CX386" s="62">
        <v>0</v>
      </c>
    </row>
    <row r="387" spans="1:104" x14ac:dyDescent="0.25">
      <c r="A387" s="5" t="s">
        <v>45</v>
      </c>
      <c r="B387" s="27">
        <v>2</v>
      </c>
      <c r="C387" s="30" t="s">
        <v>392</v>
      </c>
      <c r="D387" s="17">
        <f>STDEV(B382:B404)</f>
        <v>0.84582209699371524</v>
      </c>
      <c r="U387" s="5" t="s">
        <v>109</v>
      </c>
      <c r="V387">
        <v>6</v>
      </c>
      <c r="W387" s="17"/>
      <c r="X387" s="17"/>
      <c r="Z387" s="61" t="s">
        <v>120</v>
      </c>
      <c r="AA387" s="62">
        <v>0</v>
      </c>
      <c r="AO387" s="5" t="s">
        <v>155</v>
      </c>
      <c r="AP387">
        <v>0</v>
      </c>
      <c r="AQ387" s="17"/>
      <c r="AR387" s="17"/>
      <c r="AY387" s="5" t="s">
        <v>200</v>
      </c>
      <c r="AZ387">
        <v>0</v>
      </c>
      <c r="BA387" s="17"/>
      <c r="BB387" s="17"/>
      <c r="BD387" s="5" t="s">
        <v>227</v>
      </c>
      <c r="BE387">
        <v>0</v>
      </c>
      <c r="BF387" s="17"/>
      <c r="BG387" s="17"/>
      <c r="BI387" s="5" t="s">
        <v>253</v>
      </c>
      <c r="BJ387">
        <v>0</v>
      </c>
      <c r="BK387" s="17"/>
      <c r="BL387" s="17"/>
      <c r="BN387" s="5" t="s">
        <v>277</v>
      </c>
      <c r="BO387">
        <v>0</v>
      </c>
      <c r="BP387" s="30" t="s">
        <v>390</v>
      </c>
      <c r="BQ387" s="17">
        <f>VAR(BO384:BO399)</f>
        <v>0.29583333333333334</v>
      </c>
      <c r="BX387" s="61" t="s">
        <v>280</v>
      </c>
      <c r="BY387" s="62">
        <v>2</v>
      </c>
      <c r="BZ387" s="58"/>
      <c r="CA387" s="58"/>
      <c r="CC387" s="5" t="s">
        <v>304</v>
      </c>
      <c r="CD387">
        <v>8</v>
      </c>
      <c r="CE387" s="30" t="s">
        <v>392</v>
      </c>
      <c r="CF387" s="17">
        <f>STDEV(CD382:CD404)</f>
        <v>8.0678937208486516</v>
      </c>
      <c r="CO387" s="17"/>
      <c r="CP387" s="17"/>
      <c r="CR387" s="5" t="s">
        <v>345</v>
      </c>
      <c r="CS387">
        <v>0</v>
      </c>
      <c r="CW387" s="61" t="s">
        <v>351</v>
      </c>
      <c r="CX387" s="62">
        <v>0</v>
      </c>
    </row>
    <row r="388" spans="1:104" x14ac:dyDescent="0.25">
      <c r="A388" s="5" t="s">
        <v>47</v>
      </c>
      <c r="B388" s="27">
        <v>0</v>
      </c>
      <c r="C388" s="17"/>
      <c r="D388" s="17"/>
      <c r="U388" s="5" t="s">
        <v>110</v>
      </c>
      <c r="V388">
        <v>5</v>
      </c>
      <c r="W388" s="17"/>
      <c r="X388" s="17"/>
      <c r="Z388" s="61" t="s">
        <v>121</v>
      </c>
      <c r="AA388" s="62">
        <v>0</v>
      </c>
      <c r="AO388" s="5" t="s">
        <v>156</v>
      </c>
      <c r="AP388">
        <v>0</v>
      </c>
      <c r="AQ388" s="17"/>
      <c r="AR388" s="17"/>
      <c r="AY388" s="5" t="s">
        <v>201</v>
      </c>
      <c r="AZ388">
        <v>0</v>
      </c>
      <c r="BA388" s="17"/>
      <c r="BB388" s="17"/>
      <c r="BD388" s="5" t="s">
        <v>228</v>
      </c>
      <c r="BE388">
        <v>0</v>
      </c>
      <c r="BF388" s="17"/>
      <c r="BG388" s="17"/>
      <c r="BI388" s="5" t="s">
        <v>254</v>
      </c>
      <c r="BJ388">
        <v>0</v>
      </c>
      <c r="BK388" s="17"/>
      <c r="BL388" s="17"/>
      <c r="BN388" s="5" t="s">
        <v>279</v>
      </c>
      <c r="BO388">
        <v>0</v>
      </c>
      <c r="BP388" s="30" t="s">
        <v>391</v>
      </c>
      <c r="BQ388" s="17">
        <f>AVERAGE(BO384:BO399)</f>
        <v>0.1875</v>
      </c>
      <c r="BX388" s="61" t="s">
        <v>281</v>
      </c>
      <c r="BY388" s="62">
        <v>1</v>
      </c>
      <c r="BZ388" s="58"/>
      <c r="CA388" s="58"/>
      <c r="CC388" s="5" t="s">
        <v>305</v>
      </c>
      <c r="CD388">
        <v>5</v>
      </c>
      <c r="CE388" s="17"/>
      <c r="CF388" s="17"/>
      <c r="CO388" s="17"/>
      <c r="CP388" s="17"/>
      <c r="CR388" s="5" t="s">
        <v>346</v>
      </c>
      <c r="CS388">
        <v>1</v>
      </c>
      <c r="CW388" s="61" t="s">
        <v>352</v>
      </c>
      <c r="CX388" s="62">
        <v>0</v>
      </c>
    </row>
    <row r="389" spans="1:104" x14ac:dyDescent="0.25">
      <c r="A389" s="5" t="s">
        <v>48</v>
      </c>
      <c r="B389" s="27">
        <v>0</v>
      </c>
      <c r="C389" s="17"/>
      <c r="D389" s="17"/>
      <c r="U389" s="5" t="s">
        <v>111</v>
      </c>
      <c r="V389">
        <v>6</v>
      </c>
      <c r="W389" s="17"/>
      <c r="X389" s="17"/>
      <c r="Z389" s="61" t="s">
        <v>122</v>
      </c>
      <c r="AA389" s="62">
        <v>2</v>
      </c>
      <c r="AO389" s="5" t="s">
        <v>157</v>
      </c>
      <c r="AP389">
        <v>0</v>
      </c>
      <c r="AQ389" s="17"/>
      <c r="AR389" s="17"/>
      <c r="AY389" s="5" t="s">
        <v>202</v>
      </c>
      <c r="AZ389">
        <v>1</v>
      </c>
      <c r="BA389" s="17"/>
      <c r="BB389" s="17"/>
      <c r="BD389" s="5" t="s">
        <v>229</v>
      </c>
      <c r="BE389">
        <v>0</v>
      </c>
      <c r="BF389" s="17"/>
      <c r="BG389" s="17"/>
      <c r="BI389" s="5" t="s">
        <v>255</v>
      </c>
      <c r="BJ389">
        <v>1</v>
      </c>
      <c r="BK389" s="17"/>
      <c r="BL389" s="17"/>
      <c r="BN389" s="5" t="s">
        <v>278</v>
      </c>
      <c r="BO389">
        <v>0</v>
      </c>
      <c r="BP389" s="30" t="s">
        <v>392</v>
      </c>
      <c r="BQ389" s="17">
        <f>STDEV(BO384:BO399)</f>
        <v>0.54390562906935735</v>
      </c>
      <c r="BX389" s="61" t="s">
        <v>282</v>
      </c>
      <c r="BY389" s="62">
        <v>1</v>
      </c>
      <c r="BZ389" s="58"/>
      <c r="CA389" s="58"/>
      <c r="CC389" s="5" t="s">
        <v>306</v>
      </c>
      <c r="CD389">
        <v>10</v>
      </c>
      <c r="CE389" s="17"/>
      <c r="CF389" s="17"/>
      <c r="CO389" s="17"/>
      <c r="CP389" s="17"/>
      <c r="CR389" s="5" t="s">
        <v>347</v>
      </c>
      <c r="CS389">
        <v>0</v>
      </c>
      <c r="CW389" s="61" t="s">
        <v>353</v>
      </c>
      <c r="CX389" s="62">
        <v>1</v>
      </c>
    </row>
    <row r="390" spans="1:104" x14ac:dyDescent="0.25">
      <c r="A390" s="5" t="s">
        <v>49</v>
      </c>
      <c r="B390" s="27">
        <v>0</v>
      </c>
      <c r="C390" s="17"/>
      <c r="D390" s="17"/>
      <c r="U390" s="5" t="s">
        <v>112</v>
      </c>
      <c r="V390">
        <v>6</v>
      </c>
      <c r="W390" s="17"/>
      <c r="X390" s="17"/>
      <c r="Z390" s="61" t="s">
        <v>123</v>
      </c>
      <c r="AA390" s="62">
        <v>0</v>
      </c>
      <c r="AO390" s="5" t="s">
        <v>158</v>
      </c>
      <c r="AP390">
        <v>0</v>
      </c>
      <c r="AQ390" s="17"/>
      <c r="AR390" s="17"/>
      <c r="AY390" s="5" t="s">
        <v>203</v>
      </c>
      <c r="AZ390">
        <v>1</v>
      </c>
      <c r="BA390" s="17"/>
      <c r="BB390" s="17"/>
      <c r="BD390" s="5" t="s">
        <v>230</v>
      </c>
      <c r="BE390">
        <v>0</v>
      </c>
      <c r="BF390" s="17"/>
      <c r="BG390" s="17"/>
      <c r="BI390" s="5" t="s">
        <v>256</v>
      </c>
      <c r="BJ390">
        <v>1</v>
      </c>
      <c r="BK390" s="17"/>
      <c r="BL390" s="17"/>
      <c r="BN390" s="5" t="s">
        <v>280</v>
      </c>
      <c r="BO390">
        <v>1</v>
      </c>
      <c r="BP390" s="17"/>
      <c r="BQ390" s="17"/>
      <c r="BX390" s="61" t="s">
        <v>283</v>
      </c>
      <c r="BY390" s="62">
        <v>0</v>
      </c>
      <c r="BZ390" s="58"/>
      <c r="CA390" s="58"/>
      <c r="CC390" s="5" t="s">
        <v>93</v>
      </c>
      <c r="CD390">
        <v>4</v>
      </c>
      <c r="CE390" s="17"/>
      <c r="CF390" s="17"/>
      <c r="CR390" s="5" t="s">
        <v>348</v>
      </c>
      <c r="CS390">
        <v>1</v>
      </c>
      <c r="CW390" s="61" t="s">
        <v>354</v>
      </c>
      <c r="CX390" s="62">
        <v>0</v>
      </c>
    </row>
    <row r="391" spans="1:104" x14ac:dyDescent="0.25">
      <c r="A391" s="5" t="s">
        <v>50</v>
      </c>
      <c r="B391" s="27">
        <v>2</v>
      </c>
      <c r="C391" s="17"/>
      <c r="D391" s="17"/>
      <c r="U391" s="5" t="s">
        <v>113</v>
      </c>
      <c r="V391">
        <v>6</v>
      </c>
      <c r="W391" s="15"/>
      <c r="X391" s="15"/>
      <c r="Z391" s="61" t="s">
        <v>124</v>
      </c>
      <c r="AA391" s="62">
        <v>0</v>
      </c>
      <c r="AO391" s="5" t="s">
        <v>159</v>
      </c>
      <c r="AP391">
        <v>0</v>
      </c>
      <c r="AQ391" s="17"/>
      <c r="AR391" s="17"/>
      <c r="AY391" s="5" t="s">
        <v>204</v>
      </c>
      <c r="AZ391">
        <v>0</v>
      </c>
      <c r="BA391" s="17"/>
      <c r="BB391" s="17"/>
      <c r="BD391" s="5" t="s">
        <v>231</v>
      </c>
      <c r="BE391">
        <v>0</v>
      </c>
      <c r="BF391" s="17"/>
      <c r="BG391" s="17"/>
      <c r="BI391" s="5" t="s">
        <v>257</v>
      </c>
      <c r="BJ391">
        <v>0</v>
      </c>
      <c r="BK391" s="17"/>
      <c r="BL391" s="17"/>
      <c r="BN391" s="5" t="s">
        <v>281</v>
      </c>
      <c r="BO391">
        <v>0</v>
      </c>
      <c r="BP391" s="17"/>
      <c r="BQ391" s="17"/>
      <c r="BX391" s="61" t="s">
        <v>285</v>
      </c>
      <c r="BY391" s="62">
        <v>1</v>
      </c>
      <c r="BZ391" s="58"/>
      <c r="CA391" s="58"/>
      <c r="CC391" s="5" t="s">
        <v>307</v>
      </c>
      <c r="CD391">
        <v>7</v>
      </c>
      <c r="CE391" s="17"/>
      <c r="CF391" s="17"/>
      <c r="CR391" s="5" t="s">
        <v>349</v>
      </c>
      <c r="CS391">
        <v>0</v>
      </c>
      <c r="CW391" s="61" t="s">
        <v>355</v>
      </c>
      <c r="CX391" s="62">
        <v>0</v>
      </c>
    </row>
    <row r="392" spans="1:104" x14ac:dyDescent="0.25">
      <c r="A392" s="5" t="s">
        <v>51</v>
      </c>
      <c r="B392" s="27">
        <v>0</v>
      </c>
      <c r="C392" s="17"/>
      <c r="D392" s="17"/>
      <c r="U392" s="26" t="s">
        <v>114</v>
      </c>
      <c r="V392">
        <v>4</v>
      </c>
      <c r="W392" s="17"/>
      <c r="X392" s="17"/>
      <c r="Z392" s="61" t="s">
        <v>125</v>
      </c>
      <c r="AA392" s="62">
        <v>0</v>
      </c>
      <c r="AO392" s="5" t="s">
        <v>100</v>
      </c>
      <c r="AP392">
        <v>0</v>
      </c>
      <c r="AQ392" s="17"/>
      <c r="AR392" s="17"/>
      <c r="AY392" s="5" t="s">
        <v>205</v>
      </c>
      <c r="AZ392">
        <v>0</v>
      </c>
      <c r="BA392" s="17"/>
      <c r="BB392" s="17"/>
      <c r="BD392" s="5" t="s">
        <v>232</v>
      </c>
      <c r="BE392">
        <v>0</v>
      </c>
      <c r="BF392" s="17"/>
      <c r="BG392" s="17"/>
      <c r="BI392" s="5" t="s">
        <v>258</v>
      </c>
      <c r="BJ392">
        <v>0</v>
      </c>
      <c r="BK392" s="17"/>
      <c r="BL392" s="17"/>
      <c r="BN392" s="5" t="s">
        <v>282</v>
      </c>
      <c r="BO392">
        <v>0</v>
      </c>
      <c r="BP392" s="17"/>
      <c r="BQ392" s="17"/>
      <c r="BX392" s="61" t="s">
        <v>284</v>
      </c>
      <c r="BY392" s="62">
        <v>0</v>
      </c>
      <c r="BZ392" s="58"/>
      <c r="CA392" s="58"/>
      <c r="CC392" s="5" t="s">
        <v>308</v>
      </c>
      <c r="CD392">
        <v>7</v>
      </c>
      <c r="CE392" s="17"/>
      <c r="CF392" s="17"/>
      <c r="CR392" s="5" t="s">
        <v>350</v>
      </c>
      <c r="CS392">
        <v>0</v>
      </c>
      <c r="CW392" s="66" t="s">
        <v>356</v>
      </c>
      <c r="CX392" s="62">
        <v>1</v>
      </c>
    </row>
    <row r="393" spans="1:104" x14ac:dyDescent="0.25">
      <c r="A393" s="5" t="s">
        <v>52</v>
      </c>
      <c r="B393" s="27">
        <v>0</v>
      </c>
      <c r="C393" s="17"/>
      <c r="D393" s="17"/>
      <c r="U393" s="26" t="s">
        <v>115</v>
      </c>
      <c r="V393">
        <v>8</v>
      </c>
      <c r="W393" s="17"/>
      <c r="X393" s="17"/>
      <c r="Z393" s="61" t="s">
        <v>126</v>
      </c>
      <c r="AA393" s="62">
        <v>0</v>
      </c>
      <c r="AO393" s="5" t="s">
        <v>161</v>
      </c>
      <c r="AP393">
        <v>0</v>
      </c>
      <c r="AQ393" s="17"/>
      <c r="AR393" s="17"/>
      <c r="AY393" s="5" t="s">
        <v>206</v>
      </c>
      <c r="AZ393">
        <v>1</v>
      </c>
      <c r="BA393" s="17"/>
      <c r="BB393" s="17"/>
      <c r="BD393" s="5" t="s">
        <v>233</v>
      </c>
      <c r="BE393">
        <v>1</v>
      </c>
      <c r="BF393" s="17"/>
      <c r="BG393" s="17"/>
      <c r="BI393" s="5" t="s">
        <v>259</v>
      </c>
      <c r="BJ393">
        <v>0</v>
      </c>
      <c r="BK393" s="17"/>
      <c r="BL393" s="17"/>
      <c r="BN393" s="5" t="s">
        <v>283</v>
      </c>
      <c r="BO393">
        <v>0</v>
      </c>
      <c r="BP393" s="17"/>
      <c r="BQ393" s="17"/>
      <c r="BX393" s="61" t="s">
        <v>286</v>
      </c>
      <c r="BY393" s="62">
        <v>0</v>
      </c>
      <c r="BZ393" s="58"/>
      <c r="CA393" s="58"/>
      <c r="CC393" s="5" t="s">
        <v>309</v>
      </c>
      <c r="CD393">
        <v>10</v>
      </c>
      <c r="CE393" s="17"/>
      <c r="CF393" s="17"/>
      <c r="CR393" s="5" t="s">
        <v>351</v>
      </c>
      <c r="CS393">
        <v>0</v>
      </c>
      <c r="CW393" s="66" t="s">
        <v>357</v>
      </c>
      <c r="CX393" s="62">
        <v>0</v>
      </c>
    </row>
    <row r="394" spans="1:104" x14ac:dyDescent="0.25">
      <c r="A394" s="5" t="s">
        <v>53</v>
      </c>
      <c r="B394" s="27">
        <v>1</v>
      </c>
      <c r="C394" s="17"/>
      <c r="D394" s="17"/>
      <c r="U394" s="26" t="s">
        <v>116</v>
      </c>
      <c r="V394">
        <v>6</v>
      </c>
      <c r="W394" s="17"/>
      <c r="X394" s="1"/>
      <c r="Z394" s="61" t="s">
        <v>127</v>
      </c>
      <c r="AA394" s="62">
        <v>0</v>
      </c>
      <c r="AO394" s="5" t="s">
        <v>162</v>
      </c>
      <c r="AP394">
        <v>0</v>
      </c>
      <c r="AQ394" s="17"/>
      <c r="AR394" s="17"/>
      <c r="AY394" s="5" t="s">
        <v>207</v>
      </c>
      <c r="AZ394">
        <v>0</v>
      </c>
      <c r="BA394" s="17"/>
      <c r="BB394" s="17"/>
      <c r="BD394" s="5" t="s">
        <v>234</v>
      </c>
      <c r="BE394">
        <v>0</v>
      </c>
      <c r="BF394" s="17"/>
      <c r="BG394" s="17"/>
      <c r="BI394" s="5" t="s">
        <v>260</v>
      </c>
      <c r="BJ394">
        <v>0</v>
      </c>
      <c r="BK394" s="17"/>
      <c r="BL394" s="17"/>
      <c r="BN394" s="5" t="s">
        <v>285</v>
      </c>
      <c r="BO394">
        <v>0</v>
      </c>
      <c r="BP394" s="17"/>
      <c r="BQ394" s="17"/>
      <c r="BX394" s="61" t="s">
        <v>287</v>
      </c>
      <c r="BY394" s="62">
        <v>0</v>
      </c>
      <c r="BZ394" s="58"/>
      <c r="CA394" s="58"/>
      <c r="CC394" s="5" t="s">
        <v>310</v>
      </c>
      <c r="CD394">
        <v>16</v>
      </c>
      <c r="CE394" s="17"/>
      <c r="CF394" s="17"/>
      <c r="CR394" s="5" t="s">
        <v>352</v>
      </c>
      <c r="CS394">
        <v>0</v>
      </c>
      <c r="CW394" s="66" t="s">
        <v>358</v>
      </c>
      <c r="CX394" s="62">
        <v>0</v>
      </c>
    </row>
    <row r="395" spans="1:104" x14ac:dyDescent="0.25">
      <c r="A395" s="5" t="s">
        <v>54</v>
      </c>
      <c r="B395" s="27">
        <v>1</v>
      </c>
      <c r="C395" s="17"/>
      <c r="D395" s="17"/>
      <c r="U395" s="26" t="s">
        <v>117</v>
      </c>
      <c r="V395">
        <v>3</v>
      </c>
      <c r="W395" s="17"/>
      <c r="X395" s="1"/>
      <c r="Z395" s="61" t="s">
        <v>128</v>
      </c>
      <c r="AA395" s="62">
        <v>0</v>
      </c>
      <c r="AO395" s="5" t="s">
        <v>163</v>
      </c>
      <c r="AP395">
        <v>0</v>
      </c>
      <c r="AQ395" s="17"/>
      <c r="AR395" s="17"/>
      <c r="AY395" s="5" t="s">
        <v>208</v>
      </c>
      <c r="AZ395">
        <v>0</v>
      </c>
      <c r="BA395" s="15"/>
      <c r="BB395" s="15"/>
      <c r="BD395" s="5" t="s">
        <v>157</v>
      </c>
      <c r="BE395">
        <v>0</v>
      </c>
      <c r="BF395" s="17"/>
      <c r="BG395" s="17"/>
      <c r="BI395" s="5" t="s">
        <v>261</v>
      </c>
      <c r="BJ395">
        <v>0</v>
      </c>
      <c r="BK395" s="15"/>
      <c r="BL395" s="15"/>
      <c r="BN395" s="5" t="s">
        <v>284</v>
      </c>
      <c r="BO395">
        <v>0</v>
      </c>
      <c r="BP395" s="17"/>
      <c r="BQ395" s="17"/>
      <c r="BX395" s="61" t="s">
        <v>288</v>
      </c>
      <c r="BY395" s="62">
        <v>0</v>
      </c>
      <c r="BZ395" s="58"/>
      <c r="CA395" s="58"/>
      <c r="CC395" s="5" t="s">
        <v>311</v>
      </c>
      <c r="CD395">
        <v>13</v>
      </c>
      <c r="CE395" s="17"/>
      <c r="CF395" s="17"/>
      <c r="CR395" s="5" t="s">
        <v>353</v>
      </c>
      <c r="CS395">
        <v>0</v>
      </c>
      <c r="CW395" s="66" t="s">
        <v>359</v>
      </c>
      <c r="CX395" s="62">
        <v>0</v>
      </c>
    </row>
    <row r="396" spans="1:104" x14ac:dyDescent="0.25">
      <c r="A396" s="5" t="s">
        <v>55</v>
      </c>
      <c r="B396" s="27">
        <v>0</v>
      </c>
      <c r="C396" s="17"/>
      <c r="D396" s="17"/>
      <c r="U396" s="26" t="s">
        <v>118</v>
      </c>
      <c r="V396">
        <v>4</v>
      </c>
      <c r="W396" s="17"/>
      <c r="X396" s="1"/>
      <c r="AO396" s="5" t="s">
        <v>164</v>
      </c>
      <c r="AP396">
        <v>0</v>
      </c>
      <c r="AQ396" s="17"/>
      <c r="AR396" s="17"/>
      <c r="AY396" s="5" t="s">
        <v>209</v>
      </c>
      <c r="AZ396">
        <v>0</v>
      </c>
      <c r="BD396" s="5" t="s">
        <v>235</v>
      </c>
      <c r="BE396">
        <v>0</v>
      </c>
      <c r="BF396" s="17"/>
      <c r="BG396" s="17"/>
      <c r="BI396" s="5" t="s">
        <v>262</v>
      </c>
      <c r="BJ396">
        <v>0</v>
      </c>
      <c r="BN396" s="5" t="s">
        <v>286</v>
      </c>
      <c r="BO396">
        <v>0</v>
      </c>
      <c r="BP396" s="17"/>
      <c r="BQ396" s="17"/>
      <c r="BX396" s="61" t="s">
        <v>289</v>
      </c>
      <c r="BY396" s="62">
        <v>0</v>
      </c>
      <c r="BZ396" s="58"/>
      <c r="CA396" s="58"/>
      <c r="CC396" s="5" t="s">
        <v>312</v>
      </c>
      <c r="CD396">
        <v>10</v>
      </c>
      <c r="CE396" s="17"/>
      <c r="CF396" s="17"/>
      <c r="CR396" s="5" t="s">
        <v>354</v>
      </c>
      <c r="CS396">
        <v>0</v>
      </c>
    </row>
    <row r="397" spans="1:104" x14ac:dyDescent="0.25">
      <c r="A397" s="5" t="s">
        <v>56</v>
      </c>
      <c r="B397" s="27">
        <v>0</v>
      </c>
      <c r="C397" s="17"/>
      <c r="D397" s="17"/>
      <c r="U397" s="26" t="s">
        <v>119</v>
      </c>
      <c r="V397">
        <v>3</v>
      </c>
      <c r="Z397" s="58" t="s">
        <v>382</v>
      </c>
      <c r="AA397" s="59" t="s">
        <v>627</v>
      </c>
      <c r="AB397" s="58"/>
      <c r="AC397" s="58">
        <v>2016</v>
      </c>
      <c r="AO397" s="5" t="s">
        <v>165</v>
      </c>
      <c r="AP397">
        <v>0</v>
      </c>
      <c r="AQ397" s="17"/>
      <c r="AR397" s="17"/>
      <c r="AY397" s="5" t="s">
        <v>210</v>
      </c>
      <c r="AZ397">
        <v>0</v>
      </c>
      <c r="BD397" s="5" t="s">
        <v>236</v>
      </c>
      <c r="BE397">
        <v>0</v>
      </c>
      <c r="BF397" s="17"/>
      <c r="BG397" s="17"/>
      <c r="BI397" s="5" t="s">
        <v>263</v>
      </c>
      <c r="BJ397">
        <v>0</v>
      </c>
      <c r="BN397" s="5" t="s">
        <v>287</v>
      </c>
      <c r="BO397">
        <v>0</v>
      </c>
      <c r="BP397" s="17"/>
      <c r="BQ397" s="17"/>
      <c r="BX397" s="61" t="s">
        <v>290</v>
      </c>
      <c r="BY397" s="62">
        <v>0</v>
      </c>
      <c r="CC397" s="5" t="s">
        <v>313</v>
      </c>
      <c r="CD397">
        <v>16</v>
      </c>
      <c r="CE397" s="17"/>
      <c r="CF397" s="17"/>
      <c r="CR397" s="5" t="s">
        <v>355</v>
      </c>
      <c r="CS397">
        <v>0</v>
      </c>
      <c r="CW397" s="58" t="s">
        <v>382</v>
      </c>
      <c r="CX397" s="59" t="s">
        <v>629</v>
      </c>
      <c r="CY397" s="58"/>
      <c r="CZ397" s="58">
        <v>2016</v>
      </c>
    </row>
    <row r="398" spans="1:104" x14ac:dyDescent="0.25">
      <c r="A398" s="5" t="s">
        <v>57</v>
      </c>
      <c r="B398" s="27">
        <v>0</v>
      </c>
      <c r="C398" s="17"/>
      <c r="D398" s="17"/>
      <c r="U398" s="5" t="s">
        <v>120</v>
      </c>
      <c r="V398">
        <v>5</v>
      </c>
      <c r="Z398" s="58" t="s">
        <v>383</v>
      </c>
      <c r="AA398" s="60" t="s">
        <v>18</v>
      </c>
      <c r="AB398" s="58"/>
      <c r="AC398" s="58"/>
      <c r="AO398" s="5" t="s">
        <v>166</v>
      </c>
      <c r="AP398">
        <v>0</v>
      </c>
      <c r="AQ398" s="15"/>
      <c r="AR398" s="15"/>
      <c r="AY398" s="5" t="s">
        <v>211</v>
      </c>
      <c r="AZ398">
        <v>0</v>
      </c>
      <c r="BD398" s="5" t="s">
        <v>237</v>
      </c>
      <c r="BE398">
        <v>0</v>
      </c>
      <c r="BF398" s="15"/>
      <c r="BG398" s="15"/>
      <c r="BI398" s="5" t="s">
        <v>264</v>
      </c>
      <c r="BJ398">
        <v>0</v>
      </c>
      <c r="BN398" s="5" t="s">
        <v>288</v>
      </c>
      <c r="BO398">
        <v>2</v>
      </c>
      <c r="BP398" s="17"/>
      <c r="BQ398" s="17"/>
      <c r="BX398" s="61" t="s">
        <v>291</v>
      </c>
      <c r="BY398" s="62">
        <v>0</v>
      </c>
      <c r="CC398" s="5" t="s">
        <v>314</v>
      </c>
      <c r="CD398">
        <v>10</v>
      </c>
      <c r="CR398" s="2" t="s">
        <v>356</v>
      </c>
      <c r="CS398">
        <v>0</v>
      </c>
      <c r="CW398" s="58" t="s">
        <v>383</v>
      </c>
      <c r="CX398" s="60" t="s">
        <v>21</v>
      </c>
      <c r="CY398" s="58"/>
      <c r="CZ398" s="58"/>
    </row>
    <row r="399" spans="1:104" x14ac:dyDescent="0.25">
      <c r="A399" s="5" t="s">
        <v>58</v>
      </c>
      <c r="B399" s="27">
        <v>3</v>
      </c>
      <c r="C399" s="15"/>
      <c r="D399" s="15"/>
      <c r="U399" s="5" t="s">
        <v>121</v>
      </c>
      <c r="V399">
        <v>5</v>
      </c>
      <c r="Z399" s="58" t="s">
        <v>384</v>
      </c>
      <c r="AA399" s="58" t="s">
        <v>39</v>
      </c>
      <c r="AB399" s="58" t="s">
        <v>385</v>
      </c>
      <c r="AC399" s="58" t="s">
        <v>386</v>
      </c>
      <c r="AO399" s="5" t="s">
        <v>168</v>
      </c>
      <c r="AP399">
        <v>1</v>
      </c>
      <c r="AQ399" s="17"/>
      <c r="AR399" s="17"/>
      <c r="AY399" s="5" t="s">
        <v>212</v>
      </c>
      <c r="AZ399">
        <v>0</v>
      </c>
      <c r="BD399" s="5" t="s">
        <v>238</v>
      </c>
      <c r="BE399">
        <v>0</v>
      </c>
      <c r="BI399" s="5" t="s">
        <v>265</v>
      </c>
      <c r="BJ399">
        <v>2</v>
      </c>
      <c r="BN399" s="5" t="s">
        <v>289</v>
      </c>
      <c r="BO399">
        <v>0</v>
      </c>
      <c r="BP399" s="17"/>
      <c r="BQ399" s="17"/>
      <c r="BX399" s="61" t="s">
        <v>292</v>
      </c>
      <c r="BY399" s="62">
        <v>0</v>
      </c>
      <c r="CC399" s="5" t="s">
        <v>315</v>
      </c>
      <c r="CD399">
        <v>8</v>
      </c>
      <c r="CR399" s="2" t="s">
        <v>357</v>
      </c>
      <c r="CS399">
        <v>0</v>
      </c>
      <c r="CW399" s="58" t="s">
        <v>384</v>
      </c>
      <c r="CX399" s="58" t="s">
        <v>39</v>
      </c>
      <c r="CY399" s="58" t="s">
        <v>385</v>
      </c>
      <c r="CZ399" s="58" t="s">
        <v>386</v>
      </c>
    </row>
    <row r="400" spans="1:104" x14ac:dyDescent="0.25">
      <c r="A400" s="5" t="s">
        <v>60</v>
      </c>
      <c r="B400" s="27">
        <v>1</v>
      </c>
      <c r="C400" s="17"/>
      <c r="D400" s="17"/>
      <c r="U400" s="5" t="s">
        <v>122</v>
      </c>
      <c r="V400">
        <v>6</v>
      </c>
      <c r="Z400" s="61" t="s">
        <v>88</v>
      </c>
      <c r="AA400" s="62">
        <v>0</v>
      </c>
      <c r="AB400" s="63" t="s">
        <v>387</v>
      </c>
      <c r="AC400" s="58">
        <f>SUM(AA400:AA439)</f>
        <v>16</v>
      </c>
      <c r="AO400" s="5" t="s">
        <v>169</v>
      </c>
      <c r="AP400">
        <v>0</v>
      </c>
      <c r="AQ400" s="17"/>
      <c r="AR400" s="17"/>
      <c r="AY400" s="5" t="s">
        <v>213</v>
      </c>
      <c r="AZ400">
        <v>0</v>
      </c>
      <c r="BD400" s="5" t="s">
        <v>239</v>
      </c>
      <c r="BE400">
        <v>0</v>
      </c>
      <c r="BI400" s="5" t="s">
        <v>266</v>
      </c>
      <c r="BJ400">
        <v>0</v>
      </c>
      <c r="BX400" s="61" t="s">
        <v>293</v>
      </c>
      <c r="BY400" s="62">
        <v>1</v>
      </c>
      <c r="CC400" s="5" t="s">
        <v>316</v>
      </c>
      <c r="CD400">
        <v>22</v>
      </c>
      <c r="CR400" s="2" t="s">
        <v>358</v>
      </c>
      <c r="CS400">
        <v>0</v>
      </c>
      <c r="CW400" s="61" t="s">
        <v>321</v>
      </c>
      <c r="CX400" s="62">
        <v>0</v>
      </c>
      <c r="CY400" s="63" t="s">
        <v>387</v>
      </c>
      <c r="CZ400" s="58">
        <f>SUM(CX400:CX439)</f>
        <v>2</v>
      </c>
    </row>
    <row r="401" spans="1:104" x14ac:dyDescent="0.25">
      <c r="A401" s="5" t="s">
        <v>61</v>
      </c>
      <c r="B401" s="27">
        <v>1</v>
      </c>
      <c r="C401" s="17"/>
      <c r="D401" s="17"/>
      <c r="U401" s="5" t="s">
        <v>123</v>
      </c>
      <c r="V401">
        <v>12</v>
      </c>
      <c r="Z401" s="61" t="s">
        <v>89</v>
      </c>
      <c r="AA401" s="62">
        <v>0</v>
      </c>
      <c r="AB401" s="63" t="s">
        <v>388</v>
      </c>
      <c r="AC401" s="58">
        <f>MIN(AA400:AA439)</f>
        <v>0</v>
      </c>
      <c r="AO401" s="5" t="s">
        <v>170</v>
      </c>
      <c r="AP401">
        <v>0</v>
      </c>
      <c r="AQ401" s="17"/>
      <c r="AR401" s="1"/>
      <c r="AY401" s="5" t="s">
        <v>214</v>
      </c>
      <c r="AZ401">
        <v>0</v>
      </c>
      <c r="BD401" s="5" t="s">
        <v>240</v>
      </c>
      <c r="BE401">
        <v>0</v>
      </c>
      <c r="BI401" s="5" t="s">
        <v>267</v>
      </c>
      <c r="BJ401">
        <v>2</v>
      </c>
      <c r="BN401" s="17" t="s">
        <v>382</v>
      </c>
      <c r="BO401" s="29" t="s">
        <v>440</v>
      </c>
      <c r="BP401" s="17"/>
      <c r="BQ401" s="17">
        <v>2016</v>
      </c>
      <c r="BX401" s="61" t="s">
        <v>294</v>
      </c>
      <c r="BY401" s="62">
        <v>0</v>
      </c>
      <c r="CC401" s="5" t="s">
        <v>317</v>
      </c>
      <c r="CD401">
        <v>30</v>
      </c>
      <c r="CR401" s="3" t="s">
        <v>359</v>
      </c>
      <c r="CS401">
        <v>1</v>
      </c>
      <c r="CW401" s="61" t="s">
        <v>322</v>
      </c>
      <c r="CX401" s="62">
        <v>0</v>
      </c>
      <c r="CY401" s="63" t="s">
        <v>388</v>
      </c>
      <c r="CZ401" s="58">
        <f>MIN(CX400:CX439)</f>
        <v>0</v>
      </c>
    </row>
    <row r="402" spans="1:104" x14ac:dyDescent="0.25">
      <c r="A402" s="5" t="s">
        <v>62</v>
      </c>
      <c r="B402" s="27">
        <v>0</v>
      </c>
      <c r="C402" s="17"/>
      <c r="D402" s="1"/>
      <c r="U402" s="5" t="s">
        <v>124</v>
      </c>
      <c r="V402">
        <v>8</v>
      </c>
      <c r="Z402" s="61" t="s">
        <v>90</v>
      </c>
      <c r="AA402" s="62">
        <v>0</v>
      </c>
      <c r="AB402" s="63" t="s">
        <v>389</v>
      </c>
      <c r="AC402" s="58">
        <f>MAX(AA400:AA439)</f>
        <v>4</v>
      </c>
      <c r="AO402" s="5" t="s">
        <v>171</v>
      </c>
      <c r="AP402">
        <v>0</v>
      </c>
      <c r="AQ402" s="17"/>
      <c r="AR402" s="1"/>
      <c r="AY402" s="5" t="s">
        <v>215</v>
      </c>
      <c r="AZ402">
        <v>0</v>
      </c>
      <c r="BD402" s="5" t="s">
        <v>241</v>
      </c>
      <c r="BE402">
        <v>0</v>
      </c>
      <c r="BI402" s="5" t="s">
        <v>268</v>
      </c>
      <c r="BJ402">
        <v>1</v>
      </c>
      <c r="BN402" s="17" t="s">
        <v>383</v>
      </c>
      <c r="BO402" s="6" t="s">
        <v>37</v>
      </c>
      <c r="BP402" s="17"/>
      <c r="BQ402" s="17"/>
      <c r="BX402" s="61" t="s">
        <v>295</v>
      </c>
      <c r="BY402" s="62">
        <v>0</v>
      </c>
      <c r="CC402" s="5" t="s">
        <v>318</v>
      </c>
      <c r="CD402">
        <v>26</v>
      </c>
      <c r="CW402" s="61" t="s">
        <v>323</v>
      </c>
      <c r="CX402" s="62">
        <v>0</v>
      </c>
      <c r="CY402" s="63" t="s">
        <v>389</v>
      </c>
      <c r="CZ402" s="58">
        <f>MAX(CX400:CX439)</f>
        <v>1</v>
      </c>
    </row>
    <row r="403" spans="1:104" x14ac:dyDescent="0.25">
      <c r="A403" s="5" t="s">
        <v>63</v>
      </c>
      <c r="B403" s="27">
        <v>0</v>
      </c>
      <c r="C403" s="17"/>
      <c r="D403" s="1"/>
      <c r="U403" s="5" t="s">
        <v>125</v>
      </c>
      <c r="V403">
        <v>4</v>
      </c>
      <c r="Z403" s="61" t="s">
        <v>91</v>
      </c>
      <c r="AA403" s="62">
        <v>0</v>
      </c>
      <c r="AB403" s="63" t="s">
        <v>390</v>
      </c>
      <c r="AC403" s="58">
        <f>VAR(AA400:AA439)</f>
        <v>0.65641025641025641</v>
      </c>
      <c r="AO403" s="5" t="s">
        <v>172</v>
      </c>
      <c r="AP403">
        <v>0</v>
      </c>
      <c r="AQ403" s="17"/>
      <c r="AR403" s="1"/>
      <c r="AY403" s="5" t="s">
        <v>216</v>
      </c>
      <c r="AZ403">
        <v>0</v>
      </c>
      <c r="BD403" s="5" t="s">
        <v>242</v>
      </c>
      <c r="BE403">
        <v>0</v>
      </c>
      <c r="BI403" s="5" t="s">
        <v>269</v>
      </c>
      <c r="BJ403">
        <v>1</v>
      </c>
      <c r="BN403" s="17" t="s">
        <v>384</v>
      </c>
      <c r="BO403" s="17" t="s">
        <v>39</v>
      </c>
      <c r="BP403" s="17" t="s">
        <v>385</v>
      </c>
      <c r="BQ403" s="17" t="s">
        <v>386</v>
      </c>
      <c r="BX403" s="61" t="s">
        <v>296</v>
      </c>
      <c r="BY403" s="62">
        <v>0</v>
      </c>
      <c r="CC403" s="5" t="s">
        <v>319</v>
      </c>
      <c r="CD403">
        <v>13</v>
      </c>
      <c r="CW403" s="61" t="s">
        <v>324</v>
      </c>
      <c r="CX403" s="62">
        <v>0</v>
      </c>
      <c r="CY403" s="63" t="s">
        <v>390</v>
      </c>
      <c r="CZ403" s="58">
        <f>VAR(CX400:CX439)</f>
        <v>4.8717948717948718E-2</v>
      </c>
    </row>
    <row r="404" spans="1:104" x14ac:dyDescent="0.25">
      <c r="A404" s="5" t="s">
        <v>64</v>
      </c>
      <c r="B404" s="27">
        <v>0</v>
      </c>
      <c r="C404" s="17"/>
      <c r="D404" s="1"/>
      <c r="U404" s="5" t="s">
        <v>126</v>
      </c>
      <c r="V404">
        <v>2</v>
      </c>
      <c r="Z404" s="61" t="s">
        <v>92</v>
      </c>
      <c r="AA404" s="62">
        <v>0</v>
      </c>
      <c r="AB404" s="63" t="s">
        <v>391</v>
      </c>
      <c r="AC404" s="58">
        <f>AVERAGE(AA400:AA439)</f>
        <v>0.4</v>
      </c>
      <c r="AO404" s="5" t="s">
        <v>173</v>
      </c>
      <c r="AP404">
        <v>0</v>
      </c>
      <c r="AY404" s="5" t="s">
        <v>217</v>
      </c>
      <c r="AZ404">
        <v>0</v>
      </c>
      <c r="BD404" s="5" t="s">
        <v>243</v>
      </c>
      <c r="BE404">
        <v>0</v>
      </c>
      <c r="BI404" s="5" t="s">
        <v>270</v>
      </c>
      <c r="BJ404">
        <v>0</v>
      </c>
      <c r="BN404" s="5" t="s">
        <v>274</v>
      </c>
      <c r="BO404">
        <v>1</v>
      </c>
      <c r="BP404" s="30" t="s">
        <v>387</v>
      </c>
      <c r="BQ404" s="17">
        <f>SUM(BO404:BO419)</f>
        <v>45</v>
      </c>
      <c r="BX404" s="61" t="s">
        <v>297</v>
      </c>
      <c r="BY404" s="62">
        <v>0</v>
      </c>
      <c r="CC404" s="5" t="s">
        <v>320</v>
      </c>
      <c r="CD404">
        <v>30</v>
      </c>
      <c r="CW404" s="61" t="s">
        <v>325</v>
      </c>
      <c r="CX404" s="62">
        <v>1</v>
      </c>
      <c r="CY404" s="63" t="s">
        <v>391</v>
      </c>
      <c r="CZ404" s="58">
        <f>AVERAGE(CX400:CX439)</f>
        <v>0.05</v>
      </c>
    </row>
    <row r="405" spans="1:104" x14ac:dyDescent="0.25">
      <c r="U405" s="5" t="s">
        <v>127</v>
      </c>
      <c r="V405">
        <v>4</v>
      </c>
      <c r="Z405" s="61" t="s">
        <v>93</v>
      </c>
      <c r="AA405" s="62">
        <v>0</v>
      </c>
      <c r="AB405" s="63" t="s">
        <v>392</v>
      </c>
      <c r="AC405" s="58">
        <f>STDEV(AA400:AA439)</f>
        <v>0.81019149366693333</v>
      </c>
      <c r="AO405" s="5" t="s">
        <v>174</v>
      </c>
      <c r="AP405">
        <v>1</v>
      </c>
      <c r="AY405" s="5" t="s">
        <v>218</v>
      </c>
      <c r="AZ405">
        <v>0</v>
      </c>
      <c r="BD405" s="5" t="s">
        <v>244</v>
      </c>
      <c r="BE405">
        <v>0</v>
      </c>
      <c r="BI405" s="5" t="s">
        <v>271</v>
      </c>
      <c r="BJ405">
        <v>1</v>
      </c>
      <c r="BN405" s="5" t="s">
        <v>275</v>
      </c>
      <c r="BO405">
        <v>1</v>
      </c>
      <c r="BP405" s="30" t="s">
        <v>388</v>
      </c>
      <c r="BQ405" s="17">
        <f>MIN(BO404:BO419)</f>
        <v>0</v>
      </c>
      <c r="BX405" s="61" t="s">
        <v>298</v>
      </c>
      <c r="BY405" s="62">
        <v>0</v>
      </c>
      <c r="CW405" s="61" t="s">
        <v>326</v>
      </c>
      <c r="CX405" s="62">
        <v>0</v>
      </c>
      <c r="CY405" s="63" t="s">
        <v>392</v>
      </c>
      <c r="CZ405" s="58">
        <f>STDEV(CX400:CX439)</f>
        <v>0.22072142786315224</v>
      </c>
    </row>
    <row r="406" spans="1:104" x14ac:dyDescent="0.25">
      <c r="A406" s="17" t="s">
        <v>382</v>
      </c>
      <c r="B406" s="29" t="s">
        <v>361</v>
      </c>
      <c r="C406" s="17"/>
      <c r="D406" s="17">
        <v>2016</v>
      </c>
      <c r="U406" s="5" t="s">
        <v>128</v>
      </c>
      <c r="V406">
        <v>2</v>
      </c>
      <c r="Z406" s="61" t="s">
        <v>94</v>
      </c>
      <c r="AA406" s="62">
        <v>2</v>
      </c>
      <c r="AB406" s="58"/>
      <c r="AC406" s="58"/>
      <c r="AY406" s="5" t="s">
        <v>219</v>
      </c>
      <c r="AZ406">
        <v>0</v>
      </c>
      <c r="BI406" s="5" t="s">
        <v>272</v>
      </c>
      <c r="BJ406">
        <v>0</v>
      </c>
      <c r="BN406" s="5" t="s">
        <v>276</v>
      </c>
      <c r="BO406">
        <v>2</v>
      </c>
      <c r="BP406" s="30" t="s">
        <v>389</v>
      </c>
      <c r="BQ406" s="17">
        <f>MAX(BO404:BO419)</f>
        <v>6</v>
      </c>
      <c r="CC406" s="17" t="s">
        <v>382</v>
      </c>
      <c r="CD406" s="29" t="s">
        <v>375</v>
      </c>
      <c r="CE406" s="17"/>
      <c r="CF406" s="17">
        <v>2016</v>
      </c>
      <c r="CW406" s="61" t="s">
        <v>327</v>
      </c>
      <c r="CX406" s="62">
        <v>0</v>
      </c>
      <c r="CY406" s="58"/>
      <c r="CZ406" s="58"/>
    </row>
    <row r="407" spans="1:104" x14ac:dyDescent="0.25">
      <c r="A407" s="17" t="s">
        <v>383</v>
      </c>
      <c r="B407" s="6" t="s">
        <v>30</v>
      </c>
      <c r="C407" s="17"/>
      <c r="D407" s="17"/>
      <c r="Z407" s="61" t="s">
        <v>96</v>
      </c>
      <c r="AA407" s="62">
        <v>0</v>
      </c>
      <c r="AO407" s="17" t="s">
        <v>382</v>
      </c>
      <c r="AP407" s="29" t="s">
        <v>368</v>
      </c>
      <c r="AQ407" s="17"/>
      <c r="AR407" s="17">
        <v>2016</v>
      </c>
      <c r="AY407" s="5" t="s">
        <v>220</v>
      </c>
      <c r="AZ407">
        <v>0</v>
      </c>
      <c r="BD407" s="17" t="s">
        <v>382</v>
      </c>
      <c r="BE407" s="29" t="s">
        <v>371</v>
      </c>
      <c r="BF407" s="17"/>
      <c r="BG407" s="17">
        <v>2016</v>
      </c>
      <c r="BI407" s="5" t="s">
        <v>273</v>
      </c>
      <c r="BJ407">
        <v>1</v>
      </c>
      <c r="BN407" s="5" t="s">
        <v>277</v>
      </c>
      <c r="BO407">
        <v>5</v>
      </c>
      <c r="BP407" s="30" t="s">
        <v>390</v>
      </c>
      <c r="BQ407" s="17">
        <f>VAR(BO404:BO419)</f>
        <v>3.6291666666666669</v>
      </c>
      <c r="BX407" s="58" t="s">
        <v>382</v>
      </c>
      <c r="BY407" s="59" t="s">
        <v>628</v>
      </c>
      <c r="BZ407" s="58"/>
      <c r="CA407" s="58">
        <v>2016</v>
      </c>
      <c r="CC407" s="17" t="s">
        <v>383</v>
      </c>
      <c r="CD407" s="6" t="s">
        <v>33</v>
      </c>
      <c r="CE407" s="17"/>
      <c r="CF407" s="17"/>
      <c r="CW407" s="61" t="s">
        <v>328</v>
      </c>
      <c r="CX407" s="62">
        <v>0</v>
      </c>
    </row>
    <row r="408" spans="1:104" x14ac:dyDescent="0.25">
      <c r="A408" s="17" t="s">
        <v>384</v>
      </c>
      <c r="B408" s="17" t="s">
        <v>39</v>
      </c>
      <c r="C408" s="17" t="s">
        <v>385</v>
      </c>
      <c r="D408" s="17" t="s">
        <v>386</v>
      </c>
      <c r="U408" s="17" t="s">
        <v>382</v>
      </c>
      <c r="V408" s="29" t="s">
        <v>400</v>
      </c>
      <c r="W408" s="17"/>
      <c r="X408" s="17">
        <v>2016</v>
      </c>
      <c r="Z408" s="61" t="s">
        <v>97</v>
      </c>
      <c r="AA408" s="62">
        <v>2</v>
      </c>
      <c r="AO408" s="17" t="s">
        <v>383</v>
      </c>
      <c r="AP408" s="6" t="s">
        <v>24</v>
      </c>
      <c r="AQ408" s="17"/>
      <c r="AR408" s="17"/>
      <c r="BD408" s="17" t="s">
        <v>383</v>
      </c>
      <c r="BE408" s="6" t="s">
        <v>30</v>
      </c>
      <c r="BF408" s="17"/>
      <c r="BG408" s="17"/>
      <c r="BN408" s="5" t="s">
        <v>279</v>
      </c>
      <c r="BO408">
        <v>0</v>
      </c>
      <c r="BP408" s="30" t="s">
        <v>391</v>
      </c>
      <c r="BQ408" s="17">
        <f>AVERAGE(BO404:BO419)</f>
        <v>2.8125</v>
      </c>
      <c r="BX408" s="58" t="s">
        <v>383</v>
      </c>
      <c r="BY408" s="60" t="s">
        <v>26</v>
      </c>
      <c r="BZ408" s="58"/>
      <c r="CA408" s="58"/>
      <c r="CC408" s="17" t="s">
        <v>384</v>
      </c>
      <c r="CD408" s="17" t="s">
        <v>39</v>
      </c>
      <c r="CE408" s="17" t="s">
        <v>385</v>
      </c>
      <c r="CF408" s="17" t="s">
        <v>386</v>
      </c>
      <c r="CM408" s="17" t="s">
        <v>382</v>
      </c>
      <c r="CN408" s="29" t="s">
        <v>442</v>
      </c>
      <c r="CO408" s="17"/>
      <c r="CP408" s="17">
        <v>2016</v>
      </c>
      <c r="CR408" s="17" t="s">
        <v>382</v>
      </c>
      <c r="CS408" s="29" t="s">
        <v>442</v>
      </c>
      <c r="CT408" s="17"/>
      <c r="CU408" s="17">
        <v>2016</v>
      </c>
      <c r="CW408" s="61" t="s">
        <v>329</v>
      </c>
      <c r="CX408" s="62">
        <v>0</v>
      </c>
    </row>
    <row r="409" spans="1:104" x14ac:dyDescent="0.25">
      <c r="A409" s="5" t="s">
        <v>40</v>
      </c>
      <c r="B409">
        <v>0</v>
      </c>
      <c r="C409" s="30" t="s">
        <v>387</v>
      </c>
      <c r="D409" s="17">
        <f>SUM(B409:B431)</f>
        <v>2</v>
      </c>
      <c r="U409" s="17" t="s">
        <v>383</v>
      </c>
      <c r="V409" s="6" t="s">
        <v>20</v>
      </c>
      <c r="W409" s="17"/>
      <c r="X409" s="17"/>
      <c r="Z409" s="61" t="s">
        <v>98</v>
      </c>
      <c r="AA409" s="62">
        <v>1</v>
      </c>
      <c r="AO409" s="17" t="s">
        <v>384</v>
      </c>
      <c r="AP409" s="17" t="s">
        <v>39</v>
      </c>
      <c r="AQ409" s="17" t="s">
        <v>385</v>
      </c>
      <c r="AR409" s="17" t="s">
        <v>386</v>
      </c>
      <c r="AY409" s="17" t="s">
        <v>382</v>
      </c>
      <c r="AZ409" s="29" t="s">
        <v>370</v>
      </c>
      <c r="BA409" s="17"/>
      <c r="BB409" s="17">
        <v>2016</v>
      </c>
      <c r="BD409" s="17" t="s">
        <v>384</v>
      </c>
      <c r="BE409" s="17" t="s">
        <v>39</v>
      </c>
      <c r="BF409" s="17" t="s">
        <v>385</v>
      </c>
      <c r="BG409" s="17" t="s">
        <v>386</v>
      </c>
      <c r="BI409" s="17" t="s">
        <v>382</v>
      </c>
      <c r="BJ409" s="29" t="s">
        <v>372</v>
      </c>
      <c r="BK409" s="17"/>
      <c r="BL409" s="17">
        <v>2016</v>
      </c>
      <c r="BN409" s="5" t="s">
        <v>278</v>
      </c>
      <c r="BO409">
        <v>0</v>
      </c>
      <c r="BP409" s="30" t="s">
        <v>392</v>
      </c>
      <c r="BQ409" s="17">
        <f>STDEV(BO404:BO419)</f>
        <v>1.9050371824892729</v>
      </c>
      <c r="BX409" s="58" t="s">
        <v>384</v>
      </c>
      <c r="BY409" s="58" t="s">
        <v>39</v>
      </c>
      <c r="BZ409" s="58" t="s">
        <v>385</v>
      </c>
      <c r="CA409" s="58" t="s">
        <v>386</v>
      </c>
      <c r="CC409" s="5" t="s">
        <v>299</v>
      </c>
      <c r="CD409">
        <v>0</v>
      </c>
      <c r="CE409" s="30" t="s">
        <v>387</v>
      </c>
      <c r="CF409" s="17">
        <f>SUM(CD409:CD431)</f>
        <v>4</v>
      </c>
      <c r="CM409" s="17" t="s">
        <v>383</v>
      </c>
      <c r="CN409" s="6" t="s">
        <v>24</v>
      </c>
      <c r="CO409" s="15"/>
      <c r="CP409" s="17"/>
      <c r="CR409" s="17" t="s">
        <v>383</v>
      </c>
      <c r="CS409" s="6" t="s">
        <v>24</v>
      </c>
      <c r="CT409" s="15"/>
      <c r="CU409" s="17"/>
      <c r="CW409" s="61" t="s">
        <v>330</v>
      </c>
      <c r="CX409" s="62">
        <v>0</v>
      </c>
    </row>
    <row r="410" spans="1:104" x14ac:dyDescent="0.25">
      <c r="A410" s="5" t="s">
        <v>41</v>
      </c>
      <c r="B410">
        <v>0</v>
      </c>
      <c r="C410" s="30" t="s">
        <v>388</v>
      </c>
      <c r="D410" s="17">
        <f>MIN(B409:B431)</f>
        <v>0</v>
      </c>
      <c r="U410" s="17" t="s">
        <v>384</v>
      </c>
      <c r="V410" s="17" t="s">
        <v>39</v>
      </c>
      <c r="W410" s="17" t="s">
        <v>385</v>
      </c>
      <c r="X410" s="17" t="s">
        <v>386</v>
      </c>
      <c r="Z410" s="61" t="s">
        <v>99</v>
      </c>
      <c r="AA410" s="62">
        <v>4</v>
      </c>
      <c r="AO410" s="5" t="s">
        <v>149</v>
      </c>
      <c r="AP410">
        <v>0</v>
      </c>
      <c r="AQ410" s="30" t="s">
        <v>387</v>
      </c>
      <c r="AR410" s="17">
        <f>SUM(AP410:AP434)</f>
        <v>5</v>
      </c>
      <c r="AY410" s="17" t="s">
        <v>383</v>
      </c>
      <c r="AZ410" s="6" t="s">
        <v>25</v>
      </c>
      <c r="BA410" s="17"/>
      <c r="BB410" s="17"/>
      <c r="BD410" s="5" t="s">
        <v>221</v>
      </c>
      <c r="BE410">
        <v>0</v>
      </c>
      <c r="BF410" s="30" t="s">
        <v>387</v>
      </c>
      <c r="BG410" s="17">
        <f>SUM(BE410:BE434)</f>
        <v>1</v>
      </c>
      <c r="BI410" s="17" t="s">
        <v>383</v>
      </c>
      <c r="BJ410" s="6" t="s">
        <v>23</v>
      </c>
      <c r="BK410" s="17"/>
      <c r="BL410" s="17"/>
      <c r="BN410" s="5" t="s">
        <v>280</v>
      </c>
      <c r="BO410">
        <v>3</v>
      </c>
      <c r="BP410" s="17"/>
      <c r="BQ410" s="17"/>
      <c r="BX410" s="61" t="s">
        <v>274</v>
      </c>
      <c r="BY410" s="62">
        <v>0</v>
      </c>
      <c r="BZ410" s="63" t="s">
        <v>387</v>
      </c>
      <c r="CA410" s="58">
        <f>SUM(BY410:BY434)</f>
        <v>2</v>
      </c>
      <c r="CC410" s="5" t="s">
        <v>300</v>
      </c>
      <c r="CD410">
        <v>0</v>
      </c>
      <c r="CE410" s="30" t="s">
        <v>388</v>
      </c>
      <c r="CF410" s="17">
        <f>MIN(CD409:CD431)</f>
        <v>0</v>
      </c>
      <c r="CM410" s="17" t="s">
        <v>384</v>
      </c>
      <c r="CN410" s="17" t="s">
        <v>39</v>
      </c>
      <c r="CO410" s="17" t="s">
        <v>385</v>
      </c>
      <c r="CP410" s="17" t="s">
        <v>386</v>
      </c>
      <c r="CR410" s="17" t="s">
        <v>384</v>
      </c>
      <c r="CS410" s="17" t="s">
        <v>39</v>
      </c>
      <c r="CT410" s="17" t="s">
        <v>385</v>
      </c>
      <c r="CU410" s="17" t="s">
        <v>386</v>
      </c>
      <c r="CW410" s="61" t="s">
        <v>331</v>
      </c>
      <c r="CX410" s="62">
        <v>0</v>
      </c>
    </row>
    <row r="411" spans="1:104" x14ac:dyDescent="0.25">
      <c r="A411" s="5" t="s">
        <v>42</v>
      </c>
      <c r="B411">
        <v>0</v>
      </c>
      <c r="C411" s="30" t="s">
        <v>389</v>
      </c>
      <c r="D411" s="17">
        <f>MAX(B409:B431)</f>
        <v>1</v>
      </c>
      <c r="U411" s="5" t="s">
        <v>96</v>
      </c>
      <c r="V411">
        <v>0</v>
      </c>
      <c r="W411" s="30" t="s">
        <v>387</v>
      </c>
      <c r="X411" s="17">
        <f>SUM(V411:V443)</f>
        <v>2</v>
      </c>
      <c r="Z411" s="61" t="s">
        <v>100</v>
      </c>
      <c r="AA411" s="62">
        <v>0</v>
      </c>
      <c r="AO411" s="5" t="s">
        <v>150</v>
      </c>
      <c r="AP411">
        <v>0</v>
      </c>
      <c r="AQ411" s="30" t="s">
        <v>388</v>
      </c>
      <c r="AR411" s="17">
        <f>MIN(AP410:AP434)</f>
        <v>0</v>
      </c>
      <c r="AY411" s="17" t="s">
        <v>384</v>
      </c>
      <c r="AZ411" s="17" t="s">
        <v>39</v>
      </c>
      <c r="BA411" s="17" t="s">
        <v>385</v>
      </c>
      <c r="BB411" s="17" t="s">
        <v>386</v>
      </c>
      <c r="BD411" s="5" t="s">
        <v>222</v>
      </c>
      <c r="BE411">
        <v>0</v>
      </c>
      <c r="BF411" s="30" t="s">
        <v>388</v>
      </c>
      <c r="BG411" s="17">
        <f>MIN(BE410:BE434)</f>
        <v>0</v>
      </c>
      <c r="BI411" s="17" t="s">
        <v>384</v>
      </c>
      <c r="BJ411" s="17" t="s">
        <v>39</v>
      </c>
      <c r="BK411" s="17" t="s">
        <v>385</v>
      </c>
      <c r="BL411" s="17" t="s">
        <v>386</v>
      </c>
      <c r="BN411" s="5" t="s">
        <v>281</v>
      </c>
      <c r="BO411">
        <v>2</v>
      </c>
      <c r="BP411" s="17"/>
      <c r="BQ411" s="17"/>
      <c r="BX411" s="61" t="s">
        <v>275</v>
      </c>
      <c r="BY411" s="62">
        <v>0</v>
      </c>
      <c r="BZ411" s="63" t="s">
        <v>388</v>
      </c>
      <c r="CA411" s="58">
        <f>MIN(BY410:BY434)</f>
        <v>0</v>
      </c>
      <c r="CC411" s="5" t="s">
        <v>301</v>
      </c>
      <c r="CD411">
        <v>0</v>
      </c>
      <c r="CE411" s="30" t="s">
        <v>389</v>
      </c>
      <c r="CF411" s="17">
        <f>MAX(CD409:CD431)</f>
        <v>1</v>
      </c>
      <c r="CM411" s="5" t="s">
        <v>328</v>
      </c>
      <c r="CN411">
        <v>0</v>
      </c>
      <c r="CO411" s="30" t="s">
        <v>387</v>
      </c>
      <c r="CP411" s="17">
        <f>SUM(CN411:CN443)</f>
        <v>0</v>
      </c>
      <c r="CR411" s="5" t="s">
        <v>333</v>
      </c>
      <c r="CS411">
        <v>0</v>
      </c>
      <c r="CT411" s="30" t="s">
        <v>387</v>
      </c>
      <c r="CU411" s="17">
        <f>SUM(CS411:CS438)</f>
        <v>6</v>
      </c>
      <c r="CW411" s="61" t="s">
        <v>332</v>
      </c>
      <c r="CX411" s="62">
        <v>0</v>
      </c>
    </row>
    <row r="412" spans="1:104" x14ac:dyDescent="0.25">
      <c r="A412" s="5" t="s">
        <v>43</v>
      </c>
      <c r="B412">
        <v>0</v>
      </c>
      <c r="C412" s="30" t="s">
        <v>390</v>
      </c>
      <c r="D412" s="17">
        <f>VAR(B409:B431)</f>
        <v>8.3003952569169967E-2</v>
      </c>
      <c r="U412" s="5" t="s">
        <v>97</v>
      </c>
      <c r="V412">
        <v>0</v>
      </c>
      <c r="W412" s="30" t="s">
        <v>388</v>
      </c>
      <c r="X412" s="17">
        <f>MIN(V411:V443)</f>
        <v>0</v>
      </c>
      <c r="Z412" s="61" t="s">
        <v>101</v>
      </c>
      <c r="AA412" s="62">
        <v>0</v>
      </c>
      <c r="AO412" s="5" t="s">
        <v>151</v>
      </c>
      <c r="AP412">
        <v>0</v>
      </c>
      <c r="AQ412" s="30" t="s">
        <v>389</v>
      </c>
      <c r="AR412" s="17">
        <f>MAX(AP410:AP434)</f>
        <v>1</v>
      </c>
      <c r="AY412" s="5" t="s">
        <v>192</v>
      </c>
      <c r="AZ412">
        <v>2</v>
      </c>
      <c r="BA412" s="30" t="s">
        <v>387</v>
      </c>
      <c r="BB412" s="17">
        <f>SUM(AZ412:AZ441)</f>
        <v>11</v>
      </c>
      <c r="BD412" s="5" t="s">
        <v>223</v>
      </c>
      <c r="BE412">
        <v>0</v>
      </c>
      <c r="BF412" s="30" t="s">
        <v>389</v>
      </c>
      <c r="BG412" s="17">
        <f>MAX(BE410:BE434)</f>
        <v>1</v>
      </c>
      <c r="BI412" s="5" t="s">
        <v>245</v>
      </c>
      <c r="BJ412">
        <v>0</v>
      </c>
      <c r="BK412" s="30" t="s">
        <v>387</v>
      </c>
      <c r="BL412" s="17">
        <f>SUM(BJ412:BJ441)</f>
        <v>3</v>
      </c>
      <c r="BN412" s="5" t="s">
        <v>282</v>
      </c>
      <c r="BO412">
        <v>2</v>
      </c>
      <c r="BP412" s="17"/>
      <c r="BQ412" s="17"/>
      <c r="BX412" s="61" t="s">
        <v>276</v>
      </c>
      <c r="BY412" s="62">
        <v>0</v>
      </c>
      <c r="BZ412" s="63" t="s">
        <v>389</v>
      </c>
      <c r="CA412" s="58">
        <f>MAX(BY410:BY434)</f>
        <v>1</v>
      </c>
      <c r="CC412" s="5" t="s">
        <v>302</v>
      </c>
      <c r="CD412">
        <v>0</v>
      </c>
      <c r="CE412" s="30" t="s">
        <v>390</v>
      </c>
      <c r="CF412" s="17">
        <f>VAR(CD409:CD431)</f>
        <v>0.15019762845849802</v>
      </c>
      <c r="CM412" s="5" t="s">
        <v>329</v>
      </c>
      <c r="CN412">
        <v>0</v>
      </c>
      <c r="CO412" s="30" t="s">
        <v>388</v>
      </c>
      <c r="CP412" s="17">
        <f>MIN(CN411:CN443)</f>
        <v>0</v>
      </c>
      <c r="CR412" s="5" t="s">
        <v>334</v>
      </c>
      <c r="CS412">
        <v>0</v>
      </c>
      <c r="CT412" s="30" t="s">
        <v>388</v>
      </c>
      <c r="CU412" s="17">
        <f>MIN(CS411:CS438)</f>
        <v>0</v>
      </c>
      <c r="CW412" s="61" t="s">
        <v>333</v>
      </c>
      <c r="CX412" s="62">
        <v>0</v>
      </c>
    </row>
    <row r="413" spans="1:104" x14ac:dyDescent="0.25">
      <c r="A413" s="5" t="s">
        <v>44</v>
      </c>
      <c r="B413">
        <v>0</v>
      </c>
      <c r="C413" s="30" t="s">
        <v>391</v>
      </c>
      <c r="D413" s="17">
        <f>AVERAGE(B409:B431)</f>
        <v>8.6956521739130432E-2</v>
      </c>
      <c r="U413" s="5" t="s">
        <v>98</v>
      </c>
      <c r="V413">
        <v>0</v>
      </c>
      <c r="W413" s="30" t="s">
        <v>389</v>
      </c>
      <c r="X413" s="17">
        <f>MAX(V411:V443)</f>
        <v>1</v>
      </c>
      <c r="Z413" s="61" t="s">
        <v>103</v>
      </c>
      <c r="AA413" s="62">
        <v>1</v>
      </c>
      <c r="AO413" s="5" t="s">
        <v>152</v>
      </c>
      <c r="AP413">
        <v>0</v>
      </c>
      <c r="AQ413" s="30" t="s">
        <v>390</v>
      </c>
      <c r="AR413" s="17">
        <f>VAR(AP410:AP434)</f>
        <v>0.16666666666666666</v>
      </c>
      <c r="AY413" s="5" t="s">
        <v>193</v>
      </c>
      <c r="AZ413">
        <v>0</v>
      </c>
      <c r="BA413" s="30" t="s">
        <v>388</v>
      </c>
      <c r="BB413" s="17">
        <f>MIN(AZ412:AZ441)</f>
        <v>0</v>
      </c>
      <c r="BD413" s="5" t="s">
        <v>224</v>
      </c>
      <c r="BE413">
        <v>0</v>
      </c>
      <c r="BF413" s="30" t="s">
        <v>390</v>
      </c>
      <c r="BG413" s="17">
        <f>VAR(BE410:BE434)</f>
        <v>0.04</v>
      </c>
      <c r="BI413" s="5" t="s">
        <v>73</v>
      </c>
      <c r="BJ413">
        <v>0</v>
      </c>
      <c r="BK413" s="30" t="s">
        <v>388</v>
      </c>
      <c r="BL413" s="17">
        <f>MIN(BJ412:BJ441)</f>
        <v>0</v>
      </c>
      <c r="BN413" s="5" t="s">
        <v>283</v>
      </c>
      <c r="BO413">
        <v>3</v>
      </c>
      <c r="BP413" s="17"/>
      <c r="BQ413" s="17"/>
      <c r="BX413" s="61" t="s">
        <v>277</v>
      </c>
      <c r="BY413" s="62">
        <v>0</v>
      </c>
      <c r="BZ413" s="63" t="s">
        <v>390</v>
      </c>
      <c r="CA413" s="58">
        <f>VAR(BY410:BY434)</f>
        <v>7.6666666666666675E-2</v>
      </c>
      <c r="CC413" s="5" t="s">
        <v>303</v>
      </c>
      <c r="CD413">
        <v>0</v>
      </c>
      <c r="CE413" s="30" t="s">
        <v>391</v>
      </c>
      <c r="CF413" s="17">
        <f>AVERAGE(CD409:CD431)</f>
        <v>0.17391304347826086</v>
      </c>
      <c r="CM413" s="5" t="s">
        <v>330</v>
      </c>
      <c r="CN413">
        <v>0</v>
      </c>
      <c r="CO413" s="30" t="s">
        <v>389</v>
      </c>
      <c r="CP413" s="17">
        <f>MAX(CN411:CN443)</f>
        <v>0</v>
      </c>
      <c r="CR413" s="5" t="s">
        <v>335</v>
      </c>
      <c r="CS413">
        <v>0</v>
      </c>
      <c r="CT413" s="30" t="s">
        <v>389</v>
      </c>
      <c r="CU413" s="17">
        <f>MAX(CS411:CS438)</f>
        <v>2</v>
      </c>
      <c r="CW413" s="61" t="s">
        <v>334</v>
      </c>
      <c r="CX413" s="62">
        <v>0</v>
      </c>
    </row>
    <row r="414" spans="1:104" x14ac:dyDescent="0.25">
      <c r="A414" s="5" t="s">
        <v>45</v>
      </c>
      <c r="B414">
        <v>0</v>
      </c>
      <c r="C414" s="30" t="s">
        <v>392</v>
      </c>
      <c r="D414" s="17">
        <f>STDEV(B409:B431)</f>
        <v>0.28810406552003037</v>
      </c>
      <c r="U414" s="5" t="s">
        <v>99</v>
      </c>
      <c r="V414">
        <v>0</v>
      </c>
      <c r="W414" s="30" t="s">
        <v>390</v>
      </c>
      <c r="X414" s="17">
        <f>VAR(V411:V443)</f>
        <v>5.8712121212121215E-2</v>
      </c>
      <c r="Z414" s="61" t="s">
        <v>104</v>
      </c>
      <c r="AA414" s="62">
        <v>0</v>
      </c>
      <c r="AO414" s="5" t="s">
        <v>153</v>
      </c>
      <c r="AP414">
        <v>0</v>
      </c>
      <c r="AQ414" s="30" t="s">
        <v>391</v>
      </c>
      <c r="AR414" s="17">
        <f>AVERAGE(AP410:AP434)</f>
        <v>0.2</v>
      </c>
      <c r="AY414" s="5" t="s">
        <v>194</v>
      </c>
      <c r="AZ414">
        <v>1</v>
      </c>
      <c r="BA414" s="30" t="s">
        <v>389</v>
      </c>
      <c r="BB414" s="17">
        <f>MAX(AZ412:AZ441)</f>
        <v>2</v>
      </c>
      <c r="BD414" s="5" t="s">
        <v>225</v>
      </c>
      <c r="BE414">
        <v>0</v>
      </c>
      <c r="BF414" s="30" t="s">
        <v>391</v>
      </c>
      <c r="BG414" s="17">
        <f>AVERAGE(BE410:BE434)</f>
        <v>0.04</v>
      </c>
      <c r="BI414" s="5" t="s">
        <v>246</v>
      </c>
      <c r="BJ414">
        <v>0</v>
      </c>
      <c r="BK414" s="30" t="s">
        <v>389</v>
      </c>
      <c r="BL414" s="17">
        <f>MAX(BJ412:BJ441)</f>
        <v>2</v>
      </c>
      <c r="BN414" s="5" t="s">
        <v>285</v>
      </c>
      <c r="BO414">
        <v>6</v>
      </c>
      <c r="BP414" s="17"/>
      <c r="BQ414" s="17"/>
      <c r="BX414" s="61" t="s">
        <v>279</v>
      </c>
      <c r="BY414" s="62">
        <v>1</v>
      </c>
      <c r="BZ414" s="63" t="s">
        <v>391</v>
      </c>
      <c r="CA414" s="58">
        <f>AVERAGE(BY410:BY434)</f>
        <v>0.08</v>
      </c>
      <c r="CC414" s="5" t="s">
        <v>304</v>
      </c>
      <c r="CD414">
        <v>0</v>
      </c>
      <c r="CE414" s="30" t="s">
        <v>392</v>
      </c>
      <c r="CF414" s="17">
        <f>STDEV(CD409:CD431)</f>
        <v>0.38755338788158983</v>
      </c>
      <c r="CM414" s="5" t="s">
        <v>331</v>
      </c>
      <c r="CN414">
        <v>0</v>
      </c>
      <c r="CO414" s="30" t="s">
        <v>390</v>
      </c>
      <c r="CP414" s="17">
        <f>VAR(CN411:CN443)</f>
        <v>0</v>
      </c>
      <c r="CR414" s="5" t="s">
        <v>43</v>
      </c>
      <c r="CS414">
        <v>1</v>
      </c>
      <c r="CT414" s="30" t="s">
        <v>390</v>
      </c>
      <c r="CU414" s="17">
        <f>VAR(CS411:CS438)</f>
        <v>0.24867724867724869</v>
      </c>
      <c r="CW414" s="61" t="s">
        <v>335</v>
      </c>
      <c r="CX414" s="62">
        <v>0</v>
      </c>
    </row>
    <row r="415" spans="1:104" x14ac:dyDescent="0.25">
      <c r="A415" s="5" t="s">
        <v>47</v>
      </c>
      <c r="B415">
        <v>0</v>
      </c>
      <c r="C415" s="17"/>
      <c r="D415" s="17"/>
      <c r="U415" s="5" t="s">
        <v>100</v>
      </c>
      <c r="V415">
        <v>0</v>
      </c>
      <c r="W415" s="30" t="s">
        <v>391</v>
      </c>
      <c r="X415" s="17">
        <f>AVERAGE(V411:V443)</f>
        <v>6.0606060606060608E-2</v>
      </c>
      <c r="Z415" s="61" t="s">
        <v>105</v>
      </c>
      <c r="AA415" s="62">
        <v>1</v>
      </c>
      <c r="AO415" s="5" t="s">
        <v>154</v>
      </c>
      <c r="AP415">
        <v>0</v>
      </c>
      <c r="AQ415" s="30" t="s">
        <v>392</v>
      </c>
      <c r="AR415" s="17">
        <f>STDEV(AP410:AP434)</f>
        <v>0.40824829046386302</v>
      </c>
      <c r="AY415" s="5" t="s">
        <v>195</v>
      </c>
      <c r="AZ415">
        <v>0</v>
      </c>
      <c r="BA415" s="30" t="s">
        <v>390</v>
      </c>
      <c r="BB415" s="17">
        <f>VAR(AZ412:AZ441)</f>
        <v>0.44712643678160918</v>
      </c>
      <c r="BD415" s="5" t="s">
        <v>226</v>
      </c>
      <c r="BE415">
        <v>0</v>
      </c>
      <c r="BF415" s="30" t="s">
        <v>392</v>
      </c>
      <c r="BG415" s="17">
        <f>STDEV(BE410:BE434)</f>
        <v>0.2</v>
      </c>
      <c r="BI415" s="5" t="s">
        <v>247</v>
      </c>
      <c r="BJ415">
        <v>0</v>
      </c>
      <c r="BK415" s="30" t="s">
        <v>390</v>
      </c>
      <c r="BL415" s="17">
        <f>VAR(BJ412:BJ441)</f>
        <v>0.1620689655172414</v>
      </c>
      <c r="BN415" s="5" t="s">
        <v>284</v>
      </c>
      <c r="BO415">
        <v>3</v>
      </c>
      <c r="BP415" s="17"/>
      <c r="BQ415" s="17"/>
      <c r="BX415" s="61" t="s">
        <v>278</v>
      </c>
      <c r="BY415" s="62">
        <v>0</v>
      </c>
      <c r="BZ415" s="63" t="s">
        <v>392</v>
      </c>
      <c r="CA415" s="58">
        <f>STDEV(BY410:BY434)</f>
        <v>0.27688746209726917</v>
      </c>
      <c r="CC415" s="5" t="s">
        <v>305</v>
      </c>
      <c r="CD415">
        <v>0</v>
      </c>
      <c r="CE415" s="17"/>
      <c r="CF415" s="17"/>
      <c r="CM415" s="5" t="s">
        <v>332</v>
      </c>
      <c r="CN415">
        <v>0</v>
      </c>
      <c r="CO415" s="30" t="s">
        <v>391</v>
      </c>
      <c r="CP415" s="17">
        <f>AVERAGE(CN411:CN443)</f>
        <v>0</v>
      </c>
      <c r="CR415" s="5" t="s">
        <v>336</v>
      </c>
      <c r="CS415">
        <v>0</v>
      </c>
      <c r="CT415" s="30" t="s">
        <v>391</v>
      </c>
      <c r="CU415" s="17">
        <f>AVERAGE(CS411:CS438)</f>
        <v>0.21428571428571427</v>
      </c>
      <c r="CW415" s="61" t="s">
        <v>43</v>
      </c>
      <c r="CX415" s="62">
        <v>0</v>
      </c>
    </row>
    <row r="416" spans="1:104" x14ac:dyDescent="0.25">
      <c r="A416" s="5" t="s">
        <v>48</v>
      </c>
      <c r="B416">
        <v>0</v>
      </c>
      <c r="C416" s="17"/>
      <c r="D416" s="17"/>
      <c r="U416" s="5" t="s">
        <v>101</v>
      </c>
      <c r="V416">
        <v>0</v>
      </c>
      <c r="W416" s="30" t="s">
        <v>392</v>
      </c>
      <c r="X416" s="17">
        <f>STDEV(V411:V443)</f>
        <v>0.24230584229877994</v>
      </c>
      <c r="Z416" s="61" t="s">
        <v>106</v>
      </c>
      <c r="AA416" s="62">
        <v>0</v>
      </c>
      <c r="AO416" s="5" t="s">
        <v>155</v>
      </c>
      <c r="AP416">
        <v>0</v>
      </c>
      <c r="AQ416" s="17"/>
      <c r="AR416" s="17"/>
      <c r="AY416" s="5" t="s">
        <v>196</v>
      </c>
      <c r="AZ416">
        <v>0</v>
      </c>
      <c r="BA416" s="30" t="s">
        <v>391</v>
      </c>
      <c r="BB416" s="17">
        <f>AVERAGE(AZ412:AZ441)</f>
        <v>0.36666666666666664</v>
      </c>
      <c r="BD416" s="5" t="s">
        <v>227</v>
      </c>
      <c r="BE416">
        <v>0</v>
      </c>
      <c r="BF416" s="17"/>
      <c r="BG416" s="17"/>
      <c r="BI416" s="5" t="s">
        <v>248</v>
      </c>
      <c r="BJ416">
        <v>0</v>
      </c>
      <c r="BK416" s="30" t="s">
        <v>391</v>
      </c>
      <c r="BL416" s="17">
        <f>AVERAGE(BJ412:BJ441)</f>
        <v>0.1</v>
      </c>
      <c r="BN416" s="5" t="s">
        <v>286</v>
      </c>
      <c r="BO416">
        <v>5</v>
      </c>
      <c r="BP416" s="17"/>
      <c r="BQ416" s="17"/>
      <c r="BX416" s="61" t="s">
        <v>280</v>
      </c>
      <c r="BY416" s="62">
        <v>0</v>
      </c>
      <c r="BZ416" s="58"/>
      <c r="CA416" s="58"/>
      <c r="CC416" s="5" t="s">
        <v>306</v>
      </c>
      <c r="CD416">
        <v>0</v>
      </c>
      <c r="CE416" s="17"/>
      <c r="CF416" s="17"/>
      <c r="CO416" s="30" t="s">
        <v>392</v>
      </c>
      <c r="CP416" s="17">
        <f>STDEV(CN411:CN443)</f>
        <v>0</v>
      </c>
      <c r="CR416" s="5" t="s">
        <v>337</v>
      </c>
      <c r="CS416">
        <v>0</v>
      </c>
      <c r="CT416" s="30" t="s">
        <v>392</v>
      </c>
      <c r="CU416" s="17">
        <f>STDEV(CS411:CS438)</f>
        <v>0.49867549436206376</v>
      </c>
      <c r="CW416" s="61" t="s">
        <v>336</v>
      </c>
      <c r="CX416" s="62">
        <v>0</v>
      </c>
    </row>
    <row r="417" spans="1:102" x14ac:dyDescent="0.25">
      <c r="A417" s="5" t="s">
        <v>49</v>
      </c>
      <c r="B417">
        <v>0</v>
      </c>
      <c r="C417" s="17"/>
      <c r="D417" s="17"/>
      <c r="U417" s="5" t="s">
        <v>103</v>
      </c>
      <c r="V417">
        <v>0</v>
      </c>
      <c r="W417" s="17"/>
      <c r="X417" s="17"/>
      <c r="Z417" s="61" t="s">
        <v>61</v>
      </c>
      <c r="AA417" s="62">
        <v>0</v>
      </c>
      <c r="AO417" s="5" t="s">
        <v>156</v>
      </c>
      <c r="AP417">
        <v>0</v>
      </c>
      <c r="AQ417" s="17"/>
      <c r="AR417" s="17"/>
      <c r="AY417" s="5" t="s">
        <v>197</v>
      </c>
      <c r="AZ417">
        <v>0</v>
      </c>
      <c r="BA417" s="30" t="s">
        <v>392</v>
      </c>
      <c r="BB417" s="17">
        <f>STDEV(AZ412:AZ441)</f>
        <v>0.66867513545937174</v>
      </c>
      <c r="BD417" s="5" t="s">
        <v>228</v>
      </c>
      <c r="BE417">
        <v>0</v>
      </c>
      <c r="BF417" s="17"/>
      <c r="BG417" s="17"/>
      <c r="BI417" s="5" t="s">
        <v>249</v>
      </c>
      <c r="BJ417">
        <v>0</v>
      </c>
      <c r="BK417" s="30" t="s">
        <v>392</v>
      </c>
      <c r="BL417" s="17">
        <f>STDEV(BJ412:BJ441)</f>
        <v>0.40257789993644882</v>
      </c>
      <c r="BN417" s="5" t="s">
        <v>287</v>
      </c>
      <c r="BO417">
        <v>3</v>
      </c>
      <c r="BP417" s="17"/>
      <c r="BQ417" s="17"/>
      <c r="BX417" s="61" t="s">
        <v>281</v>
      </c>
      <c r="BY417" s="62">
        <v>0</v>
      </c>
      <c r="BZ417" s="58"/>
      <c r="CA417" s="58"/>
      <c r="CC417" s="5" t="s">
        <v>93</v>
      </c>
      <c r="CD417">
        <v>1</v>
      </c>
      <c r="CE417" s="17"/>
      <c r="CF417" s="17"/>
      <c r="CO417" s="17"/>
      <c r="CP417" s="17"/>
      <c r="CR417" s="5" t="s">
        <v>338</v>
      </c>
      <c r="CS417">
        <v>0</v>
      </c>
      <c r="CW417" s="61" t="s">
        <v>337</v>
      </c>
      <c r="CX417" s="62">
        <v>0</v>
      </c>
    </row>
    <row r="418" spans="1:102" x14ac:dyDescent="0.25">
      <c r="A418" s="5" t="s">
        <v>50</v>
      </c>
      <c r="B418">
        <v>0</v>
      </c>
      <c r="C418" s="17"/>
      <c r="D418" s="17"/>
      <c r="U418" s="5" t="s">
        <v>104</v>
      </c>
      <c r="V418">
        <v>0</v>
      </c>
      <c r="W418" s="17"/>
      <c r="X418" s="17"/>
      <c r="Z418" s="61" t="s">
        <v>107</v>
      </c>
      <c r="AA418" s="62">
        <v>0</v>
      </c>
      <c r="AO418" s="5" t="s">
        <v>157</v>
      </c>
      <c r="AP418">
        <v>0</v>
      </c>
      <c r="AQ418" s="17"/>
      <c r="AR418" s="17"/>
      <c r="AY418" s="5" t="s">
        <v>198</v>
      </c>
      <c r="AZ418">
        <v>2</v>
      </c>
      <c r="BA418" s="17"/>
      <c r="BB418" s="17"/>
      <c r="BD418" s="5" t="s">
        <v>229</v>
      </c>
      <c r="BE418">
        <v>0</v>
      </c>
      <c r="BF418" s="17"/>
      <c r="BG418" s="17"/>
      <c r="BI418" s="5" t="s">
        <v>250</v>
      </c>
      <c r="BJ418">
        <v>0</v>
      </c>
      <c r="BK418" s="17"/>
      <c r="BL418" s="17"/>
      <c r="BN418" s="5" t="s">
        <v>288</v>
      </c>
      <c r="BO418">
        <v>6</v>
      </c>
      <c r="BP418" s="17"/>
      <c r="BQ418" s="17"/>
      <c r="BX418" s="61" t="s">
        <v>282</v>
      </c>
      <c r="BY418" s="62">
        <v>0</v>
      </c>
      <c r="BZ418" s="58"/>
      <c r="CA418" s="58"/>
      <c r="CC418" s="5" t="s">
        <v>307</v>
      </c>
      <c r="CD418">
        <v>0</v>
      </c>
      <c r="CE418" s="17"/>
      <c r="CF418" s="17"/>
      <c r="CO418" s="17"/>
      <c r="CP418" s="17"/>
      <c r="CR418" s="5" t="s">
        <v>339</v>
      </c>
      <c r="CS418">
        <v>2</v>
      </c>
      <c r="CW418" s="61" t="s">
        <v>338</v>
      </c>
      <c r="CX418" s="62">
        <v>0</v>
      </c>
    </row>
    <row r="419" spans="1:102" x14ac:dyDescent="0.25">
      <c r="A419" s="5" t="s">
        <v>51</v>
      </c>
      <c r="B419">
        <v>1</v>
      </c>
      <c r="C419" s="17"/>
      <c r="D419" s="17"/>
      <c r="U419" s="5" t="s">
        <v>105</v>
      </c>
      <c r="V419">
        <v>0</v>
      </c>
      <c r="W419" s="17"/>
      <c r="X419" s="17"/>
      <c r="Z419" s="61" t="s">
        <v>108</v>
      </c>
      <c r="AA419" s="62">
        <v>0</v>
      </c>
      <c r="AO419" s="5" t="s">
        <v>158</v>
      </c>
      <c r="AP419">
        <v>0</v>
      </c>
      <c r="AQ419" s="17"/>
      <c r="AR419" s="17"/>
      <c r="AY419" s="5" t="s">
        <v>161</v>
      </c>
      <c r="AZ419">
        <v>0</v>
      </c>
      <c r="BA419" s="17"/>
      <c r="BB419" s="17"/>
      <c r="BD419" s="5" t="s">
        <v>230</v>
      </c>
      <c r="BE419">
        <v>0</v>
      </c>
      <c r="BF419" s="17"/>
      <c r="BG419" s="17"/>
      <c r="BI419" s="5" t="s">
        <v>251</v>
      </c>
      <c r="BJ419">
        <v>0</v>
      </c>
      <c r="BK419" s="17"/>
      <c r="BL419" s="17"/>
      <c r="BN419" s="5" t="s">
        <v>289</v>
      </c>
      <c r="BO419">
        <v>3</v>
      </c>
      <c r="BP419" s="17"/>
      <c r="BQ419" s="17"/>
      <c r="BX419" s="61" t="s">
        <v>283</v>
      </c>
      <c r="BY419" s="62">
        <v>0</v>
      </c>
      <c r="BZ419" s="58"/>
      <c r="CA419" s="58"/>
      <c r="CC419" s="5" t="s">
        <v>308</v>
      </c>
      <c r="CD419">
        <v>0</v>
      </c>
      <c r="CE419" s="17"/>
      <c r="CF419" s="17"/>
      <c r="CO419" s="17"/>
      <c r="CP419" s="17"/>
      <c r="CR419" s="5" t="s">
        <v>340</v>
      </c>
      <c r="CS419">
        <v>0</v>
      </c>
      <c r="CW419" s="61" t="s">
        <v>339</v>
      </c>
      <c r="CX419" s="62">
        <v>0</v>
      </c>
    </row>
    <row r="420" spans="1:102" x14ac:dyDescent="0.25">
      <c r="A420" s="5" t="s">
        <v>52</v>
      </c>
      <c r="B420">
        <v>0</v>
      </c>
      <c r="C420" s="17"/>
      <c r="D420" s="17"/>
      <c r="U420" s="5" t="s">
        <v>106</v>
      </c>
      <c r="V420">
        <v>0</v>
      </c>
      <c r="W420" s="17"/>
      <c r="X420" s="17"/>
      <c r="Z420" s="61" t="s">
        <v>109</v>
      </c>
      <c r="AA420" s="62">
        <v>0</v>
      </c>
      <c r="AO420" s="5" t="s">
        <v>159</v>
      </c>
      <c r="AP420">
        <v>0</v>
      </c>
      <c r="AQ420" s="17"/>
      <c r="AR420" s="17"/>
      <c r="AY420" s="5" t="s">
        <v>199</v>
      </c>
      <c r="AZ420">
        <v>0</v>
      </c>
      <c r="BA420" s="17"/>
      <c r="BB420" s="17"/>
      <c r="BD420" s="5" t="s">
        <v>231</v>
      </c>
      <c r="BE420">
        <v>0</v>
      </c>
      <c r="BF420" s="17"/>
      <c r="BG420" s="17"/>
      <c r="BI420" s="5" t="s">
        <v>252</v>
      </c>
      <c r="BJ420">
        <v>0</v>
      </c>
      <c r="BK420" s="17"/>
      <c r="BL420" s="17"/>
      <c r="BX420" s="61" t="s">
        <v>285</v>
      </c>
      <c r="BY420" s="62">
        <v>0</v>
      </c>
      <c r="BZ420" s="58"/>
      <c r="CA420" s="58"/>
      <c r="CC420" s="5" t="s">
        <v>309</v>
      </c>
      <c r="CD420">
        <v>0</v>
      </c>
      <c r="CE420" s="17"/>
      <c r="CF420" s="17"/>
      <c r="CO420" s="17"/>
      <c r="CP420" s="17"/>
      <c r="CR420" s="5" t="s">
        <v>341</v>
      </c>
      <c r="CS420">
        <v>0</v>
      </c>
      <c r="CW420" s="61" t="s">
        <v>340</v>
      </c>
      <c r="CX420" s="62">
        <v>0</v>
      </c>
    </row>
    <row r="421" spans="1:102" x14ac:dyDescent="0.25">
      <c r="A421" s="5" t="s">
        <v>53</v>
      </c>
      <c r="B421">
        <v>0</v>
      </c>
      <c r="C421" s="17"/>
      <c r="D421" s="17"/>
      <c r="U421" s="5" t="s">
        <v>61</v>
      </c>
      <c r="V421">
        <v>0</v>
      </c>
      <c r="W421" s="17"/>
      <c r="X421" s="17"/>
      <c r="Z421" s="61" t="s">
        <v>110</v>
      </c>
      <c r="AA421" s="62">
        <v>0</v>
      </c>
      <c r="AO421" s="5" t="s">
        <v>100</v>
      </c>
      <c r="AP421">
        <v>1</v>
      </c>
      <c r="AQ421" s="17"/>
      <c r="AR421" s="17"/>
      <c r="AY421" s="5" t="s">
        <v>200</v>
      </c>
      <c r="AZ421">
        <v>1</v>
      </c>
      <c r="BA421" s="17"/>
      <c r="BB421" s="17"/>
      <c r="BD421" s="5" t="s">
        <v>232</v>
      </c>
      <c r="BE421">
        <v>0</v>
      </c>
      <c r="BF421" s="17"/>
      <c r="BG421" s="17"/>
      <c r="BI421" s="5" t="s">
        <v>253</v>
      </c>
      <c r="BJ421">
        <v>0</v>
      </c>
      <c r="BK421" s="17"/>
      <c r="BL421" s="17"/>
      <c r="BX421" s="61" t="s">
        <v>284</v>
      </c>
      <c r="BY421" s="62">
        <v>0</v>
      </c>
      <c r="BZ421" s="58"/>
      <c r="CA421" s="58"/>
      <c r="CC421" s="5" t="s">
        <v>310</v>
      </c>
      <c r="CD421">
        <v>0</v>
      </c>
      <c r="CE421" s="17"/>
      <c r="CF421" s="17"/>
      <c r="CO421" s="17"/>
      <c r="CP421" s="17"/>
      <c r="CR421" s="5" t="s">
        <v>342</v>
      </c>
      <c r="CS421">
        <v>0</v>
      </c>
      <c r="CW421" s="61" t="s">
        <v>341</v>
      </c>
      <c r="CX421" s="62">
        <v>0</v>
      </c>
    </row>
    <row r="422" spans="1:102" x14ac:dyDescent="0.25">
      <c r="A422" s="5" t="s">
        <v>54</v>
      </c>
      <c r="B422">
        <v>0</v>
      </c>
      <c r="C422" s="17"/>
      <c r="D422" s="17"/>
      <c r="U422" s="5" t="s">
        <v>107</v>
      </c>
      <c r="V422">
        <v>0</v>
      </c>
      <c r="W422" s="17"/>
      <c r="X422" s="17"/>
      <c r="Z422" s="61" t="s">
        <v>111</v>
      </c>
      <c r="AA422" s="62">
        <v>0</v>
      </c>
      <c r="AO422" s="5" t="s">
        <v>161</v>
      </c>
      <c r="AP422">
        <v>1</v>
      </c>
      <c r="AQ422" s="17"/>
      <c r="AR422" s="17"/>
      <c r="AY422" s="5" t="s">
        <v>201</v>
      </c>
      <c r="AZ422">
        <v>1</v>
      </c>
      <c r="BA422" s="17"/>
      <c r="BB422" s="17"/>
      <c r="BD422" s="5" t="s">
        <v>233</v>
      </c>
      <c r="BE422">
        <v>0</v>
      </c>
      <c r="BF422" s="17"/>
      <c r="BG422" s="17"/>
      <c r="BI422" s="5" t="s">
        <v>254</v>
      </c>
      <c r="BJ422">
        <v>0</v>
      </c>
      <c r="BK422" s="17"/>
      <c r="BL422" s="17"/>
      <c r="BX422" s="61" t="s">
        <v>286</v>
      </c>
      <c r="BY422" s="62">
        <v>0</v>
      </c>
      <c r="BZ422" s="58"/>
      <c r="CA422" s="58"/>
      <c r="CC422" s="5" t="s">
        <v>311</v>
      </c>
      <c r="CD422">
        <v>0</v>
      </c>
      <c r="CE422" s="17"/>
      <c r="CF422" s="17"/>
      <c r="CO422" s="17"/>
      <c r="CP422" s="17"/>
      <c r="CR422" s="5" t="s">
        <v>343</v>
      </c>
      <c r="CS422">
        <v>1</v>
      </c>
      <c r="CW422" s="61" t="s">
        <v>342</v>
      </c>
      <c r="CX422" s="62">
        <v>1</v>
      </c>
    </row>
    <row r="423" spans="1:102" x14ac:dyDescent="0.25">
      <c r="A423" s="5" t="s">
        <v>55</v>
      </c>
      <c r="B423">
        <v>0</v>
      </c>
      <c r="C423" s="17"/>
      <c r="D423" s="17"/>
      <c r="U423" s="5" t="s">
        <v>108</v>
      </c>
      <c r="V423">
        <v>0</v>
      </c>
      <c r="W423" s="17"/>
      <c r="X423" s="17"/>
      <c r="Z423" s="61" t="s">
        <v>112</v>
      </c>
      <c r="AA423" s="62">
        <v>0</v>
      </c>
      <c r="AO423" s="5" t="s">
        <v>162</v>
      </c>
      <c r="AP423">
        <v>0</v>
      </c>
      <c r="AQ423" s="17"/>
      <c r="AR423" s="17"/>
      <c r="AY423" s="5" t="s">
        <v>202</v>
      </c>
      <c r="AZ423">
        <v>1</v>
      </c>
      <c r="BA423" s="17"/>
      <c r="BB423" s="17"/>
      <c r="BD423" s="5" t="s">
        <v>234</v>
      </c>
      <c r="BE423">
        <v>0</v>
      </c>
      <c r="BF423" s="17"/>
      <c r="BG423" s="17"/>
      <c r="BI423" s="5" t="s">
        <v>255</v>
      </c>
      <c r="BJ423">
        <v>0</v>
      </c>
      <c r="BK423" s="17"/>
      <c r="BL423" s="17"/>
      <c r="BX423" s="61" t="s">
        <v>287</v>
      </c>
      <c r="BY423" s="62">
        <v>1</v>
      </c>
      <c r="BZ423" s="58"/>
      <c r="CA423" s="58"/>
      <c r="CC423" s="5" t="s">
        <v>312</v>
      </c>
      <c r="CD423">
        <v>0</v>
      </c>
      <c r="CE423" s="17"/>
      <c r="CF423" s="17"/>
      <c r="CO423" s="17"/>
      <c r="CP423" s="17"/>
      <c r="CR423" s="5" t="s">
        <v>344</v>
      </c>
      <c r="CS423">
        <v>1</v>
      </c>
      <c r="CW423" s="61" t="s">
        <v>343</v>
      </c>
      <c r="CX423" s="62">
        <v>0</v>
      </c>
    </row>
    <row r="424" spans="1:102" x14ac:dyDescent="0.25">
      <c r="A424" s="5" t="s">
        <v>56</v>
      </c>
      <c r="B424">
        <v>0</v>
      </c>
      <c r="C424" s="17"/>
      <c r="D424" s="17"/>
      <c r="U424" s="5" t="s">
        <v>109</v>
      </c>
      <c r="V424">
        <v>0</v>
      </c>
      <c r="W424" s="17"/>
      <c r="X424" s="17"/>
      <c r="Z424" s="61" t="s">
        <v>113</v>
      </c>
      <c r="AA424" s="62">
        <v>0</v>
      </c>
      <c r="AO424" s="5" t="s">
        <v>163</v>
      </c>
      <c r="AP424">
        <v>1</v>
      </c>
      <c r="AQ424" s="17"/>
      <c r="AR424" s="17"/>
      <c r="AY424" s="5" t="s">
        <v>203</v>
      </c>
      <c r="AZ424">
        <v>0</v>
      </c>
      <c r="BA424" s="17"/>
      <c r="BB424" s="17"/>
      <c r="BD424" s="5" t="s">
        <v>157</v>
      </c>
      <c r="BE424">
        <v>0</v>
      </c>
      <c r="BF424" s="17"/>
      <c r="BG424" s="17"/>
      <c r="BI424" s="5" t="s">
        <v>256</v>
      </c>
      <c r="BJ424">
        <v>0</v>
      </c>
      <c r="BK424" s="17"/>
      <c r="BL424" s="17"/>
      <c r="BX424" s="61" t="s">
        <v>288</v>
      </c>
      <c r="BY424" s="62">
        <v>0</v>
      </c>
      <c r="BZ424" s="58"/>
      <c r="CA424" s="58"/>
      <c r="CC424" s="5" t="s">
        <v>313</v>
      </c>
      <c r="CD424">
        <v>1</v>
      </c>
      <c r="CE424" s="17"/>
      <c r="CF424" s="17"/>
      <c r="CO424" s="17"/>
      <c r="CP424" s="17"/>
      <c r="CR424" s="5" t="s">
        <v>345</v>
      </c>
      <c r="CS424">
        <v>0</v>
      </c>
      <c r="CW424" s="61" t="s">
        <v>344</v>
      </c>
      <c r="CX424" s="62">
        <v>0</v>
      </c>
    </row>
    <row r="425" spans="1:102" x14ac:dyDescent="0.25">
      <c r="A425" s="5" t="s">
        <v>57</v>
      </c>
      <c r="B425">
        <v>0</v>
      </c>
      <c r="C425" s="17"/>
      <c r="D425" s="17"/>
      <c r="U425" s="5" t="s">
        <v>110</v>
      </c>
      <c r="V425">
        <v>0</v>
      </c>
      <c r="W425" s="17"/>
      <c r="X425" s="17"/>
      <c r="Z425" s="64" t="s">
        <v>114</v>
      </c>
      <c r="AA425" s="62">
        <v>0</v>
      </c>
      <c r="AO425" s="5" t="s">
        <v>164</v>
      </c>
      <c r="AP425">
        <v>1</v>
      </c>
      <c r="AQ425" s="17"/>
      <c r="AR425" s="17"/>
      <c r="AY425" s="5" t="s">
        <v>204</v>
      </c>
      <c r="AZ425">
        <v>0</v>
      </c>
      <c r="BA425" s="17"/>
      <c r="BB425" s="17"/>
      <c r="BD425" s="5" t="s">
        <v>235</v>
      </c>
      <c r="BE425">
        <v>0</v>
      </c>
      <c r="BF425" s="17"/>
      <c r="BG425" s="17"/>
      <c r="BI425" s="5" t="s">
        <v>257</v>
      </c>
      <c r="BJ425">
        <v>0</v>
      </c>
      <c r="BK425" s="17"/>
      <c r="BL425" s="17"/>
      <c r="BX425" s="61" t="s">
        <v>289</v>
      </c>
      <c r="BY425" s="62">
        <v>0</v>
      </c>
      <c r="BZ425" s="58"/>
      <c r="CA425" s="58"/>
      <c r="CC425" s="5" t="s">
        <v>314</v>
      </c>
      <c r="CD425">
        <v>0</v>
      </c>
      <c r="CO425" s="17"/>
      <c r="CP425" s="17"/>
      <c r="CR425" s="5" t="s">
        <v>346</v>
      </c>
      <c r="CS425">
        <v>1</v>
      </c>
      <c r="CW425" s="61" t="s">
        <v>345</v>
      </c>
      <c r="CX425" s="62">
        <v>0</v>
      </c>
    </row>
    <row r="426" spans="1:102" x14ac:dyDescent="0.25">
      <c r="A426" s="5" t="s">
        <v>58</v>
      </c>
      <c r="B426">
        <v>1</v>
      </c>
      <c r="C426" s="15"/>
      <c r="D426" s="15"/>
      <c r="U426" s="5" t="s">
        <v>111</v>
      </c>
      <c r="V426">
        <v>0</v>
      </c>
      <c r="W426" s="17"/>
      <c r="X426" s="17"/>
      <c r="Z426" s="64" t="s">
        <v>115</v>
      </c>
      <c r="AA426" s="62">
        <v>0</v>
      </c>
      <c r="AO426" s="5" t="s">
        <v>165</v>
      </c>
      <c r="AP426">
        <v>0</v>
      </c>
      <c r="AQ426" s="17"/>
      <c r="AR426" s="17"/>
      <c r="AY426" s="5" t="s">
        <v>205</v>
      </c>
      <c r="AZ426">
        <v>0</v>
      </c>
      <c r="BA426" s="17"/>
      <c r="BB426" s="17"/>
      <c r="BD426" s="5" t="s">
        <v>236</v>
      </c>
      <c r="BE426">
        <v>0</v>
      </c>
      <c r="BF426" s="17"/>
      <c r="BG426" s="17"/>
      <c r="BI426" s="5" t="s">
        <v>258</v>
      </c>
      <c r="BJ426">
        <v>0</v>
      </c>
      <c r="BK426" s="17"/>
      <c r="BL426" s="17"/>
      <c r="BX426" s="61" t="s">
        <v>290</v>
      </c>
      <c r="BY426" s="62">
        <v>0</v>
      </c>
      <c r="CC426" s="5" t="s">
        <v>315</v>
      </c>
      <c r="CD426">
        <v>0</v>
      </c>
      <c r="CO426" s="17"/>
      <c r="CP426" s="17"/>
      <c r="CR426" s="5" t="s">
        <v>347</v>
      </c>
      <c r="CS426">
        <v>0</v>
      </c>
      <c r="CW426" s="61" t="s">
        <v>346</v>
      </c>
      <c r="CX426" s="62">
        <v>0</v>
      </c>
    </row>
    <row r="427" spans="1:102" x14ac:dyDescent="0.25">
      <c r="A427" s="5" t="s">
        <v>60</v>
      </c>
      <c r="B427">
        <v>0</v>
      </c>
      <c r="C427" s="17"/>
      <c r="D427" s="17"/>
      <c r="U427" s="5" t="s">
        <v>112</v>
      </c>
      <c r="V427">
        <v>0</v>
      </c>
      <c r="W427" s="17"/>
      <c r="X427" s="17"/>
      <c r="Z427" s="64" t="s">
        <v>116</v>
      </c>
      <c r="AA427" s="62">
        <v>1</v>
      </c>
      <c r="AO427" s="5" t="s">
        <v>166</v>
      </c>
      <c r="AP427">
        <v>0</v>
      </c>
      <c r="AQ427" s="15"/>
      <c r="AR427" s="15"/>
      <c r="AY427" s="5" t="s">
        <v>206</v>
      </c>
      <c r="AZ427">
        <v>0</v>
      </c>
      <c r="BA427" s="17"/>
      <c r="BB427" s="17"/>
      <c r="BD427" s="5" t="s">
        <v>237</v>
      </c>
      <c r="BE427">
        <v>0</v>
      </c>
      <c r="BF427" s="15"/>
      <c r="BG427" s="15"/>
      <c r="BI427" s="5" t="s">
        <v>259</v>
      </c>
      <c r="BJ427">
        <v>0</v>
      </c>
      <c r="BK427" s="17"/>
      <c r="BL427" s="17"/>
      <c r="BX427" s="61" t="s">
        <v>291</v>
      </c>
      <c r="BY427" s="62">
        <v>0</v>
      </c>
      <c r="CC427" s="5" t="s">
        <v>316</v>
      </c>
      <c r="CD427">
        <v>1</v>
      </c>
      <c r="CR427" s="5" t="s">
        <v>348</v>
      </c>
      <c r="CS427">
        <v>0</v>
      </c>
      <c r="CW427" s="61" t="s">
        <v>347</v>
      </c>
      <c r="CX427" s="62">
        <v>0</v>
      </c>
    </row>
    <row r="428" spans="1:102" x14ac:dyDescent="0.25">
      <c r="A428" s="5" t="s">
        <v>61</v>
      </c>
      <c r="B428">
        <v>0</v>
      </c>
      <c r="C428" s="17"/>
      <c r="D428" s="17"/>
      <c r="U428" s="5" t="s">
        <v>113</v>
      </c>
      <c r="V428">
        <v>0</v>
      </c>
      <c r="W428" s="15"/>
      <c r="X428" s="15"/>
      <c r="Z428" s="64" t="s">
        <v>117</v>
      </c>
      <c r="AA428" s="62">
        <v>1</v>
      </c>
      <c r="AO428" s="5" t="s">
        <v>168</v>
      </c>
      <c r="AP428">
        <v>0</v>
      </c>
      <c r="AQ428" s="17"/>
      <c r="AR428" s="17"/>
      <c r="AY428" s="5" t="s">
        <v>207</v>
      </c>
      <c r="AZ428">
        <v>2</v>
      </c>
      <c r="BA428" s="17"/>
      <c r="BB428" s="17"/>
      <c r="BD428" s="5" t="s">
        <v>238</v>
      </c>
      <c r="BE428">
        <v>0</v>
      </c>
      <c r="BI428" s="5" t="s">
        <v>260</v>
      </c>
      <c r="BJ428">
        <v>0</v>
      </c>
      <c r="BK428" s="17"/>
      <c r="BL428" s="17"/>
      <c r="BX428" s="61" t="s">
        <v>292</v>
      </c>
      <c r="BY428" s="62">
        <v>0</v>
      </c>
      <c r="CC428" s="5" t="s">
        <v>317</v>
      </c>
      <c r="CD428">
        <v>0</v>
      </c>
      <c r="CR428" s="5" t="s">
        <v>349</v>
      </c>
      <c r="CS428">
        <v>0</v>
      </c>
      <c r="CW428" s="61" t="s">
        <v>348</v>
      </c>
      <c r="CX428" s="62">
        <v>0</v>
      </c>
    </row>
    <row r="429" spans="1:102" x14ac:dyDescent="0.25">
      <c r="A429" s="5" t="s">
        <v>62</v>
      </c>
      <c r="B429">
        <v>0</v>
      </c>
      <c r="C429" s="17"/>
      <c r="D429" s="1"/>
      <c r="U429" s="26" t="s">
        <v>114</v>
      </c>
      <c r="V429">
        <v>0</v>
      </c>
      <c r="W429" s="17"/>
      <c r="X429" s="17"/>
      <c r="Z429" s="64" t="s">
        <v>118</v>
      </c>
      <c r="AA429" s="62">
        <v>0</v>
      </c>
      <c r="AO429" s="5" t="s">
        <v>169</v>
      </c>
      <c r="AP429">
        <v>0</v>
      </c>
      <c r="AQ429" s="17"/>
      <c r="AR429" s="17"/>
      <c r="AY429" s="5" t="s">
        <v>208</v>
      </c>
      <c r="AZ429">
        <v>0</v>
      </c>
      <c r="BA429" s="15"/>
      <c r="BB429" s="15"/>
      <c r="BD429" s="5" t="s">
        <v>239</v>
      </c>
      <c r="BE429">
        <v>0</v>
      </c>
      <c r="BI429" s="5" t="s">
        <v>261</v>
      </c>
      <c r="BJ429">
        <v>0</v>
      </c>
      <c r="BK429" s="15"/>
      <c r="BL429" s="15"/>
      <c r="BX429" s="61" t="s">
        <v>293</v>
      </c>
      <c r="BY429" s="62">
        <v>0</v>
      </c>
      <c r="CC429" s="5" t="s">
        <v>318</v>
      </c>
      <c r="CD429">
        <v>0</v>
      </c>
      <c r="CR429" s="5" t="s">
        <v>350</v>
      </c>
      <c r="CS429">
        <v>0</v>
      </c>
      <c r="CW429" s="61" t="s">
        <v>349</v>
      </c>
      <c r="CX429" s="62">
        <v>0</v>
      </c>
    </row>
    <row r="430" spans="1:102" x14ac:dyDescent="0.25">
      <c r="A430" s="5" t="s">
        <v>63</v>
      </c>
      <c r="B430">
        <v>0</v>
      </c>
      <c r="C430" s="17"/>
      <c r="D430" s="1"/>
      <c r="U430" s="26" t="s">
        <v>115</v>
      </c>
      <c r="V430">
        <v>1</v>
      </c>
      <c r="W430" s="17"/>
      <c r="X430" s="17"/>
      <c r="Z430" s="64" t="s">
        <v>119</v>
      </c>
      <c r="AA430" s="62">
        <v>1</v>
      </c>
      <c r="AO430" s="5" t="s">
        <v>170</v>
      </c>
      <c r="AP430">
        <v>0</v>
      </c>
      <c r="AQ430" s="17"/>
      <c r="AR430" s="1"/>
      <c r="AY430" s="5" t="s">
        <v>209</v>
      </c>
      <c r="AZ430">
        <v>0</v>
      </c>
      <c r="BD430" s="5" t="s">
        <v>240</v>
      </c>
      <c r="BE430">
        <v>0</v>
      </c>
      <c r="BI430" s="5" t="s">
        <v>262</v>
      </c>
      <c r="BJ430">
        <v>0</v>
      </c>
      <c r="BX430" s="61" t="s">
        <v>294</v>
      </c>
      <c r="BY430" s="62">
        <v>0</v>
      </c>
      <c r="CC430" s="5" t="s">
        <v>319</v>
      </c>
      <c r="CD430">
        <v>0</v>
      </c>
      <c r="CR430" s="5" t="s">
        <v>351</v>
      </c>
      <c r="CS430">
        <v>0</v>
      </c>
      <c r="CW430" s="61" t="s">
        <v>350</v>
      </c>
      <c r="CX430" s="62">
        <v>0</v>
      </c>
    </row>
    <row r="431" spans="1:102" x14ac:dyDescent="0.25">
      <c r="A431" s="5" t="s">
        <v>64</v>
      </c>
      <c r="B431">
        <v>0</v>
      </c>
      <c r="C431" s="17"/>
      <c r="D431" s="1"/>
      <c r="U431" s="26" t="s">
        <v>116</v>
      </c>
      <c r="V431">
        <v>0</v>
      </c>
      <c r="W431" s="17"/>
      <c r="X431" s="1"/>
      <c r="Z431" s="61" t="s">
        <v>120</v>
      </c>
      <c r="AA431" s="62">
        <v>0</v>
      </c>
      <c r="AO431" s="5" t="s">
        <v>171</v>
      </c>
      <c r="AP431">
        <v>1</v>
      </c>
      <c r="AQ431" s="17"/>
      <c r="AR431" s="1"/>
      <c r="AY431" s="5" t="s">
        <v>210</v>
      </c>
      <c r="AZ431">
        <v>0</v>
      </c>
      <c r="BD431" s="5" t="s">
        <v>241</v>
      </c>
      <c r="BE431">
        <v>0</v>
      </c>
      <c r="BI431" s="5" t="s">
        <v>263</v>
      </c>
      <c r="BJ431">
        <v>1</v>
      </c>
      <c r="BX431" s="61" t="s">
        <v>295</v>
      </c>
      <c r="BY431" s="62">
        <v>0</v>
      </c>
      <c r="CC431" s="5" t="s">
        <v>320</v>
      </c>
      <c r="CD431">
        <v>1</v>
      </c>
      <c r="CR431" s="5" t="s">
        <v>352</v>
      </c>
      <c r="CS431">
        <v>0</v>
      </c>
      <c r="CW431" s="61" t="s">
        <v>351</v>
      </c>
      <c r="CX431" s="62">
        <v>0</v>
      </c>
    </row>
    <row r="432" spans="1:102" x14ac:dyDescent="0.25">
      <c r="U432" s="26" t="s">
        <v>117</v>
      </c>
      <c r="V432">
        <v>0</v>
      </c>
      <c r="W432" s="17"/>
      <c r="X432" s="1"/>
      <c r="Z432" s="61" t="s">
        <v>121</v>
      </c>
      <c r="AA432" s="62">
        <v>1</v>
      </c>
      <c r="AO432" s="5" t="s">
        <v>172</v>
      </c>
      <c r="AP432">
        <v>0</v>
      </c>
      <c r="AQ432" s="17"/>
      <c r="AR432" s="1"/>
      <c r="AY432" s="5" t="s">
        <v>211</v>
      </c>
      <c r="AZ432">
        <v>0</v>
      </c>
      <c r="BD432" s="5" t="s">
        <v>242</v>
      </c>
      <c r="BE432">
        <v>0</v>
      </c>
      <c r="BI432" s="5" t="s">
        <v>264</v>
      </c>
      <c r="BJ432">
        <v>0</v>
      </c>
      <c r="BX432" s="61" t="s">
        <v>296</v>
      </c>
      <c r="BY432" s="62">
        <v>0</v>
      </c>
      <c r="CR432" s="5" t="s">
        <v>353</v>
      </c>
      <c r="CS432">
        <v>0</v>
      </c>
      <c r="CW432" s="61" t="s">
        <v>352</v>
      </c>
      <c r="CX432" s="62">
        <v>0</v>
      </c>
    </row>
    <row r="433" spans="1:104" x14ac:dyDescent="0.25">
      <c r="A433" s="17" t="s">
        <v>382</v>
      </c>
      <c r="B433" s="29" t="s">
        <v>361</v>
      </c>
      <c r="C433" s="17"/>
      <c r="D433" s="17">
        <v>2016</v>
      </c>
      <c r="U433" s="26" t="s">
        <v>118</v>
      </c>
      <c r="V433">
        <v>0</v>
      </c>
      <c r="W433" s="17"/>
      <c r="X433" s="1"/>
      <c r="Z433" s="61" t="s">
        <v>122</v>
      </c>
      <c r="AA433" s="62">
        <v>0</v>
      </c>
      <c r="AO433" s="5" t="s">
        <v>173</v>
      </c>
      <c r="AP433">
        <v>0</v>
      </c>
      <c r="AY433" s="5" t="s">
        <v>212</v>
      </c>
      <c r="AZ433">
        <v>0</v>
      </c>
      <c r="BD433" s="5" t="s">
        <v>243</v>
      </c>
      <c r="BE433">
        <v>0</v>
      </c>
      <c r="BI433" s="5" t="s">
        <v>265</v>
      </c>
      <c r="BJ433">
        <v>2</v>
      </c>
      <c r="BX433" s="61" t="s">
        <v>297</v>
      </c>
      <c r="BY433" s="62">
        <v>0</v>
      </c>
      <c r="CC433" s="17" t="s">
        <v>382</v>
      </c>
      <c r="CD433" s="29" t="s">
        <v>375</v>
      </c>
      <c r="CE433" s="17"/>
      <c r="CF433" s="17">
        <v>2016</v>
      </c>
      <c r="CR433" s="5" t="s">
        <v>354</v>
      </c>
      <c r="CS433">
        <v>0</v>
      </c>
      <c r="CW433" s="61" t="s">
        <v>353</v>
      </c>
      <c r="CX433" s="62">
        <v>0</v>
      </c>
    </row>
    <row r="434" spans="1:104" x14ac:dyDescent="0.25">
      <c r="A434" s="17" t="s">
        <v>383</v>
      </c>
      <c r="B434" s="6" t="s">
        <v>32</v>
      </c>
      <c r="C434" s="17"/>
      <c r="D434" s="17"/>
      <c r="U434" s="26" t="s">
        <v>119</v>
      </c>
      <c r="V434">
        <v>0</v>
      </c>
      <c r="Z434" s="61" t="s">
        <v>123</v>
      </c>
      <c r="AA434" s="62">
        <v>0</v>
      </c>
      <c r="AO434" s="5" t="s">
        <v>174</v>
      </c>
      <c r="AP434">
        <v>0</v>
      </c>
      <c r="AY434" s="5" t="s">
        <v>213</v>
      </c>
      <c r="AZ434">
        <v>0</v>
      </c>
      <c r="BD434" s="5" t="s">
        <v>244</v>
      </c>
      <c r="BE434">
        <v>1</v>
      </c>
      <c r="BI434" s="5" t="s">
        <v>266</v>
      </c>
      <c r="BJ434">
        <v>0</v>
      </c>
      <c r="BX434" s="61" t="s">
        <v>298</v>
      </c>
      <c r="BY434" s="62">
        <v>0</v>
      </c>
      <c r="CC434" s="17" t="s">
        <v>383</v>
      </c>
      <c r="CD434" s="6" t="s">
        <v>36</v>
      </c>
      <c r="CE434" s="17"/>
      <c r="CF434" s="17"/>
      <c r="CR434" s="5" t="s">
        <v>355</v>
      </c>
      <c r="CS434">
        <v>0</v>
      </c>
      <c r="CW434" s="61" t="s">
        <v>354</v>
      </c>
      <c r="CX434" s="62">
        <v>0</v>
      </c>
    </row>
    <row r="435" spans="1:104" x14ac:dyDescent="0.25">
      <c r="A435" s="17" t="s">
        <v>384</v>
      </c>
      <c r="B435" s="17" t="s">
        <v>39</v>
      </c>
      <c r="C435" s="17" t="s">
        <v>385</v>
      </c>
      <c r="D435" s="17" t="s">
        <v>386</v>
      </c>
      <c r="U435" s="5" t="s">
        <v>120</v>
      </c>
      <c r="V435">
        <v>0</v>
      </c>
      <c r="Z435" s="61" t="s">
        <v>124</v>
      </c>
      <c r="AA435" s="62">
        <v>1</v>
      </c>
      <c r="AY435" s="5" t="s">
        <v>214</v>
      </c>
      <c r="AZ435">
        <v>1</v>
      </c>
      <c r="BI435" s="5" t="s">
        <v>267</v>
      </c>
      <c r="BJ435">
        <v>0</v>
      </c>
      <c r="CC435" s="17" t="s">
        <v>384</v>
      </c>
      <c r="CD435" s="17" t="s">
        <v>39</v>
      </c>
      <c r="CE435" s="17" t="s">
        <v>385</v>
      </c>
      <c r="CF435" s="17" t="s">
        <v>386</v>
      </c>
      <c r="CR435" s="2" t="s">
        <v>356</v>
      </c>
      <c r="CS435">
        <v>0</v>
      </c>
      <c r="CW435" s="61" t="s">
        <v>355</v>
      </c>
      <c r="CX435" s="62">
        <v>0</v>
      </c>
    </row>
    <row r="436" spans="1:104" x14ac:dyDescent="0.25">
      <c r="A436" s="5" t="s">
        <v>40</v>
      </c>
      <c r="B436">
        <v>22</v>
      </c>
      <c r="C436" s="30" t="s">
        <v>387</v>
      </c>
      <c r="D436" s="17">
        <f>SUM(B436:B458)</f>
        <v>314</v>
      </c>
      <c r="U436" s="5" t="s">
        <v>121</v>
      </c>
      <c r="V436">
        <v>1</v>
      </c>
      <c r="Z436" s="61" t="s">
        <v>125</v>
      </c>
      <c r="AA436" s="62">
        <v>0</v>
      </c>
      <c r="AO436" s="17" t="s">
        <v>382</v>
      </c>
      <c r="AP436" s="29" t="s">
        <v>368</v>
      </c>
      <c r="AQ436" s="17"/>
      <c r="AR436" s="17">
        <v>2016</v>
      </c>
      <c r="AY436" s="5" t="s">
        <v>215</v>
      </c>
      <c r="AZ436">
        <v>0</v>
      </c>
      <c r="BD436" s="17" t="s">
        <v>382</v>
      </c>
      <c r="BE436" s="29" t="s">
        <v>371</v>
      </c>
      <c r="BF436" s="17"/>
      <c r="BG436" s="17">
        <v>2016</v>
      </c>
      <c r="BI436" s="5" t="s">
        <v>268</v>
      </c>
      <c r="BJ436">
        <v>0</v>
      </c>
      <c r="BX436" s="58" t="s">
        <v>382</v>
      </c>
      <c r="BY436" s="59" t="s">
        <v>628</v>
      </c>
      <c r="BZ436" s="58"/>
      <c r="CA436" s="58">
        <v>2016</v>
      </c>
      <c r="CC436" s="5" t="s">
        <v>299</v>
      </c>
      <c r="CD436">
        <v>0</v>
      </c>
      <c r="CE436" s="30" t="s">
        <v>387</v>
      </c>
      <c r="CF436" s="17">
        <f>SUM(CD436:CD458)</f>
        <v>1</v>
      </c>
      <c r="CR436" s="2" t="s">
        <v>357</v>
      </c>
      <c r="CS436">
        <v>0</v>
      </c>
      <c r="CW436" s="66" t="s">
        <v>356</v>
      </c>
      <c r="CX436" s="62">
        <v>0</v>
      </c>
    </row>
    <row r="437" spans="1:104" x14ac:dyDescent="0.25">
      <c r="A437" s="5" t="s">
        <v>41</v>
      </c>
      <c r="B437">
        <v>14</v>
      </c>
      <c r="C437" s="30" t="s">
        <v>388</v>
      </c>
      <c r="D437" s="17">
        <f>MIN(B436:B458)</f>
        <v>4</v>
      </c>
      <c r="U437" s="5" t="s">
        <v>122</v>
      </c>
      <c r="V437">
        <v>0</v>
      </c>
      <c r="Z437" s="61" t="s">
        <v>126</v>
      </c>
      <c r="AA437" s="62">
        <v>0</v>
      </c>
      <c r="AO437" s="17" t="s">
        <v>383</v>
      </c>
      <c r="AP437" s="6" t="s">
        <v>25</v>
      </c>
      <c r="AQ437" s="17"/>
      <c r="AR437" s="17"/>
      <c r="AY437" s="5" t="s">
        <v>216</v>
      </c>
      <c r="AZ437">
        <v>0</v>
      </c>
      <c r="BD437" s="17" t="s">
        <v>383</v>
      </c>
      <c r="BE437" s="6" t="s">
        <v>32</v>
      </c>
      <c r="BF437" s="17"/>
      <c r="BG437" s="17"/>
      <c r="BI437" s="5" t="s">
        <v>269</v>
      </c>
      <c r="BJ437">
        <v>0</v>
      </c>
      <c r="BX437" s="58" t="s">
        <v>383</v>
      </c>
      <c r="BY437" s="60" t="s">
        <v>27</v>
      </c>
      <c r="BZ437" s="58"/>
      <c r="CA437" s="58"/>
      <c r="CC437" s="5" t="s">
        <v>300</v>
      </c>
      <c r="CD437">
        <v>0</v>
      </c>
      <c r="CE437" s="30" t="s">
        <v>388</v>
      </c>
      <c r="CF437" s="17">
        <f>MIN(CD436:CD458)</f>
        <v>0</v>
      </c>
      <c r="CR437" s="2" t="s">
        <v>358</v>
      </c>
      <c r="CS437">
        <v>0</v>
      </c>
      <c r="CW437" s="66" t="s">
        <v>357</v>
      </c>
      <c r="CX437" s="62">
        <v>0</v>
      </c>
    </row>
    <row r="438" spans="1:104" x14ac:dyDescent="0.25">
      <c r="A438" s="5" t="s">
        <v>42</v>
      </c>
      <c r="B438">
        <v>11</v>
      </c>
      <c r="C438" s="30" t="s">
        <v>389</v>
      </c>
      <c r="D438" s="17">
        <f>MAX(B436:B458)</f>
        <v>26</v>
      </c>
      <c r="U438" s="5" t="s">
        <v>123</v>
      </c>
      <c r="V438">
        <v>0</v>
      </c>
      <c r="Z438" s="61" t="s">
        <v>127</v>
      </c>
      <c r="AA438" s="62">
        <v>0</v>
      </c>
      <c r="AO438" s="17" t="s">
        <v>384</v>
      </c>
      <c r="AP438" s="17" t="s">
        <v>39</v>
      </c>
      <c r="AQ438" s="17" t="s">
        <v>385</v>
      </c>
      <c r="AR438" s="17" t="s">
        <v>386</v>
      </c>
      <c r="AY438" s="5" t="s">
        <v>217</v>
      </c>
      <c r="AZ438">
        <v>0</v>
      </c>
      <c r="BD438" s="17" t="s">
        <v>384</v>
      </c>
      <c r="BE438" s="17" t="s">
        <v>39</v>
      </c>
      <c r="BF438" s="17" t="s">
        <v>385</v>
      </c>
      <c r="BG438" s="17" t="s">
        <v>386</v>
      </c>
      <c r="BI438" s="5" t="s">
        <v>270</v>
      </c>
      <c r="BJ438">
        <v>0</v>
      </c>
      <c r="BX438" s="58" t="s">
        <v>384</v>
      </c>
      <c r="BY438" s="58" t="s">
        <v>39</v>
      </c>
      <c r="BZ438" s="58" t="s">
        <v>385</v>
      </c>
      <c r="CA438" s="58" t="s">
        <v>386</v>
      </c>
      <c r="CC438" s="5" t="s">
        <v>301</v>
      </c>
      <c r="CD438">
        <v>0</v>
      </c>
      <c r="CE438" s="30" t="s">
        <v>389</v>
      </c>
      <c r="CF438" s="17">
        <f>MAX(CD436:CD458)</f>
        <v>1</v>
      </c>
      <c r="CR438" s="3" t="s">
        <v>359</v>
      </c>
      <c r="CS438">
        <v>0</v>
      </c>
      <c r="CW438" s="66" t="s">
        <v>358</v>
      </c>
      <c r="CX438" s="62">
        <v>0</v>
      </c>
    </row>
    <row r="439" spans="1:104" x14ac:dyDescent="0.25">
      <c r="A439" s="5" t="s">
        <v>43</v>
      </c>
      <c r="B439">
        <v>12</v>
      </c>
      <c r="C439" s="30" t="s">
        <v>390</v>
      </c>
      <c r="D439" s="17">
        <f>VAR(B436:B458)</f>
        <v>25.509881422924909</v>
      </c>
      <c r="U439" s="5" t="s">
        <v>124</v>
      </c>
      <c r="V439">
        <v>0</v>
      </c>
      <c r="Z439" s="61" t="s">
        <v>128</v>
      </c>
      <c r="AA439" s="62">
        <v>0</v>
      </c>
      <c r="AO439" s="5" t="s">
        <v>149</v>
      </c>
      <c r="AP439">
        <v>1</v>
      </c>
      <c r="AQ439" s="30" t="s">
        <v>387</v>
      </c>
      <c r="AR439" s="17">
        <f>SUM(AP439:AP463)</f>
        <v>7</v>
      </c>
      <c r="AY439" s="5" t="s">
        <v>218</v>
      </c>
      <c r="AZ439">
        <v>0</v>
      </c>
      <c r="BD439" s="5" t="s">
        <v>221</v>
      </c>
      <c r="BE439">
        <v>4</v>
      </c>
      <c r="BF439" s="30" t="s">
        <v>387</v>
      </c>
      <c r="BG439" s="17">
        <f>SUM(BE439:BE463)</f>
        <v>257</v>
      </c>
      <c r="BI439" s="5" t="s">
        <v>271</v>
      </c>
      <c r="BJ439">
        <v>0</v>
      </c>
      <c r="BX439" s="61" t="s">
        <v>274</v>
      </c>
      <c r="BY439" s="62">
        <v>0</v>
      </c>
      <c r="BZ439" s="63" t="s">
        <v>387</v>
      </c>
      <c r="CA439" s="58">
        <f>SUM(BY439:BY463)</f>
        <v>1</v>
      </c>
      <c r="CC439" s="5" t="s">
        <v>302</v>
      </c>
      <c r="CD439">
        <v>0</v>
      </c>
      <c r="CE439" s="30" t="s">
        <v>390</v>
      </c>
      <c r="CF439" s="17">
        <f>VAR(CD436:CD458)</f>
        <v>4.3478260869565216E-2</v>
      </c>
      <c r="CW439" s="66" t="s">
        <v>359</v>
      </c>
      <c r="CX439" s="62">
        <v>0</v>
      </c>
    </row>
    <row r="440" spans="1:104" x14ac:dyDescent="0.25">
      <c r="A440" s="5" t="s">
        <v>44</v>
      </c>
      <c r="B440">
        <v>20</v>
      </c>
      <c r="C440" s="30" t="s">
        <v>391</v>
      </c>
      <c r="D440" s="17">
        <f>AVERAGE(B436:B458)</f>
        <v>13.652173913043478</v>
      </c>
      <c r="U440" s="5" t="s">
        <v>125</v>
      </c>
      <c r="V440">
        <v>0</v>
      </c>
      <c r="AO440" s="5" t="s">
        <v>150</v>
      </c>
      <c r="AP440">
        <v>0</v>
      </c>
      <c r="AQ440" s="30" t="s">
        <v>388</v>
      </c>
      <c r="AR440" s="17">
        <f>MIN(AP439:AP463)</f>
        <v>0</v>
      </c>
      <c r="AY440" s="5" t="s">
        <v>219</v>
      </c>
      <c r="AZ440">
        <v>0</v>
      </c>
      <c r="BD440" s="5" t="s">
        <v>222</v>
      </c>
      <c r="BE440">
        <v>6</v>
      </c>
      <c r="BF440" s="30" t="s">
        <v>388</v>
      </c>
      <c r="BG440" s="17">
        <f>MIN(BE439:BE463)</f>
        <v>1</v>
      </c>
      <c r="BI440" s="5" t="s">
        <v>272</v>
      </c>
      <c r="BJ440">
        <v>0</v>
      </c>
      <c r="BX440" s="61" t="s">
        <v>275</v>
      </c>
      <c r="BY440" s="62">
        <v>0</v>
      </c>
      <c r="BZ440" s="63" t="s">
        <v>388</v>
      </c>
      <c r="CA440" s="58">
        <f>MIN(BY439:BY463)</f>
        <v>0</v>
      </c>
      <c r="CC440" s="5" t="s">
        <v>303</v>
      </c>
      <c r="CD440">
        <v>0</v>
      </c>
      <c r="CE440" s="30" t="s">
        <v>391</v>
      </c>
      <c r="CF440" s="17">
        <f>AVERAGE(CD436:CD458)</f>
        <v>4.3478260869565216E-2</v>
      </c>
    </row>
    <row r="441" spans="1:104" x14ac:dyDescent="0.25">
      <c r="A441" s="5" t="s">
        <v>45</v>
      </c>
      <c r="B441">
        <v>14</v>
      </c>
      <c r="C441" s="30" t="s">
        <v>392</v>
      </c>
      <c r="D441" s="17">
        <f>STDEV(B436:B458)</f>
        <v>5.0507307810776165</v>
      </c>
      <c r="U441" s="5" t="s">
        <v>126</v>
      </c>
      <c r="V441">
        <v>0</v>
      </c>
      <c r="Z441" s="58" t="s">
        <v>382</v>
      </c>
      <c r="AA441" s="59" t="s">
        <v>627</v>
      </c>
      <c r="AB441" s="58"/>
      <c r="AC441" s="58">
        <v>2016</v>
      </c>
      <c r="AO441" s="5" t="s">
        <v>151</v>
      </c>
      <c r="AP441">
        <v>0</v>
      </c>
      <c r="AQ441" s="30" t="s">
        <v>389</v>
      </c>
      <c r="AR441" s="17">
        <f>MAX(AP439:AP463)</f>
        <v>1</v>
      </c>
      <c r="AY441" s="5" t="s">
        <v>220</v>
      </c>
      <c r="AZ441">
        <v>0</v>
      </c>
      <c r="BD441" s="5" t="s">
        <v>223</v>
      </c>
      <c r="BE441">
        <v>25</v>
      </c>
      <c r="BF441" s="30" t="s">
        <v>389</v>
      </c>
      <c r="BG441" s="17">
        <f>MAX(BE439:BE463)</f>
        <v>30</v>
      </c>
      <c r="BI441" s="5" t="s">
        <v>273</v>
      </c>
      <c r="BJ441">
        <v>0</v>
      </c>
      <c r="BX441" s="61" t="s">
        <v>276</v>
      </c>
      <c r="BY441" s="62">
        <v>0</v>
      </c>
      <c r="BZ441" s="63" t="s">
        <v>389</v>
      </c>
      <c r="CA441" s="58">
        <f>MAX(BY439:BY463)</f>
        <v>1</v>
      </c>
      <c r="CC441" s="5" t="s">
        <v>304</v>
      </c>
      <c r="CD441">
        <v>0</v>
      </c>
      <c r="CE441" s="30" t="s">
        <v>392</v>
      </c>
      <c r="CF441" s="17">
        <f>STDEV(CD436:CD458)</f>
        <v>0.20851441405707477</v>
      </c>
      <c r="CW441" s="58" t="s">
        <v>382</v>
      </c>
      <c r="CX441" s="59" t="s">
        <v>629</v>
      </c>
      <c r="CY441" s="58"/>
      <c r="CZ441" s="58">
        <v>2016</v>
      </c>
    </row>
    <row r="442" spans="1:104" x14ac:dyDescent="0.25">
      <c r="A442" s="5" t="s">
        <v>47</v>
      </c>
      <c r="B442">
        <v>14</v>
      </c>
      <c r="C442" s="17"/>
      <c r="D442" s="17"/>
      <c r="U442" s="5" t="s">
        <v>127</v>
      </c>
      <c r="V442">
        <v>0</v>
      </c>
      <c r="Z442" s="58" t="s">
        <v>383</v>
      </c>
      <c r="AA442" s="60" t="s">
        <v>19</v>
      </c>
      <c r="AB442" s="58"/>
      <c r="AC442" s="58"/>
      <c r="AO442" s="5" t="s">
        <v>152</v>
      </c>
      <c r="AP442">
        <v>0</v>
      </c>
      <c r="AQ442" s="30" t="s">
        <v>390</v>
      </c>
      <c r="AR442" s="17">
        <f>VAR(AP439:AP463)</f>
        <v>0.21</v>
      </c>
      <c r="BD442" s="5" t="s">
        <v>224</v>
      </c>
      <c r="BE442">
        <v>11</v>
      </c>
      <c r="BF442" s="30" t="s">
        <v>390</v>
      </c>
      <c r="BG442" s="17">
        <f>VAR(BE439:BE463)</f>
        <v>57.21</v>
      </c>
      <c r="BX442" s="61" t="s">
        <v>277</v>
      </c>
      <c r="BY442" s="62">
        <v>0</v>
      </c>
      <c r="BZ442" s="63" t="s">
        <v>390</v>
      </c>
      <c r="CA442" s="58">
        <f>VAR(BY439:BY463)</f>
        <v>0.04</v>
      </c>
      <c r="CC442" s="5" t="s">
        <v>305</v>
      </c>
      <c r="CD442">
        <v>0</v>
      </c>
      <c r="CE442" s="17"/>
      <c r="CF442" s="17"/>
      <c r="CW442" s="58" t="s">
        <v>383</v>
      </c>
      <c r="CX442" s="60" t="s">
        <v>22</v>
      </c>
      <c r="CY442" s="58"/>
      <c r="CZ442" s="58"/>
    </row>
    <row r="443" spans="1:104" x14ac:dyDescent="0.25">
      <c r="A443" s="5" t="s">
        <v>48</v>
      </c>
      <c r="B443">
        <v>10</v>
      </c>
      <c r="C443" s="17"/>
      <c r="D443" s="17"/>
      <c r="U443" s="5" t="s">
        <v>128</v>
      </c>
      <c r="V443">
        <v>0</v>
      </c>
      <c r="Z443" s="58" t="s">
        <v>384</v>
      </c>
      <c r="AA443" s="58" t="s">
        <v>39</v>
      </c>
      <c r="AB443" s="58" t="s">
        <v>385</v>
      </c>
      <c r="AC443" s="58" t="s">
        <v>386</v>
      </c>
      <c r="AO443" s="5" t="s">
        <v>153</v>
      </c>
      <c r="AP443">
        <v>0</v>
      </c>
      <c r="AQ443" s="30" t="s">
        <v>391</v>
      </c>
      <c r="AR443" s="17">
        <f>AVERAGE(AP439:AP463)</f>
        <v>0.28000000000000003</v>
      </c>
      <c r="AY443" s="17" t="s">
        <v>382</v>
      </c>
      <c r="AZ443" s="29" t="s">
        <v>370</v>
      </c>
      <c r="BA443" s="17"/>
      <c r="BB443" s="17">
        <v>2016</v>
      </c>
      <c r="BD443" s="5" t="s">
        <v>225</v>
      </c>
      <c r="BE443">
        <v>3</v>
      </c>
      <c r="BF443" s="30" t="s">
        <v>391</v>
      </c>
      <c r="BG443" s="17">
        <f>AVERAGE(BE439:BE463)</f>
        <v>10.28</v>
      </c>
      <c r="BI443" s="17" t="s">
        <v>382</v>
      </c>
      <c r="BJ443" s="29" t="s">
        <v>372</v>
      </c>
      <c r="BK443" s="17"/>
      <c r="BL443" s="17">
        <v>2016</v>
      </c>
      <c r="BX443" s="61" t="s">
        <v>279</v>
      </c>
      <c r="BY443" s="62">
        <v>0</v>
      </c>
      <c r="BZ443" s="63" t="s">
        <v>391</v>
      </c>
      <c r="CA443" s="58">
        <f>AVERAGE(BY439:BY463)</f>
        <v>0.04</v>
      </c>
      <c r="CC443" s="5" t="s">
        <v>306</v>
      </c>
      <c r="CD443">
        <v>0</v>
      </c>
      <c r="CE443" s="17"/>
      <c r="CF443" s="17"/>
      <c r="CW443" s="58" t="s">
        <v>384</v>
      </c>
      <c r="CX443" s="58" t="s">
        <v>39</v>
      </c>
      <c r="CY443" s="58" t="s">
        <v>385</v>
      </c>
      <c r="CZ443" s="58" t="s">
        <v>386</v>
      </c>
    </row>
    <row r="444" spans="1:104" x14ac:dyDescent="0.25">
      <c r="A444" s="5" t="s">
        <v>49</v>
      </c>
      <c r="B444">
        <v>26</v>
      </c>
      <c r="C444" s="17"/>
      <c r="D444" s="17"/>
      <c r="Z444" s="61" t="s">
        <v>88</v>
      </c>
      <c r="AA444" s="62">
        <v>5</v>
      </c>
      <c r="AB444" s="63" t="s">
        <v>387</v>
      </c>
      <c r="AC444" s="58">
        <f>SUM(AA444:AA483)</f>
        <v>200</v>
      </c>
      <c r="AO444" s="5" t="s">
        <v>154</v>
      </c>
      <c r="AP444">
        <v>0</v>
      </c>
      <c r="AQ444" s="30" t="s">
        <v>392</v>
      </c>
      <c r="AR444" s="17">
        <f>STDEV(AP439:AP463)</f>
        <v>0.45825756949558399</v>
      </c>
      <c r="AY444" s="17" t="s">
        <v>383</v>
      </c>
      <c r="AZ444" s="6" t="s">
        <v>26</v>
      </c>
      <c r="BA444" s="17"/>
      <c r="BB444" s="17"/>
      <c r="BD444" s="5" t="s">
        <v>226</v>
      </c>
      <c r="BE444">
        <v>1</v>
      </c>
      <c r="BF444" s="30" t="s">
        <v>392</v>
      </c>
      <c r="BG444" s="17">
        <f>STDEV(BE439:BE463)</f>
        <v>7.5637292389402733</v>
      </c>
      <c r="BI444" s="17" t="s">
        <v>383</v>
      </c>
      <c r="BJ444" s="6" t="s">
        <v>24</v>
      </c>
      <c r="BK444" s="17"/>
      <c r="BL444" s="17"/>
      <c r="BX444" s="61" t="s">
        <v>278</v>
      </c>
      <c r="BY444" s="62">
        <v>0</v>
      </c>
      <c r="BZ444" s="63" t="s">
        <v>392</v>
      </c>
      <c r="CA444" s="58">
        <f>STDEV(BY439:BY463)</f>
        <v>0.2</v>
      </c>
      <c r="CC444" s="5" t="s">
        <v>93</v>
      </c>
      <c r="CD444">
        <v>1</v>
      </c>
      <c r="CE444" s="17"/>
      <c r="CF444" s="17"/>
      <c r="CW444" s="61" t="s">
        <v>321</v>
      </c>
      <c r="CX444" s="62">
        <v>0</v>
      </c>
      <c r="CY444" s="63" t="s">
        <v>387</v>
      </c>
      <c r="CZ444" s="58">
        <f>SUM(CX444:CX483)</f>
        <v>7</v>
      </c>
    </row>
    <row r="445" spans="1:104" x14ac:dyDescent="0.25">
      <c r="A445" s="5" t="s">
        <v>50</v>
      </c>
      <c r="B445">
        <v>12</v>
      </c>
      <c r="C445" s="17"/>
      <c r="D445" s="17"/>
      <c r="U445" s="17" t="s">
        <v>382</v>
      </c>
      <c r="V445" s="29" t="s">
        <v>400</v>
      </c>
      <c r="W445" s="17"/>
      <c r="X445" s="17">
        <v>2016</v>
      </c>
      <c r="Z445" s="61" t="s">
        <v>89</v>
      </c>
      <c r="AA445" s="62">
        <v>3</v>
      </c>
      <c r="AB445" s="63" t="s">
        <v>388</v>
      </c>
      <c r="AC445" s="58">
        <f>MIN(AA444:AA483)</f>
        <v>0</v>
      </c>
      <c r="AO445" s="5" t="s">
        <v>155</v>
      </c>
      <c r="AP445">
        <v>0</v>
      </c>
      <c r="AQ445" s="17"/>
      <c r="AR445" s="17"/>
      <c r="AY445" s="17" t="s">
        <v>384</v>
      </c>
      <c r="AZ445" s="17" t="s">
        <v>39</v>
      </c>
      <c r="BA445" s="17" t="s">
        <v>385</v>
      </c>
      <c r="BB445" s="17" t="s">
        <v>386</v>
      </c>
      <c r="BD445" s="5" t="s">
        <v>227</v>
      </c>
      <c r="BE445">
        <v>15</v>
      </c>
      <c r="BF445" s="17"/>
      <c r="BG445" s="17"/>
      <c r="BI445" s="17" t="s">
        <v>384</v>
      </c>
      <c r="BJ445" s="17" t="s">
        <v>39</v>
      </c>
      <c r="BK445" s="17" t="s">
        <v>385</v>
      </c>
      <c r="BL445" s="17" t="s">
        <v>386</v>
      </c>
      <c r="BX445" s="61" t="s">
        <v>280</v>
      </c>
      <c r="BY445" s="62">
        <v>0</v>
      </c>
      <c r="BZ445" s="58"/>
      <c r="CA445" s="58"/>
      <c r="CC445" s="5" t="s">
        <v>307</v>
      </c>
      <c r="CD445">
        <v>0</v>
      </c>
      <c r="CE445" s="17"/>
      <c r="CF445" s="17"/>
      <c r="CM445" s="17" t="s">
        <v>382</v>
      </c>
      <c r="CN445" s="29" t="s">
        <v>442</v>
      </c>
      <c r="CO445" s="17"/>
      <c r="CP445" s="17">
        <v>2016</v>
      </c>
      <c r="CR445" s="17" t="s">
        <v>382</v>
      </c>
      <c r="CS445" s="29" t="s">
        <v>442</v>
      </c>
      <c r="CT445" s="17"/>
      <c r="CU445" s="17">
        <v>2016</v>
      </c>
      <c r="CW445" s="61" t="s">
        <v>322</v>
      </c>
      <c r="CX445" s="62">
        <v>0</v>
      </c>
      <c r="CY445" s="63" t="s">
        <v>388</v>
      </c>
      <c r="CZ445" s="58">
        <f>MIN(CX444:CX483)</f>
        <v>0</v>
      </c>
    </row>
    <row r="446" spans="1:104" x14ac:dyDescent="0.25">
      <c r="A446" s="5" t="s">
        <v>51</v>
      </c>
      <c r="B446">
        <v>10</v>
      </c>
      <c r="C446" s="17"/>
      <c r="D446" s="17"/>
      <c r="U446" s="17" t="s">
        <v>383</v>
      </c>
      <c r="V446" s="6" t="s">
        <v>21</v>
      </c>
      <c r="W446" s="17"/>
      <c r="X446" s="17"/>
      <c r="Z446" s="61" t="s">
        <v>90</v>
      </c>
      <c r="AA446" s="62">
        <v>2</v>
      </c>
      <c r="AB446" s="63" t="s">
        <v>389</v>
      </c>
      <c r="AC446" s="58">
        <f>MAX(AA444:AA483)</f>
        <v>18</v>
      </c>
      <c r="AO446" s="5" t="s">
        <v>156</v>
      </c>
      <c r="AP446">
        <v>0</v>
      </c>
      <c r="AQ446" s="17"/>
      <c r="AR446" s="17"/>
      <c r="AY446" s="5" t="s">
        <v>192</v>
      </c>
      <c r="AZ446">
        <v>0</v>
      </c>
      <c r="BA446" s="30" t="s">
        <v>387</v>
      </c>
      <c r="BB446" s="17">
        <f>SUM(AZ446:AZ475)</f>
        <v>1</v>
      </c>
      <c r="BD446" s="5" t="s">
        <v>228</v>
      </c>
      <c r="BE446">
        <v>8</v>
      </c>
      <c r="BF446" s="17"/>
      <c r="BG446" s="17"/>
      <c r="BI446" s="5" t="s">
        <v>245</v>
      </c>
      <c r="BJ446">
        <v>0</v>
      </c>
      <c r="BK446" s="30" t="s">
        <v>387</v>
      </c>
      <c r="BL446" s="17">
        <f>SUM(BJ446:BJ475)</f>
        <v>6</v>
      </c>
      <c r="BX446" s="61" t="s">
        <v>281</v>
      </c>
      <c r="BY446" s="62">
        <v>0</v>
      </c>
      <c r="BZ446" s="58"/>
      <c r="CA446" s="58"/>
      <c r="CC446" s="5" t="s">
        <v>308</v>
      </c>
      <c r="CD446">
        <v>0</v>
      </c>
      <c r="CE446" s="17"/>
      <c r="CF446" s="17"/>
      <c r="CM446" s="17" t="s">
        <v>383</v>
      </c>
      <c r="CN446" s="6" t="s">
        <v>25</v>
      </c>
      <c r="CO446" s="15"/>
      <c r="CP446" s="17"/>
      <c r="CR446" s="17" t="s">
        <v>383</v>
      </c>
      <c r="CS446" s="6" t="s">
        <v>25</v>
      </c>
      <c r="CT446" s="15"/>
      <c r="CU446" s="17"/>
      <c r="CW446" s="61" t="s">
        <v>323</v>
      </c>
      <c r="CX446" s="62">
        <v>0</v>
      </c>
      <c r="CY446" s="63" t="s">
        <v>389</v>
      </c>
      <c r="CZ446" s="58">
        <f>MAX(CX444:CX483)</f>
        <v>2</v>
      </c>
    </row>
    <row r="447" spans="1:104" x14ac:dyDescent="0.25">
      <c r="A447" s="5" t="s">
        <v>52</v>
      </c>
      <c r="B447">
        <v>9</v>
      </c>
      <c r="C447" s="17"/>
      <c r="D447" s="17"/>
      <c r="U447" s="17" t="s">
        <v>384</v>
      </c>
      <c r="V447" s="17" t="s">
        <v>39</v>
      </c>
      <c r="W447" s="17" t="s">
        <v>385</v>
      </c>
      <c r="X447" s="17" t="s">
        <v>386</v>
      </c>
      <c r="Z447" s="61" t="s">
        <v>91</v>
      </c>
      <c r="AA447" s="62">
        <v>3</v>
      </c>
      <c r="AB447" s="63" t="s">
        <v>390</v>
      </c>
      <c r="AC447" s="58">
        <f>VAR(AA444:AA483)</f>
        <v>11.179487179487179</v>
      </c>
      <c r="AO447" s="5" t="s">
        <v>157</v>
      </c>
      <c r="AP447">
        <v>1</v>
      </c>
      <c r="AQ447" s="17"/>
      <c r="AR447" s="17"/>
      <c r="AY447" s="5" t="s">
        <v>193</v>
      </c>
      <c r="AZ447">
        <v>0</v>
      </c>
      <c r="BA447" s="30" t="s">
        <v>388</v>
      </c>
      <c r="BB447" s="17">
        <f>MIN(AZ446:AZ475)</f>
        <v>0</v>
      </c>
      <c r="BD447" s="5" t="s">
        <v>229</v>
      </c>
      <c r="BE447">
        <v>14</v>
      </c>
      <c r="BF447" s="17"/>
      <c r="BG447" s="17"/>
      <c r="BI447" s="5" t="s">
        <v>73</v>
      </c>
      <c r="BJ447">
        <v>0</v>
      </c>
      <c r="BK447" s="30" t="s">
        <v>388</v>
      </c>
      <c r="BL447" s="17">
        <f>MIN(BJ446:BJ475)</f>
        <v>0</v>
      </c>
      <c r="BX447" s="61" t="s">
        <v>282</v>
      </c>
      <c r="BY447" s="62">
        <v>0</v>
      </c>
      <c r="BZ447" s="58"/>
      <c r="CA447" s="58"/>
      <c r="CC447" s="5" t="s">
        <v>309</v>
      </c>
      <c r="CD447">
        <v>0</v>
      </c>
      <c r="CE447" s="17"/>
      <c r="CF447" s="17"/>
      <c r="CM447" s="17" t="s">
        <v>384</v>
      </c>
      <c r="CN447" s="17" t="s">
        <v>39</v>
      </c>
      <c r="CO447" s="17" t="s">
        <v>385</v>
      </c>
      <c r="CP447" s="17" t="s">
        <v>386</v>
      </c>
      <c r="CR447" s="17" t="s">
        <v>384</v>
      </c>
      <c r="CS447" s="17" t="s">
        <v>39</v>
      </c>
      <c r="CT447" s="17" t="s">
        <v>385</v>
      </c>
      <c r="CU447" s="17" t="s">
        <v>386</v>
      </c>
      <c r="CW447" s="61" t="s">
        <v>324</v>
      </c>
      <c r="CX447" s="62">
        <v>0</v>
      </c>
      <c r="CY447" s="63" t="s">
        <v>390</v>
      </c>
      <c r="CZ447" s="58">
        <f>VAR(CX444:CX483)</f>
        <v>0.19935897435897437</v>
      </c>
    </row>
    <row r="448" spans="1:104" x14ac:dyDescent="0.25">
      <c r="A448" s="5" t="s">
        <v>53</v>
      </c>
      <c r="B448">
        <v>14</v>
      </c>
      <c r="C448" s="17"/>
      <c r="D448" s="17"/>
      <c r="U448" s="5" t="s">
        <v>96</v>
      </c>
      <c r="V448">
        <v>0</v>
      </c>
      <c r="W448" s="30" t="s">
        <v>387</v>
      </c>
      <c r="X448" s="17">
        <f>SUM(V448:V480)</f>
        <v>8</v>
      </c>
      <c r="Z448" s="61" t="s">
        <v>92</v>
      </c>
      <c r="AA448" s="62">
        <v>5</v>
      </c>
      <c r="AB448" s="63" t="s">
        <v>391</v>
      </c>
      <c r="AC448" s="58">
        <f>AVERAGE(AA444:AA483)</f>
        <v>5</v>
      </c>
      <c r="AO448" s="5" t="s">
        <v>158</v>
      </c>
      <c r="AP448">
        <v>0</v>
      </c>
      <c r="AQ448" s="17"/>
      <c r="AR448" s="17"/>
      <c r="AY448" s="5" t="s">
        <v>194</v>
      </c>
      <c r="AZ448">
        <v>0</v>
      </c>
      <c r="BA448" s="30" t="s">
        <v>389</v>
      </c>
      <c r="BB448" s="17">
        <f>MAX(AZ446:AZ475)</f>
        <v>1</v>
      </c>
      <c r="BD448" s="5" t="s">
        <v>230</v>
      </c>
      <c r="BE448">
        <v>4</v>
      </c>
      <c r="BF448" s="17"/>
      <c r="BG448" s="17"/>
      <c r="BI448" s="5" t="s">
        <v>246</v>
      </c>
      <c r="BJ448">
        <v>1</v>
      </c>
      <c r="BK448" s="30" t="s">
        <v>389</v>
      </c>
      <c r="BL448" s="17">
        <f>MAX(BJ446:BJ475)</f>
        <v>1</v>
      </c>
      <c r="BX448" s="61" t="s">
        <v>283</v>
      </c>
      <c r="BY448" s="62">
        <v>0</v>
      </c>
      <c r="BZ448" s="58"/>
      <c r="CA448" s="58"/>
      <c r="CC448" s="5" t="s">
        <v>310</v>
      </c>
      <c r="CD448">
        <v>0</v>
      </c>
      <c r="CE448" s="17"/>
      <c r="CF448" s="17"/>
      <c r="CM448" s="5" t="s">
        <v>328</v>
      </c>
      <c r="CN448">
        <v>0</v>
      </c>
      <c r="CO448" s="30" t="s">
        <v>387</v>
      </c>
      <c r="CP448" s="17">
        <f>SUM(CN448:CN480)</f>
        <v>0</v>
      </c>
      <c r="CR448" s="5" t="s">
        <v>333</v>
      </c>
      <c r="CS448">
        <v>0</v>
      </c>
      <c r="CT448" s="30" t="s">
        <v>387</v>
      </c>
      <c r="CU448" s="17">
        <f>SUM(CS448:CS475)</f>
        <v>1</v>
      </c>
      <c r="CW448" s="61" t="s">
        <v>325</v>
      </c>
      <c r="CX448" s="62">
        <v>0</v>
      </c>
      <c r="CY448" s="63" t="s">
        <v>391</v>
      </c>
      <c r="CZ448" s="58">
        <f>AVERAGE(CX444:CX483)</f>
        <v>0.17499999999999999</v>
      </c>
    </row>
    <row r="449" spans="1:104" x14ac:dyDescent="0.25">
      <c r="A449" s="5" t="s">
        <v>54</v>
      </c>
      <c r="B449">
        <v>16</v>
      </c>
      <c r="C449" s="17"/>
      <c r="D449" s="17"/>
      <c r="U449" s="5" t="s">
        <v>97</v>
      </c>
      <c r="V449">
        <v>0</v>
      </c>
      <c r="W449" s="30" t="s">
        <v>388</v>
      </c>
      <c r="X449" s="17">
        <f>MIN(V448:V480)</f>
        <v>0</v>
      </c>
      <c r="Z449" s="61" t="s">
        <v>93</v>
      </c>
      <c r="AA449" s="62">
        <v>1</v>
      </c>
      <c r="AB449" s="63" t="s">
        <v>392</v>
      </c>
      <c r="AC449" s="58">
        <f>STDEV(AA444:AA483)</f>
        <v>3.3435740128621618</v>
      </c>
      <c r="AO449" s="5" t="s">
        <v>159</v>
      </c>
      <c r="AP449">
        <v>1</v>
      </c>
      <c r="AQ449" s="17"/>
      <c r="AR449" s="17"/>
      <c r="AY449" s="5" t="s">
        <v>195</v>
      </c>
      <c r="AZ449">
        <v>0</v>
      </c>
      <c r="BA449" s="30" t="s">
        <v>390</v>
      </c>
      <c r="BB449" s="17">
        <f>VAR(AZ446:AZ475)</f>
        <v>3.3333333333333333E-2</v>
      </c>
      <c r="BD449" s="5" t="s">
        <v>231</v>
      </c>
      <c r="BE449">
        <v>1</v>
      </c>
      <c r="BF449" s="17"/>
      <c r="BG449" s="17"/>
      <c r="BI449" s="5" t="s">
        <v>247</v>
      </c>
      <c r="BJ449">
        <v>0</v>
      </c>
      <c r="BK449" s="30" t="s">
        <v>390</v>
      </c>
      <c r="BL449" s="17">
        <f>VAR(BJ446:BJ475)</f>
        <v>0.16551724137931034</v>
      </c>
      <c r="BX449" s="61" t="s">
        <v>285</v>
      </c>
      <c r="BY449" s="62">
        <v>1</v>
      </c>
      <c r="BZ449" s="58"/>
      <c r="CA449" s="58"/>
      <c r="CC449" s="5" t="s">
        <v>311</v>
      </c>
      <c r="CD449">
        <v>0</v>
      </c>
      <c r="CE449" s="17"/>
      <c r="CF449" s="17"/>
      <c r="CM449" s="5" t="s">
        <v>329</v>
      </c>
      <c r="CN449">
        <v>0</v>
      </c>
      <c r="CO449" s="30" t="s">
        <v>388</v>
      </c>
      <c r="CP449" s="17">
        <f>MIN(CN448:CN480)</f>
        <v>0</v>
      </c>
      <c r="CR449" s="5" t="s">
        <v>334</v>
      </c>
      <c r="CS449">
        <v>0</v>
      </c>
      <c r="CT449" s="30" t="s">
        <v>388</v>
      </c>
      <c r="CU449" s="17">
        <f>MIN(CS448:CS475)</f>
        <v>0</v>
      </c>
      <c r="CW449" s="61" t="s">
        <v>326</v>
      </c>
      <c r="CX449" s="62">
        <v>1</v>
      </c>
      <c r="CY449" s="63" t="s">
        <v>392</v>
      </c>
      <c r="CZ449" s="58">
        <f>STDEV(CX444:CX483)</f>
        <v>0.44649633185388476</v>
      </c>
    </row>
    <row r="450" spans="1:104" x14ac:dyDescent="0.25">
      <c r="A450" s="5" t="s">
        <v>55</v>
      </c>
      <c r="B450">
        <v>10</v>
      </c>
      <c r="C450" s="17"/>
      <c r="D450" s="17"/>
      <c r="U450" s="5" t="s">
        <v>98</v>
      </c>
      <c r="V450">
        <v>0</v>
      </c>
      <c r="W450" s="30" t="s">
        <v>389</v>
      </c>
      <c r="X450" s="17">
        <f>MAX(V448:V480)</f>
        <v>2</v>
      </c>
      <c r="Z450" s="61" t="s">
        <v>94</v>
      </c>
      <c r="AA450" s="62">
        <v>3</v>
      </c>
      <c r="AB450" s="58"/>
      <c r="AC450" s="58"/>
      <c r="AO450" s="5" t="s">
        <v>100</v>
      </c>
      <c r="AP450">
        <v>0</v>
      </c>
      <c r="AQ450" s="17"/>
      <c r="AR450" s="17"/>
      <c r="AY450" s="5" t="s">
        <v>196</v>
      </c>
      <c r="AZ450">
        <v>0</v>
      </c>
      <c r="BA450" s="30" t="s">
        <v>391</v>
      </c>
      <c r="BB450" s="17">
        <f>AVERAGE(AZ446:AZ475)</f>
        <v>3.3333333333333333E-2</v>
      </c>
      <c r="BD450" s="5" t="s">
        <v>232</v>
      </c>
      <c r="BE450">
        <v>3</v>
      </c>
      <c r="BF450" s="17"/>
      <c r="BG450" s="17"/>
      <c r="BI450" s="5" t="s">
        <v>248</v>
      </c>
      <c r="BJ450">
        <v>0</v>
      </c>
      <c r="BK450" s="30" t="s">
        <v>391</v>
      </c>
      <c r="BL450" s="17">
        <f>AVERAGE(BJ446:BJ475)</f>
        <v>0.2</v>
      </c>
      <c r="BX450" s="61" t="s">
        <v>284</v>
      </c>
      <c r="BY450" s="62">
        <v>0</v>
      </c>
      <c r="BZ450" s="58"/>
      <c r="CA450" s="58"/>
      <c r="CC450" s="5" t="s">
        <v>312</v>
      </c>
      <c r="CD450">
        <v>0</v>
      </c>
      <c r="CE450" s="17"/>
      <c r="CF450" s="17"/>
      <c r="CM450" s="5" t="s">
        <v>330</v>
      </c>
      <c r="CN450">
        <v>0</v>
      </c>
      <c r="CO450" s="30" t="s">
        <v>389</v>
      </c>
      <c r="CP450" s="17">
        <f>MAX(CN448:CN480)</f>
        <v>0</v>
      </c>
      <c r="CR450" s="5" t="s">
        <v>335</v>
      </c>
      <c r="CS450">
        <v>0</v>
      </c>
      <c r="CT450" s="30" t="s">
        <v>389</v>
      </c>
      <c r="CU450" s="17">
        <f>MAX(CS448:CS475)</f>
        <v>1</v>
      </c>
      <c r="CW450" s="61" t="s">
        <v>327</v>
      </c>
      <c r="CX450" s="62">
        <v>0</v>
      </c>
      <c r="CY450" s="58"/>
      <c r="CZ450" s="58"/>
    </row>
    <row r="451" spans="1:104" x14ac:dyDescent="0.25">
      <c r="A451" s="5" t="s">
        <v>56</v>
      </c>
      <c r="B451">
        <v>10</v>
      </c>
      <c r="C451" s="17"/>
      <c r="D451" s="17"/>
      <c r="U451" s="5" t="s">
        <v>99</v>
      </c>
      <c r="V451">
        <v>1</v>
      </c>
      <c r="W451" s="30" t="s">
        <v>390</v>
      </c>
      <c r="X451" s="17">
        <f>VAR(V448:V480)</f>
        <v>0.25189393939393939</v>
      </c>
      <c r="Z451" s="61" t="s">
        <v>96</v>
      </c>
      <c r="AA451" s="62">
        <v>3</v>
      </c>
      <c r="AO451" s="5" t="s">
        <v>161</v>
      </c>
      <c r="AP451">
        <v>0</v>
      </c>
      <c r="AQ451" s="17"/>
      <c r="AR451" s="17"/>
      <c r="AY451" s="5" t="s">
        <v>197</v>
      </c>
      <c r="AZ451">
        <v>0</v>
      </c>
      <c r="BA451" s="30" t="s">
        <v>392</v>
      </c>
      <c r="BB451" s="17">
        <f>STDEV(AZ446:AZ475)</f>
        <v>0.18257418583505536</v>
      </c>
      <c r="BD451" s="5" t="s">
        <v>233</v>
      </c>
      <c r="BE451">
        <v>1</v>
      </c>
      <c r="BF451" s="17"/>
      <c r="BG451" s="17"/>
      <c r="BI451" s="5" t="s">
        <v>249</v>
      </c>
      <c r="BJ451">
        <v>0</v>
      </c>
      <c r="BK451" s="30" t="s">
        <v>392</v>
      </c>
      <c r="BL451" s="17">
        <f>STDEV(BJ446:BJ475)</f>
        <v>0.40683810217248623</v>
      </c>
      <c r="BX451" s="61" t="s">
        <v>286</v>
      </c>
      <c r="BY451" s="62">
        <v>0</v>
      </c>
      <c r="BZ451" s="58"/>
      <c r="CA451" s="58"/>
      <c r="CC451" s="5" t="s">
        <v>313</v>
      </c>
      <c r="CD451">
        <v>0</v>
      </c>
      <c r="CE451" s="17"/>
      <c r="CF451" s="17"/>
      <c r="CM451" s="5" t="s">
        <v>331</v>
      </c>
      <c r="CN451">
        <v>0</v>
      </c>
      <c r="CO451" s="30" t="s">
        <v>390</v>
      </c>
      <c r="CP451" s="17">
        <f>VAR(CN448:CN480)</f>
        <v>0</v>
      </c>
      <c r="CR451" s="5" t="s">
        <v>43</v>
      </c>
      <c r="CS451">
        <v>0</v>
      </c>
      <c r="CT451" s="30" t="s">
        <v>390</v>
      </c>
      <c r="CU451" s="17">
        <f>VAR(CS448:CS475)</f>
        <v>3.5714285714285712E-2</v>
      </c>
      <c r="CW451" s="61" t="s">
        <v>328</v>
      </c>
      <c r="CX451" s="62">
        <v>0</v>
      </c>
    </row>
    <row r="452" spans="1:104" x14ac:dyDescent="0.25">
      <c r="A452" s="5" t="s">
        <v>57</v>
      </c>
      <c r="B452">
        <v>4</v>
      </c>
      <c r="C452" s="17"/>
      <c r="D452" s="17"/>
      <c r="U452" s="5" t="s">
        <v>100</v>
      </c>
      <c r="V452">
        <v>0</v>
      </c>
      <c r="W452" s="30" t="s">
        <v>391</v>
      </c>
      <c r="X452" s="17">
        <f>AVERAGE(V448:V480)</f>
        <v>0.24242424242424243</v>
      </c>
      <c r="Z452" s="61" t="s">
        <v>97</v>
      </c>
      <c r="AA452" s="62">
        <v>7</v>
      </c>
      <c r="AO452" s="5" t="s">
        <v>162</v>
      </c>
      <c r="AP452">
        <v>1</v>
      </c>
      <c r="AQ452" s="17"/>
      <c r="AR452" s="17"/>
      <c r="AY452" s="5" t="s">
        <v>198</v>
      </c>
      <c r="AZ452">
        <v>0</v>
      </c>
      <c r="BA452" s="17"/>
      <c r="BB452" s="17"/>
      <c r="BD452" s="5" t="s">
        <v>234</v>
      </c>
      <c r="BE452">
        <v>12</v>
      </c>
      <c r="BF452" s="17"/>
      <c r="BG452" s="17"/>
      <c r="BI452" s="5" t="s">
        <v>250</v>
      </c>
      <c r="BJ452">
        <v>0</v>
      </c>
      <c r="BK452" s="17"/>
      <c r="BL452" s="17"/>
      <c r="BX452" s="61" t="s">
        <v>287</v>
      </c>
      <c r="BY452" s="62">
        <v>0</v>
      </c>
      <c r="BZ452" s="58"/>
      <c r="CA452" s="58"/>
      <c r="CC452" s="5" t="s">
        <v>314</v>
      </c>
      <c r="CD452">
        <v>0</v>
      </c>
      <c r="CM452" s="5" t="s">
        <v>332</v>
      </c>
      <c r="CN452">
        <v>0</v>
      </c>
      <c r="CO452" s="30" t="s">
        <v>391</v>
      </c>
      <c r="CP452" s="17">
        <f>AVERAGE(CN448:CN480)</f>
        <v>0</v>
      </c>
      <c r="CR452" s="5" t="s">
        <v>336</v>
      </c>
      <c r="CS452">
        <v>0</v>
      </c>
      <c r="CT452" s="30" t="s">
        <v>391</v>
      </c>
      <c r="CU452" s="17">
        <f>AVERAGE(CS448:CS475)</f>
        <v>3.5714285714285712E-2</v>
      </c>
      <c r="CW452" s="61" t="s">
        <v>329</v>
      </c>
      <c r="CX452" s="62">
        <v>1</v>
      </c>
    </row>
    <row r="453" spans="1:104" x14ac:dyDescent="0.25">
      <c r="A453" s="5" t="s">
        <v>58</v>
      </c>
      <c r="B453">
        <v>20</v>
      </c>
      <c r="C453" s="15"/>
      <c r="D453" s="15"/>
      <c r="U453" s="5" t="s">
        <v>101</v>
      </c>
      <c r="V453">
        <v>0</v>
      </c>
      <c r="W453" s="30" t="s">
        <v>392</v>
      </c>
      <c r="X453" s="17">
        <f>STDEV(V448:V480)</f>
        <v>0.50189036591066316</v>
      </c>
      <c r="Z453" s="61" t="s">
        <v>98</v>
      </c>
      <c r="AA453" s="62">
        <v>18</v>
      </c>
      <c r="AO453" s="5" t="s">
        <v>163</v>
      </c>
      <c r="AP453">
        <v>0</v>
      </c>
      <c r="AQ453" s="17"/>
      <c r="AR453" s="17"/>
      <c r="AY453" s="5" t="s">
        <v>161</v>
      </c>
      <c r="AZ453">
        <v>0</v>
      </c>
      <c r="BA453" s="17"/>
      <c r="BB453" s="17"/>
      <c r="BD453" s="5" t="s">
        <v>157</v>
      </c>
      <c r="BE453">
        <v>14</v>
      </c>
      <c r="BF453" s="17"/>
      <c r="BG453" s="17"/>
      <c r="BI453" s="5" t="s">
        <v>251</v>
      </c>
      <c r="BJ453">
        <v>1</v>
      </c>
      <c r="BK453" s="17"/>
      <c r="BL453" s="17"/>
      <c r="BX453" s="61" t="s">
        <v>288</v>
      </c>
      <c r="BY453" s="62">
        <v>0</v>
      </c>
      <c r="BZ453" s="58"/>
      <c r="CA453" s="58"/>
      <c r="CC453" s="5" t="s">
        <v>315</v>
      </c>
      <c r="CD453">
        <v>0</v>
      </c>
      <c r="CO453" s="30" t="s">
        <v>392</v>
      </c>
      <c r="CP453" s="17">
        <f>STDEV(CN448:CN480)</f>
        <v>0</v>
      </c>
      <c r="CR453" s="5" t="s">
        <v>337</v>
      </c>
      <c r="CS453">
        <v>0</v>
      </c>
      <c r="CT453" s="30" t="s">
        <v>392</v>
      </c>
      <c r="CU453" s="17">
        <f>STDEV(CS448:CS475)</f>
        <v>0.1889822365046136</v>
      </c>
      <c r="CW453" s="61" t="s">
        <v>330</v>
      </c>
      <c r="CX453" s="62">
        <v>0</v>
      </c>
    </row>
    <row r="454" spans="1:104" x14ac:dyDescent="0.25">
      <c r="A454" s="5" t="s">
        <v>60</v>
      </c>
      <c r="B454">
        <v>16</v>
      </c>
      <c r="C454" s="17"/>
      <c r="D454" s="17"/>
      <c r="U454" s="5" t="s">
        <v>103</v>
      </c>
      <c r="V454">
        <v>0</v>
      </c>
      <c r="W454" s="17"/>
      <c r="X454" s="17"/>
      <c r="Z454" s="61" t="s">
        <v>99</v>
      </c>
      <c r="AA454" s="62">
        <v>4</v>
      </c>
      <c r="AO454" s="5" t="s">
        <v>164</v>
      </c>
      <c r="AP454">
        <v>1</v>
      </c>
      <c r="AQ454" s="17"/>
      <c r="AR454" s="17"/>
      <c r="AY454" s="5" t="s">
        <v>199</v>
      </c>
      <c r="AZ454">
        <v>0</v>
      </c>
      <c r="BA454" s="17"/>
      <c r="BB454" s="17"/>
      <c r="BD454" s="5" t="s">
        <v>235</v>
      </c>
      <c r="BE454">
        <v>5</v>
      </c>
      <c r="BF454" s="17"/>
      <c r="BG454" s="17"/>
      <c r="BI454" s="5" t="s">
        <v>252</v>
      </c>
      <c r="BJ454">
        <v>1</v>
      </c>
      <c r="BK454" s="17"/>
      <c r="BL454" s="17"/>
      <c r="BX454" s="61" t="s">
        <v>289</v>
      </c>
      <c r="BY454" s="62">
        <v>0</v>
      </c>
      <c r="BZ454" s="58"/>
      <c r="CA454" s="58"/>
      <c r="CC454" s="5" t="s">
        <v>316</v>
      </c>
      <c r="CD454">
        <v>0</v>
      </c>
      <c r="CO454" s="17"/>
      <c r="CP454" s="17"/>
      <c r="CR454" s="5" t="s">
        <v>338</v>
      </c>
      <c r="CS454">
        <v>0</v>
      </c>
      <c r="CW454" s="61" t="s">
        <v>331</v>
      </c>
      <c r="CX454" s="62">
        <v>0</v>
      </c>
    </row>
    <row r="455" spans="1:104" x14ac:dyDescent="0.25">
      <c r="A455" s="5" t="s">
        <v>61</v>
      </c>
      <c r="B455">
        <v>18</v>
      </c>
      <c r="C455" s="17"/>
      <c r="D455" s="17"/>
      <c r="U455" s="5" t="s">
        <v>104</v>
      </c>
      <c r="V455">
        <v>2</v>
      </c>
      <c r="W455" s="17"/>
      <c r="X455" s="17"/>
      <c r="Z455" s="61" t="s">
        <v>100</v>
      </c>
      <c r="AA455" s="62">
        <v>2</v>
      </c>
      <c r="AO455" s="5" t="s">
        <v>165</v>
      </c>
      <c r="AP455">
        <v>0</v>
      </c>
      <c r="AQ455" s="17"/>
      <c r="AR455" s="17"/>
      <c r="AY455" s="5" t="s">
        <v>200</v>
      </c>
      <c r="AZ455">
        <v>0</v>
      </c>
      <c r="BA455" s="17"/>
      <c r="BB455" s="17"/>
      <c r="BD455" s="5" t="s">
        <v>236</v>
      </c>
      <c r="BE455">
        <v>11</v>
      </c>
      <c r="BF455" s="17"/>
      <c r="BG455" s="17"/>
      <c r="BI455" s="5" t="s">
        <v>253</v>
      </c>
      <c r="BJ455">
        <v>0</v>
      </c>
      <c r="BK455" s="17"/>
      <c r="BL455" s="17"/>
      <c r="BX455" s="61" t="s">
        <v>290</v>
      </c>
      <c r="BY455" s="62">
        <v>0</v>
      </c>
      <c r="CC455" s="5" t="s">
        <v>317</v>
      </c>
      <c r="CD455">
        <v>0</v>
      </c>
      <c r="CO455" s="17"/>
      <c r="CP455" s="17"/>
      <c r="CR455" s="5" t="s">
        <v>339</v>
      </c>
      <c r="CS455">
        <v>0</v>
      </c>
      <c r="CW455" s="61" t="s">
        <v>332</v>
      </c>
      <c r="CX455" s="62">
        <v>0</v>
      </c>
    </row>
    <row r="456" spans="1:104" x14ac:dyDescent="0.25">
      <c r="A456" s="5" t="s">
        <v>62</v>
      </c>
      <c r="B456">
        <v>12</v>
      </c>
      <c r="C456" s="17"/>
      <c r="D456" s="1"/>
      <c r="U456" s="5" t="s">
        <v>105</v>
      </c>
      <c r="V456">
        <v>1</v>
      </c>
      <c r="W456" s="17"/>
      <c r="X456" s="17"/>
      <c r="Z456" s="61" t="s">
        <v>101</v>
      </c>
      <c r="AA456" s="62">
        <v>3</v>
      </c>
      <c r="AO456" s="5" t="s">
        <v>166</v>
      </c>
      <c r="AP456">
        <v>1</v>
      </c>
      <c r="AQ456" s="15"/>
      <c r="AR456" s="15"/>
      <c r="AY456" s="5" t="s">
        <v>201</v>
      </c>
      <c r="AZ456">
        <v>0</v>
      </c>
      <c r="BA456" s="17"/>
      <c r="BB456" s="17"/>
      <c r="BD456" s="5" t="s">
        <v>237</v>
      </c>
      <c r="BE456">
        <v>7</v>
      </c>
      <c r="BF456" s="15"/>
      <c r="BG456" s="15"/>
      <c r="BI456" s="5" t="s">
        <v>254</v>
      </c>
      <c r="BJ456">
        <v>0</v>
      </c>
      <c r="BK456" s="17"/>
      <c r="BL456" s="17"/>
      <c r="BX456" s="61" t="s">
        <v>291</v>
      </c>
      <c r="BY456" s="62">
        <v>0</v>
      </c>
      <c r="CC456" s="5" t="s">
        <v>318</v>
      </c>
      <c r="CD456">
        <v>0</v>
      </c>
      <c r="CO456" s="17"/>
      <c r="CP456" s="17"/>
      <c r="CR456" s="5" t="s">
        <v>340</v>
      </c>
      <c r="CS456">
        <v>0</v>
      </c>
      <c r="CW456" s="61" t="s">
        <v>333</v>
      </c>
      <c r="CX456" s="62">
        <v>0</v>
      </c>
    </row>
    <row r="457" spans="1:104" x14ac:dyDescent="0.25">
      <c r="A457" s="5" t="s">
        <v>63</v>
      </c>
      <c r="B457">
        <v>13</v>
      </c>
      <c r="C457" s="17"/>
      <c r="D457" s="1"/>
      <c r="U457" s="5" t="s">
        <v>106</v>
      </c>
      <c r="V457">
        <v>0</v>
      </c>
      <c r="W457" s="17"/>
      <c r="X457" s="17"/>
      <c r="Z457" s="61" t="s">
        <v>103</v>
      </c>
      <c r="AA457" s="62">
        <v>5</v>
      </c>
      <c r="AO457" s="5" t="s">
        <v>168</v>
      </c>
      <c r="AP457">
        <v>0</v>
      </c>
      <c r="AQ457" s="17"/>
      <c r="AR457" s="17"/>
      <c r="AY457" s="5" t="s">
        <v>202</v>
      </c>
      <c r="AZ457">
        <v>0</v>
      </c>
      <c r="BA457" s="17"/>
      <c r="BB457" s="17"/>
      <c r="BD457" s="5" t="s">
        <v>238</v>
      </c>
      <c r="BE457">
        <v>18</v>
      </c>
      <c r="BI457" s="5" t="s">
        <v>255</v>
      </c>
      <c r="BJ457">
        <v>0</v>
      </c>
      <c r="BK457" s="17"/>
      <c r="BL457" s="17"/>
      <c r="BX457" s="61" t="s">
        <v>292</v>
      </c>
      <c r="BY457" s="62">
        <v>0</v>
      </c>
      <c r="CC457" s="5" t="s">
        <v>319</v>
      </c>
      <c r="CD457">
        <v>0</v>
      </c>
      <c r="CO457" s="17"/>
      <c r="CP457" s="17"/>
      <c r="CR457" s="5" t="s">
        <v>341</v>
      </c>
      <c r="CS457">
        <v>0</v>
      </c>
      <c r="CW457" s="61" t="s">
        <v>334</v>
      </c>
      <c r="CX457" s="62">
        <v>0</v>
      </c>
    </row>
    <row r="458" spans="1:104" x14ac:dyDescent="0.25">
      <c r="A458" s="5" t="s">
        <v>64</v>
      </c>
      <c r="B458">
        <v>7</v>
      </c>
      <c r="C458" s="17"/>
      <c r="D458" s="1"/>
      <c r="U458" s="5" t="s">
        <v>61</v>
      </c>
      <c r="V458">
        <v>0</v>
      </c>
      <c r="W458" s="17"/>
      <c r="X458" s="17"/>
      <c r="Z458" s="61" t="s">
        <v>104</v>
      </c>
      <c r="AA458" s="62">
        <v>7</v>
      </c>
      <c r="AO458" s="5" t="s">
        <v>169</v>
      </c>
      <c r="AP458">
        <v>0</v>
      </c>
      <c r="AQ458" s="17"/>
      <c r="AR458" s="17"/>
      <c r="AY458" s="5" t="s">
        <v>203</v>
      </c>
      <c r="AZ458">
        <v>0</v>
      </c>
      <c r="BA458" s="17"/>
      <c r="BB458" s="17"/>
      <c r="BD458" s="5" t="s">
        <v>239</v>
      </c>
      <c r="BE458">
        <v>21</v>
      </c>
      <c r="BI458" s="5" t="s">
        <v>256</v>
      </c>
      <c r="BJ458">
        <v>1</v>
      </c>
      <c r="BK458" s="17"/>
      <c r="BL458" s="17"/>
      <c r="BX458" s="61" t="s">
        <v>293</v>
      </c>
      <c r="BY458" s="62">
        <v>0</v>
      </c>
      <c r="CC458" s="5" t="s">
        <v>320</v>
      </c>
      <c r="CD458">
        <v>0</v>
      </c>
      <c r="CO458" s="17"/>
      <c r="CP458" s="17"/>
      <c r="CR458" s="5" t="s">
        <v>342</v>
      </c>
      <c r="CS458">
        <v>0</v>
      </c>
      <c r="CW458" s="61" t="s">
        <v>335</v>
      </c>
      <c r="CX458" s="62">
        <v>0</v>
      </c>
    </row>
    <row r="459" spans="1:104" x14ac:dyDescent="0.25">
      <c r="U459" s="5" t="s">
        <v>107</v>
      </c>
      <c r="V459">
        <v>1</v>
      </c>
      <c r="W459" s="17"/>
      <c r="X459" s="17"/>
      <c r="Z459" s="61" t="s">
        <v>105</v>
      </c>
      <c r="AA459" s="62">
        <v>0</v>
      </c>
      <c r="AO459" s="5" t="s">
        <v>170</v>
      </c>
      <c r="AP459">
        <v>1</v>
      </c>
      <c r="AQ459" s="17"/>
      <c r="AR459" s="1"/>
      <c r="AY459" s="5" t="s">
        <v>204</v>
      </c>
      <c r="AZ459">
        <v>0</v>
      </c>
      <c r="BA459" s="17"/>
      <c r="BB459" s="17"/>
      <c r="BD459" s="5" t="s">
        <v>240</v>
      </c>
      <c r="BE459">
        <v>13</v>
      </c>
      <c r="BI459" s="5" t="s">
        <v>257</v>
      </c>
      <c r="BJ459">
        <v>0</v>
      </c>
      <c r="BK459" s="17"/>
      <c r="BL459" s="17"/>
      <c r="BX459" s="61" t="s">
        <v>294</v>
      </c>
      <c r="BY459" s="62">
        <v>0</v>
      </c>
      <c r="CO459" s="17"/>
      <c r="CP459" s="17"/>
      <c r="CR459" s="5" t="s">
        <v>343</v>
      </c>
      <c r="CS459">
        <v>0</v>
      </c>
      <c r="CW459" s="61" t="s">
        <v>43</v>
      </c>
      <c r="CX459" s="62">
        <v>1</v>
      </c>
    </row>
    <row r="460" spans="1:104" x14ac:dyDescent="0.25">
      <c r="A460" s="17" t="s">
        <v>382</v>
      </c>
      <c r="B460" s="29" t="s">
        <v>361</v>
      </c>
      <c r="C460" s="17"/>
      <c r="D460" s="17">
        <v>2016</v>
      </c>
      <c r="U460" s="5" t="s">
        <v>108</v>
      </c>
      <c r="V460">
        <v>0</v>
      </c>
      <c r="W460" s="17"/>
      <c r="X460" s="17"/>
      <c r="Z460" s="61" t="s">
        <v>106</v>
      </c>
      <c r="AA460" s="62">
        <v>12</v>
      </c>
      <c r="AO460" s="5" t="s">
        <v>171</v>
      </c>
      <c r="AP460">
        <v>0</v>
      </c>
      <c r="AQ460" s="17"/>
      <c r="AR460" s="1"/>
      <c r="AY460" s="5" t="s">
        <v>205</v>
      </c>
      <c r="AZ460">
        <v>0</v>
      </c>
      <c r="BA460" s="17"/>
      <c r="BB460" s="17"/>
      <c r="BD460" s="5" t="s">
        <v>241</v>
      </c>
      <c r="BE460">
        <v>6</v>
      </c>
      <c r="BI460" s="5" t="s">
        <v>258</v>
      </c>
      <c r="BJ460">
        <v>0</v>
      </c>
      <c r="BK460" s="17"/>
      <c r="BL460" s="17"/>
      <c r="BX460" s="61" t="s">
        <v>295</v>
      </c>
      <c r="BY460" s="62">
        <v>0</v>
      </c>
      <c r="CC460" s="17" t="s">
        <v>382</v>
      </c>
      <c r="CD460" s="29" t="s">
        <v>375</v>
      </c>
      <c r="CE460" s="17"/>
      <c r="CF460" s="17">
        <v>2016</v>
      </c>
      <c r="CO460" s="17"/>
      <c r="CP460" s="17"/>
      <c r="CR460" s="5" t="s">
        <v>344</v>
      </c>
      <c r="CS460">
        <v>0</v>
      </c>
      <c r="CW460" s="61" t="s">
        <v>336</v>
      </c>
      <c r="CX460" s="62">
        <v>1</v>
      </c>
    </row>
    <row r="461" spans="1:104" x14ac:dyDescent="0.25">
      <c r="A461" s="17" t="s">
        <v>383</v>
      </c>
      <c r="B461" s="28" t="s">
        <v>33</v>
      </c>
      <c r="C461" s="17"/>
      <c r="D461" s="17"/>
      <c r="U461" s="5" t="s">
        <v>109</v>
      </c>
      <c r="V461">
        <v>0</v>
      </c>
      <c r="W461" s="17"/>
      <c r="X461" s="17"/>
      <c r="Z461" s="61" t="s">
        <v>61</v>
      </c>
      <c r="AA461" s="62">
        <v>2</v>
      </c>
      <c r="AO461" s="5" t="s">
        <v>172</v>
      </c>
      <c r="AP461">
        <v>0</v>
      </c>
      <c r="AQ461" s="17"/>
      <c r="AR461" s="1"/>
      <c r="AY461" s="5" t="s">
        <v>206</v>
      </c>
      <c r="AZ461">
        <v>0</v>
      </c>
      <c r="BA461" s="17"/>
      <c r="BB461" s="17"/>
      <c r="BD461" s="5" t="s">
        <v>242</v>
      </c>
      <c r="BE461">
        <v>11</v>
      </c>
      <c r="BI461" s="5" t="s">
        <v>259</v>
      </c>
      <c r="BJ461">
        <v>1</v>
      </c>
      <c r="BK461" s="17"/>
      <c r="BL461" s="17"/>
      <c r="BX461" s="61" t="s">
        <v>296</v>
      </c>
      <c r="BY461" s="62">
        <v>0</v>
      </c>
      <c r="CC461" s="17" t="s">
        <v>383</v>
      </c>
      <c r="CD461" s="6" t="s">
        <v>37</v>
      </c>
      <c r="CE461" s="17"/>
      <c r="CF461" s="17"/>
      <c r="CO461" s="17"/>
      <c r="CP461" s="17"/>
      <c r="CR461" s="5" t="s">
        <v>345</v>
      </c>
      <c r="CS461">
        <v>0</v>
      </c>
      <c r="CW461" s="61" t="s">
        <v>337</v>
      </c>
      <c r="CX461" s="62">
        <v>0</v>
      </c>
    </row>
    <row r="462" spans="1:104" x14ac:dyDescent="0.25">
      <c r="A462" s="17" t="s">
        <v>384</v>
      </c>
      <c r="B462" s="17" t="s">
        <v>39</v>
      </c>
      <c r="C462" s="17" t="s">
        <v>385</v>
      </c>
      <c r="D462" s="17" t="s">
        <v>386</v>
      </c>
      <c r="U462" s="5" t="s">
        <v>110</v>
      </c>
      <c r="V462">
        <v>0</v>
      </c>
      <c r="W462" s="17"/>
      <c r="X462" s="17"/>
      <c r="Z462" s="61" t="s">
        <v>107</v>
      </c>
      <c r="AA462" s="62">
        <v>2</v>
      </c>
      <c r="AO462" s="5" t="s">
        <v>173</v>
      </c>
      <c r="AP462">
        <v>0</v>
      </c>
      <c r="AY462" s="5" t="s">
        <v>207</v>
      </c>
      <c r="AZ462">
        <v>0</v>
      </c>
      <c r="BA462" s="17"/>
      <c r="BB462" s="17"/>
      <c r="BD462" s="5" t="s">
        <v>243</v>
      </c>
      <c r="BE462">
        <v>30</v>
      </c>
      <c r="BI462" s="5" t="s">
        <v>260</v>
      </c>
      <c r="BJ462">
        <v>0</v>
      </c>
      <c r="BK462" s="17"/>
      <c r="BL462" s="17"/>
      <c r="BX462" s="61" t="s">
        <v>297</v>
      </c>
      <c r="BY462" s="62">
        <v>0</v>
      </c>
      <c r="CC462" s="17" t="s">
        <v>384</v>
      </c>
      <c r="CD462" s="17" t="s">
        <v>39</v>
      </c>
      <c r="CE462" s="17" t="s">
        <v>385</v>
      </c>
      <c r="CF462" s="17" t="s">
        <v>386</v>
      </c>
      <c r="CO462" s="17"/>
      <c r="CP462" s="17"/>
      <c r="CR462" s="5" t="s">
        <v>346</v>
      </c>
      <c r="CS462">
        <v>0</v>
      </c>
      <c r="CW462" s="61" t="s">
        <v>338</v>
      </c>
      <c r="CX462" s="62">
        <v>1</v>
      </c>
    </row>
    <row r="463" spans="1:104" x14ac:dyDescent="0.25">
      <c r="A463" s="5" t="s">
        <v>40</v>
      </c>
      <c r="B463" s="27">
        <v>0</v>
      </c>
      <c r="C463" s="30" t="s">
        <v>387</v>
      </c>
      <c r="D463" s="17">
        <f>SUM(B463:B485)</f>
        <v>10</v>
      </c>
      <c r="U463" s="5" t="s">
        <v>111</v>
      </c>
      <c r="V463">
        <v>0</v>
      </c>
      <c r="W463" s="17"/>
      <c r="X463" s="17"/>
      <c r="Z463" s="61" t="s">
        <v>108</v>
      </c>
      <c r="AA463" s="62">
        <v>8</v>
      </c>
      <c r="AO463" s="5" t="s">
        <v>174</v>
      </c>
      <c r="AP463">
        <v>0</v>
      </c>
      <c r="AY463" s="5" t="s">
        <v>208</v>
      </c>
      <c r="AZ463">
        <v>0</v>
      </c>
      <c r="BA463" s="15"/>
      <c r="BB463" s="15"/>
      <c r="BD463" s="5" t="s">
        <v>244</v>
      </c>
      <c r="BE463">
        <v>13</v>
      </c>
      <c r="BI463" s="5" t="s">
        <v>261</v>
      </c>
      <c r="BJ463">
        <v>0</v>
      </c>
      <c r="BK463" s="15"/>
      <c r="BL463" s="15"/>
      <c r="BX463" s="61" t="s">
        <v>298</v>
      </c>
      <c r="BY463" s="62">
        <v>0</v>
      </c>
      <c r="CC463" s="5" t="s">
        <v>299</v>
      </c>
      <c r="CD463">
        <v>2</v>
      </c>
      <c r="CE463" s="30" t="s">
        <v>387</v>
      </c>
      <c r="CF463" s="17">
        <f>SUM(CD463:CD485)</f>
        <v>32</v>
      </c>
      <c r="CO463" s="17"/>
      <c r="CP463" s="17"/>
      <c r="CR463" s="5" t="s">
        <v>347</v>
      </c>
      <c r="CS463">
        <v>0</v>
      </c>
      <c r="CW463" s="61" t="s">
        <v>339</v>
      </c>
      <c r="CX463" s="62">
        <v>0</v>
      </c>
    </row>
    <row r="464" spans="1:104" x14ac:dyDescent="0.25">
      <c r="A464" s="5" t="s">
        <v>41</v>
      </c>
      <c r="B464" s="27">
        <v>1</v>
      </c>
      <c r="C464" s="30" t="s">
        <v>388</v>
      </c>
      <c r="D464" s="17">
        <f>MIN(B463:B485)</f>
        <v>0</v>
      </c>
      <c r="U464" s="5" t="s">
        <v>112</v>
      </c>
      <c r="V464">
        <v>0</v>
      </c>
      <c r="W464" s="17"/>
      <c r="X464" s="17"/>
      <c r="Z464" s="61" t="s">
        <v>109</v>
      </c>
      <c r="AA464" s="62">
        <v>6</v>
      </c>
      <c r="AY464" s="5" t="s">
        <v>209</v>
      </c>
      <c r="AZ464">
        <v>0</v>
      </c>
      <c r="BI464" s="5" t="s">
        <v>262</v>
      </c>
      <c r="BJ464">
        <v>0</v>
      </c>
      <c r="CC464" s="5" t="s">
        <v>300</v>
      </c>
      <c r="CD464">
        <v>0</v>
      </c>
      <c r="CE464" s="30" t="s">
        <v>388</v>
      </c>
      <c r="CF464" s="17">
        <f>MIN(CD463:CD485)</f>
        <v>0</v>
      </c>
      <c r="CR464" s="5" t="s">
        <v>348</v>
      </c>
      <c r="CS464">
        <v>0</v>
      </c>
      <c r="CW464" s="61" t="s">
        <v>340</v>
      </c>
      <c r="CX464" s="62">
        <v>0</v>
      </c>
    </row>
    <row r="465" spans="1:102" x14ac:dyDescent="0.25">
      <c r="A465" s="5" t="s">
        <v>42</v>
      </c>
      <c r="B465" s="27">
        <v>0</v>
      </c>
      <c r="C465" s="30" t="s">
        <v>389</v>
      </c>
      <c r="D465" s="17">
        <f>MAX(B463:B485)</f>
        <v>3</v>
      </c>
      <c r="U465" s="5" t="s">
        <v>113</v>
      </c>
      <c r="V465">
        <v>1</v>
      </c>
      <c r="W465" s="15"/>
      <c r="X465" s="15"/>
      <c r="Z465" s="61" t="s">
        <v>110</v>
      </c>
      <c r="AA465" s="62">
        <v>5</v>
      </c>
      <c r="AO465" s="17" t="s">
        <v>382</v>
      </c>
      <c r="AP465" s="29" t="s">
        <v>368</v>
      </c>
      <c r="AQ465" s="17"/>
      <c r="AR465" s="17">
        <v>2016</v>
      </c>
      <c r="AY465" s="5" t="s">
        <v>210</v>
      </c>
      <c r="AZ465">
        <v>1</v>
      </c>
      <c r="BD465" s="17" t="s">
        <v>382</v>
      </c>
      <c r="BE465" s="29" t="s">
        <v>371</v>
      </c>
      <c r="BF465" s="17"/>
      <c r="BG465" s="17">
        <v>2016</v>
      </c>
      <c r="BI465" s="5" t="s">
        <v>263</v>
      </c>
      <c r="BJ465">
        <v>0</v>
      </c>
      <c r="BX465" s="58" t="s">
        <v>382</v>
      </c>
      <c r="BY465" s="59" t="s">
        <v>628</v>
      </c>
      <c r="BZ465" s="58"/>
      <c r="CA465" s="58">
        <v>2016</v>
      </c>
      <c r="CC465" s="5" t="s">
        <v>301</v>
      </c>
      <c r="CD465">
        <v>1</v>
      </c>
      <c r="CE465" s="30" t="s">
        <v>389</v>
      </c>
      <c r="CF465" s="17">
        <f>MAX(CD463:CD485)</f>
        <v>4</v>
      </c>
      <c r="CR465" s="5" t="s">
        <v>349</v>
      </c>
      <c r="CS465">
        <v>0</v>
      </c>
      <c r="CW465" s="61" t="s">
        <v>341</v>
      </c>
      <c r="CX465" s="62">
        <v>0</v>
      </c>
    </row>
    <row r="466" spans="1:102" x14ac:dyDescent="0.25">
      <c r="A466" s="5" t="s">
        <v>43</v>
      </c>
      <c r="B466" s="27">
        <v>0</v>
      </c>
      <c r="C466" s="30" t="s">
        <v>390</v>
      </c>
      <c r="D466" s="17">
        <f>VAR(B463:B485)</f>
        <v>0.62055335968379444</v>
      </c>
      <c r="U466" s="26" t="s">
        <v>114</v>
      </c>
      <c r="V466">
        <v>0</v>
      </c>
      <c r="W466" s="17"/>
      <c r="X466" s="17"/>
      <c r="Z466" s="61" t="s">
        <v>111</v>
      </c>
      <c r="AA466" s="62">
        <v>6</v>
      </c>
      <c r="AO466" s="17" t="s">
        <v>383</v>
      </c>
      <c r="AP466" s="6" t="s">
        <v>102</v>
      </c>
      <c r="AQ466" s="17"/>
      <c r="AR466" s="17"/>
      <c r="AY466" s="5" t="s">
        <v>211</v>
      </c>
      <c r="AZ466">
        <v>0</v>
      </c>
      <c r="BD466" s="17" t="s">
        <v>383</v>
      </c>
      <c r="BE466" s="6" t="s">
        <v>33</v>
      </c>
      <c r="BF466" s="17"/>
      <c r="BG466" s="17"/>
      <c r="BI466" s="5" t="s">
        <v>264</v>
      </c>
      <c r="BJ466">
        <v>0</v>
      </c>
      <c r="BX466" s="58" t="s">
        <v>383</v>
      </c>
      <c r="BY466" s="60" t="s">
        <v>102</v>
      </c>
      <c r="BZ466" s="58"/>
      <c r="CA466" s="58"/>
      <c r="CC466" s="5" t="s">
        <v>302</v>
      </c>
      <c r="CD466">
        <v>3</v>
      </c>
      <c r="CE466" s="30" t="s">
        <v>390</v>
      </c>
      <c r="CF466" s="17">
        <f>VAR(CD463:CD485)</f>
        <v>1.3399209486166008</v>
      </c>
      <c r="CR466" s="5" t="s">
        <v>350</v>
      </c>
      <c r="CS466">
        <v>0</v>
      </c>
      <c r="CW466" s="61" t="s">
        <v>342</v>
      </c>
      <c r="CX466" s="62">
        <v>0</v>
      </c>
    </row>
    <row r="467" spans="1:102" x14ac:dyDescent="0.25">
      <c r="A467" s="5" t="s">
        <v>44</v>
      </c>
      <c r="B467" s="27">
        <v>0</v>
      </c>
      <c r="C467" s="30" t="s">
        <v>391</v>
      </c>
      <c r="D467" s="17">
        <f>AVERAGE(B463:B485)</f>
        <v>0.43478260869565216</v>
      </c>
      <c r="U467" s="26" t="s">
        <v>115</v>
      </c>
      <c r="V467">
        <v>0</v>
      </c>
      <c r="W467" s="17"/>
      <c r="X467" s="17"/>
      <c r="Z467" s="61" t="s">
        <v>112</v>
      </c>
      <c r="AA467" s="62">
        <v>6</v>
      </c>
      <c r="AO467" s="17" t="s">
        <v>384</v>
      </c>
      <c r="AP467" s="17" t="s">
        <v>39</v>
      </c>
      <c r="AQ467" s="17" t="s">
        <v>385</v>
      </c>
      <c r="AR467" s="17" t="s">
        <v>386</v>
      </c>
      <c r="AY467" s="5" t="s">
        <v>212</v>
      </c>
      <c r="AZ467">
        <v>0</v>
      </c>
      <c r="BD467" s="17" t="s">
        <v>384</v>
      </c>
      <c r="BE467" s="17" t="s">
        <v>39</v>
      </c>
      <c r="BF467" s="17" t="s">
        <v>385</v>
      </c>
      <c r="BG467" s="17" t="s">
        <v>386</v>
      </c>
      <c r="BI467" s="5" t="s">
        <v>265</v>
      </c>
      <c r="BJ467">
        <v>0</v>
      </c>
      <c r="BX467" s="58" t="s">
        <v>384</v>
      </c>
      <c r="BY467" s="58" t="s">
        <v>39</v>
      </c>
      <c r="BZ467" s="58" t="s">
        <v>385</v>
      </c>
      <c r="CA467" s="58" t="s">
        <v>386</v>
      </c>
      <c r="CC467" s="5" t="s">
        <v>303</v>
      </c>
      <c r="CD467">
        <v>0</v>
      </c>
      <c r="CE467" s="30" t="s">
        <v>391</v>
      </c>
      <c r="CF467" s="17">
        <f>AVERAGE(CD463:CD485)</f>
        <v>1.3913043478260869</v>
      </c>
      <c r="CR467" s="5" t="s">
        <v>351</v>
      </c>
      <c r="CS467">
        <v>0</v>
      </c>
      <c r="CW467" s="61" t="s">
        <v>343</v>
      </c>
      <c r="CX467" s="62">
        <v>0</v>
      </c>
    </row>
    <row r="468" spans="1:102" x14ac:dyDescent="0.25">
      <c r="A468" s="5" t="s">
        <v>45</v>
      </c>
      <c r="B468" s="27">
        <v>0</v>
      </c>
      <c r="C468" s="30" t="s">
        <v>392</v>
      </c>
      <c r="D468" s="17">
        <f>STDEV(B463:B485)</f>
        <v>0.78775209278287195</v>
      </c>
      <c r="U468" s="26" t="s">
        <v>116</v>
      </c>
      <c r="V468">
        <v>0</v>
      </c>
      <c r="W468" s="17"/>
      <c r="X468" s="1"/>
      <c r="Z468" s="61" t="s">
        <v>113</v>
      </c>
      <c r="AA468" s="62">
        <v>6</v>
      </c>
      <c r="AO468" s="5" t="s">
        <v>149</v>
      </c>
      <c r="AP468">
        <v>0</v>
      </c>
      <c r="AQ468" s="30" t="s">
        <v>387</v>
      </c>
      <c r="AR468" s="17">
        <f>SUM(AP468:AP492)</f>
        <v>1</v>
      </c>
      <c r="AY468" s="5" t="s">
        <v>213</v>
      </c>
      <c r="AZ468">
        <v>0</v>
      </c>
      <c r="BD468" s="5" t="s">
        <v>221</v>
      </c>
      <c r="BE468">
        <v>0</v>
      </c>
      <c r="BF468" s="30" t="s">
        <v>387</v>
      </c>
      <c r="BG468" s="17">
        <f>SUM(BE468:BE492)</f>
        <v>4</v>
      </c>
      <c r="BI468" s="5" t="s">
        <v>266</v>
      </c>
      <c r="BJ468">
        <v>0</v>
      </c>
      <c r="BX468" s="61" t="s">
        <v>274</v>
      </c>
      <c r="BY468" s="62">
        <v>0</v>
      </c>
      <c r="BZ468" s="63" t="s">
        <v>387</v>
      </c>
      <c r="CA468" s="58">
        <f>SUM(BY468:BY492)</f>
        <v>4</v>
      </c>
      <c r="CC468" s="5" t="s">
        <v>304</v>
      </c>
      <c r="CD468">
        <v>0</v>
      </c>
      <c r="CE468" s="30" t="s">
        <v>392</v>
      </c>
      <c r="CF468" s="17">
        <f>STDEV(CD463:CD485)</f>
        <v>1.1575495447783652</v>
      </c>
      <c r="CR468" s="5" t="s">
        <v>352</v>
      </c>
      <c r="CS468">
        <v>0</v>
      </c>
      <c r="CW468" s="61" t="s">
        <v>344</v>
      </c>
      <c r="CX468" s="62">
        <v>0</v>
      </c>
    </row>
    <row r="469" spans="1:102" x14ac:dyDescent="0.25">
      <c r="A469" s="5" t="s">
        <v>47</v>
      </c>
      <c r="B469" s="27">
        <v>0</v>
      </c>
      <c r="C469" s="17"/>
      <c r="D469" s="17"/>
      <c r="U469" s="26" t="s">
        <v>117</v>
      </c>
      <c r="V469">
        <v>0</v>
      </c>
      <c r="W469" s="17"/>
      <c r="X469" s="1"/>
      <c r="Z469" s="64" t="s">
        <v>114</v>
      </c>
      <c r="AA469" s="62">
        <v>4</v>
      </c>
      <c r="AO469" s="5" t="s">
        <v>150</v>
      </c>
      <c r="AP469">
        <v>0</v>
      </c>
      <c r="AQ469" s="30" t="s">
        <v>388</v>
      </c>
      <c r="AR469" s="17">
        <f>MIN(AP468:AP492)</f>
        <v>0</v>
      </c>
      <c r="AY469" s="5" t="s">
        <v>214</v>
      </c>
      <c r="AZ469">
        <v>0</v>
      </c>
      <c r="BD469" s="5" t="s">
        <v>222</v>
      </c>
      <c r="BE469">
        <v>0</v>
      </c>
      <c r="BF469" s="30" t="s">
        <v>388</v>
      </c>
      <c r="BG469" s="17">
        <f>MIN(BE468:BE492)</f>
        <v>0</v>
      </c>
      <c r="BI469" s="5" t="s">
        <v>267</v>
      </c>
      <c r="BJ469">
        <v>1</v>
      </c>
      <c r="BX469" s="61" t="s">
        <v>275</v>
      </c>
      <c r="BY469" s="62">
        <v>0</v>
      </c>
      <c r="BZ469" s="63" t="s">
        <v>388</v>
      </c>
      <c r="CA469" s="58">
        <f>MIN(BY468:BY492)</f>
        <v>0</v>
      </c>
      <c r="CC469" s="5" t="s">
        <v>305</v>
      </c>
      <c r="CD469">
        <v>1</v>
      </c>
      <c r="CE469" s="17"/>
      <c r="CF469" s="17"/>
      <c r="CR469" s="5" t="s">
        <v>353</v>
      </c>
      <c r="CS469">
        <v>0</v>
      </c>
      <c r="CW469" s="61" t="s">
        <v>345</v>
      </c>
      <c r="CX469" s="62">
        <v>0</v>
      </c>
    </row>
    <row r="470" spans="1:102" x14ac:dyDescent="0.25">
      <c r="A470" s="5" t="s">
        <v>48</v>
      </c>
      <c r="B470" s="27">
        <v>0</v>
      </c>
      <c r="C470" s="17"/>
      <c r="D470" s="17"/>
      <c r="U470" s="26" t="s">
        <v>118</v>
      </c>
      <c r="V470">
        <v>0</v>
      </c>
      <c r="W470" s="17"/>
      <c r="X470" s="1"/>
      <c r="Z470" s="64" t="s">
        <v>115</v>
      </c>
      <c r="AA470" s="62">
        <v>8</v>
      </c>
      <c r="AO470" s="5" t="s">
        <v>151</v>
      </c>
      <c r="AP470">
        <v>0</v>
      </c>
      <c r="AQ470" s="30" t="s">
        <v>389</v>
      </c>
      <c r="AR470" s="17">
        <f>MAX(AP468:AP492)</f>
        <v>1</v>
      </c>
      <c r="AY470" s="5" t="s">
        <v>215</v>
      </c>
      <c r="AZ470">
        <v>0</v>
      </c>
      <c r="BD470" s="5" t="s">
        <v>223</v>
      </c>
      <c r="BE470">
        <v>0</v>
      </c>
      <c r="BF470" s="30" t="s">
        <v>389</v>
      </c>
      <c r="BG470" s="17">
        <f>MAX(BE468:BE492)</f>
        <v>1</v>
      </c>
      <c r="BI470" s="5" t="s">
        <v>268</v>
      </c>
      <c r="BJ470">
        <v>0</v>
      </c>
      <c r="BX470" s="61" t="s">
        <v>276</v>
      </c>
      <c r="BY470" s="62">
        <v>0</v>
      </c>
      <c r="BZ470" s="63" t="s">
        <v>389</v>
      </c>
      <c r="CA470" s="58">
        <f>MAX(BY468:BY492)</f>
        <v>1</v>
      </c>
      <c r="CC470" s="5" t="s">
        <v>306</v>
      </c>
      <c r="CD470">
        <v>4</v>
      </c>
      <c r="CE470" s="17"/>
      <c r="CF470" s="17"/>
      <c r="CR470" s="5" t="s">
        <v>354</v>
      </c>
      <c r="CS470">
        <v>0</v>
      </c>
      <c r="CW470" s="61" t="s">
        <v>346</v>
      </c>
      <c r="CX470" s="62">
        <v>0</v>
      </c>
    </row>
    <row r="471" spans="1:102" x14ac:dyDescent="0.25">
      <c r="A471" s="5" t="s">
        <v>49</v>
      </c>
      <c r="B471" s="27">
        <v>1</v>
      </c>
      <c r="C471" s="17"/>
      <c r="D471" s="17"/>
      <c r="U471" s="26" t="s">
        <v>119</v>
      </c>
      <c r="V471">
        <v>0</v>
      </c>
      <c r="Z471" s="64" t="s">
        <v>116</v>
      </c>
      <c r="AA471" s="62">
        <v>6</v>
      </c>
      <c r="AO471" s="5" t="s">
        <v>152</v>
      </c>
      <c r="AP471">
        <v>0</v>
      </c>
      <c r="AQ471" s="30" t="s">
        <v>390</v>
      </c>
      <c r="AR471" s="17">
        <f>VAR(AP468:AP492)</f>
        <v>0.04</v>
      </c>
      <c r="AY471" s="5" t="s">
        <v>216</v>
      </c>
      <c r="AZ471">
        <v>0</v>
      </c>
      <c r="BD471" s="5" t="s">
        <v>224</v>
      </c>
      <c r="BE471">
        <v>0</v>
      </c>
      <c r="BF471" s="30" t="s">
        <v>390</v>
      </c>
      <c r="BG471" s="17">
        <f>VAR(BE468:BE492)</f>
        <v>0.13999999999999999</v>
      </c>
      <c r="BI471" s="5" t="s">
        <v>269</v>
      </c>
      <c r="BJ471">
        <v>0</v>
      </c>
      <c r="BX471" s="61" t="s">
        <v>277</v>
      </c>
      <c r="BY471" s="62">
        <v>0</v>
      </c>
      <c r="BZ471" s="63" t="s">
        <v>390</v>
      </c>
      <c r="CA471" s="58">
        <f>VAR(BY468:BY492)</f>
        <v>0.13999999999999999</v>
      </c>
      <c r="CC471" s="5" t="s">
        <v>93</v>
      </c>
      <c r="CD471">
        <v>0</v>
      </c>
      <c r="CE471" s="17"/>
      <c r="CF471" s="17"/>
      <c r="CR471" s="5" t="s">
        <v>355</v>
      </c>
      <c r="CS471">
        <v>1</v>
      </c>
      <c r="CW471" s="61" t="s">
        <v>347</v>
      </c>
      <c r="CX471" s="62">
        <v>2</v>
      </c>
    </row>
    <row r="472" spans="1:102" x14ac:dyDescent="0.25">
      <c r="A472" s="5" t="s">
        <v>50</v>
      </c>
      <c r="B472" s="27">
        <v>0</v>
      </c>
      <c r="C472" s="17"/>
      <c r="D472" s="17"/>
      <c r="U472" s="5" t="s">
        <v>120</v>
      </c>
      <c r="V472">
        <v>0</v>
      </c>
      <c r="Z472" s="64" t="s">
        <v>117</v>
      </c>
      <c r="AA472" s="62">
        <v>3</v>
      </c>
      <c r="AO472" s="5" t="s">
        <v>153</v>
      </c>
      <c r="AP472">
        <v>0</v>
      </c>
      <c r="AQ472" s="30" t="s">
        <v>391</v>
      </c>
      <c r="AR472" s="17">
        <f>AVERAGE(AP468:AP492)</f>
        <v>0.04</v>
      </c>
      <c r="AY472" s="5" t="s">
        <v>217</v>
      </c>
      <c r="AZ472">
        <v>0</v>
      </c>
      <c r="BD472" s="5" t="s">
        <v>225</v>
      </c>
      <c r="BE472">
        <v>0</v>
      </c>
      <c r="BF472" s="30" t="s">
        <v>391</v>
      </c>
      <c r="BG472" s="17">
        <f>AVERAGE(BE468:BE492)</f>
        <v>0.16</v>
      </c>
      <c r="BI472" s="5" t="s">
        <v>270</v>
      </c>
      <c r="BJ472">
        <v>0</v>
      </c>
      <c r="BX472" s="61" t="s">
        <v>279</v>
      </c>
      <c r="BY472" s="62">
        <v>0</v>
      </c>
      <c r="BZ472" s="63" t="s">
        <v>391</v>
      </c>
      <c r="CA472" s="58">
        <f>AVERAGE(BY468:BY492)</f>
        <v>0.16</v>
      </c>
      <c r="CC472" s="5" t="s">
        <v>307</v>
      </c>
      <c r="CD472">
        <v>1</v>
      </c>
      <c r="CE472" s="17"/>
      <c r="CF472" s="17"/>
      <c r="CR472" s="2" t="s">
        <v>356</v>
      </c>
      <c r="CS472">
        <v>0</v>
      </c>
      <c r="CW472" s="61" t="s">
        <v>348</v>
      </c>
      <c r="CX472" s="62">
        <v>0</v>
      </c>
    </row>
    <row r="473" spans="1:102" x14ac:dyDescent="0.25">
      <c r="A473" s="5" t="s">
        <v>51</v>
      </c>
      <c r="B473" s="27">
        <v>0</v>
      </c>
      <c r="C473" s="17"/>
      <c r="D473" s="17"/>
      <c r="U473" s="5" t="s">
        <v>121</v>
      </c>
      <c r="V473">
        <v>0</v>
      </c>
      <c r="Z473" s="64" t="s">
        <v>118</v>
      </c>
      <c r="AA473" s="62">
        <v>4</v>
      </c>
      <c r="AO473" s="5" t="s">
        <v>154</v>
      </c>
      <c r="AP473">
        <v>0</v>
      </c>
      <c r="AQ473" s="30" t="s">
        <v>392</v>
      </c>
      <c r="AR473" s="17">
        <f>STDEV(AP468:AP492)</f>
        <v>0.2</v>
      </c>
      <c r="AY473" s="5" t="s">
        <v>218</v>
      </c>
      <c r="AZ473">
        <v>0</v>
      </c>
      <c r="BD473" s="5" t="s">
        <v>226</v>
      </c>
      <c r="BE473">
        <v>0</v>
      </c>
      <c r="BF473" s="30" t="s">
        <v>392</v>
      </c>
      <c r="BG473" s="17">
        <f>STDEV(BE468:BE492)</f>
        <v>0.37416573867739411</v>
      </c>
      <c r="BI473" s="5" t="s">
        <v>271</v>
      </c>
      <c r="BJ473">
        <v>0</v>
      </c>
      <c r="BX473" s="61" t="s">
        <v>278</v>
      </c>
      <c r="BY473" s="62">
        <v>0</v>
      </c>
      <c r="BZ473" s="63" t="s">
        <v>392</v>
      </c>
      <c r="CA473" s="58">
        <f>STDEV(BY468:BY492)</f>
        <v>0.37416573867739411</v>
      </c>
      <c r="CC473" s="5" t="s">
        <v>308</v>
      </c>
      <c r="CD473">
        <v>1</v>
      </c>
      <c r="CE473" s="17"/>
      <c r="CF473" s="17"/>
      <c r="CR473" s="2" t="s">
        <v>357</v>
      </c>
      <c r="CS473">
        <v>0</v>
      </c>
      <c r="CW473" s="61" t="s">
        <v>349</v>
      </c>
      <c r="CX473" s="62">
        <v>0</v>
      </c>
    </row>
    <row r="474" spans="1:102" x14ac:dyDescent="0.25">
      <c r="A474" s="5" t="s">
        <v>52</v>
      </c>
      <c r="B474" s="27">
        <v>2</v>
      </c>
      <c r="C474" s="17"/>
      <c r="D474" s="17"/>
      <c r="U474" s="5" t="s">
        <v>122</v>
      </c>
      <c r="V474">
        <v>0</v>
      </c>
      <c r="Z474" s="64" t="s">
        <v>119</v>
      </c>
      <c r="AA474" s="62">
        <v>3</v>
      </c>
      <c r="AO474" s="5" t="s">
        <v>155</v>
      </c>
      <c r="AP474">
        <v>0</v>
      </c>
      <c r="AQ474" s="17"/>
      <c r="AR474" s="17"/>
      <c r="AY474" s="5" t="s">
        <v>219</v>
      </c>
      <c r="AZ474">
        <v>0</v>
      </c>
      <c r="BD474" s="5" t="s">
        <v>227</v>
      </c>
      <c r="BE474">
        <v>0</v>
      </c>
      <c r="BF474" s="17"/>
      <c r="BG474" s="17"/>
      <c r="BI474" s="5" t="s">
        <v>272</v>
      </c>
      <c r="BJ474">
        <v>0</v>
      </c>
      <c r="BX474" s="61" t="s">
        <v>280</v>
      </c>
      <c r="BY474" s="62">
        <v>0</v>
      </c>
      <c r="BZ474" s="58"/>
      <c r="CA474" s="58"/>
      <c r="CC474" s="5" t="s">
        <v>309</v>
      </c>
      <c r="CD474">
        <v>1</v>
      </c>
      <c r="CE474" s="17"/>
      <c r="CF474" s="17"/>
      <c r="CR474" s="2" t="s">
        <v>358</v>
      </c>
      <c r="CS474">
        <v>0</v>
      </c>
      <c r="CW474" s="61" t="s">
        <v>350</v>
      </c>
      <c r="CX474" s="62">
        <v>0</v>
      </c>
    </row>
    <row r="475" spans="1:102" x14ac:dyDescent="0.25">
      <c r="A475" s="5" t="s">
        <v>53</v>
      </c>
      <c r="B475" s="27">
        <v>0</v>
      </c>
      <c r="C475" s="17"/>
      <c r="D475" s="17"/>
      <c r="U475" s="5" t="s">
        <v>123</v>
      </c>
      <c r="V475">
        <v>0</v>
      </c>
      <c r="Z475" s="61" t="s">
        <v>120</v>
      </c>
      <c r="AA475" s="62">
        <v>5</v>
      </c>
      <c r="AO475" s="5" t="s">
        <v>156</v>
      </c>
      <c r="AP475">
        <v>0</v>
      </c>
      <c r="AQ475" s="17"/>
      <c r="AR475" s="17"/>
      <c r="AY475" s="5" t="s">
        <v>220</v>
      </c>
      <c r="AZ475">
        <v>0</v>
      </c>
      <c r="BD475" s="5" t="s">
        <v>228</v>
      </c>
      <c r="BE475">
        <v>0</v>
      </c>
      <c r="BF475" s="17"/>
      <c r="BG475" s="17"/>
      <c r="BI475" s="5" t="s">
        <v>273</v>
      </c>
      <c r="BJ475">
        <v>0</v>
      </c>
      <c r="BX475" s="61" t="s">
        <v>281</v>
      </c>
      <c r="BY475" s="62">
        <v>1</v>
      </c>
      <c r="BZ475" s="58"/>
      <c r="CA475" s="58"/>
      <c r="CC475" s="5" t="s">
        <v>310</v>
      </c>
      <c r="CD475">
        <v>3</v>
      </c>
      <c r="CE475" s="17"/>
      <c r="CF475" s="17"/>
      <c r="CR475" s="3" t="s">
        <v>359</v>
      </c>
      <c r="CS475">
        <v>0</v>
      </c>
      <c r="CW475" s="61" t="s">
        <v>351</v>
      </c>
      <c r="CX475" s="62">
        <v>0</v>
      </c>
    </row>
    <row r="476" spans="1:102" x14ac:dyDescent="0.25">
      <c r="A476" s="5" t="s">
        <v>54</v>
      </c>
      <c r="B476" s="27">
        <v>0</v>
      </c>
      <c r="C476" s="17"/>
      <c r="D476" s="17"/>
      <c r="U476" s="5" t="s">
        <v>124</v>
      </c>
      <c r="V476">
        <v>0</v>
      </c>
      <c r="Z476" s="61" t="s">
        <v>121</v>
      </c>
      <c r="AA476" s="62">
        <v>5</v>
      </c>
      <c r="AO476" s="5" t="s">
        <v>157</v>
      </c>
      <c r="AP476">
        <v>0</v>
      </c>
      <c r="AQ476" s="17"/>
      <c r="AR476" s="17"/>
      <c r="BD476" s="5" t="s">
        <v>229</v>
      </c>
      <c r="BE476">
        <v>1</v>
      </c>
      <c r="BF476" s="17"/>
      <c r="BG476" s="17"/>
      <c r="BX476" s="61" t="s">
        <v>282</v>
      </c>
      <c r="BY476" s="62">
        <v>1</v>
      </c>
      <c r="BZ476" s="58"/>
      <c r="CA476" s="58"/>
      <c r="CC476" s="5" t="s">
        <v>311</v>
      </c>
      <c r="CD476">
        <v>0</v>
      </c>
      <c r="CE476" s="17"/>
      <c r="CF476" s="17"/>
      <c r="CW476" s="61" t="s">
        <v>352</v>
      </c>
      <c r="CX476" s="62">
        <v>0</v>
      </c>
    </row>
    <row r="477" spans="1:102" x14ac:dyDescent="0.25">
      <c r="A477" s="5" t="s">
        <v>55</v>
      </c>
      <c r="B477" s="27">
        <v>1</v>
      </c>
      <c r="C477" s="17"/>
      <c r="D477" s="17"/>
      <c r="U477" s="5" t="s">
        <v>125</v>
      </c>
      <c r="V477">
        <v>0</v>
      </c>
      <c r="Z477" s="61" t="s">
        <v>122</v>
      </c>
      <c r="AA477" s="62">
        <v>6</v>
      </c>
      <c r="AO477" s="5" t="s">
        <v>158</v>
      </c>
      <c r="AP477">
        <v>0</v>
      </c>
      <c r="AQ477" s="17"/>
      <c r="AR477" s="17"/>
      <c r="AY477" s="17" t="s">
        <v>382</v>
      </c>
      <c r="AZ477" s="29" t="s">
        <v>370</v>
      </c>
      <c r="BA477" s="17"/>
      <c r="BB477" s="17">
        <v>2016</v>
      </c>
      <c r="BD477" s="5" t="s">
        <v>230</v>
      </c>
      <c r="BE477">
        <v>0</v>
      </c>
      <c r="BF477" s="17"/>
      <c r="BG477" s="17"/>
      <c r="BI477" s="17" t="s">
        <v>382</v>
      </c>
      <c r="BJ477" s="29" t="s">
        <v>372</v>
      </c>
      <c r="BK477" s="17"/>
      <c r="BL477" s="17">
        <v>2016</v>
      </c>
      <c r="BX477" s="61" t="s">
        <v>283</v>
      </c>
      <c r="BY477" s="62">
        <v>0</v>
      </c>
      <c r="BZ477" s="58"/>
      <c r="CA477" s="58"/>
      <c r="CC477" s="5" t="s">
        <v>312</v>
      </c>
      <c r="CD477">
        <v>1</v>
      </c>
      <c r="CE477" s="17"/>
      <c r="CF477" s="17"/>
      <c r="CW477" s="61" t="s">
        <v>353</v>
      </c>
      <c r="CX477" s="62">
        <v>0</v>
      </c>
    </row>
    <row r="478" spans="1:102" x14ac:dyDescent="0.25">
      <c r="A478" s="5" t="s">
        <v>56</v>
      </c>
      <c r="B478" s="27">
        <v>0</v>
      </c>
      <c r="C478" s="17"/>
      <c r="D478" s="17"/>
      <c r="U478" s="5" t="s">
        <v>126</v>
      </c>
      <c r="V478">
        <v>1</v>
      </c>
      <c r="Z478" s="61" t="s">
        <v>123</v>
      </c>
      <c r="AA478" s="62">
        <v>12</v>
      </c>
      <c r="AO478" s="5" t="s">
        <v>159</v>
      </c>
      <c r="AP478">
        <v>0</v>
      </c>
      <c r="AQ478" s="17"/>
      <c r="AR478" s="17"/>
      <c r="AY478" s="17" t="s">
        <v>383</v>
      </c>
      <c r="AZ478" s="6" t="s">
        <v>102</v>
      </c>
      <c r="BA478" s="17"/>
      <c r="BB478" s="17"/>
      <c r="BD478" s="5" t="s">
        <v>231</v>
      </c>
      <c r="BE478">
        <v>0</v>
      </c>
      <c r="BF478" s="17"/>
      <c r="BG478" s="17"/>
      <c r="BI478" s="17" t="s">
        <v>383</v>
      </c>
      <c r="BJ478" s="6" t="s">
        <v>25</v>
      </c>
      <c r="BK478" s="17"/>
      <c r="BL478" s="17"/>
      <c r="BX478" s="61" t="s">
        <v>285</v>
      </c>
      <c r="BY478" s="62">
        <v>0</v>
      </c>
      <c r="BZ478" s="58"/>
      <c r="CA478" s="58"/>
      <c r="CC478" s="5" t="s">
        <v>313</v>
      </c>
      <c r="CD478">
        <v>3</v>
      </c>
      <c r="CE478" s="17"/>
      <c r="CF478" s="17"/>
      <c r="CW478" s="61" t="s">
        <v>354</v>
      </c>
      <c r="CX478" s="62">
        <v>0</v>
      </c>
    </row>
    <row r="479" spans="1:102" x14ac:dyDescent="0.25">
      <c r="A479" s="5" t="s">
        <v>57</v>
      </c>
      <c r="B479" s="27">
        <v>0</v>
      </c>
      <c r="C479" s="17"/>
      <c r="D479" s="17"/>
      <c r="U479" s="5" t="s">
        <v>127</v>
      </c>
      <c r="V479">
        <v>0</v>
      </c>
      <c r="Z479" s="61" t="s">
        <v>124</v>
      </c>
      <c r="AA479" s="62">
        <v>8</v>
      </c>
      <c r="AO479" s="5" t="s">
        <v>100</v>
      </c>
      <c r="AP479">
        <v>0</v>
      </c>
      <c r="AQ479" s="17"/>
      <c r="AR479" s="17"/>
      <c r="AY479" s="17" t="s">
        <v>384</v>
      </c>
      <c r="AZ479" s="17" t="s">
        <v>39</v>
      </c>
      <c r="BA479" s="17" t="s">
        <v>385</v>
      </c>
      <c r="BB479" s="17" t="s">
        <v>386</v>
      </c>
      <c r="BD479" s="5" t="s">
        <v>232</v>
      </c>
      <c r="BE479">
        <v>0</v>
      </c>
      <c r="BF479" s="17"/>
      <c r="BG479" s="17"/>
      <c r="BI479" s="17" t="s">
        <v>384</v>
      </c>
      <c r="BJ479" s="17" t="s">
        <v>39</v>
      </c>
      <c r="BK479" s="17" t="s">
        <v>385</v>
      </c>
      <c r="BL479" s="17" t="s">
        <v>386</v>
      </c>
      <c r="BX479" s="61" t="s">
        <v>284</v>
      </c>
      <c r="BY479" s="62">
        <v>0</v>
      </c>
      <c r="BZ479" s="58"/>
      <c r="CA479" s="58"/>
      <c r="CC479" s="5" t="s">
        <v>314</v>
      </c>
      <c r="CD479">
        <v>2</v>
      </c>
      <c r="CW479" s="61" t="s">
        <v>355</v>
      </c>
      <c r="CX479" s="62">
        <v>0</v>
      </c>
    </row>
    <row r="480" spans="1:102" x14ac:dyDescent="0.25">
      <c r="A480" s="5" t="s">
        <v>58</v>
      </c>
      <c r="B480" s="27">
        <v>3</v>
      </c>
      <c r="C480" s="15"/>
      <c r="D480" s="15"/>
      <c r="U480" s="5" t="s">
        <v>128</v>
      </c>
      <c r="V480">
        <v>1</v>
      </c>
      <c r="Z480" s="61" t="s">
        <v>125</v>
      </c>
      <c r="AA480" s="62">
        <v>4</v>
      </c>
      <c r="AO480" s="5" t="s">
        <v>161</v>
      </c>
      <c r="AP480">
        <v>0</v>
      </c>
      <c r="AQ480" s="17"/>
      <c r="AR480" s="17"/>
      <c r="AY480" s="5" t="s">
        <v>192</v>
      </c>
      <c r="AZ480" s="10">
        <v>1</v>
      </c>
      <c r="BA480" s="30" t="s">
        <v>387</v>
      </c>
      <c r="BB480" s="17">
        <f>SUM(AZ480:AZ509)</f>
        <v>4</v>
      </c>
      <c r="BD480" s="5" t="s">
        <v>233</v>
      </c>
      <c r="BE480">
        <v>0</v>
      </c>
      <c r="BF480" s="17"/>
      <c r="BG480" s="17"/>
      <c r="BI480" s="5" t="s">
        <v>245</v>
      </c>
      <c r="BJ480">
        <v>0</v>
      </c>
      <c r="BK480" s="30" t="s">
        <v>387</v>
      </c>
      <c r="BL480" s="17">
        <f>SUM(BJ480:BJ509)</f>
        <v>1</v>
      </c>
      <c r="BX480" s="61" t="s">
        <v>286</v>
      </c>
      <c r="BY480" s="62">
        <v>0</v>
      </c>
      <c r="BZ480" s="58"/>
      <c r="CA480" s="58"/>
      <c r="CC480" s="5" t="s">
        <v>315</v>
      </c>
      <c r="CD480">
        <v>2</v>
      </c>
      <c r="CW480" s="66" t="s">
        <v>356</v>
      </c>
      <c r="CX480" s="62">
        <v>0</v>
      </c>
    </row>
    <row r="481" spans="1:104" x14ac:dyDescent="0.25">
      <c r="A481" s="5" t="s">
        <v>60</v>
      </c>
      <c r="B481" s="27">
        <v>1</v>
      </c>
      <c r="C481" s="17"/>
      <c r="D481" s="17"/>
      <c r="Z481" s="61" t="s">
        <v>126</v>
      </c>
      <c r="AA481" s="62">
        <v>2</v>
      </c>
      <c r="AO481" s="5" t="s">
        <v>162</v>
      </c>
      <c r="AP481">
        <v>0</v>
      </c>
      <c r="AQ481" s="17"/>
      <c r="AR481" s="17"/>
      <c r="AY481" s="5" t="s">
        <v>193</v>
      </c>
      <c r="AZ481" s="10">
        <v>0</v>
      </c>
      <c r="BA481" s="30" t="s">
        <v>388</v>
      </c>
      <c r="BB481" s="17">
        <f>MIN(AZ480:AZ509)</f>
        <v>0</v>
      </c>
      <c r="BD481" s="5" t="s">
        <v>234</v>
      </c>
      <c r="BE481">
        <v>1</v>
      </c>
      <c r="BF481" s="17"/>
      <c r="BG481" s="17"/>
      <c r="BI481" s="5" t="s">
        <v>73</v>
      </c>
      <c r="BJ481">
        <v>0</v>
      </c>
      <c r="BK481" s="30" t="s">
        <v>388</v>
      </c>
      <c r="BL481" s="17">
        <f>MIN(BJ480:BJ509)</f>
        <v>0</v>
      </c>
      <c r="BX481" s="61" t="s">
        <v>287</v>
      </c>
      <c r="BY481" s="62">
        <v>0</v>
      </c>
      <c r="BZ481" s="58"/>
      <c r="CA481" s="58"/>
      <c r="CC481" s="5" t="s">
        <v>316</v>
      </c>
      <c r="CD481">
        <v>2</v>
      </c>
      <c r="CW481" s="66" t="s">
        <v>357</v>
      </c>
      <c r="CX481" s="62">
        <v>0</v>
      </c>
    </row>
    <row r="482" spans="1:104" x14ac:dyDescent="0.25">
      <c r="A482" s="5" t="s">
        <v>61</v>
      </c>
      <c r="B482" s="27">
        <v>0</v>
      </c>
      <c r="C482" s="17"/>
      <c r="D482" s="17"/>
      <c r="U482" s="17" t="s">
        <v>382</v>
      </c>
      <c r="V482" s="29" t="s">
        <v>400</v>
      </c>
      <c r="W482" s="17"/>
      <c r="X482" s="17">
        <v>2016</v>
      </c>
      <c r="Z482" s="61" t="s">
        <v>127</v>
      </c>
      <c r="AA482" s="62">
        <v>4</v>
      </c>
      <c r="AO482" s="5" t="s">
        <v>163</v>
      </c>
      <c r="AP482">
        <v>0</v>
      </c>
      <c r="AQ482" s="17"/>
      <c r="AR482" s="17"/>
      <c r="AY482" s="5" t="s">
        <v>194</v>
      </c>
      <c r="AZ482" s="10">
        <v>0</v>
      </c>
      <c r="BA482" s="30" t="s">
        <v>389</v>
      </c>
      <c r="BB482" s="17">
        <f>MAX(AZ480:AZ509)</f>
        <v>2</v>
      </c>
      <c r="BD482" s="5" t="s">
        <v>157</v>
      </c>
      <c r="BE482">
        <v>0</v>
      </c>
      <c r="BF482" s="17"/>
      <c r="BG482" s="17"/>
      <c r="BI482" s="5" t="s">
        <v>246</v>
      </c>
      <c r="BJ482">
        <v>0</v>
      </c>
      <c r="BK482" s="30" t="s">
        <v>389</v>
      </c>
      <c r="BL482" s="17">
        <f>MAX(BJ480:BJ509)</f>
        <v>1</v>
      </c>
      <c r="BX482" s="61" t="s">
        <v>288</v>
      </c>
      <c r="BY482" s="62">
        <v>0</v>
      </c>
      <c r="BZ482" s="58"/>
      <c r="CA482" s="58"/>
      <c r="CC482" s="5" t="s">
        <v>317</v>
      </c>
      <c r="CD482">
        <v>0</v>
      </c>
      <c r="CM482" s="17" t="s">
        <v>382</v>
      </c>
      <c r="CN482" s="29" t="s">
        <v>442</v>
      </c>
      <c r="CO482" s="17"/>
      <c r="CP482" s="17">
        <v>2016</v>
      </c>
      <c r="CR482" s="17" t="s">
        <v>382</v>
      </c>
      <c r="CS482" s="29" t="s">
        <v>442</v>
      </c>
      <c r="CT482" s="17"/>
      <c r="CU482" s="17">
        <v>2016</v>
      </c>
      <c r="CW482" s="66" t="s">
        <v>358</v>
      </c>
      <c r="CX482" s="62">
        <v>0</v>
      </c>
    </row>
    <row r="483" spans="1:104" x14ac:dyDescent="0.25">
      <c r="A483" s="5" t="s">
        <v>62</v>
      </c>
      <c r="B483" s="27">
        <v>1</v>
      </c>
      <c r="C483" s="17"/>
      <c r="D483" s="1"/>
      <c r="U483" s="17" t="s">
        <v>383</v>
      </c>
      <c r="V483" s="6" t="s">
        <v>22</v>
      </c>
      <c r="W483" s="17"/>
      <c r="X483" s="17"/>
      <c r="Z483" s="61" t="s">
        <v>128</v>
      </c>
      <c r="AA483" s="62">
        <v>2</v>
      </c>
      <c r="AO483" s="5" t="s">
        <v>164</v>
      </c>
      <c r="AP483">
        <v>0</v>
      </c>
      <c r="AQ483" s="17"/>
      <c r="AR483" s="17"/>
      <c r="AY483" s="5" t="s">
        <v>195</v>
      </c>
      <c r="AZ483" s="10">
        <v>0</v>
      </c>
      <c r="BA483" s="30" t="s">
        <v>390</v>
      </c>
      <c r="BB483" s="17">
        <f>VAR(AZ480:AZ509)</f>
        <v>0.18850574712643678</v>
      </c>
      <c r="BD483" s="5" t="s">
        <v>235</v>
      </c>
      <c r="BE483">
        <v>0</v>
      </c>
      <c r="BF483" s="17"/>
      <c r="BG483" s="17"/>
      <c r="BI483" s="5" t="s">
        <v>247</v>
      </c>
      <c r="BJ483">
        <v>0</v>
      </c>
      <c r="BK483" s="30" t="s">
        <v>390</v>
      </c>
      <c r="BL483" s="17">
        <f>VAR(BJ480:BJ509)</f>
        <v>3.3333333333333333E-2</v>
      </c>
      <c r="BX483" s="61" t="s">
        <v>289</v>
      </c>
      <c r="BY483" s="62">
        <v>0</v>
      </c>
      <c r="BZ483" s="58"/>
      <c r="CA483" s="58"/>
      <c r="CC483" s="5" t="s">
        <v>318</v>
      </c>
      <c r="CD483">
        <v>2</v>
      </c>
      <c r="CM483" s="17" t="s">
        <v>383</v>
      </c>
      <c r="CN483" s="6" t="s">
        <v>26</v>
      </c>
      <c r="CO483" s="15"/>
      <c r="CP483" s="17"/>
      <c r="CR483" s="17" t="s">
        <v>383</v>
      </c>
      <c r="CS483" s="6" t="s">
        <v>26</v>
      </c>
      <c r="CT483" s="15"/>
      <c r="CU483" s="17"/>
      <c r="CW483" s="66" t="s">
        <v>359</v>
      </c>
      <c r="CX483" s="62">
        <v>0</v>
      </c>
    </row>
    <row r="484" spans="1:104" x14ac:dyDescent="0.25">
      <c r="A484" s="5" t="s">
        <v>63</v>
      </c>
      <c r="B484" s="27">
        <v>0</v>
      </c>
      <c r="C484" s="17"/>
      <c r="D484" s="1"/>
      <c r="U484" s="17" t="s">
        <v>384</v>
      </c>
      <c r="V484" s="17" t="s">
        <v>39</v>
      </c>
      <c r="W484" s="17" t="s">
        <v>385</v>
      </c>
      <c r="X484" s="17" t="s">
        <v>386</v>
      </c>
      <c r="AO484" s="5" t="s">
        <v>165</v>
      </c>
      <c r="AP484">
        <v>0</v>
      </c>
      <c r="AQ484" s="17"/>
      <c r="AR484" s="17"/>
      <c r="AY484" s="5" t="s">
        <v>196</v>
      </c>
      <c r="AZ484" s="10">
        <v>0</v>
      </c>
      <c r="BA484" s="30" t="s">
        <v>391</v>
      </c>
      <c r="BB484" s="17">
        <f>AVERAGE(AZ480:AZ509)</f>
        <v>0.13333333333333333</v>
      </c>
      <c r="BD484" s="5" t="s">
        <v>236</v>
      </c>
      <c r="BE484">
        <v>0</v>
      </c>
      <c r="BF484" s="17"/>
      <c r="BG484" s="17"/>
      <c r="BI484" s="5" t="s">
        <v>248</v>
      </c>
      <c r="BJ484">
        <v>0</v>
      </c>
      <c r="BK484" s="30" t="s">
        <v>391</v>
      </c>
      <c r="BL484" s="17">
        <f>AVERAGE(BJ480:BJ509)</f>
        <v>3.3333333333333333E-2</v>
      </c>
      <c r="BX484" s="61" t="s">
        <v>290</v>
      </c>
      <c r="BY484" s="62">
        <v>0</v>
      </c>
      <c r="CC484" s="5" t="s">
        <v>319</v>
      </c>
      <c r="CD484">
        <v>1</v>
      </c>
      <c r="CM484" s="17" t="s">
        <v>384</v>
      </c>
      <c r="CN484" s="17" t="s">
        <v>39</v>
      </c>
      <c r="CO484" s="17" t="s">
        <v>385</v>
      </c>
      <c r="CP484" s="17" t="s">
        <v>386</v>
      </c>
      <c r="CR484" s="17" t="s">
        <v>384</v>
      </c>
      <c r="CS484" s="17" t="s">
        <v>39</v>
      </c>
      <c r="CT484" s="17" t="s">
        <v>385</v>
      </c>
      <c r="CU484" s="17" t="s">
        <v>386</v>
      </c>
    </row>
    <row r="485" spans="1:104" x14ac:dyDescent="0.25">
      <c r="A485" s="5" t="s">
        <v>64</v>
      </c>
      <c r="B485" s="27">
        <v>0</v>
      </c>
      <c r="C485" s="17"/>
      <c r="D485" s="1"/>
      <c r="U485" s="5" t="s">
        <v>96</v>
      </c>
      <c r="V485">
        <v>0</v>
      </c>
      <c r="W485" s="30" t="s">
        <v>387</v>
      </c>
      <c r="X485" s="17">
        <f>SUM(V485:V517)</f>
        <v>9</v>
      </c>
      <c r="Z485" s="58" t="s">
        <v>382</v>
      </c>
      <c r="AA485" s="59" t="s">
        <v>627</v>
      </c>
      <c r="AB485" s="58"/>
      <c r="AC485" s="58">
        <v>2016</v>
      </c>
      <c r="AO485" s="5" t="s">
        <v>166</v>
      </c>
      <c r="AP485">
        <v>0</v>
      </c>
      <c r="AQ485" s="15"/>
      <c r="AR485" s="15"/>
      <c r="AY485" s="5" t="s">
        <v>197</v>
      </c>
      <c r="AZ485" s="10">
        <v>0</v>
      </c>
      <c r="BA485" s="30" t="s">
        <v>392</v>
      </c>
      <c r="BB485" s="17">
        <f>STDEV(AZ480:AZ509)</f>
        <v>0.43417248545530474</v>
      </c>
      <c r="BD485" s="5" t="s">
        <v>237</v>
      </c>
      <c r="BE485">
        <v>0</v>
      </c>
      <c r="BF485" s="15"/>
      <c r="BG485" s="15"/>
      <c r="BI485" s="5" t="s">
        <v>249</v>
      </c>
      <c r="BJ485">
        <v>0</v>
      </c>
      <c r="BK485" s="30" t="s">
        <v>392</v>
      </c>
      <c r="BL485" s="17">
        <f>STDEV(BJ480:BJ509)</f>
        <v>0.18257418583505536</v>
      </c>
      <c r="BX485" s="61" t="s">
        <v>291</v>
      </c>
      <c r="BY485" s="62">
        <v>0</v>
      </c>
      <c r="CC485" s="5" t="s">
        <v>320</v>
      </c>
      <c r="CD485">
        <v>2</v>
      </c>
      <c r="CM485" s="5" t="s">
        <v>328</v>
      </c>
      <c r="CN485">
        <v>1</v>
      </c>
      <c r="CO485" s="30" t="s">
        <v>387</v>
      </c>
      <c r="CP485" s="17">
        <f>SUM(CN485:CN517)</f>
        <v>2</v>
      </c>
      <c r="CR485" s="5" t="s">
        <v>333</v>
      </c>
      <c r="CS485">
        <v>0</v>
      </c>
      <c r="CT485" s="30" t="s">
        <v>387</v>
      </c>
      <c r="CU485" s="17">
        <f>SUM(CS485:CS512)</f>
        <v>1</v>
      </c>
      <c r="CW485" s="58" t="s">
        <v>382</v>
      </c>
      <c r="CX485" s="59" t="s">
        <v>629</v>
      </c>
      <c r="CY485" s="58"/>
      <c r="CZ485" s="58">
        <v>2016</v>
      </c>
    </row>
    <row r="486" spans="1:104" x14ac:dyDescent="0.25">
      <c r="U486" s="5" t="s">
        <v>97</v>
      </c>
      <c r="V486">
        <v>0</v>
      </c>
      <c r="W486" s="30" t="s">
        <v>388</v>
      </c>
      <c r="X486" s="17">
        <f>MIN(V485:V517)</f>
        <v>0</v>
      </c>
      <c r="Z486" s="58" t="s">
        <v>383</v>
      </c>
      <c r="AA486" s="60" t="s">
        <v>20</v>
      </c>
      <c r="AB486" s="58"/>
      <c r="AC486" s="58"/>
      <c r="AO486" s="5" t="s">
        <v>168</v>
      </c>
      <c r="AP486">
        <v>0</v>
      </c>
      <c r="AQ486" s="17"/>
      <c r="AR486" s="17"/>
      <c r="AY486" s="5" t="s">
        <v>198</v>
      </c>
      <c r="AZ486" s="10">
        <v>0</v>
      </c>
      <c r="BA486" s="17"/>
      <c r="BB486" s="17"/>
      <c r="BD486" s="5" t="s">
        <v>238</v>
      </c>
      <c r="BE486">
        <v>0</v>
      </c>
      <c r="BI486" s="5" t="s">
        <v>250</v>
      </c>
      <c r="BJ486">
        <v>0</v>
      </c>
      <c r="BK486" s="17"/>
      <c r="BL486" s="17"/>
      <c r="BX486" s="61" t="s">
        <v>292</v>
      </c>
      <c r="BY486" s="62">
        <v>1</v>
      </c>
      <c r="CM486" s="5" t="s">
        <v>329</v>
      </c>
      <c r="CN486">
        <v>1</v>
      </c>
      <c r="CO486" s="30" t="s">
        <v>388</v>
      </c>
      <c r="CP486" s="17">
        <f>MIN(CN485:CN517)</f>
        <v>0</v>
      </c>
      <c r="CR486" s="5" t="s">
        <v>334</v>
      </c>
      <c r="CS486">
        <v>0</v>
      </c>
      <c r="CT486" s="30" t="s">
        <v>388</v>
      </c>
      <c r="CU486" s="17">
        <f>MIN(CS485:CS512)</f>
        <v>0</v>
      </c>
      <c r="CW486" s="58" t="s">
        <v>383</v>
      </c>
      <c r="CX486" s="60" t="s">
        <v>23</v>
      </c>
      <c r="CY486" s="58"/>
      <c r="CZ486" s="58"/>
    </row>
    <row r="487" spans="1:104" x14ac:dyDescent="0.25">
      <c r="A487" s="17" t="s">
        <v>382</v>
      </c>
      <c r="B487" s="29" t="s">
        <v>361</v>
      </c>
      <c r="C487" s="17"/>
      <c r="D487" s="17">
        <v>2016</v>
      </c>
      <c r="U487" s="5" t="s">
        <v>98</v>
      </c>
      <c r="V487">
        <v>2</v>
      </c>
      <c r="W487" s="30" t="s">
        <v>389</v>
      </c>
      <c r="X487" s="17">
        <f>MAX(V485:V517)</f>
        <v>2</v>
      </c>
      <c r="Z487" s="58" t="s">
        <v>384</v>
      </c>
      <c r="AA487" s="58" t="s">
        <v>39</v>
      </c>
      <c r="AB487" s="58" t="s">
        <v>385</v>
      </c>
      <c r="AC487" s="58" t="s">
        <v>386</v>
      </c>
      <c r="AO487" s="5" t="s">
        <v>169</v>
      </c>
      <c r="AP487">
        <v>0</v>
      </c>
      <c r="AQ487" s="17"/>
      <c r="AR487" s="17"/>
      <c r="AY487" s="5" t="s">
        <v>161</v>
      </c>
      <c r="AZ487" s="10">
        <v>0</v>
      </c>
      <c r="BA487" s="17"/>
      <c r="BB487" s="17"/>
      <c r="BD487" s="5" t="s">
        <v>239</v>
      </c>
      <c r="BE487">
        <v>1</v>
      </c>
      <c r="BI487" s="5" t="s">
        <v>251</v>
      </c>
      <c r="BJ487">
        <v>0</v>
      </c>
      <c r="BK487" s="17"/>
      <c r="BL487" s="17"/>
      <c r="BX487" s="61" t="s">
        <v>293</v>
      </c>
      <c r="BY487" s="62">
        <v>1</v>
      </c>
      <c r="CC487" s="17"/>
      <c r="CD487" s="29"/>
      <c r="CE487" s="17"/>
      <c r="CF487" s="17"/>
      <c r="CM487" s="5" t="s">
        <v>330</v>
      </c>
      <c r="CN487">
        <v>0</v>
      </c>
      <c r="CO487" s="30" t="s">
        <v>389</v>
      </c>
      <c r="CP487" s="17">
        <f>MAX(CN485:CN517)</f>
        <v>1</v>
      </c>
      <c r="CR487" s="5" t="s">
        <v>335</v>
      </c>
      <c r="CS487">
        <v>0</v>
      </c>
      <c r="CT487" s="30" t="s">
        <v>389</v>
      </c>
      <c r="CU487" s="17">
        <f>MAX(CS485:CS512)</f>
        <v>1</v>
      </c>
      <c r="CW487" s="58" t="s">
        <v>384</v>
      </c>
      <c r="CX487" s="58" t="s">
        <v>39</v>
      </c>
      <c r="CY487" s="58" t="s">
        <v>385</v>
      </c>
      <c r="CZ487" s="58" t="s">
        <v>386</v>
      </c>
    </row>
    <row r="488" spans="1:104" x14ac:dyDescent="0.25">
      <c r="A488" s="17" t="s">
        <v>383</v>
      </c>
      <c r="B488" s="6" t="s">
        <v>36</v>
      </c>
      <c r="C488" s="17"/>
      <c r="D488" s="17"/>
      <c r="U488" s="5" t="s">
        <v>99</v>
      </c>
      <c r="V488">
        <v>1</v>
      </c>
      <c r="W488" s="30" t="s">
        <v>390</v>
      </c>
      <c r="X488" s="17">
        <f>VAR(V485:V517)</f>
        <v>0.32954545454545453</v>
      </c>
      <c r="Z488" s="61" t="s">
        <v>88</v>
      </c>
      <c r="AA488" s="62">
        <v>0</v>
      </c>
      <c r="AB488" s="63" t="s">
        <v>387</v>
      </c>
      <c r="AC488" s="58">
        <f>SUM(AA488:AA527)</f>
        <v>4</v>
      </c>
      <c r="AO488" s="5" t="s">
        <v>170</v>
      </c>
      <c r="AP488">
        <v>0</v>
      </c>
      <c r="AQ488" s="17"/>
      <c r="AR488" s="1"/>
      <c r="AY488" s="5" t="s">
        <v>199</v>
      </c>
      <c r="AZ488" s="10">
        <v>0</v>
      </c>
      <c r="BA488" s="17"/>
      <c r="BB488" s="17"/>
      <c r="BD488" s="5" t="s">
        <v>240</v>
      </c>
      <c r="BE488">
        <v>0</v>
      </c>
      <c r="BI488" s="5" t="s">
        <v>252</v>
      </c>
      <c r="BJ488">
        <v>0</v>
      </c>
      <c r="BK488" s="17"/>
      <c r="BL488" s="17"/>
      <c r="BX488" s="61" t="s">
        <v>294</v>
      </c>
      <c r="BY488" s="62">
        <v>0</v>
      </c>
      <c r="CC488" s="17"/>
      <c r="CD488" s="6"/>
      <c r="CE488" s="17"/>
      <c r="CF488" s="17"/>
      <c r="CM488" s="5" t="s">
        <v>331</v>
      </c>
      <c r="CN488">
        <v>0</v>
      </c>
      <c r="CO488" s="30" t="s">
        <v>390</v>
      </c>
      <c r="CP488" s="17">
        <f>VAR(CN485:CN517)</f>
        <v>0.3</v>
      </c>
      <c r="CR488" s="5" t="s">
        <v>43</v>
      </c>
      <c r="CS488">
        <v>0</v>
      </c>
      <c r="CT488" s="30" t="s">
        <v>390</v>
      </c>
      <c r="CU488" s="17">
        <f>VAR(CS485:CS512)</f>
        <v>3.5714285714285712E-2</v>
      </c>
      <c r="CW488" s="61" t="s">
        <v>321</v>
      </c>
      <c r="CX488" s="62">
        <v>0</v>
      </c>
      <c r="CY488" s="63" t="s">
        <v>387</v>
      </c>
      <c r="CZ488" s="58">
        <f>SUM(CX488:CX527)</f>
        <v>8</v>
      </c>
    </row>
    <row r="489" spans="1:104" x14ac:dyDescent="0.25">
      <c r="A489" s="17" t="s">
        <v>384</v>
      </c>
      <c r="B489" s="17" t="s">
        <v>39</v>
      </c>
      <c r="C489" s="17" t="s">
        <v>385</v>
      </c>
      <c r="D489" s="17" t="s">
        <v>386</v>
      </c>
      <c r="U489" s="5" t="s">
        <v>100</v>
      </c>
      <c r="V489">
        <v>0</v>
      </c>
      <c r="W489" s="30" t="s">
        <v>391</v>
      </c>
      <c r="X489" s="17">
        <f>AVERAGE(V485:V517)</f>
        <v>0.27272727272727271</v>
      </c>
      <c r="Z489" s="61" t="s">
        <v>89</v>
      </c>
      <c r="AA489" s="62">
        <v>0</v>
      </c>
      <c r="AB489" s="63" t="s">
        <v>388</v>
      </c>
      <c r="AC489" s="58">
        <f>MIN(AA488:AA527)</f>
        <v>0</v>
      </c>
      <c r="AO489" s="5" t="s">
        <v>171</v>
      </c>
      <c r="AP489">
        <v>0</v>
      </c>
      <c r="AQ489" s="17"/>
      <c r="AR489" s="1"/>
      <c r="AY489" s="5" t="s">
        <v>200</v>
      </c>
      <c r="AZ489" s="10">
        <v>0</v>
      </c>
      <c r="BA489" s="17"/>
      <c r="BB489" s="17"/>
      <c r="BD489" s="5" t="s">
        <v>241</v>
      </c>
      <c r="BE489">
        <v>0</v>
      </c>
      <c r="BI489" s="5" t="s">
        <v>253</v>
      </c>
      <c r="BJ489">
        <v>0</v>
      </c>
      <c r="BK489" s="17"/>
      <c r="BL489" s="17"/>
      <c r="BX489" s="61" t="s">
        <v>295</v>
      </c>
      <c r="BY489" s="62">
        <v>0</v>
      </c>
      <c r="CC489" s="17"/>
      <c r="CD489" s="17"/>
      <c r="CE489" s="17"/>
      <c r="CF489" s="17"/>
      <c r="CM489" s="5" t="s">
        <v>332</v>
      </c>
      <c r="CN489">
        <v>0</v>
      </c>
      <c r="CO489" s="30" t="s">
        <v>391</v>
      </c>
      <c r="CP489" s="17">
        <f>AVERAGE(CN485:CN517)</f>
        <v>0.4</v>
      </c>
      <c r="CR489" s="5" t="s">
        <v>336</v>
      </c>
      <c r="CS489">
        <v>0</v>
      </c>
      <c r="CT489" s="30" t="s">
        <v>391</v>
      </c>
      <c r="CU489" s="17">
        <f>AVERAGE(CS485:CS512)</f>
        <v>3.5714285714285712E-2</v>
      </c>
      <c r="CW489" s="61" t="s">
        <v>322</v>
      </c>
      <c r="CX489" s="62">
        <v>1</v>
      </c>
      <c r="CY489" s="63" t="s">
        <v>388</v>
      </c>
      <c r="CZ489" s="58">
        <f>MIN(CX488:CX527)</f>
        <v>0</v>
      </c>
    </row>
    <row r="490" spans="1:104" x14ac:dyDescent="0.25">
      <c r="A490" s="5" t="s">
        <v>40</v>
      </c>
      <c r="B490" s="27">
        <v>0</v>
      </c>
      <c r="C490" s="30" t="s">
        <v>387</v>
      </c>
      <c r="D490" s="17">
        <f>SUM(B490:B512)</f>
        <v>1</v>
      </c>
      <c r="U490" s="5" t="s">
        <v>101</v>
      </c>
      <c r="V490">
        <v>1</v>
      </c>
      <c r="W490" s="30" t="s">
        <v>392</v>
      </c>
      <c r="X490" s="17">
        <f>STDEV(V485:V517)</f>
        <v>0.57406049728704944</v>
      </c>
      <c r="Z490" s="61" t="s">
        <v>90</v>
      </c>
      <c r="AA490" s="62">
        <v>0</v>
      </c>
      <c r="AB490" s="63" t="s">
        <v>389</v>
      </c>
      <c r="AC490" s="58">
        <f>MAX(AA488:AA527)</f>
        <v>1</v>
      </c>
      <c r="AO490" s="5" t="s">
        <v>172</v>
      </c>
      <c r="AP490">
        <v>1</v>
      </c>
      <c r="AQ490" s="17"/>
      <c r="AR490" s="1"/>
      <c r="AY490" s="5" t="s">
        <v>201</v>
      </c>
      <c r="AZ490" s="10">
        <v>0</v>
      </c>
      <c r="BA490" s="17"/>
      <c r="BB490" s="17"/>
      <c r="BD490" s="5" t="s">
        <v>242</v>
      </c>
      <c r="BE490">
        <v>0</v>
      </c>
      <c r="BI490" s="5" t="s">
        <v>254</v>
      </c>
      <c r="BJ490">
        <v>0</v>
      </c>
      <c r="BK490" s="17"/>
      <c r="BL490" s="17"/>
      <c r="BX490" s="61" t="s">
        <v>296</v>
      </c>
      <c r="BY490" s="62">
        <v>0</v>
      </c>
      <c r="CC490" s="5"/>
      <c r="CE490" s="30"/>
      <c r="CF490" s="17"/>
      <c r="CO490" s="30" t="s">
        <v>392</v>
      </c>
      <c r="CP490" s="17">
        <f>STDEV(CN485:CN517)</f>
        <v>0.54772255750516607</v>
      </c>
      <c r="CR490" s="5" t="s">
        <v>337</v>
      </c>
      <c r="CS490">
        <v>0</v>
      </c>
      <c r="CT490" s="30" t="s">
        <v>392</v>
      </c>
      <c r="CU490" s="17">
        <f>STDEV(CS485:CS512)</f>
        <v>0.1889822365046136</v>
      </c>
      <c r="CW490" s="61" t="s">
        <v>323</v>
      </c>
      <c r="CX490" s="62">
        <v>0</v>
      </c>
      <c r="CY490" s="63" t="s">
        <v>389</v>
      </c>
      <c r="CZ490" s="58">
        <f>MAX(CX488:CX527)</f>
        <v>1</v>
      </c>
    </row>
    <row r="491" spans="1:104" x14ac:dyDescent="0.25">
      <c r="A491" s="5" t="s">
        <v>41</v>
      </c>
      <c r="B491" s="27">
        <v>0</v>
      </c>
      <c r="C491" s="30" t="s">
        <v>388</v>
      </c>
      <c r="D491" s="17">
        <f>MIN(B490:B512)</f>
        <v>0</v>
      </c>
      <c r="U491" s="5" t="s">
        <v>103</v>
      </c>
      <c r="V491">
        <v>1</v>
      </c>
      <c r="W491" s="17"/>
      <c r="X491" s="17"/>
      <c r="Z491" s="61" t="s">
        <v>91</v>
      </c>
      <c r="AA491" s="62">
        <v>1</v>
      </c>
      <c r="AB491" s="63" t="s">
        <v>390</v>
      </c>
      <c r="AC491" s="58">
        <f>VAR(AA488:AA527)</f>
        <v>9.2307692307692313E-2</v>
      </c>
      <c r="AO491" s="5" t="s">
        <v>173</v>
      </c>
      <c r="AP491">
        <v>0</v>
      </c>
      <c r="AY491" s="5" t="s">
        <v>202</v>
      </c>
      <c r="AZ491" s="10">
        <v>1</v>
      </c>
      <c r="BA491" s="17"/>
      <c r="BB491" s="17"/>
      <c r="BD491" s="5" t="s">
        <v>243</v>
      </c>
      <c r="BE491">
        <v>1</v>
      </c>
      <c r="BI491" s="5" t="s">
        <v>255</v>
      </c>
      <c r="BJ491">
        <v>0</v>
      </c>
      <c r="BK491" s="17"/>
      <c r="BL491" s="17"/>
      <c r="BX491" s="61" t="s">
        <v>297</v>
      </c>
      <c r="BY491" s="62">
        <v>0</v>
      </c>
      <c r="CC491" s="5"/>
      <c r="CE491" s="30"/>
      <c r="CF491" s="17"/>
      <c r="CO491" s="17"/>
      <c r="CP491" s="17"/>
      <c r="CR491" s="5" t="s">
        <v>338</v>
      </c>
      <c r="CS491">
        <v>0</v>
      </c>
      <c r="CW491" s="61" t="s">
        <v>324</v>
      </c>
      <c r="CX491" s="62">
        <v>0</v>
      </c>
      <c r="CY491" s="63" t="s">
        <v>390</v>
      </c>
      <c r="CZ491" s="58">
        <f>VAR(CX488:CX527)</f>
        <v>0.1641025641025641</v>
      </c>
    </row>
    <row r="492" spans="1:104" x14ac:dyDescent="0.25">
      <c r="A492" s="5" t="s">
        <v>42</v>
      </c>
      <c r="B492" s="27">
        <v>0</v>
      </c>
      <c r="C492" s="30" t="s">
        <v>389</v>
      </c>
      <c r="D492" s="17">
        <f>MAX(B490:B512)</f>
        <v>1</v>
      </c>
      <c r="U492" s="5" t="s">
        <v>104</v>
      </c>
      <c r="V492">
        <v>0</v>
      </c>
      <c r="W492" s="17"/>
      <c r="X492" s="17"/>
      <c r="Z492" s="61" t="s">
        <v>92</v>
      </c>
      <c r="AA492" s="62">
        <v>0</v>
      </c>
      <c r="AB492" s="63" t="s">
        <v>391</v>
      </c>
      <c r="AC492" s="58">
        <f>AVERAGE(AA488:AA527)</f>
        <v>0.1</v>
      </c>
      <c r="AO492" s="5" t="s">
        <v>174</v>
      </c>
      <c r="AP492">
        <v>0</v>
      </c>
      <c r="AY492" s="5" t="s">
        <v>203</v>
      </c>
      <c r="AZ492" s="10">
        <v>0</v>
      </c>
      <c r="BA492" s="17"/>
      <c r="BB492" s="17"/>
      <c r="BD492" s="5" t="s">
        <v>244</v>
      </c>
      <c r="BE492">
        <v>0</v>
      </c>
      <c r="BI492" s="5" t="s">
        <v>256</v>
      </c>
      <c r="BJ492">
        <v>0</v>
      </c>
      <c r="BK492" s="17"/>
      <c r="BL492" s="17"/>
      <c r="BX492" s="61" t="s">
        <v>298</v>
      </c>
      <c r="BY492" s="62">
        <v>0</v>
      </c>
      <c r="CC492" s="5"/>
      <c r="CE492" s="30"/>
      <c r="CF492" s="17"/>
      <c r="CO492" s="17"/>
      <c r="CP492" s="17"/>
      <c r="CR492" s="5" t="s">
        <v>339</v>
      </c>
      <c r="CS492">
        <v>0</v>
      </c>
      <c r="CW492" s="61" t="s">
        <v>325</v>
      </c>
      <c r="CX492" s="62">
        <v>0</v>
      </c>
      <c r="CY492" s="63" t="s">
        <v>391</v>
      </c>
      <c r="CZ492" s="58">
        <f>AVERAGE(CX488:CX527)</f>
        <v>0.2</v>
      </c>
    </row>
    <row r="493" spans="1:104" x14ac:dyDescent="0.25">
      <c r="A493" s="5" t="s">
        <v>43</v>
      </c>
      <c r="B493" s="27">
        <v>0</v>
      </c>
      <c r="C493" s="30" t="s">
        <v>390</v>
      </c>
      <c r="D493" s="17">
        <f>VAR(B490:B512)</f>
        <v>4.3478260869565216E-2</v>
      </c>
      <c r="U493" s="5" t="s">
        <v>105</v>
      </c>
      <c r="V493">
        <v>0</v>
      </c>
      <c r="W493" s="17"/>
      <c r="X493" s="17"/>
      <c r="Z493" s="61" t="s">
        <v>93</v>
      </c>
      <c r="AA493" s="62">
        <v>0</v>
      </c>
      <c r="AB493" s="63" t="s">
        <v>392</v>
      </c>
      <c r="AC493" s="58">
        <f>STDEV(AA488:AA527)</f>
        <v>0.30382181012510001</v>
      </c>
      <c r="AY493" s="5" t="s">
        <v>204</v>
      </c>
      <c r="AZ493" s="10">
        <v>0</v>
      </c>
      <c r="BA493" s="17"/>
      <c r="BB493" s="17"/>
      <c r="BI493" s="5" t="s">
        <v>257</v>
      </c>
      <c r="BJ493">
        <v>0</v>
      </c>
      <c r="BK493" s="17"/>
      <c r="BL493" s="17"/>
      <c r="CC493" s="5"/>
      <c r="CE493" s="30"/>
      <c r="CF493" s="17"/>
      <c r="CO493" s="17"/>
      <c r="CP493" s="17"/>
      <c r="CR493" s="5" t="s">
        <v>340</v>
      </c>
      <c r="CS493">
        <v>0</v>
      </c>
      <c r="CW493" s="61" t="s">
        <v>326</v>
      </c>
      <c r="CX493" s="62">
        <v>0</v>
      </c>
      <c r="CY493" s="63" t="s">
        <v>392</v>
      </c>
      <c r="CZ493" s="58">
        <f>STDEV(CX488:CX527)</f>
        <v>0.40509574683346666</v>
      </c>
    </row>
    <row r="494" spans="1:104" x14ac:dyDescent="0.25">
      <c r="A494" s="5" t="s">
        <v>44</v>
      </c>
      <c r="B494" s="27">
        <v>1</v>
      </c>
      <c r="C494" s="30" t="s">
        <v>391</v>
      </c>
      <c r="D494" s="17">
        <f>AVERAGE(B490:B512)</f>
        <v>4.3478260869565216E-2</v>
      </c>
      <c r="U494" s="5" t="s">
        <v>106</v>
      </c>
      <c r="V494">
        <v>0</v>
      </c>
      <c r="W494" s="17"/>
      <c r="X494" s="17"/>
      <c r="Z494" s="61" t="s">
        <v>94</v>
      </c>
      <c r="AA494" s="62">
        <v>1</v>
      </c>
      <c r="AB494" s="58"/>
      <c r="AC494" s="58"/>
      <c r="AO494" s="17" t="s">
        <v>382</v>
      </c>
      <c r="AP494" s="29" t="s">
        <v>368</v>
      </c>
      <c r="AQ494" s="17"/>
      <c r="AR494" s="17">
        <v>2016</v>
      </c>
      <c r="AY494" s="5" t="s">
        <v>205</v>
      </c>
      <c r="AZ494" s="10">
        <v>0</v>
      </c>
      <c r="BA494" s="17"/>
      <c r="BB494" s="17"/>
      <c r="BD494" s="17" t="s">
        <v>382</v>
      </c>
      <c r="BE494" s="29" t="s">
        <v>371</v>
      </c>
      <c r="BF494" s="17"/>
      <c r="BG494" s="17">
        <v>2016</v>
      </c>
      <c r="BI494" s="5" t="s">
        <v>258</v>
      </c>
      <c r="BJ494">
        <v>0</v>
      </c>
      <c r="BK494" s="17"/>
      <c r="BL494" s="17"/>
      <c r="BX494" s="58" t="s">
        <v>382</v>
      </c>
      <c r="BY494" s="59" t="s">
        <v>628</v>
      </c>
      <c r="BZ494" s="58"/>
      <c r="CA494" s="58">
        <v>2016</v>
      </c>
      <c r="CC494" s="5"/>
      <c r="CE494" s="30"/>
      <c r="CF494" s="17"/>
      <c r="CO494" s="17"/>
      <c r="CP494" s="17"/>
      <c r="CR494" s="5" t="s">
        <v>341</v>
      </c>
      <c r="CS494">
        <v>0</v>
      </c>
      <c r="CW494" s="61" t="s">
        <v>327</v>
      </c>
      <c r="CX494" s="62">
        <v>1</v>
      </c>
      <c r="CY494" s="58"/>
      <c r="CZ494" s="58"/>
    </row>
    <row r="495" spans="1:104" x14ac:dyDescent="0.25">
      <c r="A495" s="5" t="s">
        <v>45</v>
      </c>
      <c r="B495" s="27">
        <v>0</v>
      </c>
      <c r="C495" s="30" t="s">
        <v>392</v>
      </c>
      <c r="D495" s="17">
        <f>STDEV(B490:B512)</f>
        <v>0.20851441405707477</v>
      </c>
      <c r="U495" s="5" t="s">
        <v>61</v>
      </c>
      <c r="V495">
        <v>0</v>
      </c>
      <c r="W495" s="17"/>
      <c r="X495" s="17"/>
      <c r="Z495" s="61" t="s">
        <v>96</v>
      </c>
      <c r="AA495" s="62">
        <v>0</v>
      </c>
      <c r="AO495" s="17" t="s">
        <v>383</v>
      </c>
      <c r="AP495" s="6" t="s">
        <v>30</v>
      </c>
      <c r="AQ495" s="17"/>
      <c r="AR495" s="17"/>
      <c r="AY495" s="5" t="s">
        <v>206</v>
      </c>
      <c r="AZ495" s="10">
        <v>0</v>
      </c>
      <c r="BA495" s="17"/>
      <c r="BB495" s="17"/>
      <c r="BD495" s="17" t="s">
        <v>383</v>
      </c>
      <c r="BE495" s="6" t="s">
        <v>36</v>
      </c>
      <c r="BF495" s="17"/>
      <c r="BG495" s="17"/>
      <c r="BI495" s="5" t="s">
        <v>259</v>
      </c>
      <c r="BJ495">
        <v>0</v>
      </c>
      <c r="BK495" s="17"/>
      <c r="BL495" s="17"/>
      <c r="BX495" s="58" t="s">
        <v>383</v>
      </c>
      <c r="BY495" s="60" t="s">
        <v>30</v>
      </c>
      <c r="BZ495" s="58"/>
      <c r="CA495" s="58"/>
      <c r="CC495" s="5"/>
      <c r="CE495" s="30"/>
      <c r="CF495" s="17"/>
      <c r="CO495" s="17"/>
      <c r="CP495" s="17"/>
      <c r="CR495" s="5" t="s">
        <v>342</v>
      </c>
      <c r="CS495">
        <v>0</v>
      </c>
      <c r="CW495" s="61" t="s">
        <v>328</v>
      </c>
      <c r="CX495" s="62">
        <v>0</v>
      </c>
    </row>
    <row r="496" spans="1:104" x14ac:dyDescent="0.25">
      <c r="A496" s="5" t="s">
        <v>47</v>
      </c>
      <c r="B496" s="27">
        <v>0</v>
      </c>
      <c r="C496" s="17"/>
      <c r="D496" s="17"/>
      <c r="U496" s="5" t="s">
        <v>107</v>
      </c>
      <c r="V496">
        <v>0</v>
      </c>
      <c r="W496" s="17"/>
      <c r="X496" s="17"/>
      <c r="Z496" s="61" t="s">
        <v>97</v>
      </c>
      <c r="AA496" s="62">
        <v>0</v>
      </c>
      <c r="AO496" s="17" t="s">
        <v>384</v>
      </c>
      <c r="AP496" s="17" t="s">
        <v>39</v>
      </c>
      <c r="AQ496" s="17" t="s">
        <v>385</v>
      </c>
      <c r="AR496" s="17" t="s">
        <v>386</v>
      </c>
      <c r="AY496" s="5" t="s">
        <v>207</v>
      </c>
      <c r="AZ496" s="10">
        <v>0</v>
      </c>
      <c r="BA496" s="17"/>
      <c r="BB496" s="17"/>
      <c r="BD496" s="17" t="s">
        <v>384</v>
      </c>
      <c r="BE496" s="17" t="s">
        <v>39</v>
      </c>
      <c r="BF496" s="17" t="s">
        <v>385</v>
      </c>
      <c r="BG496" s="17" t="s">
        <v>386</v>
      </c>
      <c r="BI496" s="5" t="s">
        <v>260</v>
      </c>
      <c r="BJ496">
        <v>0</v>
      </c>
      <c r="BK496" s="17"/>
      <c r="BL496" s="17"/>
      <c r="BX496" s="58" t="s">
        <v>384</v>
      </c>
      <c r="BY496" s="58" t="s">
        <v>39</v>
      </c>
      <c r="BZ496" s="58" t="s">
        <v>385</v>
      </c>
      <c r="CA496" s="58" t="s">
        <v>386</v>
      </c>
      <c r="CC496" s="5"/>
      <c r="CE496" s="17"/>
      <c r="CF496" s="17"/>
      <c r="CO496" s="17"/>
      <c r="CP496" s="17"/>
      <c r="CR496" s="5" t="s">
        <v>343</v>
      </c>
      <c r="CS496">
        <v>0</v>
      </c>
      <c r="CW496" s="61" t="s">
        <v>329</v>
      </c>
      <c r="CX496" s="62">
        <v>0</v>
      </c>
    </row>
    <row r="497" spans="1:102" x14ac:dyDescent="0.25">
      <c r="A497" s="5" t="s">
        <v>48</v>
      </c>
      <c r="B497" s="27">
        <v>0</v>
      </c>
      <c r="C497" s="17"/>
      <c r="D497" s="17"/>
      <c r="U497" s="5" t="s">
        <v>108</v>
      </c>
      <c r="V497">
        <v>0</v>
      </c>
      <c r="W497" s="17"/>
      <c r="X497" s="17"/>
      <c r="Z497" s="61" t="s">
        <v>98</v>
      </c>
      <c r="AA497" s="62">
        <v>0</v>
      </c>
      <c r="AO497" s="5" t="s">
        <v>149</v>
      </c>
      <c r="AP497">
        <v>0</v>
      </c>
      <c r="AQ497" s="30" t="s">
        <v>387</v>
      </c>
      <c r="AR497" s="17">
        <f>SUM(AP497:AP521)</f>
        <v>1</v>
      </c>
      <c r="AY497" s="5" t="s">
        <v>208</v>
      </c>
      <c r="AZ497" s="10">
        <v>2</v>
      </c>
      <c r="BA497" s="15"/>
      <c r="BB497" s="15"/>
      <c r="BD497" s="5" t="s">
        <v>221</v>
      </c>
      <c r="BE497">
        <v>0</v>
      </c>
      <c r="BF497" s="30" t="s">
        <v>387</v>
      </c>
      <c r="BG497" s="17">
        <f>SUM(BE497:BE521)</f>
        <v>1</v>
      </c>
      <c r="BI497" s="5" t="s">
        <v>261</v>
      </c>
      <c r="BJ497">
        <v>0</v>
      </c>
      <c r="BK497" s="15"/>
      <c r="BL497" s="15"/>
      <c r="BX497" s="61" t="s">
        <v>274</v>
      </c>
      <c r="BY497" s="62">
        <v>0</v>
      </c>
      <c r="BZ497" s="63" t="s">
        <v>387</v>
      </c>
      <c r="CA497" s="58">
        <f>SUM(BY497:BY521)</f>
        <v>2</v>
      </c>
      <c r="CC497" s="5"/>
      <c r="CE497" s="17"/>
      <c r="CF497" s="17"/>
      <c r="CO497" s="17"/>
      <c r="CP497" s="17"/>
      <c r="CR497" s="5" t="s">
        <v>344</v>
      </c>
      <c r="CS497">
        <v>0</v>
      </c>
      <c r="CW497" s="61" t="s">
        <v>330</v>
      </c>
      <c r="CX497" s="62">
        <v>0</v>
      </c>
    </row>
    <row r="498" spans="1:102" x14ac:dyDescent="0.25">
      <c r="A498" s="5" t="s">
        <v>49</v>
      </c>
      <c r="B498" s="27">
        <v>0</v>
      </c>
      <c r="C498" s="17"/>
      <c r="D498" s="17"/>
      <c r="U498" s="5" t="s">
        <v>109</v>
      </c>
      <c r="V498">
        <v>0</v>
      </c>
      <c r="W498" s="17"/>
      <c r="X498" s="17"/>
      <c r="Z498" s="61" t="s">
        <v>99</v>
      </c>
      <c r="AA498" s="62">
        <v>0</v>
      </c>
      <c r="AO498" s="5" t="s">
        <v>150</v>
      </c>
      <c r="AP498">
        <v>0</v>
      </c>
      <c r="AQ498" s="30" t="s">
        <v>388</v>
      </c>
      <c r="AR498" s="17">
        <f>MIN(AP497:AP521)</f>
        <v>0</v>
      </c>
      <c r="AY498" s="5" t="s">
        <v>209</v>
      </c>
      <c r="AZ498" s="10">
        <v>0</v>
      </c>
      <c r="BD498" s="5" t="s">
        <v>222</v>
      </c>
      <c r="BE498">
        <v>0</v>
      </c>
      <c r="BF498" s="30" t="s">
        <v>388</v>
      </c>
      <c r="BG498" s="17">
        <f>MIN(BE497:BE521)</f>
        <v>0</v>
      </c>
      <c r="BI498" s="5" t="s">
        <v>262</v>
      </c>
      <c r="BJ498">
        <v>0</v>
      </c>
      <c r="BX498" s="61" t="s">
        <v>275</v>
      </c>
      <c r="BY498" s="62">
        <v>0</v>
      </c>
      <c r="BZ498" s="63" t="s">
        <v>388</v>
      </c>
      <c r="CA498" s="58">
        <f>MIN(BY497:BY521)</f>
        <v>0</v>
      </c>
      <c r="CC498" s="5"/>
      <c r="CE498" s="17"/>
      <c r="CF498" s="17"/>
      <c r="CO498" s="17"/>
      <c r="CP498" s="17"/>
      <c r="CR498" s="5" t="s">
        <v>345</v>
      </c>
      <c r="CS498">
        <v>0</v>
      </c>
      <c r="CW498" s="61" t="s">
        <v>331</v>
      </c>
      <c r="CX498" s="62">
        <v>0</v>
      </c>
    </row>
    <row r="499" spans="1:102" x14ac:dyDescent="0.25">
      <c r="A499" s="5" t="s">
        <v>50</v>
      </c>
      <c r="B499" s="27">
        <v>0</v>
      </c>
      <c r="C499" s="17"/>
      <c r="D499" s="17"/>
      <c r="U499" s="5" t="s">
        <v>110</v>
      </c>
      <c r="V499">
        <v>1</v>
      </c>
      <c r="W499" s="17"/>
      <c r="X499" s="17"/>
      <c r="Z499" s="61" t="s">
        <v>100</v>
      </c>
      <c r="AA499" s="62">
        <v>0</v>
      </c>
      <c r="AO499" s="5" t="s">
        <v>151</v>
      </c>
      <c r="AP499">
        <v>0</v>
      </c>
      <c r="AQ499" s="30" t="s">
        <v>389</v>
      </c>
      <c r="AR499" s="17">
        <f>MAX(AP497:AP521)</f>
        <v>1</v>
      </c>
      <c r="AY499" s="5" t="s">
        <v>210</v>
      </c>
      <c r="AZ499" s="10">
        <v>0</v>
      </c>
      <c r="BD499" s="5" t="s">
        <v>223</v>
      </c>
      <c r="BE499">
        <v>0</v>
      </c>
      <c r="BF499" s="30" t="s">
        <v>389</v>
      </c>
      <c r="BG499" s="17">
        <f>MAX(BE497:BE521)</f>
        <v>1</v>
      </c>
      <c r="BI499" s="5" t="s">
        <v>263</v>
      </c>
      <c r="BJ499">
        <v>1</v>
      </c>
      <c r="BX499" s="61" t="s">
        <v>276</v>
      </c>
      <c r="BY499" s="62">
        <v>0</v>
      </c>
      <c r="BZ499" s="63" t="s">
        <v>389</v>
      </c>
      <c r="CA499" s="58">
        <f>MAX(BY497:BY521)</f>
        <v>1</v>
      </c>
      <c r="CC499" s="5"/>
      <c r="CE499" s="17"/>
      <c r="CF499" s="17"/>
      <c r="CO499" s="17"/>
      <c r="CP499" s="17"/>
      <c r="CR499" s="5" t="s">
        <v>346</v>
      </c>
      <c r="CS499">
        <v>0</v>
      </c>
      <c r="CW499" s="61" t="s">
        <v>332</v>
      </c>
      <c r="CX499" s="62">
        <v>0</v>
      </c>
    </row>
    <row r="500" spans="1:102" x14ac:dyDescent="0.25">
      <c r="A500" s="5" t="s">
        <v>51</v>
      </c>
      <c r="B500" s="27">
        <v>0</v>
      </c>
      <c r="C500" s="17"/>
      <c r="D500" s="17"/>
      <c r="U500" s="5" t="s">
        <v>111</v>
      </c>
      <c r="V500">
        <v>0</v>
      </c>
      <c r="W500" s="17"/>
      <c r="X500" s="17"/>
      <c r="Z500" s="61" t="s">
        <v>101</v>
      </c>
      <c r="AA500" s="62">
        <v>0</v>
      </c>
      <c r="AO500" s="5" t="s">
        <v>152</v>
      </c>
      <c r="AP500">
        <v>0</v>
      </c>
      <c r="AQ500" s="30" t="s">
        <v>390</v>
      </c>
      <c r="AR500" s="17">
        <f>VAR(AP497:AP521)</f>
        <v>0.04</v>
      </c>
      <c r="AY500" s="5" t="s">
        <v>211</v>
      </c>
      <c r="AZ500" s="10">
        <v>0</v>
      </c>
      <c r="BD500" s="5" t="s">
        <v>224</v>
      </c>
      <c r="BE500">
        <v>0</v>
      </c>
      <c r="BF500" s="30" t="s">
        <v>390</v>
      </c>
      <c r="BG500" s="17">
        <f>VAR(BE497:BE521)</f>
        <v>0.04</v>
      </c>
      <c r="BI500" s="5" t="s">
        <v>264</v>
      </c>
      <c r="BJ500">
        <v>0</v>
      </c>
      <c r="BX500" s="61" t="s">
        <v>277</v>
      </c>
      <c r="BY500" s="62">
        <v>0</v>
      </c>
      <c r="BZ500" s="63" t="s">
        <v>390</v>
      </c>
      <c r="CA500" s="58">
        <f>VAR(BY497:BY521)</f>
        <v>7.6666666666666675E-2</v>
      </c>
      <c r="CC500" s="5"/>
      <c r="CE500" s="17"/>
      <c r="CF500" s="17"/>
      <c r="CO500" s="17"/>
      <c r="CP500" s="17"/>
      <c r="CR500" s="5" t="s">
        <v>347</v>
      </c>
      <c r="CS500">
        <v>0</v>
      </c>
      <c r="CW500" s="61" t="s">
        <v>333</v>
      </c>
      <c r="CX500" s="62">
        <v>0</v>
      </c>
    </row>
    <row r="501" spans="1:102" x14ac:dyDescent="0.25">
      <c r="A501" s="5" t="s">
        <v>52</v>
      </c>
      <c r="B501" s="27">
        <v>0</v>
      </c>
      <c r="C501" s="17"/>
      <c r="D501" s="17"/>
      <c r="U501" s="5" t="s">
        <v>112</v>
      </c>
      <c r="V501">
        <v>0</v>
      </c>
      <c r="W501" s="17"/>
      <c r="X501" s="17"/>
      <c r="Z501" s="61" t="s">
        <v>103</v>
      </c>
      <c r="AA501" s="62">
        <v>0</v>
      </c>
      <c r="AO501" s="5" t="s">
        <v>153</v>
      </c>
      <c r="AP501">
        <v>0</v>
      </c>
      <c r="AQ501" s="30" t="s">
        <v>391</v>
      </c>
      <c r="AR501" s="17">
        <f>AVERAGE(AP497:AP521)</f>
        <v>0.04</v>
      </c>
      <c r="AY501" s="5" t="s">
        <v>212</v>
      </c>
      <c r="AZ501" s="10">
        <v>0</v>
      </c>
      <c r="BD501" s="5" t="s">
        <v>225</v>
      </c>
      <c r="BE501">
        <v>0</v>
      </c>
      <c r="BF501" s="30" t="s">
        <v>391</v>
      </c>
      <c r="BG501" s="17">
        <f>AVERAGE(BE497:BE521)</f>
        <v>0.04</v>
      </c>
      <c r="BI501" s="5" t="s">
        <v>265</v>
      </c>
      <c r="BJ501">
        <v>0</v>
      </c>
      <c r="BX501" s="61" t="s">
        <v>279</v>
      </c>
      <c r="BY501" s="62">
        <v>1</v>
      </c>
      <c r="BZ501" s="63" t="s">
        <v>391</v>
      </c>
      <c r="CA501" s="58">
        <f>AVERAGE(BY497:BY521)</f>
        <v>0.08</v>
      </c>
      <c r="CC501" s="5"/>
      <c r="CE501" s="17"/>
      <c r="CF501" s="17"/>
      <c r="CR501" s="5" t="s">
        <v>348</v>
      </c>
      <c r="CS501">
        <v>1</v>
      </c>
      <c r="CW501" s="61" t="s">
        <v>334</v>
      </c>
      <c r="CX501" s="62">
        <v>0</v>
      </c>
    </row>
    <row r="502" spans="1:102" x14ac:dyDescent="0.25">
      <c r="A502" s="5" t="s">
        <v>53</v>
      </c>
      <c r="B502" s="27">
        <v>0</v>
      </c>
      <c r="C502" s="17"/>
      <c r="D502" s="17"/>
      <c r="U502" s="5" t="s">
        <v>113</v>
      </c>
      <c r="V502">
        <v>0</v>
      </c>
      <c r="W502" s="15"/>
      <c r="X502" s="15"/>
      <c r="Z502" s="61" t="s">
        <v>104</v>
      </c>
      <c r="AA502" s="62">
        <v>0</v>
      </c>
      <c r="AO502" s="5" t="s">
        <v>154</v>
      </c>
      <c r="AP502">
        <v>0</v>
      </c>
      <c r="AQ502" s="30" t="s">
        <v>392</v>
      </c>
      <c r="AR502" s="17">
        <f>STDEV(AP497:AP521)</f>
        <v>0.2</v>
      </c>
      <c r="AY502" s="5" t="s">
        <v>213</v>
      </c>
      <c r="AZ502" s="10">
        <v>0</v>
      </c>
      <c r="BD502" s="5" t="s">
        <v>226</v>
      </c>
      <c r="BE502">
        <v>0</v>
      </c>
      <c r="BF502" s="30" t="s">
        <v>392</v>
      </c>
      <c r="BG502" s="17">
        <f>STDEV(BE497:BE521)</f>
        <v>0.2</v>
      </c>
      <c r="BI502" s="5" t="s">
        <v>266</v>
      </c>
      <c r="BJ502">
        <v>0</v>
      </c>
      <c r="BX502" s="61" t="s">
        <v>278</v>
      </c>
      <c r="BY502" s="62">
        <v>0</v>
      </c>
      <c r="BZ502" s="63" t="s">
        <v>392</v>
      </c>
      <c r="CA502" s="58">
        <f>STDEV(BY497:BY521)</f>
        <v>0.27688746209726917</v>
      </c>
      <c r="CC502" s="5"/>
      <c r="CE502" s="17"/>
      <c r="CF502" s="17"/>
      <c r="CR502" s="5" t="s">
        <v>349</v>
      </c>
      <c r="CS502">
        <v>0</v>
      </c>
      <c r="CW502" s="61" t="s">
        <v>335</v>
      </c>
      <c r="CX502" s="62">
        <v>1</v>
      </c>
    </row>
    <row r="503" spans="1:102" x14ac:dyDescent="0.25">
      <c r="A503" s="5" t="s">
        <v>54</v>
      </c>
      <c r="B503" s="27">
        <v>0</v>
      </c>
      <c r="C503" s="17"/>
      <c r="D503" s="17"/>
      <c r="U503" s="26" t="s">
        <v>114</v>
      </c>
      <c r="V503">
        <v>0</v>
      </c>
      <c r="W503" s="17"/>
      <c r="X503" s="17"/>
      <c r="Z503" s="61" t="s">
        <v>105</v>
      </c>
      <c r="AA503" s="62">
        <v>0</v>
      </c>
      <c r="AO503" s="5" t="s">
        <v>155</v>
      </c>
      <c r="AP503">
        <v>0</v>
      </c>
      <c r="AQ503" s="17"/>
      <c r="AR503" s="17"/>
      <c r="AY503" s="5" t="s">
        <v>214</v>
      </c>
      <c r="AZ503" s="10">
        <v>0</v>
      </c>
      <c r="BD503" s="5" t="s">
        <v>227</v>
      </c>
      <c r="BE503">
        <v>0</v>
      </c>
      <c r="BF503" s="17"/>
      <c r="BG503" s="17"/>
      <c r="BI503" s="5" t="s">
        <v>267</v>
      </c>
      <c r="BJ503">
        <v>0</v>
      </c>
      <c r="BX503" s="61" t="s">
        <v>280</v>
      </c>
      <c r="BY503" s="62">
        <v>0</v>
      </c>
      <c r="BZ503" s="58"/>
      <c r="CA503" s="58"/>
      <c r="CC503" s="5"/>
      <c r="CE503" s="17"/>
      <c r="CF503" s="17"/>
      <c r="CR503" s="5" t="s">
        <v>350</v>
      </c>
      <c r="CS503">
        <v>0</v>
      </c>
      <c r="CW503" s="61" t="s">
        <v>43</v>
      </c>
      <c r="CX503" s="62">
        <v>0</v>
      </c>
    </row>
    <row r="504" spans="1:102" x14ac:dyDescent="0.25">
      <c r="A504" s="5" t="s">
        <v>55</v>
      </c>
      <c r="B504" s="27">
        <v>0</v>
      </c>
      <c r="C504" s="17"/>
      <c r="D504" s="17"/>
      <c r="U504" s="26" t="s">
        <v>115</v>
      </c>
      <c r="V504">
        <v>0</v>
      </c>
      <c r="W504" s="17"/>
      <c r="X504" s="17"/>
      <c r="Z504" s="61" t="s">
        <v>106</v>
      </c>
      <c r="AA504" s="62">
        <v>0</v>
      </c>
      <c r="AO504" s="5" t="s">
        <v>156</v>
      </c>
      <c r="AP504">
        <v>0</v>
      </c>
      <c r="AQ504" s="17"/>
      <c r="AR504" s="17"/>
      <c r="AY504" s="5" t="s">
        <v>215</v>
      </c>
      <c r="AZ504" s="10">
        <v>0</v>
      </c>
      <c r="BD504" s="5" t="s">
        <v>228</v>
      </c>
      <c r="BE504">
        <v>0</v>
      </c>
      <c r="BF504" s="17"/>
      <c r="BG504" s="17"/>
      <c r="BI504" s="5" t="s">
        <v>268</v>
      </c>
      <c r="BJ504">
        <v>0</v>
      </c>
      <c r="BX504" s="61" t="s">
        <v>281</v>
      </c>
      <c r="BY504" s="62">
        <v>0</v>
      </c>
      <c r="BZ504" s="58"/>
      <c r="CA504" s="58"/>
      <c r="CC504" s="5"/>
      <c r="CE504" s="17"/>
      <c r="CF504" s="17"/>
      <c r="CR504" s="5" t="s">
        <v>351</v>
      </c>
      <c r="CS504">
        <v>0</v>
      </c>
      <c r="CW504" s="61" t="s">
        <v>336</v>
      </c>
      <c r="CX504" s="62">
        <v>1</v>
      </c>
    </row>
    <row r="505" spans="1:102" x14ac:dyDescent="0.25">
      <c r="A505" s="5" t="s">
        <v>56</v>
      </c>
      <c r="B505" s="27">
        <v>0</v>
      </c>
      <c r="C505" s="17"/>
      <c r="D505" s="17"/>
      <c r="U505" s="26" t="s">
        <v>116</v>
      </c>
      <c r="V505">
        <v>0</v>
      </c>
      <c r="W505" s="17"/>
      <c r="X505" s="1"/>
      <c r="Z505" s="61" t="s">
        <v>61</v>
      </c>
      <c r="AA505" s="62">
        <v>0</v>
      </c>
      <c r="AO505" s="5" t="s">
        <v>157</v>
      </c>
      <c r="AP505">
        <v>0</v>
      </c>
      <c r="AQ505" s="17"/>
      <c r="AR505" s="17"/>
      <c r="AY505" s="5" t="s">
        <v>216</v>
      </c>
      <c r="AZ505" s="10">
        <v>0</v>
      </c>
      <c r="BD505" s="5" t="s">
        <v>229</v>
      </c>
      <c r="BE505">
        <v>1</v>
      </c>
      <c r="BF505" s="17"/>
      <c r="BG505" s="17"/>
      <c r="BI505" s="5" t="s">
        <v>269</v>
      </c>
      <c r="BJ505">
        <v>0</v>
      </c>
      <c r="BX505" s="61" t="s">
        <v>282</v>
      </c>
      <c r="BY505" s="62">
        <v>1</v>
      </c>
      <c r="BZ505" s="58"/>
      <c r="CA505" s="58"/>
      <c r="CC505" s="5"/>
      <c r="CE505" s="17"/>
      <c r="CF505" s="17"/>
      <c r="CR505" s="5" t="s">
        <v>352</v>
      </c>
      <c r="CS505">
        <v>0</v>
      </c>
      <c r="CW505" s="61" t="s">
        <v>337</v>
      </c>
      <c r="CX505" s="62">
        <v>0</v>
      </c>
    </row>
    <row r="506" spans="1:102" x14ac:dyDescent="0.25">
      <c r="A506" s="5" t="s">
        <v>57</v>
      </c>
      <c r="B506" s="27">
        <v>0</v>
      </c>
      <c r="C506" s="17"/>
      <c r="D506" s="17"/>
      <c r="U506" s="26" t="s">
        <v>117</v>
      </c>
      <c r="V506">
        <v>0</v>
      </c>
      <c r="W506" s="17"/>
      <c r="X506" s="1"/>
      <c r="Z506" s="61" t="s">
        <v>107</v>
      </c>
      <c r="AA506" s="62">
        <v>0</v>
      </c>
      <c r="AO506" s="5" t="s">
        <v>158</v>
      </c>
      <c r="AP506">
        <v>0</v>
      </c>
      <c r="AQ506" s="17"/>
      <c r="AR506" s="17"/>
      <c r="AY506" s="5" t="s">
        <v>217</v>
      </c>
      <c r="AZ506" s="10">
        <v>0</v>
      </c>
      <c r="BD506" s="5" t="s">
        <v>230</v>
      </c>
      <c r="BE506">
        <v>0</v>
      </c>
      <c r="BF506" s="17"/>
      <c r="BG506" s="17"/>
      <c r="BI506" s="5" t="s">
        <v>270</v>
      </c>
      <c r="BJ506">
        <v>0</v>
      </c>
      <c r="BX506" s="61" t="s">
        <v>283</v>
      </c>
      <c r="BY506" s="62">
        <v>0</v>
      </c>
      <c r="BZ506" s="58"/>
      <c r="CA506" s="58"/>
      <c r="CC506" s="5"/>
      <c r="CR506" s="5" t="s">
        <v>353</v>
      </c>
      <c r="CS506">
        <v>0</v>
      </c>
      <c r="CW506" s="61" t="s">
        <v>338</v>
      </c>
      <c r="CX506" s="62">
        <v>0</v>
      </c>
    </row>
    <row r="507" spans="1:102" x14ac:dyDescent="0.25">
      <c r="A507" s="5" t="s">
        <v>58</v>
      </c>
      <c r="B507" s="27">
        <v>0</v>
      </c>
      <c r="C507" s="15"/>
      <c r="D507" s="15"/>
      <c r="U507" s="26" t="s">
        <v>118</v>
      </c>
      <c r="V507">
        <v>0</v>
      </c>
      <c r="W507" s="17"/>
      <c r="X507" s="1"/>
      <c r="Z507" s="61" t="s">
        <v>108</v>
      </c>
      <c r="AA507" s="62">
        <v>0</v>
      </c>
      <c r="AO507" s="5" t="s">
        <v>159</v>
      </c>
      <c r="AP507">
        <v>0</v>
      </c>
      <c r="AQ507" s="17"/>
      <c r="AR507" s="17"/>
      <c r="AY507" s="5" t="s">
        <v>218</v>
      </c>
      <c r="AZ507" s="10">
        <v>0</v>
      </c>
      <c r="BD507" s="5" t="s">
        <v>231</v>
      </c>
      <c r="BE507">
        <v>0</v>
      </c>
      <c r="BF507" s="17"/>
      <c r="BG507" s="17"/>
      <c r="BI507" s="5" t="s">
        <v>271</v>
      </c>
      <c r="BJ507">
        <v>0</v>
      </c>
      <c r="BX507" s="61" t="s">
        <v>285</v>
      </c>
      <c r="BY507" s="62">
        <v>0</v>
      </c>
      <c r="BZ507" s="58"/>
      <c r="CA507" s="58"/>
      <c r="CC507" s="5"/>
      <c r="CR507" s="5" t="s">
        <v>354</v>
      </c>
      <c r="CS507">
        <v>0</v>
      </c>
      <c r="CW507" s="61" t="s">
        <v>339</v>
      </c>
      <c r="CX507" s="62">
        <v>0</v>
      </c>
    </row>
    <row r="508" spans="1:102" x14ac:dyDescent="0.25">
      <c r="A508" s="5" t="s">
        <v>60</v>
      </c>
      <c r="B508" s="27">
        <v>0</v>
      </c>
      <c r="C508" s="17"/>
      <c r="D508" s="17"/>
      <c r="U508" s="26" t="s">
        <v>119</v>
      </c>
      <c r="V508">
        <v>0</v>
      </c>
      <c r="Z508" s="61" t="s">
        <v>109</v>
      </c>
      <c r="AA508" s="62">
        <v>0</v>
      </c>
      <c r="AO508" s="5" t="s">
        <v>100</v>
      </c>
      <c r="AP508">
        <v>0</v>
      </c>
      <c r="AQ508" s="17"/>
      <c r="AR508" s="17"/>
      <c r="AY508" s="5" t="s">
        <v>219</v>
      </c>
      <c r="AZ508" s="10">
        <v>0</v>
      </c>
      <c r="BD508" s="5" t="s">
        <v>232</v>
      </c>
      <c r="BE508">
        <v>0</v>
      </c>
      <c r="BF508" s="17"/>
      <c r="BG508" s="17"/>
      <c r="BI508" s="5" t="s">
        <v>272</v>
      </c>
      <c r="BJ508">
        <v>0</v>
      </c>
      <c r="BX508" s="61" t="s">
        <v>284</v>
      </c>
      <c r="BY508" s="62">
        <v>0</v>
      </c>
      <c r="BZ508" s="58"/>
      <c r="CA508" s="58"/>
      <c r="CC508" s="5"/>
      <c r="CR508" s="5" t="s">
        <v>355</v>
      </c>
      <c r="CS508">
        <v>0</v>
      </c>
      <c r="CW508" s="61" t="s">
        <v>340</v>
      </c>
      <c r="CX508" s="62">
        <v>0</v>
      </c>
    </row>
    <row r="509" spans="1:102" x14ac:dyDescent="0.25">
      <c r="A509" s="5" t="s">
        <v>61</v>
      </c>
      <c r="B509" s="27">
        <v>0</v>
      </c>
      <c r="C509" s="17"/>
      <c r="D509" s="17"/>
      <c r="U509" s="5" t="s">
        <v>120</v>
      </c>
      <c r="V509">
        <v>2</v>
      </c>
      <c r="Z509" s="61" t="s">
        <v>110</v>
      </c>
      <c r="AA509" s="62">
        <v>0</v>
      </c>
      <c r="AO509" s="5" t="s">
        <v>161</v>
      </c>
      <c r="AP509">
        <v>0</v>
      </c>
      <c r="AQ509" s="17"/>
      <c r="AR509" s="17"/>
      <c r="AY509" s="5" t="s">
        <v>220</v>
      </c>
      <c r="AZ509" s="10">
        <v>0</v>
      </c>
      <c r="BD509" s="5" t="s">
        <v>233</v>
      </c>
      <c r="BE509">
        <v>0</v>
      </c>
      <c r="BF509" s="17"/>
      <c r="BG509" s="17"/>
      <c r="BI509" s="5" t="s">
        <v>273</v>
      </c>
      <c r="BJ509">
        <v>0</v>
      </c>
      <c r="BX509" s="61" t="s">
        <v>286</v>
      </c>
      <c r="BY509" s="62">
        <v>0</v>
      </c>
      <c r="BZ509" s="58"/>
      <c r="CA509" s="58"/>
      <c r="CC509" s="5"/>
      <c r="CR509" s="2" t="s">
        <v>356</v>
      </c>
      <c r="CS509">
        <v>0</v>
      </c>
      <c r="CW509" s="61" t="s">
        <v>341</v>
      </c>
      <c r="CX509" s="62">
        <v>1</v>
      </c>
    </row>
    <row r="510" spans="1:102" x14ac:dyDescent="0.25">
      <c r="A510" s="5" t="s">
        <v>62</v>
      </c>
      <c r="B510" s="27">
        <v>0</v>
      </c>
      <c r="C510" s="17"/>
      <c r="D510" s="1"/>
      <c r="U510" s="5" t="s">
        <v>121</v>
      </c>
      <c r="V510">
        <v>0</v>
      </c>
      <c r="Z510" s="61" t="s">
        <v>111</v>
      </c>
      <c r="AA510" s="62">
        <v>0</v>
      </c>
      <c r="AO510" s="5" t="s">
        <v>162</v>
      </c>
      <c r="AP510">
        <v>0</v>
      </c>
      <c r="AQ510" s="17"/>
      <c r="AR510" s="17"/>
      <c r="BD510" s="5" t="s">
        <v>234</v>
      </c>
      <c r="BE510">
        <v>0</v>
      </c>
      <c r="BF510" s="17"/>
      <c r="BG510" s="17"/>
      <c r="BX510" s="61" t="s">
        <v>287</v>
      </c>
      <c r="BY510" s="62">
        <v>0</v>
      </c>
      <c r="BZ510" s="58"/>
      <c r="CA510" s="58"/>
      <c r="CC510" s="5"/>
      <c r="CR510" s="2" t="s">
        <v>357</v>
      </c>
      <c r="CS510">
        <v>0</v>
      </c>
      <c r="CW510" s="61" t="s">
        <v>342</v>
      </c>
      <c r="CX510" s="62">
        <v>0</v>
      </c>
    </row>
    <row r="511" spans="1:102" x14ac:dyDescent="0.25">
      <c r="A511" s="5" t="s">
        <v>63</v>
      </c>
      <c r="B511" s="27">
        <v>0</v>
      </c>
      <c r="C511" s="17"/>
      <c r="D511" s="1"/>
      <c r="U511" s="5" t="s">
        <v>122</v>
      </c>
      <c r="V511">
        <v>0</v>
      </c>
      <c r="Z511" s="61" t="s">
        <v>112</v>
      </c>
      <c r="AA511" s="62">
        <v>0</v>
      </c>
      <c r="AO511" s="5" t="s">
        <v>163</v>
      </c>
      <c r="AP511">
        <v>0</v>
      </c>
      <c r="AQ511" s="17"/>
      <c r="AR511" s="17"/>
      <c r="AY511" s="17" t="s">
        <v>382</v>
      </c>
      <c r="AZ511" s="29" t="s">
        <v>370</v>
      </c>
      <c r="BA511" s="17"/>
      <c r="BB511" s="17">
        <v>2016</v>
      </c>
      <c r="BD511" s="5" t="s">
        <v>157</v>
      </c>
      <c r="BE511">
        <v>0</v>
      </c>
      <c r="BF511" s="17"/>
      <c r="BG511" s="17"/>
      <c r="BI511" s="17" t="s">
        <v>382</v>
      </c>
      <c r="BJ511" s="29" t="s">
        <v>372</v>
      </c>
      <c r="BK511" s="17"/>
      <c r="BL511" s="17">
        <v>2016</v>
      </c>
      <c r="BX511" s="61" t="s">
        <v>288</v>
      </c>
      <c r="BY511" s="62">
        <v>0</v>
      </c>
      <c r="BZ511" s="58"/>
      <c r="CA511" s="58"/>
      <c r="CC511" s="5"/>
      <c r="CR511" s="2" t="s">
        <v>358</v>
      </c>
      <c r="CS511">
        <v>0</v>
      </c>
      <c r="CW511" s="61" t="s">
        <v>343</v>
      </c>
      <c r="CX511" s="62">
        <v>0</v>
      </c>
    </row>
    <row r="512" spans="1:102" x14ac:dyDescent="0.25">
      <c r="A512" s="5" t="s">
        <v>64</v>
      </c>
      <c r="B512" s="27">
        <v>0</v>
      </c>
      <c r="C512" s="17"/>
      <c r="D512" s="1"/>
      <c r="U512" s="5" t="s">
        <v>123</v>
      </c>
      <c r="V512">
        <v>1</v>
      </c>
      <c r="Z512" s="61" t="s">
        <v>113</v>
      </c>
      <c r="AA512" s="62">
        <v>0</v>
      </c>
      <c r="AO512" s="5" t="s">
        <v>164</v>
      </c>
      <c r="AP512">
        <v>0</v>
      </c>
      <c r="AQ512" s="17"/>
      <c r="AR512" s="17"/>
      <c r="AY512" s="17" t="s">
        <v>383</v>
      </c>
      <c r="AZ512" s="6" t="s">
        <v>30</v>
      </c>
      <c r="BA512" s="17"/>
      <c r="BB512" s="17"/>
      <c r="BD512" s="5" t="s">
        <v>235</v>
      </c>
      <c r="BE512">
        <v>0</v>
      </c>
      <c r="BF512" s="17"/>
      <c r="BG512" s="17"/>
      <c r="BI512" s="17" t="s">
        <v>383</v>
      </c>
      <c r="BJ512" s="6" t="s">
        <v>102</v>
      </c>
      <c r="BK512" s="17"/>
      <c r="BL512" s="17"/>
      <c r="BX512" s="61" t="s">
        <v>289</v>
      </c>
      <c r="BY512" s="62">
        <v>0</v>
      </c>
      <c r="BZ512" s="58"/>
      <c r="CA512" s="58"/>
      <c r="CC512" s="5"/>
      <c r="CR512" s="3" t="s">
        <v>359</v>
      </c>
      <c r="CS512">
        <v>0</v>
      </c>
      <c r="CW512" s="61" t="s">
        <v>344</v>
      </c>
      <c r="CX512" s="62">
        <v>0</v>
      </c>
    </row>
    <row r="513" spans="1:102" x14ac:dyDescent="0.25">
      <c r="U513" s="5" t="s">
        <v>124</v>
      </c>
      <c r="V513">
        <v>0</v>
      </c>
      <c r="Z513" s="64" t="s">
        <v>114</v>
      </c>
      <c r="AA513" s="62">
        <v>0</v>
      </c>
      <c r="AO513" s="5" t="s">
        <v>165</v>
      </c>
      <c r="AP513">
        <v>0</v>
      </c>
      <c r="AQ513" s="17"/>
      <c r="AR513" s="17"/>
      <c r="AY513" s="17" t="s">
        <v>384</v>
      </c>
      <c r="AZ513" s="17" t="s">
        <v>39</v>
      </c>
      <c r="BA513" s="17" t="s">
        <v>385</v>
      </c>
      <c r="BB513" s="17" t="s">
        <v>386</v>
      </c>
      <c r="BD513" s="5" t="s">
        <v>236</v>
      </c>
      <c r="BE513">
        <v>0</v>
      </c>
      <c r="BF513" s="17"/>
      <c r="BG513" s="17"/>
      <c r="BI513" s="17" t="s">
        <v>384</v>
      </c>
      <c r="BJ513" s="17" t="s">
        <v>39</v>
      </c>
      <c r="BK513" s="17" t="s">
        <v>385</v>
      </c>
      <c r="BL513" s="17" t="s">
        <v>386</v>
      </c>
      <c r="BX513" s="61" t="s">
        <v>290</v>
      </c>
      <c r="BY513" s="62">
        <v>0</v>
      </c>
      <c r="CW513" s="61" t="s">
        <v>345</v>
      </c>
      <c r="CX513" s="62">
        <v>0</v>
      </c>
    </row>
    <row r="514" spans="1:102" x14ac:dyDescent="0.25">
      <c r="A514" s="17" t="s">
        <v>382</v>
      </c>
      <c r="B514" s="29" t="s">
        <v>361</v>
      </c>
      <c r="C514" s="17"/>
      <c r="D514" s="17">
        <v>2016</v>
      </c>
      <c r="U514" s="5" t="s">
        <v>125</v>
      </c>
      <c r="V514">
        <v>0</v>
      </c>
      <c r="Z514" s="64" t="s">
        <v>115</v>
      </c>
      <c r="AA514" s="62">
        <v>1</v>
      </c>
      <c r="AO514" s="5" t="s">
        <v>166</v>
      </c>
      <c r="AP514">
        <v>0</v>
      </c>
      <c r="AQ514" s="15"/>
      <c r="AR514" s="15"/>
      <c r="AY514" s="5" t="s">
        <v>192</v>
      </c>
      <c r="AZ514">
        <v>0</v>
      </c>
      <c r="BA514" s="30" t="s">
        <v>387</v>
      </c>
      <c r="BB514" s="17">
        <f>SUM(AZ514:AZ543)</f>
        <v>2</v>
      </c>
      <c r="BD514" s="5" t="s">
        <v>237</v>
      </c>
      <c r="BE514">
        <v>0</v>
      </c>
      <c r="BF514" s="15"/>
      <c r="BG514" s="15"/>
      <c r="BI514" s="5" t="s">
        <v>245</v>
      </c>
      <c r="BJ514">
        <v>0</v>
      </c>
      <c r="BK514" s="30" t="s">
        <v>387</v>
      </c>
      <c r="BL514" s="17">
        <f>SUM(BJ514:BJ543)</f>
        <v>4</v>
      </c>
      <c r="BX514" s="61" t="s">
        <v>291</v>
      </c>
      <c r="BY514" s="62">
        <v>0</v>
      </c>
      <c r="CW514" s="61" t="s">
        <v>346</v>
      </c>
      <c r="CX514" s="62">
        <v>1</v>
      </c>
    </row>
    <row r="515" spans="1:102" x14ac:dyDescent="0.25">
      <c r="A515" s="17" t="s">
        <v>383</v>
      </c>
      <c r="B515" s="6" t="s">
        <v>37</v>
      </c>
      <c r="C515" s="17"/>
      <c r="D515" s="17"/>
      <c r="U515" s="5" t="s">
        <v>126</v>
      </c>
      <c r="V515">
        <v>0</v>
      </c>
      <c r="Z515" s="64" t="s">
        <v>116</v>
      </c>
      <c r="AA515" s="62">
        <v>0</v>
      </c>
      <c r="AO515" s="5" t="s">
        <v>168</v>
      </c>
      <c r="AP515">
        <v>0</v>
      </c>
      <c r="AQ515" s="17"/>
      <c r="AR515" s="17"/>
      <c r="AY515" s="5" t="s">
        <v>193</v>
      </c>
      <c r="AZ515">
        <v>0</v>
      </c>
      <c r="BA515" s="30" t="s">
        <v>388</v>
      </c>
      <c r="BB515" s="17">
        <f>MIN(AZ514:AZ543)</f>
        <v>0</v>
      </c>
      <c r="BD515" s="5" t="s">
        <v>238</v>
      </c>
      <c r="BE515">
        <v>0</v>
      </c>
      <c r="BI515" s="5" t="s">
        <v>73</v>
      </c>
      <c r="BJ515">
        <v>0</v>
      </c>
      <c r="BK515" s="30" t="s">
        <v>388</v>
      </c>
      <c r="BL515" s="17">
        <f>MIN(BJ514:BJ543)</f>
        <v>0</v>
      </c>
      <c r="BX515" s="61" t="s">
        <v>292</v>
      </c>
      <c r="BY515" s="62">
        <v>0</v>
      </c>
      <c r="CW515" s="61" t="s">
        <v>347</v>
      </c>
      <c r="CX515" s="62">
        <v>0</v>
      </c>
    </row>
    <row r="516" spans="1:102" x14ac:dyDescent="0.25">
      <c r="A516" s="17" t="s">
        <v>384</v>
      </c>
      <c r="B516" s="17" t="s">
        <v>39</v>
      </c>
      <c r="C516" s="17" t="s">
        <v>385</v>
      </c>
      <c r="D516" s="17" t="s">
        <v>386</v>
      </c>
      <c r="U516" s="5" t="s">
        <v>127</v>
      </c>
      <c r="V516">
        <v>0</v>
      </c>
      <c r="Z516" s="64" t="s">
        <v>117</v>
      </c>
      <c r="AA516" s="62">
        <v>0</v>
      </c>
      <c r="AO516" s="5" t="s">
        <v>169</v>
      </c>
      <c r="AP516">
        <v>1</v>
      </c>
      <c r="AQ516" s="17"/>
      <c r="AR516" s="17"/>
      <c r="AY516" s="5" t="s">
        <v>194</v>
      </c>
      <c r="AZ516">
        <v>0</v>
      </c>
      <c r="BA516" s="30" t="s">
        <v>389</v>
      </c>
      <c r="BB516" s="17">
        <f>MAX(AZ514:AZ543)</f>
        <v>1</v>
      </c>
      <c r="BD516" s="5" t="s">
        <v>239</v>
      </c>
      <c r="BE516">
        <v>0</v>
      </c>
      <c r="BI516" s="5" t="s">
        <v>246</v>
      </c>
      <c r="BJ516">
        <v>0</v>
      </c>
      <c r="BK516" s="30" t="s">
        <v>389</v>
      </c>
      <c r="BL516" s="17">
        <f>MAX(BJ514:BJ543)</f>
        <v>2</v>
      </c>
      <c r="BX516" s="61" t="s">
        <v>293</v>
      </c>
      <c r="BY516" s="62">
        <v>0</v>
      </c>
      <c r="CW516" s="61" t="s">
        <v>348</v>
      </c>
      <c r="CX516" s="62">
        <v>1</v>
      </c>
    </row>
    <row r="517" spans="1:102" x14ac:dyDescent="0.25">
      <c r="A517" s="5" t="s">
        <v>40</v>
      </c>
      <c r="B517">
        <v>14</v>
      </c>
      <c r="C517" s="30" t="s">
        <v>387</v>
      </c>
      <c r="D517" s="17">
        <f>SUM(B517:B539)</f>
        <v>87</v>
      </c>
      <c r="U517" s="5" t="s">
        <v>128</v>
      </c>
      <c r="V517">
        <v>0</v>
      </c>
      <c r="Z517" s="64" t="s">
        <v>118</v>
      </c>
      <c r="AA517" s="62">
        <v>0</v>
      </c>
      <c r="AO517" s="5" t="s">
        <v>170</v>
      </c>
      <c r="AP517">
        <v>0</v>
      </c>
      <c r="AQ517" s="17"/>
      <c r="AR517" s="1"/>
      <c r="AY517" s="5" t="s">
        <v>195</v>
      </c>
      <c r="AZ517">
        <v>0</v>
      </c>
      <c r="BA517" s="30" t="s">
        <v>390</v>
      </c>
      <c r="BB517" s="17">
        <f>VAR(AZ514:AZ543)</f>
        <v>6.4367816091954022E-2</v>
      </c>
      <c r="BD517" s="5" t="s">
        <v>240</v>
      </c>
      <c r="BE517">
        <v>0</v>
      </c>
      <c r="BI517" s="5" t="s">
        <v>247</v>
      </c>
      <c r="BJ517">
        <v>0</v>
      </c>
      <c r="BK517" s="30" t="s">
        <v>390</v>
      </c>
      <c r="BL517" s="17">
        <f>VAR(BJ514:BJ543)</f>
        <v>0.18850574712643678</v>
      </c>
      <c r="BX517" s="61" t="s">
        <v>294</v>
      </c>
      <c r="BY517" s="62">
        <v>0</v>
      </c>
      <c r="CW517" s="61" t="s">
        <v>349</v>
      </c>
      <c r="CX517" s="62">
        <v>0</v>
      </c>
    </row>
    <row r="518" spans="1:102" x14ac:dyDescent="0.25">
      <c r="A518" s="5" t="s">
        <v>41</v>
      </c>
      <c r="B518">
        <v>1</v>
      </c>
      <c r="C518" s="30" t="s">
        <v>388</v>
      </c>
      <c r="D518" s="17">
        <f>MIN(B517:B539)</f>
        <v>0</v>
      </c>
      <c r="Z518" s="64" t="s">
        <v>119</v>
      </c>
      <c r="AA518" s="62">
        <v>0</v>
      </c>
      <c r="AO518" s="5" t="s">
        <v>171</v>
      </c>
      <c r="AP518">
        <v>0</v>
      </c>
      <c r="AQ518" s="17"/>
      <c r="AR518" s="1"/>
      <c r="AY518" s="5" t="s">
        <v>196</v>
      </c>
      <c r="AZ518">
        <v>0</v>
      </c>
      <c r="BA518" s="30" t="s">
        <v>391</v>
      </c>
      <c r="BB518" s="17">
        <f>AVERAGE(AZ514:AZ543)</f>
        <v>6.6666666666666666E-2</v>
      </c>
      <c r="BD518" s="5" t="s">
        <v>241</v>
      </c>
      <c r="BE518">
        <v>0</v>
      </c>
      <c r="BI518" s="5" t="s">
        <v>248</v>
      </c>
      <c r="BJ518">
        <v>0</v>
      </c>
      <c r="BK518" s="30" t="s">
        <v>391</v>
      </c>
      <c r="BL518" s="17">
        <f>AVERAGE(BJ514:BJ543)</f>
        <v>0.13333333333333333</v>
      </c>
      <c r="BX518" s="61" t="s">
        <v>295</v>
      </c>
      <c r="BY518" s="62">
        <v>0</v>
      </c>
      <c r="CW518" s="61" t="s">
        <v>350</v>
      </c>
      <c r="CX518" s="62">
        <v>0</v>
      </c>
    </row>
    <row r="519" spans="1:102" x14ac:dyDescent="0.25">
      <c r="A519" s="5" t="s">
        <v>42</v>
      </c>
      <c r="B519">
        <v>1</v>
      </c>
      <c r="C519" s="30" t="s">
        <v>389</v>
      </c>
      <c r="D519" s="17">
        <f>MAX(B517:B539)</f>
        <v>14</v>
      </c>
      <c r="U519" s="17" t="s">
        <v>382</v>
      </c>
      <c r="V519" s="29" t="s">
        <v>400</v>
      </c>
      <c r="W519" s="17"/>
      <c r="X519" s="17">
        <v>2016</v>
      </c>
      <c r="Z519" s="61" t="s">
        <v>120</v>
      </c>
      <c r="AA519" s="62">
        <v>0</v>
      </c>
      <c r="AO519" s="5" t="s">
        <v>172</v>
      </c>
      <c r="AP519">
        <v>0</v>
      </c>
      <c r="AQ519" s="17"/>
      <c r="AR519" s="1"/>
      <c r="AY519" s="5" t="s">
        <v>197</v>
      </c>
      <c r="AZ519">
        <v>0</v>
      </c>
      <c r="BA519" s="30" t="s">
        <v>392</v>
      </c>
      <c r="BB519" s="17">
        <f>STDEV(AZ514:AZ543)</f>
        <v>0.25370813170246242</v>
      </c>
      <c r="BD519" s="5" t="s">
        <v>242</v>
      </c>
      <c r="BE519">
        <v>0</v>
      </c>
      <c r="BI519" s="5" t="s">
        <v>249</v>
      </c>
      <c r="BJ519">
        <v>0</v>
      </c>
      <c r="BK519" s="30" t="s">
        <v>392</v>
      </c>
      <c r="BL519" s="17">
        <f>STDEV(BJ514:BJ543)</f>
        <v>0.43417248545530474</v>
      </c>
      <c r="BX519" s="61" t="s">
        <v>296</v>
      </c>
      <c r="BY519" s="62">
        <v>0</v>
      </c>
      <c r="CM519" s="17" t="s">
        <v>382</v>
      </c>
      <c r="CN519" s="29" t="s">
        <v>442</v>
      </c>
      <c r="CO519" s="17"/>
      <c r="CP519" s="17">
        <v>2016</v>
      </c>
      <c r="CR519" s="17" t="s">
        <v>382</v>
      </c>
      <c r="CS519" s="29" t="s">
        <v>442</v>
      </c>
      <c r="CT519" s="17"/>
      <c r="CU519" s="17">
        <v>2016</v>
      </c>
      <c r="CW519" s="61" t="s">
        <v>351</v>
      </c>
      <c r="CX519" s="62">
        <v>0</v>
      </c>
    </row>
    <row r="520" spans="1:102" x14ac:dyDescent="0.25">
      <c r="A520" s="5" t="s">
        <v>43</v>
      </c>
      <c r="B520">
        <v>3</v>
      </c>
      <c r="C520" s="30" t="s">
        <v>390</v>
      </c>
      <c r="D520" s="17">
        <f>VAR(B517:B539)</f>
        <v>11.996047430830039</v>
      </c>
      <c r="U520" s="17" t="s">
        <v>383</v>
      </c>
      <c r="V520" s="6" t="s">
        <v>23</v>
      </c>
      <c r="W520" s="17"/>
      <c r="X520" s="17"/>
      <c r="Z520" s="61" t="s">
        <v>121</v>
      </c>
      <c r="AA520" s="62">
        <v>1</v>
      </c>
      <c r="AO520" s="5" t="s">
        <v>173</v>
      </c>
      <c r="AP520">
        <v>0</v>
      </c>
      <c r="AY520" s="5" t="s">
        <v>198</v>
      </c>
      <c r="AZ520">
        <v>0</v>
      </c>
      <c r="BA520" s="17"/>
      <c r="BB520" s="17"/>
      <c r="BD520" s="5" t="s">
        <v>243</v>
      </c>
      <c r="BE520">
        <v>0</v>
      </c>
      <c r="BI520" s="5" t="s">
        <v>250</v>
      </c>
      <c r="BJ520">
        <v>0</v>
      </c>
      <c r="BK520" s="17"/>
      <c r="BL520" s="17"/>
      <c r="BX520" s="61" t="s">
        <v>297</v>
      </c>
      <c r="BY520" s="62">
        <v>0</v>
      </c>
      <c r="CM520" s="17" t="s">
        <v>383</v>
      </c>
      <c r="CN520" s="28" t="s">
        <v>102</v>
      </c>
      <c r="CO520" s="15"/>
      <c r="CP520" s="17"/>
      <c r="CR520" s="17" t="s">
        <v>383</v>
      </c>
      <c r="CS520" s="28" t="s">
        <v>102</v>
      </c>
      <c r="CT520" s="15"/>
      <c r="CU520" s="17"/>
      <c r="CW520" s="61" t="s">
        <v>352</v>
      </c>
      <c r="CX520" s="62">
        <v>0</v>
      </c>
    </row>
    <row r="521" spans="1:102" x14ac:dyDescent="0.25">
      <c r="A521" s="5" t="s">
        <v>44</v>
      </c>
      <c r="B521">
        <v>6</v>
      </c>
      <c r="C521" s="30" t="s">
        <v>391</v>
      </c>
      <c r="D521" s="17">
        <f>AVERAGE(B517:B539)</f>
        <v>3.7826086956521738</v>
      </c>
      <c r="U521" s="17" t="s">
        <v>384</v>
      </c>
      <c r="V521" s="17" t="s">
        <v>39</v>
      </c>
      <c r="W521" s="17" t="s">
        <v>385</v>
      </c>
      <c r="X521" s="17" t="s">
        <v>386</v>
      </c>
      <c r="Z521" s="61" t="s">
        <v>122</v>
      </c>
      <c r="AA521" s="62">
        <v>0</v>
      </c>
      <c r="AO521" s="5" t="s">
        <v>174</v>
      </c>
      <c r="AP521">
        <v>0</v>
      </c>
      <c r="AY521" s="5" t="s">
        <v>161</v>
      </c>
      <c r="AZ521">
        <v>0</v>
      </c>
      <c r="BA521" s="17"/>
      <c r="BB521" s="17"/>
      <c r="BD521" s="5" t="s">
        <v>244</v>
      </c>
      <c r="BE521">
        <v>0</v>
      </c>
      <c r="BI521" s="5" t="s">
        <v>251</v>
      </c>
      <c r="BJ521">
        <v>0</v>
      </c>
      <c r="BK521" s="17"/>
      <c r="BL521" s="17"/>
      <c r="BX521" s="61" t="s">
        <v>298</v>
      </c>
      <c r="BY521" s="62">
        <v>0</v>
      </c>
      <c r="CM521" s="17" t="s">
        <v>384</v>
      </c>
      <c r="CN521" s="17" t="s">
        <v>39</v>
      </c>
      <c r="CO521" s="17" t="s">
        <v>385</v>
      </c>
      <c r="CP521" s="17" t="s">
        <v>386</v>
      </c>
      <c r="CR521" s="17" t="s">
        <v>384</v>
      </c>
      <c r="CS521" s="17" t="s">
        <v>39</v>
      </c>
      <c r="CT521" s="17" t="s">
        <v>385</v>
      </c>
      <c r="CU521" s="17" t="s">
        <v>386</v>
      </c>
      <c r="CW521" s="61" t="s">
        <v>353</v>
      </c>
      <c r="CX521" s="62">
        <v>0</v>
      </c>
    </row>
    <row r="522" spans="1:102" x14ac:dyDescent="0.25">
      <c r="A522" s="5" t="s">
        <v>45</v>
      </c>
      <c r="B522">
        <v>8</v>
      </c>
      <c r="C522" s="30" t="s">
        <v>392</v>
      </c>
      <c r="D522" s="17">
        <f>STDEV(B517:B539)</f>
        <v>3.4635310639331705</v>
      </c>
      <c r="U522" s="5" t="s">
        <v>96</v>
      </c>
      <c r="W522" s="30" t="s">
        <v>387</v>
      </c>
      <c r="X522" s="17">
        <f>SUM(V522:V554)</f>
        <v>8</v>
      </c>
      <c r="Z522" s="61" t="s">
        <v>123</v>
      </c>
      <c r="AA522" s="62">
        <v>0</v>
      </c>
      <c r="AY522" s="5" t="s">
        <v>199</v>
      </c>
      <c r="AZ522">
        <v>0</v>
      </c>
      <c r="BA522" s="17"/>
      <c r="BB522" s="17"/>
      <c r="BI522" s="5" t="s">
        <v>252</v>
      </c>
      <c r="BJ522">
        <v>0</v>
      </c>
      <c r="BK522" s="17"/>
      <c r="BL522" s="17"/>
      <c r="CM522" s="5" t="s">
        <v>328</v>
      </c>
      <c r="CN522">
        <v>0</v>
      </c>
      <c r="CO522" s="30" t="s">
        <v>387</v>
      </c>
      <c r="CP522" s="17">
        <f>SUM(CN522:CN554)</f>
        <v>1</v>
      </c>
      <c r="CR522" s="5" t="s">
        <v>333</v>
      </c>
      <c r="CS522">
        <v>0</v>
      </c>
      <c r="CT522" s="30" t="s">
        <v>387</v>
      </c>
      <c r="CU522" s="17">
        <f>SUM(CS522:CS549)</f>
        <v>2</v>
      </c>
      <c r="CW522" s="61" t="s">
        <v>354</v>
      </c>
      <c r="CX522" s="62">
        <v>0</v>
      </c>
    </row>
    <row r="523" spans="1:102" x14ac:dyDescent="0.25">
      <c r="A523" s="5" t="s">
        <v>47</v>
      </c>
      <c r="B523">
        <v>1</v>
      </c>
      <c r="C523" s="17"/>
      <c r="D523" s="17"/>
      <c r="U523" s="5" t="s">
        <v>97</v>
      </c>
      <c r="W523" s="30" t="s">
        <v>388</v>
      </c>
      <c r="X523" s="17">
        <f>MIN(V522:V554)</f>
        <v>1</v>
      </c>
      <c r="Z523" s="61" t="s">
        <v>124</v>
      </c>
      <c r="AA523" s="62">
        <v>0</v>
      </c>
      <c r="AO523" s="17" t="s">
        <v>382</v>
      </c>
      <c r="AP523" s="29" t="s">
        <v>368</v>
      </c>
      <c r="AQ523" s="17"/>
      <c r="AR523" s="17">
        <v>2016</v>
      </c>
      <c r="AY523" s="5" t="s">
        <v>200</v>
      </c>
      <c r="AZ523">
        <v>0</v>
      </c>
      <c r="BA523" s="17"/>
      <c r="BB523" s="17"/>
      <c r="BD523" s="17" t="s">
        <v>382</v>
      </c>
      <c r="BE523" s="29" t="s">
        <v>371</v>
      </c>
      <c r="BF523" s="17"/>
      <c r="BG523" s="17">
        <v>2016</v>
      </c>
      <c r="BI523" s="5" t="s">
        <v>253</v>
      </c>
      <c r="BJ523">
        <v>0</v>
      </c>
      <c r="BK523" s="17"/>
      <c r="BL523" s="17"/>
      <c r="BX523" s="58" t="s">
        <v>382</v>
      </c>
      <c r="BY523" s="59" t="s">
        <v>628</v>
      </c>
      <c r="BZ523" s="58"/>
      <c r="CA523" s="58">
        <v>2016</v>
      </c>
      <c r="CM523" s="5" t="s">
        <v>329</v>
      </c>
      <c r="CN523">
        <v>0</v>
      </c>
      <c r="CO523" s="30" t="s">
        <v>388</v>
      </c>
      <c r="CP523" s="17">
        <f>MIN(CN522:CN554)</f>
        <v>0</v>
      </c>
      <c r="CR523" s="5" t="s">
        <v>334</v>
      </c>
      <c r="CS523">
        <v>0</v>
      </c>
      <c r="CT523" s="30" t="s">
        <v>388</v>
      </c>
      <c r="CU523" s="17">
        <f>MIN(CS522:CS549)</f>
        <v>0</v>
      </c>
      <c r="CW523" s="61" t="s">
        <v>355</v>
      </c>
      <c r="CX523" s="62">
        <v>0</v>
      </c>
    </row>
    <row r="524" spans="1:102" x14ac:dyDescent="0.25">
      <c r="A524" s="5" t="s">
        <v>48</v>
      </c>
      <c r="B524">
        <v>2</v>
      </c>
      <c r="C524" s="17"/>
      <c r="D524" s="17"/>
      <c r="U524" s="5" t="s">
        <v>98</v>
      </c>
      <c r="W524" s="30" t="s">
        <v>389</v>
      </c>
      <c r="X524" s="17">
        <f>MAX(V522:V554)</f>
        <v>2</v>
      </c>
      <c r="Z524" s="61" t="s">
        <v>125</v>
      </c>
      <c r="AA524" s="62">
        <v>0</v>
      </c>
      <c r="AO524" s="17" t="s">
        <v>383</v>
      </c>
      <c r="AP524" s="6" t="s">
        <v>32</v>
      </c>
      <c r="AQ524" s="17"/>
      <c r="AR524" s="17"/>
      <c r="AY524" s="5" t="s">
        <v>201</v>
      </c>
      <c r="AZ524">
        <v>1</v>
      </c>
      <c r="BA524" s="17"/>
      <c r="BB524" s="17"/>
      <c r="BD524" s="17" t="s">
        <v>383</v>
      </c>
      <c r="BE524" s="6" t="s">
        <v>37</v>
      </c>
      <c r="BF524" s="17"/>
      <c r="BG524" s="17"/>
      <c r="BI524" s="5" t="s">
        <v>254</v>
      </c>
      <c r="BJ524">
        <v>0</v>
      </c>
      <c r="BK524" s="17"/>
      <c r="BL524" s="17"/>
      <c r="BX524" s="58" t="s">
        <v>383</v>
      </c>
      <c r="BY524" s="60" t="s">
        <v>32</v>
      </c>
      <c r="BZ524" s="58"/>
      <c r="CA524" s="58"/>
      <c r="CM524" s="5" t="s">
        <v>330</v>
      </c>
      <c r="CN524">
        <v>0</v>
      </c>
      <c r="CO524" s="30" t="s">
        <v>389</v>
      </c>
      <c r="CP524" s="17">
        <f>MAX(CN522:CN554)</f>
        <v>1</v>
      </c>
      <c r="CR524" s="5" t="s">
        <v>335</v>
      </c>
      <c r="CS524">
        <v>0</v>
      </c>
      <c r="CT524" s="30" t="s">
        <v>389</v>
      </c>
      <c r="CU524" s="17">
        <f>MAX(CS522:CS549)</f>
        <v>2</v>
      </c>
      <c r="CW524" s="66" t="s">
        <v>356</v>
      </c>
      <c r="CX524" s="62">
        <v>0</v>
      </c>
    </row>
    <row r="525" spans="1:102" x14ac:dyDescent="0.25">
      <c r="A525" s="5" t="s">
        <v>49</v>
      </c>
      <c r="B525">
        <v>8</v>
      </c>
      <c r="C525" s="17"/>
      <c r="D525" s="17"/>
      <c r="U525" s="5" t="s">
        <v>99</v>
      </c>
      <c r="W525" s="30" t="s">
        <v>390</v>
      </c>
      <c r="X525" s="17">
        <f>VAR(V522:V554)</f>
        <v>0.14285714285714293</v>
      </c>
      <c r="Z525" s="61" t="s">
        <v>126</v>
      </c>
      <c r="AA525" s="62">
        <v>0</v>
      </c>
      <c r="AO525" s="17" t="s">
        <v>384</v>
      </c>
      <c r="AP525" s="17" t="s">
        <v>39</v>
      </c>
      <c r="AQ525" s="17" t="s">
        <v>385</v>
      </c>
      <c r="AR525" s="17" t="s">
        <v>386</v>
      </c>
      <c r="AY525" s="5" t="s">
        <v>202</v>
      </c>
      <c r="AZ525">
        <v>0</v>
      </c>
      <c r="BA525" s="17"/>
      <c r="BB525" s="17"/>
      <c r="BD525" s="17" t="s">
        <v>384</v>
      </c>
      <c r="BE525" s="17" t="s">
        <v>39</v>
      </c>
      <c r="BF525" s="17" t="s">
        <v>385</v>
      </c>
      <c r="BG525" s="17" t="s">
        <v>386</v>
      </c>
      <c r="BI525" s="5" t="s">
        <v>255</v>
      </c>
      <c r="BJ525">
        <v>0</v>
      </c>
      <c r="BK525" s="17"/>
      <c r="BL525" s="17"/>
      <c r="BX525" s="58" t="s">
        <v>384</v>
      </c>
      <c r="BY525" s="58" t="s">
        <v>39</v>
      </c>
      <c r="BZ525" s="58" t="s">
        <v>385</v>
      </c>
      <c r="CA525" s="58" t="s">
        <v>386</v>
      </c>
      <c r="CM525" s="5" t="s">
        <v>331</v>
      </c>
      <c r="CN525">
        <v>0</v>
      </c>
      <c r="CO525" s="30" t="s">
        <v>390</v>
      </c>
      <c r="CP525" s="17">
        <f>VAR(CN522:CN554)</f>
        <v>0.2</v>
      </c>
      <c r="CR525" s="5" t="s">
        <v>43</v>
      </c>
      <c r="CS525">
        <v>0</v>
      </c>
      <c r="CT525" s="30" t="s">
        <v>390</v>
      </c>
      <c r="CU525" s="17">
        <f>VAR(CS522:CS549)</f>
        <v>0.14285714285714285</v>
      </c>
      <c r="CW525" s="66" t="s">
        <v>357</v>
      </c>
      <c r="CX525" s="62">
        <v>0</v>
      </c>
    </row>
    <row r="526" spans="1:102" x14ac:dyDescent="0.25">
      <c r="A526" s="5" t="s">
        <v>50</v>
      </c>
      <c r="B526">
        <v>7</v>
      </c>
      <c r="C526" s="17"/>
      <c r="D526" s="17"/>
      <c r="U526" s="5" t="s">
        <v>100</v>
      </c>
      <c r="V526">
        <v>1</v>
      </c>
      <c r="W526" s="30" t="s">
        <v>391</v>
      </c>
      <c r="X526" s="17">
        <f>AVERAGE(V522:V554)</f>
        <v>1.1428571428571428</v>
      </c>
      <c r="Z526" s="61" t="s">
        <v>127</v>
      </c>
      <c r="AA526" s="62">
        <v>0</v>
      </c>
      <c r="AO526" s="5" t="s">
        <v>149</v>
      </c>
      <c r="AP526">
        <v>28</v>
      </c>
      <c r="AQ526" s="30" t="s">
        <v>387</v>
      </c>
      <c r="AR526" s="17">
        <f>SUM(AP526:AP550)</f>
        <v>375</v>
      </c>
      <c r="AY526" s="5" t="s">
        <v>203</v>
      </c>
      <c r="AZ526">
        <v>0</v>
      </c>
      <c r="BA526" s="17"/>
      <c r="BB526" s="17"/>
      <c r="BD526" s="5" t="s">
        <v>221</v>
      </c>
      <c r="BE526">
        <v>2</v>
      </c>
      <c r="BF526" s="30" t="s">
        <v>387</v>
      </c>
      <c r="BG526" s="17">
        <f>SUM(BE526:BE550)</f>
        <v>85</v>
      </c>
      <c r="BI526" s="5" t="s">
        <v>256</v>
      </c>
      <c r="BJ526">
        <v>0</v>
      </c>
      <c r="BK526" s="17"/>
      <c r="BL526" s="17"/>
      <c r="BX526" s="61" t="s">
        <v>274</v>
      </c>
      <c r="BY526" s="62">
        <v>13</v>
      </c>
      <c r="BZ526" s="63" t="s">
        <v>387</v>
      </c>
      <c r="CA526" s="58">
        <f>SUM(BY526:BY550)</f>
        <v>506</v>
      </c>
      <c r="CM526" s="5" t="s">
        <v>332</v>
      </c>
      <c r="CN526">
        <v>1</v>
      </c>
      <c r="CO526" s="30" t="s">
        <v>391</v>
      </c>
      <c r="CP526" s="17">
        <f>AVERAGE(CN522:CN554)</f>
        <v>0.2</v>
      </c>
      <c r="CR526" s="5" t="s">
        <v>336</v>
      </c>
      <c r="CS526">
        <v>0</v>
      </c>
      <c r="CT526" s="30" t="s">
        <v>391</v>
      </c>
      <c r="CU526" s="17">
        <f>AVERAGE(CS522:CS549)</f>
        <v>7.1428571428571425E-2</v>
      </c>
      <c r="CW526" s="66" t="s">
        <v>358</v>
      </c>
      <c r="CX526" s="62">
        <v>0</v>
      </c>
    </row>
    <row r="527" spans="1:102" x14ac:dyDescent="0.25">
      <c r="A527" s="5" t="s">
        <v>51</v>
      </c>
      <c r="B527">
        <v>0</v>
      </c>
      <c r="C527" s="17"/>
      <c r="D527" s="17"/>
      <c r="U527" s="5" t="s">
        <v>101</v>
      </c>
      <c r="V527">
        <v>1</v>
      </c>
      <c r="W527" s="30" t="s">
        <v>392</v>
      </c>
      <c r="X527" s="17">
        <f>STDEV(V522:V554)</f>
        <v>0.37796447300922731</v>
      </c>
      <c r="Z527" s="61" t="s">
        <v>128</v>
      </c>
      <c r="AA527" s="62">
        <v>0</v>
      </c>
      <c r="AO527" s="5" t="s">
        <v>150</v>
      </c>
      <c r="AP527">
        <v>17</v>
      </c>
      <c r="AQ527" s="30" t="s">
        <v>388</v>
      </c>
      <c r="AR527" s="17">
        <f>MIN(AP526:AP550)</f>
        <v>2</v>
      </c>
      <c r="AY527" s="5" t="s">
        <v>204</v>
      </c>
      <c r="AZ527">
        <v>1</v>
      </c>
      <c r="BA527" s="17"/>
      <c r="BB527" s="17"/>
      <c r="BD527" s="5" t="s">
        <v>222</v>
      </c>
      <c r="BE527">
        <v>1</v>
      </c>
      <c r="BF527" s="30" t="s">
        <v>388</v>
      </c>
      <c r="BG527" s="17">
        <f>MIN(BE526:BE550)</f>
        <v>0</v>
      </c>
      <c r="BI527" s="5" t="s">
        <v>257</v>
      </c>
      <c r="BJ527">
        <v>0</v>
      </c>
      <c r="BK527" s="17"/>
      <c r="BL527" s="17"/>
      <c r="BX527" s="61" t="s">
        <v>275</v>
      </c>
      <c r="BY527" s="62">
        <v>8</v>
      </c>
      <c r="BZ527" s="63" t="s">
        <v>388</v>
      </c>
      <c r="CA527" s="58">
        <f>MIN(BY526:BY550)</f>
        <v>7</v>
      </c>
      <c r="CO527" s="30" t="s">
        <v>392</v>
      </c>
      <c r="CP527" s="17">
        <f>STDEV(CN522:CN554)</f>
        <v>0.44721359549995793</v>
      </c>
      <c r="CR527" s="5" t="s">
        <v>337</v>
      </c>
      <c r="CS527">
        <v>0</v>
      </c>
      <c r="CT527" s="30" t="s">
        <v>392</v>
      </c>
      <c r="CU527" s="17">
        <f>STDEV(CS522:CS549)</f>
        <v>0.3779644730092272</v>
      </c>
      <c r="CW527" s="66" t="s">
        <v>359</v>
      </c>
      <c r="CX527" s="62">
        <v>1</v>
      </c>
    </row>
    <row r="528" spans="1:102" x14ac:dyDescent="0.25">
      <c r="A528" s="5" t="s">
        <v>52</v>
      </c>
      <c r="B528">
        <v>5</v>
      </c>
      <c r="C528" s="17"/>
      <c r="D528" s="17"/>
      <c r="U528" s="5" t="s">
        <v>103</v>
      </c>
      <c r="V528">
        <v>1</v>
      </c>
      <c r="W528" s="17"/>
      <c r="X528" s="17"/>
      <c r="AO528" s="5" t="s">
        <v>151</v>
      </c>
      <c r="AP528">
        <v>8</v>
      </c>
      <c r="AQ528" s="30" t="s">
        <v>389</v>
      </c>
      <c r="AR528" s="17">
        <f>MAX(AP526:AP550)</f>
        <v>28</v>
      </c>
      <c r="AY528" s="5" t="s">
        <v>205</v>
      </c>
      <c r="AZ528">
        <v>0</v>
      </c>
      <c r="BA528" s="17"/>
      <c r="BB528" s="17"/>
      <c r="BD528" s="5" t="s">
        <v>223</v>
      </c>
      <c r="BE528">
        <v>7</v>
      </c>
      <c r="BF528" s="30" t="s">
        <v>389</v>
      </c>
      <c r="BG528" s="17">
        <f>MAX(BE526:BE550)</f>
        <v>7</v>
      </c>
      <c r="BI528" s="5" t="s">
        <v>258</v>
      </c>
      <c r="BJ528">
        <v>0</v>
      </c>
      <c r="BK528" s="17"/>
      <c r="BL528" s="17"/>
      <c r="BX528" s="61" t="s">
        <v>276</v>
      </c>
      <c r="BY528" s="62">
        <v>12</v>
      </c>
      <c r="BZ528" s="63" t="s">
        <v>389</v>
      </c>
      <c r="CA528" s="58">
        <f>MAX(BY526:BY550)</f>
        <v>36</v>
      </c>
      <c r="CO528" s="17"/>
      <c r="CP528" s="17"/>
      <c r="CR528" s="5" t="s">
        <v>338</v>
      </c>
      <c r="CS528">
        <v>2</v>
      </c>
    </row>
    <row r="529" spans="1:104" x14ac:dyDescent="0.25">
      <c r="A529" s="5" t="s">
        <v>53</v>
      </c>
      <c r="B529">
        <v>2</v>
      </c>
      <c r="C529" s="17"/>
      <c r="D529" s="17"/>
      <c r="U529" s="5" t="s">
        <v>104</v>
      </c>
      <c r="V529">
        <v>1</v>
      </c>
      <c r="W529" s="17"/>
      <c r="X529" s="17"/>
      <c r="Z529" s="58" t="s">
        <v>382</v>
      </c>
      <c r="AA529" s="59" t="s">
        <v>627</v>
      </c>
      <c r="AB529" s="58"/>
      <c r="AC529" s="58">
        <v>2016</v>
      </c>
      <c r="AO529" s="5" t="s">
        <v>152</v>
      </c>
      <c r="AP529">
        <v>13</v>
      </c>
      <c r="AQ529" s="30" t="s">
        <v>390</v>
      </c>
      <c r="AR529" s="17">
        <f>VAR(AP526:AP550)</f>
        <v>36</v>
      </c>
      <c r="AY529" s="5" t="s">
        <v>206</v>
      </c>
      <c r="AZ529">
        <v>0</v>
      </c>
      <c r="BA529" s="17"/>
      <c r="BB529" s="17"/>
      <c r="BD529" s="5" t="s">
        <v>224</v>
      </c>
      <c r="BE529">
        <v>5</v>
      </c>
      <c r="BF529" s="30" t="s">
        <v>390</v>
      </c>
      <c r="BG529" s="17">
        <f>VAR(BE526:BE550)</f>
        <v>5.083333333333333</v>
      </c>
      <c r="BI529" s="5" t="s">
        <v>259</v>
      </c>
      <c r="BJ529">
        <v>0</v>
      </c>
      <c r="BK529" s="17"/>
      <c r="BL529" s="17"/>
      <c r="BX529" s="61" t="s">
        <v>277</v>
      </c>
      <c r="BY529" s="62">
        <v>27</v>
      </c>
      <c r="BZ529" s="63" t="s">
        <v>390</v>
      </c>
      <c r="CA529" s="58">
        <f>VAR(BY526:BY550)</f>
        <v>57.189999999999976</v>
      </c>
      <c r="CO529" s="17"/>
      <c r="CP529" s="17"/>
      <c r="CR529" s="5" t="s">
        <v>339</v>
      </c>
      <c r="CS529">
        <v>0</v>
      </c>
      <c r="CW529" s="58" t="s">
        <v>382</v>
      </c>
      <c r="CX529" s="59" t="s">
        <v>629</v>
      </c>
      <c r="CY529" s="58"/>
      <c r="CZ529" s="58">
        <v>2016</v>
      </c>
    </row>
    <row r="530" spans="1:104" x14ac:dyDescent="0.25">
      <c r="A530" s="5" t="s">
        <v>54</v>
      </c>
      <c r="B530">
        <v>7</v>
      </c>
      <c r="C530" s="17"/>
      <c r="D530" s="17"/>
      <c r="U530" s="5" t="s">
        <v>105</v>
      </c>
      <c r="W530" s="17"/>
      <c r="X530" s="17"/>
      <c r="Z530" s="58" t="s">
        <v>383</v>
      </c>
      <c r="AA530" s="60" t="s">
        <v>21</v>
      </c>
      <c r="AB530" s="58"/>
      <c r="AC530" s="58"/>
      <c r="AO530" s="5" t="s">
        <v>153</v>
      </c>
      <c r="AP530">
        <v>8</v>
      </c>
      <c r="AQ530" s="30" t="s">
        <v>391</v>
      </c>
      <c r="AR530" s="17">
        <f>AVERAGE(AP526:AP550)</f>
        <v>15</v>
      </c>
      <c r="AY530" s="5" t="s">
        <v>207</v>
      </c>
      <c r="AZ530">
        <v>0</v>
      </c>
      <c r="BA530" s="17"/>
      <c r="BB530" s="17"/>
      <c r="BD530" s="5" t="s">
        <v>225</v>
      </c>
      <c r="BE530">
        <v>1</v>
      </c>
      <c r="BF530" s="30" t="s">
        <v>391</v>
      </c>
      <c r="BG530" s="17">
        <f>AVERAGE(BE526:BE550)</f>
        <v>3.4</v>
      </c>
      <c r="BI530" s="5" t="s">
        <v>260</v>
      </c>
      <c r="BJ530">
        <v>0</v>
      </c>
      <c r="BK530" s="17"/>
      <c r="BL530" s="17"/>
      <c r="BX530" s="61" t="s">
        <v>279</v>
      </c>
      <c r="BY530" s="62">
        <v>32</v>
      </c>
      <c r="BZ530" s="63" t="s">
        <v>391</v>
      </c>
      <c r="CA530" s="58">
        <f>AVERAGE(BY526:BY550)</f>
        <v>20.239999999999998</v>
      </c>
      <c r="CO530" s="17"/>
      <c r="CP530" s="17"/>
      <c r="CR530" s="5" t="s">
        <v>340</v>
      </c>
      <c r="CS530">
        <v>0</v>
      </c>
      <c r="CW530" s="58" t="s">
        <v>383</v>
      </c>
      <c r="CX530" s="60" t="s">
        <v>24</v>
      </c>
      <c r="CY530" s="58"/>
      <c r="CZ530" s="58"/>
    </row>
    <row r="531" spans="1:104" x14ac:dyDescent="0.25">
      <c r="A531" s="5" t="s">
        <v>55</v>
      </c>
      <c r="B531">
        <v>0</v>
      </c>
      <c r="C531" s="17"/>
      <c r="D531" s="17"/>
      <c r="U531" s="5" t="s">
        <v>106</v>
      </c>
      <c r="V531">
        <v>2</v>
      </c>
      <c r="W531" s="17"/>
      <c r="X531" s="17"/>
      <c r="Z531" s="58" t="s">
        <v>384</v>
      </c>
      <c r="AA531" s="58" t="s">
        <v>39</v>
      </c>
      <c r="AB531" s="58" t="s">
        <v>385</v>
      </c>
      <c r="AC531" s="58" t="s">
        <v>386</v>
      </c>
      <c r="AO531" s="5" t="s">
        <v>154</v>
      </c>
      <c r="AP531">
        <v>14</v>
      </c>
      <c r="AQ531" s="30" t="s">
        <v>392</v>
      </c>
      <c r="AR531" s="17">
        <f>STDEV(AP526:AP550)</f>
        <v>6</v>
      </c>
      <c r="AY531" s="5" t="s">
        <v>208</v>
      </c>
      <c r="AZ531">
        <v>0</v>
      </c>
      <c r="BA531" s="15"/>
      <c r="BB531" s="15"/>
      <c r="BD531" s="5" t="s">
        <v>226</v>
      </c>
      <c r="BE531">
        <v>2</v>
      </c>
      <c r="BF531" s="30" t="s">
        <v>392</v>
      </c>
      <c r="BG531" s="17">
        <f>STDEV(BE526:BE550)</f>
        <v>2.2546248764114472</v>
      </c>
      <c r="BI531" s="5" t="s">
        <v>261</v>
      </c>
      <c r="BJ531">
        <v>0</v>
      </c>
      <c r="BK531" s="15"/>
      <c r="BL531" s="15"/>
      <c r="BX531" s="61" t="s">
        <v>278</v>
      </c>
      <c r="BY531" s="62">
        <v>16</v>
      </c>
      <c r="BZ531" s="63" t="s">
        <v>392</v>
      </c>
      <c r="CA531" s="58">
        <f>STDEV(BY526:BY550)</f>
        <v>7.5624070242218497</v>
      </c>
      <c r="CO531" s="17"/>
      <c r="CP531" s="17"/>
      <c r="CR531" s="5" t="s">
        <v>341</v>
      </c>
      <c r="CS531">
        <v>0</v>
      </c>
      <c r="CW531" s="58" t="s">
        <v>384</v>
      </c>
      <c r="CX531" s="58" t="s">
        <v>39</v>
      </c>
      <c r="CY531" s="58" t="s">
        <v>385</v>
      </c>
      <c r="CZ531" s="58" t="s">
        <v>386</v>
      </c>
    </row>
    <row r="532" spans="1:104" x14ac:dyDescent="0.25">
      <c r="A532" s="5" t="s">
        <v>56</v>
      </c>
      <c r="B532">
        <v>1</v>
      </c>
      <c r="C532" s="17"/>
      <c r="D532" s="17"/>
      <c r="U532" s="5" t="s">
        <v>61</v>
      </c>
      <c r="W532" s="17"/>
      <c r="X532" s="17"/>
      <c r="Z532" s="61" t="s">
        <v>88</v>
      </c>
      <c r="AA532" s="62">
        <v>0</v>
      </c>
      <c r="AB532" s="63" t="s">
        <v>387</v>
      </c>
      <c r="AC532" s="58">
        <f>SUM(AA532:AA571)</f>
        <v>9</v>
      </c>
      <c r="AO532" s="5" t="s">
        <v>155</v>
      </c>
      <c r="AP532">
        <v>23</v>
      </c>
      <c r="AQ532" s="17"/>
      <c r="AR532" s="17"/>
      <c r="AY532" s="5" t="s">
        <v>209</v>
      </c>
      <c r="AZ532">
        <v>0</v>
      </c>
      <c r="BD532" s="5" t="s">
        <v>227</v>
      </c>
      <c r="BE532">
        <v>3</v>
      </c>
      <c r="BF532" s="17"/>
      <c r="BG532" s="17"/>
      <c r="BI532" s="5" t="s">
        <v>262</v>
      </c>
      <c r="BJ532">
        <v>0</v>
      </c>
      <c r="BX532" s="61" t="s">
        <v>280</v>
      </c>
      <c r="BY532" s="62">
        <v>27</v>
      </c>
      <c r="BZ532" s="58"/>
      <c r="CA532" s="58"/>
      <c r="CO532" s="17"/>
      <c r="CP532" s="17"/>
      <c r="CR532" s="5" t="s">
        <v>342</v>
      </c>
      <c r="CS532">
        <v>0</v>
      </c>
      <c r="CW532" s="61" t="s">
        <v>321</v>
      </c>
      <c r="CX532" s="62">
        <v>0</v>
      </c>
      <c r="CY532" s="63" t="s">
        <v>387</v>
      </c>
      <c r="CZ532" s="58">
        <f>SUM(CX532:CX571)</f>
        <v>8</v>
      </c>
    </row>
    <row r="533" spans="1:104" x14ac:dyDescent="0.25">
      <c r="A533" s="5" t="s">
        <v>57</v>
      </c>
      <c r="B533">
        <v>4</v>
      </c>
      <c r="C533" s="17"/>
      <c r="D533" s="17"/>
      <c r="U533" s="5" t="s">
        <v>107</v>
      </c>
      <c r="W533" s="17"/>
      <c r="X533" s="17"/>
      <c r="Z533" s="61" t="s">
        <v>89</v>
      </c>
      <c r="AA533" s="62">
        <v>0</v>
      </c>
      <c r="AB533" s="63" t="s">
        <v>388</v>
      </c>
      <c r="AC533" s="58">
        <f>MIN(AA532:AA571)</f>
        <v>0</v>
      </c>
      <c r="AO533" s="5" t="s">
        <v>156</v>
      </c>
      <c r="AP533">
        <v>18</v>
      </c>
      <c r="AQ533" s="17"/>
      <c r="AR533" s="17"/>
      <c r="AY533" s="5" t="s">
        <v>210</v>
      </c>
      <c r="AZ533">
        <v>0</v>
      </c>
      <c r="BD533" s="5" t="s">
        <v>228</v>
      </c>
      <c r="BE533">
        <v>6</v>
      </c>
      <c r="BF533" s="17"/>
      <c r="BG533" s="17"/>
      <c r="BI533" s="5" t="s">
        <v>263</v>
      </c>
      <c r="BJ533">
        <v>2</v>
      </c>
      <c r="BX533" s="61" t="s">
        <v>281</v>
      </c>
      <c r="BY533" s="62">
        <v>11</v>
      </c>
      <c r="BZ533" s="58"/>
      <c r="CA533" s="58"/>
      <c r="CO533" s="17"/>
      <c r="CP533" s="17"/>
      <c r="CR533" s="5" t="s">
        <v>343</v>
      </c>
      <c r="CS533">
        <v>0</v>
      </c>
      <c r="CW533" s="61" t="s">
        <v>322</v>
      </c>
      <c r="CX533" s="62">
        <v>0</v>
      </c>
      <c r="CY533" s="63" t="s">
        <v>388</v>
      </c>
      <c r="CZ533" s="58">
        <f>MIN(CX532:CX571)</f>
        <v>0</v>
      </c>
    </row>
    <row r="534" spans="1:104" x14ac:dyDescent="0.25">
      <c r="A534" s="5" t="s">
        <v>58</v>
      </c>
      <c r="B534">
        <v>3</v>
      </c>
      <c r="C534" s="15"/>
      <c r="D534" s="15"/>
      <c r="U534" s="5" t="s">
        <v>108</v>
      </c>
      <c r="W534" s="17"/>
      <c r="X534" s="17"/>
      <c r="Z534" s="61" t="s">
        <v>90</v>
      </c>
      <c r="AA534" s="62">
        <v>0</v>
      </c>
      <c r="AB534" s="63" t="s">
        <v>389</v>
      </c>
      <c r="AC534" s="58">
        <f>MAX(AA532:AA571)</f>
        <v>2</v>
      </c>
      <c r="AO534" s="5" t="s">
        <v>157</v>
      </c>
      <c r="AP534">
        <v>22</v>
      </c>
      <c r="AQ534" s="17"/>
      <c r="AR534" s="17"/>
      <c r="AY534" s="5" t="s">
        <v>211</v>
      </c>
      <c r="AZ534">
        <v>0</v>
      </c>
      <c r="BD534" s="5" t="s">
        <v>229</v>
      </c>
      <c r="BE534">
        <v>4</v>
      </c>
      <c r="BF534" s="17"/>
      <c r="BG534" s="17"/>
      <c r="BI534" s="5" t="s">
        <v>264</v>
      </c>
      <c r="BJ534">
        <v>1</v>
      </c>
      <c r="BX534" s="61" t="s">
        <v>282</v>
      </c>
      <c r="BY534" s="62">
        <v>19</v>
      </c>
      <c r="BZ534" s="58"/>
      <c r="CA534" s="58"/>
      <c r="CO534" s="17"/>
      <c r="CP534" s="17"/>
      <c r="CR534" s="5" t="s">
        <v>344</v>
      </c>
      <c r="CS534">
        <v>0</v>
      </c>
      <c r="CW534" s="61" t="s">
        <v>323</v>
      </c>
      <c r="CX534" s="62">
        <v>0</v>
      </c>
      <c r="CY534" s="63" t="s">
        <v>389</v>
      </c>
      <c r="CZ534" s="58">
        <f>MAX(CX532:CX571)</f>
        <v>2</v>
      </c>
    </row>
    <row r="535" spans="1:104" x14ac:dyDescent="0.25">
      <c r="A535" s="5" t="s">
        <v>60</v>
      </c>
      <c r="B535">
        <v>1</v>
      </c>
      <c r="C535" s="17"/>
      <c r="D535" s="17"/>
      <c r="U535" s="5" t="s">
        <v>109</v>
      </c>
      <c r="W535" s="17"/>
      <c r="X535" s="17"/>
      <c r="Z535" s="61" t="s">
        <v>91</v>
      </c>
      <c r="AA535" s="62">
        <v>1</v>
      </c>
      <c r="AB535" s="63" t="s">
        <v>390</v>
      </c>
      <c r="AC535" s="58">
        <f>VAR(AA532:AA571)</f>
        <v>0.23012820512820512</v>
      </c>
      <c r="AO535" s="5" t="s">
        <v>158</v>
      </c>
      <c r="AP535">
        <v>22</v>
      </c>
      <c r="AQ535" s="17"/>
      <c r="AR535" s="17"/>
      <c r="AY535" s="5" t="s">
        <v>212</v>
      </c>
      <c r="AZ535">
        <v>0</v>
      </c>
      <c r="BD535" s="5" t="s">
        <v>230</v>
      </c>
      <c r="BE535">
        <v>1</v>
      </c>
      <c r="BF535" s="17"/>
      <c r="BG535" s="17"/>
      <c r="BI535" s="5" t="s">
        <v>265</v>
      </c>
      <c r="BJ535">
        <v>0</v>
      </c>
      <c r="BX535" s="61" t="s">
        <v>283</v>
      </c>
      <c r="BY535" s="62">
        <v>29</v>
      </c>
      <c r="BZ535" s="58"/>
      <c r="CA535" s="58"/>
      <c r="CO535" s="17"/>
      <c r="CP535" s="17"/>
      <c r="CR535" s="5" t="s">
        <v>345</v>
      </c>
      <c r="CS535">
        <v>0</v>
      </c>
      <c r="CW535" s="61" t="s">
        <v>324</v>
      </c>
      <c r="CX535" s="62">
        <v>2</v>
      </c>
      <c r="CY535" s="63" t="s">
        <v>390</v>
      </c>
      <c r="CZ535" s="58">
        <f>VAR(CX532:CX571)</f>
        <v>0.26666666666666666</v>
      </c>
    </row>
    <row r="536" spans="1:104" x14ac:dyDescent="0.25">
      <c r="A536" s="5" t="s">
        <v>61</v>
      </c>
      <c r="B536">
        <v>7</v>
      </c>
      <c r="C536" s="17"/>
      <c r="D536" s="17"/>
      <c r="U536" s="5" t="s">
        <v>110</v>
      </c>
      <c r="W536" s="17"/>
      <c r="X536" s="17"/>
      <c r="Z536" s="61" t="s">
        <v>92</v>
      </c>
      <c r="AA536" s="62">
        <v>0</v>
      </c>
      <c r="AB536" s="63" t="s">
        <v>391</v>
      </c>
      <c r="AC536" s="58">
        <f>AVERAGE(AA532:AA571)</f>
        <v>0.22500000000000001</v>
      </c>
      <c r="AO536" s="5" t="s">
        <v>159</v>
      </c>
      <c r="AP536">
        <v>2</v>
      </c>
      <c r="AQ536" s="17"/>
      <c r="AR536" s="17"/>
      <c r="AY536" s="5" t="s">
        <v>213</v>
      </c>
      <c r="AZ536">
        <v>0</v>
      </c>
      <c r="BD536" s="5" t="s">
        <v>231</v>
      </c>
      <c r="BE536">
        <v>0</v>
      </c>
      <c r="BF536" s="17"/>
      <c r="BG536" s="17"/>
      <c r="BI536" s="5" t="s">
        <v>266</v>
      </c>
      <c r="BJ536">
        <v>1</v>
      </c>
      <c r="BX536" s="61" t="s">
        <v>285</v>
      </c>
      <c r="BY536" s="62">
        <v>27</v>
      </c>
      <c r="BZ536" s="58"/>
      <c r="CA536" s="58"/>
      <c r="CO536" s="17"/>
      <c r="CP536" s="17"/>
      <c r="CR536" s="5" t="s">
        <v>346</v>
      </c>
      <c r="CS536">
        <v>0</v>
      </c>
      <c r="CW536" s="61" t="s">
        <v>325</v>
      </c>
      <c r="CX536" s="62">
        <v>0</v>
      </c>
      <c r="CY536" s="63" t="s">
        <v>391</v>
      </c>
      <c r="CZ536" s="58">
        <f>AVERAGE(CX532:CX571)</f>
        <v>0.2</v>
      </c>
    </row>
    <row r="537" spans="1:104" x14ac:dyDescent="0.25">
      <c r="A537" s="5" t="s">
        <v>62</v>
      </c>
      <c r="B537">
        <v>3</v>
      </c>
      <c r="C537" s="17"/>
      <c r="D537" s="1"/>
      <c r="U537" s="5" t="s">
        <v>111</v>
      </c>
      <c r="W537" s="17"/>
      <c r="X537" s="17"/>
      <c r="Z537" s="61" t="s">
        <v>93</v>
      </c>
      <c r="AA537" s="62">
        <v>0</v>
      </c>
      <c r="AB537" s="63" t="s">
        <v>392</v>
      </c>
      <c r="AC537" s="58">
        <f>STDEV(AA532:AA571)</f>
        <v>0.47971679679598994</v>
      </c>
      <c r="AO537" s="5" t="s">
        <v>100</v>
      </c>
      <c r="AP537">
        <v>18</v>
      </c>
      <c r="AQ537" s="17"/>
      <c r="AR537" s="17"/>
      <c r="AY537" s="5" t="s">
        <v>214</v>
      </c>
      <c r="AZ537">
        <v>0</v>
      </c>
      <c r="BD537" s="5" t="s">
        <v>232</v>
      </c>
      <c r="BE537">
        <v>0</v>
      </c>
      <c r="BF537" s="17"/>
      <c r="BG537" s="17"/>
      <c r="BI537" s="5" t="s">
        <v>267</v>
      </c>
      <c r="BJ537">
        <v>0</v>
      </c>
      <c r="BX537" s="61" t="s">
        <v>284</v>
      </c>
      <c r="BY537" s="62">
        <v>27</v>
      </c>
      <c r="BZ537" s="58"/>
      <c r="CA537" s="58"/>
      <c r="CO537" s="17"/>
      <c r="CP537" s="17"/>
      <c r="CR537" s="5" t="s">
        <v>347</v>
      </c>
      <c r="CS537">
        <v>0</v>
      </c>
      <c r="CW537" s="61" t="s">
        <v>326</v>
      </c>
      <c r="CX537" s="62">
        <v>0</v>
      </c>
      <c r="CY537" s="63" t="s">
        <v>392</v>
      </c>
      <c r="CZ537" s="58">
        <f>STDEV(CX532:CX571)</f>
        <v>0.5163977794943222</v>
      </c>
    </row>
    <row r="538" spans="1:104" x14ac:dyDescent="0.25">
      <c r="A538" s="5" t="s">
        <v>63</v>
      </c>
      <c r="B538">
        <v>1</v>
      </c>
      <c r="C538" s="17"/>
      <c r="D538" s="1"/>
      <c r="U538" s="5" t="s">
        <v>112</v>
      </c>
      <c r="W538" s="17"/>
      <c r="X538" s="17"/>
      <c r="Z538" s="61" t="s">
        <v>94</v>
      </c>
      <c r="AA538" s="62">
        <v>0</v>
      </c>
      <c r="AB538" s="58"/>
      <c r="AC538" s="58"/>
      <c r="AO538" s="5" t="s">
        <v>161</v>
      </c>
      <c r="AP538">
        <v>12</v>
      </c>
      <c r="AQ538" s="17"/>
      <c r="AR538" s="17"/>
      <c r="AY538" s="5" t="s">
        <v>215</v>
      </c>
      <c r="AZ538">
        <v>0</v>
      </c>
      <c r="BD538" s="5" t="s">
        <v>233</v>
      </c>
      <c r="BE538">
        <v>2</v>
      </c>
      <c r="BF538" s="17"/>
      <c r="BG538" s="17"/>
      <c r="BI538" s="5" t="s">
        <v>268</v>
      </c>
      <c r="BJ538">
        <v>0</v>
      </c>
      <c r="BX538" s="61" t="s">
        <v>286</v>
      </c>
      <c r="BY538" s="62">
        <v>20</v>
      </c>
      <c r="BZ538" s="58"/>
      <c r="CA538" s="58"/>
      <c r="CR538" s="5" t="s">
        <v>348</v>
      </c>
      <c r="CS538">
        <v>0</v>
      </c>
      <c r="CW538" s="61" t="s">
        <v>327</v>
      </c>
      <c r="CX538" s="62">
        <v>0</v>
      </c>
      <c r="CY538" s="58"/>
      <c r="CZ538" s="58"/>
    </row>
    <row r="539" spans="1:104" x14ac:dyDescent="0.25">
      <c r="A539" s="5" t="s">
        <v>64</v>
      </c>
      <c r="B539">
        <v>2</v>
      </c>
      <c r="C539" s="17"/>
      <c r="D539" s="1"/>
      <c r="U539" s="5" t="s">
        <v>113</v>
      </c>
      <c r="W539" s="15"/>
      <c r="X539" s="15"/>
      <c r="Z539" s="61" t="s">
        <v>96</v>
      </c>
      <c r="AA539" s="62">
        <v>0</v>
      </c>
      <c r="AO539" s="5" t="s">
        <v>162</v>
      </c>
      <c r="AP539">
        <v>18</v>
      </c>
      <c r="AQ539" s="17"/>
      <c r="AR539" s="17"/>
      <c r="AY539" s="5" t="s">
        <v>216</v>
      </c>
      <c r="AZ539">
        <v>0</v>
      </c>
      <c r="BD539" s="5" t="s">
        <v>234</v>
      </c>
      <c r="BE539">
        <v>6</v>
      </c>
      <c r="BF539" s="17"/>
      <c r="BG539" s="17"/>
      <c r="BI539" s="5" t="s">
        <v>269</v>
      </c>
      <c r="BJ539">
        <v>0</v>
      </c>
      <c r="BX539" s="61" t="s">
        <v>287</v>
      </c>
      <c r="BY539" s="62">
        <v>19</v>
      </c>
      <c r="BZ539" s="58"/>
      <c r="CA539" s="58"/>
      <c r="CR539" s="5" t="s">
        <v>349</v>
      </c>
      <c r="CS539">
        <v>0</v>
      </c>
      <c r="CW539" s="61" t="s">
        <v>328</v>
      </c>
      <c r="CX539" s="62">
        <v>0</v>
      </c>
    </row>
    <row r="540" spans="1:104" x14ac:dyDescent="0.25">
      <c r="U540" s="26" t="s">
        <v>114</v>
      </c>
      <c r="W540" s="17"/>
      <c r="X540" s="17"/>
      <c r="Z540" s="61" t="s">
        <v>97</v>
      </c>
      <c r="AA540" s="62">
        <v>0</v>
      </c>
      <c r="AO540" s="5" t="s">
        <v>163</v>
      </c>
      <c r="AP540">
        <v>14</v>
      </c>
      <c r="AQ540" s="17"/>
      <c r="AR540" s="17"/>
      <c r="AY540" s="5" t="s">
        <v>217</v>
      </c>
      <c r="AZ540">
        <v>0</v>
      </c>
      <c r="BD540" s="5" t="s">
        <v>157</v>
      </c>
      <c r="BE540">
        <v>3</v>
      </c>
      <c r="BF540" s="17"/>
      <c r="BG540" s="17"/>
      <c r="BI540" s="5" t="s">
        <v>270</v>
      </c>
      <c r="BJ540">
        <v>0</v>
      </c>
      <c r="BX540" s="61" t="s">
        <v>288</v>
      </c>
      <c r="BY540" s="62">
        <v>18</v>
      </c>
      <c r="BZ540" s="58"/>
      <c r="CA540" s="58"/>
      <c r="CR540" s="5" t="s">
        <v>350</v>
      </c>
      <c r="CS540">
        <v>0</v>
      </c>
      <c r="CW540" s="61" t="s">
        <v>329</v>
      </c>
      <c r="CX540" s="62">
        <v>0</v>
      </c>
    </row>
    <row r="541" spans="1:104" x14ac:dyDescent="0.25">
      <c r="U541" s="26" t="s">
        <v>115</v>
      </c>
      <c r="V541">
        <v>1</v>
      </c>
      <c r="W541" s="17"/>
      <c r="X541" s="17"/>
      <c r="Z541" s="61" t="s">
        <v>98</v>
      </c>
      <c r="AA541" s="62">
        <v>0</v>
      </c>
      <c r="AO541" s="5" t="s">
        <v>164</v>
      </c>
      <c r="AP541">
        <v>10</v>
      </c>
      <c r="AQ541" s="17"/>
      <c r="AR541" s="17"/>
      <c r="AY541" s="5" t="s">
        <v>218</v>
      </c>
      <c r="AZ541">
        <v>0</v>
      </c>
      <c r="BD541" s="5" t="s">
        <v>235</v>
      </c>
      <c r="BE541">
        <v>1</v>
      </c>
      <c r="BF541" s="17"/>
      <c r="BG541" s="17"/>
      <c r="BI541" s="5" t="s">
        <v>271</v>
      </c>
      <c r="BJ541">
        <v>0</v>
      </c>
      <c r="BX541" s="61" t="s">
        <v>289</v>
      </c>
      <c r="BY541" s="62">
        <v>28</v>
      </c>
      <c r="BZ541" s="58"/>
      <c r="CA541" s="58"/>
      <c r="CR541" s="5" t="s">
        <v>351</v>
      </c>
      <c r="CS541">
        <v>0</v>
      </c>
      <c r="CW541" s="61" t="s">
        <v>330</v>
      </c>
      <c r="CX541" s="62">
        <v>0</v>
      </c>
    </row>
    <row r="542" spans="1:104" x14ac:dyDescent="0.25">
      <c r="U542" s="26" t="s">
        <v>116</v>
      </c>
      <c r="W542" s="17"/>
      <c r="X542" s="1"/>
      <c r="Z542" s="61" t="s">
        <v>99</v>
      </c>
      <c r="AA542" s="62">
        <v>1</v>
      </c>
      <c r="AO542" s="5" t="s">
        <v>165</v>
      </c>
      <c r="AP542">
        <v>12</v>
      </c>
      <c r="AQ542" s="17"/>
      <c r="AR542" s="17"/>
      <c r="AY542" s="5" t="s">
        <v>219</v>
      </c>
      <c r="AZ542">
        <v>0</v>
      </c>
      <c r="BD542" s="5" t="s">
        <v>236</v>
      </c>
      <c r="BE542">
        <v>2</v>
      </c>
      <c r="BF542" s="17"/>
      <c r="BG542" s="17"/>
      <c r="BI542" s="5" t="s">
        <v>272</v>
      </c>
      <c r="BJ542">
        <v>0</v>
      </c>
      <c r="BX542" s="61" t="s">
        <v>290</v>
      </c>
      <c r="BY542" s="62">
        <v>19</v>
      </c>
      <c r="CR542" s="5" t="s">
        <v>352</v>
      </c>
      <c r="CS542">
        <v>0</v>
      </c>
      <c r="CW542" s="61" t="s">
        <v>331</v>
      </c>
      <c r="CX542" s="62">
        <v>0</v>
      </c>
    </row>
    <row r="543" spans="1:104" x14ac:dyDescent="0.25">
      <c r="U543" s="26" t="s">
        <v>117</v>
      </c>
      <c r="W543" s="17"/>
      <c r="X543" s="1"/>
      <c r="Z543" s="61" t="s">
        <v>100</v>
      </c>
      <c r="AA543" s="62">
        <v>0</v>
      </c>
      <c r="AO543" s="5" t="s">
        <v>166</v>
      </c>
      <c r="AP543">
        <v>22</v>
      </c>
      <c r="AQ543" s="15"/>
      <c r="AR543" s="15"/>
      <c r="AY543" s="5" t="s">
        <v>220</v>
      </c>
      <c r="AZ543">
        <v>0</v>
      </c>
      <c r="BD543" s="5" t="s">
        <v>237</v>
      </c>
      <c r="BE543">
        <v>7</v>
      </c>
      <c r="BF543" s="15"/>
      <c r="BG543" s="15"/>
      <c r="BI543" s="5" t="s">
        <v>273</v>
      </c>
      <c r="BJ543">
        <v>0</v>
      </c>
      <c r="BX543" s="61" t="s">
        <v>291</v>
      </c>
      <c r="BY543" s="62">
        <v>21</v>
      </c>
      <c r="CR543" s="5" t="s">
        <v>353</v>
      </c>
      <c r="CS543">
        <v>0</v>
      </c>
      <c r="CW543" s="61" t="s">
        <v>332</v>
      </c>
      <c r="CX543" s="62">
        <v>0</v>
      </c>
    </row>
    <row r="544" spans="1:104" x14ac:dyDescent="0.25">
      <c r="U544" s="26" t="s">
        <v>118</v>
      </c>
      <c r="W544" s="17"/>
      <c r="X544" s="1"/>
      <c r="Z544" s="61" t="s">
        <v>101</v>
      </c>
      <c r="AA544" s="62">
        <v>0</v>
      </c>
      <c r="AO544" s="5" t="s">
        <v>168</v>
      </c>
      <c r="AP544">
        <v>14</v>
      </c>
      <c r="AQ544" s="17"/>
      <c r="AR544" s="17"/>
      <c r="BD544" s="5" t="s">
        <v>238</v>
      </c>
      <c r="BE544">
        <v>4</v>
      </c>
      <c r="BX544" s="61" t="s">
        <v>292</v>
      </c>
      <c r="BY544" s="62">
        <v>21</v>
      </c>
      <c r="CR544" s="5" t="s">
        <v>354</v>
      </c>
      <c r="CS544">
        <v>0</v>
      </c>
      <c r="CW544" s="61" t="s">
        <v>333</v>
      </c>
      <c r="CX544" s="62">
        <v>0</v>
      </c>
    </row>
    <row r="545" spans="21:102" x14ac:dyDescent="0.25">
      <c r="U545" s="26" t="s">
        <v>119</v>
      </c>
      <c r="Z545" s="61" t="s">
        <v>103</v>
      </c>
      <c r="AA545" s="62">
        <v>0</v>
      </c>
      <c r="AO545" s="5" t="s">
        <v>169</v>
      </c>
      <c r="AP545">
        <v>19</v>
      </c>
      <c r="AQ545" s="17"/>
      <c r="AR545" s="17"/>
      <c r="AY545" s="17" t="s">
        <v>382</v>
      </c>
      <c r="AZ545" s="29" t="s">
        <v>370</v>
      </c>
      <c r="BA545" s="17"/>
      <c r="BB545" s="17">
        <v>2016</v>
      </c>
      <c r="BD545" s="5" t="s">
        <v>239</v>
      </c>
      <c r="BE545">
        <v>6</v>
      </c>
      <c r="BI545" s="17" t="s">
        <v>382</v>
      </c>
      <c r="BJ545" s="29" t="s">
        <v>372</v>
      </c>
      <c r="BK545" s="17"/>
      <c r="BL545" s="17">
        <v>2016</v>
      </c>
      <c r="BX545" s="61" t="s">
        <v>293</v>
      </c>
      <c r="BY545" s="62">
        <v>16</v>
      </c>
      <c r="CR545" s="5" t="s">
        <v>355</v>
      </c>
      <c r="CS545">
        <v>0</v>
      </c>
      <c r="CW545" s="61" t="s">
        <v>334</v>
      </c>
      <c r="CX545" s="62">
        <v>0</v>
      </c>
    </row>
    <row r="546" spans="21:102" x14ac:dyDescent="0.25">
      <c r="U546" s="5" t="s">
        <v>120</v>
      </c>
      <c r="V546">
        <v>1</v>
      </c>
      <c r="Z546" s="61" t="s">
        <v>104</v>
      </c>
      <c r="AA546" s="62">
        <v>2</v>
      </c>
      <c r="AO546" s="5" t="s">
        <v>170</v>
      </c>
      <c r="AP546">
        <v>9</v>
      </c>
      <c r="AQ546" s="17"/>
      <c r="AR546" s="1"/>
      <c r="AY546" s="17" t="s">
        <v>383</v>
      </c>
      <c r="AZ546" s="6" t="s">
        <v>32</v>
      </c>
      <c r="BA546" s="17"/>
      <c r="BB546" s="17"/>
      <c r="BD546" s="5" t="s">
        <v>240</v>
      </c>
      <c r="BE546">
        <v>2</v>
      </c>
      <c r="BI546" s="17" t="s">
        <v>383</v>
      </c>
      <c r="BJ546" s="6" t="s">
        <v>30</v>
      </c>
      <c r="BK546" s="17"/>
      <c r="BL546" s="17"/>
      <c r="BX546" s="61" t="s">
        <v>294</v>
      </c>
      <c r="BY546" s="62">
        <v>36</v>
      </c>
      <c r="CR546" s="2" t="s">
        <v>356</v>
      </c>
      <c r="CS546">
        <v>0</v>
      </c>
      <c r="CW546" s="61" t="s">
        <v>335</v>
      </c>
      <c r="CX546" s="62">
        <v>0</v>
      </c>
    </row>
    <row r="547" spans="21:102" x14ac:dyDescent="0.25">
      <c r="U547" s="5" t="s">
        <v>121</v>
      </c>
      <c r="Z547" s="61" t="s">
        <v>105</v>
      </c>
      <c r="AA547" s="62">
        <v>1</v>
      </c>
      <c r="AO547" s="5" t="s">
        <v>171</v>
      </c>
      <c r="AP547">
        <v>10</v>
      </c>
      <c r="AQ547" s="17"/>
      <c r="AR547" s="1"/>
      <c r="AY547" s="17" t="s">
        <v>384</v>
      </c>
      <c r="AZ547" s="17" t="s">
        <v>39</v>
      </c>
      <c r="BA547" s="17" t="s">
        <v>385</v>
      </c>
      <c r="BB547" s="17" t="s">
        <v>386</v>
      </c>
      <c r="BD547" s="5" t="s">
        <v>241</v>
      </c>
      <c r="BE547">
        <v>7</v>
      </c>
      <c r="BI547" s="17" t="s">
        <v>384</v>
      </c>
      <c r="BJ547" s="17" t="s">
        <v>39</v>
      </c>
      <c r="BK547" s="17" t="s">
        <v>385</v>
      </c>
      <c r="BL547" s="17" t="s">
        <v>386</v>
      </c>
      <c r="BX547" s="61" t="s">
        <v>295</v>
      </c>
      <c r="BY547" s="62">
        <v>22</v>
      </c>
      <c r="CR547" s="2" t="s">
        <v>357</v>
      </c>
      <c r="CS547">
        <v>0</v>
      </c>
      <c r="CW547" s="61" t="s">
        <v>43</v>
      </c>
      <c r="CX547" s="62">
        <v>1</v>
      </c>
    </row>
    <row r="548" spans="21:102" x14ac:dyDescent="0.25">
      <c r="U548" s="5" t="s">
        <v>122</v>
      </c>
      <c r="Z548" s="61" t="s">
        <v>106</v>
      </c>
      <c r="AA548" s="62">
        <v>0</v>
      </c>
      <c r="AO548" s="5" t="s">
        <v>172</v>
      </c>
      <c r="AP548">
        <v>8</v>
      </c>
      <c r="AQ548" s="17"/>
      <c r="AR548" s="1"/>
      <c r="AY548" s="5" t="s">
        <v>192</v>
      </c>
      <c r="AZ548">
        <v>12</v>
      </c>
      <c r="BA548" s="30" t="s">
        <v>387</v>
      </c>
      <c r="BB548" s="17">
        <f>SUM(AZ548:AZ577)</f>
        <v>364</v>
      </c>
      <c r="BD548" s="5" t="s">
        <v>242</v>
      </c>
      <c r="BE548">
        <v>4</v>
      </c>
      <c r="BI548" s="5" t="s">
        <v>245</v>
      </c>
      <c r="BJ548">
        <v>0</v>
      </c>
      <c r="BK548" s="30" t="s">
        <v>387</v>
      </c>
      <c r="BL548" s="17">
        <f>SUM(BJ548:BJ577)</f>
        <v>3</v>
      </c>
      <c r="BX548" s="61" t="s">
        <v>296</v>
      </c>
      <c r="BY548" s="62">
        <v>20</v>
      </c>
      <c r="CR548" s="2" t="s">
        <v>358</v>
      </c>
      <c r="CS548">
        <v>0</v>
      </c>
      <c r="CW548" s="61" t="s">
        <v>336</v>
      </c>
      <c r="CX548" s="62">
        <v>0</v>
      </c>
    </row>
    <row r="549" spans="21:102" x14ac:dyDescent="0.25">
      <c r="U549" s="5" t="s">
        <v>123</v>
      </c>
      <c r="Z549" s="61" t="s">
        <v>61</v>
      </c>
      <c r="AA549" s="62">
        <v>0</v>
      </c>
      <c r="AO549" s="5" t="s">
        <v>173</v>
      </c>
      <c r="AP549">
        <v>16</v>
      </c>
      <c r="AY549" s="5" t="s">
        <v>193</v>
      </c>
      <c r="AZ549">
        <v>4</v>
      </c>
      <c r="BA549" s="30" t="s">
        <v>388</v>
      </c>
      <c r="BB549" s="17">
        <f>MIN(AZ548:AZ577)</f>
        <v>0</v>
      </c>
      <c r="BD549" s="5" t="s">
        <v>243</v>
      </c>
      <c r="BE549">
        <v>5</v>
      </c>
      <c r="BI549" s="5" t="s">
        <v>73</v>
      </c>
      <c r="BJ549">
        <v>0</v>
      </c>
      <c r="BK549" s="30" t="s">
        <v>388</v>
      </c>
      <c r="BL549" s="17">
        <f>MIN(BJ548:BJ577)</f>
        <v>0</v>
      </c>
      <c r="BX549" s="61" t="s">
        <v>297</v>
      </c>
      <c r="BY549" s="62">
        <v>7</v>
      </c>
      <c r="CR549" s="3" t="s">
        <v>359</v>
      </c>
      <c r="CS549">
        <v>0</v>
      </c>
      <c r="CW549" s="61" t="s">
        <v>337</v>
      </c>
      <c r="CX549" s="62">
        <v>0</v>
      </c>
    </row>
    <row r="550" spans="21:102" x14ac:dyDescent="0.25">
      <c r="U550" s="5" t="s">
        <v>124</v>
      </c>
      <c r="Z550" s="61" t="s">
        <v>107</v>
      </c>
      <c r="AA550" s="62">
        <v>1</v>
      </c>
      <c r="AO550" s="5" t="s">
        <v>174</v>
      </c>
      <c r="AP550">
        <v>18</v>
      </c>
      <c r="AY550" s="5" t="s">
        <v>194</v>
      </c>
      <c r="AZ550">
        <v>24</v>
      </c>
      <c r="BA550" s="30" t="s">
        <v>389</v>
      </c>
      <c r="BB550" s="17">
        <f>MAX(AZ548:AZ577)</f>
        <v>29</v>
      </c>
      <c r="BD550" s="5" t="s">
        <v>244</v>
      </c>
      <c r="BE550">
        <v>4</v>
      </c>
      <c r="BI550" s="5" t="s">
        <v>246</v>
      </c>
      <c r="BJ550">
        <v>0</v>
      </c>
      <c r="BK550" s="30" t="s">
        <v>389</v>
      </c>
      <c r="BL550" s="17">
        <f>MAX(BJ548:BJ577)</f>
        <v>1</v>
      </c>
      <c r="BX550" s="61" t="s">
        <v>298</v>
      </c>
      <c r="BY550" s="62">
        <v>11</v>
      </c>
      <c r="CW550" s="61" t="s">
        <v>338</v>
      </c>
      <c r="CX550" s="62">
        <v>0</v>
      </c>
    </row>
    <row r="551" spans="21:102" x14ac:dyDescent="0.25">
      <c r="U551" s="5" t="s">
        <v>125</v>
      </c>
      <c r="Z551" s="61" t="s">
        <v>108</v>
      </c>
      <c r="AA551" s="62">
        <v>0</v>
      </c>
      <c r="AY551" s="5" t="s">
        <v>195</v>
      </c>
      <c r="AZ551">
        <v>22</v>
      </c>
      <c r="BA551" s="30" t="s">
        <v>390</v>
      </c>
      <c r="BB551" s="17">
        <f>VAR(AZ548:AZ577)</f>
        <v>70.257471264367808</v>
      </c>
      <c r="BI551" s="5" t="s">
        <v>247</v>
      </c>
      <c r="BJ551">
        <v>0</v>
      </c>
      <c r="BK551" s="30" t="s">
        <v>390</v>
      </c>
      <c r="BL551" s="17">
        <f>VAR(BJ548:BJ577)</f>
        <v>9.3103448275862075E-2</v>
      </c>
      <c r="CW551" s="61" t="s">
        <v>339</v>
      </c>
      <c r="CX551" s="62">
        <v>2</v>
      </c>
    </row>
    <row r="552" spans="21:102" x14ac:dyDescent="0.25">
      <c r="U552" s="5" t="s">
        <v>126</v>
      </c>
      <c r="Z552" s="61" t="s">
        <v>109</v>
      </c>
      <c r="AA552" s="62">
        <v>0</v>
      </c>
      <c r="AO552" s="17" t="s">
        <v>382</v>
      </c>
      <c r="AP552" s="29" t="s">
        <v>368</v>
      </c>
      <c r="AQ552" s="17"/>
      <c r="AR552" s="17">
        <v>2016</v>
      </c>
      <c r="AY552" s="5" t="s">
        <v>196</v>
      </c>
      <c r="AZ552">
        <v>19</v>
      </c>
      <c r="BA552" s="30" t="s">
        <v>391</v>
      </c>
      <c r="BB552" s="17">
        <f>AVERAGE(AZ548:AZ577)</f>
        <v>12.133333333333333</v>
      </c>
      <c r="BI552" s="5" t="s">
        <v>248</v>
      </c>
      <c r="BJ552">
        <v>0</v>
      </c>
      <c r="BK552" s="30" t="s">
        <v>391</v>
      </c>
      <c r="BL552" s="17">
        <f>AVERAGE(BJ548:BJ577)</f>
        <v>0.1</v>
      </c>
      <c r="BX552" s="58" t="s">
        <v>382</v>
      </c>
      <c r="BY552" s="59" t="s">
        <v>628</v>
      </c>
      <c r="BZ552" s="58"/>
      <c r="CA552" s="58">
        <v>2016</v>
      </c>
      <c r="CW552" s="61" t="s">
        <v>340</v>
      </c>
      <c r="CX552" s="62">
        <v>0</v>
      </c>
    </row>
    <row r="553" spans="21:102" x14ac:dyDescent="0.25">
      <c r="U553" s="5" t="s">
        <v>127</v>
      </c>
      <c r="Z553" s="61" t="s">
        <v>110</v>
      </c>
      <c r="AA553" s="62">
        <v>0</v>
      </c>
      <c r="AO553" s="17" t="s">
        <v>383</v>
      </c>
      <c r="AP553" s="6" t="s">
        <v>33</v>
      </c>
      <c r="AQ553" s="17"/>
      <c r="AR553" s="17"/>
      <c r="AY553" s="5" t="s">
        <v>197</v>
      </c>
      <c r="AZ553">
        <v>0</v>
      </c>
      <c r="BA553" s="30" t="s">
        <v>392</v>
      </c>
      <c r="BB553" s="17">
        <f>STDEV(AZ548:AZ577)</f>
        <v>8.3819729935360563</v>
      </c>
      <c r="BI553" s="5" t="s">
        <v>249</v>
      </c>
      <c r="BJ553">
        <v>1</v>
      </c>
      <c r="BK553" s="30" t="s">
        <v>392</v>
      </c>
      <c r="BL553" s="17">
        <f>STDEV(BJ548:BJ577)</f>
        <v>0.30512857662936466</v>
      </c>
      <c r="BX553" s="58" t="s">
        <v>383</v>
      </c>
      <c r="BY553" s="60" t="s">
        <v>33</v>
      </c>
      <c r="BZ553" s="58"/>
      <c r="CA553" s="58"/>
      <c r="CW553" s="61" t="s">
        <v>341</v>
      </c>
      <c r="CX553" s="62">
        <v>0</v>
      </c>
    </row>
    <row r="554" spans="21:102" x14ac:dyDescent="0.25">
      <c r="U554" s="5" t="s">
        <v>128</v>
      </c>
      <c r="Z554" s="61" t="s">
        <v>111</v>
      </c>
      <c r="AA554" s="62">
        <v>0</v>
      </c>
      <c r="AO554" s="17" t="s">
        <v>384</v>
      </c>
      <c r="AP554" s="17" t="s">
        <v>39</v>
      </c>
      <c r="AQ554" s="17" t="s">
        <v>385</v>
      </c>
      <c r="AR554" s="17" t="s">
        <v>386</v>
      </c>
      <c r="AY554" s="5" t="s">
        <v>198</v>
      </c>
      <c r="AZ554">
        <v>17</v>
      </c>
      <c r="BA554" s="17"/>
      <c r="BB554" s="17"/>
      <c r="BI554" s="5" t="s">
        <v>250</v>
      </c>
      <c r="BJ554">
        <v>0</v>
      </c>
      <c r="BK554" s="17"/>
      <c r="BL554" s="17"/>
      <c r="BX554" s="58" t="s">
        <v>384</v>
      </c>
      <c r="BY554" s="58" t="s">
        <v>39</v>
      </c>
      <c r="BZ554" s="58" t="s">
        <v>385</v>
      </c>
      <c r="CA554" s="58" t="s">
        <v>386</v>
      </c>
      <c r="CW554" s="61" t="s">
        <v>342</v>
      </c>
      <c r="CX554" s="62">
        <v>0</v>
      </c>
    </row>
    <row r="555" spans="21:102" x14ac:dyDescent="0.25">
      <c r="Z555" s="61" t="s">
        <v>112</v>
      </c>
      <c r="AA555" s="62">
        <v>0</v>
      </c>
      <c r="AO555" s="5" t="s">
        <v>149</v>
      </c>
      <c r="AP555">
        <v>0</v>
      </c>
      <c r="AQ555" s="30" t="s">
        <v>387</v>
      </c>
      <c r="AR555" s="17">
        <f>SUM(AP555:AP579)</f>
        <v>14</v>
      </c>
      <c r="AY555" s="5" t="s">
        <v>161</v>
      </c>
      <c r="AZ555">
        <v>8</v>
      </c>
      <c r="BA555" s="17"/>
      <c r="BB555" s="17"/>
      <c r="BI555" s="5" t="s">
        <v>251</v>
      </c>
      <c r="BJ555">
        <v>0</v>
      </c>
      <c r="BK555" s="17"/>
      <c r="BL555" s="17"/>
      <c r="BX555" s="61" t="s">
        <v>274</v>
      </c>
      <c r="BY555" s="62">
        <v>0</v>
      </c>
      <c r="BZ555" s="63" t="s">
        <v>387</v>
      </c>
      <c r="CA555" s="58">
        <f>SUM(BY555:BY579)</f>
        <v>5</v>
      </c>
      <c r="CW555" s="61" t="s">
        <v>343</v>
      </c>
      <c r="CX555" s="62">
        <v>1</v>
      </c>
    </row>
    <row r="556" spans="21:102" x14ac:dyDescent="0.25">
      <c r="U556" s="17" t="s">
        <v>382</v>
      </c>
      <c r="V556" s="29" t="s">
        <v>400</v>
      </c>
      <c r="W556" s="17"/>
      <c r="X556" s="17">
        <v>2016</v>
      </c>
      <c r="Z556" s="61" t="s">
        <v>113</v>
      </c>
      <c r="AA556" s="62">
        <v>1</v>
      </c>
      <c r="AO556" s="5" t="s">
        <v>150</v>
      </c>
      <c r="AP556">
        <v>0</v>
      </c>
      <c r="AQ556" s="30" t="s">
        <v>388</v>
      </c>
      <c r="AR556" s="17">
        <f>MIN(AP555:AP579)</f>
        <v>0</v>
      </c>
      <c r="AY556" s="5" t="s">
        <v>199</v>
      </c>
      <c r="AZ556">
        <v>24</v>
      </c>
      <c r="BA556" s="17"/>
      <c r="BB556" s="17"/>
      <c r="BI556" s="5" t="s">
        <v>252</v>
      </c>
      <c r="BJ556">
        <v>0</v>
      </c>
      <c r="BK556" s="17"/>
      <c r="BL556" s="17"/>
      <c r="BX556" s="61" t="s">
        <v>275</v>
      </c>
      <c r="BY556" s="62">
        <v>0</v>
      </c>
      <c r="BZ556" s="63" t="s">
        <v>388</v>
      </c>
      <c r="CA556" s="58">
        <f>MIN(BY555:BY579)</f>
        <v>0</v>
      </c>
      <c r="CM556" s="17" t="s">
        <v>382</v>
      </c>
      <c r="CN556" s="29" t="s">
        <v>442</v>
      </c>
      <c r="CO556" s="17"/>
      <c r="CP556" s="17">
        <v>2016</v>
      </c>
      <c r="CR556" s="17" t="s">
        <v>382</v>
      </c>
      <c r="CS556" s="29" t="s">
        <v>442</v>
      </c>
      <c r="CT556" s="17"/>
      <c r="CU556" s="17">
        <v>2016</v>
      </c>
      <c r="CW556" s="61" t="s">
        <v>344</v>
      </c>
      <c r="CX556" s="62">
        <v>1</v>
      </c>
    </row>
    <row r="557" spans="21:102" x14ac:dyDescent="0.25">
      <c r="U557" s="17" t="s">
        <v>383</v>
      </c>
      <c r="V557" s="6" t="s">
        <v>24</v>
      </c>
      <c r="W557" s="17"/>
      <c r="X557" s="17"/>
      <c r="Z557" s="64" t="s">
        <v>114</v>
      </c>
      <c r="AA557" s="62">
        <v>0</v>
      </c>
      <c r="AO557" s="5" t="s">
        <v>151</v>
      </c>
      <c r="AP557">
        <v>0</v>
      </c>
      <c r="AQ557" s="30" t="s">
        <v>389</v>
      </c>
      <c r="AR557" s="17">
        <f>MAX(AP555:AP579)</f>
        <v>2</v>
      </c>
      <c r="AY557" s="5" t="s">
        <v>200</v>
      </c>
      <c r="AZ557">
        <v>9</v>
      </c>
      <c r="BA557" s="17"/>
      <c r="BB557" s="17"/>
      <c r="BI557" s="5" t="s">
        <v>253</v>
      </c>
      <c r="BJ557">
        <v>1</v>
      </c>
      <c r="BK557" s="17"/>
      <c r="BL557" s="17"/>
      <c r="BX557" s="61" t="s">
        <v>276</v>
      </c>
      <c r="BY557" s="62">
        <v>0</v>
      </c>
      <c r="BZ557" s="63" t="s">
        <v>389</v>
      </c>
      <c r="CA557" s="58">
        <f>MAX(BY555:BY579)</f>
        <v>2</v>
      </c>
      <c r="CM557" s="17" t="s">
        <v>383</v>
      </c>
      <c r="CN557" s="6" t="s">
        <v>32</v>
      </c>
      <c r="CO557" s="15"/>
      <c r="CP557" s="17"/>
      <c r="CR557" s="17" t="s">
        <v>383</v>
      </c>
      <c r="CS557" s="6" t="s">
        <v>32</v>
      </c>
      <c r="CT557" s="15"/>
      <c r="CU557" s="17"/>
      <c r="CW557" s="61" t="s">
        <v>345</v>
      </c>
      <c r="CX557" s="62">
        <v>0</v>
      </c>
    </row>
    <row r="558" spans="21:102" x14ac:dyDescent="0.25">
      <c r="U558" s="17" t="s">
        <v>384</v>
      </c>
      <c r="V558" s="17" t="s">
        <v>39</v>
      </c>
      <c r="W558" s="17" t="s">
        <v>385</v>
      </c>
      <c r="X558" s="17" t="s">
        <v>386</v>
      </c>
      <c r="Z558" s="64" t="s">
        <v>115</v>
      </c>
      <c r="AA558" s="62">
        <v>0</v>
      </c>
      <c r="AO558" s="5" t="s">
        <v>152</v>
      </c>
      <c r="AP558">
        <v>1</v>
      </c>
      <c r="AQ558" s="30" t="s">
        <v>390</v>
      </c>
      <c r="AR558" s="17">
        <f>VAR(AP555:AP579)</f>
        <v>0.50666666666666671</v>
      </c>
      <c r="AY558" s="5" t="s">
        <v>201</v>
      </c>
      <c r="AZ558">
        <v>10</v>
      </c>
      <c r="BA558" s="17"/>
      <c r="BB558" s="17"/>
      <c r="BI558" s="5" t="s">
        <v>254</v>
      </c>
      <c r="BJ558">
        <v>0</v>
      </c>
      <c r="BK558" s="17"/>
      <c r="BL558" s="17"/>
      <c r="BX558" s="61" t="s">
        <v>277</v>
      </c>
      <c r="BY558" s="62">
        <v>0</v>
      </c>
      <c r="BZ558" s="63" t="s">
        <v>390</v>
      </c>
      <c r="CA558" s="58">
        <f>VAR(BY555:BY579)</f>
        <v>0.25</v>
      </c>
      <c r="CM558" s="17" t="s">
        <v>384</v>
      </c>
      <c r="CN558" s="17" t="s">
        <v>39</v>
      </c>
      <c r="CO558" s="17" t="s">
        <v>385</v>
      </c>
      <c r="CP558" s="17" t="s">
        <v>386</v>
      </c>
      <c r="CR558" s="17" t="s">
        <v>384</v>
      </c>
      <c r="CS558" s="17" t="s">
        <v>39</v>
      </c>
      <c r="CT558" s="17" t="s">
        <v>385</v>
      </c>
      <c r="CU558" s="17" t="s">
        <v>386</v>
      </c>
      <c r="CW558" s="61" t="s">
        <v>346</v>
      </c>
      <c r="CX558" s="62">
        <v>1</v>
      </c>
    </row>
    <row r="559" spans="21:102" x14ac:dyDescent="0.25">
      <c r="U559" s="5" t="s">
        <v>96</v>
      </c>
      <c r="V559">
        <v>0</v>
      </c>
      <c r="W559" s="30" t="s">
        <v>387</v>
      </c>
      <c r="X559" s="17">
        <f>SUM(V559:V591)</f>
        <v>47</v>
      </c>
      <c r="Z559" s="64" t="s">
        <v>116</v>
      </c>
      <c r="AA559" s="62">
        <v>0</v>
      </c>
      <c r="AO559" s="5" t="s">
        <v>153</v>
      </c>
      <c r="AP559">
        <v>1</v>
      </c>
      <c r="AQ559" s="30" t="s">
        <v>391</v>
      </c>
      <c r="AR559" s="17">
        <f>AVERAGE(AP555:AP579)</f>
        <v>0.56000000000000005</v>
      </c>
      <c r="AY559" s="5" t="s">
        <v>202</v>
      </c>
      <c r="AZ559">
        <v>9</v>
      </c>
      <c r="BA559" s="17"/>
      <c r="BB559" s="17"/>
      <c r="BI559" s="5" t="s">
        <v>255</v>
      </c>
      <c r="BJ559">
        <v>0</v>
      </c>
      <c r="BK559" s="17"/>
      <c r="BL559" s="17"/>
      <c r="BX559" s="61" t="s">
        <v>279</v>
      </c>
      <c r="BY559" s="62">
        <v>0</v>
      </c>
      <c r="BZ559" s="63" t="s">
        <v>391</v>
      </c>
      <c r="CA559" s="58">
        <f>AVERAGE(BY555:BY579)</f>
        <v>0.2</v>
      </c>
      <c r="CM559" s="5" t="s">
        <v>328</v>
      </c>
      <c r="CN559">
        <v>6</v>
      </c>
      <c r="CO559" s="30" t="s">
        <v>387</v>
      </c>
      <c r="CP559" s="17">
        <f>SUM(CN559:CN591)</f>
        <v>34</v>
      </c>
      <c r="CR559" s="5" t="s">
        <v>333</v>
      </c>
      <c r="CS559">
        <v>7</v>
      </c>
      <c r="CT559" s="30" t="s">
        <v>387</v>
      </c>
      <c r="CU559" s="17">
        <f>SUM(CS559:CS586)</f>
        <v>338</v>
      </c>
      <c r="CW559" s="61" t="s">
        <v>347</v>
      </c>
      <c r="CX559" s="62">
        <v>0</v>
      </c>
    </row>
    <row r="560" spans="21:102" x14ac:dyDescent="0.25">
      <c r="U560" s="5" t="s">
        <v>97</v>
      </c>
      <c r="V560">
        <v>3</v>
      </c>
      <c r="W560" s="30" t="s">
        <v>388</v>
      </c>
      <c r="X560" s="17">
        <f>MIN(V559:V591)</f>
        <v>0</v>
      </c>
      <c r="Z560" s="64" t="s">
        <v>117</v>
      </c>
      <c r="AA560" s="62">
        <v>0</v>
      </c>
      <c r="AO560" s="5" t="s">
        <v>154</v>
      </c>
      <c r="AP560">
        <v>0</v>
      </c>
      <c r="AQ560" s="30" t="s">
        <v>392</v>
      </c>
      <c r="AR560" s="17">
        <f>STDEV(AP555:AP579)</f>
        <v>0.71180521680208741</v>
      </c>
      <c r="AY560" s="5" t="s">
        <v>203</v>
      </c>
      <c r="AZ560">
        <v>17</v>
      </c>
      <c r="BA560" s="17"/>
      <c r="BB560" s="17"/>
      <c r="BI560" s="5" t="s">
        <v>256</v>
      </c>
      <c r="BJ560">
        <v>0</v>
      </c>
      <c r="BK560" s="17"/>
      <c r="BL560" s="17"/>
      <c r="BX560" s="61" t="s">
        <v>278</v>
      </c>
      <c r="BY560" s="62">
        <v>0</v>
      </c>
      <c r="BZ560" s="63" t="s">
        <v>392</v>
      </c>
      <c r="CA560" s="58">
        <f>STDEV(BY555:BY579)</f>
        <v>0.5</v>
      </c>
      <c r="CM560" s="5" t="s">
        <v>329</v>
      </c>
      <c r="CN560">
        <v>5</v>
      </c>
      <c r="CO560" s="30" t="s">
        <v>388</v>
      </c>
      <c r="CP560" s="17">
        <f>MIN(CN559:CN591)</f>
        <v>5</v>
      </c>
      <c r="CR560" s="5" t="s">
        <v>334</v>
      </c>
      <c r="CS560">
        <v>17</v>
      </c>
      <c r="CT560" s="30" t="s">
        <v>388</v>
      </c>
      <c r="CU560" s="17">
        <f>MIN(CS559:CS586)</f>
        <v>5</v>
      </c>
      <c r="CW560" s="61" t="s">
        <v>348</v>
      </c>
      <c r="CX560" s="62">
        <v>0</v>
      </c>
    </row>
    <row r="561" spans="21:104" x14ac:dyDescent="0.25">
      <c r="U561" s="5" t="s">
        <v>98</v>
      </c>
      <c r="V561">
        <v>2</v>
      </c>
      <c r="W561" s="30" t="s">
        <v>389</v>
      </c>
      <c r="X561" s="17">
        <f>MAX(V559:V591)</f>
        <v>6</v>
      </c>
      <c r="Z561" s="64" t="s">
        <v>118</v>
      </c>
      <c r="AA561" s="62">
        <v>0</v>
      </c>
      <c r="AO561" s="5" t="s">
        <v>155</v>
      </c>
      <c r="AP561">
        <v>2</v>
      </c>
      <c r="AQ561" s="17"/>
      <c r="AR561" s="17"/>
      <c r="AY561" s="5" t="s">
        <v>204</v>
      </c>
      <c r="AZ561">
        <v>27</v>
      </c>
      <c r="BA561" s="17"/>
      <c r="BB561" s="17"/>
      <c r="BI561" s="5" t="s">
        <v>257</v>
      </c>
      <c r="BJ561">
        <v>0</v>
      </c>
      <c r="BK561" s="17"/>
      <c r="BL561" s="17"/>
      <c r="BX561" s="61" t="s">
        <v>280</v>
      </c>
      <c r="BY561" s="62">
        <v>1</v>
      </c>
      <c r="BZ561" s="58"/>
      <c r="CA561" s="58"/>
      <c r="CM561" s="5" t="s">
        <v>330</v>
      </c>
      <c r="CN561">
        <v>11</v>
      </c>
      <c r="CO561" s="30" t="s">
        <v>389</v>
      </c>
      <c r="CP561" s="17">
        <f>MAX(CN559:CN591)</f>
        <v>11</v>
      </c>
      <c r="CR561" s="5" t="s">
        <v>335</v>
      </c>
      <c r="CS561">
        <v>10</v>
      </c>
      <c r="CT561" s="30" t="s">
        <v>389</v>
      </c>
      <c r="CU561" s="17">
        <f>MAX(CS559:CS586)</f>
        <v>19</v>
      </c>
      <c r="CW561" s="61" t="s">
        <v>349</v>
      </c>
      <c r="CX561" s="62">
        <v>0</v>
      </c>
    </row>
    <row r="562" spans="21:104" x14ac:dyDescent="0.25">
      <c r="U562" s="5" t="s">
        <v>99</v>
      </c>
      <c r="V562">
        <v>1</v>
      </c>
      <c r="W562" s="30" t="s">
        <v>390</v>
      </c>
      <c r="X562" s="17">
        <f>VAR(V559:V591)</f>
        <v>2.1268939393939394</v>
      </c>
      <c r="Z562" s="64" t="s">
        <v>119</v>
      </c>
      <c r="AA562" s="62">
        <v>0</v>
      </c>
      <c r="AO562" s="5" t="s">
        <v>156</v>
      </c>
      <c r="AP562">
        <v>2</v>
      </c>
      <c r="AQ562" s="17"/>
      <c r="AR562" s="17"/>
      <c r="AY562" s="5" t="s">
        <v>205</v>
      </c>
      <c r="AZ562">
        <v>19</v>
      </c>
      <c r="BA562" s="17"/>
      <c r="BB562" s="17"/>
      <c r="BI562" s="5" t="s">
        <v>258</v>
      </c>
      <c r="BJ562">
        <v>0</v>
      </c>
      <c r="BK562" s="17"/>
      <c r="BL562" s="17"/>
      <c r="BX562" s="61" t="s">
        <v>281</v>
      </c>
      <c r="BY562" s="62">
        <v>0</v>
      </c>
      <c r="BZ562" s="58"/>
      <c r="CA562" s="58"/>
      <c r="CM562" s="5" t="s">
        <v>331</v>
      </c>
      <c r="CN562">
        <v>6</v>
      </c>
      <c r="CO562" s="30" t="s">
        <v>390</v>
      </c>
      <c r="CP562" s="17">
        <f>VAR(CN559:CN591)</f>
        <v>5.7000000000000028</v>
      </c>
      <c r="CR562" s="5" t="s">
        <v>43</v>
      </c>
      <c r="CS562">
        <v>16</v>
      </c>
      <c r="CT562" s="30" t="s">
        <v>390</v>
      </c>
      <c r="CU562" s="17">
        <f>VAR(CS559:CS586)</f>
        <v>18.957671957671952</v>
      </c>
      <c r="CW562" s="61" t="s">
        <v>350</v>
      </c>
      <c r="CX562" s="62">
        <v>0</v>
      </c>
    </row>
    <row r="563" spans="21:104" x14ac:dyDescent="0.25">
      <c r="U563" s="5" t="s">
        <v>100</v>
      </c>
      <c r="V563">
        <v>0</v>
      </c>
      <c r="W563" s="30" t="s">
        <v>391</v>
      </c>
      <c r="X563" s="17">
        <f>AVERAGE(V559:V591)</f>
        <v>1.4242424242424243</v>
      </c>
      <c r="Z563" s="61" t="s">
        <v>120</v>
      </c>
      <c r="AA563" s="62">
        <v>0</v>
      </c>
      <c r="AO563" s="5" t="s">
        <v>157</v>
      </c>
      <c r="AP563">
        <v>0</v>
      </c>
      <c r="AQ563" s="17"/>
      <c r="AR563" s="17"/>
      <c r="AY563" s="5" t="s">
        <v>206</v>
      </c>
      <c r="AZ563">
        <v>21</v>
      </c>
      <c r="BA563" s="17"/>
      <c r="BB563" s="17"/>
      <c r="BI563" s="5" t="s">
        <v>259</v>
      </c>
      <c r="BJ563">
        <v>0</v>
      </c>
      <c r="BK563" s="17"/>
      <c r="BL563" s="17"/>
      <c r="BX563" s="61" t="s">
        <v>282</v>
      </c>
      <c r="BY563" s="62">
        <v>0</v>
      </c>
      <c r="BZ563" s="58"/>
      <c r="CA563" s="58"/>
      <c r="CM563" s="5" t="s">
        <v>332</v>
      </c>
      <c r="CN563">
        <v>6</v>
      </c>
      <c r="CO563" s="30" t="s">
        <v>391</v>
      </c>
      <c r="CP563" s="17">
        <f>AVERAGE(CN559:CN591)</f>
        <v>6.8</v>
      </c>
      <c r="CR563" s="5" t="s">
        <v>336</v>
      </c>
      <c r="CS563">
        <v>16</v>
      </c>
      <c r="CT563" s="30" t="s">
        <v>391</v>
      </c>
      <c r="CU563" s="17">
        <f>AVERAGE(CS559:CS586)</f>
        <v>12.071428571428571</v>
      </c>
      <c r="CW563" s="61" t="s">
        <v>351</v>
      </c>
      <c r="CX563" s="62">
        <v>0</v>
      </c>
    </row>
    <row r="564" spans="21:104" x14ac:dyDescent="0.25">
      <c r="U564" s="5" t="s">
        <v>101</v>
      </c>
      <c r="V564">
        <v>3</v>
      </c>
      <c r="W564" s="30" t="s">
        <v>392</v>
      </c>
      <c r="X564" s="17">
        <f>STDEV(V559:V591)</f>
        <v>1.4583874448835397</v>
      </c>
      <c r="Z564" s="61" t="s">
        <v>121</v>
      </c>
      <c r="AA564" s="62">
        <v>0</v>
      </c>
      <c r="AO564" s="5" t="s">
        <v>158</v>
      </c>
      <c r="AP564">
        <v>2</v>
      </c>
      <c r="AQ564" s="17"/>
      <c r="AR564" s="17"/>
      <c r="AY564" s="5" t="s">
        <v>207</v>
      </c>
      <c r="AZ564">
        <v>8</v>
      </c>
      <c r="BA564" s="17"/>
      <c r="BB564" s="17"/>
      <c r="BI564" s="5" t="s">
        <v>260</v>
      </c>
      <c r="BJ564">
        <v>1</v>
      </c>
      <c r="BK564" s="17"/>
      <c r="BL564" s="17"/>
      <c r="BX564" s="61" t="s">
        <v>283</v>
      </c>
      <c r="BY564" s="62">
        <v>0</v>
      </c>
      <c r="BZ564" s="58"/>
      <c r="CA564" s="58"/>
      <c r="CO564" s="30" t="s">
        <v>392</v>
      </c>
      <c r="CP564" s="17">
        <f>STDEV(CN559:CN591)</f>
        <v>2.3874672772626648</v>
      </c>
      <c r="CR564" s="5" t="s">
        <v>337</v>
      </c>
      <c r="CS564">
        <v>15</v>
      </c>
      <c r="CT564" s="30" t="s">
        <v>392</v>
      </c>
      <c r="CU564" s="17">
        <f>STDEV(CS559:CS586)</f>
        <v>4.3540408768949277</v>
      </c>
      <c r="CW564" s="61" t="s">
        <v>352</v>
      </c>
      <c r="CX564" s="62">
        <v>0</v>
      </c>
    </row>
    <row r="565" spans="21:104" x14ac:dyDescent="0.25">
      <c r="U565" s="5" t="s">
        <v>103</v>
      </c>
      <c r="V565">
        <v>1</v>
      </c>
      <c r="W565" s="17"/>
      <c r="X565" s="17"/>
      <c r="Z565" s="61" t="s">
        <v>122</v>
      </c>
      <c r="AA565" s="62">
        <v>0</v>
      </c>
      <c r="AO565" s="5" t="s">
        <v>159</v>
      </c>
      <c r="AP565">
        <v>0</v>
      </c>
      <c r="AQ565" s="17"/>
      <c r="AR565" s="17"/>
      <c r="AY565" s="5" t="s">
        <v>208</v>
      </c>
      <c r="AZ565">
        <v>29</v>
      </c>
      <c r="BA565" s="15"/>
      <c r="BB565" s="15"/>
      <c r="BI565" s="5" t="s">
        <v>261</v>
      </c>
      <c r="BJ565">
        <v>0</v>
      </c>
      <c r="BK565" s="15"/>
      <c r="BL565" s="15"/>
      <c r="BX565" s="61" t="s">
        <v>285</v>
      </c>
      <c r="BY565" s="62">
        <v>0</v>
      </c>
      <c r="BZ565" s="58"/>
      <c r="CA565" s="58"/>
      <c r="CO565" s="17"/>
      <c r="CP565" s="17"/>
      <c r="CR565" s="5" t="s">
        <v>338</v>
      </c>
      <c r="CS565">
        <v>8</v>
      </c>
      <c r="CW565" s="61" t="s">
        <v>353</v>
      </c>
      <c r="CX565" s="62">
        <v>0</v>
      </c>
    </row>
    <row r="566" spans="21:104" x14ac:dyDescent="0.25">
      <c r="U566" s="5" t="s">
        <v>104</v>
      </c>
      <c r="V566">
        <v>0</v>
      </c>
      <c r="W566" s="17"/>
      <c r="X566" s="17"/>
      <c r="Z566" s="61" t="s">
        <v>123</v>
      </c>
      <c r="AA566" s="62">
        <v>0</v>
      </c>
      <c r="AO566" s="5" t="s">
        <v>100</v>
      </c>
      <c r="AP566">
        <v>0</v>
      </c>
      <c r="AQ566" s="17"/>
      <c r="AR566" s="17"/>
      <c r="AY566" s="5" t="s">
        <v>209</v>
      </c>
      <c r="AZ566">
        <v>17</v>
      </c>
      <c r="BI566" s="5" t="s">
        <v>262</v>
      </c>
      <c r="BJ566">
        <v>0</v>
      </c>
      <c r="BX566" s="61" t="s">
        <v>284</v>
      </c>
      <c r="BY566" s="62">
        <v>0</v>
      </c>
      <c r="BZ566" s="58"/>
      <c r="CA566" s="58"/>
      <c r="CO566" s="17"/>
      <c r="CP566" s="17"/>
      <c r="CR566" s="5" t="s">
        <v>339</v>
      </c>
      <c r="CS566">
        <v>17</v>
      </c>
      <c r="CW566" s="61" t="s">
        <v>354</v>
      </c>
      <c r="CX566" s="62">
        <v>0</v>
      </c>
    </row>
    <row r="567" spans="21:104" x14ac:dyDescent="0.25">
      <c r="U567" s="5" t="s">
        <v>105</v>
      </c>
      <c r="V567">
        <v>0</v>
      </c>
      <c r="W567" s="17"/>
      <c r="X567" s="17"/>
      <c r="Z567" s="61" t="s">
        <v>124</v>
      </c>
      <c r="AA567" s="62">
        <v>0</v>
      </c>
      <c r="AO567" s="5" t="s">
        <v>161</v>
      </c>
      <c r="AP567">
        <v>0</v>
      </c>
      <c r="AQ567" s="17"/>
      <c r="AR567" s="17"/>
      <c r="AY567" s="5" t="s">
        <v>210</v>
      </c>
      <c r="AZ567">
        <v>11</v>
      </c>
      <c r="BI567" s="5" t="s">
        <v>263</v>
      </c>
      <c r="BJ567">
        <v>0</v>
      </c>
      <c r="BX567" s="61" t="s">
        <v>286</v>
      </c>
      <c r="BY567" s="62">
        <v>0</v>
      </c>
      <c r="BZ567" s="58"/>
      <c r="CA567" s="58"/>
      <c r="CO567" s="17"/>
      <c r="CP567" s="17"/>
      <c r="CR567" s="5" t="s">
        <v>340</v>
      </c>
      <c r="CS567">
        <v>6</v>
      </c>
      <c r="CW567" s="61" t="s">
        <v>355</v>
      </c>
      <c r="CX567" s="62">
        <v>0</v>
      </c>
    </row>
    <row r="568" spans="21:104" x14ac:dyDescent="0.25">
      <c r="U568" s="5" t="s">
        <v>106</v>
      </c>
      <c r="V568">
        <v>1</v>
      </c>
      <c r="W568" s="17"/>
      <c r="X568" s="17"/>
      <c r="Z568" s="61" t="s">
        <v>125</v>
      </c>
      <c r="AA568" s="62">
        <v>0</v>
      </c>
      <c r="AO568" s="5" t="s">
        <v>162</v>
      </c>
      <c r="AP568">
        <v>0</v>
      </c>
      <c r="AQ568" s="17"/>
      <c r="AR568" s="17"/>
      <c r="AY568" s="5" t="s">
        <v>211</v>
      </c>
      <c r="AZ568">
        <v>17</v>
      </c>
      <c r="BI568" s="5" t="s">
        <v>264</v>
      </c>
      <c r="BJ568">
        <v>0</v>
      </c>
      <c r="BX568" s="61" t="s">
        <v>287</v>
      </c>
      <c r="BY568" s="62">
        <v>0</v>
      </c>
      <c r="BZ568" s="58"/>
      <c r="CA568" s="58"/>
      <c r="CO568" s="17"/>
      <c r="CP568" s="17"/>
      <c r="CR568" s="5" t="s">
        <v>341</v>
      </c>
      <c r="CS568">
        <v>14</v>
      </c>
      <c r="CW568" s="66" t="s">
        <v>356</v>
      </c>
      <c r="CX568" s="62">
        <v>0</v>
      </c>
    </row>
    <row r="569" spans="21:104" x14ac:dyDescent="0.25">
      <c r="U569" s="5" t="s">
        <v>61</v>
      </c>
      <c r="V569">
        <v>2</v>
      </c>
      <c r="W569" s="17"/>
      <c r="X569" s="17"/>
      <c r="Z569" s="61" t="s">
        <v>126</v>
      </c>
      <c r="AA569" s="62">
        <v>1</v>
      </c>
      <c r="AO569" s="5" t="s">
        <v>163</v>
      </c>
      <c r="AP569">
        <v>1</v>
      </c>
      <c r="AQ569" s="17"/>
      <c r="AR569" s="17"/>
      <c r="AY569" s="5" t="s">
        <v>212</v>
      </c>
      <c r="AZ569">
        <v>4</v>
      </c>
      <c r="BI569" s="5" t="s">
        <v>265</v>
      </c>
      <c r="BJ569">
        <v>0</v>
      </c>
      <c r="BX569" s="61" t="s">
        <v>288</v>
      </c>
      <c r="BY569" s="62">
        <v>2</v>
      </c>
      <c r="BZ569" s="58"/>
      <c r="CA569" s="58"/>
      <c r="CO569" s="17"/>
      <c r="CP569" s="17"/>
      <c r="CR569" s="5" t="s">
        <v>342</v>
      </c>
      <c r="CS569">
        <v>19</v>
      </c>
      <c r="CW569" s="66" t="s">
        <v>357</v>
      </c>
      <c r="CX569" s="62">
        <v>0</v>
      </c>
    </row>
    <row r="570" spans="21:104" x14ac:dyDescent="0.25">
      <c r="U570" s="5" t="s">
        <v>107</v>
      </c>
      <c r="V570">
        <v>3</v>
      </c>
      <c r="W570" s="17"/>
      <c r="X570" s="17"/>
      <c r="Z570" s="61" t="s">
        <v>127</v>
      </c>
      <c r="AA570" s="62">
        <v>0</v>
      </c>
      <c r="AO570" s="5" t="s">
        <v>164</v>
      </c>
      <c r="AP570">
        <v>1</v>
      </c>
      <c r="AQ570" s="17"/>
      <c r="AR570" s="17"/>
      <c r="AY570" s="5" t="s">
        <v>213</v>
      </c>
      <c r="AZ570">
        <v>10</v>
      </c>
      <c r="BI570" s="5" t="s">
        <v>266</v>
      </c>
      <c r="BJ570">
        <v>0</v>
      </c>
      <c r="BX570" s="61" t="s">
        <v>289</v>
      </c>
      <c r="BY570" s="62">
        <v>0</v>
      </c>
      <c r="BZ570" s="58"/>
      <c r="CA570" s="58"/>
      <c r="CO570" s="17"/>
      <c r="CP570" s="17"/>
      <c r="CR570" s="5" t="s">
        <v>343</v>
      </c>
      <c r="CS570">
        <v>9</v>
      </c>
      <c r="CW570" s="66" t="s">
        <v>358</v>
      </c>
      <c r="CX570" s="62">
        <v>0</v>
      </c>
    </row>
    <row r="571" spans="21:104" x14ac:dyDescent="0.25">
      <c r="U571" s="5" t="s">
        <v>108</v>
      </c>
      <c r="V571">
        <v>3</v>
      </c>
      <c r="W571" s="17"/>
      <c r="X571" s="17"/>
      <c r="Z571" s="61" t="s">
        <v>128</v>
      </c>
      <c r="AA571" s="62">
        <v>1</v>
      </c>
      <c r="AO571" s="5" t="s">
        <v>165</v>
      </c>
      <c r="AP571">
        <v>1</v>
      </c>
      <c r="AQ571" s="17"/>
      <c r="AR571" s="17"/>
      <c r="AY571" s="5" t="s">
        <v>214</v>
      </c>
      <c r="AZ571">
        <v>2</v>
      </c>
      <c r="BI571" s="5" t="s">
        <v>267</v>
      </c>
      <c r="BJ571">
        <v>0</v>
      </c>
      <c r="BX571" s="61" t="s">
        <v>290</v>
      </c>
      <c r="BY571" s="62">
        <v>1</v>
      </c>
      <c r="CO571" s="17"/>
      <c r="CP571" s="17"/>
      <c r="CR571" s="5" t="s">
        <v>344</v>
      </c>
      <c r="CS571">
        <v>19</v>
      </c>
      <c r="CW571" s="66" t="s">
        <v>359</v>
      </c>
      <c r="CX571" s="62">
        <v>0</v>
      </c>
    </row>
    <row r="572" spans="21:104" x14ac:dyDescent="0.25">
      <c r="U572" s="5" t="s">
        <v>109</v>
      </c>
      <c r="V572">
        <v>0</v>
      </c>
      <c r="W572" s="17"/>
      <c r="X572" s="17"/>
      <c r="AO572" s="5" t="s">
        <v>166</v>
      </c>
      <c r="AP572">
        <v>0</v>
      </c>
      <c r="AQ572" s="15"/>
      <c r="AR572" s="15"/>
      <c r="AY572" s="5" t="s">
        <v>215</v>
      </c>
      <c r="AZ572">
        <v>8</v>
      </c>
      <c r="BI572" s="5" t="s">
        <v>268</v>
      </c>
      <c r="BJ572">
        <v>0</v>
      </c>
      <c r="BX572" s="61" t="s">
        <v>291</v>
      </c>
      <c r="BY572" s="62">
        <v>1</v>
      </c>
      <c r="CO572" s="17"/>
      <c r="CP572" s="17"/>
      <c r="CR572" s="5" t="s">
        <v>345</v>
      </c>
      <c r="CS572">
        <v>8</v>
      </c>
    </row>
    <row r="573" spans="21:104" x14ac:dyDescent="0.25">
      <c r="U573" s="5" t="s">
        <v>110</v>
      </c>
      <c r="V573">
        <v>0</v>
      </c>
      <c r="W573" s="17"/>
      <c r="X573" s="17"/>
      <c r="Z573" s="58" t="s">
        <v>382</v>
      </c>
      <c r="AA573" s="59" t="s">
        <v>627</v>
      </c>
      <c r="AB573" s="58"/>
      <c r="AC573" s="58">
        <v>2016</v>
      </c>
      <c r="AO573" s="5" t="s">
        <v>168</v>
      </c>
      <c r="AP573">
        <v>0</v>
      </c>
      <c r="AQ573" s="17"/>
      <c r="AR573" s="17"/>
      <c r="AY573" s="5" t="s">
        <v>216</v>
      </c>
      <c r="AZ573">
        <v>7</v>
      </c>
      <c r="BI573" s="5" t="s">
        <v>269</v>
      </c>
      <c r="BJ573">
        <v>0</v>
      </c>
      <c r="BX573" s="61" t="s">
        <v>292</v>
      </c>
      <c r="BY573" s="62">
        <v>0</v>
      </c>
      <c r="CO573" s="17"/>
      <c r="CP573" s="17"/>
      <c r="CR573" s="5" t="s">
        <v>346</v>
      </c>
      <c r="CS573">
        <v>18</v>
      </c>
      <c r="CW573" s="58" t="s">
        <v>382</v>
      </c>
      <c r="CX573" s="59" t="s">
        <v>629</v>
      </c>
      <c r="CY573" s="58"/>
      <c r="CZ573" s="58">
        <v>2016</v>
      </c>
    </row>
    <row r="574" spans="21:104" x14ac:dyDescent="0.25">
      <c r="U574" s="5" t="s">
        <v>111</v>
      </c>
      <c r="V574">
        <v>3</v>
      </c>
      <c r="W574" s="17"/>
      <c r="X574" s="17"/>
      <c r="Z574" s="58" t="s">
        <v>383</v>
      </c>
      <c r="AA574" s="60" t="s">
        <v>22</v>
      </c>
      <c r="AB574" s="58"/>
      <c r="AC574" s="58"/>
      <c r="AO574" s="5" t="s">
        <v>169</v>
      </c>
      <c r="AP574">
        <v>1</v>
      </c>
      <c r="AQ574" s="17"/>
      <c r="AR574" s="17"/>
      <c r="AY574" s="5" t="s">
        <v>217</v>
      </c>
      <c r="AZ574">
        <v>2</v>
      </c>
      <c r="BI574" s="5" t="s">
        <v>270</v>
      </c>
      <c r="BJ574">
        <v>0</v>
      </c>
      <c r="BX574" s="61" t="s">
        <v>293</v>
      </c>
      <c r="BY574" s="62">
        <v>0</v>
      </c>
      <c r="CO574" s="17"/>
      <c r="CP574" s="17"/>
      <c r="CR574" s="5" t="s">
        <v>347</v>
      </c>
      <c r="CS574">
        <v>16</v>
      </c>
      <c r="CW574" s="58" t="s">
        <v>383</v>
      </c>
      <c r="CX574" s="60" t="s">
        <v>25</v>
      </c>
      <c r="CY574" s="58"/>
      <c r="CZ574" s="58"/>
    </row>
    <row r="575" spans="21:104" x14ac:dyDescent="0.25">
      <c r="U575" s="5" t="s">
        <v>112</v>
      </c>
      <c r="V575">
        <v>1</v>
      </c>
      <c r="W575" s="17"/>
      <c r="X575" s="17"/>
      <c r="Z575" s="58" t="s">
        <v>384</v>
      </c>
      <c r="AA575" s="58" t="s">
        <v>39</v>
      </c>
      <c r="AB575" s="58" t="s">
        <v>385</v>
      </c>
      <c r="AC575" s="58" t="s">
        <v>386</v>
      </c>
      <c r="AO575" s="5" t="s">
        <v>170</v>
      </c>
      <c r="AP575">
        <v>1</v>
      </c>
      <c r="AQ575" s="17"/>
      <c r="AR575" s="1"/>
      <c r="AY575" s="5" t="s">
        <v>218</v>
      </c>
      <c r="AZ575">
        <v>2</v>
      </c>
      <c r="BI575" s="5" t="s">
        <v>271</v>
      </c>
      <c r="BJ575">
        <v>0</v>
      </c>
      <c r="BX575" s="61" t="s">
        <v>294</v>
      </c>
      <c r="BY575" s="62">
        <v>0</v>
      </c>
      <c r="CR575" s="5" t="s">
        <v>348</v>
      </c>
      <c r="CS575">
        <v>10</v>
      </c>
      <c r="CW575" s="58" t="s">
        <v>384</v>
      </c>
      <c r="CX575" s="58" t="s">
        <v>39</v>
      </c>
      <c r="CY575" s="58" t="s">
        <v>385</v>
      </c>
      <c r="CZ575" s="58" t="s">
        <v>386</v>
      </c>
    </row>
    <row r="576" spans="21:104" x14ac:dyDescent="0.25">
      <c r="U576" s="5" t="s">
        <v>113</v>
      </c>
      <c r="V576">
        <v>0</v>
      </c>
      <c r="W576" s="15"/>
      <c r="X576" s="15"/>
      <c r="Z576" s="61" t="s">
        <v>88</v>
      </c>
      <c r="AA576" s="62">
        <v>0</v>
      </c>
      <c r="AB576" s="63" t="s">
        <v>387</v>
      </c>
      <c r="AC576" s="58">
        <f>SUM(AA576:AA615)</f>
        <v>9</v>
      </c>
      <c r="AO576" s="5" t="s">
        <v>171</v>
      </c>
      <c r="AP576">
        <v>0</v>
      </c>
      <c r="AQ576" s="17"/>
      <c r="AR576" s="1"/>
      <c r="AY576" s="5" t="s">
        <v>219</v>
      </c>
      <c r="AZ576">
        <v>1</v>
      </c>
      <c r="BI576" s="5" t="s">
        <v>272</v>
      </c>
      <c r="BJ576">
        <v>0</v>
      </c>
      <c r="BX576" s="61" t="s">
        <v>295</v>
      </c>
      <c r="BY576" s="62">
        <v>0</v>
      </c>
      <c r="CR576" s="5" t="s">
        <v>349</v>
      </c>
      <c r="CS576">
        <v>17</v>
      </c>
      <c r="CW576" s="61" t="s">
        <v>321</v>
      </c>
      <c r="CX576" s="62">
        <v>0</v>
      </c>
      <c r="CY576" s="63" t="s">
        <v>387</v>
      </c>
      <c r="CZ576" s="58">
        <f>SUM(CX576:CX615)</f>
        <v>1</v>
      </c>
    </row>
    <row r="577" spans="21:104" x14ac:dyDescent="0.25">
      <c r="U577" s="26" t="s">
        <v>114</v>
      </c>
      <c r="V577">
        <v>2</v>
      </c>
      <c r="W577" s="17"/>
      <c r="X577" s="17"/>
      <c r="Z577" s="61" t="s">
        <v>89</v>
      </c>
      <c r="AA577" s="62">
        <v>0</v>
      </c>
      <c r="AB577" s="63" t="s">
        <v>388</v>
      </c>
      <c r="AC577" s="58">
        <f>MIN(AA576:AA615)</f>
        <v>0</v>
      </c>
      <c r="AO577" s="5" t="s">
        <v>172</v>
      </c>
      <c r="AP577">
        <v>0</v>
      </c>
      <c r="AQ577" s="17"/>
      <c r="AR577" s="1"/>
      <c r="AY577" s="5" t="s">
        <v>220</v>
      </c>
      <c r="AZ577">
        <v>4</v>
      </c>
      <c r="BI577" s="5" t="s">
        <v>273</v>
      </c>
      <c r="BJ577">
        <v>0</v>
      </c>
      <c r="BX577" s="61" t="s">
        <v>296</v>
      </c>
      <c r="BY577" s="62">
        <v>0</v>
      </c>
      <c r="CR577" s="5" t="s">
        <v>350</v>
      </c>
      <c r="CS577">
        <v>7</v>
      </c>
      <c r="CW577" s="61" t="s">
        <v>322</v>
      </c>
      <c r="CX577" s="62">
        <v>0</v>
      </c>
      <c r="CY577" s="63" t="s">
        <v>388</v>
      </c>
      <c r="CZ577" s="58">
        <f>MIN(CX576:CX615)</f>
        <v>0</v>
      </c>
    </row>
    <row r="578" spans="21:104" x14ac:dyDescent="0.25">
      <c r="U578" s="26" t="s">
        <v>115</v>
      </c>
      <c r="V578">
        <v>2</v>
      </c>
      <c r="W578" s="17"/>
      <c r="X578" s="17"/>
      <c r="Z578" s="61" t="s">
        <v>90</v>
      </c>
      <c r="AA578" s="62">
        <v>0</v>
      </c>
      <c r="AB578" s="63" t="s">
        <v>389</v>
      </c>
      <c r="AC578" s="58">
        <f>MAX(AA576:AA615)</f>
        <v>2</v>
      </c>
      <c r="AO578" s="5" t="s">
        <v>173</v>
      </c>
      <c r="AP578">
        <v>0</v>
      </c>
      <c r="BX578" s="61" t="s">
        <v>297</v>
      </c>
      <c r="BY578" s="62">
        <v>0</v>
      </c>
      <c r="CR578" s="5" t="s">
        <v>351</v>
      </c>
      <c r="CS578">
        <v>8</v>
      </c>
      <c r="CW578" s="61" t="s">
        <v>323</v>
      </c>
      <c r="CX578" s="62">
        <v>0</v>
      </c>
      <c r="CY578" s="63" t="s">
        <v>389</v>
      </c>
      <c r="CZ578" s="58">
        <f>MAX(CX576:CX615)</f>
        <v>1</v>
      </c>
    </row>
    <row r="579" spans="21:104" x14ac:dyDescent="0.25">
      <c r="U579" s="26" t="s">
        <v>116</v>
      </c>
      <c r="V579">
        <v>3</v>
      </c>
      <c r="W579" s="17"/>
      <c r="X579" s="1"/>
      <c r="Z579" s="61" t="s">
        <v>91</v>
      </c>
      <c r="AA579" s="62">
        <v>0</v>
      </c>
      <c r="AB579" s="63" t="s">
        <v>390</v>
      </c>
      <c r="AC579" s="58">
        <f>VAR(AA576:AA615)</f>
        <v>0.28141025641025641</v>
      </c>
      <c r="AO579" s="5" t="s">
        <v>174</v>
      </c>
      <c r="AP579">
        <v>1</v>
      </c>
      <c r="AY579" s="17" t="s">
        <v>382</v>
      </c>
      <c r="AZ579" s="29" t="s">
        <v>370</v>
      </c>
      <c r="BA579" s="17"/>
      <c r="BB579" s="17">
        <v>2016</v>
      </c>
      <c r="BI579" s="17" t="s">
        <v>382</v>
      </c>
      <c r="BJ579" s="29" t="s">
        <v>372</v>
      </c>
      <c r="BK579" s="17"/>
      <c r="BL579" s="17">
        <v>2016</v>
      </c>
      <c r="BX579" s="61" t="s">
        <v>298</v>
      </c>
      <c r="BY579" s="62">
        <v>0</v>
      </c>
      <c r="CR579" s="5" t="s">
        <v>352</v>
      </c>
      <c r="CS579">
        <v>13</v>
      </c>
      <c r="CW579" s="61" t="s">
        <v>324</v>
      </c>
      <c r="CX579" s="62">
        <v>0</v>
      </c>
      <c r="CY579" s="63" t="s">
        <v>390</v>
      </c>
      <c r="CZ579" s="58">
        <f>VAR(CX576:CX615)</f>
        <v>2.4999999999999998E-2</v>
      </c>
    </row>
    <row r="580" spans="21:104" x14ac:dyDescent="0.25">
      <c r="U580" s="26" t="s">
        <v>117</v>
      </c>
      <c r="V580">
        <v>0</v>
      </c>
      <c r="W580" s="17"/>
      <c r="X580" s="1"/>
      <c r="Z580" s="61" t="s">
        <v>92</v>
      </c>
      <c r="AA580" s="62">
        <v>0</v>
      </c>
      <c r="AB580" s="63" t="s">
        <v>391</v>
      </c>
      <c r="AC580" s="58">
        <f>AVERAGE(AA576:AA615)</f>
        <v>0.22500000000000001</v>
      </c>
      <c r="AY580" s="17" t="s">
        <v>383</v>
      </c>
      <c r="AZ580" s="6" t="s">
        <v>33</v>
      </c>
      <c r="BA580" s="17"/>
      <c r="BB580" s="17"/>
      <c r="BI580" s="17" t="s">
        <v>383</v>
      </c>
      <c r="BJ580" s="6" t="s">
        <v>32</v>
      </c>
      <c r="BK580" s="17"/>
      <c r="BL580" s="17"/>
      <c r="CR580" s="5" t="s">
        <v>353</v>
      </c>
      <c r="CS580">
        <v>14</v>
      </c>
      <c r="CW580" s="61" t="s">
        <v>325</v>
      </c>
      <c r="CX580" s="62">
        <v>0</v>
      </c>
      <c r="CY580" s="63" t="s">
        <v>391</v>
      </c>
      <c r="CZ580" s="58">
        <f>AVERAGE(CX576:CX615)</f>
        <v>2.5000000000000001E-2</v>
      </c>
    </row>
    <row r="581" spans="21:104" x14ac:dyDescent="0.25">
      <c r="U581" s="26" t="s">
        <v>118</v>
      </c>
      <c r="V581">
        <v>3</v>
      </c>
      <c r="W581" s="17"/>
      <c r="X581" s="1"/>
      <c r="Z581" s="61" t="s">
        <v>93</v>
      </c>
      <c r="AA581" s="62">
        <v>0</v>
      </c>
      <c r="AB581" s="63" t="s">
        <v>392</v>
      </c>
      <c r="AC581" s="58">
        <f>STDEV(AA576:AA615)</f>
        <v>0.53048115556563968</v>
      </c>
      <c r="AO581" s="17" t="s">
        <v>382</v>
      </c>
      <c r="AP581" s="29" t="s">
        <v>368</v>
      </c>
      <c r="AQ581" s="17"/>
      <c r="AR581" s="17">
        <v>2016</v>
      </c>
      <c r="AY581" s="17" t="s">
        <v>384</v>
      </c>
      <c r="AZ581" s="17" t="s">
        <v>39</v>
      </c>
      <c r="BA581" s="17" t="s">
        <v>385</v>
      </c>
      <c r="BB581" s="17" t="s">
        <v>386</v>
      </c>
      <c r="BI581" s="17" t="s">
        <v>384</v>
      </c>
      <c r="BJ581" s="17" t="s">
        <v>39</v>
      </c>
      <c r="BK581" s="17" t="s">
        <v>385</v>
      </c>
      <c r="BL581" s="17" t="s">
        <v>386</v>
      </c>
      <c r="BX581" s="58" t="s">
        <v>382</v>
      </c>
      <c r="BY581" s="59" t="s">
        <v>628</v>
      </c>
      <c r="BZ581" s="58"/>
      <c r="CA581" s="58">
        <v>2016</v>
      </c>
      <c r="CR581" s="5" t="s">
        <v>354</v>
      </c>
      <c r="CS581">
        <v>7</v>
      </c>
      <c r="CW581" s="61" t="s">
        <v>326</v>
      </c>
      <c r="CX581" s="62">
        <v>0</v>
      </c>
      <c r="CY581" s="63" t="s">
        <v>392</v>
      </c>
      <c r="CZ581" s="58">
        <f>STDEV(CX576:CX615)</f>
        <v>0.15811388300841897</v>
      </c>
    </row>
    <row r="582" spans="21:104" x14ac:dyDescent="0.25">
      <c r="U582" s="26" t="s">
        <v>119</v>
      </c>
      <c r="V582">
        <v>0</v>
      </c>
      <c r="Z582" s="61" t="s">
        <v>94</v>
      </c>
      <c r="AA582" s="62">
        <v>0</v>
      </c>
      <c r="AB582" s="58"/>
      <c r="AC582" s="58"/>
      <c r="AO582" s="17" t="s">
        <v>383</v>
      </c>
      <c r="AP582" s="6" t="s">
        <v>37</v>
      </c>
      <c r="AQ582" s="17"/>
      <c r="AR582" s="17"/>
      <c r="AY582" s="5" t="s">
        <v>192</v>
      </c>
      <c r="AZ582">
        <v>0</v>
      </c>
      <c r="BA582" s="30" t="s">
        <v>387</v>
      </c>
      <c r="BB582" s="17">
        <f>SUM(AZ582:AZ611)</f>
        <v>13</v>
      </c>
      <c r="BI582" s="5" t="s">
        <v>245</v>
      </c>
      <c r="BJ582">
        <v>7</v>
      </c>
      <c r="BK582" s="30" t="s">
        <v>387</v>
      </c>
      <c r="BL582" s="17">
        <f>SUM(BJ582:BJ611)</f>
        <v>452</v>
      </c>
      <c r="BX582" s="58" t="s">
        <v>383</v>
      </c>
      <c r="BY582" s="60" t="s">
        <v>37</v>
      </c>
      <c r="BZ582" s="58"/>
      <c r="CA582" s="58"/>
      <c r="CR582" s="5" t="s">
        <v>355</v>
      </c>
      <c r="CS582">
        <v>12</v>
      </c>
      <c r="CW582" s="61" t="s">
        <v>327</v>
      </c>
      <c r="CX582" s="62">
        <v>0</v>
      </c>
      <c r="CY582" s="58"/>
      <c r="CZ582" s="58"/>
    </row>
    <row r="583" spans="21:104" x14ac:dyDescent="0.25">
      <c r="U583" s="5" t="s">
        <v>120</v>
      </c>
      <c r="V583">
        <v>2</v>
      </c>
      <c r="Z583" s="61" t="s">
        <v>96</v>
      </c>
      <c r="AA583" s="62">
        <v>0</v>
      </c>
      <c r="AO583" s="17" t="s">
        <v>384</v>
      </c>
      <c r="AP583" s="17" t="s">
        <v>39</v>
      </c>
      <c r="AQ583" s="17" t="s">
        <v>385</v>
      </c>
      <c r="AR583" s="17" t="s">
        <v>386</v>
      </c>
      <c r="AY583" s="5" t="s">
        <v>193</v>
      </c>
      <c r="AZ583">
        <v>0</v>
      </c>
      <c r="BA583" s="30" t="s">
        <v>388</v>
      </c>
      <c r="BB583" s="17">
        <f>MIN(AZ582:AZ611)</f>
        <v>0</v>
      </c>
      <c r="BI583" s="5" t="s">
        <v>73</v>
      </c>
      <c r="BJ583">
        <v>1</v>
      </c>
      <c r="BK583" s="30" t="s">
        <v>388</v>
      </c>
      <c r="BL583" s="17">
        <f>MIN(BJ582:BJ611)</f>
        <v>1</v>
      </c>
      <c r="BX583" s="58" t="s">
        <v>384</v>
      </c>
      <c r="BY583" s="58" t="s">
        <v>39</v>
      </c>
      <c r="BZ583" s="58" t="s">
        <v>385</v>
      </c>
      <c r="CA583" s="58" t="s">
        <v>386</v>
      </c>
      <c r="CR583" s="2" t="s">
        <v>356</v>
      </c>
      <c r="CS583">
        <v>10</v>
      </c>
      <c r="CW583" s="61" t="s">
        <v>328</v>
      </c>
      <c r="CX583" s="62">
        <v>0</v>
      </c>
    </row>
    <row r="584" spans="21:104" x14ac:dyDescent="0.25">
      <c r="U584" s="5" t="s">
        <v>121</v>
      </c>
      <c r="V584">
        <v>6</v>
      </c>
      <c r="Z584" s="61" t="s">
        <v>97</v>
      </c>
      <c r="AA584" s="62">
        <v>0</v>
      </c>
      <c r="AO584" s="5" t="s">
        <v>149</v>
      </c>
      <c r="AP584">
        <v>2</v>
      </c>
      <c r="AQ584" s="30" t="s">
        <v>387</v>
      </c>
      <c r="AR584" s="17">
        <f>SUM(AP584:AP608)</f>
        <v>62</v>
      </c>
      <c r="AY584" s="5" t="s">
        <v>194</v>
      </c>
      <c r="AZ584">
        <v>0</v>
      </c>
      <c r="BA584" s="30" t="s">
        <v>389</v>
      </c>
      <c r="BB584" s="17">
        <f>MAX(AZ582:AZ611)</f>
        <v>3</v>
      </c>
      <c r="BI584" s="5" t="s">
        <v>246</v>
      </c>
      <c r="BJ584">
        <v>7</v>
      </c>
      <c r="BK584" s="30" t="s">
        <v>389</v>
      </c>
      <c r="BL584" s="17">
        <f>MAX(BJ582:BJ611)</f>
        <v>31</v>
      </c>
      <c r="BX584" s="61" t="s">
        <v>274</v>
      </c>
      <c r="BY584" s="62">
        <v>1</v>
      </c>
      <c r="BZ584" s="63" t="s">
        <v>387</v>
      </c>
      <c r="CA584" s="58">
        <f>SUM(BY584:BY608)</f>
        <v>70</v>
      </c>
      <c r="CR584" s="2" t="s">
        <v>357</v>
      </c>
      <c r="CS584">
        <v>10</v>
      </c>
      <c r="CW584" s="61" t="s">
        <v>329</v>
      </c>
      <c r="CX584" s="62">
        <v>0</v>
      </c>
    </row>
    <row r="585" spans="21:104" x14ac:dyDescent="0.25">
      <c r="U585" s="5" t="s">
        <v>122</v>
      </c>
      <c r="V585">
        <v>0</v>
      </c>
      <c r="Z585" s="61" t="s">
        <v>98</v>
      </c>
      <c r="AA585" s="62">
        <v>2</v>
      </c>
      <c r="AO585" s="5" t="s">
        <v>150</v>
      </c>
      <c r="AP585">
        <v>2</v>
      </c>
      <c r="AQ585" s="30" t="s">
        <v>388</v>
      </c>
      <c r="AR585" s="17">
        <f>MIN(AP584:AP608)</f>
        <v>0</v>
      </c>
      <c r="AY585" s="5" t="s">
        <v>195</v>
      </c>
      <c r="AZ585">
        <v>0</v>
      </c>
      <c r="BA585" s="30" t="s">
        <v>390</v>
      </c>
      <c r="BB585" s="17">
        <f>VAR(AZ582:AZ611)</f>
        <v>0.66781609195402303</v>
      </c>
      <c r="BI585" s="5" t="s">
        <v>247</v>
      </c>
      <c r="BJ585">
        <v>12</v>
      </c>
      <c r="BK585" s="30" t="s">
        <v>390</v>
      </c>
      <c r="BL585" s="17">
        <f>VAR(BJ582:BJ611)</f>
        <v>56.13333333333334</v>
      </c>
      <c r="BX585" s="61" t="s">
        <v>275</v>
      </c>
      <c r="BY585" s="62">
        <v>1</v>
      </c>
      <c r="BZ585" s="63" t="s">
        <v>388</v>
      </c>
      <c r="CA585" s="58">
        <f>MIN(BY584:BY608)</f>
        <v>0</v>
      </c>
      <c r="CR585" s="2" t="s">
        <v>358</v>
      </c>
      <c r="CS585">
        <v>10</v>
      </c>
      <c r="CW585" s="61" t="s">
        <v>330</v>
      </c>
      <c r="CX585" s="62">
        <v>0</v>
      </c>
    </row>
    <row r="586" spans="21:104" x14ac:dyDescent="0.25">
      <c r="U586" s="5" t="s">
        <v>123</v>
      </c>
      <c r="V586">
        <v>0</v>
      </c>
      <c r="Z586" s="61" t="s">
        <v>99</v>
      </c>
      <c r="AA586" s="62">
        <v>1</v>
      </c>
      <c r="AO586" s="5" t="s">
        <v>151</v>
      </c>
      <c r="AP586">
        <v>2</v>
      </c>
      <c r="AQ586" s="30" t="s">
        <v>389</v>
      </c>
      <c r="AR586" s="17">
        <f>MAX(AP584:AP608)</f>
        <v>9</v>
      </c>
      <c r="AY586" s="5" t="s">
        <v>196</v>
      </c>
      <c r="AZ586">
        <v>1</v>
      </c>
      <c r="BA586" s="30" t="s">
        <v>391</v>
      </c>
      <c r="BB586" s="17">
        <f>AVERAGE(AZ582:AZ611)</f>
        <v>0.43333333333333335</v>
      </c>
      <c r="BI586" s="5" t="s">
        <v>248</v>
      </c>
      <c r="BJ586">
        <v>18</v>
      </c>
      <c r="BK586" s="30" t="s">
        <v>391</v>
      </c>
      <c r="BL586" s="17">
        <f>AVERAGE(BJ582:BJ611)</f>
        <v>15.066666666666666</v>
      </c>
      <c r="BX586" s="61" t="s">
        <v>276</v>
      </c>
      <c r="BY586" s="62">
        <v>2</v>
      </c>
      <c r="BZ586" s="63" t="s">
        <v>389</v>
      </c>
      <c r="CA586" s="58">
        <f>MAX(BY584:BY608)</f>
        <v>6</v>
      </c>
      <c r="CR586" s="3" t="s">
        <v>359</v>
      </c>
      <c r="CS586">
        <v>5</v>
      </c>
      <c r="CW586" s="61" t="s">
        <v>331</v>
      </c>
      <c r="CX586" s="62">
        <v>0</v>
      </c>
    </row>
    <row r="587" spans="21:104" x14ac:dyDescent="0.25">
      <c r="U587" s="5" t="s">
        <v>124</v>
      </c>
      <c r="V587">
        <v>1</v>
      </c>
      <c r="Z587" s="61" t="s">
        <v>100</v>
      </c>
      <c r="AA587" s="62">
        <v>0</v>
      </c>
      <c r="AO587" s="5" t="s">
        <v>152</v>
      </c>
      <c r="AP587">
        <v>1</v>
      </c>
      <c r="AQ587" s="30" t="s">
        <v>390</v>
      </c>
      <c r="AR587" s="17">
        <f>VAR(AP584:AP608)</f>
        <v>3.6766666666666672</v>
      </c>
      <c r="AY587" s="5" t="s">
        <v>197</v>
      </c>
      <c r="AZ587">
        <v>0</v>
      </c>
      <c r="BA587" s="30" t="s">
        <v>392</v>
      </c>
      <c r="BB587" s="17">
        <f>STDEV(AZ582:AZ611)</f>
        <v>0.81720015415687675</v>
      </c>
      <c r="BI587" s="5" t="s">
        <v>249</v>
      </c>
      <c r="BJ587">
        <v>16</v>
      </c>
      <c r="BK587" s="30" t="s">
        <v>392</v>
      </c>
      <c r="BL587" s="17">
        <f>STDEV(BJ582:BJ611)</f>
        <v>7.4922181851126934</v>
      </c>
      <c r="BX587" s="61" t="s">
        <v>277</v>
      </c>
      <c r="BY587" s="62">
        <v>5</v>
      </c>
      <c r="BZ587" s="63" t="s">
        <v>390</v>
      </c>
      <c r="CA587" s="58">
        <f>VAR(BY584:BY608)</f>
        <v>3.5833333333333335</v>
      </c>
      <c r="CW587" s="61" t="s">
        <v>332</v>
      </c>
      <c r="CX587" s="62">
        <v>0</v>
      </c>
    </row>
    <row r="588" spans="21:104" x14ac:dyDescent="0.25">
      <c r="U588" s="5" t="s">
        <v>125</v>
      </c>
      <c r="V588">
        <v>3</v>
      </c>
      <c r="Z588" s="61" t="s">
        <v>101</v>
      </c>
      <c r="AA588" s="62">
        <v>1</v>
      </c>
      <c r="AO588" s="5" t="s">
        <v>153</v>
      </c>
      <c r="AP588">
        <v>3</v>
      </c>
      <c r="AQ588" s="30" t="s">
        <v>391</v>
      </c>
      <c r="AR588" s="17">
        <f>AVERAGE(AP584:AP608)</f>
        <v>2.48</v>
      </c>
      <c r="AY588" s="5" t="s">
        <v>198</v>
      </c>
      <c r="AZ588">
        <v>0</v>
      </c>
      <c r="BA588" s="17"/>
      <c r="BB588" s="17"/>
      <c r="BI588" s="5" t="s">
        <v>250</v>
      </c>
      <c r="BJ588">
        <v>11</v>
      </c>
      <c r="BK588" s="17"/>
      <c r="BL588" s="17"/>
      <c r="BX588" s="61" t="s">
        <v>279</v>
      </c>
      <c r="BY588" s="62">
        <v>3</v>
      </c>
      <c r="BZ588" s="63" t="s">
        <v>391</v>
      </c>
      <c r="CA588" s="58">
        <f>AVERAGE(BY584:BY608)</f>
        <v>2.8</v>
      </c>
      <c r="CW588" s="61" t="s">
        <v>333</v>
      </c>
      <c r="CX588" s="62">
        <v>0</v>
      </c>
    </row>
    <row r="589" spans="21:104" x14ac:dyDescent="0.25">
      <c r="U589" s="5" t="s">
        <v>126</v>
      </c>
      <c r="V589">
        <v>1</v>
      </c>
      <c r="Z589" s="61" t="s">
        <v>103</v>
      </c>
      <c r="AA589" s="62">
        <v>1</v>
      </c>
      <c r="AO589" s="5" t="s">
        <v>154</v>
      </c>
      <c r="AP589">
        <v>2</v>
      </c>
      <c r="AQ589" s="30" t="s">
        <v>392</v>
      </c>
      <c r="AR589" s="17">
        <f>STDEV(AP584:AP608)</f>
        <v>1.9174636024359542</v>
      </c>
      <c r="AY589" s="5" t="s">
        <v>161</v>
      </c>
      <c r="AZ589">
        <v>1</v>
      </c>
      <c r="BA589" s="17"/>
      <c r="BB589" s="17"/>
      <c r="BI589" s="5" t="s">
        <v>251</v>
      </c>
      <c r="BJ589">
        <v>15</v>
      </c>
      <c r="BK589" s="17"/>
      <c r="BL589" s="17"/>
      <c r="BX589" s="61" t="s">
        <v>278</v>
      </c>
      <c r="BY589" s="62">
        <v>1</v>
      </c>
      <c r="BZ589" s="63" t="s">
        <v>392</v>
      </c>
      <c r="CA589" s="58">
        <f>STDEV(BY584:BY608)</f>
        <v>1.8929694486000912</v>
      </c>
      <c r="CW589" s="61" t="s">
        <v>334</v>
      </c>
      <c r="CX589" s="62">
        <v>0</v>
      </c>
    </row>
    <row r="590" spans="21:104" x14ac:dyDescent="0.25">
      <c r="U590" s="5" t="s">
        <v>127</v>
      </c>
      <c r="V590">
        <v>1</v>
      </c>
      <c r="Z590" s="61" t="s">
        <v>104</v>
      </c>
      <c r="AA590" s="62">
        <v>0</v>
      </c>
      <c r="AO590" s="5" t="s">
        <v>155</v>
      </c>
      <c r="AP590">
        <v>4</v>
      </c>
      <c r="AQ590" s="17"/>
      <c r="AR590" s="17"/>
      <c r="AY590" s="5" t="s">
        <v>199</v>
      </c>
      <c r="AZ590">
        <v>0</v>
      </c>
      <c r="BA590" s="17"/>
      <c r="BB590" s="17"/>
      <c r="BI590" s="5" t="s">
        <v>252</v>
      </c>
      <c r="BJ590">
        <v>14</v>
      </c>
      <c r="BK590" s="17"/>
      <c r="BL590" s="17"/>
      <c r="BX590" s="61" t="s">
        <v>280</v>
      </c>
      <c r="BY590" s="62">
        <v>3</v>
      </c>
      <c r="BZ590" s="58"/>
      <c r="CA590" s="58"/>
      <c r="CW590" s="61" t="s">
        <v>335</v>
      </c>
      <c r="CX590" s="62">
        <v>0</v>
      </c>
    </row>
    <row r="591" spans="21:104" x14ac:dyDescent="0.25">
      <c r="U591" s="5" t="s">
        <v>128</v>
      </c>
      <c r="V591">
        <v>0</v>
      </c>
      <c r="Z591" s="61" t="s">
        <v>105</v>
      </c>
      <c r="AA591" s="62">
        <v>0</v>
      </c>
      <c r="AO591" s="5" t="s">
        <v>156</v>
      </c>
      <c r="AP591">
        <v>2</v>
      </c>
      <c r="AQ591" s="17"/>
      <c r="AR591" s="17"/>
      <c r="AY591" s="5" t="s">
        <v>200</v>
      </c>
      <c r="AZ591">
        <v>0</v>
      </c>
      <c r="BA591" s="17"/>
      <c r="BB591" s="17"/>
      <c r="BI591" s="5" t="s">
        <v>253</v>
      </c>
      <c r="BJ591">
        <v>15</v>
      </c>
      <c r="BK591" s="17"/>
      <c r="BL591" s="17"/>
      <c r="BX591" s="61" t="s">
        <v>281</v>
      </c>
      <c r="BY591" s="62">
        <v>2</v>
      </c>
      <c r="BZ591" s="58"/>
      <c r="CA591" s="58"/>
      <c r="CW591" s="61" t="s">
        <v>43</v>
      </c>
      <c r="CX591" s="62">
        <v>0</v>
      </c>
    </row>
    <row r="592" spans="21:104" x14ac:dyDescent="0.25">
      <c r="Z592" s="61" t="s">
        <v>106</v>
      </c>
      <c r="AA592" s="62">
        <v>0</v>
      </c>
      <c r="AO592" s="5" t="s">
        <v>157</v>
      </c>
      <c r="AP592">
        <v>4</v>
      </c>
      <c r="AQ592" s="17"/>
      <c r="AR592" s="17"/>
      <c r="AY592" s="5" t="s">
        <v>201</v>
      </c>
      <c r="AZ592">
        <v>0</v>
      </c>
      <c r="BA592" s="17"/>
      <c r="BB592" s="17"/>
      <c r="BI592" s="5" t="s">
        <v>254</v>
      </c>
      <c r="BJ592">
        <v>10</v>
      </c>
      <c r="BK592" s="17"/>
      <c r="BL592" s="17"/>
      <c r="BX592" s="61" t="s">
        <v>282</v>
      </c>
      <c r="BY592" s="62">
        <v>2</v>
      </c>
      <c r="BZ592" s="58"/>
      <c r="CA592" s="58"/>
      <c r="CW592" s="61" t="s">
        <v>336</v>
      </c>
      <c r="CX592" s="62">
        <v>0</v>
      </c>
    </row>
    <row r="593" spans="21:102" x14ac:dyDescent="0.25">
      <c r="U593" s="17" t="s">
        <v>382</v>
      </c>
      <c r="V593" s="29" t="s">
        <v>400</v>
      </c>
      <c r="W593" s="17"/>
      <c r="X593" s="17">
        <v>2016</v>
      </c>
      <c r="Z593" s="61" t="s">
        <v>61</v>
      </c>
      <c r="AA593" s="62">
        <v>0</v>
      </c>
      <c r="AO593" s="5" t="s">
        <v>158</v>
      </c>
      <c r="AP593">
        <v>4</v>
      </c>
      <c r="AQ593" s="17"/>
      <c r="AR593" s="17"/>
      <c r="AY593" s="5" t="s">
        <v>202</v>
      </c>
      <c r="AZ593">
        <v>0</v>
      </c>
      <c r="BA593" s="17"/>
      <c r="BB593" s="17"/>
      <c r="BI593" s="5" t="s">
        <v>255</v>
      </c>
      <c r="BJ593">
        <v>11</v>
      </c>
      <c r="BK593" s="17"/>
      <c r="BL593" s="17"/>
      <c r="BX593" s="61" t="s">
        <v>283</v>
      </c>
      <c r="BY593" s="62">
        <v>3</v>
      </c>
      <c r="BZ593" s="58"/>
      <c r="CA593" s="58"/>
      <c r="CM593" s="17" t="s">
        <v>382</v>
      </c>
      <c r="CN593" s="29" t="s">
        <v>442</v>
      </c>
      <c r="CO593" s="17"/>
      <c r="CP593" s="17">
        <v>2016</v>
      </c>
      <c r="CR593" s="17" t="s">
        <v>382</v>
      </c>
      <c r="CS593" s="29" t="s">
        <v>442</v>
      </c>
      <c r="CT593" s="17"/>
      <c r="CU593" s="17">
        <v>2016</v>
      </c>
      <c r="CW593" s="61" t="s">
        <v>337</v>
      </c>
      <c r="CX593" s="62">
        <v>0</v>
      </c>
    </row>
    <row r="594" spans="21:102" x14ac:dyDescent="0.25">
      <c r="U594" s="17" t="s">
        <v>383</v>
      </c>
      <c r="V594" s="6" t="s">
        <v>25</v>
      </c>
      <c r="W594" s="17"/>
      <c r="X594" s="17"/>
      <c r="Z594" s="61" t="s">
        <v>107</v>
      </c>
      <c r="AA594" s="62">
        <v>0</v>
      </c>
      <c r="AO594" s="5" t="s">
        <v>159</v>
      </c>
      <c r="AP594">
        <v>2</v>
      </c>
      <c r="AQ594" s="17"/>
      <c r="AR594" s="17"/>
      <c r="AY594" s="5" t="s">
        <v>203</v>
      </c>
      <c r="AZ594">
        <v>0</v>
      </c>
      <c r="BA594" s="17"/>
      <c r="BB594" s="17"/>
      <c r="BI594" s="5" t="s">
        <v>256</v>
      </c>
      <c r="BJ594">
        <v>8</v>
      </c>
      <c r="BK594" s="17"/>
      <c r="BL594" s="17"/>
      <c r="BX594" s="61" t="s">
        <v>285</v>
      </c>
      <c r="BY594" s="62">
        <v>6</v>
      </c>
      <c r="BZ594" s="58"/>
      <c r="CA594" s="58"/>
      <c r="CM594" s="17" t="s">
        <v>383</v>
      </c>
      <c r="CN594" s="6" t="s">
        <v>33</v>
      </c>
      <c r="CO594" s="15"/>
      <c r="CP594" s="17"/>
      <c r="CR594" s="17" t="s">
        <v>383</v>
      </c>
      <c r="CS594" s="6" t="s">
        <v>33</v>
      </c>
      <c r="CT594" s="15"/>
      <c r="CU594" s="17"/>
      <c r="CW594" s="61" t="s">
        <v>338</v>
      </c>
      <c r="CX594" s="62">
        <v>0</v>
      </c>
    </row>
    <row r="595" spans="21:102" x14ac:dyDescent="0.25">
      <c r="U595" s="17" t="s">
        <v>384</v>
      </c>
      <c r="V595" s="17" t="s">
        <v>39</v>
      </c>
      <c r="W595" s="17" t="s">
        <v>385</v>
      </c>
      <c r="X595" s="17" t="s">
        <v>386</v>
      </c>
      <c r="Z595" s="61" t="s">
        <v>108</v>
      </c>
      <c r="AA595" s="62">
        <v>0</v>
      </c>
      <c r="AO595" s="5" t="s">
        <v>100</v>
      </c>
      <c r="AP595">
        <v>0</v>
      </c>
      <c r="AQ595" s="17"/>
      <c r="AR595" s="17"/>
      <c r="AY595" s="5" t="s">
        <v>204</v>
      </c>
      <c r="AZ595">
        <v>0</v>
      </c>
      <c r="BA595" s="17"/>
      <c r="BB595" s="17"/>
      <c r="BI595" s="5" t="s">
        <v>257</v>
      </c>
      <c r="BJ595">
        <v>12</v>
      </c>
      <c r="BK595" s="17"/>
      <c r="BL595" s="17"/>
      <c r="BX595" s="61" t="s">
        <v>284</v>
      </c>
      <c r="BY595" s="62">
        <v>3</v>
      </c>
      <c r="BZ595" s="58"/>
      <c r="CA595" s="58"/>
      <c r="CM595" s="17" t="s">
        <v>384</v>
      </c>
      <c r="CN595" s="17" t="s">
        <v>39</v>
      </c>
      <c r="CO595" s="17" t="s">
        <v>385</v>
      </c>
      <c r="CP595" s="17" t="s">
        <v>386</v>
      </c>
      <c r="CR595" s="17" t="s">
        <v>384</v>
      </c>
      <c r="CS595" s="17" t="s">
        <v>39</v>
      </c>
      <c r="CT595" s="17" t="s">
        <v>385</v>
      </c>
      <c r="CU595" s="17" t="s">
        <v>386</v>
      </c>
      <c r="CW595" s="61" t="s">
        <v>339</v>
      </c>
      <c r="CX595" s="62">
        <v>0</v>
      </c>
    </row>
    <row r="596" spans="21:102" x14ac:dyDescent="0.25">
      <c r="U596" s="5" t="s">
        <v>96</v>
      </c>
      <c r="V596">
        <v>1</v>
      </c>
      <c r="W596" s="30" t="s">
        <v>387</v>
      </c>
      <c r="X596" s="17">
        <f>SUM(V596:V628)</f>
        <v>23</v>
      </c>
      <c r="Z596" s="61" t="s">
        <v>109</v>
      </c>
      <c r="AA596" s="62">
        <v>0</v>
      </c>
      <c r="AO596" s="5" t="s">
        <v>161</v>
      </c>
      <c r="AP596">
        <v>1</v>
      </c>
      <c r="AQ596" s="17"/>
      <c r="AR596" s="17"/>
      <c r="AY596" s="5" t="s">
        <v>205</v>
      </c>
      <c r="AZ596">
        <v>3</v>
      </c>
      <c r="BA596" s="17"/>
      <c r="BB596" s="17"/>
      <c r="BI596" s="5" t="s">
        <v>258</v>
      </c>
      <c r="BJ596">
        <v>10</v>
      </c>
      <c r="BK596" s="17"/>
      <c r="BL596" s="17"/>
      <c r="BX596" s="61" t="s">
        <v>286</v>
      </c>
      <c r="BY596" s="62">
        <v>5</v>
      </c>
      <c r="BZ596" s="58"/>
      <c r="CA596" s="58"/>
      <c r="CM596" s="5" t="s">
        <v>328</v>
      </c>
      <c r="CN596">
        <v>1</v>
      </c>
      <c r="CO596" s="30" t="s">
        <v>387</v>
      </c>
      <c r="CP596" s="17">
        <f>SUM(CN596:CN628)</f>
        <v>2</v>
      </c>
      <c r="CR596" s="5" t="s">
        <v>333</v>
      </c>
      <c r="CS596">
        <v>0</v>
      </c>
      <c r="CT596" s="30" t="s">
        <v>387</v>
      </c>
      <c r="CU596" s="17">
        <f>SUM(CS596:CS623)</f>
        <v>5</v>
      </c>
      <c r="CW596" s="61" t="s">
        <v>340</v>
      </c>
      <c r="CX596" s="62">
        <v>0</v>
      </c>
    </row>
    <row r="597" spans="21:102" x14ac:dyDescent="0.25">
      <c r="U597" s="5" t="s">
        <v>97</v>
      </c>
      <c r="V597">
        <v>0</v>
      </c>
      <c r="W597" s="30" t="s">
        <v>388</v>
      </c>
      <c r="X597" s="17">
        <f>MIN(V596:V628)</f>
        <v>0</v>
      </c>
      <c r="Z597" s="61" t="s">
        <v>110</v>
      </c>
      <c r="AA597" s="62">
        <v>1</v>
      </c>
      <c r="AO597" s="5" t="s">
        <v>162</v>
      </c>
      <c r="AP597">
        <v>1</v>
      </c>
      <c r="AQ597" s="17"/>
      <c r="AR597" s="17"/>
      <c r="AY597" s="5" t="s">
        <v>206</v>
      </c>
      <c r="AZ597">
        <v>0</v>
      </c>
      <c r="BA597" s="17"/>
      <c r="BB597" s="17"/>
      <c r="BI597" s="5" t="s">
        <v>259</v>
      </c>
      <c r="BJ597">
        <v>12</v>
      </c>
      <c r="BK597" s="17"/>
      <c r="BL597" s="17"/>
      <c r="BX597" s="61" t="s">
        <v>287</v>
      </c>
      <c r="BY597" s="62">
        <v>3</v>
      </c>
      <c r="BZ597" s="58"/>
      <c r="CA597" s="58"/>
      <c r="CM597" s="5" t="s">
        <v>329</v>
      </c>
      <c r="CN597">
        <v>0</v>
      </c>
      <c r="CO597" s="30" t="s">
        <v>388</v>
      </c>
      <c r="CP597" s="17">
        <f>MIN(CN596:CN628)</f>
        <v>0</v>
      </c>
      <c r="CR597" s="5" t="s">
        <v>334</v>
      </c>
      <c r="CS597">
        <v>0</v>
      </c>
      <c r="CT597" s="30" t="s">
        <v>388</v>
      </c>
      <c r="CU597" s="17">
        <f>MIN(CS596:CS623)</f>
        <v>0</v>
      </c>
      <c r="CW597" s="61" t="s">
        <v>341</v>
      </c>
      <c r="CX597" s="62">
        <v>0</v>
      </c>
    </row>
    <row r="598" spans="21:102" x14ac:dyDescent="0.25">
      <c r="U598" s="5" t="s">
        <v>98</v>
      </c>
      <c r="V598">
        <v>4</v>
      </c>
      <c r="W598" s="30" t="s">
        <v>389</v>
      </c>
      <c r="X598" s="17">
        <f>MAX(V596:V628)</f>
        <v>4</v>
      </c>
      <c r="Z598" s="61" t="s">
        <v>111</v>
      </c>
      <c r="AA598" s="62">
        <v>0</v>
      </c>
      <c r="AO598" s="5" t="s">
        <v>163</v>
      </c>
      <c r="AP598">
        <v>2</v>
      </c>
      <c r="AQ598" s="17"/>
      <c r="AR598" s="17"/>
      <c r="AY598" s="5" t="s">
        <v>207</v>
      </c>
      <c r="AZ598">
        <v>3</v>
      </c>
      <c r="BA598" s="17"/>
      <c r="BB598" s="17"/>
      <c r="BI598" s="5" t="s">
        <v>260</v>
      </c>
      <c r="BJ598">
        <v>8</v>
      </c>
      <c r="BK598" s="17"/>
      <c r="BL598" s="17"/>
      <c r="BX598" s="61" t="s">
        <v>288</v>
      </c>
      <c r="BY598" s="62">
        <v>6</v>
      </c>
      <c r="BZ598" s="58"/>
      <c r="CA598" s="58"/>
      <c r="CM598" s="5" t="s">
        <v>330</v>
      </c>
      <c r="CN598">
        <v>0</v>
      </c>
      <c r="CO598" s="30" t="s">
        <v>389</v>
      </c>
      <c r="CP598" s="17">
        <f>MAX(CN596:CN628)</f>
        <v>1</v>
      </c>
      <c r="CR598" s="5" t="s">
        <v>335</v>
      </c>
      <c r="CS598">
        <v>0</v>
      </c>
      <c r="CT598" s="30" t="s">
        <v>389</v>
      </c>
      <c r="CU598" s="17">
        <f>MAX(CS596:CS623)</f>
        <v>1</v>
      </c>
      <c r="CW598" s="61" t="s">
        <v>342</v>
      </c>
      <c r="CX598" s="62">
        <v>0</v>
      </c>
    </row>
    <row r="599" spans="21:102" x14ac:dyDescent="0.25">
      <c r="U599" s="5" t="s">
        <v>99</v>
      </c>
      <c r="V599">
        <v>0</v>
      </c>
      <c r="W599" s="30" t="s">
        <v>390</v>
      </c>
      <c r="X599" s="17">
        <f>VAR(V596:V628)</f>
        <v>0.90530303030303028</v>
      </c>
      <c r="Z599" s="61" t="s">
        <v>112</v>
      </c>
      <c r="AA599" s="62">
        <v>0</v>
      </c>
      <c r="AO599" s="5" t="s">
        <v>164</v>
      </c>
      <c r="AP599">
        <v>1</v>
      </c>
      <c r="AQ599" s="17"/>
      <c r="AR599" s="17"/>
      <c r="AY599" s="5" t="s">
        <v>208</v>
      </c>
      <c r="AZ599">
        <v>1</v>
      </c>
      <c r="BA599" s="15"/>
      <c r="BB599" s="15"/>
      <c r="BI599" s="5" t="s">
        <v>261</v>
      </c>
      <c r="BJ599">
        <v>18</v>
      </c>
      <c r="BK599" s="15"/>
      <c r="BL599" s="15"/>
      <c r="BX599" s="61" t="s">
        <v>289</v>
      </c>
      <c r="BY599" s="62">
        <v>3</v>
      </c>
      <c r="BZ599" s="58"/>
      <c r="CA599" s="58"/>
      <c r="CM599" s="5" t="s">
        <v>331</v>
      </c>
      <c r="CN599">
        <v>0</v>
      </c>
      <c r="CO599" s="30" t="s">
        <v>390</v>
      </c>
      <c r="CP599" s="17">
        <f>VAR(CN596:CN628)</f>
        <v>0.3</v>
      </c>
      <c r="CR599" s="5" t="s">
        <v>43</v>
      </c>
      <c r="CS599">
        <v>0</v>
      </c>
      <c r="CT599" s="30" t="s">
        <v>390</v>
      </c>
      <c r="CU599" s="17">
        <f>VAR(CS596:CS623)</f>
        <v>0.15211640211640209</v>
      </c>
      <c r="CW599" s="61" t="s">
        <v>343</v>
      </c>
      <c r="CX599" s="62">
        <v>0</v>
      </c>
    </row>
    <row r="600" spans="21:102" x14ac:dyDescent="0.25">
      <c r="U600" s="5" t="s">
        <v>100</v>
      </c>
      <c r="V600">
        <v>0</v>
      </c>
      <c r="W600" s="30" t="s">
        <v>391</v>
      </c>
      <c r="X600" s="17">
        <f>AVERAGE(V596:V628)</f>
        <v>0.69696969696969702</v>
      </c>
      <c r="Z600" s="61" t="s">
        <v>113</v>
      </c>
      <c r="AA600" s="62">
        <v>0</v>
      </c>
      <c r="AO600" s="5" t="s">
        <v>165</v>
      </c>
      <c r="AP600">
        <v>4</v>
      </c>
      <c r="AQ600" s="17"/>
      <c r="AR600" s="17"/>
      <c r="AY600" s="5" t="s">
        <v>209</v>
      </c>
      <c r="AZ600">
        <v>0</v>
      </c>
      <c r="BI600" s="5" t="s">
        <v>262</v>
      </c>
      <c r="BJ600">
        <v>9</v>
      </c>
      <c r="BX600" s="61" t="s">
        <v>290</v>
      </c>
      <c r="BY600" s="62">
        <v>3</v>
      </c>
      <c r="CM600" s="5" t="s">
        <v>332</v>
      </c>
      <c r="CN600">
        <v>1</v>
      </c>
      <c r="CO600" s="30" t="s">
        <v>391</v>
      </c>
      <c r="CP600" s="17">
        <f>AVERAGE(CN596:CN628)</f>
        <v>0.4</v>
      </c>
      <c r="CR600" s="5" t="s">
        <v>336</v>
      </c>
      <c r="CS600">
        <v>0</v>
      </c>
      <c r="CT600" s="30" t="s">
        <v>391</v>
      </c>
      <c r="CU600" s="17">
        <f>AVERAGE(CS596:CS623)</f>
        <v>0.17857142857142858</v>
      </c>
      <c r="CW600" s="61" t="s">
        <v>344</v>
      </c>
      <c r="CX600" s="62">
        <v>0</v>
      </c>
    </row>
    <row r="601" spans="21:102" x14ac:dyDescent="0.25">
      <c r="U601" s="5" t="s">
        <v>101</v>
      </c>
      <c r="V601">
        <v>0</v>
      </c>
      <c r="W601" s="30" t="s">
        <v>392</v>
      </c>
      <c r="X601" s="17">
        <f>STDEV(V596:V628)</f>
        <v>0.95147413538310666</v>
      </c>
      <c r="Z601" s="64" t="s">
        <v>114</v>
      </c>
      <c r="AA601" s="62">
        <v>0</v>
      </c>
      <c r="AO601" s="5" t="s">
        <v>166</v>
      </c>
      <c r="AP601">
        <v>9</v>
      </c>
      <c r="AQ601" s="15"/>
      <c r="AR601" s="15"/>
      <c r="AY601" s="5" t="s">
        <v>210</v>
      </c>
      <c r="AZ601">
        <v>1</v>
      </c>
      <c r="BI601" s="5" t="s">
        <v>263</v>
      </c>
      <c r="BJ601">
        <v>31</v>
      </c>
      <c r="BX601" s="61" t="s">
        <v>291</v>
      </c>
      <c r="BY601" s="62">
        <v>1</v>
      </c>
      <c r="CO601" s="30" t="s">
        <v>392</v>
      </c>
      <c r="CP601" s="17">
        <f>STDEV(CN596:CN628)</f>
        <v>0.54772255750516607</v>
      </c>
      <c r="CR601" s="5" t="s">
        <v>337</v>
      </c>
      <c r="CS601">
        <v>0</v>
      </c>
      <c r="CT601" s="30" t="s">
        <v>392</v>
      </c>
      <c r="CU601" s="17">
        <f>STDEV(CS596:CS623)</f>
        <v>0.39002102778747982</v>
      </c>
      <c r="CW601" s="61" t="s">
        <v>345</v>
      </c>
      <c r="CX601" s="62">
        <v>0</v>
      </c>
    </row>
    <row r="602" spans="21:102" x14ac:dyDescent="0.25">
      <c r="U602" s="5" t="s">
        <v>103</v>
      </c>
      <c r="V602">
        <v>2</v>
      </c>
      <c r="W602" s="17"/>
      <c r="X602" s="17"/>
      <c r="Z602" s="64" t="s">
        <v>115</v>
      </c>
      <c r="AA602" s="62">
        <v>0</v>
      </c>
      <c r="AO602" s="5" t="s">
        <v>168</v>
      </c>
      <c r="AP602">
        <v>3</v>
      </c>
      <c r="AQ602" s="17"/>
      <c r="AR602" s="17"/>
      <c r="AY602" s="5" t="s">
        <v>211</v>
      </c>
      <c r="AZ602">
        <v>1</v>
      </c>
      <c r="BI602" s="5" t="s">
        <v>264</v>
      </c>
      <c r="BJ602">
        <v>21</v>
      </c>
      <c r="BX602" s="61" t="s">
        <v>292</v>
      </c>
      <c r="BY602" s="62">
        <v>6</v>
      </c>
      <c r="CO602" s="17"/>
      <c r="CP602" s="17"/>
      <c r="CR602" s="5" t="s">
        <v>338</v>
      </c>
      <c r="CS602">
        <v>0</v>
      </c>
      <c r="CW602" s="61" t="s">
        <v>346</v>
      </c>
      <c r="CX602" s="62">
        <v>0</v>
      </c>
    </row>
    <row r="603" spans="21:102" x14ac:dyDescent="0.25">
      <c r="U603" s="5" t="s">
        <v>104</v>
      </c>
      <c r="V603">
        <v>1</v>
      </c>
      <c r="W603" s="17"/>
      <c r="X603" s="17"/>
      <c r="Z603" s="64" t="s">
        <v>116</v>
      </c>
      <c r="AA603" s="62">
        <v>0</v>
      </c>
      <c r="AO603" s="5" t="s">
        <v>169</v>
      </c>
      <c r="AP603">
        <v>2</v>
      </c>
      <c r="AQ603" s="17"/>
      <c r="AR603" s="17"/>
      <c r="AY603" s="5" t="s">
        <v>212</v>
      </c>
      <c r="AZ603">
        <v>1</v>
      </c>
      <c r="BI603" s="5" t="s">
        <v>265</v>
      </c>
      <c r="BJ603">
        <v>30</v>
      </c>
      <c r="BX603" s="61" t="s">
        <v>293</v>
      </c>
      <c r="BY603" s="62">
        <v>4</v>
      </c>
      <c r="CO603" s="17"/>
      <c r="CP603" s="17"/>
      <c r="CR603" s="5" t="s">
        <v>339</v>
      </c>
      <c r="CS603">
        <v>0</v>
      </c>
      <c r="CW603" s="61" t="s">
        <v>347</v>
      </c>
      <c r="CX603" s="62">
        <v>0</v>
      </c>
    </row>
    <row r="604" spans="21:102" x14ac:dyDescent="0.25">
      <c r="U604" s="5" t="s">
        <v>105</v>
      </c>
      <c r="V604">
        <v>2</v>
      </c>
      <c r="W604" s="17"/>
      <c r="X604" s="17"/>
      <c r="Z604" s="64" t="s">
        <v>117</v>
      </c>
      <c r="AA604" s="62">
        <v>0</v>
      </c>
      <c r="AO604" s="5" t="s">
        <v>170</v>
      </c>
      <c r="AP604">
        <v>5</v>
      </c>
      <c r="AQ604" s="17"/>
      <c r="AR604" s="1"/>
      <c r="AY604" s="5" t="s">
        <v>213</v>
      </c>
      <c r="AZ604">
        <v>0</v>
      </c>
      <c r="BI604" s="5" t="s">
        <v>266</v>
      </c>
      <c r="BJ604">
        <v>11</v>
      </c>
      <c r="BX604" s="61" t="s">
        <v>294</v>
      </c>
      <c r="BY604" s="62">
        <v>5</v>
      </c>
      <c r="CO604" s="17"/>
      <c r="CP604" s="17"/>
      <c r="CR604" s="5" t="s">
        <v>340</v>
      </c>
      <c r="CS604">
        <v>1</v>
      </c>
      <c r="CW604" s="61" t="s">
        <v>348</v>
      </c>
      <c r="CX604" s="62">
        <v>0</v>
      </c>
    </row>
    <row r="605" spans="21:102" x14ac:dyDescent="0.25">
      <c r="U605" s="5" t="s">
        <v>106</v>
      </c>
      <c r="V605">
        <v>0</v>
      </c>
      <c r="W605" s="17"/>
      <c r="X605" s="17"/>
      <c r="Z605" s="64" t="s">
        <v>118</v>
      </c>
      <c r="AA605" s="62">
        <v>0</v>
      </c>
      <c r="AO605" s="5" t="s">
        <v>171</v>
      </c>
      <c r="AP605">
        <v>3</v>
      </c>
      <c r="AQ605" s="17"/>
      <c r="AR605" s="1"/>
      <c r="AY605" s="5" t="s">
        <v>214</v>
      </c>
      <c r="AZ605">
        <v>1</v>
      </c>
      <c r="BI605" s="5" t="s">
        <v>267</v>
      </c>
      <c r="BJ605">
        <v>27</v>
      </c>
      <c r="BX605" s="61" t="s">
        <v>295</v>
      </c>
      <c r="BY605" s="62">
        <v>0</v>
      </c>
      <c r="CO605" s="17"/>
      <c r="CP605" s="17"/>
      <c r="CR605" s="5" t="s">
        <v>341</v>
      </c>
      <c r="CS605">
        <v>0</v>
      </c>
      <c r="CW605" s="61" t="s">
        <v>349</v>
      </c>
      <c r="CX605" s="62">
        <v>0</v>
      </c>
    </row>
    <row r="606" spans="21:102" x14ac:dyDescent="0.25">
      <c r="U606" s="5" t="s">
        <v>61</v>
      </c>
      <c r="V606">
        <v>0</v>
      </c>
      <c r="W606" s="17"/>
      <c r="X606" s="17"/>
      <c r="Z606" s="64" t="s">
        <v>119</v>
      </c>
      <c r="AA606" s="62">
        <v>0</v>
      </c>
      <c r="AO606" s="5" t="s">
        <v>172</v>
      </c>
      <c r="AP606">
        <v>0</v>
      </c>
      <c r="AQ606" s="17"/>
      <c r="AR606" s="1"/>
      <c r="AY606" s="5" t="s">
        <v>215</v>
      </c>
      <c r="AZ606">
        <v>0</v>
      </c>
      <c r="BI606" s="5" t="s">
        <v>268</v>
      </c>
      <c r="BJ606">
        <v>12</v>
      </c>
      <c r="BX606" s="61" t="s">
        <v>296</v>
      </c>
      <c r="BY606" s="62">
        <v>2</v>
      </c>
      <c r="CO606" s="17"/>
      <c r="CP606" s="17"/>
      <c r="CR606" s="5" t="s">
        <v>342</v>
      </c>
      <c r="CS606">
        <v>0</v>
      </c>
      <c r="CW606" s="61" t="s">
        <v>350</v>
      </c>
      <c r="CX606" s="62">
        <v>0</v>
      </c>
    </row>
    <row r="607" spans="21:102" x14ac:dyDescent="0.25">
      <c r="U607" s="5" t="s">
        <v>107</v>
      </c>
      <c r="V607">
        <v>0</v>
      </c>
      <c r="W607" s="17"/>
      <c r="X607" s="17"/>
      <c r="Z607" s="61" t="s">
        <v>120</v>
      </c>
      <c r="AA607" s="62">
        <v>2</v>
      </c>
      <c r="AO607" s="5" t="s">
        <v>173</v>
      </c>
      <c r="AP607">
        <v>3</v>
      </c>
      <c r="AY607" s="5" t="s">
        <v>216</v>
      </c>
      <c r="AZ607">
        <v>0</v>
      </c>
      <c r="BI607" s="5" t="s">
        <v>269</v>
      </c>
      <c r="BJ607">
        <v>14</v>
      </c>
      <c r="BX607" s="61" t="s">
        <v>297</v>
      </c>
      <c r="BY607" s="62">
        <v>0</v>
      </c>
      <c r="CO607" s="17"/>
      <c r="CP607" s="17"/>
      <c r="CR607" s="5" t="s">
        <v>343</v>
      </c>
      <c r="CS607">
        <v>0</v>
      </c>
      <c r="CW607" s="61" t="s">
        <v>351</v>
      </c>
      <c r="CX607" s="62">
        <v>0</v>
      </c>
    </row>
    <row r="608" spans="21:102" x14ac:dyDescent="0.25">
      <c r="U608" s="5" t="s">
        <v>108</v>
      </c>
      <c r="V608">
        <v>1</v>
      </c>
      <c r="W608" s="17"/>
      <c r="X608" s="17"/>
      <c r="Z608" s="61" t="s">
        <v>121</v>
      </c>
      <c r="AA608" s="62">
        <v>0</v>
      </c>
      <c r="AO608" s="5" t="s">
        <v>174</v>
      </c>
      <c r="AP608">
        <v>0</v>
      </c>
      <c r="AY608" s="5" t="s">
        <v>217</v>
      </c>
      <c r="AZ608">
        <v>0</v>
      </c>
      <c r="BI608" s="5" t="s">
        <v>270</v>
      </c>
      <c r="BJ608">
        <v>23</v>
      </c>
      <c r="BX608" s="61" t="s">
        <v>298</v>
      </c>
      <c r="BY608" s="62">
        <v>0</v>
      </c>
      <c r="CO608" s="17"/>
      <c r="CP608" s="17"/>
      <c r="CR608" s="5" t="s">
        <v>344</v>
      </c>
      <c r="CS608">
        <v>0</v>
      </c>
      <c r="CW608" s="61" t="s">
        <v>352</v>
      </c>
      <c r="CX608" s="62">
        <v>0</v>
      </c>
    </row>
    <row r="609" spans="21:104" x14ac:dyDescent="0.25">
      <c r="U609" s="5" t="s">
        <v>109</v>
      </c>
      <c r="V609">
        <v>0</v>
      </c>
      <c r="W609" s="17"/>
      <c r="X609" s="17"/>
      <c r="Z609" s="61" t="s">
        <v>122</v>
      </c>
      <c r="AA609" s="62">
        <v>0</v>
      </c>
      <c r="AY609" s="5" t="s">
        <v>218</v>
      </c>
      <c r="AZ609">
        <v>0</v>
      </c>
      <c r="BI609" s="5" t="s">
        <v>271</v>
      </c>
      <c r="BJ609">
        <v>15</v>
      </c>
      <c r="CO609" s="17"/>
      <c r="CP609" s="17"/>
      <c r="CR609" s="5" t="s">
        <v>345</v>
      </c>
      <c r="CS609">
        <v>1</v>
      </c>
      <c r="CW609" s="61" t="s">
        <v>353</v>
      </c>
      <c r="CX609" s="62">
        <v>0</v>
      </c>
    </row>
    <row r="610" spans="21:104" x14ac:dyDescent="0.25">
      <c r="U610" s="5" t="s">
        <v>110</v>
      </c>
      <c r="V610">
        <v>1</v>
      </c>
      <c r="W610" s="17"/>
      <c r="X610" s="17"/>
      <c r="Z610" s="61" t="s">
        <v>123</v>
      </c>
      <c r="AA610" s="62">
        <v>1</v>
      </c>
      <c r="AY610" s="5" t="s">
        <v>219</v>
      </c>
      <c r="AZ610">
        <v>0</v>
      </c>
      <c r="BI610" s="5" t="s">
        <v>272</v>
      </c>
      <c r="BJ610">
        <v>26</v>
      </c>
      <c r="CO610" s="17"/>
      <c r="CP610" s="17"/>
      <c r="CR610" s="5" t="s">
        <v>346</v>
      </c>
      <c r="CS610">
        <v>0</v>
      </c>
      <c r="CW610" s="61" t="s">
        <v>354</v>
      </c>
      <c r="CX610" s="62">
        <v>0</v>
      </c>
    </row>
    <row r="611" spans="21:104" x14ac:dyDescent="0.25">
      <c r="U611" s="5" t="s">
        <v>111</v>
      </c>
      <c r="V611">
        <v>1</v>
      </c>
      <c r="W611" s="17"/>
      <c r="X611" s="17"/>
      <c r="Z611" s="61" t="s">
        <v>124</v>
      </c>
      <c r="AA611" s="62">
        <v>0</v>
      </c>
      <c r="AY611" s="5" t="s">
        <v>220</v>
      </c>
      <c r="AZ611">
        <v>0</v>
      </c>
      <c r="BI611" s="5" t="s">
        <v>273</v>
      </c>
      <c r="BJ611">
        <v>28</v>
      </c>
      <c r="CO611" s="17"/>
      <c r="CP611" s="17"/>
      <c r="CR611" s="5" t="s">
        <v>347</v>
      </c>
      <c r="CS611">
        <v>0</v>
      </c>
      <c r="CW611" s="61" t="s">
        <v>355</v>
      </c>
      <c r="CX611" s="62">
        <v>1</v>
      </c>
    </row>
    <row r="612" spans="21:104" x14ac:dyDescent="0.25">
      <c r="U612" s="5" t="s">
        <v>112</v>
      </c>
      <c r="V612">
        <v>0</v>
      </c>
      <c r="W612" s="17"/>
      <c r="X612" s="17"/>
      <c r="Z612" s="61" t="s">
        <v>125</v>
      </c>
      <c r="AA612" s="62">
        <v>0</v>
      </c>
      <c r="CR612" s="5" t="s">
        <v>348</v>
      </c>
      <c r="CS612">
        <v>0</v>
      </c>
      <c r="CW612" s="66" t="s">
        <v>356</v>
      </c>
      <c r="CX612" s="62">
        <v>0</v>
      </c>
    </row>
    <row r="613" spans="21:104" x14ac:dyDescent="0.25">
      <c r="U613" s="5" t="s">
        <v>113</v>
      </c>
      <c r="V613">
        <v>1</v>
      </c>
      <c r="W613" s="15"/>
      <c r="X613" s="15"/>
      <c r="Z613" s="61" t="s">
        <v>126</v>
      </c>
      <c r="AA613" s="62">
        <v>0</v>
      </c>
      <c r="AY613" s="17" t="s">
        <v>382</v>
      </c>
      <c r="AZ613" s="29" t="s">
        <v>370</v>
      </c>
      <c r="BA613" s="17"/>
      <c r="BB613" s="17">
        <v>2016</v>
      </c>
      <c r="BI613" s="17" t="s">
        <v>382</v>
      </c>
      <c r="BJ613" s="29" t="s">
        <v>372</v>
      </c>
      <c r="BK613" s="17"/>
      <c r="BL613" s="17">
        <v>2016</v>
      </c>
      <c r="CR613" s="5" t="s">
        <v>349</v>
      </c>
      <c r="CS613">
        <v>1</v>
      </c>
      <c r="CW613" s="66" t="s">
        <v>357</v>
      </c>
      <c r="CX613" s="62">
        <v>0</v>
      </c>
    </row>
    <row r="614" spans="21:104" x14ac:dyDescent="0.25">
      <c r="U614" s="26" t="s">
        <v>114</v>
      </c>
      <c r="V614">
        <v>1</v>
      </c>
      <c r="W614" s="17"/>
      <c r="X614" s="17"/>
      <c r="Z614" s="61" t="s">
        <v>127</v>
      </c>
      <c r="AA614" s="62">
        <v>0</v>
      </c>
      <c r="AY614" s="17" t="s">
        <v>383</v>
      </c>
      <c r="AZ614" s="6" t="s">
        <v>37</v>
      </c>
      <c r="BA614" s="17"/>
      <c r="BB614" s="17"/>
      <c r="BI614" s="17" t="s">
        <v>383</v>
      </c>
      <c r="BJ614" s="6" t="s">
        <v>33</v>
      </c>
      <c r="BK614" s="17"/>
      <c r="BL614" s="17"/>
      <c r="CR614" s="5" t="s">
        <v>350</v>
      </c>
      <c r="CS614">
        <v>0</v>
      </c>
      <c r="CW614" s="66" t="s">
        <v>358</v>
      </c>
      <c r="CX614" s="62">
        <v>0</v>
      </c>
    </row>
    <row r="615" spans="21:104" x14ac:dyDescent="0.25">
      <c r="U615" s="26" t="s">
        <v>115</v>
      </c>
      <c r="V615">
        <v>1</v>
      </c>
      <c r="W615" s="17"/>
      <c r="X615" s="17"/>
      <c r="Z615" s="61" t="s">
        <v>128</v>
      </c>
      <c r="AA615" s="62">
        <v>0</v>
      </c>
      <c r="AY615" s="17" t="s">
        <v>384</v>
      </c>
      <c r="AZ615" s="17" t="s">
        <v>39</v>
      </c>
      <c r="BA615" s="17" t="s">
        <v>385</v>
      </c>
      <c r="BB615" s="17" t="s">
        <v>386</v>
      </c>
      <c r="BI615" s="17" t="s">
        <v>384</v>
      </c>
      <c r="BJ615" s="17" t="s">
        <v>39</v>
      </c>
      <c r="BK615" s="17" t="s">
        <v>385</v>
      </c>
      <c r="BL615" s="17" t="s">
        <v>386</v>
      </c>
      <c r="CR615" s="5" t="s">
        <v>351</v>
      </c>
      <c r="CS615">
        <v>0</v>
      </c>
      <c r="CW615" s="66" t="s">
        <v>359</v>
      </c>
      <c r="CX615" s="62">
        <v>0</v>
      </c>
    </row>
    <row r="616" spans="21:104" x14ac:dyDescent="0.25">
      <c r="U616" s="26" t="s">
        <v>116</v>
      </c>
      <c r="V616">
        <v>3</v>
      </c>
      <c r="W616" s="17"/>
      <c r="X616" s="1"/>
      <c r="AY616" s="5" t="s">
        <v>192</v>
      </c>
      <c r="AZ616">
        <v>1</v>
      </c>
      <c r="BA616" s="30" t="s">
        <v>387</v>
      </c>
      <c r="BB616" s="17">
        <f>SUM(AZ616:AZ645)</f>
        <v>56</v>
      </c>
      <c r="BI616" s="5" t="s">
        <v>245</v>
      </c>
      <c r="BJ616">
        <v>0</v>
      </c>
      <c r="BK616" s="30" t="s">
        <v>387</v>
      </c>
      <c r="BL616" s="17">
        <f>SUM(BJ616:BJ645)</f>
        <v>2</v>
      </c>
      <c r="CR616" s="5" t="s">
        <v>352</v>
      </c>
      <c r="CS616">
        <v>1</v>
      </c>
    </row>
    <row r="617" spans="21:104" x14ac:dyDescent="0.25">
      <c r="U617" s="26" t="s">
        <v>117</v>
      </c>
      <c r="V617">
        <v>0</v>
      </c>
      <c r="W617" s="17"/>
      <c r="X617" s="1"/>
      <c r="Z617" s="58" t="s">
        <v>382</v>
      </c>
      <c r="AA617" s="59" t="s">
        <v>627</v>
      </c>
      <c r="AB617" s="58"/>
      <c r="AC617" s="58">
        <v>2016</v>
      </c>
      <c r="AY617" s="5" t="s">
        <v>193</v>
      </c>
      <c r="AZ617">
        <v>1</v>
      </c>
      <c r="BA617" s="30" t="s">
        <v>388</v>
      </c>
      <c r="BB617" s="17">
        <f>MIN(AZ616:AZ645)</f>
        <v>0</v>
      </c>
      <c r="BI617" s="5" t="s">
        <v>73</v>
      </c>
      <c r="BJ617">
        <v>0</v>
      </c>
      <c r="BK617" s="30" t="s">
        <v>388</v>
      </c>
      <c r="BL617" s="17">
        <f>MIN(BJ616:BJ645)</f>
        <v>0</v>
      </c>
      <c r="CR617" s="5" t="s">
        <v>353</v>
      </c>
      <c r="CS617">
        <v>0</v>
      </c>
      <c r="CW617" s="58" t="s">
        <v>382</v>
      </c>
      <c r="CX617" s="59" t="s">
        <v>629</v>
      </c>
      <c r="CY617" s="58"/>
      <c r="CZ617" s="58">
        <v>2016</v>
      </c>
    </row>
    <row r="618" spans="21:104" x14ac:dyDescent="0.25">
      <c r="U618" s="26" t="s">
        <v>118</v>
      </c>
      <c r="V618">
        <v>1</v>
      </c>
      <c r="W618" s="17"/>
      <c r="X618" s="1"/>
      <c r="Z618" s="58" t="s">
        <v>383</v>
      </c>
      <c r="AA618" s="60" t="s">
        <v>23</v>
      </c>
      <c r="AB618" s="58"/>
      <c r="AC618" s="58"/>
      <c r="AY618" s="5" t="s">
        <v>194</v>
      </c>
      <c r="AZ618">
        <v>1</v>
      </c>
      <c r="BA618" s="30" t="s">
        <v>389</v>
      </c>
      <c r="BB618" s="17">
        <f>MAX(AZ616:AZ645)</f>
        <v>7</v>
      </c>
      <c r="BI618" s="5" t="s">
        <v>246</v>
      </c>
      <c r="BJ618">
        <v>0</v>
      </c>
      <c r="BK618" s="30" t="s">
        <v>389</v>
      </c>
      <c r="BL618" s="17">
        <f>MAX(BJ616:BJ645)</f>
        <v>1</v>
      </c>
      <c r="CR618" s="5" t="s">
        <v>354</v>
      </c>
      <c r="CS618">
        <v>0</v>
      </c>
      <c r="CW618" s="58" t="s">
        <v>383</v>
      </c>
      <c r="CX618" s="60" t="s">
        <v>26</v>
      </c>
      <c r="CY618" s="58"/>
      <c r="CZ618" s="58"/>
    </row>
    <row r="619" spans="21:104" x14ac:dyDescent="0.25">
      <c r="U619" s="26" t="s">
        <v>119</v>
      </c>
      <c r="V619">
        <v>0</v>
      </c>
      <c r="Z619" s="58" t="s">
        <v>384</v>
      </c>
      <c r="AA619" s="58" t="s">
        <v>39</v>
      </c>
      <c r="AB619" s="58" t="s">
        <v>385</v>
      </c>
      <c r="AC619" s="58" t="s">
        <v>386</v>
      </c>
      <c r="AY619" s="5" t="s">
        <v>195</v>
      </c>
      <c r="AZ619">
        <v>2</v>
      </c>
      <c r="BA619" s="30" t="s">
        <v>390</v>
      </c>
      <c r="BB619" s="17">
        <f>VAR(AZ616:AZ645)</f>
        <v>4.1195402298850574</v>
      </c>
      <c r="BI619" s="5" t="s">
        <v>247</v>
      </c>
      <c r="BJ619">
        <v>0</v>
      </c>
      <c r="BK619" s="30" t="s">
        <v>390</v>
      </c>
      <c r="BL619" s="17">
        <f>VAR(BJ616:BJ645)</f>
        <v>6.4367816091954022E-2</v>
      </c>
      <c r="CR619" s="5" t="s">
        <v>355</v>
      </c>
      <c r="CS619">
        <v>0</v>
      </c>
      <c r="CW619" s="58" t="s">
        <v>384</v>
      </c>
      <c r="CX619" s="58" t="s">
        <v>39</v>
      </c>
      <c r="CY619" s="58" t="s">
        <v>385</v>
      </c>
      <c r="CZ619" s="58" t="s">
        <v>386</v>
      </c>
    </row>
    <row r="620" spans="21:104" x14ac:dyDescent="0.25">
      <c r="U620" s="5" t="s">
        <v>120</v>
      </c>
      <c r="V620">
        <v>0</v>
      </c>
      <c r="Z620" s="61" t="s">
        <v>88</v>
      </c>
      <c r="AA620" s="62">
        <v>0</v>
      </c>
      <c r="AB620" s="63" t="s">
        <v>387</v>
      </c>
      <c r="AC620" s="58">
        <f>SUM(AA620:AA659)</f>
        <v>8</v>
      </c>
      <c r="AY620" s="5" t="s">
        <v>196</v>
      </c>
      <c r="AZ620">
        <v>5</v>
      </c>
      <c r="BA620" s="30" t="s">
        <v>391</v>
      </c>
      <c r="BB620" s="17">
        <f>AVERAGE(AZ616:AZ645)</f>
        <v>1.8666666666666667</v>
      </c>
      <c r="BI620" s="5" t="s">
        <v>248</v>
      </c>
      <c r="BJ620">
        <v>0</v>
      </c>
      <c r="BK620" s="30" t="s">
        <v>391</v>
      </c>
      <c r="BL620" s="17">
        <f>AVERAGE(BJ616:BJ645)</f>
        <v>6.6666666666666666E-2</v>
      </c>
      <c r="CR620" s="2" t="s">
        <v>356</v>
      </c>
      <c r="CS620">
        <v>1</v>
      </c>
      <c r="CW620" s="61" t="s">
        <v>321</v>
      </c>
      <c r="CX620" s="62">
        <v>0</v>
      </c>
      <c r="CY620" s="63" t="s">
        <v>387</v>
      </c>
      <c r="CZ620" s="58">
        <f>SUM(CX620:CX659)</f>
        <v>3</v>
      </c>
    </row>
    <row r="621" spans="21:104" x14ac:dyDescent="0.25">
      <c r="U621" s="5" t="s">
        <v>121</v>
      </c>
      <c r="V621">
        <v>0</v>
      </c>
      <c r="Z621" s="61" t="s">
        <v>89</v>
      </c>
      <c r="AA621" s="62">
        <v>0</v>
      </c>
      <c r="AB621" s="63" t="s">
        <v>388</v>
      </c>
      <c r="AC621" s="58">
        <f>MIN(AA620:AA659)</f>
        <v>0</v>
      </c>
      <c r="AY621" s="5" t="s">
        <v>197</v>
      </c>
      <c r="AZ621">
        <v>0</v>
      </c>
      <c r="BA621" s="30" t="s">
        <v>392</v>
      </c>
      <c r="BB621" s="17">
        <f>STDEV(AZ616:AZ645)</f>
        <v>2.0296650536196994</v>
      </c>
      <c r="BI621" s="5" t="s">
        <v>249</v>
      </c>
      <c r="BJ621">
        <v>0</v>
      </c>
      <c r="BK621" s="30" t="s">
        <v>392</v>
      </c>
      <c r="BL621" s="17">
        <f>STDEV(BJ616:BJ645)</f>
        <v>0.25370813170246242</v>
      </c>
      <c r="CR621" s="2" t="s">
        <v>357</v>
      </c>
      <c r="CS621">
        <v>0</v>
      </c>
      <c r="CW621" s="61" t="s">
        <v>322</v>
      </c>
      <c r="CX621" s="62">
        <v>0</v>
      </c>
      <c r="CY621" s="63" t="s">
        <v>388</v>
      </c>
      <c r="CZ621" s="58">
        <f>MIN(CX620:CX659)</f>
        <v>0</v>
      </c>
    </row>
    <row r="622" spans="21:104" x14ac:dyDescent="0.25">
      <c r="U622" s="5" t="s">
        <v>122</v>
      </c>
      <c r="V622">
        <v>0</v>
      </c>
      <c r="Z622" s="61" t="s">
        <v>90</v>
      </c>
      <c r="AA622" s="62">
        <v>0</v>
      </c>
      <c r="AB622" s="63" t="s">
        <v>389</v>
      </c>
      <c r="AC622" s="58">
        <f>MAX(AA620:AA659)</f>
        <v>2</v>
      </c>
      <c r="AY622" s="5" t="s">
        <v>198</v>
      </c>
      <c r="AZ622">
        <v>0</v>
      </c>
      <c r="BA622" s="17"/>
      <c r="BB622" s="17"/>
      <c r="BI622" s="5" t="s">
        <v>250</v>
      </c>
      <c r="BJ622">
        <v>0</v>
      </c>
      <c r="BK622" s="17"/>
      <c r="BL622" s="17"/>
      <c r="CR622" s="2" t="s">
        <v>358</v>
      </c>
      <c r="CS622">
        <v>0</v>
      </c>
      <c r="CW622" s="61" t="s">
        <v>323</v>
      </c>
      <c r="CX622" s="62">
        <v>0</v>
      </c>
      <c r="CY622" s="63" t="s">
        <v>389</v>
      </c>
      <c r="CZ622" s="58">
        <f>MAX(CX620:CX659)</f>
        <v>1</v>
      </c>
    </row>
    <row r="623" spans="21:104" x14ac:dyDescent="0.25">
      <c r="U623" s="5" t="s">
        <v>123</v>
      </c>
      <c r="V623">
        <v>1</v>
      </c>
      <c r="Z623" s="61" t="s">
        <v>91</v>
      </c>
      <c r="AA623" s="62">
        <v>0</v>
      </c>
      <c r="AB623" s="63" t="s">
        <v>390</v>
      </c>
      <c r="AC623" s="58">
        <f>VAR(AA620:AA659)</f>
        <v>0.2153846153846154</v>
      </c>
      <c r="AY623" s="5" t="s">
        <v>161</v>
      </c>
      <c r="AZ623">
        <v>1</v>
      </c>
      <c r="BA623" s="17"/>
      <c r="BB623" s="17"/>
      <c r="BI623" s="5" t="s">
        <v>251</v>
      </c>
      <c r="BJ623">
        <v>0</v>
      </c>
      <c r="BK623" s="17"/>
      <c r="BL623" s="17"/>
      <c r="CR623" s="3" t="s">
        <v>359</v>
      </c>
      <c r="CS623">
        <v>0</v>
      </c>
      <c r="CW623" s="61" t="s">
        <v>324</v>
      </c>
      <c r="CX623" s="62">
        <v>0</v>
      </c>
      <c r="CY623" s="63" t="s">
        <v>390</v>
      </c>
      <c r="CZ623" s="58">
        <f>VAR(CX620:CX659)</f>
        <v>7.1153846153846151E-2</v>
      </c>
    </row>
    <row r="624" spans="21:104" x14ac:dyDescent="0.25">
      <c r="U624" s="5" t="s">
        <v>124</v>
      </c>
      <c r="V624">
        <v>0</v>
      </c>
      <c r="Z624" s="61" t="s">
        <v>92</v>
      </c>
      <c r="AA624" s="62">
        <v>0</v>
      </c>
      <c r="AB624" s="63" t="s">
        <v>391</v>
      </c>
      <c r="AC624" s="58">
        <f>AVERAGE(AA620:AA659)</f>
        <v>0.2</v>
      </c>
      <c r="AY624" s="5" t="s">
        <v>199</v>
      </c>
      <c r="AZ624">
        <v>6</v>
      </c>
      <c r="BA624" s="17"/>
      <c r="BB624" s="17"/>
      <c r="BI624" s="5" t="s">
        <v>252</v>
      </c>
      <c r="BJ624">
        <v>0</v>
      </c>
      <c r="BK624" s="17"/>
      <c r="BL624" s="17"/>
      <c r="CW624" s="61" t="s">
        <v>325</v>
      </c>
      <c r="CX624" s="62">
        <v>0</v>
      </c>
      <c r="CY624" s="63" t="s">
        <v>391</v>
      </c>
      <c r="CZ624" s="58">
        <f>AVERAGE(CX620:CX659)</f>
        <v>7.4999999999999997E-2</v>
      </c>
    </row>
    <row r="625" spans="21:104" x14ac:dyDescent="0.25">
      <c r="U625" s="5" t="s">
        <v>125</v>
      </c>
      <c r="V625">
        <v>1</v>
      </c>
      <c r="Z625" s="61" t="s">
        <v>93</v>
      </c>
      <c r="AA625" s="62">
        <v>0</v>
      </c>
      <c r="AB625" s="63" t="s">
        <v>392</v>
      </c>
      <c r="AC625" s="58">
        <f>STDEV(AA620:AA659)</f>
        <v>0.46409548089225711</v>
      </c>
      <c r="AY625" s="5" t="s">
        <v>200</v>
      </c>
      <c r="AZ625">
        <v>0</v>
      </c>
      <c r="BA625" s="17"/>
      <c r="BB625" s="17"/>
      <c r="BI625" s="5" t="s">
        <v>253</v>
      </c>
      <c r="BJ625">
        <v>0</v>
      </c>
      <c r="BK625" s="17"/>
      <c r="BL625" s="17"/>
      <c r="CW625" s="61" t="s">
        <v>326</v>
      </c>
      <c r="CX625" s="62">
        <v>0</v>
      </c>
      <c r="CY625" s="63" t="s">
        <v>392</v>
      </c>
      <c r="CZ625" s="58">
        <f>STDEV(CX620:CX659)</f>
        <v>0.26674678283691849</v>
      </c>
    </row>
    <row r="626" spans="21:104" x14ac:dyDescent="0.25">
      <c r="U626" s="5" t="s">
        <v>126</v>
      </c>
      <c r="V626">
        <v>0</v>
      </c>
      <c r="Z626" s="61" t="s">
        <v>94</v>
      </c>
      <c r="AA626" s="62">
        <v>0</v>
      </c>
      <c r="AB626" s="58"/>
      <c r="AC626" s="58"/>
      <c r="AY626" s="5" t="s">
        <v>201</v>
      </c>
      <c r="AZ626">
        <v>0</v>
      </c>
      <c r="BA626" s="17"/>
      <c r="BB626" s="17"/>
      <c r="BI626" s="5" t="s">
        <v>254</v>
      </c>
      <c r="BJ626">
        <v>0</v>
      </c>
      <c r="BK626" s="17"/>
      <c r="BL626" s="17"/>
      <c r="CW626" s="61" t="s">
        <v>327</v>
      </c>
      <c r="CX626" s="62">
        <v>0</v>
      </c>
      <c r="CY626" s="58"/>
      <c r="CZ626" s="58"/>
    </row>
    <row r="627" spans="21:104" x14ac:dyDescent="0.25">
      <c r="U627" s="5" t="s">
        <v>127</v>
      </c>
      <c r="V627">
        <v>1</v>
      </c>
      <c r="Z627" s="61" t="s">
        <v>96</v>
      </c>
      <c r="AA627" s="62">
        <v>0</v>
      </c>
      <c r="AY627" s="5" t="s">
        <v>202</v>
      </c>
      <c r="AZ627">
        <v>5</v>
      </c>
      <c r="BA627" s="17"/>
      <c r="BB627" s="17"/>
      <c r="BI627" s="5" t="s">
        <v>255</v>
      </c>
      <c r="BJ627">
        <v>0</v>
      </c>
      <c r="BK627" s="17"/>
      <c r="BL627" s="17"/>
      <c r="CW627" s="61" t="s">
        <v>328</v>
      </c>
      <c r="CX627" s="62">
        <v>1</v>
      </c>
    </row>
    <row r="628" spans="21:104" x14ac:dyDescent="0.25">
      <c r="U628" s="5" t="s">
        <v>128</v>
      </c>
      <c r="V628">
        <v>0</v>
      </c>
      <c r="Z628" s="61" t="s">
        <v>97</v>
      </c>
      <c r="AA628" s="62">
        <v>0</v>
      </c>
      <c r="AY628" s="5" t="s">
        <v>203</v>
      </c>
      <c r="AZ628">
        <v>3</v>
      </c>
      <c r="BA628" s="17"/>
      <c r="BB628" s="17"/>
      <c r="BI628" s="5" t="s">
        <v>256</v>
      </c>
      <c r="BJ628">
        <v>0</v>
      </c>
      <c r="BK628" s="17"/>
      <c r="BL628" s="17"/>
      <c r="CW628" s="61" t="s">
        <v>329</v>
      </c>
      <c r="CX628" s="62">
        <v>1</v>
      </c>
    </row>
    <row r="629" spans="21:104" x14ac:dyDescent="0.25">
      <c r="Z629" s="61" t="s">
        <v>98</v>
      </c>
      <c r="AA629" s="62">
        <v>0</v>
      </c>
      <c r="AY629" s="5" t="s">
        <v>204</v>
      </c>
      <c r="AZ629">
        <v>4</v>
      </c>
      <c r="BA629" s="17"/>
      <c r="BB629" s="17"/>
      <c r="BI629" s="5" t="s">
        <v>257</v>
      </c>
      <c r="BJ629">
        <v>0</v>
      </c>
      <c r="BK629" s="17"/>
      <c r="BL629" s="17"/>
      <c r="CW629" s="61" t="s">
        <v>330</v>
      </c>
      <c r="CX629" s="62">
        <v>0</v>
      </c>
    </row>
    <row r="630" spans="21:104" x14ac:dyDescent="0.25">
      <c r="U630" s="17" t="s">
        <v>382</v>
      </c>
      <c r="V630" s="29" t="s">
        <v>400</v>
      </c>
      <c r="W630" s="17"/>
      <c r="X630" s="17">
        <v>2016</v>
      </c>
      <c r="Z630" s="61" t="s">
        <v>99</v>
      </c>
      <c r="AA630" s="62">
        <v>0</v>
      </c>
      <c r="AY630" s="5" t="s">
        <v>205</v>
      </c>
      <c r="AZ630">
        <v>4</v>
      </c>
      <c r="BA630" s="17"/>
      <c r="BB630" s="17"/>
      <c r="BI630" s="5" t="s">
        <v>258</v>
      </c>
      <c r="BJ630">
        <v>0</v>
      </c>
      <c r="BK630" s="17"/>
      <c r="BL630" s="17"/>
      <c r="CM630" s="17" t="s">
        <v>382</v>
      </c>
      <c r="CN630" s="29" t="s">
        <v>442</v>
      </c>
      <c r="CO630" s="17"/>
      <c r="CP630" s="17">
        <v>2016</v>
      </c>
      <c r="CR630" s="17" t="s">
        <v>382</v>
      </c>
      <c r="CS630" s="29" t="s">
        <v>442</v>
      </c>
      <c r="CT630" s="17"/>
      <c r="CU630" s="17">
        <v>2016</v>
      </c>
      <c r="CW630" s="61" t="s">
        <v>331</v>
      </c>
      <c r="CX630" s="62">
        <v>0</v>
      </c>
    </row>
    <row r="631" spans="21:104" x14ac:dyDescent="0.25">
      <c r="U631" s="17" t="s">
        <v>383</v>
      </c>
      <c r="V631" s="6" t="s">
        <v>26</v>
      </c>
      <c r="W631" s="17"/>
      <c r="X631" s="17"/>
      <c r="Z631" s="61" t="s">
        <v>100</v>
      </c>
      <c r="AA631" s="62">
        <v>1</v>
      </c>
      <c r="AY631" s="5" t="s">
        <v>206</v>
      </c>
      <c r="AZ631">
        <v>4</v>
      </c>
      <c r="BA631" s="17"/>
      <c r="BB631" s="17"/>
      <c r="BI631" s="5" t="s">
        <v>259</v>
      </c>
      <c r="BJ631">
        <v>0</v>
      </c>
      <c r="BK631" s="17"/>
      <c r="BL631" s="17"/>
      <c r="CM631" s="17" t="s">
        <v>383</v>
      </c>
      <c r="CN631" s="6" t="s">
        <v>37</v>
      </c>
      <c r="CO631" s="15"/>
      <c r="CP631" s="17"/>
      <c r="CR631" s="17" t="s">
        <v>383</v>
      </c>
      <c r="CS631" s="6" t="s">
        <v>37</v>
      </c>
      <c r="CT631" s="15"/>
      <c r="CU631" s="17"/>
      <c r="CW631" s="61" t="s">
        <v>332</v>
      </c>
      <c r="CX631" s="62">
        <v>0</v>
      </c>
    </row>
    <row r="632" spans="21:104" x14ac:dyDescent="0.25">
      <c r="U632" s="17" t="s">
        <v>384</v>
      </c>
      <c r="V632" s="17" t="s">
        <v>39</v>
      </c>
      <c r="W632" s="17" t="s">
        <v>385</v>
      </c>
      <c r="X632" s="17" t="s">
        <v>386</v>
      </c>
      <c r="Z632" s="61" t="s">
        <v>101</v>
      </c>
      <c r="AA632" s="62">
        <v>1</v>
      </c>
      <c r="AY632" s="5" t="s">
        <v>207</v>
      </c>
      <c r="AZ632">
        <v>2</v>
      </c>
      <c r="BA632" s="17"/>
      <c r="BB632" s="17"/>
      <c r="BI632" s="5" t="s">
        <v>260</v>
      </c>
      <c r="BJ632">
        <v>0</v>
      </c>
      <c r="BK632" s="17"/>
      <c r="BL632" s="17"/>
      <c r="CM632" s="17" t="s">
        <v>384</v>
      </c>
      <c r="CN632" s="17" t="s">
        <v>39</v>
      </c>
      <c r="CO632" s="17" t="s">
        <v>385</v>
      </c>
      <c r="CP632" s="17" t="s">
        <v>386</v>
      </c>
      <c r="CR632" s="17" t="s">
        <v>384</v>
      </c>
      <c r="CS632" s="17" t="s">
        <v>39</v>
      </c>
      <c r="CT632" s="17" t="s">
        <v>385</v>
      </c>
      <c r="CU632" s="17" t="s">
        <v>386</v>
      </c>
      <c r="CW632" s="61" t="s">
        <v>333</v>
      </c>
      <c r="CX632" s="62">
        <v>0</v>
      </c>
    </row>
    <row r="633" spans="21:104" x14ac:dyDescent="0.25">
      <c r="U633" s="5" t="s">
        <v>96</v>
      </c>
      <c r="V633">
        <v>1</v>
      </c>
      <c r="W633" s="30" t="s">
        <v>387</v>
      </c>
      <c r="X633" s="17">
        <f>SUM(V633:V665)</f>
        <v>5</v>
      </c>
      <c r="Z633" s="61" t="s">
        <v>103</v>
      </c>
      <c r="AA633" s="62">
        <v>1</v>
      </c>
      <c r="AY633" s="5" t="s">
        <v>208</v>
      </c>
      <c r="AZ633">
        <v>3</v>
      </c>
      <c r="BA633" s="15"/>
      <c r="BB633" s="15"/>
      <c r="BI633" s="5" t="s">
        <v>261</v>
      </c>
      <c r="BJ633">
        <v>0</v>
      </c>
      <c r="BK633" s="15"/>
      <c r="BL633" s="15"/>
      <c r="CM633" s="5" t="s">
        <v>328</v>
      </c>
      <c r="CN633">
        <v>3</v>
      </c>
      <c r="CO633" s="30" t="s">
        <v>387</v>
      </c>
      <c r="CP633" s="17">
        <f>SUM(CN633:CN665)</f>
        <v>9</v>
      </c>
      <c r="CR633" s="5" t="s">
        <v>333</v>
      </c>
      <c r="CS633">
        <v>1</v>
      </c>
      <c r="CT633" s="30" t="s">
        <v>387</v>
      </c>
      <c r="CU633" s="17">
        <f>SUM(CS633:CS660)</f>
        <v>60</v>
      </c>
      <c r="CW633" s="61" t="s">
        <v>334</v>
      </c>
      <c r="CX633" s="62">
        <v>0</v>
      </c>
    </row>
    <row r="634" spans="21:104" x14ac:dyDescent="0.25">
      <c r="U634" s="5" t="s">
        <v>97</v>
      </c>
      <c r="V634">
        <v>0</v>
      </c>
      <c r="W634" s="30" t="s">
        <v>388</v>
      </c>
      <c r="X634" s="17">
        <f>MIN(V633:V665)</f>
        <v>0</v>
      </c>
      <c r="Z634" s="61" t="s">
        <v>104</v>
      </c>
      <c r="AA634" s="62">
        <v>1</v>
      </c>
      <c r="AY634" s="5" t="s">
        <v>209</v>
      </c>
      <c r="AZ634">
        <v>2</v>
      </c>
      <c r="BI634" s="5" t="s">
        <v>262</v>
      </c>
      <c r="BJ634">
        <v>0</v>
      </c>
      <c r="CM634" s="5" t="s">
        <v>329</v>
      </c>
      <c r="CN634">
        <v>2</v>
      </c>
      <c r="CO634" s="30" t="s">
        <v>388</v>
      </c>
      <c r="CP634" s="17">
        <f>MIN(CN633:CN665)</f>
        <v>1</v>
      </c>
      <c r="CR634" s="5" t="s">
        <v>334</v>
      </c>
      <c r="CS634">
        <v>2</v>
      </c>
      <c r="CT634" s="30" t="s">
        <v>388</v>
      </c>
      <c r="CU634" s="17">
        <f>MIN(CS633:CS660)</f>
        <v>0</v>
      </c>
      <c r="CW634" s="61" t="s">
        <v>335</v>
      </c>
      <c r="CX634" s="62">
        <v>0</v>
      </c>
    </row>
    <row r="635" spans="21:104" x14ac:dyDescent="0.25">
      <c r="U635" s="5" t="s">
        <v>98</v>
      </c>
      <c r="V635">
        <v>0</v>
      </c>
      <c r="W635" s="30" t="s">
        <v>389</v>
      </c>
      <c r="X635" s="17">
        <f>MAX(V633:V665)</f>
        <v>1</v>
      </c>
      <c r="Z635" s="61" t="s">
        <v>105</v>
      </c>
      <c r="AA635" s="62">
        <v>0</v>
      </c>
      <c r="AY635" s="5" t="s">
        <v>210</v>
      </c>
      <c r="AZ635">
        <v>0</v>
      </c>
      <c r="BI635" s="5" t="s">
        <v>263</v>
      </c>
      <c r="BJ635">
        <v>1</v>
      </c>
      <c r="CM635" s="5" t="s">
        <v>330</v>
      </c>
      <c r="CN635">
        <v>1</v>
      </c>
      <c r="CO635" s="30" t="s">
        <v>389</v>
      </c>
      <c r="CP635" s="17">
        <f>MAX(CN633:CN665)</f>
        <v>3</v>
      </c>
      <c r="CR635" s="5" t="s">
        <v>335</v>
      </c>
      <c r="CS635">
        <v>1</v>
      </c>
      <c r="CT635" s="30" t="s">
        <v>389</v>
      </c>
      <c r="CU635" s="17">
        <f>MAX(CS633:CS660)</f>
        <v>4</v>
      </c>
      <c r="CW635" s="61" t="s">
        <v>43</v>
      </c>
      <c r="CX635" s="62">
        <v>0</v>
      </c>
    </row>
    <row r="636" spans="21:104" x14ac:dyDescent="0.25">
      <c r="U636" s="5" t="s">
        <v>99</v>
      </c>
      <c r="V636">
        <v>0</v>
      </c>
      <c r="W636" s="30" t="s">
        <v>390</v>
      </c>
      <c r="X636" s="17">
        <f>VAR(V633:V665)</f>
        <v>0.13257575757575757</v>
      </c>
      <c r="Z636" s="61" t="s">
        <v>106</v>
      </c>
      <c r="AA636" s="62">
        <v>2</v>
      </c>
      <c r="AY636" s="5" t="s">
        <v>211</v>
      </c>
      <c r="AZ636">
        <v>2</v>
      </c>
      <c r="BI636" s="5" t="s">
        <v>264</v>
      </c>
      <c r="BJ636">
        <v>0</v>
      </c>
      <c r="CM636" s="5" t="s">
        <v>331</v>
      </c>
      <c r="CN636">
        <v>1</v>
      </c>
      <c r="CO636" s="30" t="s">
        <v>390</v>
      </c>
      <c r="CP636" s="17">
        <f>VAR(CN633:CN665)</f>
        <v>0.70000000000000018</v>
      </c>
      <c r="CR636" s="5" t="s">
        <v>43</v>
      </c>
      <c r="CS636">
        <v>0</v>
      </c>
      <c r="CT636" s="30" t="s">
        <v>390</v>
      </c>
      <c r="CU636" s="17">
        <f>VAR(CS633:CS660)</f>
        <v>1.3862433862433858</v>
      </c>
      <c r="CW636" s="61" t="s">
        <v>336</v>
      </c>
      <c r="CX636" s="62">
        <v>0</v>
      </c>
    </row>
    <row r="637" spans="21:104" x14ac:dyDescent="0.25">
      <c r="U637" s="5" t="s">
        <v>100</v>
      </c>
      <c r="V637">
        <v>0</v>
      </c>
      <c r="W637" s="30" t="s">
        <v>391</v>
      </c>
      <c r="X637" s="17">
        <f>AVERAGE(V633:V665)</f>
        <v>0.15151515151515152</v>
      </c>
      <c r="Z637" s="61" t="s">
        <v>61</v>
      </c>
      <c r="AA637" s="62">
        <v>0</v>
      </c>
      <c r="AY637" s="5" t="s">
        <v>212</v>
      </c>
      <c r="AZ637">
        <v>1</v>
      </c>
      <c r="BI637" s="5" t="s">
        <v>265</v>
      </c>
      <c r="BJ637">
        <v>0</v>
      </c>
      <c r="CM637" s="5" t="s">
        <v>332</v>
      </c>
      <c r="CN637">
        <v>2</v>
      </c>
      <c r="CO637" s="30" t="s">
        <v>391</v>
      </c>
      <c r="CP637" s="17">
        <f>AVERAGE(CN633:CN665)</f>
        <v>1.8</v>
      </c>
      <c r="CR637" s="5" t="s">
        <v>336</v>
      </c>
      <c r="CS637">
        <v>3</v>
      </c>
      <c r="CT637" s="30" t="s">
        <v>391</v>
      </c>
      <c r="CU637" s="17">
        <f>AVERAGE(CS633:CS660)</f>
        <v>2.1428571428571428</v>
      </c>
      <c r="CW637" s="61" t="s">
        <v>337</v>
      </c>
      <c r="CX637" s="62">
        <v>0</v>
      </c>
    </row>
    <row r="638" spans="21:104" x14ac:dyDescent="0.25">
      <c r="U638" s="5" t="s">
        <v>101</v>
      </c>
      <c r="V638">
        <v>0</v>
      </c>
      <c r="W638" s="30" t="s">
        <v>392</v>
      </c>
      <c r="X638" s="17">
        <f>STDEV(V633:V665)</f>
        <v>0.36410954062720957</v>
      </c>
      <c r="Z638" s="61" t="s">
        <v>107</v>
      </c>
      <c r="AA638" s="62">
        <v>0</v>
      </c>
      <c r="AY638" s="5" t="s">
        <v>213</v>
      </c>
      <c r="AZ638">
        <v>0</v>
      </c>
      <c r="BI638" s="5" t="s">
        <v>266</v>
      </c>
      <c r="BJ638">
        <v>0</v>
      </c>
      <c r="CO638" s="30" t="s">
        <v>392</v>
      </c>
      <c r="CP638" s="17">
        <f>STDEV(CN633:CN665)</f>
        <v>0.83666002653407567</v>
      </c>
      <c r="CR638" s="5" t="s">
        <v>337</v>
      </c>
      <c r="CS638">
        <v>3</v>
      </c>
      <c r="CT638" s="30" t="s">
        <v>392</v>
      </c>
      <c r="CU638" s="17">
        <f>STDEV(CS633:CS660)</f>
        <v>1.1773883752795362</v>
      </c>
      <c r="CW638" s="61" t="s">
        <v>338</v>
      </c>
      <c r="CX638" s="62">
        <v>0</v>
      </c>
    </row>
    <row r="639" spans="21:104" x14ac:dyDescent="0.25">
      <c r="U639" s="5" t="s">
        <v>103</v>
      </c>
      <c r="V639">
        <v>0</v>
      </c>
      <c r="W639" s="17"/>
      <c r="X639" s="17"/>
      <c r="Z639" s="61" t="s">
        <v>108</v>
      </c>
      <c r="AA639" s="62">
        <v>0</v>
      </c>
      <c r="AY639" s="5" t="s">
        <v>214</v>
      </c>
      <c r="AZ639">
        <v>1</v>
      </c>
      <c r="BI639" s="5" t="s">
        <v>267</v>
      </c>
      <c r="BJ639">
        <v>0</v>
      </c>
      <c r="CO639" s="17"/>
      <c r="CP639" s="17"/>
      <c r="CR639" s="5" t="s">
        <v>338</v>
      </c>
      <c r="CS639">
        <v>2</v>
      </c>
      <c r="CW639" s="61" t="s">
        <v>339</v>
      </c>
      <c r="CX639" s="62">
        <v>0</v>
      </c>
    </row>
    <row r="640" spans="21:104" x14ac:dyDescent="0.25">
      <c r="U640" s="5" t="s">
        <v>104</v>
      </c>
      <c r="V640">
        <v>0</v>
      </c>
      <c r="W640" s="17"/>
      <c r="X640" s="17"/>
      <c r="Z640" s="61" t="s">
        <v>109</v>
      </c>
      <c r="AA640" s="62">
        <v>0</v>
      </c>
      <c r="AY640" s="5" t="s">
        <v>215</v>
      </c>
      <c r="AZ640">
        <v>7</v>
      </c>
      <c r="BI640" s="5" t="s">
        <v>268</v>
      </c>
      <c r="BJ640">
        <v>0</v>
      </c>
      <c r="CO640" s="17"/>
      <c r="CP640" s="17"/>
      <c r="CR640" s="5" t="s">
        <v>339</v>
      </c>
      <c r="CS640">
        <v>2</v>
      </c>
      <c r="CW640" s="61" t="s">
        <v>340</v>
      </c>
      <c r="CX640" s="62">
        <v>0</v>
      </c>
    </row>
    <row r="641" spans="21:102" x14ac:dyDescent="0.25">
      <c r="U641" s="5" t="s">
        <v>105</v>
      </c>
      <c r="V641">
        <v>0</v>
      </c>
      <c r="W641" s="17"/>
      <c r="X641" s="17"/>
      <c r="Z641" s="61" t="s">
        <v>110</v>
      </c>
      <c r="AA641" s="62">
        <v>0</v>
      </c>
      <c r="AY641" s="5" t="s">
        <v>216</v>
      </c>
      <c r="AZ641">
        <v>1</v>
      </c>
      <c r="BI641" s="5" t="s">
        <v>269</v>
      </c>
      <c r="BJ641">
        <v>0</v>
      </c>
      <c r="CO641" s="17"/>
      <c r="CP641" s="17"/>
      <c r="CR641" s="5" t="s">
        <v>340</v>
      </c>
      <c r="CS641">
        <v>4</v>
      </c>
      <c r="CW641" s="61" t="s">
        <v>341</v>
      </c>
      <c r="CX641" s="62">
        <v>0</v>
      </c>
    </row>
    <row r="642" spans="21:102" x14ac:dyDescent="0.25">
      <c r="U642" s="5" t="s">
        <v>106</v>
      </c>
      <c r="V642">
        <v>0</v>
      </c>
      <c r="W642" s="17"/>
      <c r="X642" s="17"/>
      <c r="Z642" s="61" t="s">
        <v>111</v>
      </c>
      <c r="AA642" s="62">
        <v>0</v>
      </c>
      <c r="AY642" s="5" t="s">
        <v>217</v>
      </c>
      <c r="AZ642">
        <v>0</v>
      </c>
      <c r="BI642" s="5" t="s">
        <v>270</v>
      </c>
      <c r="BJ642">
        <v>0</v>
      </c>
      <c r="CO642" s="17"/>
      <c r="CP642" s="17"/>
      <c r="CR642" s="5" t="s">
        <v>341</v>
      </c>
      <c r="CS642">
        <v>1</v>
      </c>
      <c r="CW642" s="61" t="s">
        <v>342</v>
      </c>
      <c r="CX642" s="62">
        <v>0</v>
      </c>
    </row>
    <row r="643" spans="21:102" x14ac:dyDescent="0.25">
      <c r="U643" s="5" t="s">
        <v>61</v>
      </c>
      <c r="V643">
        <v>0</v>
      </c>
      <c r="W643" s="17"/>
      <c r="X643" s="17"/>
      <c r="Z643" s="61" t="s">
        <v>112</v>
      </c>
      <c r="AA643" s="62">
        <v>0</v>
      </c>
      <c r="AY643" s="5" t="s">
        <v>218</v>
      </c>
      <c r="AZ643">
        <v>0</v>
      </c>
      <c r="BI643" s="5" t="s">
        <v>271</v>
      </c>
      <c r="BJ643">
        <v>0</v>
      </c>
      <c r="CO643" s="17"/>
      <c r="CP643" s="17"/>
      <c r="CR643" s="5" t="s">
        <v>342</v>
      </c>
      <c r="CS643">
        <v>3</v>
      </c>
      <c r="CW643" s="61" t="s">
        <v>343</v>
      </c>
      <c r="CX643" s="62">
        <v>0</v>
      </c>
    </row>
    <row r="644" spans="21:102" x14ac:dyDescent="0.25">
      <c r="U644" s="5" t="s">
        <v>107</v>
      </c>
      <c r="V644">
        <v>0</v>
      </c>
      <c r="W644" s="17"/>
      <c r="X644" s="17"/>
      <c r="Z644" s="61" t="s">
        <v>113</v>
      </c>
      <c r="AA644" s="62">
        <v>0</v>
      </c>
      <c r="AY644" s="5" t="s">
        <v>219</v>
      </c>
      <c r="AZ644">
        <v>0</v>
      </c>
      <c r="BI644" s="5" t="s">
        <v>272</v>
      </c>
      <c r="BJ644">
        <v>0</v>
      </c>
      <c r="CO644" s="17"/>
      <c r="CP644" s="17"/>
      <c r="CR644" s="5" t="s">
        <v>343</v>
      </c>
      <c r="CS644">
        <v>4</v>
      </c>
      <c r="CW644" s="61" t="s">
        <v>344</v>
      </c>
      <c r="CX644" s="62">
        <v>0</v>
      </c>
    </row>
    <row r="645" spans="21:102" x14ac:dyDescent="0.25">
      <c r="U645" s="5" t="s">
        <v>108</v>
      </c>
      <c r="V645">
        <v>0</v>
      </c>
      <c r="W645" s="17"/>
      <c r="X645" s="17"/>
      <c r="Z645" s="64" t="s">
        <v>114</v>
      </c>
      <c r="AA645" s="62">
        <v>0</v>
      </c>
      <c r="AY645" s="5" t="s">
        <v>220</v>
      </c>
      <c r="AZ645">
        <v>0</v>
      </c>
      <c r="BI645" s="5" t="s">
        <v>273</v>
      </c>
      <c r="BJ645">
        <v>1</v>
      </c>
      <c r="CO645" s="17"/>
      <c r="CP645" s="17"/>
      <c r="CR645" s="5" t="s">
        <v>344</v>
      </c>
      <c r="CS645">
        <v>4</v>
      </c>
      <c r="CW645" s="61" t="s">
        <v>345</v>
      </c>
      <c r="CX645" s="62">
        <v>0</v>
      </c>
    </row>
    <row r="646" spans="21:102" x14ac:dyDescent="0.25">
      <c r="U646" s="5" t="s">
        <v>109</v>
      </c>
      <c r="V646">
        <v>0</v>
      </c>
      <c r="W646" s="17"/>
      <c r="X646" s="17"/>
      <c r="Z646" s="64" t="s">
        <v>115</v>
      </c>
      <c r="AA646" s="62">
        <v>1</v>
      </c>
      <c r="CO646" s="17"/>
      <c r="CP646" s="17"/>
      <c r="CR646" s="5" t="s">
        <v>345</v>
      </c>
      <c r="CS646">
        <v>3</v>
      </c>
      <c r="CW646" s="61" t="s">
        <v>346</v>
      </c>
      <c r="CX646" s="62">
        <v>0</v>
      </c>
    </row>
    <row r="647" spans="21:102" x14ac:dyDescent="0.25">
      <c r="U647" s="5" t="s">
        <v>110</v>
      </c>
      <c r="V647">
        <v>0</v>
      </c>
      <c r="W647" s="17"/>
      <c r="X647" s="17"/>
      <c r="Z647" s="64" t="s">
        <v>116</v>
      </c>
      <c r="AA647" s="62">
        <v>0</v>
      </c>
      <c r="AY647" s="17"/>
      <c r="AZ647" s="29"/>
      <c r="BA647" s="17"/>
      <c r="BB647" s="17"/>
      <c r="BI647" s="17" t="s">
        <v>382</v>
      </c>
      <c r="BJ647" s="29" t="s">
        <v>372</v>
      </c>
      <c r="BK647" s="17"/>
      <c r="BL647" s="17">
        <v>2016</v>
      </c>
      <c r="CO647" s="17"/>
      <c r="CP647" s="17"/>
      <c r="CR647" s="5" t="s">
        <v>346</v>
      </c>
      <c r="CS647">
        <v>1</v>
      </c>
      <c r="CW647" s="61" t="s">
        <v>347</v>
      </c>
      <c r="CX647" s="62">
        <v>0</v>
      </c>
    </row>
    <row r="648" spans="21:102" x14ac:dyDescent="0.25">
      <c r="U648" s="5" t="s">
        <v>111</v>
      </c>
      <c r="V648">
        <v>0</v>
      </c>
      <c r="W648" s="17"/>
      <c r="X648" s="17"/>
      <c r="Z648" s="64" t="s">
        <v>117</v>
      </c>
      <c r="AA648" s="62">
        <v>0</v>
      </c>
      <c r="AY648" s="17"/>
      <c r="AZ648" s="6"/>
      <c r="BA648" s="17"/>
      <c r="BB648" s="17"/>
      <c r="BI648" s="17" t="s">
        <v>383</v>
      </c>
      <c r="BJ648" s="6" t="s">
        <v>37</v>
      </c>
      <c r="BK648" s="17"/>
      <c r="BL648" s="17"/>
      <c r="CO648" s="17"/>
      <c r="CP648" s="17"/>
      <c r="CR648" s="5" t="s">
        <v>347</v>
      </c>
      <c r="CS648">
        <v>2</v>
      </c>
      <c r="CW648" s="61" t="s">
        <v>348</v>
      </c>
      <c r="CX648" s="62">
        <v>1</v>
      </c>
    </row>
    <row r="649" spans="21:102" x14ac:dyDescent="0.25">
      <c r="U649" s="5" t="s">
        <v>112</v>
      </c>
      <c r="V649">
        <v>0</v>
      </c>
      <c r="W649" s="17"/>
      <c r="X649" s="17"/>
      <c r="Z649" s="64" t="s">
        <v>118</v>
      </c>
      <c r="AA649" s="62">
        <v>0</v>
      </c>
      <c r="AY649" s="17"/>
      <c r="AZ649" s="17"/>
      <c r="BA649" s="17"/>
      <c r="BB649" s="17"/>
      <c r="BI649" s="17" t="s">
        <v>384</v>
      </c>
      <c r="BJ649" s="17" t="s">
        <v>39</v>
      </c>
      <c r="BK649" s="17" t="s">
        <v>385</v>
      </c>
      <c r="BL649" s="17" t="s">
        <v>386</v>
      </c>
      <c r="CR649" s="5" t="s">
        <v>348</v>
      </c>
      <c r="CS649">
        <v>1</v>
      </c>
      <c r="CW649" s="61" t="s">
        <v>349</v>
      </c>
      <c r="CX649" s="62">
        <v>0</v>
      </c>
    </row>
    <row r="650" spans="21:102" x14ac:dyDescent="0.25">
      <c r="U650" s="5" t="s">
        <v>113</v>
      </c>
      <c r="V650">
        <v>0</v>
      </c>
      <c r="W650" s="15"/>
      <c r="X650" s="15"/>
      <c r="Z650" s="64" t="s">
        <v>119</v>
      </c>
      <c r="AA650" s="62">
        <v>0</v>
      </c>
      <c r="AY650" s="5"/>
      <c r="BA650" s="30"/>
      <c r="BB650" s="17"/>
      <c r="BI650" s="5" t="s">
        <v>245</v>
      </c>
      <c r="BJ650">
        <v>0</v>
      </c>
      <c r="BK650" s="30" t="s">
        <v>387</v>
      </c>
      <c r="BL650" s="17">
        <f>SUM(BJ650:BJ679)</f>
        <v>66</v>
      </c>
      <c r="CR650" s="5" t="s">
        <v>349</v>
      </c>
      <c r="CS650">
        <v>2</v>
      </c>
      <c r="CW650" s="61" t="s">
        <v>350</v>
      </c>
      <c r="CX650" s="62">
        <v>0</v>
      </c>
    </row>
    <row r="651" spans="21:102" x14ac:dyDescent="0.25">
      <c r="U651" s="26" t="s">
        <v>114</v>
      </c>
      <c r="V651">
        <v>0</v>
      </c>
      <c r="W651" s="17"/>
      <c r="X651" s="17"/>
      <c r="Z651" s="61" t="s">
        <v>120</v>
      </c>
      <c r="AA651" s="62">
        <v>1</v>
      </c>
      <c r="AY651" s="5"/>
      <c r="BA651" s="30"/>
      <c r="BB651" s="17"/>
      <c r="BI651" s="5" t="s">
        <v>73</v>
      </c>
      <c r="BJ651">
        <v>1</v>
      </c>
      <c r="BK651" s="30" t="s">
        <v>388</v>
      </c>
      <c r="BL651" s="17">
        <f>MIN(BJ650:BJ679)</f>
        <v>0</v>
      </c>
      <c r="CR651" s="5" t="s">
        <v>350</v>
      </c>
      <c r="CS651">
        <v>2</v>
      </c>
      <c r="CW651" s="61" t="s">
        <v>351</v>
      </c>
      <c r="CX651" s="62">
        <v>0</v>
      </c>
    </row>
    <row r="652" spans="21:102" x14ac:dyDescent="0.25">
      <c r="U652" s="26" t="s">
        <v>115</v>
      </c>
      <c r="V652">
        <v>1</v>
      </c>
      <c r="W652" s="17"/>
      <c r="X652" s="17"/>
      <c r="Z652" s="61" t="s">
        <v>121</v>
      </c>
      <c r="AA652" s="62">
        <v>0</v>
      </c>
      <c r="AY652" s="5"/>
      <c r="BA652" s="30"/>
      <c r="BB652" s="17"/>
      <c r="BI652" s="5" t="s">
        <v>246</v>
      </c>
      <c r="BJ652">
        <v>1</v>
      </c>
      <c r="BK652" s="30" t="s">
        <v>389</v>
      </c>
      <c r="BL652" s="17">
        <f>MAX(BJ650:BJ679)</f>
        <v>6</v>
      </c>
      <c r="CR652" s="5" t="s">
        <v>351</v>
      </c>
      <c r="CS652">
        <v>1</v>
      </c>
      <c r="CW652" s="61" t="s">
        <v>352</v>
      </c>
      <c r="CX652" s="62">
        <v>0</v>
      </c>
    </row>
    <row r="653" spans="21:102" x14ac:dyDescent="0.25">
      <c r="U653" s="26" t="s">
        <v>116</v>
      </c>
      <c r="V653">
        <v>0</v>
      </c>
      <c r="W653" s="17"/>
      <c r="X653" s="1"/>
      <c r="Z653" s="61" t="s">
        <v>122</v>
      </c>
      <c r="AA653" s="62">
        <v>0</v>
      </c>
      <c r="AY653" s="5"/>
      <c r="BA653" s="30"/>
      <c r="BB653" s="17"/>
      <c r="BI653" s="5" t="s">
        <v>247</v>
      </c>
      <c r="BJ653">
        <v>1</v>
      </c>
      <c r="BK653" s="30" t="s">
        <v>390</v>
      </c>
      <c r="BL653" s="17">
        <f>VAR(BJ650:BJ679)</f>
        <v>3.2</v>
      </c>
      <c r="CR653" s="5" t="s">
        <v>352</v>
      </c>
      <c r="CS653">
        <v>3</v>
      </c>
      <c r="CW653" s="61" t="s">
        <v>353</v>
      </c>
      <c r="CX653" s="62">
        <v>0</v>
      </c>
    </row>
    <row r="654" spans="21:102" x14ac:dyDescent="0.25">
      <c r="U654" s="26" t="s">
        <v>117</v>
      </c>
      <c r="V654">
        <v>0</v>
      </c>
      <c r="W654" s="17"/>
      <c r="X654" s="1"/>
      <c r="Z654" s="61" t="s">
        <v>123</v>
      </c>
      <c r="AA654" s="62">
        <v>0</v>
      </c>
      <c r="AY654" s="5"/>
      <c r="BA654" s="30"/>
      <c r="BB654" s="17"/>
      <c r="BI654" s="5" t="s">
        <v>248</v>
      </c>
      <c r="BJ654">
        <v>6</v>
      </c>
      <c r="BK654" s="30" t="s">
        <v>391</v>
      </c>
      <c r="BL654" s="17">
        <f>AVERAGE(BJ650:BJ679)</f>
        <v>2.2000000000000002</v>
      </c>
      <c r="CR654" s="5" t="s">
        <v>353</v>
      </c>
      <c r="CS654">
        <v>2</v>
      </c>
      <c r="CW654" s="61" t="s">
        <v>354</v>
      </c>
      <c r="CX654" s="62">
        <v>0</v>
      </c>
    </row>
    <row r="655" spans="21:102" x14ac:dyDescent="0.25">
      <c r="U655" s="26" t="s">
        <v>118</v>
      </c>
      <c r="V655">
        <v>0</v>
      </c>
      <c r="W655" s="17"/>
      <c r="X655" s="1"/>
      <c r="Z655" s="61" t="s">
        <v>124</v>
      </c>
      <c r="AA655" s="62">
        <v>0</v>
      </c>
      <c r="AY655" s="5"/>
      <c r="BA655" s="30"/>
      <c r="BB655" s="17"/>
      <c r="BI655" s="5" t="s">
        <v>249</v>
      </c>
      <c r="BJ655">
        <v>6</v>
      </c>
      <c r="BK655" s="30" t="s">
        <v>392</v>
      </c>
      <c r="BL655" s="17">
        <f>STDEV(BJ650:BJ679)</f>
        <v>1.7888543819998317</v>
      </c>
      <c r="CR655" s="5" t="s">
        <v>354</v>
      </c>
      <c r="CS655">
        <v>3</v>
      </c>
      <c r="CW655" s="61" t="s">
        <v>355</v>
      </c>
      <c r="CX655" s="62">
        <v>0</v>
      </c>
    </row>
    <row r="656" spans="21:102" x14ac:dyDescent="0.25">
      <c r="U656" s="26" t="s">
        <v>119</v>
      </c>
      <c r="V656">
        <v>0</v>
      </c>
      <c r="Z656" s="61" t="s">
        <v>125</v>
      </c>
      <c r="AA656" s="62">
        <v>0</v>
      </c>
      <c r="AY656" s="5"/>
      <c r="BA656" s="17"/>
      <c r="BB656" s="17"/>
      <c r="BI656" s="5" t="s">
        <v>250</v>
      </c>
      <c r="BJ656">
        <v>3</v>
      </c>
      <c r="BK656" s="17"/>
      <c r="BL656" s="17"/>
      <c r="CR656" s="5" t="s">
        <v>355</v>
      </c>
      <c r="CS656">
        <v>3</v>
      </c>
      <c r="CW656" s="66" t="s">
        <v>356</v>
      </c>
      <c r="CX656" s="62">
        <v>0</v>
      </c>
    </row>
    <row r="657" spans="21:104" x14ac:dyDescent="0.25">
      <c r="U657" s="5" t="s">
        <v>120</v>
      </c>
      <c r="V657">
        <v>0</v>
      </c>
      <c r="Z657" s="61" t="s">
        <v>126</v>
      </c>
      <c r="AA657" s="62">
        <v>0</v>
      </c>
      <c r="AY657" s="5"/>
      <c r="BA657" s="17"/>
      <c r="BB657" s="17"/>
      <c r="BI657" s="5" t="s">
        <v>251</v>
      </c>
      <c r="BJ657">
        <v>5</v>
      </c>
      <c r="BK657" s="17"/>
      <c r="BL657" s="17"/>
      <c r="CR657" s="2" t="s">
        <v>356</v>
      </c>
      <c r="CS657">
        <v>4</v>
      </c>
      <c r="CW657" s="66" t="s">
        <v>357</v>
      </c>
      <c r="CX657" s="62">
        <v>0</v>
      </c>
    </row>
    <row r="658" spans="21:104" x14ac:dyDescent="0.25">
      <c r="U658" s="5" t="s">
        <v>121</v>
      </c>
      <c r="V658">
        <v>0</v>
      </c>
      <c r="Z658" s="61" t="s">
        <v>127</v>
      </c>
      <c r="AA658" s="62">
        <v>0</v>
      </c>
      <c r="AY658" s="5"/>
      <c r="BA658" s="17"/>
      <c r="BB658" s="17"/>
      <c r="BI658" s="5" t="s">
        <v>252</v>
      </c>
      <c r="BJ658">
        <v>5</v>
      </c>
      <c r="BK658" s="17"/>
      <c r="BL658" s="17"/>
      <c r="CR658" s="2" t="s">
        <v>357</v>
      </c>
      <c r="CS658">
        <v>1</v>
      </c>
      <c r="CW658" s="66" t="s">
        <v>358</v>
      </c>
      <c r="CX658" s="62">
        <v>0</v>
      </c>
    </row>
    <row r="659" spans="21:104" x14ac:dyDescent="0.25">
      <c r="U659" s="5" t="s">
        <v>122</v>
      </c>
      <c r="V659">
        <v>0</v>
      </c>
      <c r="Z659" s="61" t="s">
        <v>128</v>
      </c>
      <c r="AA659" s="62">
        <v>0</v>
      </c>
      <c r="AY659" s="5"/>
      <c r="BA659" s="17"/>
      <c r="BB659" s="17"/>
      <c r="BI659" s="5" t="s">
        <v>253</v>
      </c>
      <c r="BJ659">
        <v>4</v>
      </c>
      <c r="BK659" s="17"/>
      <c r="BL659" s="17"/>
      <c r="CR659" s="2" t="s">
        <v>358</v>
      </c>
      <c r="CS659">
        <v>0</v>
      </c>
      <c r="CW659" s="66" t="s">
        <v>359</v>
      </c>
      <c r="CX659" s="62">
        <v>0</v>
      </c>
    </row>
    <row r="660" spans="21:104" x14ac:dyDescent="0.25">
      <c r="U660" s="5" t="s">
        <v>123</v>
      </c>
      <c r="V660">
        <v>1</v>
      </c>
      <c r="AY660" s="5"/>
      <c r="BA660" s="17"/>
      <c r="BB660" s="17"/>
      <c r="BI660" s="5" t="s">
        <v>254</v>
      </c>
      <c r="BJ660">
        <v>2</v>
      </c>
      <c r="BK660" s="17"/>
      <c r="BL660" s="17"/>
      <c r="CR660" s="3" t="s">
        <v>359</v>
      </c>
      <c r="CS660">
        <v>2</v>
      </c>
    </row>
    <row r="661" spans="21:104" x14ac:dyDescent="0.25">
      <c r="U661" s="5" t="s">
        <v>124</v>
      </c>
      <c r="V661">
        <v>0</v>
      </c>
      <c r="Z661" s="58" t="s">
        <v>382</v>
      </c>
      <c r="AA661" s="59" t="s">
        <v>627</v>
      </c>
      <c r="AB661" s="58"/>
      <c r="AC661" s="58">
        <v>2016</v>
      </c>
      <c r="AY661" s="5"/>
      <c r="BA661" s="17"/>
      <c r="BB661" s="17"/>
      <c r="BI661" s="5" t="s">
        <v>255</v>
      </c>
      <c r="BJ661">
        <v>2</v>
      </c>
      <c r="BK661" s="17"/>
      <c r="BL661" s="17"/>
      <c r="CW661" s="58" t="s">
        <v>382</v>
      </c>
      <c r="CX661" s="59" t="s">
        <v>629</v>
      </c>
      <c r="CY661" s="58"/>
      <c r="CZ661" s="58">
        <v>2016</v>
      </c>
    </row>
    <row r="662" spans="21:104" x14ac:dyDescent="0.25">
      <c r="U662" s="5" t="s">
        <v>125</v>
      </c>
      <c r="V662">
        <v>0</v>
      </c>
      <c r="Z662" s="58" t="s">
        <v>383</v>
      </c>
      <c r="AA662" s="60" t="s">
        <v>24</v>
      </c>
      <c r="AB662" s="58"/>
      <c r="AC662" s="58"/>
      <c r="AY662" s="5"/>
      <c r="BA662" s="17"/>
      <c r="BB662" s="17"/>
      <c r="BI662" s="5" t="s">
        <v>256</v>
      </c>
      <c r="BJ662">
        <v>1</v>
      </c>
      <c r="BK662" s="17"/>
      <c r="BL662" s="17"/>
      <c r="CW662" s="58" t="s">
        <v>383</v>
      </c>
      <c r="CX662" s="60" t="s">
        <v>102</v>
      </c>
      <c r="CY662" s="58"/>
      <c r="CZ662" s="58"/>
    </row>
    <row r="663" spans="21:104" x14ac:dyDescent="0.25">
      <c r="U663" s="5" t="s">
        <v>126</v>
      </c>
      <c r="V663">
        <v>1</v>
      </c>
      <c r="Z663" s="58" t="s">
        <v>384</v>
      </c>
      <c r="AA663" s="58" t="s">
        <v>39</v>
      </c>
      <c r="AB663" s="58" t="s">
        <v>385</v>
      </c>
      <c r="AC663" s="58" t="s">
        <v>386</v>
      </c>
      <c r="AY663" s="5"/>
      <c r="BA663" s="17"/>
      <c r="BB663" s="17"/>
      <c r="BI663" s="5" t="s">
        <v>257</v>
      </c>
      <c r="BJ663">
        <v>0</v>
      </c>
      <c r="BK663" s="17"/>
      <c r="BL663" s="17"/>
      <c r="CW663" s="58" t="s">
        <v>384</v>
      </c>
      <c r="CX663" s="58" t="s">
        <v>39</v>
      </c>
      <c r="CY663" s="58" t="s">
        <v>385</v>
      </c>
      <c r="CZ663" s="58" t="s">
        <v>386</v>
      </c>
    </row>
    <row r="664" spans="21:104" x14ac:dyDescent="0.25">
      <c r="U664" s="5" t="s">
        <v>127</v>
      </c>
      <c r="V664">
        <v>1</v>
      </c>
      <c r="Z664" s="61" t="s">
        <v>88</v>
      </c>
      <c r="AA664" s="62">
        <v>0</v>
      </c>
      <c r="AB664" s="63" t="s">
        <v>387</v>
      </c>
      <c r="AC664" s="58">
        <f>SUM(AA664:AA703)</f>
        <v>55</v>
      </c>
      <c r="AY664" s="5"/>
      <c r="BA664" s="17"/>
      <c r="BB664" s="17"/>
      <c r="BI664" s="5" t="s">
        <v>258</v>
      </c>
      <c r="BJ664">
        <v>1</v>
      </c>
      <c r="BK664" s="17"/>
      <c r="BL664" s="17"/>
      <c r="CW664" s="61" t="s">
        <v>321</v>
      </c>
      <c r="CX664" s="62">
        <v>0</v>
      </c>
      <c r="CY664" s="63" t="s">
        <v>387</v>
      </c>
      <c r="CZ664" s="58">
        <f>SUM(CX664:CX703)</f>
        <v>4</v>
      </c>
    </row>
    <row r="665" spans="21:104" x14ac:dyDescent="0.25">
      <c r="U665" s="5" t="s">
        <v>128</v>
      </c>
      <c r="V665">
        <v>0</v>
      </c>
      <c r="Z665" s="61" t="s">
        <v>89</v>
      </c>
      <c r="AA665" s="62">
        <v>0</v>
      </c>
      <c r="AB665" s="63" t="s">
        <v>388</v>
      </c>
      <c r="AC665" s="58">
        <f>MIN(AA664:AA703)</f>
        <v>0</v>
      </c>
      <c r="AY665" s="5"/>
      <c r="BA665" s="17"/>
      <c r="BB665" s="17"/>
      <c r="BI665" s="5" t="s">
        <v>259</v>
      </c>
      <c r="BJ665">
        <v>2</v>
      </c>
      <c r="BK665" s="17"/>
      <c r="BL665" s="17"/>
      <c r="CW665" s="61" t="s">
        <v>322</v>
      </c>
      <c r="CX665" s="62">
        <v>0</v>
      </c>
      <c r="CY665" s="63" t="s">
        <v>388</v>
      </c>
      <c r="CZ665" s="58">
        <f>MIN(CX664:CX703)</f>
        <v>0</v>
      </c>
    </row>
    <row r="666" spans="21:104" x14ac:dyDescent="0.25">
      <c r="Z666" s="61" t="s">
        <v>90</v>
      </c>
      <c r="AA666" s="62">
        <v>2</v>
      </c>
      <c r="AB666" s="63" t="s">
        <v>389</v>
      </c>
      <c r="AC666" s="58">
        <f>MAX(AA664:AA703)</f>
        <v>6</v>
      </c>
      <c r="AY666" s="5"/>
      <c r="BA666" s="17"/>
      <c r="BB666" s="17"/>
      <c r="BI666" s="5" t="s">
        <v>260</v>
      </c>
      <c r="BJ666">
        <v>3</v>
      </c>
      <c r="BK666" s="17"/>
      <c r="BL666" s="17"/>
      <c r="CW666" s="61" t="s">
        <v>323</v>
      </c>
      <c r="CX666" s="62">
        <v>1</v>
      </c>
      <c r="CY666" s="63" t="s">
        <v>389</v>
      </c>
      <c r="CZ666" s="58">
        <f>MAX(CX664:CX703)</f>
        <v>2</v>
      </c>
    </row>
    <row r="667" spans="21:104" x14ac:dyDescent="0.25">
      <c r="U667" s="17" t="s">
        <v>382</v>
      </c>
      <c r="V667" s="29" t="s">
        <v>400</v>
      </c>
      <c r="W667" s="17"/>
      <c r="X667" s="17">
        <v>2016</v>
      </c>
      <c r="Z667" s="61" t="s">
        <v>91</v>
      </c>
      <c r="AA667" s="62">
        <v>2</v>
      </c>
      <c r="AB667" s="63" t="s">
        <v>390</v>
      </c>
      <c r="AC667" s="58">
        <f>VAR(AA664:AA703)</f>
        <v>1.983974358974359</v>
      </c>
      <c r="AY667" s="5"/>
      <c r="BA667" s="15"/>
      <c r="BB667" s="15"/>
      <c r="BI667" s="5" t="s">
        <v>261</v>
      </c>
      <c r="BJ667">
        <v>1</v>
      </c>
      <c r="BK667" s="15"/>
      <c r="BL667" s="15"/>
      <c r="CW667" s="61" t="s">
        <v>324</v>
      </c>
      <c r="CX667" s="62">
        <v>0</v>
      </c>
      <c r="CY667" s="63" t="s">
        <v>390</v>
      </c>
      <c r="CZ667" s="58">
        <f>VAR(CX664:CX703)</f>
        <v>0.14358974358974358</v>
      </c>
    </row>
    <row r="668" spans="21:104" x14ac:dyDescent="0.25">
      <c r="U668" s="17" t="s">
        <v>383</v>
      </c>
      <c r="V668" s="6" t="s">
        <v>27</v>
      </c>
      <c r="W668" s="17"/>
      <c r="X668" s="17"/>
      <c r="Z668" s="61" t="s">
        <v>92</v>
      </c>
      <c r="AA668" s="62">
        <v>3</v>
      </c>
      <c r="AB668" s="63" t="s">
        <v>391</v>
      </c>
      <c r="AC668" s="58">
        <f>AVERAGE(AA664:AA703)</f>
        <v>1.375</v>
      </c>
      <c r="AY668" s="5"/>
      <c r="BI668" s="5" t="s">
        <v>262</v>
      </c>
      <c r="BJ668">
        <v>0</v>
      </c>
      <c r="CW668" s="61" t="s">
        <v>325</v>
      </c>
      <c r="CX668" s="62">
        <v>0</v>
      </c>
      <c r="CY668" s="63" t="s">
        <v>391</v>
      </c>
      <c r="CZ668" s="58">
        <f>AVERAGE(CX664:CX703)</f>
        <v>0.1</v>
      </c>
    </row>
    <row r="669" spans="21:104" x14ac:dyDescent="0.25">
      <c r="U669" s="17" t="s">
        <v>384</v>
      </c>
      <c r="V669" s="17" t="s">
        <v>39</v>
      </c>
      <c r="W669" s="17" t="s">
        <v>385</v>
      </c>
      <c r="X669" s="17" t="s">
        <v>386</v>
      </c>
      <c r="Z669" s="61" t="s">
        <v>93</v>
      </c>
      <c r="AA669" s="62">
        <v>1</v>
      </c>
      <c r="AB669" s="63" t="s">
        <v>392</v>
      </c>
      <c r="AC669" s="58">
        <f>STDEV(AA664:AA703)</f>
        <v>1.4085362469508405</v>
      </c>
      <c r="AY669" s="5"/>
      <c r="BI669" s="5" t="s">
        <v>263</v>
      </c>
      <c r="BJ669">
        <v>1</v>
      </c>
      <c r="CW669" s="61" t="s">
        <v>326</v>
      </c>
      <c r="CX669" s="62">
        <v>0</v>
      </c>
      <c r="CY669" s="63" t="s">
        <v>392</v>
      </c>
      <c r="CZ669" s="58">
        <f>STDEV(CX664:CX703)</f>
        <v>0.37893237337253671</v>
      </c>
    </row>
    <row r="670" spans="21:104" x14ac:dyDescent="0.25">
      <c r="U670" s="5" t="s">
        <v>96</v>
      </c>
      <c r="V670">
        <v>0</v>
      </c>
      <c r="W670" s="30" t="s">
        <v>387</v>
      </c>
      <c r="X670" s="17">
        <f>SUM(V670:V702)</f>
        <v>3</v>
      </c>
      <c r="Z670" s="61" t="s">
        <v>94</v>
      </c>
      <c r="AA670" s="62">
        <v>0</v>
      </c>
      <c r="AB670" s="58"/>
      <c r="AC670" s="58"/>
      <c r="AY670" s="5"/>
      <c r="BI670" s="5" t="s">
        <v>264</v>
      </c>
      <c r="BJ670">
        <v>5</v>
      </c>
      <c r="CW670" s="61" t="s">
        <v>327</v>
      </c>
      <c r="CX670" s="62">
        <v>0</v>
      </c>
      <c r="CY670" s="58"/>
      <c r="CZ670" s="58"/>
    </row>
    <row r="671" spans="21:104" x14ac:dyDescent="0.25">
      <c r="U671" s="5" t="s">
        <v>97</v>
      </c>
      <c r="V671">
        <v>0</v>
      </c>
      <c r="W671" s="30" t="s">
        <v>388</v>
      </c>
      <c r="X671" s="17">
        <f>MIN(V670:V702)</f>
        <v>0</v>
      </c>
      <c r="Z671" s="61" t="s">
        <v>96</v>
      </c>
      <c r="AA671" s="62">
        <v>0</v>
      </c>
      <c r="AY671" s="5"/>
      <c r="BI671" s="5" t="s">
        <v>265</v>
      </c>
      <c r="BJ671">
        <v>2</v>
      </c>
      <c r="CW671" s="61" t="s">
        <v>328</v>
      </c>
      <c r="CX671" s="62">
        <v>0</v>
      </c>
    </row>
    <row r="672" spans="21:104" x14ac:dyDescent="0.25">
      <c r="U672" s="5" t="s">
        <v>98</v>
      </c>
      <c r="V672">
        <v>0</v>
      </c>
      <c r="W672" s="30" t="s">
        <v>389</v>
      </c>
      <c r="X672" s="17">
        <f>MAX(V670:V702)</f>
        <v>1</v>
      </c>
      <c r="Z672" s="61" t="s">
        <v>97</v>
      </c>
      <c r="AA672" s="62">
        <v>3</v>
      </c>
      <c r="AY672" s="5"/>
      <c r="BI672" s="5" t="s">
        <v>266</v>
      </c>
      <c r="BJ672">
        <v>2</v>
      </c>
      <c r="CW672" s="61" t="s">
        <v>329</v>
      </c>
      <c r="CX672" s="62">
        <v>0</v>
      </c>
    </row>
    <row r="673" spans="21:102" x14ac:dyDescent="0.25">
      <c r="U673" s="5" t="s">
        <v>99</v>
      </c>
      <c r="V673">
        <v>0</v>
      </c>
      <c r="W673" s="30" t="s">
        <v>390</v>
      </c>
      <c r="X673" s="17">
        <f>VAR(V670:V702)</f>
        <v>8.5227272727272735E-2</v>
      </c>
      <c r="Z673" s="61" t="s">
        <v>98</v>
      </c>
      <c r="AA673" s="62">
        <v>2</v>
      </c>
      <c r="AY673" s="5"/>
      <c r="BI673" s="5" t="s">
        <v>267</v>
      </c>
      <c r="BJ673">
        <v>0</v>
      </c>
      <c r="CW673" s="61" t="s">
        <v>330</v>
      </c>
      <c r="CX673" s="62">
        <v>0</v>
      </c>
    </row>
    <row r="674" spans="21:102" x14ac:dyDescent="0.25">
      <c r="U674" s="5" t="s">
        <v>100</v>
      </c>
      <c r="V674">
        <v>0</v>
      </c>
      <c r="W674" s="30" t="s">
        <v>391</v>
      </c>
      <c r="X674" s="17">
        <f>AVERAGE(V670:V702)</f>
        <v>9.0909090909090912E-2</v>
      </c>
      <c r="Z674" s="61" t="s">
        <v>99</v>
      </c>
      <c r="AA674" s="62">
        <v>1</v>
      </c>
      <c r="AY674" s="5"/>
      <c r="BI674" s="5" t="s">
        <v>268</v>
      </c>
      <c r="BJ674">
        <v>2</v>
      </c>
      <c r="CW674" s="61" t="s">
        <v>331</v>
      </c>
      <c r="CX674" s="62">
        <v>0</v>
      </c>
    </row>
    <row r="675" spans="21:102" x14ac:dyDescent="0.25">
      <c r="U675" s="5" t="s">
        <v>101</v>
      </c>
      <c r="V675">
        <v>0</v>
      </c>
      <c r="W675" s="30" t="s">
        <v>392</v>
      </c>
      <c r="X675" s="17">
        <f>STDEV(V670:V702)</f>
        <v>0.29193710406057111</v>
      </c>
      <c r="Z675" s="61" t="s">
        <v>100</v>
      </c>
      <c r="AA675" s="62">
        <v>0</v>
      </c>
      <c r="AY675" s="5"/>
      <c r="BI675" s="5" t="s">
        <v>269</v>
      </c>
      <c r="BJ675">
        <v>2</v>
      </c>
      <c r="CW675" s="61" t="s">
        <v>332</v>
      </c>
      <c r="CX675" s="62">
        <v>1</v>
      </c>
    </row>
    <row r="676" spans="21:102" x14ac:dyDescent="0.25">
      <c r="U676" s="5" t="s">
        <v>103</v>
      </c>
      <c r="V676">
        <v>0</v>
      </c>
      <c r="W676" s="17"/>
      <c r="X676" s="17"/>
      <c r="Z676" s="61" t="s">
        <v>101</v>
      </c>
      <c r="AA676" s="62">
        <v>3</v>
      </c>
      <c r="AY676" s="5"/>
      <c r="BI676" s="5" t="s">
        <v>270</v>
      </c>
      <c r="BJ676">
        <v>2</v>
      </c>
      <c r="CW676" s="61" t="s">
        <v>333</v>
      </c>
      <c r="CX676" s="62">
        <v>0</v>
      </c>
    </row>
    <row r="677" spans="21:102" x14ac:dyDescent="0.25">
      <c r="U677" s="5" t="s">
        <v>104</v>
      </c>
      <c r="V677">
        <v>0</v>
      </c>
      <c r="W677" s="17"/>
      <c r="X677" s="17"/>
      <c r="Z677" s="61" t="s">
        <v>103</v>
      </c>
      <c r="AA677" s="62">
        <v>1</v>
      </c>
      <c r="AY677" s="5"/>
      <c r="BI677" s="5" t="s">
        <v>271</v>
      </c>
      <c r="BJ677">
        <v>3</v>
      </c>
      <c r="CW677" s="61" t="s">
        <v>334</v>
      </c>
      <c r="CX677" s="62">
        <v>0</v>
      </c>
    </row>
    <row r="678" spans="21:102" x14ac:dyDescent="0.25">
      <c r="U678" s="5" t="s">
        <v>105</v>
      </c>
      <c r="V678">
        <v>0</v>
      </c>
      <c r="W678" s="17"/>
      <c r="X678" s="17"/>
      <c r="Z678" s="61" t="s">
        <v>104</v>
      </c>
      <c r="AA678" s="62">
        <v>0</v>
      </c>
      <c r="AY678" s="5"/>
      <c r="BI678" s="5" t="s">
        <v>272</v>
      </c>
      <c r="BJ678">
        <v>0</v>
      </c>
      <c r="CW678" s="61" t="s">
        <v>335</v>
      </c>
      <c r="CX678" s="62">
        <v>0</v>
      </c>
    </row>
    <row r="679" spans="21:102" x14ac:dyDescent="0.25">
      <c r="U679" s="5" t="s">
        <v>106</v>
      </c>
      <c r="V679">
        <v>1</v>
      </c>
      <c r="W679" s="17"/>
      <c r="X679" s="17"/>
      <c r="Z679" s="61" t="s">
        <v>105</v>
      </c>
      <c r="AA679" s="62">
        <v>0</v>
      </c>
      <c r="AY679" s="5"/>
      <c r="BI679" s="5" t="s">
        <v>273</v>
      </c>
      <c r="BJ679">
        <v>3</v>
      </c>
      <c r="CW679" s="61" t="s">
        <v>43</v>
      </c>
      <c r="CX679" s="62">
        <v>0</v>
      </c>
    </row>
    <row r="680" spans="21:102" x14ac:dyDescent="0.25">
      <c r="U680" s="5" t="s">
        <v>61</v>
      </c>
      <c r="V680">
        <v>0</v>
      </c>
      <c r="W680" s="17"/>
      <c r="X680" s="17"/>
      <c r="Z680" s="61" t="s">
        <v>106</v>
      </c>
      <c r="AA680" s="62">
        <v>1</v>
      </c>
      <c r="CW680" s="61" t="s">
        <v>336</v>
      </c>
      <c r="CX680" s="62">
        <v>0</v>
      </c>
    </row>
    <row r="681" spans="21:102" x14ac:dyDescent="0.25">
      <c r="U681" s="5" t="s">
        <v>107</v>
      </c>
      <c r="V681">
        <v>1</v>
      </c>
      <c r="W681" s="17"/>
      <c r="X681" s="17"/>
      <c r="Z681" s="61" t="s">
        <v>61</v>
      </c>
      <c r="AA681" s="62">
        <v>2</v>
      </c>
      <c r="CW681" s="61" t="s">
        <v>337</v>
      </c>
      <c r="CX681" s="62">
        <v>0</v>
      </c>
    </row>
    <row r="682" spans="21:102" x14ac:dyDescent="0.25">
      <c r="U682" s="5" t="s">
        <v>108</v>
      </c>
      <c r="V682">
        <v>0</v>
      </c>
      <c r="W682" s="17"/>
      <c r="X682" s="17"/>
      <c r="Z682" s="61" t="s">
        <v>107</v>
      </c>
      <c r="AA682" s="62">
        <v>3</v>
      </c>
      <c r="CW682" s="61" t="s">
        <v>338</v>
      </c>
      <c r="CX682" s="62">
        <v>2</v>
      </c>
    </row>
    <row r="683" spans="21:102" x14ac:dyDescent="0.25">
      <c r="U683" s="5" t="s">
        <v>109</v>
      </c>
      <c r="V683">
        <v>0</v>
      </c>
      <c r="W683" s="17"/>
      <c r="X683" s="17"/>
      <c r="Z683" s="61" t="s">
        <v>108</v>
      </c>
      <c r="AA683" s="62">
        <v>3</v>
      </c>
      <c r="CW683" s="61" t="s">
        <v>339</v>
      </c>
      <c r="CX683" s="62">
        <v>0</v>
      </c>
    </row>
    <row r="684" spans="21:102" x14ac:dyDescent="0.25">
      <c r="U684" s="5" t="s">
        <v>110</v>
      </c>
      <c r="V684">
        <v>0</v>
      </c>
      <c r="W684" s="17"/>
      <c r="X684" s="17"/>
      <c r="Z684" s="61" t="s">
        <v>109</v>
      </c>
      <c r="AA684" s="62">
        <v>0</v>
      </c>
      <c r="CW684" s="61" t="s">
        <v>340</v>
      </c>
      <c r="CX684" s="62">
        <v>0</v>
      </c>
    </row>
    <row r="685" spans="21:102" x14ac:dyDescent="0.25">
      <c r="U685" s="5" t="s">
        <v>111</v>
      </c>
      <c r="V685">
        <v>0</v>
      </c>
      <c r="W685" s="17"/>
      <c r="X685" s="17"/>
      <c r="Z685" s="61" t="s">
        <v>110</v>
      </c>
      <c r="AA685" s="62">
        <v>0</v>
      </c>
      <c r="CW685" s="61" t="s">
        <v>341</v>
      </c>
      <c r="CX685" s="62">
        <v>0</v>
      </c>
    </row>
    <row r="686" spans="21:102" x14ac:dyDescent="0.25">
      <c r="U686" s="5" t="s">
        <v>112</v>
      </c>
      <c r="V686">
        <v>0</v>
      </c>
      <c r="W686" s="17"/>
      <c r="X686" s="17"/>
      <c r="Z686" s="61" t="s">
        <v>111</v>
      </c>
      <c r="AA686" s="62">
        <v>3</v>
      </c>
      <c r="CW686" s="61" t="s">
        <v>342</v>
      </c>
      <c r="CX686" s="62">
        <v>0</v>
      </c>
    </row>
    <row r="687" spans="21:102" x14ac:dyDescent="0.25">
      <c r="U687" s="5" t="s">
        <v>113</v>
      </c>
      <c r="V687">
        <v>0</v>
      </c>
      <c r="W687" s="15"/>
      <c r="X687" s="15"/>
      <c r="Z687" s="61" t="s">
        <v>112</v>
      </c>
      <c r="AA687" s="62">
        <v>1</v>
      </c>
      <c r="CW687" s="61" t="s">
        <v>343</v>
      </c>
      <c r="CX687" s="62">
        <v>0</v>
      </c>
    </row>
    <row r="688" spans="21:102" x14ac:dyDescent="0.25">
      <c r="U688" s="26" t="s">
        <v>114</v>
      </c>
      <c r="V688">
        <v>0</v>
      </c>
      <c r="W688" s="17"/>
      <c r="X688" s="17"/>
      <c r="Z688" s="61" t="s">
        <v>113</v>
      </c>
      <c r="AA688" s="62">
        <v>0</v>
      </c>
      <c r="CW688" s="61" t="s">
        <v>344</v>
      </c>
      <c r="CX688" s="62">
        <v>0</v>
      </c>
    </row>
    <row r="689" spans="21:102" x14ac:dyDescent="0.25">
      <c r="U689" s="26" t="s">
        <v>115</v>
      </c>
      <c r="V689">
        <v>0</v>
      </c>
      <c r="W689" s="17"/>
      <c r="X689" s="17"/>
      <c r="Z689" s="64" t="s">
        <v>114</v>
      </c>
      <c r="AA689" s="62">
        <v>2</v>
      </c>
      <c r="CW689" s="61" t="s">
        <v>345</v>
      </c>
      <c r="CX689" s="62">
        <v>0</v>
      </c>
    </row>
    <row r="690" spans="21:102" x14ac:dyDescent="0.25">
      <c r="U690" s="26" t="s">
        <v>116</v>
      </c>
      <c r="V690">
        <v>0</v>
      </c>
      <c r="W690" s="17"/>
      <c r="X690" s="1"/>
      <c r="Z690" s="64" t="s">
        <v>115</v>
      </c>
      <c r="AA690" s="62">
        <v>2</v>
      </c>
      <c r="CW690" s="61" t="s">
        <v>346</v>
      </c>
      <c r="CX690" s="62">
        <v>0</v>
      </c>
    </row>
    <row r="691" spans="21:102" x14ac:dyDescent="0.25">
      <c r="U691" s="26" t="s">
        <v>117</v>
      </c>
      <c r="V691">
        <v>0</v>
      </c>
      <c r="W691" s="17"/>
      <c r="X691" s="1"/>
      <c r="Z691" s="64" t="s">
        <v>116</v>
      </c>
      <c r="AA691" s="62">
        <v>3</v>
      </c>
      <c r="CW691" s="61" t="s">
        <v>347</v>
      </c>
      <c r="CX691" s="62">
        <v>0</v>
      </c>
    </row>
    <row r="692" spans="21:102" x14ac:dyDescent="0.25">
      <c r="U692" s="26" t="s">
        <v>118</v>
      </c>
      <c r="V692">
        <v>0</v>
      </c>
      <c r="W692" s="17"/>
      <c r="X692" s="1"/>
      <c r="Z692" s="64" t="s">
        <v>117</v>
      </c>
      <c r="AA692" s="62">
        <v>0</v>
      </c>
      <c r="CW692" s="61" t="s">
        <v>348</v>
      </c>
      <c r="CX692" s="62">
        <v>0</v>
      </c>
    </row>
    <row r="693" spans="21:102" x14ac:dyDescent="0.25">
      <c r="U693" s="26" t="s">
        <v>119</v>
      </c>
      <c r="V693">
        <v>1</v>
      </c>
      <c r="Z693" s="64" t="s">
        <v>118</v>
      </c>
      <c r="AA693" s="62">
        <v>3</v>
      </c>
      <c r="CW693" s="61" t="s">
        <v>349</v>
      </c>
      <c r="CX693" s="62">
        <v>0</v>
      </c>
    </row>
    <row r="694" spans="21:102" x14ac:dyDescent="0.25">
      <c r="U694" s="5" t="s">
        <v>120</v>
      </c>
      <c r="V694">
        <v>0</v>
      </c>
      <c r="Z694" s="64" t="s">
        <v>119</v>
      </c>
      <c r="AA694" s="62">
        <v>0</v>
      </c>
      <c r="CW694" s="61" t="s">
        <v>350</v>
      </c>
      <c r="CX694" s="62">
        <v>0</v>
      </c>
    </row>
    <row r="695" spans="21:102" x14ac:dyDescent="0.25">
      <c r="U695" s="5" t="s">
        <v>121</v>
      </c>
      <c r="V695">
        <v>0</v>
      </c>
      <c r="Z695" s="61" t="s">
        <v>120</v>
      </c>
      <c r="AA695" s="62">
        <v>2</v>
      </c>
      <c r="CW695" s="61" t="s">
        <v>351</v>
      </c>
      <c r="CX695" s="62">
        <v>0</v>
      </c>
    </row>
    <row r="696" spans="21:102" x14ac:dyDescent="0.25">
      <c r="U696" s="5" t="s">
        <v>122</v>
      </c>
      <c r="V696">
        <v>0</v>
      </c>
      <c r="Z696" s="61" t="s">
        <v>121</v>
      </c>
      <c r="AA696" s="62">
        <v>6</v>
      </c>
      <c r="CW696" s="61" t="s">
        <v>352</v>
      </c>
      <c r="CX696" s="62">
        <v>0</v>
      </c>
    </row>
    <row r="697" spans="21:102" x14ac:dyDescent="0.25">
      <c r="U697" s="5" t="s">
        <v>123</v>
      </c>
      <c r="V697">
        <v>0</v>
      </c>
      <c r="Z697" s="61" t="s">
        <v>122</v>
      </c>
      <c r="AA697" s="62">
        <v>0</v>
      </c>
      <c r="CW697" s="61" t="s">
        <v>353</v>
      </c>
      <c r="CX697" s="62">
        <v>0</v>
      </c>
    </row>
    <row r="698" spans="21:102" x14ac:dyDescent="0.25">
      <c r="U698" s="5" t="s">
        <v>124</v>
      </c>
      <c r="V698">
        <v>0</v>
      </c>
      <c r="Z698" s="61" t="s">
        <v>123</v>
      </c>
      <c r="AA698" s="62">
        <v>0</v>
      </c>
      <c r="CW698" s="61" t="s">
        <v>354</v>
      </c>
      <c r="CX698" s="62">
        <v>0</v>
      </c>
    </row>
    <row r="699" spans="21:102" x14ac:dyDescent="0.25">
      <c r="U699" s="5" t="s">
        <v>125</v>
      </c>
      <c r="V699">
        <v>0</v>
      </c>
      <c r="Z699" s="61" t="s">
        <v>124</v>
      </c>
      <c r="AA699" s="62">
        <v>1</v>
      </c>
      <c r="CW699" s="61" t="s">
        <v>355</v>
      </c>
      <c r="CX699" s="62">
        <v>0</v>
      </c>
    </row>
    <row r="700" spans="21:102" x14ac:dyDescent="0.25">
      <c r="U700" s="5" t="s">
        <v>126</v>
      </c>
      <c r="V700">
        <v>0</v>
      </c>
      <c r="Z700" s="61" t="s">
        <v>125</v>
      </c>
      <c r="AA700" s="62">
        <v>3</v>
      </c>
      <c r="CW700" s="66" t="s">
        <v>356</v>
      </c>
      <c r="CX700" s="62">
        <v>0</v>
      </c>
    </row>
    <row r="701" spans="21:102" x14ac:dyDescent="0.25">
      <c r="U701" s="5" t="s">
        <v>127</v>
      </c>
      <c r="V701">
        <v>0</v>
      </c>
      <c r="Z701" s="61" t="s">
        <v>126</v>
      </c>
      <c r="AA701" s="62">
        <v>1</v>
      </c>
      <c r="CW701" s="66" t="s">
        <v>357</v>
      </c>
      <c r="CX701" s="62">
        <v>0</v>
      </c>
    </row>
    <row r="702" spans="21:102" x14ac:dyDescent="0.25">
      <c r="U702" s="5" t="s">
        <v>128</v>
      </c>
      <c r="V702">
        <v>0</v>
      </c>
      <c r="Z702" s="61" t="s">
        <v>127</v>
      </c>
      <c r="AA702" s="62">
        <v>1</v>
      </c>
      <c r="CW702" s="66" t="s">
        <v>358</v>
      </c>
      <c r="CX702" s="62">
        <v>0</v>
      </c>
    </row>
    <row r="703" spans="21:102" x14ac:dyDescent="0.25">
      <c r="Z703" s="61" t="s">
        <v>128</v>
      </c>
      <c r="AA703" s="62">
        <v>0</v>
      </c>
      <c r="CW703" s="66" t="s">
        <v>359</v>
      </c>
      <c r="CX703" s="62">
        <v>0</v>
      </c>
    </row>
    <row r="704" spans="21:102" x14ac:dyDescent="0.25">
      <c r="U704" s="17" t="s">
        <v>382</v>
      </c>
      <c r="V704" s="29" t="s">
        <v>400</v>
      </c>
      <c r="W704" s="17"/>
      <c r="X704" s="17">
        <v>2016</v>
      </c>
    </row>
    <row r="705" spans="21:104" x14ac:dyDescent="0.25">
      <c r="U705" s="17" t="s">
        <v>383</v>
      </c>
      <c r="V705" s="6" t="s">
        <v>102</v>
      </c>
      <c r="W705" s="17"/>
      <c r="X705" s="17"/>
      <c r="Z705" s="58" t="s">
        <v>382</v>
      </c>
      <c r="AA705" s="59" t="s">
        <v>627</v>
      </c>
      <c r="AB705" s="58"/>
      <c r="AC705" s="58">
        <v>2016</v>
      </c>
      <c r="CW705" s="58" t="s">
        <v>382</v>
      </c>
      <c r="CX705" s="59" t="s">
        <v>629</v>
      </c>
      <c r="CY705" s="58"/>
      <c r="CZ705" s="58">
        <v>2016</v>
      </c>
    </row>
    <row r="706" spans="21:104" x14ac:dyDescent="0.25">
      <c r="U706" s="17" t="s">
        <v>384</v>
      </c>
      <c r="V706" s="17" t="s">
        <v>39</v>
      </c>
      <c r="W706" s="17" t="s">
        <v>385</v>
      </c>
      <c r="X706" s="17" t="s">
        <v>386</v>
      </c>
      <c r="Z706" s="58" t="s">
        <v>383</v>
      </c>
      <c r="AA706" s="60" t="s">
        <v>25</v>
      </c>
      <c r="AB706" s="58"/>
      <c r="AC706" s="58"/>
      <c r="CW706" s="58" t="s">
        <v>383</v>
      </c>
      <c r="CX706" s="60" t="s">
        <v>32</v>
      </c>
      <c r="CY706" s="58"/>
      <c r="CZ706" s="58"/>
    </row>
    <row r="707" spans="21:104" x14ac:dyDescent="0.25">
      <c r="U707" s="5" t="s">
        <v>96</v>
      </c>
      <c r="V707">
        <v>3</v>
      </c>
      <c r="W707" s="30" t="s">
        <v>387</v>
      </c>
      <c r="X707" s="17">
        <f>SUM(V707:V739)</f>
        <v>8</v>
      </c>
      <c r="Z707" s="58" t="s">
        <v>384</v>
      </c>
      <c r="AA707" s="58" t="s">
        <v>39</v>
      </c>
      <c r="AB707" s="58" t="s">
        <v>385</v>
      </c>
      <c r="AC707" s="58" t="s">
        <v>386</v>
      </c>
      <c r="CW707" s="58" t="s">
        <v>384</v>
      </c>
      <c r="CX707" s="58" t="s">
        <v>39</v>
      </c>
      <c r="CY707" s="58" t="s">
        <v>385</v>
      </c>
      <c r="CZ707" s="58" t="s">
        <v>386</v>
      </c>
    </row>
    <row r="708" spans="21:104" x14ac:dyDescent="0.25">
      <c r="U708" s="5" t="s">
        <v>97</v>
      </c>
      <c r="V708">
        <v>0</v>
      </c>
      <c r="W708" s="30" t="s">
        <v>388</v>
      </c>
      <c r="X708" s="17">
        <f>MIN(V707:V739)</f>
        <v>0</v>
      </c>
      <c r="Z708" s="61" t="s">
        <v>88</v>
      </c>
      <c r="AA708" s="62">
        <v>0</v>
      </c>
      <c r="AB708" s="63" t="s">
        <v>387</v>
      </c>
      <c r="AC708" s="58">
        <f>SUM(AA708:AA747)</f>
        <v>27</v>
      </c>
      <c r="CW708" s="61" t="s">
        <v>321</v>
      </c>
      <c r="CX708" s="62">
        <v>3</v>
      </c>
      <c r="CY708" s="63" t="s">
        <v>387</v>
      </c>
      <c r="CZ708" s="58">
        <f>SUM(CX708:CX747)</f>
        <v>465</v>
      </c>
    </row>
    <row r="709" spans="21:104" x14ac:dyDescent="0.25">
      <c r="U709" s="5" t="s">
        <v>98</v>
      </c>
      <c r="V709">
        <v>1</v>
      </c>
      <c r="W709" s="30" t="s">
        <v>389</v>
      </c>
      <c r="X709" s="17">
        <f>MAX(V707:V739)</f>
        <v>3</v>
      </c>
      <c r="Z709" s="61" t="s">
        <v>89</v>
      </c>
      <c r="AA709" s="62">
        <v>0</v>
      </c>
      <c r="AB709" s="63" t="s">
        <v>388</v>
      </c>
      <c r="AC709" s="58">
        <f>MIN(AA708:AA747)</f>
        <v>0</v>
      </c>
      <c r="CW709" s="61" t="s">
        <v>322</v>
      </c>
      <c r="CX709" s="62">
        <v>4</v>
      </c>
      <c r="CY709" s="63" t="s">
        <v>388</v>
      </c>
      <c r="CZ709" s="58">
        <f>MIN(CX708:CX747)</f>
        <v>3</v>
      </c>
    </row>
    <row r="710" spans="21:104" x14ac:dyDescent="0.25">
      <c r="U710" s="5" t="s">
        <v>99</v>
      </c>
      <c r="V710">
        <v>0</v>
      </c>
      <c r="W710" s="30" t="s">
        <v>390</v>
      </c>
      <c r="X710" s="17">
        <f>VAR(V707:V739)</f>
        <v>0.37689393939393939</v>
      </c>
      <c r="Z710" s="61" t="s">
        <v>90</v>
      </c>
      <c r="AA710" s="62">
        <v>0</v>
      </c>
      <c r="AB710" s="63" t="s">
        <v>389</v>
      </c>
      <c r="AC710" s="58">
        <f>MAX(AA708:AA747)</f>
        <v>4</v>
      </c>
      <c r="CW710" s="61" t="s">
        <v>323</v>
      </c>
      <c r="CX710" s="62">
        <v>27</v>
      </c>
      <c r="CY710" s="63" t="s">
        <v>389</v>
      </c>
      <c r="CZ710" s="58">
        <f>MAX(CX708:CX747)</f>
        <v>28</v>
      </c>
    </row>
    <row r="711" spans="21:104" x14ac:dyDescent="0.25">
      <c r="U711" s="5" t="s">
        <v>100</v>
      </c>
      <c r="V711">
        <v>1</v>
      </c>
      <c r="W711" s="30" t="s">
        <v>391</v>
      </c>
      <c r="X711" s="17">
        <f>AVERAGE(V707:V739)</f>
        <v>0.24242424242424243</v>
      </c>
      <c r="Z711" s="61" t="s">
        <v>91</v>
      </c>
      <c r="AA711" s="62">
        <v>0</v>
      </c>
      <c r="AB711" s="63" t="s">
        <v>390</v>
      </c>
      <c r="AC711" s="58">
        <f>VAR(AA708:AA747)</f>
        <v>0.8403846153846154</v>
      </c>
      <c r="CW711" s="61" t="s">
        <v>324</v>
      </c>
      <c r="CX711" s="62">
        <v>28</v>
      </c>
      <c r="CY711" s="63" t="s">
        <v>390</v>
      </c>
      <c r="CZ711" s="58">
        <f>VAR(CX708:CX747)</f>
        <v>33.419871794871796</v>
      </c>
    </row>
    <row r="712" spans="21:104" x14ac:dyDescent="0.25">
      <c r="U712" s="5" t="s">
        <v>101</v>
      </c>
      <c r="V712">
        <v>0</v>
      </c>
      <c r="W712" s="30" t="s">
        <v>392</v>
      </c>
      <c r="X712" s="17">
        <f>STDEV(V707:V739)</f>
        <v>0.61391688313153547</v>
      </c>
      <c r="Z712" s="61" t="s">
        <v>92</v>
      </c>
      <c r="AA712" s="62">
        <v>1</v>
      </c>
      <c r="AB712" s="63" t="s">
        <v>391</v>
      </c>
      <c r="AC712" s="58">
        <f>AVERAGE(AA708:AA747)</f>
        <v>0.67500000000000004</v>
      </c>
      <c r="CW712" s="61" t="s">
        <v>325</v>
      </c>
      <c r="CX712" s="62">
        <v>10</v>
      </c>
      <c r="CY712" s="63" t="s">
        <v>391</v>
      </c>
      <c r="CZ712" s="58">
        <f>AVERAGE(CX708:CX747)</f>
        <v>11.625</v>
      </c>
    </row>
    <row r="713" spans="21:104" x14ac:dyDescent="0.25">
      <c r="U713" s="5" t="s">
        <v>103</v>
      </c>
      <c r="V713">
        <v>1</v>
      </c>
      <c r="W713" s="17"/>
      <c r="X713" s="17"/>
      <c r="Z713" s="61" t="s">
        <v>93</v>
      </c>
      <c r="AA713" s="62">
        <v>1</v>
      </c>
      <c r="AB713" s="63" t="s">
        <v>392</v>
      </c>
      <c r="AC713" s="58">
        <f>STDEV(AA708:AA747)</f>
        <v>0.91672493987270542</v>
      </c>
      <c r="CW713" s="61" t="s">
        <v>326</v>
      </c>
      <c r="CX713" s="62">
        <v>9</v>
      </c>
      <c r="CY713" s="63" t="s">
        <v>392</v>
      </c>
      <c r="CZ713" s="58">
        <f>STDEV(CX708:CX747)</f>
        <v>5.7809922846230988</v>
      </c>
    </row>
    <row r="714" spans="21:104" x14ac:dyDescent="0.25">
      <c r="U714" s="5" t="s">
        <v>104</v>
      </c>
      <c r="V714">
        <v>1</v>
      </c>
      <c r="W714" s="17"/>
      <c r="X714" s="17"/>
      <c r="Z714" s="61" t="s">
        <v>94</v>
      </c>
      <c r="AA714" s="62">
        <v>2</v>
      </c>
      <c r="AB714" s="58"/>
      <c r="AC714" s="58"/>
      <c r="CW714" s="61" t="s">
        <v>327</v>
      </c>
      <c r="CX714" s="62">
        <v>12</v>
      </c>
      <c r="CY714" s="58"/>
      <c r="CZ714" s="58"/>
    </row>
    <row r="715" spans="21:104" x14ac:dyDescent="0.25">
      <c r="U715" s="5" t="s">
        <v>105</v>
      </c>
      <c r="V715">
        <v>0</v>
      </c>
      <c r="W715" s="17"/>
      <c r="X715" s="17"/>
      <c r="Z715" s="61" t="s">
        <v>96</v>
      </c>
      <c r="AA715" s="62">
        <v>1</v>
      </c>
      <c r="CW715" s="61" t="s">
        <v>328</v>
      </c>
      <c r="CX715" s="62">
        <v>6</v>
      </c>
    </row>
    <row r="716" spans="21:104" x14ac:dyDescent="0.25">
      <c r="U716" s="5" t="s">
        <v>106</v>
      </c>
      <c r="V716">
        <v>0</v>
      </c>
      <c r="W716" s="17"/>
      <c r="X716" s="17"/>
      <c r="Z716" s="61" t="s">
        <v>97</v>
      </c>
      <c r="AA716" s="62">
        <v>0</v>
      </c>
      <c r="CW716" s="61" t="s">
        <v>329</v>
      </c>
      <c r="CX716" s="62">
        <v>5</v>
      </c>
    </row>
    <row r="717" spans="21:104" x14ac:dyDescent="0.25">
      <c r="U717" s="5" t="s">
        <v>61</v>
      </c>
      <c r="V717">
        <v>0</v>
      </c>
      <c r="W717" s="17"/>
      <c r="X717" s="17"/>
      <c r="Z717" s="61" t="s">
        <v>98</v>
      </c>
      <c r="AA717" s="62">
        <v>4</v>
      </c>
      <c r="CW717" s="61" t="s">
        <v>330</v>
      </c>
      <c r="CX717" s="62">
        <v>11</v>
      </c>
    </row>
    <row r="718" spans="21:104" x14ac:dyDescent="0.25">
      <c r="U718" s="5" t="s">
        <v>107</v>
      </c>
      <c r="V718">
        <v>0</v>
      </c>
      <c r="W718" s="17"/>
      <c r="X718" s="17"/>
      <c r="Z718" s="61" t="s">
        <v>99</v>
      </c>
      <c r="AA718" s="62">
        <v>0</v>
      </c>
      <c r="CW718" s="61" t="s">
        <v>331</v>
      </c>
      <c r="CX718" s="62">
        <v>6</v>
      </c>
    </row>
    <row r="719" spans="21:104" x14ac:dyDescent="0.25">
      <c r="U719" s="5" t="s">
        <v>108</v>
      </c>
      <c r="V719">
        <v>0</v>
      </c>
      <c r="W719" s="17"/>
      <c r="X719" s="17"/>
      <c r="Z719" s="61" t="s">
        <v>100</v>
      </c>
      <c r="AA719" s="62">
        <v>0</v>
      </c>
      <c r="CW719" s="61" t="s">
        <v>332</v>
      </c>
      <c r="CX719" s="62">
        <v>6</v>
      </c>
    </row>
    <row r="720" spans="21:104" x14ac:dyDescent="0.25">
      <c r="U720" s="5" t="s">
        <v>109</v>
      </c>
      <c r="V720">
        <v>0</v>
      </c>
      <c r="W720" s="17"/>
      <c r="X720" s="17"/>
      <c r="Z720" s="61" t="s">
        <v>101</v>
      </c>
      <c r="AA720" s="62">
        <v>0</v>
      </c>
      <c r="CW720" s="61" t="s">
        <v>333</v>
      </c>
      <c r="CX720" s="62">
        <v>7</v>
      </c>
    </row>
    <row r="721" spans="21:102" x14ac:dyDescent="0.25">
      <c r="U721" s="5" t="s">
        <v>110</v>
      </c>
      <c r="V721">
        <v>0</v>
      </c>
      <c r="W721" s="17"/>
      <c r="X721" s="17"/>
      <c r="Z721" s="61" t="s">
        <v>103</v>
      </c>
      <c r="AA721" s="62">
        <v>2</v>
      </c>
      <c r="CW721" s="61" t="s">
        <v>334</v>
      </c>
      <c r="CX721" s="62">
        <v>17</v>
      </c>
    </row>
    <row r="722" spans="21:102" x14ac:dyDescent="0.25">
      <c r="U722" s="5" t="s">
        <v>111</v>
      </c>
      <c r="V722">
        <v>1</v>
      </c>
      <c r="W722" s="17"/>
      <c r="X722" s="17"/>
      <c r="Z722" s="61" t="s">
        <v>104</v>
      </c>
      <c r="AA722" s="62">
        <v>1</v>
      </c>
      <c r="CW722" s="61" t="s">
        <v>335</v>
      </c>
      <c r="CX722" s="62">
        <v>10</v>
      </c>
    </row>
    <row r="723" spans="21:102" x14ac:dyDescent="0.25">
      <c r="U723" s="5" t="s">
        <v>112</v>
      </c>
      <c r="V723">
        <v>0</v>
      </c>
      <c r="W723" s="17"/>
      <c r="X723" s="17"/>
      <c r="Z723" s="61" t="s">
        <v>105</v>
      </c>
      <c r="AA723" s="62">
        <v>2</v>
      </c>
      <c r="CW723" s="61" t="s">
        <v>43</v>
      </c>
      <c r="CX723" s="62">
        <v>16</v>
      </c>
    </row>
    <row r="724" spans="21:102" x14ac:dyDescent="0.25">
      <c r="U724" s="5" t="s">
        <v>113</v>
      </c>
      <c r="V724">
        <v>0</v>
      </c>
      <c r="W724" s="15"/>
      <c r="X724" s="15"/>
      <c r="Z724" s="61" t="s">
        <v>106</v>
      </c>
      <c r="AA724" s="62">
        <v>0</v>
      </c>
      <c r="CW724" s="61" t="s">
        <v>336</v>
      </c>
      <c r="CX724" s="62">
        <v>16</v>
      </c>
    </row>
    <row r="725" spans="21:102" x14ac:dyDescent="0.25">
      <c r="U725" s="26" t="s">
        <v>114</v>
      </c>
      <c r="V725">
        <v>0</v>
      </c>
      <c r="W725" s="17"/>
      <c r="X725" s="17"/>
      <c r="Z725" s="61" t="s">
        <v>61</v>
      </c>
      <c r="AA725" s="62">
        <v>0</v>
      </c>
      <c r="CW725" s="61" t="s">
        <v>337</v>
      </c>
      <c r="CX725" s="62">
        <v>15</v>
      </c>
    </row>
    <row r="726" spans="21:102" x14ac:dyDescent="0.25">
      <c r="U726" s="26" t="s">
        <v>115</v>
      </c>
      <c r="V726">
        <v>0</v>
      </c>
      <c r="W726" s="17"/>
      <c r="X726" s="17"/>
      <c r="Z726" s="61" t="s">
        <v>107</v>
      </c>
      <c r="AA726" s="62">
        <v>0</v>
      </c>
      <c r="CW726" s="61" t="s">
        <v>338</v>
      </c>
      <c r="CX726" s="62">
        <v>8</v>
      </c>
    </row>
    <row r="727" spans="21:102" x14ac:dyDescent="0.25">
      <c r="U727" s="26" t="s">
        <v>116</v>
      </c>
      <c r="V727">
        <v>0</v>
      </c>
      <c r="W727" s="17"/>
      <c r="X727" s="1"/>
      <c r="Z727" s="61" t="s">
        <v>108</v>
      </c>
      <c r="AA727" s="62">
        <v>1</v>
      </c>
      <c r="CW727" s="61" t="s">
        <v>339</v>
      </c>
      <c r="CX727" s="62">
        <v>17</v>
      </c>
    </row>
    <row r="728" spans="21:102" x14ac:dyDescent="0.25">
      <c r="U728" s="26" t="s">
        <v>117</v>
      </c>
      <c r="V728">
        <v>0</v>
      </c>
      <c r="W728" s="17"/>
      <c r="X728" s="1"/>
      <c r="Z728" s="61" t="s">
        <v>109</v>
      </c>
      <c r="AA728" s="62">
        <v>0</v>
      </c>
      <c r="CW728" s="61" t="s">
        <v>340</v>
      </c>
      <c r="CX728" s="62">
        <v>6</v>
      </c>
    </row>
    <row r="729" spans="21:102" x14ac:dyDescent="0.25">
      <c r="U729" s="26" t="s">
        <v>118</v>
      </c>
      <c r="V729">
        <v>0</v>
      </c>
      <c r="W729" s="17"/>
      <c r="X729" s="1"/>
      <c r="Z729" s="61" t="s">
        <v>110</v>
      </c>
      <c r="AA729" s="62">
        <v>1</v>
      </c>
      <c r="CW729" s="61" t="s">
        <v>341</v>
      </c>
      <c r="CX729" s="62">
        <v>14</v>
      </c>
    </row>
    <row r="730" spans="21:102" x14ac:dyDescent="0.25">
      <c r="U730" s="26" t="s">
        <v>119</v>
      </c>
      <c r="V730">
        <v>0</v>
      </c>
      <c r="Z730" s="61" t="s">
        <v>111</v>
      </c>
      <c r="AA730" s="62">
        <v>1</v>
      </c>
      <c r="CW730" s="61" t="s">
        <v>342</v>
      </c>
      <c r="CX730" s="62">
        <v>19</v>
      </c>
    </row>
    <row r="731" spans="21:102" x14ac:dyDescent="0.25">
      <c r="U731" s="5" t="s">
        <v>120</v>
      </c>
      <c r="V731">
        <v>0</v>
      </c>
      <c r="Z731" s="61" t="s">
        <v>112</v>
      </c>
      <c r="AA731" s="62">
        <v>0</v>
      </c>
      <c r="CW731" s="61" t="s">
        <v>343</v>
      </c>
      <c r="CX731" s="62">
        <v>9</v>
      </c>
    </row>
    <row r="732" spans="21:102" x14ac:dyDescent="0.25">
      <c r="U732" s="5" t="s">
        <v>121</v>
      </c>
      <c r="V732">
        <v>0</v>
      </c>
      <c r="Z732" s="61" t="s">
        <v>113</v>
      </c>
      <c r="AA732" s="62">
        <v>1</v>
      </c>
      <c r="CW732" s="61" t="s">
        <v>344</v>
      </c>
      <c r="CX732" s="62">
        <v>19</v>
      </c>
    </row>
    <row r="733" spans="21:102" x14ac:dyDescent="0.25">
      <c r="U733" s="5" t="s">
        <v>122</v>
      </c>
      <c r="V733">
        <v>0</v>
      </c>
      <c r="Z733" s="64" t="s">
        <v>114</v>
      </c>
      <c r="AA733" s="62">
        <v>1</v>
      </c>
      <c r="CW733" s="61" t="s">
        <v>345</v>
      </c>
      <c r="CX733" s="62">
        <v>8</v>
      </c>
    </row>
    <row r="734" spans="21:102" x14ac:dyDescent="0.25">
      <c r="U734" s="5" t="s">
        <v>123</v>
      </c>
      <c r="V734">
        <v>0</v>
      </c>
      <c r="Z734" s="64" t="s">
        <v>115</v>
      </c>
      <c r="AA734" s="62">
        <v>1</v>
      </c>
      <c r="CW734" s="61" t="s">
        <v>346</v>
      </c>
      <c r="CX734" s="62">
        <v>18</v>
      </c>
    </row>
    <row r="735" spans="21:102" x14ac:dyDescent="0.25">
      <c r="U735" s="5" t="s">
        <v>124</v>
      </c>
      <c r="V735">
        <v>0</v>
      </c>
      <c r="Z735" s="64" t="s">
        <v>116</v>
      </c>
      <c r="AA735" s="62">
        <v>3</v>
      </c>
      <c r="CW735" s="61" t="s">
        <v>347</v>
      </c>
      <c r="CX735" s="62">
        <v>16</v>
      </c>
    </row>
    <row r="736" spans="21:102" x14ac:dyDescent="0.25">
      <c r="U736" s="5" t="s">
        <v>125</v>
      </c>
      <c r="V736">
        <v>0</v>
      </c>
      <c r="Z736" s="64" t="s">
        <v>117</v>
      </c>
      <c r="AA736" s="62">
        <v>0</v>
      </c>
      <c r="CW736" s="61" t="s">
        <v>348</v>
      </c>
      <c r="CX736" s="62">
        <v>10</v>
      </c>
    </row>
    <row r="737" spans="21:104" x14ac:dyDescent="0.25">
      <c r="U737" s="5" t="s">
        <v>126</v>
      </c>
      <c r="V737">
        <v>0</v>
      </c>
      <c r="Z737" s="64" t="s">
        <v>118</v>
      </c>
      <c r="AA737" s="62">
        <v>1</v>
      </c>
      <c r="CW737" s="61" t="s">
        <v>349</v>
      </c>
      <c r="CX737" s="62">
        <v>17</v>
      </c>
    </row>
    <row r="738" spans="21:104" x14ac:dyDescent="0.25">
      <c r="U738" s="5" t="s">
        <v>127</v>
      </c>
      <c r="V738">
        <v>0</v>
      </c>
      <c r="Z738" s="64" t="s">
        <v>119</v>
      </c>
      <c r="AA738" s="62">
        <v>0</v>
      </c>
      <c r="CW738" s="61" t="s">
        <v>350</v>
      </c>
      <c r="CX738" s="62">
        <v>7</v>
      </c>
    </row>
    <row r="739" spans="21:104" x14ac:dyDescent="0.25">
      <c r="U739" s="5" t="s">
        <v>128</v>
      </c>
      <c r="V739">
        <v>0</v>
      </c>
      <c r="Z739" s="61" t="s">
        <v>120</v>
      </c>
      <c r="AA739" s="62">
        <v>0</v>
      </c>
      <c r="CW739" s="61" t="s">
        <v>351</v>
      </c>
      <c r="CX739" s="62">
        <v>8</v>
      </c>
    </row>
    <row r="740" spans="21:104" x14ac:dyDescent="0.25">
      <c r="Z740" s="61" t="s">
        <v>121</v>
      </c>
      <c r="AA740" s="62">
        <v>0</v>
      </c>
      <c r="CW740" s="61" t="s">
        <v>352</v>
      </c>
      <c r="CX740" s="62">
        <v>13</v>
      </c>
    </row>
    <row r="741" spans="21:104" x14ac:dyDescent="0.25">
      <c r="U741" s="17" t="s">
        <v>382</v>
      </c>
      <c r="V741" s="29" t="s">
        <v>400</v>
      </c>
      <c r="W741" s="17"/>
      <c r="X741" s="17">
        <v>2016</v>
      </c>
      <c r="Z741" s="61" t="s">
        <v>122</v>
      </c>
      <c r="AA741" s="62">
        <v>0</v>
      </c>
      <c r="CW741" s="61" t="s">
        <v>353</v>
      </c>
      <c r="CX741" s="62">
        <v>14</v>
      </c>
    </row>
    <row r="742" spans="21:104" x14ac:dyDescent="0.25">
      <c r="U742" s="17" t="s">
        <v>383</v>
      </c>
      <c r="V742" s="6" t="s">
        <v>30</v>
      </c>
      <c r="W742" s="17"/>
      <c r="X742" s="17"/>
      <c r="Z742" s="61" t="s">
        <v>123</v>
      </c>
      <c r="AA742" s="62">
        <v>1</v>
      </c>
      <c r="CW742" s="61" t="s">
        <v>354</v>
      </c>
      <c r="CX742" s="62">
        <v>7</v>
      </c>
    </row>
    <row r="743" spans="21:104" x14ac:dyDescent="0.25">
      <c r="U743" s="17" t="s">
        <v>384</v>
      </c>
      <c r="V743" s="17" t="s">
        <v>39</v>
      </c>
      <c r="W743" s="17" t="s">
        <v>385</v>
      </c>
      <c r="X743" s="17" t="s">
        <v>386</v>
      </c>
      <c r="Z743" s="61" t="s">
        <v>124</v>
      </c>
      <c r="AA743" s="62">
        <v>0</v>
      </c>
      <c r="CW743" s="61" t="s">
        <v>355</v>
      </c>
      <c r="CX743" s="62">
        <v>12</v>
      </c>
    </row>
    <row r="744" spans="21:104" x14ac:dyDescent="0.25">
      <c r="U744" s="5" t="s">
        <v>96</v>
      </c>
      <c r="V744">
        <v>1</v>
      </c>
      <c r="W744" s="30" t="s">
        <v>387</v>
      </c>
      <c r="X744" s="17">
        <f>SUM(V744:V776)</f>
        <v>4</v>
      </c>
      <c r="Z744" s="61" t="s">
        <v>125</v>
      </c>
      <c r="AA744" s="62">
        <v>1</v>
      </c>
      <c r="CW744" s="66" t="s">
        <v>356</v>
      </c>
      <c r="CX744" s="62">
        <v>10</v>
      </c>
    </row>
    <row r="745" spans="21:104" x14ac:dyDescent="0.25">
      <c r="U745" s="5" t="s">
        <v>97</v>
      </c>
      <c r="V745">
        <v>0</v>
      </c>
      <c r="W745" s="30" t="s">
        <v>388</v>
      </c>
      <c r="X745" s="17">
        <f>MIN(V744:V776)</f>
        <v>0</v>
      </c>
      <c r="Z745" s="61" t="s">
        <v>126</v>
      </c>
      <c r="AA745" s="62">
        <v>0</v>
      </c>
      <c r="CW745" s="66" t="s">
        <v>357</v>
      </c>
      <c r="CX745" s="62">
        <v>10</v>
      </c>
    </row>
    <row r="746" spans="21:104" x14ac:dyDescent="0.25">
      <c r="U746" s="5" t="s">
        <v>98</v>
      </c>
      <c r="V746">
        <v>0</v>
      </c>
      <c r="W746" s="30" t="s">
        <v>389</v>
      </c>
      <c r="X746" s="17">
        <f>MAX(V744:V776)</f>
        <v>1</v>
      </c>
      <c r="Z746" s="61" t="s">
        <v>127</v>
      </c>
      <c r="AA746" s="62">
        <v>1</v>
      </c>
      <c r="CW746" s="66" t="s">
        <v>358</v>
      </c>
      <c r="CX746" s="62">
        <v>10</v>
      </c>
    </row>
    <row r="747" spans="21:104" x14ac:dyDescent="0.25">
      <c r="U747" s="5" t="s">
        <v>99</v>
      </c>
      <c r="V747">
        <v>0</v>
      </c>
      <c r="W747" s="30" t="s">
        <v>390</v>
      </c>
      <c r="X747" s="17">
        <f>VAR(V744:V776)</f>
        <v>0.10984848484848485</v>
      </c>
      <c r="Z747" s="61" t="s">
        <v>128</v>
      </c>
      <c r="AA747" s="62">
        <v>0</v>
      </c>
      <c r="CW747" s="66" t="s">
        <v>359</v>
      </c>
      <c r="CX747" s="62">
        <v>5</v>
      </c>
    </row>
    <row r="748" spans="21:104" x14ac:dyDescent="0.25">
      <c r="U748" s="5" t="s">
        <v>100</v>
      </c>
      <c r="V748">
        <v>0</v>
      </c>
      <c r="W748" s="30" t="s">
        <v>391</v>
      </c>
      <c r="X748" s="17">
        <f>AVERAGE(V744:V776)</f>
        <v>0.12121212121212122</v>
      </c>
    </row>
    <row r="749" spans="21:104" x14ac:dyDescent="0.25">
      <c r="U749" s="5" t="s">
        <v>101</v>
      </c>
      <c r="V749">
        <v>0</v>
      </c>
      <c r="W749" s="30" t="s">
        <v>392</v>
      </c>
      <c r="X749" s="17">
        <f>STDEV(V744:V776)</f>
        <v>0.33143398263980844</v>
      </c>
      <c r="Z749" s="58" t="s">
        <v>382</v>
      </c>
      <c r="AA749" s="59" t="s">
        <v>627</v>
      </c>
      <c r="AB749" s="58"/>
      <c r="AC749" s="58">
        <v>2016</v>
      </c>
      <c r="CW749" s="58" t="s">
        <v>382</v>
      </c>
      <c r="CX749" s="59" t="s">
        <v>629</v>
      </c>
      <c r="CY749" s="58"/>
      <c r="CZ749" s="58">
        <v>2016</v>
      </c>
    </row>
    <row r="750" spans="21:104" x14ac:dyDescent="0.25">
      <c r="U750" s="5" t="s">
        <v>103</v>
      </c>
      <c r="V750">
        <v>0</v>
      </c>
      <c r="W750" s="17"/>
      <c r="X750" s="17"/>
      <c r="Z750" s="58" t="s">
        <v>383</v>
      </c>
      <c r="AA750" s="60" t="s">
        <v>26</v>
      </c>
      <c r="AB750" s="58"/>
      <c r="AC750" s="58"/>
      <c r="CW750" s="58" t="s">
        <v>383</v>
      </c>
      <c r="CX750" s="60" t="s">
        <v>33</v>
      </c>
      <c r="CY750" s="58"/>
      <c r="CZ750" s="58"/>
    </row>
    <row r="751" spans="21:104" x14ac:dyDescent="0.25">
      <c r="U751" s="5" t="s">
        <v>104</v>
      </c>
      <c r="V751">
        <v>0</v>
      </c>
      <c r="W751" s="17"/>
      <c r="X751" s="17"/>
      <c r="Z751" s="58" t="s">
        <v>384</v>
      </c>
      <c r="AA751" s="58" t="s">
        <v>39</v>
      </c>
      <c r="AB751" s="58" t="s">
        <v>385</v>
      </c>
      <c r="AC751" s="58" t="s">
        <v>386</v>
      </c>
      <c r="CW751" s="58" t="s">
        <v>384</v>
      </c>
      <c r="CX751" s="58" t="s">
        <v>39</v>
      </c>
      <c r="CY751" s="58" t="s">
        <v>385</v>
      </c>
      <c r="CZ751" s="58" t="s">
        <v>386</v>
      </c>
    </row>
    <row r="752" spans="21:104" x14ac:dyDescent="0.25">
      <c r="U752" s="5" t="s">
        <v>105</v>
      </c>
      <c r="V752">
        <v>0</v>
      </c>
      <c r="W752" s="17"/>
      <c r="X752" s="17"/>
      <c r="Z752" s="61" t="s">
        <v>88</v>
      </c>
      <c r="AA752" s="62">
        <v>0</v>
      </c>
      <c r="AB752" s="63" t="s">
        <v>387</v>
      </c>
      <c r="AC752" s="58">
        <f>SUM(AA752:AA791)</f>
        <v>5</v>
      </c>
      <c r="CW752" s="61" t="s">
        <v>321</v>
      </c>
      <c r="CX752" s="62">
        <v>0</v>
      </c>
      <c r="CY752" s="63" t="s">
        <v>387</v>
      </c>
      <c r="CZ752" s="58">
        <f>SUM(CX752:CX791)</f>
        <v>7</v>
      </c>
    </row>
    <row r="753" spans="21:104" x14ac:dyDescent="0.25">
      <c r="U753" s="5" t="s">
        <v>106</v>
      </c>
      <c r="V753">
        <v>1</v>
      </c>
      <c r="W753" s="17"/>
      <c r="X753" s="17"/>
      <c r="Z753" s="61" t="s">
        <v>89</v>
      </c>
      <c r="AA753" s="62">
        <v>0</v>
      </c>
      <c r="AB753" s="63" t="s">
        <v>388</v>
      </c>
      <c r="AC753" s="58">
        <f>MIN(AA752:AA791)</f>
        <v>0</v>
      </c>
      <c r="CW753" s="61" t="s">
        <v>322</v>
      </c>
      <c r="CX753" s="62">
        <v>0</v>
      </c>
      <c r="CY753" s="63" t="s">
        <v>388</v>
      </c>
      <c r="CZ753" s="58">
        <f>MIN(CX752:CX791)</f>
        <v>0</v>
      </c>
    </row>
    <row r="754" spans="21:104" x14ac:dyDescent="0.25">
      <c r="U754" s="5" t="s">
        <v>61</v>
      </c>
      <c r="V754">
        <v>0</v>
      </c>
      <c r="W754" s="17"/>
      <c r="X754" s="17"/>
      <c r="Z754" s="61" t="s">
        <v>90</v>
      </c>
      <c r="AA754" s="62">
        <v>0</v>
      </c>
      <c r="AB754" s="63" t="s">
        <v>389</v>
      </c>
      <c r="AC754" s="58">
        <f>MAX(AA752:AA791)</f>
        <v>1</v>
      </c>
      <c r="CW754" s="61" t="s">
        <v>323</v>
      </c>
      <c r="CX754" s="62">
        <v>0</v>
      </c>
      <c r="CY754" s="63" t="s">
        <v>389</v>
      </c>
      <c r="CZ754" s="58">
        <f>MAX(CX752:CX791)</f>
        <v>1</v>
      </c>
    </row>
    <row r="755" spans="21:104" x14ac:dyDescent="0.25">
      <c r="U755" s="5" t="s">
        <v>107</v>
      </c>
      <c r="V755">
        <v>0</v>
      </c>
      <c r="W755" s="17"/>
      <c r="X755" s="17"/>
      <c r="Z755" s="61" t="s">
        <v>91</v>
      </c>
      <c r="AA755" s="62">
        <v>0</v>
      </c>
      <c r="AB755" s="63" t="s">
        <v>390</v>
      </c>
      <c r="AC755" s="58">
        <f>VAR(AA752:AA791)</f>
        <v>0.11217948717948718</v>
      </c>
      <c r="CW755" s="61" t="s">
        <v>324</v>
      </c>
      <c r="CX755" s="62">
        <v>0</v>
      </c>
      <c r="CY755" s="63" t="s">
        <v>390</v>
      </c>
      <c r="CZ755" s="58">
        <f>VAR(CX752:CX791)</f>
        <v>0.14807692307692308</v>
      </c>
    </row>
    <row r="756" spans="21:104" x14ac:dyDescent="0.25">
      <c r="U756" s="5" t="s">
        <v>108</v>
      </c>
      <c r="V756">
        <v>0</v>
      </c>
      <c r="W756" s="17"/>
      <c r="X756" s="17"/>
      <c r="Z756" s="61" t="s">
        <v>92</v>
      </c>
      <c r="AA756" s="62">
        <v>0</v>
      </c>
      <c r="AB756" s="63" t="s">
        <v>391</v>
      </c>
      <c r="AC756" s="58">
        <f>AVERAGE(AA752:AA791)</f>
        <v>0.125</v>
      </c>
      <c r="CW756" s="61" t="s">
        <v>325</v>
      </c>
      <c r="CX756" s="62">
        <v>0</v>
      </c>
      <c r="CY756" s="63" t="s">
        <v>391</v>
      </c>
      <c r="CZ756" s="58">
        <f>AVERAGE(CX752:CX791)</f>
        <v>0.17499999999999999</v>
      </c>
    </row>
    <row r="757" spans="21:104" x14ac:dyDescent="0.25">
      <c r="U757" s="5" t="s">
        <v>109</v>
      </c>
      <c r="V757">
        <v>0</v>
      </c>
      <c r="W757" s="17"/>
      <c r="X757" s="17"/>
      <c r="Z757" s="61" t="s">
        <v>93</v>
      </c>
      <c r="AA757" s="62">
        <v>0</v>
      </c>
      <c r="AB757" s="63" t="s">
        <v>392</v>
      </c>
      <c r="AC757" s="58">
        <f>STDEV(AA752:AA791)</f>
        <v>0.33493206352854182</v>
      </c>
      <c r="CW757" s="61" t="s">
        <v>326</v>
      </c>
      <c r="CX757" s="62">
        <v>0</v>
      </c>
      <c r="CY757" s="63" t="s">
        <v>392</v>
      </c>
      <c r="CZ757" s="58">
        <f>STDEV(CX752:CX791)</f>
        <v>0.38480764425479269</v>
      </c>
    </row>
    <row r="758" spans="21:104" x14ac:dyDescent="0.25">
      <c r="U758" s="5" t="s">
        <v>110</v>
      </c>
      <c r="V758">
        <v>0</v>
      </c>
      <c r="W758" s="17"/>
      <c r="X758" s="17"/>
      <c r="Z758" s="61" t="s">
        <v>94</v>
      </c>
      <c r="AA758" s="62">
        <v>0</v>
      </c>
      <c r="AB758" s="58"/>
      <c r="AC758" s="58"/>
      <c r="CW758" s="61" t="s">
        <v>327</v>
      </c>
      <c r="CX758" s="62">
        <v>0</v>
      </c>
      <c r="CY758" s="58"/>
      <c r="CZ758" s="58"/>
    </row>
    <row r="759" spans="21:104" x14ac:dyDescent="0.25">
      <c r="U759" s="5" t="s">
        <v>111</v>
      </c>
      <c r="V759">
        <v>0</v>
      </c>
      <c r="W759" s="17"/>
      <c r="X759" s="17"/>
      <c r="Z759" s="61" t="s">
        <v>96</v>
      </c>
      <c r="AA759" s="62">
        <v>1</v>
      </c>
      <c r="CW759" s="61" t="s">
        <v>328</v>
      </c>
      <c r="CX759" s="62">
        <v>1</v>
      </c>
    </row>
    <row r="760" spans="21:104" x14ac:dyDescent="0.25">
      <c r="U760" s="5" t="s">
        <v>112</v>
      </c>
      <c r="V760">
        <v>0</v>
      </c>
      <c r="W760" s="17"/>
      <c r="X760" s="17"/>
      <c r="Z760" s="61" t="s">
        <v>97</v>
      </c>
      <c r="AA760" s="62">
        <v>0</v>
      </c>
      <c r="CW760" s="61" t="s">
        <v>329</v>
      </c>
      <c r="CX760" s="62">
        <v>0</v>
      </c>
    </row>
    <row r="761" spans="21:104" x14ac:dyDescent="0.25">
      <c r="U761" s="5" t="s">
        <v>113</v>
      </c>
      <c r="V761">
        <v>0</v>
      </c>
      <c r="W761" s="15"/>
      <c r="X761" s="15"/>
      <c r="Z761" s="61" t="s">
        <v>98</v>
      </c>
      <c r="AA761" s="62">
        <v>0</v>
      </c>
      <c r="CW761" s="61" t="s">
        <v>330</v>
      </c>
      <c r="CX761" s="62">
        <v>0</v>
      </c>
    </row>
    <row r="762" spans="21:104" x14ac:dyDescent="0.25">
      <c r="U762" s="26" t="s">
        <v>114</v>
      </c>
      <c r="V762">
        <v>0</v>
      </c>
      <c r="W762" s="17"/>
      <c r="X762" s="17"/>
      <c r="Z762" s="61" t="s">
        <v>99</v>
      </c>
      <c r="AA762" s="62">
        <v>0</v>
      </c>
      <c r="CW762" s="61" t="s">
        <v>331</v>
      </c>
      <c r="CX762" s="62">
        <v>0</v>
      </c>
    </row>
    <row r="763" spans="21:104" x14ac:dyDescent="0.25">
      <c r="U763" s="26" t="s">
        <v>115</v>
      </c>
      <c r="V763">
        <v>0</v>
      </c>
      <c r="W763" s="17"/>
      <c r="X763" s="17"/>
      <c r="Z763" s="61" t="s">
        <v>100</v>
      </c>
      <c r="AA763" s="62">
        <v>0</v>
      </c>
      <c r="CW763" s="61" t="s">
        <v>332</v>
      </c>
      <c r="CX763" s="62">
        <v>1</v>
      </c>
    </row>
    <row r="764" spans="21:104" x14ac:dyDescent="0.25">
      <c r="U764" s="26" t="s">
        <v>116</v>
      </c>
      <c r="V764">
        <v>0</v>
      </c>
      <c r="W764" s="17"/>
      <c r="X764" s="1"/>
      <c r="Z764" s="61" t="s">
        <v>101</v>
      </c>
      <c r="AA764" s="62">
        <v>0</v>
      </c>
      <c r="CW764" s="61" t="s">
        <v>333</v>
      </c>
      <c r="CX764" s="62">
        <v>0</v>
      </c>
    </row>
    <row r="765" spans="21:104" x14ac:dyDescent="0.25">
      <c r="U765" s="26" t="s">
        <v>117</v>
      </c>
      <c r="V765">
        <v>1</v>
      </c>
      <c r="W765" s="17"/>
      <c r="X765" s="1"/>
      <c r="Z765" s="61" t="s">
        <v>103</v>
      </c>
      <c r="AA765" s="62">
        <v>0</v>
      </c>
      <c r="CW765" s="61" t="s">
        <v>334</v>
      </c>
      <c r="CX765" s="62">
        <v>0</v>
      </c>
    </row>
    <row r="766" spans="21:104" x14ac:dyDescent="0.25">
      <c r="U766" s="26" t="s">
        <v>118</v>
      </c>
      <c r="V766">
        <v>1</v>
      </c>
      <c r="W766" s="17"/>
      <c r="X766" s="1"/>
      <c r="Z766" s="61" t="s">
        <v>104</v>
      </c>
      <c r="AA766" s="62">
        <v>0</v>
      </c>
      <c r="CW766" s="61" t="s">
        <v>335</v>
      </c>
      <c r="CX766" s="62">
        <v>0</v>
      </c>
    </row>
    <row r="767" spans="21:104" x14ac:dyDescent="0.25">
      <c r="U767" s="26" t="s">
        <v>119</v>
      </c>
      <c r="V767">
        <v>0</v>
      </c>
      <c r="Z767" s="61" t="s">
        <v>105</v>
      </c>
      <c r="AA767" s="62">
        <v>0</v>
      </c>
      <c r="CW767" s="61" t="s">
        <v>43</v>
      </c>
      <c r="CX767" s="62">
        <v>0</v>
      </c>
    </row>
    <row r="768" spans="21:104" x14ac:dyDescent="0.25">
      <c r="U768" s="5" t="s">
        <v>120</v>
      </c>
      <c r="V768">
        <v>0</v>
      </c>
      <c r="Z768" s="61" t="s">
        <v>106</v>
      </c>
      <c r="AA768" s="62">
        <v>0</v>
      </c>
      <c r="CW768" s="61" t="s">
        <v>336</v>
      </c>
      <c r="CX768" s="62">
        <v>0</v>
      </c>
    </row>
    <row r="769" spans="21:102" x14ac:dyDescent="0.25">
      <c r="U769" s="5" t="s">
        <v>121</v>
      </c>
      <c r="V769">
        <v>0</v>
      </c>
      <c r="Z769" s="61" t="s">
        <v>61</v>
      </c>
      <c r="AA769" s="62">
        <v>0</v>
      </c>
      <c r="CW769" s="61" t="s">
        <v>337</v>
      </c>
      <c r="CX769" s="62">
        <v>0</v>
      </c>
    </row>
    <row r="770" spans="21:102" x14ac:dyDescent="0.25">
      <c r="U770" s="5" t="s">
        <v>122</v>
      </c>
      <c r="V770">
        <v>0</v>
      </c>
      <c r="Z770" s="61" t="s">
        <v>107</v>
      </c>
      <c r="AA770" s="62">
        <v>0</v>
      </c>
      <c r="CW770" s="61" t="s">
        <v>338</v>
      </c>
      <c r="CX770" s="62">
        <v>0</v>
      </c>
    </row>
    <row r="771" spans="21:102" x14ac:dyDescent="0.25">
      <c r="U771" s="5" t="s">
        <v>123</v>
      </c>
      <c r="V771">
        <v>0</v>
      </c>
      <c r="Z771" s="61" t="s">
        <v>108</v>
      </c>
      <c r="AA771" s="62">
        <v>0</v>
      </c>
      <c r="CW771" s="61" t="s">
        <v>339</v>
      </c>
      <c r="CX771" s="62">
        <v>0</v>
      </c>
    </row>
    <row r="772" spans="21:102" x14ac:dyDescent="0.25">
      <c r="U772" s="5" t="s">
        <v>124</v>
      </c>
      <c r="V772">
        <v>0</v>
      </c>
      <c r="Z772" s="61" t="s">
        <v>109</v>
      </c>
      <c r="AA772" s="62">
        <v>0</v>
      </c>
      <c r="CW772" s="61" t="s">
        <v>340</v>
      </c>
      <c r="CX772" s="62">
        <v>1</v>
      </c>
    </row>
    <row r="773" spans="21:102" x14ac:dyDescent="0.25">
      <c r="U773" s="5" t="s">
        <v>125</v>
      </c>
      <c r="V773">
        <v>0</v>
      </c>
      <c r="Z773" s="61" t="s">
        <v>110</v>
      </c>
      <c r="AA773" s="62">
        <v>0</v>
      </c>
      <c r="CW773" s="61" t="s">
        <v>341</v>
      </c>
      <c r="CX773" s="62">
        <v>0</v>
      </c>
    </row>
    <row r="774" spans="21:102" x14ac:dyDescent="0.25">
      <c r="U774" s="5" t="s">
        <v>126</v>
      </c>
      <c r="V774">
        <v>0</v>
      </c>
      <c r="Z774" s="61" t="s">
        <v>111</v>
      </c>
      <c r="AA774" s="62">
        <v>0</v>
      </c>
      <c r="CW774" s="61" t="s">
        <v>342</v>
      </c>
      <c r="CX774" s="62">
        <v>0</v>
      </c>
    </row>
    <row r="775" spans="21:102" x14ac:dyDescent="0.25">
      <c r="U775" s="5" t="s">
        <v>127</v>
      </c>
      <c r="V775">
        <v>0</v>
      </c>
      <c r="Z775" s="61" t="s">
        <v>112</v>
      </c>
      <c r="AA775" s="62">
        <v>0</v>
      </c>
      <c r="CW775" s="61" t="s">
        <v>343</v>
      </c>
      <c r="CX775" s="62">
        <v>0</v>
      </c>
    </row>
    <row r="776" spans="21:102" x14ac:dyDescent="0.25">
      <c r="U776" s="5" t="s">
        <v>128</v>
      </c>
      <c r="V776">
        <v>0</v>
      </c>
      <c r="Z776" s="61" t="s">
        <v>113</v>
      </c>
      <c r="AA776" s="62">
        <v>0</v>
      </c>
      <c r="CW776" s="61" t="s">
        <v>344</v>
      </c>
      <c r="CX776" s="62">
        <v>0</v>
      </c>
    </row>
    <row r="777" spans="21:102" x14ac:dyDescent="0.25">
      <c r="Z777" s="64" t="s">
        <v>114</v>
      </c>
      <c r="AA777" s="62">
        <v>0</v>
      </c>
      <c r="CW777" s="61" t="s">
        <v>345</v>
      </c>
      <c r="CX777" s="62">
        <v>1</v>
      </c>
    </row>
    <row r="778" spans="21:102" x14ac:dyDescent="0.25">
      <c r="U778" s="17" t="s">
        <v>382</v>
      </c>
      <c r="V778" s="29" t="s">
        <v>400</v>
      </c>
      <c r="W778" s="17"/>
      <c r="X778" s="17">
        <v>2016</v>
      </c>
      <c r="Z778" s="64" t="s">
        <v>115</v>
      </c>
      <c r="AA778" s="62">
        <v>1</v>
      </c>
      <c r="CW778" s="61" t="s">
        <v>346</v>
      </c>
      <c r="CX778" s="62">
        <v>0</v>
      </c>
    </row>
    <row r="779" spans="21:102" x14ac:dyDescent="0.25">
      <c r="U779" s="17" t="s">
        <v>383</v>
      </c>
      <c r="V779" s="6" t="s">
        <v>32</v>
      </c>
      <c r="W779" s="17"/>
      <c r="X779" s="17"/>
      <c r="Z779" s="64" t="s">
        <v>116</v>
      </c>
      <c r="AA779" s="62">
        <v>0</v>
      </c>
      <c r="CW779" s="61" t="s">
        <v>347</v>
      </c>
      <c r="CX779" s="62">
        <v>0</v>
      </c>
    </row>
    <row r="780" spans="21:102" x14ac:dyDescent="0.25">
      <c r="U780" s="17" t="s">
        <v>384</v>
      </c>
      <c r="V780" s="17" t="s">
        <v>39</v>
      </c>
      <c r="W780" s="17" t="s">
        <v>385</v>
      </c>
      <c r="X780" s="17" t="s">
        <v>386</v>
      </c>
      <c r="Z780" s="64" t="s">
        <v>117</v>
      </c>
      <c r="AA780" s="62">
        <v>0</v>
      </c>
      <c r="CW780" s="61" t="s">
        <v>348</v>
      </c>
      <c r="CX780" s="62">
        <v>0</v>
      </c>
    </row>
    <row r="781" spans="21:102" x14ac:dyDescent="0.25">
      <c r="U781" s="5" t="s">
        <v>96</v>
      </c>
      <c r="V781">
        <v>61</v>
      </c>
      <c r="W781" s="30" t="s">
        <v>387</v>
      </c>
      <c r="X781" s="17">
        <f>SUM(V781:V813)</f>
        <v>818</v>
      </c>
      <c r="Z781" s="64" t="s">
        <v>118</v>
      </c>
      <c r="AA781" s="62">
        <v>0</v>
      </c>
      <c r="CW781" s="61" t="s">
        <v>349</v>
      </c>
      <c r="CX781" s="62">
        <v>1</v>
      </c>
    </row>
    <row r="782" spans="21:102" x14ac:dyDescent="0.25">
      <c r="U782" s="5" t="s">
        <v>97</v>
      </c>
      <c r="V782">
        <v>50</v>
      </c>
      <c r="W782" s="30" t="s">
        <v>388</v>
      </c>
      <c r="X782" s="17">
        <f>MIN(V781:V813)</f>
        <v>4</v>
      </c>
      <c r="Z782" s="64" t="s">
        <v>119</v>
      </c>
      <c r="AA782" s="62">
        <v>0</v>
      </c>
      <c r="CW782" s="61" t="s">
        <v>350</v>
      </c>
      <c r="CX782" s="62">
        <v>0</v>
      </c>
    </row>
    <row r="783" spans="21:102" x14ac:dyDescent="0.25">
      <c r="U783" s="5" t="s">
        <v>98</v>
      </c>
      <c r="V783">
        <v>52</v>
      </c>
      <c r="W783" s="30" t="s">
        <v>389</v>
      </c>
      <c r="X783" s="17">
        <f>MAX(V781:V813)</f>
        <v>61</v>
      </c>
      <c r="Z783" s="61" t="s">
        <v>120</v>
      </c>
      <c r="AA783" s="62">
        <v>0</v>
      </c>
      <c r="CW783" s="61" t="s">
        <v>351</v>
      </c>
      <c r="CX783" s="62">
        <v>0</v>
      </c>
    </row>
    <row r="784" spans="21:102" x14ac:dyDescent="0.25">
      <c r="U784" s="5" t="s">
        <v>99</v>
      </c>
      <c r="V784">
        <v>60</v>
      </c>
      <c r="W784" s="30" t="s">
        <v>390</v>
      </c>
      <c r="X784" s="17">
        <f>VAR(V781:V813)</f>
        <v>268.7348484848485</v>
      </c>
      <c r="Z784" s="61" t="s">
        <v>121</v>
      </c>
      <c r="AA784" s="62">
        <v>0</v>
      </c>
      <c r="CW784" s="61" t="s">
        <v>352</v>
      </c>
      <c r="CX784" s="62">
        <v>1</v>
      </c>
    </row>
    <row r="785" spans="21:104" x14ac:dyDescent="0.25">
      <c r="U785" s="5" t="s">
        <v>100</v>
      </c>
      <c r="V785">
        <v>36</v>
      </c>
      <c r="W785" s="30" t="s">
        <v>391</v>
      </c>
      <c r="X785" s="17">
        <f>AVERAGE(V781:V813)</f>
        <v>24.787878787878789</v>
      </c>
      <c r="Z785" s="61" t="s">
        <v>122</v>
      </c>
      <c r="AA785" s="62">
        <v>0</v>
      </c>
      <c r="CW785" s="61" t="s">
        <v>353</v>
      </c>
      <c r="CX785" s="62">
        <v>0</v>
      </c>
    </row>
    <row r="786" spans="21:104" x14ac:dyDescent="0.25">
      <c r="U786" s="5" t="s">
        <v>101</v>
      </c>
      <c r="V786">
        <v>29</v>
      </c>
      <c r="W786" s="30" t="s">
        <v>392</v>
      </c>
      <c r="X786" s="17">
        <f>STDEV(V781:V813)</f>
        <v>16.393134187361749</v>
      </c>
      <c r="Z786" s="61" t="s">
        <v>123</v>
      </c>
      <c r="AA786" s="62">
        <v>1</v>
      </c>
      <c r="CW786" s="61" t="s">
        <v>354</v>
      </c>
      <c r="CX786" s="62">
        <v>0</v>
      </c>
    </row>
    <row r="787" spans="21:104" x14ac:dyDescent="0.25">
      <c r="U787" s="5" t="s">
        <v>103</v>
      </c>
      <c r="V787">
        <v>38</v>
      </c>
      <c r="W787" s="17"/>
      <c r="X787" s="17"/>
      <c r="Z787" s="61" t="s">
        <v>124</v>
      </c>
      <c r="AA787" s="62">
        <v>0</v>
      </c>
      <c r="CW787" s="61" t="s">
        <v>355</v>
      </c>
      <c r="CX787" s="62">
        <v>0</v>
      </c>
    </row>
    <row r="788" spans="21:104" x14ac:dyDescent="0.25">
      <c r="U788" s="5" t="s">
        <v>104</v>
      </c>
      <c r="V788">
        <v>42</v>
      </c>
      <c r="W788" s="17"/>
      <c r="X788" s="17"/>
      <c r="Z788" s="61" t="s">
        <v>125</v>
      </c>
      <c r="AA788" s="62">
        <v>0</v>
      </c>
      <c r="CW788" s="66" t="s">
        <v>356</v>
      </c>
      <c r="CX788" s="62">
        <v>1</v>
      </c>
    </row>
    <row r="789" spans="21:104" x14ac:dyDescent="0.25">
      <c r="U789" s="5" t="s">
        <v>105</v>
      </c>
      <c r="V789">
        <v>8</v>
      </c>
      <c r="W789" s="17"/>
      <c r="X789" s="17"/>
      <c r="Z789" s="61" t="s">
        <v>126</v>
      </c>
      <c r="AA789" s="62">
        <v>1</v>
      </c>
      <c r="CW789" s="66" t="s">
        <v>357</v>
      </c>
      <c r="CX789" s="62">
        <v>0</v>
      </c>
    </row>
    <row r="790" spans="21:104" x14ac:dyDescent="0.25">
      <c r="U790" s="5" t="s">
        <v>106</v>
      </c>
      <c r="V790">
        <v>42</v>
      </c>
      <c r="W790" s="17"/>
      <c r="X790" s="17"/>
      <c r="Z790" s="61" t="s">
        <v>127</v>
      </c>
      <c r="AA790" s="62">
        <v>1</v>
      </c>
      <c r="CW790" s="66" t="s">
        <v>358</v>
      </c>
      <c r="CX790" s="62">
        <v>0</v>
      </c>
    </row>
    <row r="791" spans="21:104" x14ac:dyDescent="0.25">
      <c r="U791" s="5" t="s">
        <v>61</v>
      </c>
      <c r="V791">
        <v>13</v>
      </c>
      <c r="W791" s="17"/>
      <c r="X791" s="17"/>
      <c r="Z791" s="61" t="s">
        <v>128</v>
      </c>
      <c r="AA791" s="62">
        <v>0</v>
      </c>
      <c r="CW791" s="66" t="s">
        <v>359</v>
      </c>
      <c r="CX791" s="62">
        <v>0</v>
      </c>
    </row>
    <row r="792" spans="21:104" x14ac:dyDescent="0.25">
      <c r="U792" s="5" t="s">
        <v>107</v>
      </c>
      <c r="V792">
        <v>31</v>
      </c>
      <c r="W792" s="17"/>
      <c r="X792" s="17"/>
    </row>
    <row r="793" spans="21:104" x14ac:dyDescent="0.25">
      <c r="U793" s="5" t="s">
        <v>108</v>
      </c>
      <c r="V793">
        <v>37</v>
      </c>
      <c r="W793" s="17"/>
      <c r="X793" s="17"/>
      <c r="Z793" s="58" t="s">
        <v>382</v>
      </c>
      <c r="AA793" s="59" t="s">
        <v>627</v>
      </c>
      <c r="AB793" s="58"/>
      <c r="AC793" s="58">
        <v>2016</v>
      </c>
      <c r="CW793" s="58" t="s">
        <v>382</v>
      </c>
      <c r="CX793" s="59" t="s">
        <v>629</v>
      </c>
      <c r="CY793" s="58"/>
      <c r="CZ793" s="58">
        <v>2016</v>
      </c>
    </row>
    <row r="794" spans="21:104" x14ac:dyDescent="0.25">
      <c r="U794" s="5" t="s">
        <v>109</v>
      </c>
      <c r="V794">
        <v>10</v>
      </c>
      <c r="W794" s="17"/>
      <c r="X794" s="17"/>
      <c r="Z794" s="58" t="s">
        <v>383</v>
      </c>
      <c r="AA794" s="60" t="s">
        <v>27</v>
      </c>
      <c r="AB794" s="58"/>
      <c r="AC794" s="58"/>
      <c r="CW794" s="58" t="s">
        <v>383</v>
      </c>
      <c r="CX794" s="60" t="s">
        <v>37</v>
      </c>
      <c r="CY794" s="58"/>
      <c r="CZ794" s="58"/>
    </row>
    <row r="795" spans="21:104" x14ac:dyDescent="0.25">
      <c r="U795" s="5" t="s">
        <v>110</v>
      </c>
      <c r="V795">
        <v>26</v>
      </c>
      <c r="W795" s="17"/>
      <c r="X795" s="17"/>
      <c r="Z795" s="58" t="s">
        <v>384</v>
      </c>
      <c r="AA795" s="58" t="s">
        <v>39</v>
      </c>
      <c r="AB795" s="58" t="s">
        <v>385</v>
      </c>
      <c r="AC795" s="58" t="s">
        <v>386</v>
      </c>
      <c r="CW795" s="58" t="s">
        <v>384</v>
      </c>
      <c r="CX795" s="58" t="s">
        <v>39</v>
      </c>
      <c r="CY795" s="58" t="s">
        <v>385</v>
      </c>
      <c r="CZ795" s="58" t="s">
        <v>386</v>
      </c>
    </row>
    <row r="796" spans="21:104" x14ac:dyDescent="0.25">
      <c r="U796" s="5" t="s">
        <v>111</v>
      </c>
      <c r="V796">
        <v>27</v>
      </c>
      <c r="W796" s="17"/>
      <c r="X796" s="17"/>
      <c r="Z796" s="61" t="s">
        <v>88</v>
      </c>
      <c r="AA796" s="62">
        <v>0</v>
      </c>
      <c r="AB796" s="63" t="s">
        <v>387</v>
      </c>
      <c r="AC796" s="58">
        <f>SUM(AA796:AA835)</f>
        <v>3</v>
      </c>
      <c r="CW796" s="61" t="s">
        <v>321</v>
      </c>
      <c r="CX796" s="62">
        <v>0</v>
      </c>
      <c r="CY796" s="63" t="s">
        <v>387</v>
      </c>
      <c r="CZ796" s="58">
        <f>SUM(CX796:CX835)</f>
        <v>77</v>
      </c>
    </row>
    <row r="797" spans="21:104" x14ac:dyDescent="0.25">
      <c r="U797" s="5" t="s">
        <v>112</v>
      </c>
      <c r="V797">
        <v>16</v>
      </c>
      <c r="W797" s="17"/>
      <c r="X797" s="17"/>
      <c r="Z797" s="61" t="s">
        <v>89</v>
      </c>
      <c r="AA797" s="62">
        <v>0</v>
      </c>
      <c r="AB797" s="63" t="s">
        <v>388</v>
      </c>
      <c r="AC797" s="58">
        <f>MIN(AA796:AA835)</f>
        <v>0</v>
      </c>
      <c r="CW797" s="61" t="s">
        <v>322</v>
      </c>
      <c r="CX797" s="62">
        <v>0</v>
      </c>
      <c r="CY797" s="63" t="s">
        <v>388</v>
      </c>
      <c r="CZ797" s="58">
        <f>MIN(CX796:CX835)</f>
        <v>0</v>
      </c>
    </row>
    <row r="798" spans="21:104" x14ac:dyDescent="0.25">
      <c r="U798" s="5" t="s">
        <v>113</v>
      </c>
      <c r="V798">
        <v>5</v>
      </c>
      <c r="W798" s="15"/>
      <c r="X798" s="15"/>
      <c r="Z798" s="61" t="s">
        <v>90</v>
      </c>
      <c r="AA798" s="62">
        <v>0</v>
      </c>
      <c r="AB798" s="63" t="s">
        <v>389</v>
      </c>
      <c r="AC798" s="58">
        <f>MAX(AA796:AA835)</f>
        <v>1</v>
      </c>
      <c r="CW798" s="61" t="s">
        <v>323</v>
      </c>
      <c r="CX798" s="62">
        <v>0</v>
      </c>
      <c r="CY798" s="63" t="s">
        <v>389</v>
      </c>
      <c r="CZ798" s="58">
        <f>MAX(CX796:CX835)</f>
        <v>4</v>
      </c>
    </row>
    <row r="799" spans="21:104" x14ac:dyDescent="0.25">
      <c r="U799" s="26" t="s">
        <v>114</v>
      </c>
      <c r="V799">
        <v>13</v>
      </c>
      <c r="W799" s="17"/>
      <c r="X799" s="17"/>
      <c r="Z799" s="61" t="s">
        <v>91</v>
      </c>
      <c r="AA799" s="62">
        <v>0</v>
      </c>
      <c r="AB799" s="63" t="s">
        <v>390</v>
      </c>
      <c r="AC799" s="58">
        <f>VAR(AA796:AA835)</f>
        <v>7.1153846153846151E-2</v>
      </c>
      <c r="CW799" s="61" t="s">
        <v>324</v>
      </c>
      <c r="CX799" s="62">
        <v>2</v>
      </c>
      <c r="CY799" s="63" t="s">
        <v>390</v>
      </c>
      <c r="CZ799" s="58">
        <f>VAR(CX796:CX835)</f>
        <v>1.5070512820512822</v>
      </c>
    </row>
    <row r="800" spans="21:104" x14ac:dyDescent="0.25">
      <c r="U800" s="26" t="s">
        <v>115</v>
      </c>
      <c r="V800">
        <v>27</v>
      </c>
      <c r="W800" s="17"/>
      <c r="X800" s="17"/>
      <c r="Z800" s="61" t="s">
        <v>92</v>
      </c>
      <c r="AA800" s="62">
        <v>0</v>
      </c>
      <c r="AB800" s="63" t="s">
        <v>391</v>
      </c>
      <c r="AC800" s="58">
        <f>AVERAGE(AA796:AA835)</f>
        <v>7.4999999999999997E-2</v>
      </c>
      <c r="CW800" s="61" t="s">
        <v>325</v>
      </c>
      <c r="CX800" s="62">
        <v>0</v>
      </c>
      <c r="CY800" s="63" t="s">
        <v>391</v>
      </c>
      <c r="CZ800" s="58">
        <f>AVERAGE(CX796:CX835)</f>
        <v>1.925</v>
      </c>
    </row>
    <row r="801" spans="21:104" x14ac:dyDescent="0.25">
      <c r="U801" s="26" t="s">
        <v>116</v>
      </c>
      <c r="V801">
        <v>36</v>
      </c>
      <c r="W801" s="17"/>
      <c r="X801" s="1"/>
      <c r="Z801" s="61" t="s">
        <v>93</v>
      </c>
      <c r="AA801" s="62">
        <v>0</v>
      </c>
      <c r="AB801" s="63" t="s">
        <v>392</v>
      </c>
      <c r="AC801" s="58">
        <f>STDEV(AA796:AA835)</f>
        <v>0.26674678283691849</v>
      </c>
      <c r="CW801" s="61" t="s">
        <v>326</v>
      </c>
      <c r="CX801" s="62">
        <v>3</v>
      </c>
      <c r="CY801" s="63" t="s">
        <v>392</v>
      </c>
      <c r="CZ801" s="58">
        <f>STDEV(CX796:CX835)</f>
        <v>1.2276201701060805</v>
      </c>
    </row>
    <row r="802" spans="21:104" x14ac:dyDescent="0.25">
      <c r="U802" s="26" t="s">
        <v>117</v>
      </c>
      <c r="V802">
        <v>11</v>
      </c>
      <c r="W802" s="17"/>
      <c r="X802" s="1"/>
      <c r="Z802" s="61" t="s">
        <v>94</v>
      </c>
      <c r="AA802" s="62">
        <v>0</v>
      </c>
      <c r="AB802" s="58"/>
      <c r="AC802" s="58"/>
      <c r="CW802" s="61" t="s">
        <v>327</v>
      </c>
      <c r="CX802" s="62">
        <v>3</v>
      </c>
      <c r="CY802" s="58"/>
      <c r="CZ802" s="58"/>
    </row>
    <row r="803" spans="21:104" x14ac:dyDescent="0.25">
      <c r="U803" s="26" t="s">
        <v>118</v>
      </c>
      <c r="V803">
        <v>12</v>
      </c>
      <c r="W803" s="17"/>
      <c r="X803" s="1"/>
      <c r="Z803" s="61" t="s">
        <v>96</v>
      </c>
      <c r="AA803" s="62">
        <v>0</v>
      </c>
      <c r="CW803" s="61" t="s">
        <v>328</v>
      </c>
      <c r="CX803" s="62">
        <v>3</v>
      </c>
    </row>
    <row r="804" spans="21:104" x14ac:dyDescent="0.25">
      <c r="U804" s="26" t="s">
        <v>119</v>
      </c>
      <c r="V804">
        <v>4</v>
      </c>
      <c r="Z804" s="61" t="s">
        <v>97</v>
      </c>
      <c r="AA804" s="62">
        <v>0</v>
      </c>
      <c r="CW804" s="61" t="s">
        <v>329</v>
      </c>
      <c r="CX804" s="62">
        <v>2</v>
      </c>
    </row>
    <row r="805" spans="21:104" x14ac:dyDescent="0.25">
      <c r="U805" s="5" t="s">
        <v>120</v>
      </c>
      <c r="V805">
        <v>28</v>
      </c>
      <c r="Z805" s="61" t="s">
        <v>98</v>
      </c>
      <c r="AA805" s="62">
        <v>0</v>
      </c>
      <c r="CW805" s="61" t="s">
        <v>330</v>
      </c>
      <c r="CX805" s="62">
        <v>1</v>
      </c>
    </row>
    <row r="806" spans="21:104" x14ac:dyDescent="0.25">
      <c r="U806" s="5" t="s">
        <v>121</v>
      </c>
      <c r="V806">
        <v>10</v>
      </c>
      <c r="Z806" s="61" t="s">
        <v>99</v>
      </c>
      <c r="AA806" s="62">
        <v>0</v>
      </c>
      <c r="CW806" s="61" t="s">
        <v>331</v>
      </c>
      <c r="CX806" s="62">
        <v>1</v>
      </c>
    </row>
    <row r="807" spans="21:104" x14ac:dyDescent="0.25">
      <c r="U807" s="5" t="s">
        <v>122</v>
      </c>
      <c r="V807">
        <v>12</v>
      </c>
      <c r="Z807" s="61" t="s">
        <v>100</v>
      </c>
      <c r="AA807" s="62">
        <v>0</v>
      </c>
      <c r="CW807" s="61" t="s">
        <v>332</v>
      </c>
      <c r="CX807" s="62">
        <v>2</v>
      </c>
    </row>
    <row r="808" spans="21:104" x14ac:dyDescent="0.25">
      <c r="U808" s="5" t="s">
        <v>123</v>
      </c>
      <c r="V808">
        <v>12</v>
      </c>
      <c r="Z808" s="61" t="s">
        <v>101</v>
      </c>
      <c r="AA808" s="62">
        <v>0</v>
      </c>
      <c r="CW808" s="61" t="s">
        <v>333</v>
      </c>
      <c r="CX808" s="62">
        <v>1</v>
      </c>
    </row>
    <row r="809" spans="21:104" x14ac:dyDescent="0.25">
      <c r="U809" s="5" t="s">
        <v>124</v>
      </c>
      <c r="V809">
        <v>16</v>
      </c>
      <c r="Z809" s="61" t="s">
        <v>103</v>
      </c>
      <c r="AA809" s="62">
        <v>0</v>
      </c>
      <c r="CW809" s="61" t="s">
        <v>334</v>
      </c>
      <c r="CX809" s="62">
        <v>2</v>
      </c>
    </row>
    <row r="810" spans="21:104" x14ac:dyDescent="0.25">
      <c r="U810" s="5" t="s">
        <v>125</v>
      </c>
      <c r="V810">
        <v>6</v>
      </c>
      <c r="Z810" s="61" t="s">
        <v>104</v>
      </c>
      <c r="AA810" s="62">
        <v>0</v>
      </c>
      <c r="CW810" s="61" t="s">
        <v>335</v>
      </c>
      <c r="CX810" s="62">
        <v>1</v>
      </c>
    </row>
    <row r="811" spans="21:104" x14ac:dyDescent="0.25">
      <c r="U811" s="5" t="s">
        <v>126</v>
      </c>
      <c r="V811">
        <v>12</v>
      </c>
      <c r="Z811" s="61" t="s">
        <v>105</v>
      </c>
      <c r="AA811" s="62">
        <v>0</v>
      </c>
      <c r="CW811" s="61" t="s">
        <v>43</v>
      </c>
      <c r="CX811" s="62">
        <v>0</v>
      </c>
    </row>
    <row r="812" spans="21:104" x14ac:dyDescent="0.25">
      <c r="U812" s="5" t="s">
        <v>127</v>
      </c>
      <c r="V812">
        <v>27</v>
      </c>
      <c r="Z812" s="61" t="s">
        <v>106</v>
      </c>
      <c r="AA812" s="62">
        <v>1</v>
      </c>
      <c r="CW812" s="61" t="s">
        <v>336</v>
      </c>
      <c r="CX812" s="62">
        <v>3</v>
      </c>
    </row>
    <row r="813" spans="21:104" x14ac:dyDescent="0.25">
      <c r="U813" s="5" t="s">
        <v>128</v>
      </c>
      <c r="V813">
        <v>9</v>
      </c>
      <c r="Z813" s="61" t="s">
        <v>61</v>
      </c>
      <c r="AA813" s="62">
        <v>0</v>
      </c>
      <c r="CW813" s="61" t="s">
        <v>337</v>
      </c>
      <c r="CX813" s="62">
        <v>3</v>
      </c>
    </row>
    <row r="814" spans="21:104" x14ac:dyDescent="0.25">
      <c r="Z814" s="61" t="s">
        <v>107</v>
      </c>
      <c r="AA814" s="62">
        <v>1</v>
      </c>
      <c r="CW814" s="61" t="s">
        <v>338</v>
      </c>
      <c r="CX814" s="62">
        <v>2</v>
      </c>
    </row>
    <row r="815" spans="21:104" x14ac:dyDescent="0.25">
      <c r="U815" s="17" t="s">
        <v>382</v>
      </c>
      <c r="V815" s="29" t="s">
        <v>400</v>
      </c>
      <c r="W815" s="17"/>
      <c r="X815" s="17">
        <v>2016</v>
      </c>
      <c r="Z815" s="61" t="s">
        <v>108</v>
      </c>
      <c r="AA815" s="62">
        <v>0</v>
      </c>
      <c r="CW815" s="61" t="s">
        <v>339</v>
      </c>
      <c r="CX815" s="62">
        <v>2</v>
      </c>
    </row>
    <row r="816" spans="21:104" x14ac:dyDescent="0.25">
      <c r="U816" s="17" t="s">
        <v>383</v>
      </c>
      <c r="V816" s="6" t="s">
        <v>33</v>
      </c>
      <c r="W816" s="17"/>
      <c r="X816" s="17"/>
      <c r="Z816" s="61" t="s">
        <v>109</v>
      </c>
      <c r="AA816" s="62">
        <v>0</v>
      </c>
      <c r="CW816" s="61" t="s">
        <v>340</v>
      </c>
      <c r="CX816" s="62">
        <v>4</v>
      </c>
    </row>
    <row r="817" spans="21:102" x14ac:dyDescent="0.25">
      <c r="U817" s="17" t="s">
        <v>384</v>
      </c>
      <c r="V817" s="17" t="s">
        <v>39</v>
      </c>
      <c r="W817" s="17" t="s">
        <v>385</v>
      </c>
      <c r="X817" s="17" t="s">
        <v>386</v>
      </c>
      <c r="Z817" s="61" t="s">
        <v>110</v>
      </c>
      <c r="AA817" s="62">
        <v>0</v>
      </c>
      <c r="CW817" s="61" t="s">
        <v>341</v>
      </c>
      <c r="CX817" s="62">
        <v>1</v>
      </c>
    </row>
    <row r="818" spans="21:102" x14ac:dyDescent="0.25">
      <c r="U818" s="5" t="s">
        <v>96</v>
      </c>
      <c r="V818">
        <v>2</v>
      </c>
      <c r="W818" s="30" t="s">
        <v>387</v>
      </c>
      <c r="X818" s="17">
        <f>SUM(V818:V850)</f>
        <v>12</v>
      </c>
      <c r="Z818" s="61" t="s">
        <v>111</v>
      </c>
      <c r="AA818" s="62">
        <v>0</v>
      </c>
      <c r="CW818" s="61" t="s">
        <v>342</v>
      </c>
      <c r="CX818" s="62">
        <v>3</v>
      </c>
    </row>
    <row r="819" spans="21:102" x14ac:dyDescent="0.25">
      <c r="U819" s="5" t="s">
        <v>97</v>
      </c>
      <c r="V819">
        <v>0</v>
      </c>
      <c r="W819" s="30" t="s">
        <v>388</v>
      </c>
      <c r="X819" s="17">
        <f>MIN(V818:V850)</f>
        <v>0</v>
      </c>
      <c r="Z819" s="61" t="s">
        <v>112</v>
      </c>
      <c r="AA819" s="62">
        <v>0</v>
      </c>
      <c r="CW819" s="61" t="s">
        <v>343</v>
      </c>
      <c r="CX819" s="62">
        <v>4</v>
      </c>
    </row>
    <row r="820" spans="21:102" x14ac:dyDescent="0.25">
      <c r="U820" s="5" t="s">
        <v>98</v>
      </c>
      <c r="V820">
        <v>1</v>
      </c>
      <c r="W820" s="30" t="s">
        <v>389</v>
      </c>
      <c r="X820" s="17">
        <f>MAX(V818:V850)</f>
        <v>2</v>
      </c>
      <c r="Z820" s="61" t="s">
        <v>113</v>
      </c>
      <c r="AA820" s="62">
        <v>0</v>
      </c>
      <c r="CW820" s="61" t="s">
        <v>344</v>
      </c>
      <c r="CX820" s="62">
        <v>4</v>
      </c>
    </row>
    <row r="821" spans="21:102" x14ac:dyDescent="0.25">
      <c r="U821" s="5" t="s">
        <v>99</v>
      </c>
      <c r="V821">
        <v>1</v>
      </c>
      <c r="W821" s="30" t="s">
        <v>390</v>
      </c>
      <c r="X821" s="17">
        <f>VAR(V818:V850)</f>
        <v>0.36363636363636365</v>
      </c>
      <c r="Z821" s="64" t="s">
        <v>114</v>
      </c>
      <c r="AA821" s="62">
        <v>0</v>
      </c>
      <c r="CW821" s="61" t="s">
        <v>345</v>
      </c>
      <c r="CX821" s="62">
        <v>3</v>
      </c>
    </row>
    <row r="822" spans="21:102" x14ac:dyDescent="0.25">
      <c r="U822" s="5" t="s">
        <v>100</v>
      </c>
      <c r="V822">
        <v>0</v>
      </c>
      <c r="W822" s="30" t="s">
        <v>391</v>
      </c>
      <c r="X822" s="17">
        <f>AVERAGE(V818:V850)</f>
        <v>0.36363636363636365</v>
      </c>
      <c r="Z822" s="64" t="s">
        <v>115</v>
      </c>
      <c r="AA822" s="62">
        <v>0</v>
      </c>
      <c r="CW822" s="61" t="s">
        <v>346</v>
      </c>
      <c r="CX822" s="62">
        <v>1</v>
      </c>
    </row>
    <row r="823" spans="21:102" x14ac:dyDescent="0.25">
      <c r="U823" s="5" t="s">
        <v>101</v>
      </c>
      <c r="V823">
        <v>0</v>
      </c>
      <c r="W823" s="30" t="s">
        <v>392</v>
      </c>
      <c r="X823" s="17">
        <f>STDEV(V818:V850)</f>
        <v>0.60302268915552726</v>
      </c>
      <c r="Z823" s="64" t="s">
        <v>116</v>
      </c>
      <c r="AA823" s="62">
        <v>0</v>
      </c>
      <c r="CW823" s="61" t="s">
        <v>347</v>
      </c>
      <c r="CX823" s="62">
        <v>2</v>
      </c>
    </row>
    <row r="824" spans="21:102" x14ac:dyDescent="0.25">
      <c r="U824" s="5" t="s">
        <v>103</v>
      </c>
      <c r="V824">
        <v>0</v>
      </c>
      <c r="W824" s="17"/>
      <c r="X824" s="17"/>
      <c r="Z824" s="64" t="s">
        <v>117</v>
      </c>
      <c r="AA824" s="62">
        <v>0</v>
      </c>
      <c r="CW824" s="61" t="s">
        <v>348</v>
      </c>
      <c r="CX824" s="62">
        <v>1</v>
      </c>
    </row>
    <row r="825" spans="21:102" x14ac:dyDescent="0.25">
      <c r="U825" s="5" t="s">
        <v>104</v>
      </c>
      <c r="V825">
        <v>2</v>
      </c>
      <c r="W825" s="17"/>
      <c r="X825" s="17"/>
      <c r="Z825" s="64" t="s">
        <v>118</v>
      </c>
      <c r="AA825" s="62">
        <v>0</v>
      </c>
      <c r="CW825" s="61" t="s">
        <v>349</v>
      </c>
      <c r="CX825" s="62">
        <v>2</v>
      </c>
    </row>
    <row r="826" spans="21:102" x14ac:dyDescent="0.25">
      <c r="U826" s="5" t="s">
        <v>105</v>
      </c>
      <c r="V826">
        <v>0</v>
      </c>
      <c r="W826" s="17"/>
      <c r="X826" s="17"/>
      <c r="Z826" s="64" t="s">
        <v>119</v>
      </c>
      <c r="AA826" s="62">
        <v>1</v>
      </c>
      <c r="CW826" s="61" t="s">
        <v>350</v>
      </c>
      <c r="CX826" s="62">
        <v>2</v>
      </c>
    </row>
    <row r="827" spans="21:102" x14ac:dyDescent="0.25">
      <c r="U827" s="5" t="s">
        <v>106</v>
      </c>
      <c r="V827">
        <v>1</v>
      </c>
      <c r="W827" s="17"/>
      <c r="X827" s="17"/>
      <c r="Z827" s="61" t="s">
        <v>120</v>
      </c>
      <c r="AA827" s="62">
        <v>0</v>
      </c>
      <c r="CW827" s="61" t="s">
        <v>351</v>
      </c>
      <c r="CX827" s="62">
        <v>1</v>
      </c>
    </row>
    <row r="828" spans="21:102" x14ac:dyDescent="0.25">
      <c r="U828" s="5" t="s">
        <v>61</v>
      </c>
      <c r="V828">
        <v>0</v>
      </c>
      <c r="W828" s="17"/>
      <c r="X828" s="17"/>
      <c r="Z828" s="61" t="s">
        <v>121</v>
      </c>
      <c r="AA828" s="62">
        <v>0</v>
      </c>
      <c r="CW828" s="61" t="s">
        <v>352</v>
      </c>
      <c r="CX828" s="62">
        <v>3</v>
      </c>
    </row>
    <row r="829" spans="21:102" x14ac:dyDescent="0.25">
      <c r="U829" s="5" t="s">
        <v>107</v>
      </c>
      <c r="V829">
        <v>0</v>
      </c>
      <c r="W829" s="17"/>
      <c r="X829" s="17"/>
      <c r="Z829" s="61" t="s">
        <v>122</v>
      </c>
      <c r="AA829" s="62">
        <v>0</v>
      </c>
      <c r="CW829" s="61" t="s">
        <v>353</v>
      </c>
      <c r="CX829" s="62">
        <v>2</v>
      </c>
    </row>
    <row r="830" spans="21:102" x14ac:dyDescent="0.25">
      <c r="U830" s="5" t="s">
        <v>108</v>
      </c>
      <c r="V830">
        <v>0</v>
      </c>
      <c r="W830" s="17"/>
      <c r="X830" s="17"/>
      <c r="Z830" s="61" t="s">
        <v>123</v>
      </c>
      <c r="AA830" s="62">
        <v>0</v>
      </c>
      <c r="CW830" s="61" t="s">
        <v>354</v>
      </c>
      <c r="CX830" s="62">
        <v>3</v>
      </c>
    </row>
    <row r="831" spans="21:102" x14ac:dyDescent="0.25">
      <c r="U831" s="5" t="s">
        <v>109</v>
      </c>
      <c r="V831">
        <v>1</v>
      </c>
      <c r="W831" s="17"/>
      <c r="X831" s="17"/>
      <c r="Z831" s="61" t="s">
        <v>124</v>
      </c>
      <c r="AA831" s="62">
        <v>0</v>
      </c>
      <c r="CW831" s="61" t="s">
        <v>355</v>
      </c>
      <c r="CX831" s="62">
        <v>3</v>
      </c>
    </row>
    <row r="832" spans="21:102" x14ac:dyDescent="0.25">
      <c r="U832" s="5" t="s">
        <v>110</v>
      </c>
      <c r="V832">
        <v>1</v>
      </c>
      <c r="W832" s="17"/>
      <c r="X832" s="17"/>
      <c r="Z832" s="61" t="s">
        <v>125</v>
      </c>
      <c r="AA832" s="62">
        <v>0</v>
      </c>
      <c r="CW832" s="66" t="s">
        <v>356</v>
      </c>
      <c r="CX832" s="62">
        <v>4</v>
      </c>
    </row>
    <row r="833" spans="21:102" x14ac:dyDescent="0.25">
      <c r="U833" s="5" t="s">
        <v>111</v>
      </c>
      <c r="V833">
        <v>0</v>
      </c>
      <c r="W833" s="17"/>
      <c r="X833" s="17"/>
      <c r="Z833" s="61" t="s">
        <v>126</v>
      </c>
      <c r="AA833" s="62">
        <v>0</v>
      </c>
      <c r="CW833" s="66" t="s">
        <v>357</v>
      </c>
      <c r="CX833" s="62">
        <v>1</v>
      </c>
    </row>
    <row r="834" spans="21:102" x14ac:dyDescent="0.25">
      <c r="U834" s="5" t="s">
        <v>112</v>
      </c>
      <c r="V834">
        <v>0</v>
      </c>
      <c r="W834" s="17"/>
      <c r="X834" s="17"/>
      <c r="Z834" s="61" t="s">
        <v>127</v>
      </c>
      <c r="AA834" s="62">
        <v>0</v>
      </c>
      <c r="CW834" s="66" t="s">
        <v>358</v>
      </c>
      <c r="CX834" s="62">
        <v>0</v>
      </c>
    </row>
    <row r="835" spans="21:102" x14ac:dyDescent="0.25">
      <c r="U835" s="5" t="s">
        <v>113</v>
      </c>
      <c r="V835">
        <v>0</v>
      </c>
      <c r="W835" s="15"/>
      <c r="X835" s="15"/>
      <c r="Z835" s="61" t="s">
        <v>128</v>
      </c>
      <c r="AA835" s="62">
        <v>0</v>
      </c>
      <c r="CW835" s="66" t="s">
        <v>359</v>
      </c>
      <c r="CX835" s="62">
        <v>2</v>
      </c>
    </row>
    <row r="836" spans="21:102" x14ac:dyDescent="0.25">
      <c r="U836" s="26" t="s">
        <v>114</v>
      </c>
      <c r="V836">
        <v>0</v>
      </c>
      <c r="W836" s="17"/>
      <c r="X836" s="17"/>
    </row>
    <row r="837" spans="21:102" x14ac:dyDescent="0.25">
      <c r="U837" s="26" t="s">
        <v>115</v>
      </c>
      <c r="V837">
        <v>0</v>
      </c>
      <c r="W837" s="17"/>
      <c r="X837" s="17"/>
      <c r="Z837" s="58" t="s">
        <v>382</v>
      </c>
      <c r="AA837" s="59" t="s">
        <v>627</v>
      </c>
      <c r="AB837" s="58"/>
      <c r="AC837" s="58">
        <v>2016</v>
      </c>
    </row>
    <row r="838" spans="21:102" x14ac:dyDescent="0.25">
      <c r="U838" s="26" t="s">
        <v>116</v>
      </c>
      <c r="V838">
        <v>0</v>
      </c>
      <c r="W838" s="17"/>
      <c r="X838" s="1"/>
      <c r="Z838" s="58" t="s">
        <v>383</v>
      </c>
      <c r="AA838" s="60" t="s">
        <v>102</v>
      </c>
      <c r="AB838" s="58"/>
      <c r="AC838" s="58"/>
    </row>
    <row r="839" spans="21:102" x14ac:dyDescent="0.25">
      <c r="U839" s="26" t="s">
        <v>117</v>
      </c>
      <c r="V839">
        <v>0</v>
      </c>
      <c r="W839" s="17"/>
      <c r="X839" s="1"/>
      <c r="Z839" s="58" t="s">
        <v>384</v>
      </c>
      <c r="AA839" s="58" t="s">
        <v>39</v>
      </c>
      <c r="AB839" s="58" t="s">
        <v>385</v>
      </c>
      <c r="AC839" s="58" t="s">
        <v>386</v>
      </c>
    </row>
    <row r="840" spans="21:102" x14ac:dyDescent="0.25">
      <c r="U840" s="26" t="s">
        <v>118</v>
      </c>
      <c r="V840">
        <v>0</v>
      </c>
      <c r="W840" s="17"/>
      <c r="X840" s="1"/>
      <c r="Z840" s="61" t="s">
        <v>88</v>
      </c>
      <c r="AA840" s="62">
        <v>0</v>
      </c>
      <c r="AB840" s="63" t="s">
        <v>387</v>
      </c>
      <c r="AC840" s="58">
        <f>SUM(AA840:AA879)</f>
        <v>8</v>
      </c>
    </row>
    <row r="841" spans="21:102" x14ac:dyDescent="0.25">
      <c r="U841" s="26" t="s">
        <v>119</v>
      </c>
      <c r="V841">
        <v>0</v>
      </c>
      <c r="Z841" s="61" t="s">
        <v>89</v>
      </c>
      <c r="AA841" s="62">
        <v>0</v>
      </c>
      <c r="AB841" s="63" t="s">
        <v>388</v>
      </c>
      <c r="AC841" s="58">
        <f>MIN(AA840:AA879)</f>
        <v>0</v>
      </c>
    </row>
    <row r="842" spans="21:102" x14ac:dyDescent="0.25">
      <c r="U842" s="5" t="s">
        <v>120</v>
      </c>
      <c r="V842">
        <v>1</v>
      </c>
      <c r="Z842" s="61" t="s">
        <v>90</v>
      </c>
      <c r="AA842" s="62">
        <v>0</v>
      </c>
      <c r="AB842" s="63" t="s">
        <v>389</v>
      </c>
      <c r="AC842" s="58">
        <f>MAX(AA840:AA879)</f>
        <v>3</v>
      </c>
    </row>
    <row r="843" spans="21:102" x14ac:dyDescent="0.25">
      <c r="U843" s="5" t="s">
        <v>121</v>
      </c>
      <c r="V843">
        <v>0</v>
      </c>
      <c r="Z843" s="61" t="s">
        <v>91</v>
      </c>
      <c r="AA843" s="62">
        <v>0</v>
      </c>
      <c r="AB843" s="63" t="s">
        <v>390</v>
      </c>
      <c r="AC843" s="58">
        <f>VAR(AA840:AA879)</f>
        <v>0.31794871794871798</v>
      </c>
    </row>
    <row r="844" spans="21:102" x14ac:dyDescent="0.25">
      <c r="U844" s="5" t="s">
        <v>122</v>
      </c>
      <c r="V844">
        <v>1</v>
      </c>
      <c r="Z844" s="61" t="s">
        <v>92</v>
      </c>
      <c r="AA844" s="62">
        <v>0</v>
      </c>
      <c r="AB844" s="63" t="s">
        <v>391</v>
      </c>
      <c r="AC844" s="58">
        <f>AVERAGE(AA840:AA879)</f>
        <v>0.2</v>
      </c>
    </row>
    <row r="845" spans="21:102" x14ac:dyDescent="0.25">
      <c r="U845" s="5" t="s">
        <v>123</v>
      </c>
      <c r="V845">
        <v>0</v>
      </c>
      <c r="Z845" s="61" t="s">
        <v>93</v>
      </c>
      <c r="AA845" s="62">
        <v>0</v>
      </c>
      <c r="AB845" s="63" t="s">
        <v>392</v>
      </c>
      <c r="AC845" s="58">
        <f>STDEV(AA840:AA879)</f>
        <v>0.56386941568834714</v>
      </c>
    </row>
    <row r="846" spans="21:102" x14ac:dyDescent="0.25">
      <c r="U846" s="5" t="s">
        <v>124</v>
      </c>
      <c r="V846">
        <v>0</v>
      </c>
      <c r="Z846" s="61" t="s">
        <v>94</v>
      </c>
      <c r="AA846" s="62">
        <v>0</v>
      </c>
      <c r="AB846" s="58"/>
      <c r="AC846" s="58"/>
    </row>
    <row r="847" spans="21:102" x14ac:dyDescent="0.25">
      <c r="U847" s="5" t="s">
        <v>125</v>
      </c>
      <c r="V847">
        <v>1</v>
      </c>
      <c r="Z847" s="61" t="s">
        <v>96</v>
      </c>
      <c r="AA847" s="62">
        <v>3</v>
      </c>
    </row>
    <row r="848" spans="21:102" x14ac:dyDescent="0.25">
      <c r="U848" s="5" t="s">
        <v>126</v>
      </c>
      <c r="V848">
        <v>0</v>
      </c>
      <c r="Z848" s="61" t="s">
        <v>97</v>
      </c>
      <c r="AA848" s="62">
        <v>0</v>
      </c>
    </row>
    <row r="849" spans="21:27" x14ac:dyDescent="0.25">
      <c r="U849" s="5" t="s">
        <v>127</v>
      </c>
      <c r="V849">
        <v>0</v>
      </c>
      <c r="Z849" s="61" t="s">
        <v>98</v>
      </c>
      <c r="AA849" s="62">
        <v>1</v>
      </c>
    </row>
    <row r="850" spans="21:27" x14ac:dyDescent="0.25">
      <c r="U850" s="5" t="s">
        <v>128</v>
      </c>
      <c r="V850">
        <v>0</v>
      </c>
      <c r="Z850" s="61" t="s">
        <v>99</v>
      </c>
      <c r="AA850" s="62">
        <v>0</v>
      </c>
    </row>
    <row r="851" spans="21:27" x14ac:dyDescent="0.25">
      <c r="Z851" s="61" t="s">
        <v>100</v>
      </c>
      <c r="AA851" s="62">
        <v>1</v>
      </c>
    </row>
    <row r="852" spans="21:27" x14ac:dyDescent="0.25">
      <c r="U852" s="17" t="s">
        <v>382</v>
      </c>
      <c r="V852" s="29" t="s">
        <v>400</v>
      </c>
      <c r="W852" s="17"/>
      <c r="X852" s="17">
        <v>2016</v>
      </c>
      <c r="Z852" s="61" t="s">
        <v>101</v>
      </c>
      <c r="AA852" s="62">
        <v>0</v>
      </c>
    </row>
    <row r="853" spans="21:27" x14ac:dyDescent="0.25">
      <c r="U853" s="17" t="s">
        <v>383</v>
      </c>
      <c r="V853" s="6" t="s">
        <v>36</v>
      </c>
      <c r="W853" s="17"/>
      <c r="X853" s="17"/>
      <c r="Z853" s="61" t="s">
        <v>103</v>
      </c>
      <c r="AA853" s="62">
        <v>1</v>
      </c>
    </row>
    <row r="854" spans="21:27" x14ac:dyDescent="0.25">
      <c r="U854" s="17" t="s">
        <v>384</v>
      </c>
      <c r="V854" s="17" t="s">
        <v>39</v>
      </c>
      <c r="W854" s="17" t="s">
        <v>385</v>
      </c>
      <c r="X854" s="17" t="s">
        <v>386</v>
      </c>
      <c r="Z854" s="61" t="s">
        <v>104</v>
      </c>
      <c r="AA854" s="62">
        <v>1</v>
      </c>
    </row>
    <row r="855" spans="21:27" x14ac:dyDescent="0.25">
      <c r="U855" s="5" t="s">
        <v>96</v>
      </c>
      <c r="V855">
        <v>0</v>
      </c>
      <c r="W855" s="30" t="s">
        <v>387</v>
      </c>
      <c r="X855" s="17">
        <f>SUM(V855:V887)</f>
        <v>1</v>
      </c>
      <c r="Z855" s="61" t="s">
        <v>105</v>
      </c>
      <c r="AA855" s="62">
        <v>0</v>
      </c>
    </row>
    <row r="856" spans="21:27" x14ac:dyDescent="0.25">
      <c r="U856" s="5" t="s">
        <v>97</v>
      </c>
      <c r="V856">
        <v>0</v>
      </c>
      <c r="W856" s="30" t="s">
        <v>388</v>
      </c>
      <c r="X856" s="17">
        <f>MIN(V855:V887)</f>
        <v>0</v>
      </c>
      <c r="Z856" s="61" t="s">
        <v>106</v>
      </c>
      <c r="AA856" s="62">
        <v>0</v>
      </c>
    </row>
    <row r="857" spans="21:27" x14ac:dyDescent="0.25">
      <c r="U857" s="5" t="s">
        <v>98</v>
      </c>
      <c r="V857">
        <v>0</v>
      </c>
      <c r="W857" s="30" t="s">
        <v>389</v>
      </c>
      <c r="X857" s="17">
        <f>MAX(V855:V887)</f>
        <v>1</v>
      </c>
      <c r="Z857" s="61" t="s">
        <v>61</v>
      </c>
      <c r="AA857" s="62">
        <v>0</v>
      </c>
    </row>
    <row r="858" spans="21:27" x14ac:dyDescent="0.25">
      <c r="U858" s="5" t="s">
        <v>99</v>
      </c>
      <c r="V858">
        <v>0</v>
      </c>
      <c r="W858" s="30" t="s">
        <v>390</v>
      </c>
      <c r="X858" s="17">
        <f>VAR(V855:V887)</f>
        <v>3.0303030303030304E-2</v>
      </c>
      <c r="Z858" s="61" t="s">
        <v>107</v>
      </c>
      <c r="AA858" s="62">
        <v>0</v>
      </c>
    </row>
    <row r="859" spans="21:27" x14ac:dyDescent="0.25">
      <c r="U859" s="5" t="s">
        <v>100</v>
      </c>
      <c r="V859">
        <v>0</v>
      </c>
      <c r="W859" s="30" t="s">
        <v>391</v>
      </c>
      <c r="X859" s="17">
        <f>AVERAGE(V855:V887)</f>
        <v>3.0303030303030304E-2</v>
      </c>
      <c r="Z859" s="61" t="s">
        <v>108</v>
      </c>
      <c r="AA859" s="62">
        <v>0</v>
      </c>
    </row>
    <row r="860" spans="21:27" x14ac:dyDescent="0.25">
      <c r="U860" s="5" t="s">
        <v>101</v>
      </c>
      <c r="V860">
        <v>0</v>
      </c>
      <c r="W860" s="30" t="s">
        <v>392</v>
      </c>
      <c r="X860" s="17">
        <f>STDEV(V855:V887)</f>
        <v>0.17407765595569785</v>
      </c>
      <c r="Z860" s="61" t="s">
        <v>109</v>
      </c>
      <c r="AA860" s="62">
        <v>0</v>
      </c>
    </row>
    <row r="861" spans="21:27" x14ac:dyDescent="0.25">
      <c r="U861" s="5" t="s">
        <v>103</v>
      </c>
      <c r="V861">
        <v>0</v>
      </c>
      <c r="W861" s="17"/>
      <c r="X861" s="17"/>
      <c r="Z861" s="61" t="s">
        <v>110</v>
      </c>
      <c r="AA861" s="62">
        <v>0</v>
      </c>
    </row>
    <row r="862" spans="21:27" x14ac:dyDescent="0.25">
      <c r="U862" s="5" t="s">
        <v>104</v>
      </c>
      <c r="V862">
        <v>0</v>
      </c>
      <c r="W862" s="17"/>
      <c r="X862" s="17"/>
      <c r="Z862" s="61" t="s">
        <v>111</v>
      </c>
      <c r="AA862" s="62">
        <v>1</v>
      </c>
    </row>
    <row r="863" spans="21:27" x14ac:dyDescent="0.25">
      <c r="U863" s="5" t="s">
        <v>105</v>
      </c>
      <c r="V863">
        <v>0</v>
      </c>
      <c r="W863" s="17"/>
      <c r="X863" s="17"/>
      <c r="Z863" s="61" t="s">
        <v>112</v>
      </c>
      <c r="AA863" s="62">
        <v>0</v>
      </c>
    </row>
    <row r="864" spans="21:27" x14ac:dyDescent="0.25">
      <c r="U864" s="5" t="s">
        <v>106</v>
      </c>
      <c r="V864">
        <v>0</v>
      </c>
      <c r="W864" s="17"/>
      <c r="X864" s="17"/>
      <c r="Z864" s="61" t="s">
        <v>113</v>
      </c>
      <c r="AA864" s="62">
        <v>0</v>
      </c>
    </row>
    <row r="865" spans="21:27" x14ac:dyDescent="0.25">
      <c r="U865" s="5" t="s">
        <v>61</v>
      </c>
      <c r="V865">
        <v>0</v>
      </c>
      <c r="W865" s="17"/>
      <c r="X865" s="17"/>
      <c r="Z865" s="64" t="s">
        <v>114</v>
      </c>
      <c r="AA865" s="62">
        <v>0</v>
      </c>
    </row>
    <row r="866" spans="21:27" x14ac:dyDescent="0.25">
      <c r="U866" s="5" t="s">
        <v>107</v>
      </c>
      <c r="V866">
        <v>0</v>
      </c>
      <c r="W866" s="17"/>
      <c r="X866" s="17"/>
      <c r="Z866" s="64" t="s">
        <v>115</v>
      </c>
      <c r="AA866" s="62">
        <v>0</v>
      </c>
    </row>
    <row r="867" spans="21:27" x14ac:dyDescent="0.25">
      <c r="U867" s="5" t="s">
        <v>108</v>
      </c>
      <c r="V867">
        <v>1</v>
      </c>
      <c r="W867" s="17"/>
      <c r="X867" s="17"/>
      <c r="Z867" s="64" t="s">
        <v>116</v>
      </c>
      <c r="AA867" s="62">
        <v>0</v>
      </c>
    </row>
    <row r="868" spans="21:27" x14ac:dyDescent="0.25">
      <c r="U868" s="5" t="s">
        <v>109</v>
      </c>
      <c r="V868">
        <v>0</v>
      </c>
      <c r="W868" s="17"/>
      <c r="X868" s="17"/>
      <c r="Z868" s="64" t="s">
        <v>117</v>
      </c>
      <c r="AA868" s="62">
        <v>0</v>
      </c>
    </row>
    <row r="869" spans="21:27" x14ac:dyDescent="0.25">
      <c r="U869" s="5" t="s">
        <v>110</v>
      </c>
      <c r="V869">
        <v>0</v>
      </c>
      <c r="W869" s="17"/>
      <c r="X869" s="17"/>
      <c r="Z869" s="64" t="s">
        <v>118</v>
      </c>
      <c r="AA869" s="62">
        <v>0</v>
      </c>
    </row>
    <row r="870" spans="21:27" x14ac:dyDescent="0.25">
      <c r="U870" s="5" t="s">
        <v>111</v>
      </c>
      <c r="V870">
        <v>0</v>
      </c>
      <c r="W870" s="17"/>
      <c r="X870" s="17"/>
      <c r="Z870" s="64" t="s">
        <v>119</v>
      </c>
      <c r="AA870" s="62">
        <v>0</v>
      </c>
    </row>
    <row r="871" spans="21:27" x14ac:dyDescent="0.25">
      <c r="U871" s="5" t="s">
        <v>112</v>
      </c>
      <c r="V871">
        <v>0</v>
      </c>
      <c r="W871" s="17"/>
      <c r="X871" s="17"/>
      <c r="Z871" s="61" t="s">
        <v>120</v>
      </c>
      <c r="AA871" s="62">
        <v>0</v>
      </c>
    </row>
    <row r="872" spans="21:27" x14ac:dyDescent="0.25">
      <c r="U872" s="5" t="s">
        <v>113</v>
      </c>
      <c r="V872">
        <v>0</v>
      </c>
      <c r="W872" s="15"/>
      <c r="X872" s="15"/>
      <c r="Z872" s="61" t="s">
        <v>121</v>
      </c>
      <c r="AA872" s="62">
        <v>0</v>
      </c>
    </row>
    <row r="873" spans="21:27" x14ac:dyDescent="0.25">
      <c r="U873" s="26" t="s">
        <v>114</v>
      </c>
      <c r="V873">
        <v>0</v>
      </c>
      <c r="W873" s="17"/>
      <c r="X873" s="17"/>
      <c r="Z873" s="61" t="s">
        <v>122</v>
      </c>
      <c r="AA873" s="62">
        <v>0</v>
      </c>
    </row>
    <row r="874" spans="21:27" x14ac:dyDescent="0.25">
      <c r="U874" s="26" t="s">
        <v>115</v>
      </c>
      <c r="V874">
        <v>0</v>
      </c>
      <c r="W874" s="17"/>
      <c r="X874" s="17"/>
      <c r="Z874" s="61" t="s">
        <v>123</v>
      </c>
      <c r="AA874" s="62">
        <v>0</v>
      </c>
    </row>
    <row r="875" spans="21:27" x14ac:dyDescent="0.25">
      <c r="U875" s="26" t="s">
        <v>116</v>
      </c>
      <c r="V875">
        <v>0</v>
      </c>
      <c r="W875" s="17"/>
      <c r="X875" s="1"/>
      <c r="Z875" s="61" t="s">
        <v>124</v>
      </c>
      <c r="AA875" s="62">
        <v>0</v>
      </c>
    </row>
    <row r="876" spans="21:27" x14ac:dyDescent="0.25">
      <c r="U876" s="26" t="s">
        <v>117</v>
      </c>
      <c r="V876">
        <v>0</v>
      </c>
      <c r="W876" s="17"/>
      <c r="X876" s="1"/>
      <c r="Z876" s="61" t="s">
        <v>125</v>
      </c>
      <c r="AA876" s="62">
        <v>0</v>
      </c>
    </row>
    <row r="877" spans="21:27" x14ac:dyDescent="0.25">
      <c r="U877" s="26" t="s">
        <v>118</v>
      </c>
      <c r="V877">
        <v>0</v>
      </c>
      <c r="W877" s="17"/>
      <c r="X877" s="1"/>
      <c r="Z877" s="61" t="s">
        <v>126</v>
      </c>
      <c r="AA877" s="62">
        <v>0</v>
      </c>
    </row>
    <row r="878" spans="21:27" x14ac:dyDescent="0.25">
      <c r="U878" s="26" t="s">
        <v>119</v>
      </c>
      <c r="V878">
        <v>0</v>
      </c>
      <c r="Z878" s="61" t="s">
        <v>127</v>
      </c>
      <c r="AA878" s="62">
        <v>0</v>
      </c>
    </row>
    <row r="879" spans="21:27" x14ac:dyDescent="0.25">
      <c r="U879" s="5" t="s">
        <v>120</v>
      </c>
      <c r="V879">
        <v>0</v>
      </c>
      <c r="Z879" s="61" t="s">
        <v>128</v>
      </c>
      <c r="AA879" s="62">
        <v>0</v>
      </c>
    </row>
    <row r="880" spans="21:27" x14ac:dyDescent="0.25">
      <c r="U880" s="5" t="s">
        <v>121</v>
      </c>
      <c r="V880">
        <v>0</v>
      </c>
    </row>
    <row r="881" spans="21:29" x14ac:dyDescent="0.25">
      <c r="U881" s="5" t="s">
        <v>122</v>
      </c>
      <c r="V881">
        <v>0</v>
      </c>
      <c r="Z881" s="58" t="s">
        <v>382</v>
      </c>
      <c r="AA881" s="59" t="s">
        <v>627</v>
      </c>
      <c r="AB881" s="58"/>
      <c r="AC881" s="58">
        <v>2016</v>
      </c>
    </row>
    <row r="882" spans="21:29" x14ac:dyDescent="0.25">
      <c r="U882" s="5" t="s">
        <v>123</v>
      </c>
      <c r="V882">
        <v>0</v>
      </c>
      <c r="Z882" s="58" t="s">
        <v>383</v>
      </c>
      <c r="AA882" s="60" t="s">
        <v>30</v>
      </c>
      <c r="AB882" s="58"/>
      <c r="AC882" s="58"/>
    </row>
    <row r="883" spans="21:29" x14ac:dyDescent="0.25">
      <c r="U883" s="5" t="s">
        <v>124</v>
      </c>
      <c r="V883">
        <v>0</v>
      </c>
      <c r="Z883" s="58" t="s">
        <v>384</v>
      </c>
      <c r="AA883" s="58" t="s">
        <v>39</v>
      </c>
      <c r="AB883" s="58" t="s">
        <v>385</v>
      </c>
      <c r="AC883" s="58" t="s">
        <v>386</v>
      </c>
    </row>
    <row r="884" spans="21:29" x14ac:dyDescent="0.25">
      <c r="U884" s="5" t="s">
        <v>125</v>
      </c>
      <c r="V884">
        <v>0</v>
      </c>
      <c r="Z884" s="61" t="s">
        <v>88</v>
      </c>
      <c r="AA884" s="62">
        <v>0</v>
      </c>
      <c r="AB884" s="63" t="s">
        <v>387</v>
      </c>
      <c r="AC884" s="58">
        <f>SUM(AA884:AA923)</f>
        <v>5</v>
      </c>
    </row>
    <row r="885" spans="21:29" x14ac:dyDescent="0.25">
      <c r="U885" s="5" t="s">
        <v>126</v>
      </c>
      <c r="V885">
        <v>0</v>
      </c>
      <c r="Z885" s="61" t="s">
        <v>89</v>
      </c>
      <c r="AA885" s="62">
        <v>0</v>
      </c>
      <c r="AB885" s="63" t="s">
        <v>388</v>
      </c>
      <c r="AC885" s="58">
        <f>MIN(AA884:AA923)</f>
        <v>0</v>
      </c>
    </row>
    <row r="886" spans="21:29" x14ac:dyDescent="0.25">
      <c r="U886" s="5" t="s">
        <v>127</v>
      </c>
      <c r="V886">
        <v>0</v>
      </c>
      <c r="Z886" s="61" t="s">
        <v>90</v>
      </c>
      <c r="AA886" s="62">
        <v>0</v>
      </c>
      <c r="AB886" s="63" t="s">
        <v>389</v>
      </c>
      <c r="AC886" s="58">
        <f>MAX(AA884:AA923)</f>
        <v>1</v>
      </c>
    </row>
    <row r="887" spans="21:29" x14ac:dyDescent="0.25">
      <c r="U887" s="5" t="s">
        <v>128</v>
      </c>
      <c r="V887">
        <v>0</v>
      </c>
      <c r="Z887" s="61" t="s">
        <v>91</v>
      </c>
      <c r="AA887" s="62">
        <v>0</v>
      </c>
      <c r="AB887" s="63" t="s">
        <v>390</v>
      </c>
      <c r="AC887" s="58">
        <f>VAR(AA884:AA923)</f>
        <v>0.11217948717948718</v>
      </c>
    </row>
    <row r="888" spans="21:29" x14ac:dyDescent="0.25">
      <c r="Z888" s="61" t="s">
        <v>92</v>
      </c>
      <c r="AA888" s="62">
        <v>1</v>
      </c>
      <c r="AB888" s="63" t="s">
        <v>391</v>
      </c>
      <c r="AC888" s="58">
        <f>AVERAGE(AA884:AA923)</f>
        <v>0.125</v>
      </c>
    </row>
    <row r="889" spans="21:29" x14ac:dyDescent="0.25">
      <c r="U889" s="17" t="s">
        <v>382</v>
      </c>
      <c r="V889" s="29" t="s">
        <v>400</v>
      </c>
      <c r="W889" s="17"/>
      <c r="X889" s="17">
        <v>2016</v>
      </c>
      <c r="Z889" s="61" t="s">
        <v>93</v>
      </c>
      <c r="AA889" s="62">
        <v>0</v>
      </c>
      <c r="AB889" s="63" t="s">
        <v>392</v>
      </c>
      <c r="AC889" s="58">
        <f>STDEV(AA884:AA923)</f>
        <v>0.33493206352854182</v>
      </c>
    </row>
    <row r="890" spans="21:29" x14ac:dyDescent="0.25">
      <c r="U890" s="17" t="s">
        <v>383</v>
      </c>
      <c r="V890" s="6" t="s">
        <v>37</v>
      </c>
      <c r="W890" s="17"/>
      <c r="X890" s="17"/>
      <c r="Z890" s="61" t="s">
        <v>94</v>
      </c>
      <c r="AA890" s="62">
        <v>0</v>
      </c>
      <c r="AB890" s="58"/>
      <c r="AC890" s="58"/>
    </row>
    <row r="891" spans="21:29" x14ac:dyDescent="0.25">
      <c r="U891" s="17" t="s">
        <v>384</v>
      </c>
      <c r="V891" s="17" t="s">
        <v>39</v>
      </c>
      <c r="W891" s="17" t="s">
        <v>385</v>
      </c>
      <c r="X891" s="17" t="s">
        <v>386</v>
      </c>
      <c r="Z891" s="61" t="s">
        <v>96</v>
      </c>
      <c r="AA891" s="62">
        <v>1</v>
      </c>
    </row>
    <row r="892" spans="21:29" x14ac:dyDescent="0.25">
      <c r="U892" s="5" t="s">
        <v>96</v>
      </c>
      <c r="V892">
        <v>18</v>
      </c>
      <c r="W892" s="30" t="s">
        <v>387</v>
      </c>
      <c r="X892" s="17">
        <f>SUM(V892:V924)</f>
        <v>243</v>
      </c>
      <c r="Z892" s="61" t="s">
        <v>97</v>
      </c>
      <c r="AA892" s="62">
        <v>0</v>
      </c>
    </row>
    <row r="893" spans="21:29" x14ac:dyDescent="0.25">
      <c r="U893" s="5" t="s">
        <v>97</v>
      </c>
      <c r="V893">
        <v>12</v>
      </c>
      <c r="W893" s="30" t="s">
        <v>388</v>
      </c>
      <c r="X893" s="17">
        <f>MIN(V892:V924)</f>
        <v>1</v>
      </c>
      <c r="Z893" s="61" t="s">
        <v>98</v>
      </c>
      <c r="AA893" s="62">
        <v>0</v>
      </c>
    </row>
    <row r="894" spans="21:29" x14ac:dyDescent="0.25">
      <c r="U894" s="5" t="s">
        <v>98</v>
      </c>
      <c r="V894">
        <v>11</v>
      </c>
      <c r="W894" s="30" t="s">
        <v>389</v>
      </c>
      <c r="X894" s="17">
        <f>MAX(V892:V924)</f>
        <v>18</v>
      </c>
      <c r="Z894" s="61" t="s">
        <v>99</v>
      </c>
      <c r="AA894" s="62">
        <v>0</v>
      </c>
    </row>
    <row r="895" spans="21:29" x14ac:dyDescent="0.25">
      <c r="U895" s="5" t="s">
        <v>99</v>
      </c>
      <c r="V895">
        <v>9</v>
      </c>
      <c r="W895" s="30" t="s">
        <v>390</v>
      </c>
      <c r="X895" s="17">
        <f>VAR(V892:V924)</f>
        <v>23.801136363636367</v>
      </c>
      <c r="Z895" s="61" t="s">
        <v>100</v>
      </c>
      <c r="AA895" s="62">
        <v>0</v>
      </c>
    </row>
    <row r="896" spans="21:29" x14ac:dyDescent="0.25">
      <c r="U896" s="5" t="s">
        <v>100</v>
      </c>
      <c r="V896">
        <v>2</v>
      </c>
      <c r="W896" s="30" t="s">
        <v>391</v>
      </c>
      <c r="X896" s="17">
        <f>AVERAGE(V892:V924)</f>
        <v>7.3636363636363633</v>
      </c>
      <c r="Z896" s="61" t="s">
        <v>101</v>
      </c>
      <c r="AA896" s="62">
        <v>0</v>
      </c>
    </row>
    <row r="897" spans="21:27" x14ac:dyDescent="0.25">
      <c r="U897" s="5" t="s">
        <v>101</v>
      </c>
      <c r="V897">
        <v>8</v>
      </c>
      <c r="W897" s="30" t="s">
        <v>392</v>
      </c>
      <c r="X897" s="17">
        <f>STDEV(V892:V924)</f>
        <v>4.8786408315878687</v>
      </c>
      <c r="Z897" s="61" t="s">
        <v>103</v>
      </c>
      <c r="AA897" s="62">
        <v>0</v>
      </c>
    </row>
    <row r="898" spans="21:27" x14ac:dyDescent="0.25">
      <c r="U898" s="5" t="s">
        <v>103</v>
      </c>
      <c r="V898">
        <v>15</v>
      </c>
      <c r="W898" s="17"/>
      <c r="X898" s="17"/>
      <c r="Z898" s="61" t="s">
        <v>104</v>
      </c>
      <c r="AA898" s="62">
        <v>0</v>
      </c>
    </row>
    <row r="899" spans="21:27" x14ac:dyDescent="0.25">
      <c r="U899" s="5" t="s">
        <v>104</v>
      </c>
      <c r="V899">
        <v>10</v>
      </c>
      <c r="W899" s="17"/>
      <c r="X899" s="17"/>
      <c r="Z899" s="61" t="s">
        <v>105</v>
      </c>
      <c r="AA899" s="62">
        <v>0</v>
      </c>
    </row>
    <row r="900" spans="21:27" x14ac:dyDescent="0.25">
      <c r="U900" s="5" t="s">
        <v>105</v>
      </c>
      <c r="V900">
        <v>1</v>
      </c>
      <c r="W900" s="17"/>
      <c r="X900" s="17"/>
      <c r="Z900" s="61" t="s">
        <v>106</v>
      </c>
      <c r="AA900" s="62">
        <v>1</v>
      </c>
    </row>
    <row r="901" spans="21:27" x14ac:dyDescent="0.25">
      <c r="U901" s="5" t="s">
        <v>106</v>
      </c>
      <c r="V901">
        <v>18</v>
      </c>
      <c r="W901" s="17"/>
      <c r="X901" s="17"/>
      <c r="Z901" s="61" t="s">
        <v>61</v>
      </c>
      <c r="AA901" s="62">
        <v>0</v>
      </c>
    </row>
    <row r="902" spans="21:27" x14ac:dyDescent="0.25">
      <c r="U902" s="5" t="s">
        <v>61</v>
      </c>
      <c r="V902">
        <v>3</v>
      </c>
      <c r="W902" s="17"/>
      <c r="X902" s="17"/>
      <c r="Z902" s="61" t="s">
        <v>107</v>
      </c>
      <c r="AA902" s="62">
        <v>0</v>
      </c>
    </row>
    <row r="903" spans="21:27" x14ac:dyDescent="0.25">
      <c r="U903" s="5" t="s">
        <v>107</v>
      </c>
      <c r="V903">
        <v>15</v>
      </c>
      <c r="W903" s="17"/>
      <c r="X903" s="17"/>
      <c r="Z903" s="61" t="s">
        <v>108</v>
      </c>
      <c r="AA903" s="62">
        <v>0</v>
      </c>
    </row>
    <row r="904" spans="21:27" x14ac:dyDescent="0.25">
      <c r="U904" s="5" t="s">
        <v>108</v>
      </c>
      <c r="V904">
        <v>7</v>
      </c>
      <c r="W904" s="17"/>
      <c r="X904" s="17"/>
      <c r="Z904" s="61" t="s">
        <v>109</v>
      </c>
      <c r="AA904" s="62">
        <v>0</v>
      </c>
    </row>
    <row r="905" spans="21:27" x14ac:dyDescent="0.25">
      <c r="U905" s="5" t="s">
        <v>109</v>
      </c>
      <c r="V905">
        <v>8</v>
      </c>
      <c r="W905" s="17"/>
      <c r="X905" s="17"/>
      <c r="Z905" s="61" t="s">
        <v>110</v>
      </c>
      <c r="AA905" s="62">
        <v>0</v>
      </c>
    </row>
    <row r="906" spans="21:27" x14ac:dyDescent="0.25">
      <c r="U906" s="5" t="s">
        <v>110</v>
      </c>
      <c r="V906">
        <v>12</v>
      </c>
      <c r="W906" s="17"/>
      <c r="X906" s="17"/>
      <c r="Z906" s="61" t="s">
        <v>111</v>
      </c>
      <c r="AA906" s="62">
        <v>0</v>
      </c>
    </row>
    <row r="907" spans="21:27" x14ac:dyDescent="0.25">
      <c r="U907" s="5" t="s">
        <v>111</v>
      </c>
      <c r="V907">
        <v>3</v>
      </c>
      <c r="W907" s="17"/>
      <c r="X907" s="17"/>
      <c r="Z907" s="61" t="s">
        <v>112</v>
      </c>
      <c r="AA907" s="62">
        <v>0</v>
      </c>
    </row>
    <row r="908" spans="21:27" x14ac:dyDescent="0.25">
      <c r="U908" s="5" t="s">
        <v>112</v>
      </c>
      <c r="V908">
        <v>2</v>
      </c>
      <c r="W908" s="17"/>
      <c r="X908" s="17"/>
      <c r="Z908" s="61" t="s">
        <v>113</v>
      </c>
      <c r="AA908" s="62">
        <v>0</v>
      </c>
    </row>
    <row r="909" spans="21:27" x14ac:dyDescent="0.25">
      <c r="U909" s="5" t="s">
        <v>113</v>
      </c>
      <c r="V909">
        <v>1</v>
      </c>
      <c r="W909" s="15"/>
      <c r="X909" s="15"/>
      <c r="Z909" s="64" t="s">
        <v>114</v>
      </c>
      <c r="AA909" s="62">
        <v>0</v>
      </c>
    </row>
    <row r="910" spans="21:27" x14ac:dyDescent="0.25">
      <c r="U910" s="26" t="s">
        <v>114</v>
      </c>
      <c r="V910">
        <v>4</v>
      </c>
      <c r="W910" s="17"/>
      <c r="X910" s="17"/>
      <c r="Z910" s="64" t="s">
        <v>115</v>
      </c>
      <c r="AA910" s="62">
        <v>0</v>
      </c>
    </row>
    <row r="911" spans="21:27" x14ac:dyDescent="0.25">
      <c r="U911" s="26" t="s">
        <v>115</v>
      </c>
      <c r="V911">
        <v>9</v>
      </c>
      <c r="W911" s="17"/>
      <c r="X911" s="17"/>
      <c r="Z911" s="64" t="s">
        <v>116</v>
      </c>
      <c r="AA911" s="62">
        <v>0</v>
      </c>
    </row>
    <row r="912" spans="21:27" x14ac:dyDescent="0.25">
      <c r="U912" s="26" t="s">
        <v>116</v>
      </c>
      <c r="V912">
        <v>7</v>
      </c>
      <c r="W912" s="17"/>
      <c r="X912" s="1"/>
      <c r="Z912" s="64" t="s">
        <v>117</v>
      </c>
      <c r="AA912" s="62">
        <v>1</v>
      </c>
    </row>
    <row r="913" spans="21:29" x14ac:dyDescent="0.25">
      <c r="U913" s="26" t="s">
        <v>117</v>
      </c>
      <c r="V913">
        <v>4</v>
      </c>
      <c r="W913" s="17"/>
      <c r="X913" s="1"/>
      <c r="Z913" s="64" t="s">
        <v>118</v>
      </c>
      <c r="AA913" s="62">
        <v>1</v>
      </c>
    </row>
    <row r="914" spans="21:29" x14ac:dyDescent="0.25">
      <c r="U914" s="26" t="s">
        <v>118</v>
      </c>
      <c r="V914">
        <v>1</v>
      </c>
      <c r="W914" s="17"/>
      <c r="X914" s="1"/>
      <c r="Z914" s="64" t="s">
        <v>119</v>
      </c>
      <c r="AA914" s="62">
        <v>0</v>
      </c>
    </row>
    <row r="915" spans="21:29" x14ac:dyDescent="0.25">
      <c r="U915" s="26" t="s">
        <v>119</v>
      </c>
      <c r="V915">
        <v>2</v>
      </c>
      <c r="Z915" s="61" t="s">
        <v>120</v>
      </c>
      <c r="AA915" s="62">
        <v>0</v>
      </c>
    </row>
    <row r="916" spans="21:29" x14ac:dyDescent="0.25">
      <c r="U916" s="5" t="s">
        <v>120</v>
      </c>
      <c r="V916">
        <v>10</v>
      </c>
      <c r="Z916" s="61" t="s">
        <v>121</v>
      </c>
      <c r="AA916" s="62">
        <v>0</v>
      </c>
    </row>
    <row r="917" spans="21:29" x14ac:dyDescent="0.25">
      <c r="U917" s="5" t="s">
        <v>121</v>
      </c>
      <c r="V917">
        <v>8</v>
      </c>
      <c r="Z917" s="61" t="s">
        <v>122</v>
      </c>
      <c r="AA917" s="62">
        <v>0</v>
      </c>
    </row>
    <row r="918" spans="21:29" x14ac:dyDescent="0.25">
      <c r="U918" s="5" t="s">
        <v>122</v>
      </c>
      <c r="V918">
        <v>2</v>
      </c>
      <c r="Z918" s="61" t="s">
        <v>123</v>
      </c>
      <c r="AA918" s="62">
        <v>0</v>
      </c>
    </row>
    <row r="919" spans="21:29" x14ac:dyDescent="0.25">
      <c r="U919" s="5" t="s">
        <v>123</v>
      </c>
      <c r="V919">
        <v>9</v>
      </c>
      <c r="Z919" s="61" t="s">
        <v>124</v>
      </c>
      <c r="AA919" s="62">
        <v>0</v>
      </c>
    </row>
    <row r="920" spans="21:29" x14ac:dyDescent="0.25">
      <c r="U920" s="5" t="s">
        <v>124</v>
      </c>
      <c r="V920">
        <v>8</v>
      </c>
      <c r="Z920" s="61" t="s">
        <v>125</v>
      </c>
      <c r="AA920" s="62">
        <v>0</v>
      </c>
    </row>
    <row r="921" spans="21:29" x14ac:dyDescent="0.25">
      <c r="U921" s="5" t="s">
        <v>125</v>
      </c>
      <c r="V921">
        <v>7</v>
      </c>
      <c r="Z921" s="61" t="s">
        <v>126</v>
      </c>
      <c r="AA921" s="62">
        <v>0</v>
      </c>
    </row>
    <row r="922" spans="21:29" x14ac:dyDescent="0.25">
      <c r="U922" s="5" t="s">
        <v>126</v>
      </c>
      <c r="V922">
        <v>8</v>
      </c>
      <c r="Z922" s="61" t="s">
        <v>127</v>
      </c>
      <c r="AA922" s="62">
        <v>0</v>
      </c>
    </row>
    <row r="923" spans="21:29" x14ac:dyDescent="0.25">
      <c r="U923" s="5" t="s">
        <v>127</v>
      </c>
      <c r="V923">
        <v>8</v>
      </c>
      <c r="Z923" s="61" t="s">
        <v>128</v>
      </c>
      <c r="AA923" s="62">
        <v>0</v>
      </c>
    </row>
    <row r="924" spans="21:29" x14ac:dyDescent="0.25">
      <c r="U924" s="5" t="s">
        <v>128</v>
      </c>
      <c r="V924">
        <v>1</v>
      </c>
    </row>
    <row r="925" spans="21:29" x14ac:dyDescent="0.25">
      <c r="Z925" s="58" t="s">
        <v>382</v>
      </c>
      <c r="AA925" s="59" t="s">
        <v>627</v>
      </c>
      <c r="AB925" s="58"/>
      <c r="AC925" s="58">
        <v>2016</v>
      </c>
    </row>
    <row r="926" spans="21:29" x14ac:dyDescent="0.25">
      <c r="Z926" s="58" t="s">
        <v>383</v>
      </c>
      <c r="AA926" s="60" t="s">
        <v>32</v>
      </c>
      <c r="AB926" s="58"/>
      <c r="AC926" s="58"/>
    </row>
    <row r="927" spans="21:29" x14ac:dyDescent="0.25">
      <c r="Z927" s="58" t="s">
        <v>384</v>
      </c>
      <c r="AA927" s="58" t="s">
        <v>39</v>
      </c>
      <c r="AB927" s="58" t="s">
        <v>385</v>
      </c>
      <c r="AC927" s="58" t="s">
        <v>386</v>
      </c>
    </row>
    <row r="928" spans="21:29" x14ac:dyDescent="0.25">
      <c r="Z928" s="61" t="s">
        <v>88</v>
      </c>
      <c r="AA928" s="62">
        <v>8</v>
      </c>
      <c r="AB928" s="63" t="s">
        <v>387</v>
      </c>
      <c r="AC928" s="58">
        <f>SUM(AA928:AA967)</f>
        <v>931</v>
      </c>
    </row>
    <row r="929" spans="26:29" x14ac:dyDescent="0.25">
      <c r="Z929" s="61" t="s">
        <v>89</v>
      </c>
      <c r="AA929" s="62">
        <v>11</v>
      </c>
      <c r="AB929" s="63" t="s">
        <v>388</v>
      </c>
      <c r="AC929" s="58">
        <f>MIN(AA928:AA967)</f>
        <v>4</v>
      </c>
    </row>
    <row r="930" spans="26:29" x14ac:dyDescent="0.25">
      <c r="Z930" s="61" t="s">
        <v>90</v>
      </c>
      <c r="AA930" s="62">
        <v>7</v>
      </c>
      <c r="AB930" s="63" t="s">
        <v>389</v>
      </c>
      <c r="AC930" s="58">
        <f>MAX(AA928:AA967)</f>
        <v>61</v>
      </c>
    </row>
    <row r="931" spans="26:29" x14ac:dyDescent="0.25">
      <c r="Z931" s="61" t="s">
        <v>91</v>
      </c>
      <c r="AA931" s="62">
        <v>28</v>
      </c>
      <c r="AB931" s="63" t="s">
        <v>390</v>
      </c>
      <c r="AC931" s="58">
        <f>VAR(AA928:AA967)</f>
        <v>244.5634615384615</v>
      </c>
    </row>
    <row r="932" spans="26:29" x14ac:dyDescent="0.25">
      <c r="Z932" s="61" t="s">
        <v>92</v>
      </c>
      <c r="AA932" s="62">
        <v>22</v>
      </c>
      <c r="AB932" s="63" t="s">
        <v>391</v>
      </c>
      <c r="AC932" s="58">
        <f>AVERAGE(AA928:AA967)</f>
        <v>23.274999999999999</v>
      </c>
    </row>
    <row r="933" spans="26:29" x14ac:dyDescent="0.25">
      <c r="Z933" s="61" t="s">
        <v>93</v>
      </c>
      <c r="AA933" s="62">
        <v>27</v>
      </c>
      <c r="AB933" s="63" t="s">
        <v>392</v>
      </c>
      <c r="AC933" s="58">
        <f>STDEV(AA928:AA967)</f>
        <v>15.638524915683751</v>
      </c>
    </row>
    <row r="934" spans="26:29" x14ac:dyDescent="0.25">
      <c r="Z934" s="61" t="s">
        <v>94</v>
      </c>
      <c r="AA934" s="62">
        <v>10</v>
      </c>
      <c r="AB934" s="58"/>
      <c r="AC934" s="58"/>
    </row>
    <row r="935" spans="26:29" x14ac:dyDescent="0.25">
      <c r="Z935" s="61" t="s">
        <v>96</v>
      </c>
      <c r="AA935" s="62">
        <v>61</v>
      </c>
    </row>
    <row r="936" spans="26:29" x14ac:dyDescent="0.25">
      <c r="Z936" s="61" t="s">
        <v>97</v>
      </c>
      <c r="AA936" s="62">
        <v>50</v>
      </c>
    </row>
    <row r="937" spans="26:29" x14ac:dyDescent="0.25">
      <c r="Z937" s="61" t="s">
        <v>98</v>
      </c>
      <c r="AA937" s="62">
        <v>52</v>
      </c>
    </row>
    <row r="938" spans="26:29" x14ac:dyDescent="0.25">
      <c r="Z938" s="61" t="s">
        <v>99</v>
      </c>
      <c r="AA938" s="62">
        <v>60</v>
      </c>
    </row>
    <row r="939" spans="26:29" x14ac:dyDescent="0.25">
      <c r="Z939" s="61" t="s">
        <v>100</v>
      </c>
      <c r="AA939" s="62">
        <v>36</v>
      </c>
    </row>
    <row r="940" spans="26:29" x14ac:dyDescent="0.25">
      <c r="Z940" s="61" t="s">
        <v>101</v>
      </c>
      <c r="AA940" s="62">
        <v>29</v>
      </c>
    </row>
    <row r="941" spans="26:29" x14ac:dyDescent="0.25">
      <c r="Z941" s="61" t="s">
        <v>103</v>
      </c>
      <c r="AA941" s="62">
        <v>38</v>
      </c>
    </row>
    <row r="942" spans="26:29" x14ac:dyDescent="0.25">
      <c r="Z942" s="61" t="s">
        <v>104</v>
      </c>
      <c r="AA942" s="62">
        <v>42</v>
      </c>
    </row>
    <row r="943" spans="26:29" x14ac:dyDescent="0.25">
      <c r="Z943" s="61" t="s">
        <v>105</v>
      </c>
      <c r="AA943" s="62">
        <v>8</v>
      </c>
    </row>
    <row r="944" spans="26:29" x14ac:dyDescent="0.25">
      <c r="Z944" s="61" t="s">
        <v>106</v>
      </c>
      <c r="AA944" s="62">
        <v>42</v>
      </c>
    </row>
    <row r="945" spans="26:27" x14ac:dyDescent="0.25">
      <c r="Z945" s="61" t="s">
        <v>61</v>
      </c>
      <c r="AA945" s="62">
        <v>13</v>
      </c>
    </row>
    <row r="946" spans="26:27" x14ac:dyDescent="0.25">
      <c r="Z946" s="61" t="s">
        <v>107</v>
      </c>
      <c r="AA946" s="62">
        <v>31</v>
      </c>
    </row>
    <row r="947" spans="26:27" x14ac:dyDescent="0.25">
      <c r="Z947" s="61" t="s">
        <v>108</v>
      </c>
      <c r="AA947" s="62">
        <v>37</v>
      </c>
    </row>
    <row r="948" spans="26:27" x14ac:dyDescent="0.25">
      <c r="Z948" s="61" t="s">
        <v>109</v>
      </c>
      <c r="AA948" s="62">
        <v>10</v>
      </c>
    </row>
    <row r="949" spans="26:27" x14ac:dyDescent="0.25">
      <c r="Z949" s="61" t="s">
        <v>110</v>
      </c>
      <c r="AA949" s="62">
        <v>26</v>
      </c>
    </row>
    <row r="950" spans="26:27" x14ac:dyDescent="0.25">
      <c r="Z950" s="61" t="s">
        <v>111</v>
      </c>
      <c r="AA950" s="62">
        <v>27</v>
      </c>
    </row>
    <row r="951" spans="26:27" x14ac:dyDescent="0.25">
      <c r="Z951" s="61" t="s">
        <v>112</v>
      </c>
      <c r="AA951" s="62">
        <v>16</v>
      </c>
    </row>
    <row r="952" spans="26:27" x14ac:dyDescent="0.25">
      <c r="Z952" s="61" t="s">
        <v>113</v>
      </c>
      <c r="AA952" s="62">
        <v>5</v>
      </c>
    </row>
    <row r="953" spans="26:27" x14ac:dyDescent="0.25">
      <c r="Z953" s="64" t="s">
        <v>114</v>
      </c>
      <c r="AA953" s="62">
        <v>13</v>
      </c>
    </row>
    <row r="954" spans="26:27" x14ac:dyDescent="0.25">
      <c r="Z954" s="64" t="s">
        <v>115</v>
      </c>
      <c r="AA954" s="62">
        <v>27</v>
      </c>
    </row>
    <row r="955" spans="26:27" x14ac:dyDescent="0.25">
      <c r="Z955" s="64" t="s">
        <v>116</v>
      </c>
      <c r="AA955" s="62">
        <v>36</v>
      </c>
    </row>
    <row r="956" spans="26:27" x14ac:dyDescent="0.25">
      <c r="Z956" s="64" t="s">
        <v>117</v>
      </c>
      <c r="AA956" s="62">
        <v>11</v>
      </c>
    </row>
    <row r="957" spans="26:27" x14ac:dyDescent="0.25">
      <c r="Z957" s="64" t="s">
        <v>118</v>
      </c>
      <c r="AA957" s="62">
        <v>12</v>
      </c>
    </row>
    <row r="958" spans="26:27" x14ac:dyDescent="0.25">
      <c r="Z958" s="64" t="s">
        <v>119</v>
      </c>
      <c r="AA958" s="62">
        <v>4</v>
      </c>
    </row>
    <row r="959" spans="26:27" x14ac:dyDescent="0.25">
      <c r="Z959" s="61" t="s">
        <v>120</v>
      </c>
      <c r="AA959" s="62">
        <v>28</v>
      </c>
    </row>
    <row r="960" spans="26:27" x14ac:dyDescent="0.25">
      <c r="Z960" s="61" t="s">
        <v>121</v>
      </c>
      <c r="AA960" s="62">
        <v>10</v>
      </c>
    </row>
    <row r="961" spans="26:29" x14ac:dyDescent="0.25">
      <c r="Z961" s="61" t="s">
        <v>122</v>
      </c>
      <c r="AA961" s="62">
        <v>12</v>
      </c>
    </row>
    <row r="962" spans="26:29" x14ac:dyDescent="0.25">
      <c r="Z962" s="61" t="s">
        <v>123</v>
      </c>
      <c r="AA962" s="62">
        <v>12</v>
      </c>
    </row>
    <row r="963" spans="26:29" x14ac:dyDescent="0.25">
      <c r="Z963" s="61" t="s">
        <v>124</v>
      </c>
      <c r="AA963" s="62">
        <v>16</v>
      </c>
    </row>
    <row r="964" spans="26:29" x14ac:dyDescent="0.25">
      <c r="Z964" s="61" t="s">
        <v>125</v>
      </c>
      <c r="AA964" s="62">
        <v>6</v>
      </c>
    </row>
    <row r="965" spans="26:29" x14ac:dyDescent="0.25">
      <c r="Z965" s="61" t="s">
        <v>126</v>
      </c>
      <c r="AA965" s="62">
        <v>12</v>
      </c>
    </row>
    <row r="966" spans="26:29" x14ac:dyDescent="0.25">
      <c r="Z966" s="61" t="s">
        <v>127</v>
      </c>
      <c r="AA966" s="62">
        <v>27</v>
      </c>
    </row>
    <row r="967" spans="26:29" x14ac:dyDescent="0.25">
      <c r="Z967" s="61" t="s">
        <v>128</v>
      </c>
      <c r="AA967" s="62">
        <v>9</v>
      </c>
    </row>
    <row r="969" spans="26:29" x14ac:dyDescent="0.25">
      <c r="Z969" s="58" t="s">
        <v>382</v>
      </c>
      <c r="AA969" s="59" t="s">
        <v>627</v>
      </c>
      <c r="AB969" s="58"/>
      <c r="AC969" s="58">
        <v>2016</v>
      </c>
    </row>
    <row r="970" spans="26:29" x14ac:dyDescent="0.25">
      <c r="Z970" s="58" t="s">
        <v>383</v>
      </c>
      <c r="AA970" s="60" t="s">
        <v>33</v>
      </c>
      <c r="AB970" s="58"/>
      <c r="AC970" s="58"/>
    </row>
    <row r="971" spans="26:29" x14ac:dyDescent="0.25">
      <c r="Z971" s="58" t="s">
        <v>384</v>
      </c>
      <c r="AA971" s="58" t="s">
        <v>39</v>
      </c>
      <c r="AB971" s="58" t="s">
        <v>385</v>
      </c>
      <c r="AC971" s="58" t="s">
        <v>386</v>
      </c>
    </row>
    <row r="972" spans="26:29" x14ac:dyDescent="0.25">
      <c r="Z972" s="61" t="s">
        <v>88</v>
      </c>
      <c r="AA972" s="62">
        <v>0</v>
      </c>
      <c r="AB972" s="63" t="s">
        <v>387</v>
      </c>
      <c r="AC972" s="58">
        <f>SUM(AA972:AA1011)</f>
        <v>14</v>
      </c>
    </row>
    <row r="973" spans="26:29" x14ac:dyDescent="0.25">
      <c r="Z973" s="61" t="s">
        <v>89</v>
      </c>
      <c r="AA973" s="62">
        <v>0</v>
      </c>
      <c r="AB973" s="63" t="s">
        <v>388</v>
      </c>
      <c r="AC973" s="58">
        <f>MIN(AA972:AA1011)</f>
        <v>0</v>
      </c>
    </row>
    <row r="974" spans="26:29" x14ac:dyDescent="0.25">
      <c r="Z974" s="61" t="s">
        <v>90</v>
      </c>
      <c r="AA974" s="62">
        <v>0</v>
      </c>
      <c r="AB974" s="63" t="s">
        <v>389</v>
      </c>
      <c r="AC974" s="58">
        <f>MAX(AA972:AA1011)</f>
        <v>2</v>
      </c>
    </row>
    <row r="975" spans="26:29" x14ac:dyDescent="0.25">
      <c r="Z975" s="61" t="s">
        <v>91</v>
      </c>
      <c r="AA975" s="62">
        <v>1</v>
      </c>
      <c r="AB975" s="63" t="s">
        <v>390</v>
      </c>
      <c r="AC975" s="58">
        <f>VAR(AA972:AA1011)</f>
        <v>0.33589743589743587</v>
      </c>
    </row>
    <row r="976" spans="26:29" x14ac:dyDescent="0.25">
      <c r="Z976" s="61" t="s">
        <v>92</v>
      </c>
      <c r="AA976" s="62">
        <v>1</v>
      </c>
      <c r="AB976" s="63" t="s">
        <v>391</v>
      </c>
      <c r="AC976" s="58">
        <f>AVERAGE(AA972:AA1011)</f>
        <v>0.35</v>
      </c>
    </row>
    <row r="977" spans="26:29" x14ac:dyDescent="0.25">
      <c r="Z977" s="61" t="s">
        <v>93</v>
      </c>
      <c r="AA977" s="62">
        <v>0</v>
      </c>
      <c r="AB977" s="63" t="s">
        <v>392</v>
      </c>
      <c r="AC977" s="58">
        <f>STDEV(AA972:AA1011)</f>
        <v>0.57956659315167214</v>
      </c>
    </row>
    <row r="978" spans="26:29" x14ac:dyDescent="0.25">
      <c r="Z978" s="61" t="s">
        <v>94</v>
      </c>
      <c r="AA978" s="62">
        <v>0</v>
      </c>
      <c r="AB978" s="58"/>
      <c r="AC978" s="58"/>
    </row>
    <row r="979" spans="26:29" x14ac:dyDescent="0.25">
      <c r="Z979" s="61" t="s">
        <v>96</v>
      </c>
      <c r="AA979" s="62">
        <v>2</v>
      </c>
    </row>
    <row r="980" spans="26:29" x14ac:dyDescent="0.25">
      <c r="Z980" s="61" t="s">
        <v>97</v>
      </c>
      <c r="AA980" s="62">
        <v>0</v>
      </c>
    </row>
    <row r="981" spans="26:29" x14ac:dyDescent="0.25">
      <c r="Z981" s="61" t="s">
        <v>98</v>
      </c>
      <c r="AA981" s="62">
        <v>1</v>
      </c>
    </row>
    <row r="982" spans="26:29" x14ac:dyDescent="0.25">
      <c r="Z982" s="61" t="s">
        <v>99</v>
      </c>
      <c r="AA982" s="62">
        <v>1</v>
      </c>
    </row>
    <row r="983" spans="26:29" x14ac:dyDescent="0.25">
      <c r="Z983" s="61" t="s">
        <v>100</v>
      </c>
      <c r="AA983" s="62">
        <v>0</v>
      </c>
    </row>
    <row r="984" spans="26:29" x14ac:dyDescent="0.25">
      <c r="Z984" s="61" t="s">
        <v>101</v>
      </c>
      <c r="AA984" s="62">
        <v>0</v>
      </c>
    </row>
    <row r="985" spans="26:29" x14ac:dyDescent="0.25">
      <c r="Z985" s="61" t="s">
        <v>103</v>
      </c>
      <c r="AA985" s="62">
        <v>0</v>
      </c>
    </row>
    <row r="986" spans="26:29" x14ac:dyDescent="0.25">
      <c r="Z986" s="61" t="s">
        <v>104</v>
      </c>
      <c r="AA986" s="62">
        <v>2</v>
      </c>
    </row>
    <row r="987" spans="26:29" x14ac:dyDescent="0.25">
      <c r="Z987" s="61" t="s">
        <v>105</v>
      </c>
      <c r="AA987" s="62">
        <v>0</v>
      </c>
    </row>
    <row r="988" spans="26:29" x14ac:dyDescent="0.25">
      <c r="Z988" s="61" t="s">
        <v>106</v>
      </c>
      <c r="AA988" s="62">
        <v>1</v>
      </c>
    </row>
    <row r="989" spans="26:29" x14ac:dyDescent="0.25">
      <c r="Z989" s="61" t="s">
        <v>61</v>
      </c>
      <c r="AA989" s="62">
        <v>0</v>
      </c>
    </row>
    <row r="990" spans="26:29" x14ac:dyDescent="0.25">
      <c r="Z990" s="61" t="s">
        <v>107</v>
      </c>
      <c r="AA990" s="62">
        <v>0</v>
      </c>
    </row>
    <row r="991" spans="26:29" x14ac:dyDescent="0.25">
      <c r="Z991" s="61" t="s">
        <v>108</v>
      </c>
      <c r="AA991" s="62">
        <v>0</v>
      </c>
    </row>
    <row r="992" spans="26:29" x14ac:dyDescent="0.25">
      <c r="Z992" s="61" t="s">
        <v>109</v>
      </c>
      <c r="AA992" s="62">
        <v>1</v>
      </c>
    </row>
    <row r="993" spans="26:27" x14ac:dyDescent="0.25">
      <c r="Z993" s="61" t="s">
        <v>110</v>
      </c>
      <c r="AA993" s="62">
        <v>1</v>
      </c>
    </row>
    <row r="994" spans="26:27" x14ac:dyDescent="0.25">
      <c r="Z994" s="61" t="s">
        <v>111</v>
      </c>
      <c r="AA994" s="62">
        <v>0</v>
      </c>
    </row>
    <row r="995" spans="26:27" x14ac:dyDescent="0.25">
      <c r="Z995" s="61" t="s">
        <v>112</v>
      </c>
      <c r="AA995" s="62">
        <v>0</v>
      </c>
    </row>
    <row r="996" spans="26:27" x14ac:dyDescent="0.25">
      <c r="Z996" s="61" t="s">
        <v>113</v>
      </c>
      <c r="AA996" s="62">
        <v>0</v>
      </c>
    </row>
    <row r="997" spans="26:27" x14ac:dyDescent="0.25">
      <c r="Z997" s="64" t="s">
        <v>114</v>
      </c>
      <c r="AA997" s="62">
        <v>0</v>
      </c>
    </row>
    <row r="998" spans="26:27" x14ac:dyDescent="0.25">
      <c r="Z998" s="64" t="s">
        <v>115</v>
      </c>
      <c r="AA998" s="62">
        <v>0</v>
      </c>
    </row>
    <row r="999" spans="26:27" x14ac:dyDescent="0.25">
      <c r="Z999" s="64" t="s">
        <v>116</v>
      </c>
      <c r="AA999" s="62">
        <v>0</v>
      </c>
    </row>
    <row r="1000" spans="26:27" x14ac:dyDescent="0.25">
      <c r="Z1000" s="64" t="s">
        <v>117</v>
      </c>
      <c r="AA1000" s="62">
        <v>0</v>
      </c>
    </row>
    <row r="1001" spans="26:27" x14ac:dyDescent="0.25">
      <c r="Z1001" s="64" t="s">
        <v>118</v>
      </c>
      <c r="AA1001" s="62">
        <v>0</v>
      </c>
    </row>
    <row r="1002" spans="26:27" x14ac:dyDescent="0.25">
      <c r="Z1002" s="64" t="s">
        <v>119</v>
      </c>
      <c r="AA1002" s="62">
        <v>0</v>
      </c>
    </row>
    <row r="1003" spans="26:27" x14ac:dyDescent="0.25">
      <c r="Z1003" s="61" t="s">
        <v>120</v>
      </c>
      <c r="AA1003" s="62">
        <v>1</v>
      </c>
    </row>
    <row r="1004" spans="26:27" x14ac:dyDescent="0.25">
      <c r="Z1004" s="61" t="s">
        <v>121</v>
      </c>
      <c r="AA1004" s="62">
        <v>0</v>
      </c>
    </row>
    <row r="1005" spans="26:27" x14ac:dyDescent="0.25">
      <c r="Z1005" s="61" t="s">
        <v>122</v>
      </c>
      <c r="AA1005" s="62">
        <v>1</v>
      </c>
    </row>
    <row r="1006" spans="26:27" x14ac:dyDescent="0.25">
      <c r="Z1006" s="61" t="s">
        <v>123</v>
      </c>
      <c r="AA1006" s="62">
        <v>0</v>
      </c>
    </row>
    <row r="1007" spans="26:27" x14ac:dyDescent="0.25">
      <c r="Z1007" s="61" t="s">
        <v>124</v>
      </c>
      <c r="AA1007" s="62">
        <v>0</v>
      </c>
    </row>
    <row r="1008" spans="26:27" x14ac:dyDescent="0.25">
      <c r="Z1008" s="61" t="s">
        <v>125</v>
      </c>
      <c r="AA1008" s="62">
        <v>1</v>
      </c>
    </row>
    <row r="1009" spans="26:29" x14ac:dyDescent="0.25">
      <c r="Z1009" s="61" t="s">
        <v>126</v>
      </c>
      <c r="AA1009" s="62">
        <v>0</v>
      </c>
    </row>
    <row r="1010" spans="26:29" x14ac:dyDescent="0.25">
      <c r="Z1010" s="61" t="s">
        <v>127</v>
      </c>
      <c r="AA1010" s="62">
        <v>0</v>
      </c>
    </row>
    <row r="1011" spans="26:29" x14ac:dyDescent="0.25">
      <c r="Z1011" s="61" t="s">
        <v>128</v>
      </c>
      <c r="AA1011" s="62">
        <v>0</v>
      </c>
    </row>
    <row r="1013" spans="26:29" x14ac:dyDescent="0.25">
      <c r="Z1013" s="58" t="s">
        <v>382</v>
      </c>
      <c r="AA1013" s="59" t="s">
        <v>627</v>
      </c>
      <c r="AB1013" s="58"/>
      <c r="AC1013" s="58">
        <v>2016</v>
      </c>
    </row>
    <row r="1014" spans="26:29" x14ac:dyDescent="0.25">
      <c r="Z1014" s="58" t="s">
        <v>383</v>
      </c>
      <c r="AA1014" s="60" t="s">
        <v>36</v>
      </c>
      <c r="AB1014" s="58"/>
      <c r="AC1014" s="58"/>
    </row>
    <row r="1015" spans="26:29" x14ac:dyDescent="0.25">
      <c r="Z1015" s="58" t="s">
        <v>384</v>
      </c>
      <c r="AA1015" s="58" t="s">
        <v>39</v>
      </c>
      <c r="AB1015" s="58" t="s">
        <v>385</v>
      </c>
      <c r="AC1015" s="58" t="s">
        <v>386</v>
      </c>
    </row>
    <row r="1016" spans="26:29" x14ac:dyDescent="0.25">
      <c r="Z1016" s="61" t="s">
        <v>88</v>
      </c>
      <c r="AA1016" s="62">
        <v>0</v>
      </c>
      <c r="AB1016" s="63" t="s">
        <v>387</v>
      </c>
      <c r="AC1016" s="58">
        <f>SUM(AA1016:AA1055)</f>
        <v>1</v>
      </c>
    </row>
    <row r="1017" spans="26:29" x14ac:dyDescent="0.25">
      <c r="Z1017" s="61" t="s">
        <v>89</v>
      </c>
      <c r="AA1017" s="62">
        <v>0</v>
      </c>
      <c r="AB1017" s="63" t="s">
        <v>388</v>
      </c>
      <c r="AC1017" s="58">
        <f>MIN(AA1016:AA1055)</f>
        <v>0</v>
      </c>
    </row>
    <row r="1018" spans="26:29" x14ac:dyDescent="0.25">
      <c r="Z1018" s="61" t="s">
        <v>90</v>
      </c>
      <c r="AA1018" s="62">
        <v>0</v>
      </c>
      <c r="AB1018" s="63" t="s">
        <v>389</v>
      </c>
      <c r="AC1018" s="58">
        <f>MAX(AA1016:AA1055)</f>
        <v>1</v>
      </c>
    </row>
    <row r="1019" spans="26:29" x14ac:dyDescent="0.25">
      <c r="Z1019" s="61" t="s">
        <v>91</v>
      </c>
      <c r="AA1019" s="62">
        <v>0</v>
      </c>
      <c r="AB1019" s="63" t="s">
        <v>390</v>
      </c>
      <c r="AC1019" s="58">
        <f>VAR(AA1016:AA1055)</f>
        <v>2.4999999999999998E-2</v>
      </c>
    </row>
    <row r="1020" spans="26:29" x14ac:dyDescent="0.25">
      <c r="Z1020" s="61" t="s">
        <v>92</v>
      </c>
      <c r="AA1020" s="62">
        <v>0</v>
      </c>
      <c r="AB1020" s="63" t="s">
        <v>391</v>
      </c>
      <c r="AC1020" s="58">
        <f>AVERAGE(AA1016:AA1055)</f>
        <v>2.5000000000000001E-2</v>
      </c>
    </row>
    <row r="1021" spans="26:29" x14ac:dyDescent="0.25">
      <c r="Z1021" s="61" t="s">
        <v>93</v>
      </c>
      <c r="AA1021" s="62">
        <v>0</v>
      </c>
      <c r="AB1021" s="63" t="s">
        <v>392</v>
      </c>
      <c r="AC1021" s="58">
        <f>STDEV(AA1016:AA1055)</f>
        <v>0.15811388300841897</v>
      </c>
    </row>
    <row r="1022" spans="26:29" x14ac:dyDescent="0.25">
      <c r="Z1022" s="61" t="s">
        <v>94</v>
      </c>
      <c r="AA1022" s="62">
        <v>0</v>
      </c>
      <c r="AB1022" s="58"/>
      <c r="AC1022" s="58"/>
    </row>
    <row r="1023" spans="26:29" x14ac:dyDescent="0.25">
      <c r="Z1023" s="61" t="s">
        <v>96</v>
      </c>
      <c r="AA1023" s="62">
        <v>0</v>
      </c>
    </row>
    <row r="1024" spans="26:29" x14ac:dyDescent="0.25">
      <c r="Z1024" s="61" t="s">
        <v>97</v>
      </c>
      <c r="AA1024" s="62">
        <v>0</v>
      </c>
    </row>
    <row r="1025" spans="26:27" x14ac:dyDescent="0.25">
      <c r="Z1025" s="61" t="s">
        <v>98</v>
      </c>
      <c r="AA1025" s="62">
        <v>0</v>
      </c>
    </row>
    <row r="1026" spans="26:27" x14ac:dyDescent="0.25">
      <c r="Z1026" s="61" t="s">
        <v>99</v>
      </c>
      <c r="AA1026" s="62">
        <v>0</v>
      </c>
    </row>
    <row r="1027" spans="26:27" x14ac:dyDescent="0.25">
      <c r="Z1027" s="61" t="s">
        <v>100</v>
      </c>
      <c r="AA1027" s="62">
        <v>0</v>
      </c>
    </row>
    <row r="1028" spans="26:27" x14ac:dyDescent="0.25">
      <c r="Z1028" s="61" t="s">
        <v>101</v>
      </c>
      <c r="AA1028" s="62">
        <v>0</v>
      </c>
    </row>
    <row r="1029" spans="26:27" x14ac:dyDescent="0.25">
      <c r="Z1029" s="61" t="s">
        <v>103</v>
      </c>
      <c r="AA1029" s="62">
        <v>0</v>
      </c>
    </row>
    <row r="1030" spans="26:27" x14ac:dyDescent="0.25">
      <c r="Z1030" s="61" t="s">
        <v>104</v>
      </c>
      <c r="AA1030" s="62">
        <v>0</v>
      </c>
    </row>
    <row r="1031" spans="26:27" x14ac:dyDescent="0.25">
      <c r="Z1031" s="61" t="s">
        <v>105</v>
      </c>
      <c r="AA1031" s="62">
        <v>0</v>
      </c>
    </row>
    <row r="1032" spans="26:27" x14ac:dyDescent="0.25">
      <c r="Z1032" s="61" t="s">
        <v>106</v>
      </c>
      <c r="AA1032" s="62">
        <v>0</v>
      </c>
    </row>
    <row r="1033" spans="26:27" x14ac:dyDescent="0.25">
      <c r="Z1033" s="61" t="s">
        <v>61</v>
      </c>
      <c r="AA1033" s="62">
        <v>0</v>
      </c>
    </row>
    <row r="1034" spans="26:27" x14ac:dyDescent="0.25">
      <c r="Z1034" s="61" t="s">
        <v>107</v>
      </c>
      <c r="AA1034" s="62">
        <v>0</v>
      </c>
    </row>
    <row r="1035" spans="26:27" x14ac:dyDescent="0.25">
      <c r="Z1035" s="61" t="s">
        <v>108</v>
      </c>
      <c r="AA1035" s="62">
        <v>1</v>
      </c>
    </row>
    <row r="1036" spans="26:27" x14ac:dyDescent="0.25">
      <c r="Z1036" s="61" t="s">
        <v>109</v>
      </c>
      <c r="AA1036" s="62">
        <v>0</v>
      </c>
    </row>
    <row r="1037" spans="26:27" x14ac:dyDescent="0.25">
      <c r="Z1037" s="61" t="s">
        <v>110</v>
      </c>
      <c r="AA1037" s="62">
        <v>0</v>
      </c>
    </row>
    <row r="1038" spans="26:27" x14ac:dyDescent="0.25">
      <c r="Z1038" s="61" t="s">
        <v>111</v>
      </c>
      <c r="AA1038" s="62">
        <v>0</v>
      </c>
    </row>
    <row r="1039" spans="26:27" x14ac:dyDescent="0.25">
      <c r="Z1039" s="61" t="s">
        <v>112</v>
      </c>
      <c r="AA1039" s="62">
        <v>0</v>
      </c>
    </row>
    <row r="1040" spans="26:27" x14ac:dyDescent="0.25">
      <c r="Z1040" s="61" t="s">
        <v>113</v>
      </c>
      <c r="AA1040" s="62">
        <v>0</v>
      </c>
    </row>
    <row r="1041" spans="26:27" x14ac:dyDescent="0.25">
      <c r="Z1041" s="64" t="s">
        <v>114</v>
      </c>
      <c r="AA1041" s="62">
        <v>0</v>
      </c>
    </row>
    <row r="1042" spans="26:27" x14ac:dyDescent="0.25">
      <c r="Z1042" s="64" t="s">
        <v>115</v>
      </c>
      <c r="AA1042" s="62">
        <v>0</v>
      </c>
    </row>
    <row r="1043" spans="26:27" x14ac:dyDescent="0.25">
      <c r="Z1043" s="64" t="s">
        <v>116</v>
      </c>
      <c r="AA1043" s="62">
        <v>0</v>
      </c>
    </row>
    <row r="1044" spans="26:27" x14ac:dyDescent="0.25">
      <c r="Z1044" s="64" t="s">
        <v>117</v>
      </c>
      <c r="AA1044" s="62">
        <v>0</v>
      </c>
    </row>
    <row r="1045" spans="26:27" x14ac:dyDescent="0.25">
      <c r="Z1045" s="64" t="s">
        <v>118</v>
      </c>
      <c r="AA1045" s="62">
        <v>0</v>
      </c>
    </row>
    <row r="1046" spans="26:27" x14ac:dyDescent="0.25">
      <c r="Z1046" s="64" t="s">
        <v>119</v>
      </c>
      <c r="AA1046" s="62">
        <v>0</v>
      </c>
    </row>
    <row r="1047" spans="26:27" x14ac:dyDescent="0.25">
      <c r="Z1047" s="61" t="s">
        <v>120</v>
      </c>
      <c r="AA1047" s="62">
        <v>0</v>
      </c>
    </row>
    <row r="1048" spans="26:27" x14ac:dyDescent="0.25">
      <c r="Z1048" s="61" t="s">
        <v>121</v>
      </c>
      <c r="AA1048" s="62">
        <v>0</v>
      </c>
    </row>
    <row r="1049" spans="26:27" x14ac:dyDescent="0.25">
      <c r="Z1049" s="61" t="s">
        <v>122</v>
      </c>
      <c r="AA1049" s="62">
        <v>0</v>
      </c>
    </row>
    <row r="1050" spans="26:27" x14ac:dyDescent="0.25">
      <c r="Z1050" s="61" t="s">
        <v>123</v>
      </c>
      <c r="AA1050" s="62">
        <v>0</v>
      </c>
    </row>
    <row r="1051" spans="26:27" x14ac:dyDescent="0.25">
      <c r="Z1051" s="61" t="s">
        <v>124</v>
      </c>
      <c r="AA1051" s="62">
        <v>0</v>
      </c>
    </row>
    <row r="1052" spans="26:27" x14ac:dyDescent="0.25">
      <c r="Z1052" s="61" t="s">
        <v>125</v>
      </c>
      <c r="AA1052" s="62">
        <v>0</v>
      </c>
    </row>
    <row r="1053" spans="26:27" x14ac:dyDescent="0.25">
      <c r="Z1053" s="61" t="s">
        <v>126</v>
      </c>
      <c r="AA1053" s="62">
        <v>0</v>
      </c>
    </row>
    <row r="1054" spans="26:27" x14ac:dyDescent="0.25">
      <c r="Z1054" s="61" t="s">
        <v>127</v>
      </c>
      <c r="AA1054" s="62">
        <v>0</v>
      </c>
    </row>
    <row r="1055" spans="26:27" x14ac:dyDescent="0.25">
      <c r="Z1055" s="61" t="s">
        <v>128</v>
      </c>
      <c r="AA1055" s="62">
        <v>0</v>
      </c>
    </row>
    <row r="1057" spans="26:29" x14ac:dyDescent="0.25">
      <c r="Z1057" s="58" t="s">
        <v>382</v>
      </c>
      <c r="AA1057" s="59" t="s">
        <v>627</v>
      </c>
      <c r="AB1057" s="58"/>
      <c r="AC1057" s="58">
        <v>2016</v>
      </c>
    </row>
    <row r="1058" spans="26:29" x14ac:dyDescent="0.25">
      <c r="Z1058" s="58" t="s">
        <v>383</v>
      </c>
      <c r="AA1058" s="60" t="s">
        <v>37</v>
      </c>
      <c r="AB1058" s="58"/>
      <c r="AC1058" s="58"/>
    </row>
    <row r="1059" spans="26:29" x14ac:dyDescent="0.25">
      <c r="Z1059" s="58" t="s">
        <v>384</v>
      </c>
      <c r="AA1059" s="58" t="s">
        <v>39</v>
      </c>
      <c r="AB1059" s="58" t="s">
        <v>385</v>
      </c>
      <c r="AC1059" s="58" t="s">
        <v>386</v>
      </c>
    </row>
    <row r="1060" spans="26:29" x14ac:dyDescent="0.25">
      <c r="Z1060" s="61" t="s">
        <v>88</v>
      </c>
      <c r="AA1060" s="62">
        <v>1</v>
      </c>
      <c r="AB1060" s="63" t="s">
        <v>387</v>
      </c>
      <c r="AC1060" s="58">
        <f>SUM(AA1060:AA1099)</f>
        <v>287</v>
      </c>
    </row>
    <row r="1061" spans="26:29" x14ac:dyDescent="0.25">
      <c r="Z1061" s="61" t="s">
        <v>89</v>
      </c>
      <c r="AA1061" s="62">
        <v>3</v>
      </c>
      <c r="AB1061" s="63" t="s">
        <v>388</v>
      </c>
      <c r="AC1061" s="58">
        <f>MIN(AA1060:AA1099)</f>
        <v>1</v>
      </c>
    </row>
    <row r="1062" spans="26:29" x14ac:dyDescent="0.25">
      <c r="Z1062" s="61" t="s">
        <v>90</v>
      </c>
      <c r="AA1062" s="62">
        <v>4</v>
      </c>
      <c r="AB1062" s="63" t="s">
        <v>389</v>
      </c>
      <c r="AC1062" s="58">
        <f>MAX(AA1060:AA1099)</f>
        <v>18</v>
      </c>
    </row>
    <row r="1063" spans="26:29" x14ac:dyDescent="0.25">
      <c r="Z1063" s="61" t="s">
        <v>91</v>
      </c>
      <c r="AA1063" s="62">
        <v>6</v>
      </c>
      <c r="AB1063" s="63" t="s">
        <v>390</v>
      </c>
      <c r="AC1063" s="58">
        <f>VAR(AA1060:AA1099)</f>
        <v>22.968589743589746</v>
      </c>
    </row>
    <row r="1064" spans="26:29" x14ac:dyDescent="0.25">
      <c r="Z1064" s="61" t="s">
        <v>92</v>
      </c>
      <c r="AA1064" s="62">
        <v>14</v>
      </c>
      <c r="AB1064" s="63" t="s">
        <v>391</v>
      </c>
      <c r="AC1064" s="58">
        <f>AVERAGE(AA1060:AA1099)</f>
        <v>7.1749999999999998</v>
      </c>
    </row>
    <row r="1065" spans="26:29" x14ac:dyDescent="0.25">
      <c r="Z1065" s="61" t="s">
        <v>93</v>
      </c>
      <c r="AA1065" s="62">
        <v>11</v>
      </c>
      <c r="AB1065" s="63" t="s">
        <v>392</v>
      </c>
      <c r="AC1065" s="58">
        <f>STDEV(AA1060:AA1099)</f>
        <v>4.792555658893253</v>
      </c>
    </row>
    <row r="1066" spans="26:29" x14ac:dyDescent="0.25">
      <c r="Z1066" s="61" t="s">
        <v>94</v>
      </c>
      <c r="AA1066" s="62">
        <v>5</v>
      </c>
      <c r="AB1066" s="58"/>
      <c r="AC1066" s="58"/>
    </row>
    <row r="1067" spans="26:29" x14ac:dyDescent="0.25">
      <c r="Z1067" s="61" t="s">
        <v>96</v>
      </c>
      <c r="AA1067" s="62">
        <v>18</v>
      </c>
    </row>
    <row r="1068" spans="26:29" x14ac:dyDescent="0.25">
      <c r="Z1068" s="61" t="s">
        <v>97</v>
      </c>
      <c r="AA1068" s="62">
        <v>12</v>
      </c>
    </row>
    <row r="1069" spans="26:29" x14ac:dyDescent="0.25">
      <c r="Z1069" s="61" t="s">
        <v>98</v>
      </c>
      <c r="AA1069" s="62">
        <v>11</v>
      </c>
    </row>
    <row r="1070" spans="26:29" x14ac:dyDescent="0.25">
      <c r="Z1070" s="61" t="s">
        <v>99</v>
      </c>
      <c r="AA1070" s="62">
        <v>9</v>
      </c>
    </row>
    <row r="1071" spans="26:29" x14ac:dyDescent="0.25">
      <c r="Z1071" s="61" t="s">
        <v>100</v>
      </c>
      <c r="AA1071" s="62">
        <v>2</v>
      </c>
    </row>
    <row r="1072" spans="26:29" x14ac:dyDescent="0.25">
      <c r="Z1072" s="61" t="s">
        <v>101</v>
      </c>
      <c r="AA1072" s="62">
        <v>8</v>
      </c>
    </row>
    <row r="1073" spans="26:27" x14ac:dyDescent="0.25">
      <c r="Z1073" s="61" t="s">
        <v>103</v>
      </c>
      <c r="AA1073" s="62">
        <v>15</v>
      </c>
    </row>
    <row r="1074" spans="26:27" x14ac:dyDescent="0.25">
      <c r="Z1074" s="61" t="s">
        <v>104</v>
      </c>
      <c r="AA1074" s="62">
        <v>10</v>
      </c>
    </row>
    <row r="1075" spans="26:27" x14ac:dyDescent="0.25">
      <c r="Z1075" s="61" t="s">
        <v>105</v>
      </c>
      <c r="AA1075" s="62">
        <v>1</v>
      </c>
    </row>
    <row r="1076" spans="26:27" x14ac:dyDescent="0.25">
      <c r="Z1076" s="61" t="s">
        <v>106</v>
      </c>
      <c r="AA1076" s="62">
        <v>18</v>
      </c>
    </row>
    <row r="1077" spans="26:27" x14ac:dyDescent="0.25">
      <c r="Z1077" s="61" t="s">
        <v>61</v>
      </c>
      <c r="AA1077" s="62">
        <v>3</v>
      </c>
    </row>
    <row r="1078" spans="26:27" x14ac:dyDescent="0.25">
      <c r="Z1078" s="61" t="s">
        <v>107</v>
      </c>
      <c r="AA1078" s="62">
        <v>15</v>
      </c>
    </row>
    <row r="1079" spans="26:27" x14ac:dyDescent="0.25">
      <c r="Z1079" s="61" t="s">
        <v>108</v>
      </c>
      <c r="AA1079" s="62">
        <v>7</v>
      </c>
    </row>
    <row r="1080" spans="26:27" x14ac:dyDescent="0.25">
      <c r="Z1080" s="61" t="s">
        <v>109</v>
      </c>
      <c r="AA1080" s="62">
        <v>8</v>
      </c>
    </row>
    <row r="1081" spans="26:27" x14ac:dyDescent="0.25">
      <c r="Z1081" s="61" t="s">
        <v>110</v>
      </c>
      <c r="AA1081" s="62">
        <v>12</v>
      </c>
    </row>
    <row r="1082" spans="26:27" x14ac:dyDescent="0.25">
      <c r="Z1082" s="61" t="s">
        <v>111</v>
      </c>
      <c r="AA1082" s="62">
        <v>3</v>
      </c>
    </row>
    <row r="1083" spans="26:27" x14ac:dyDescent="0.25">
      <c r="Z1083" s="61" t="s">
        <v>112</v>
      </c>
      <c r="AA1083" s="62">
        <v>2</v>
      </c>
    </row>
    <row r="1084" spans="26:27" x14ac:dyDescent="0.25">
      <c r="Z1084" s="61" t="s">
        <v>113</v>
      </c>
      <c r="AA1084" s="62">
        <v>1</v>
      </c>
    </row>
    <row r="1085" spans="26:27" x14ac:dyDescent="0.25">
      <c r="Z1085" s="64" t="s">
        <v>114</v>
      </c>
      <c r="AA1085" s="62">
        <v>4</v>
      </c>
    </row>
    <row r="1086" spans="26:27" x14ac:dyDescent="0.25">
      <c r="Z1086" s="64" t="s">
        <v>115</v>
      </c>
      <c r="AA1086" s="62">
        <v>9</v>
      </c>
    </row>
    <row r="1087" spans="26:27" x14ac:dyDescent="0.25">
      <c r="Z1087" s="64" t="s">
        <v>116</v>
      </c>
      <c r="AA1087" s="62">
        <v>7</v>
      </c>
    </row>
    <row r="1088" spans="26:27" x14ac:dyDescent="0.25">
      <c r="Z1088" s="64" t="s">
        <v>117</v>
      </c>
      <c r="AA1088" s="62">
        <v>4</v>
      </c>
    </row>
    <row r="1089" spans="26:27" x14ac:dyDescent="0.25">
      <c r="Z1089" s="64" t="s">
        <v>118</v>
      </c>
      <c r="AA1089" s="62">
        <v>1</v>
      </c>
    </row>
    <row r="1090" spans="26:27" x14ac:dyDescent="0.25">
      <c r="Z1090" s="64" t="s">
        <v>119</v>
      </c>
      <c r="AA1090" s="62">
        <v>2</v>
      </c>
    </row>
    <row r="1091" spans="26:27" x14ac:dyDescent="0.25">
      <c r="Z1091" s="61" t="s">
        <v>120</v>
      </c>
      <c r="AA1091" s="62">
        <v>10</v>
      </c>
    </row>
    <row r="1092" spans="26:27" x14ac:dyDescent="0.25">
      <c r="Z1092" s="61" t="s">
        <v>121</v>
      </c>
      <c r="AA1092" s="62">
        <v>8</v>
      </c>
    </row>
    <row r="1093" spans="26:27" x14ac:dyDescent="0.25">
      <c r="Z1093" s="61" t="s">
        <v>122</v>
      </c>
      <c r="AA1093" s="62">
        <v>2</v>
      </c>
    </row>
    <row r="1094" spans="26:27" x14ac:dyDescent="0.25">
      <c r="Z1094" s="61" t="s">
        <v>123</v>
      </c>
      <c r="AA1094" s="62">
        <v>9</v>
      </c>
    </row>
    <row r="1095" spans="26:27" x14ac:dyDescent="0.25">
      <c r="Z1095" s="61" t="s">
        <v>124</v>
      </c>
      <c r="AA1095" s="62">
        <v>8</v>
      </c>
    </row>
    <row r="1096" spans="26:27" x14ac:dyDescent="0.25">
      <c r="Z1096" s="61" t="s">
        <v>125</v>
      </c>
      <c r="AA1096" s="62">
        <v>7</v>
      </c>
    </row>
    <row r="1097" spans="26:27" x14ac:dyDescent="0.25">
      <c r="Z1097" s="61" t="s">
        <v>126</v>
      </c>
      <c r="AA1097" s="62">
        <v>8</v>
      </c>
    </row>
    <row r="1098" spans="26:27" x14ac:dyDescent="0.25">
      <c r="Z1098" s="61" t="s">
        <v>127</v>
      </c>
      <c r="AA1098" s="62">
        <v>8</v>
      </c>
    </row>
    <row r="1099" spans="26:27" x14ac:dyDescent="0.25">
      <c r="Z1099" s="61" t="s">
        <v>128</v>
      </c>
      <c r="AA1099" s="62">
        <v>1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2"/>
  <sheetViews>
    <sheetView workbookViewId="0">
      <pane xSplit="1" topLeftCell="B1" activePane="topRight" state="frozen"/>
      <selection pane="topRight" activeCell="A23" sqref="A23"/>
    </sheetView>
  </sheetViews>
  <sheetFormatPr defaultRowHeight="15" x14ac:dyDescent="0.25"/>
  <cols>
    <col min="1" max="1" width="23.85546875" customWidth="1"/>
    <col min="2" max="2" width="13" customWidth="1"/>
    <col min="3" max="3" width="10.140625" customWidth="1"/>
    <col min="4" max="4" width="11" customWidth="1"/>
    <col min="5" max="5" width="13" style="14" customWidth="1"/>
    <col min="6" max="6" width="11" style="14" customWidth="1"/>
    <col min="7" max="7" width="10.5703125" customWidth="1"/>
    <col min="8" max="8" width="11" style="14" customWidth="1"/>
    <col min="9" max="9" width="12.28515625" customWidth="1"/>
    <col min="10" max="10" width="12.42578125" style="14" customWidth="1"/>
    <col min="11" max="11" width="13.85546875" style="14" customWidth="1"/>
    <col min="12" max="12" width="14.42578125" style="14" customWidth="1"/>
    <col min="13" max="13" width="13.42578125" style="14" customWidth="1"/>
    <col min="14" max="14" width="12.42578125" customWidth="1"/>
    <col min="15" max="15" width="15.28515625" style="14" customWidth="1"/>
  </cols>
  <sheetData>
    <row r="1" spans="1:15" x14ac:dyDescent="0.25">
      <c r="A1" s="1" t="s">
        <v>360</v>
      </c>
      <c r="B1" s="31" t="s">
        <v>361</v>
      </c>
      <c r="C1" s="31" t="s">
        <v>362</v>
      </c>
      <c r="D1" s="31" t="s">
        <v>363</v>
      </c>
      <c r="E1" s="56" t="s">
        <v>627</v>
      </c>
      <c r="F1" s="56" t="s">
        <v>366</v>
      </c>
      <c r="G1" s="31" t="s">
        <v>367</v>
      </c>
      <c r="H1" s="56" t="s">
        <v>368</v>
      </c>
      <c r="I1" s="31" t="s">
        <v>369</v>
      </c>
      <c r="J1" s="56" t="s">
        <v>370</v>
      </c>
      <c r="K1" s="56" t="s">
        <v>371</v>
      </c>
      <c r="L1" s="56" t="s">
        <v>372</v>
      </c>
      <c r="M1" s="56" t="s">
        <v>628</v>
      </c>
      <c r="N1" s="31" t="s">
        <v>375</v>
      </c>
      <c r="O1" s="56" t="s">
        <v>629</v>
      </c>
    </row>
    <row r="2" spans="1:15" x14ac:dyDescent="0.25">
      <c r="A2" s="4" t="s">
        <v>402</v>
      </c>
      <c r="B2" t="s">
        <v>580</v>
      </c>
      <c r="C2" t="s">
        <v>581</v>
      </c>
      <c r="D2" t="s">
        <v>582</v>
      </c>
      <c r="E2" s="14" t="s">
        <v>637</v>
      </c>
      <c r="F2" s="14" t="s">
        <v>693</v>
      </c>
      <c r="G2" t="s">
        <v>585</v>
      </c>
      <c r="H2" s="14" t="s">
        <v>704</v>
      </c>
      <c r="I2" t="s">
        <v>586</v>
      </c>
      <c r="J2" s="14" t="s">
        <v>715</v>
      </c>
      <c r="K2" s="14" t="s">
        <v>725</v>
      </c>
      <c r="L2" s="14" t="s">
        <v>736</v>
      </c>
      <c r="M2" s="14" t="s">
        <v>658</v>
      </c>
      <c r="N2" t="s">
        <v>589</v>
      </c>
      <c r="O2" s="14" t="s">
        <v>675</v>
      </c>
    </row>
    <row r="3" spans="1:15" x14ac:dyDescent="0.25">
      <c r="A3" s="6" t="s">
        <v>4</v>
      </c>
      <c r="B3" t="s">
        <v>444</v>
      </c>
      <c r="C3" t="s">
        <v>459</v>
      </c>
      <c r="D3" t="s">
        <v>466</v>
      </c>
      <c r="E3" s="14" t="s">
        <v>638</v>
      </c>
      <c r="F3" s="14" t="s">
        <v>694</v>
      </c>
      <c r="G3" t="s">
        <v>514</v>
      </c>
      <c r="H3" s="14" t="s">
        <v>705</v>
      </c>
      <c r="I3" s="27" t="s">
        <v>523</v>
      </c>
      <c r="J3" s="14" t="s">
        <v>716</v>
      </c>
      <c r="K3" s="14" t="s">
        <v>726</v>
      </c>
      <c r="L3" s="14" t="s">
        <v>737</v>
      </c>
      <c r="M3" s="14" t="s">
        <v>659</v>
      </c>
      <c r="N3" s="27" t="s">
        <v>570</v>
      </c>
      <c r="O3" s="14" t="s">
        <v>676</v>
      </c>
    </row>
    <row r="4" spans="1:15" x14ac:dyDescent="0.25">
      <c r="A4" s="6" t="s">
        <v>5</v>
      </c>
      <c r="B4" t="s">
        <v>445</v>
      </c>
      <c r="C4" t="s">
        <v>460</v>
      </c>
      <c r="D4" t="s">
        <v>467</v>
      </c>
      <c r="E4" s="14" t="s">
        <v>639</v>
      </c>
      <c r="F4" s="14" t="s">
        <v>695</v>
      </c>
      <c r="G4" t="s">
        <v>515</v>
      </c>
      <c r="H4" s="14" t="s">
        <v>706</v>
      </c>
      <c r="I4" s="27" t="s">
        <v>524</v>
      </c>
      <c r="J4" s="14" t="s">
        <v>537</v>
      </c>
      <c r="K4" s="14" t="s">
        <v>540</v>
      </c>
      <c r="L4" s="14" t="s">
        <v>738</v>
      </c>
      <c r="M4" s="14" t="s">
        <v>660</v>
      </c>
      <c r="N4" s="27" t="s">
        <v>571</v>
      </c>
      <c r="O4" s="14" t="s">
        <v>677</v>
      </c>
    </row>
    <row r="5" spans="1:15" x14ac:dyDescent="0.25">
      <c r="A5" s="6" t="s">
        <v>95</v>
      </c>
      <c r="B5">
        <v>0</v>
      </c>
      <c r="C5">
        <v>0</v>
      </c>
      <c r="D5">
        <v>0</v>
      </c>
      <c r="E5" s="14" t="s">
        <v>640</v>
      </c>
      <c r="F5" s="14" t="s">
        <v>513</v>
      </c>
      <c r="G5">
        <v>0</v>
      </c>
      <c r="H5" s="14">
        <v>0</v>
      </c>
      <c r="I5">
        <v>0</v>
      </c>
      <c r="J5" s="14">
        <v>0</v>
      </c>
      <c r="K5" s="14">
        <v>0</v>
      </c>
      <c r="L5" s="14">
        <v>0</v>
      </c>
      <c r="N5">
        <v>0</v>
      </c>
      <c r="O5" s="14" t="s">
        <v>678</v>
      </c>
    </row>
    <row r="6" spans="1:15" x14ac:dyDescent="0.25">
      <c r="A6" s="6" t="s">
        <v>6</v>
      </c>
      <c r="B6" t="s">
        <v>446</v>
      </c>
      <c r="C6" t="s">
        <v>461</v>
      </c>
      <c r="D6" t="s">
        <v>468</v>
      </c>
      <c r="E6" s="14" t="s">
        <v>641</v>
      </c>
      <c r="F6" s="14" t="s">
        <v>696</v>
      </c>
      <c r="G6" t="s">
        <v>460</v>
      </c>
      <c r="H6" s="14" t="s">
        <v>707</v>
      </c>
      <c r="I6" s="27" t="s">
        <v>525</v>
      </c>
      <c r="J6" s="14" t="s">
        <v>717</v>
      </c>
      <c r="K6" s="14" t="s">
        <v>727</v>
      </c>
      <c r="L6" s="14" t="s">
        <v>739</v>
      </c>
      <c r="M6" s="14" t="s">
        <v>661</v>
      </c>
      <c r="N6" s="27" t="s">
        <v>572</v>
      </c>
      <c r="O6" s="14" t="s">
        <v>679</v>
      </c>
    </row>
    <row r="7" spans="1:15" x14ac:dyDescent="0.25">
      <c r="A7" s="6" t="s">
        <v>7</v>
      </c>
      <c r="B7">
        <v>0</v>
      </c>
      <c r="C7">
        <v>0</v>
      </c>
      <c r="D7">
        <v>0</v>
      </c>
      <c r="F7" s="14">
        <v>0</v>
      </c>
      <c r="G7">
        <v>0</v>
      </c>
      <c r="H7" s="14">
        <v>0</v>
      </c>
      <c r="I7">
        <v>0</v>
      </c>
      <c r="J7" s="14">
        <v>0</v>
      </c>
      <c r="K7" s="14">
        <v>0</v>
      </c>
      <c r="L7" s="14">
        <v>0</v>
      </c>
      <c r="N7">
        <v>0</v>
      </c>
    </row>
    <row r="8" spans="1:15" x14ac:dyDescent="0.25">
      <c r="A8" s="6" t="s">
        <v>8</v>
      </c>
      <c r="B8">
        <v>0</v>
      </c>
      <c r="C8">
        <v>0</v>
      </c>
      <c r="D8">
        <v>0</v>
      </c>
      <c r="E8" s="14" t="s">
        <v>642</v>
      </c>
      <c r="F8" s="14">
        <v>0</v>
      </c>
      <c r="G8">
        <v>0</v>
      </c>
      <c r="H8" s="14" t="s">
        <v>520</v>
      </c>
      <c r="I8">
        <v>0</v>
      </c>
      <c r="J8" s="14">
        <v>0</v>
      </c>
      <c r="K8" s="14">
        <v>0</v>
      </c>
      <c r="L8" s="14" t="s">
        <v>543</v>
      </c>
      <c r="N8" s="27" t="s">
        <v>573</v>
      </c>
    </row>
    <row r="9" spans="1:15" x14ac:dyDescent="0.25">
      <c r="A9" s="6" t="s">
        <v>9</v>
      </c>
      <c r="B9" t="s">
        <v>447</v>
      </c>
      <c r="C9">
        <v>0</v>
      </c>
      <c r="D9" t="s">
        <v>469</v>
      </c>
      <c r="E9" s="14" t="s">
        <v>643</v>
      </c>
      <c r="F9" s="14" t="s">
        <v>697</v>
      </c>
      <c r="G9">
        <v>0</v>
      </c>
      <c r="H9" s="14" t="s">
        <v>708</v>
      </c>
      <c r="I9" s="27" t="s">
        <v>526</v>
      </c>
      <c r="J9" s="14" t="s">
        <v>718</v>
      </c>
      <c r="K9" s="14" t="s">
        <v>728</v>
      </c>
      <c r="L9" s="14" t="s">
        <v>740</v>
      </c>
      <c r="M9" s="14" t="s">
        <v>662</v>
      </c>
      <c r="N9" s="27" t="s">
        <v>574</v>
      </c>
      <c r="O9" s="14" t="s">
        <v>680</v>
      </c>
    </row>
    <row r="10" spans="1:15" x14ac:dyDescent="0.25">
      <c r="A10" s="6" t="s">
        <v>10</v>
      </c>
      <c r="B10">
        <v>0</v>
      </c>
      <c r="C10">
        <v>0</v>
      </c>
      <c r="D10">
        <v>0</v>
      </c>
      <c r="F10" s="14">
        <v>0</v>
      </c>
      <c r="G10">
        <v>0</v>
      </c>
      <c r="H10" s="14">
        <v>0</v>
      </c>
      <c r="I10">
        <v>0</v>
      </c>
      <c r="J10" s="14">
        <v>0</v>
      </c>
      <c r="K10" s="14">
        <v>0</v>
      </c>
      <c r="L10" s="14">
        <v>0</v>
      </c>
      <c r="N10">
        <v>0</v>
      </c>
    </row>
    <row r="11" spans="1:15" x14ac:dyDescent="0.25">
      <c r="A11" s="6" t="s">
        <v>11</v>
      </c>
      <c r="B11" t="s">
        <v>448</v>
      </c>
      <c r="C11">
        <v>0</v>
      </c>
      <c r="D11" t="s">
        <v>470</v>
      </c>
      <c r="E11" s="14" t="s">
        <v>644</v>
      </c>
      <c r="F11" s="14" t="s">
        <v>698</v>
      </c>
      <c r="G11">
        <v>0</v>
      </c>
      <c r="H11" s="14" t="s">
        <v>520</v>
      </c>
      <c r="I11" s="27" t="s">
        <v>527</v>
      </c>
      <c r="J11" s="14" t="s">
        <v>538</v>
      </c>
      <c r="K11" s="14" t="s">
        <v>729</v>
      </c>
      <c r="L11" s="14" t="s">
        <v>543</v>
      </c>
      <c r="M11" s="14" t="s">
        <v>663</v>
      </c>
      <c r="N11" s="27" t="s">
        <v>573</v>
      </c>
      <c r="O11" s="14" t="s">
        <v>681</v>
      </c>
    </row>
    <row r="12" spans="1:15" x14ac:dyDescent="0.25">
      <c r="A12" s="6" t="s">
        <v>160</v>
      </c>
      <c r="B12">
        <v>0</v>
      </c>
      <c r="C12">
        <v>0</v>
      </c>
      <c r="D12">
        <v>0</v>
      </c>
      <c r="F12" s="14">
        <v>0</v>
      </c>
      <c r="G12">
        <v>0</v>
      </c>
      <c r="H12" s="14" t="s">
        <v>520</v>
      </c>
      <c r="I12">
        <v>0</v>
      </c>
      <c r="J12" s="14">
        <v>0</v>
      </c>
      <c r="K12" s="14">
        <v>0</v>
      </c>
      <c r="L12" s="14">
        <v>0</v>
      </c>
      <c r="N12">
        <v>0</v>
      </c>
    </row>
    <row r="13" spans="1:15" x14ac:dyDescent="0.25">
      <c r="A13" s="6" t="s">
        <v>12</v>
      </c>
      <c r="B13">
        <v>0</v>
      </c>
      <c r="C13">
        <v>0</v>
      </c>
      <c r="D13">
        <v>0</v>
      </c>
      <c r="F13" s="14">
        <v>0</v>
      </c>
      <c r="G13">
        <v>0</v>
      </c>
      <c r="H13" s="14">
        <v>0</v>
      </c>
      <c r="I13">
        <v>0</v>
      </c>
      <c r="J13" s="14">
        <v>0</v>
      </c>
      <c r="K13" s="14">
        <v>0</v>
      </c>
      <c r="L13" s="14">
        <v>0</v>
      </c>
      <c r="N13">
        <v>0</v>
      </c>
    </row>
    <row r="14" spans="1:15" x14ac:dyDescent="0.25">
      <c r="A14" s="6" t="s">
        <v>13</v>
      </c>
      <c r="B14">
        <v>0</v>
      </c>
      <c r="C14">
        <v>0</v>
      </c>
      <c r="D14">
        <v>0</v>
      </c>
      <c r="F14" s="14">
        <v>0</v>
      </c>
      <c r="G14">
        <v>0</v>
      </c>
      <c r="H14" s="14">
        <v>0</v>
      </c>
      <c r="I14">
        <v>0</v>
      </c>
      <c r="J14" s="14">
        <v>0</v>
      </c>
      <c r="K14" s="14">
        <v>0</v>
      </c>
      <c r="L14" s="14">
        <v>0</v>
      </c>
      <c r="N14">
        <v>0</v>
      </c>
    </row>
    <row r="15" spans="1:15" x14ac:dyDescent="0.25">
      <c r="A15" s="6" t="s">
        <v>14</v>
      </c>
      <c r="B15">
        <v>0</v>
      </c>
      <c r="C15">
        <v>0</v>
      </c>
      <c r="D15">
        <v>0</v>
      </c>
      <c r="F15" s="14">
        <v>0</v>
      </c>
      <c r="G15">
        <v>0</v>
      </c>
      <c r="H15" s="14">
        <v>0</v>
      </c>
      <c r="I15">
        <v>0</v>
      </c>
      <c r="J15" s="14">
        <v>0</v>
      </c>
      <c r="K15" s="14">
        <v>0</v>
      </c>
      <c r="L15" s="14">
        <v>0</v>
      </c>
      <c r="N15">
        <v>0</v>
      </c>
    </row>
    <row r="16" spans="1:15" x14ac:dyDescent="0.25">
      <c r="A16" s="6" t="s">
        <v>59</v>
      </c>
      <c r="B16" t="s">
        <v>445</v>
      </c>
      <c r="C16">
        <v>0</v>
      </c>
      <c r="D16">
        <v>0</v>
      </c>
      <c r="E16" s="14" t="s">
        <v>642</v>
      </c>
      <c r="F16" s="14" t="s">
        <v>513</v>
      </c>
      <c r="G16">
        <v>0</v>
      </c>
      <c r="H16" s="14" t="s">
        <v>520</v>
      </c>
      <c r="I16">
        <v>0</v>
      </c>
      <c r="J16" s="14" t="s">
        <v>537</v>
      </c>
      <c r="K16" s="14">
        <v>0</v>
      </c>
      <c r="L16" s="14" t="s">
        <v>543</v>
      </c>
      <c r="N16" s="27" t="s">
        <v>573</v>
      </c>
    </row>
    <row r="17" spans="1:15" x14ac:dyDescent="0.25">
      <c r="A17" s="6" t="s">
        <v>15</v>
      </c>
      <c r="B17">
        <v>0</v>
      </c>
      <c r="C17">
        <v>0</v>
      </c>
      <c r="D17">
        <v>0</v>
      </c>
      <c r="F17" s="14">
        <v>0</v>
      </c>
      <c r="G17">
        <v>0</v>
      </c>
      <c r="H17" s="14">
        <v>0</v>
      </c>
      <c r="I17">
        <v>0</v>
      </c>
      <c r="J17" s="14">
        <v>0</v>
      </c>
      <c r="K17" s="14">
        <v>0</v>
      </c>
      <c r="L17" s="14">
        <v>0</v>
      </c>
      <c r="N17">
        <v>0</v>
      </c>
    </row>
    <row r="18" spans="1:15" x14ac:dyDescent="0.25">
      <c r="A18" s="6" t="s">
        <v>16</v>
      </c>
      <c r="B18" t="s">
        <v>449</v>
      </c>
      <c r="C18">
        <v>0</v>
      </c>
      <c r="D18">
        <v>0</v>
      </c>
      <c r="E18" s="14" t="s">
        <v>645</v>
      </c>
      <c r="F18" s="14" t="s">
        <v>513</v>
      </c>
      <c r="G18">
        <v>0</v>
      </c>
      <c r="H18" s="14">
        <v>0</v>
      </c>
      <c r="I18">
        <v>0</v>
      </c>
      <c r="J18" s="14">
        <v>0</v>
      </c>
      <c r="K18" s="14" t="s">
        <v>541</v>
      </c>
      <c r="L18" s="14">
        <v>0</v>
      </c>
      <c r="M18" s="14" t="s">
        <v>664</v>
      </c>
      <c r="N18">
        <v>0</v>
      </c>
    </row>
    <row r="19" spans="1:15" x14ac:dyDescent="0.25">
      <c r="A19" s="6" t="s">
        <v>17</v>
      </c>
      <c r="B19">
        <v>0</v>
      </c>
      <c r="C19">
        <v>0</v>
      </c>
      <c r="D19">
        <v>0</v>
      </c>
      <c r="F19" s="14">
        <v>0</v>
      </c>
      <c r="G19">
        <v>0</v>
      </c>
      <c r="H19" s="14">
        <v>0</v>
      </c>
      <c r="I19">
        <v>0</v>
      </c>
      <c r="J19" s="14">
        <v>0</v>
      </c>
      <c r="K19" s="14">
        <v>0</v>
      </c>
      <c r="L19" s="14">
        <v>0</v>
      </c>
      <c r="N19">
        <v>0</v>
      </c>
    </row>
    <row r="20" spans="1:15" x14ac:dyDescent="0.25">
      <c r="A20" s="6" t="s">
        <v>18</v>
      </c>
      <c r="B20" t="s">
        <v>450</v>
      </c>
      <c r="C20">
        <v>0</v>
      </c>
      <c r="D20">
        <v>0</v>
      </c>
      <c r="E20" s="14" t="s">
        <v>646</v>
      </c>
      <c r="F20" s="14">
        <v>0</v>
      </c>
      <c r="G20">
        <v>0</v>
      </c>
      <c r="H20" s="14" t="s">
        <v>709</v>
      </c>
      <c r="I20" s="27" t="s">
        <v>528</v>
      </c>
      <c r="J20" s="14" t="s">
        <v>537</v>
      </c>
      <c r="K20" s="14">
        <v>0</v>
      </c>
      <c r="L20" s="14" t="s">
        <v>543</v>
      </c>
      <c r="M20" s="14" t="s">
        <v>664</v>
      </c>
      <c r="N20" s="27" t="s">
        <v>573</v>
      </c>
      <c r="O20" s="14" t="s">
        <v>681</v>
      </c>
    </row>
    <row r="21" spans="1:15" x14ac:dyDescent="0.25">
      <c r="A21" s="6" t="s">
        <v>19</v>
      </c>
      <c r="B21" t="s">
        <v>451</v>
      </c>
      <c r="C21" t="s">
        <v>462</v>
      </c>
      <c r="D21" t="s">
        <v>471</v>
      </c>
      <c r="E21" s="14" t="s">
        <v>647</v>
      </c>
      <c r="F21" s="14" t="s">
        <v>699</v>
      </c>
      <c r="G21" t="s">
        <v>516</v>
      </c>
      <c r="H21" s="14" t="s">
        <v>710</v>
      </c>
      <c r="I21" s="27" t="s">
        <v>529</v>
      </c>
      <c r="J21" s="14" t="s">
        <v>719</v>
      </c>
      <c r="K21" s="14" t="s">
        <v>730</v>
      </c>
      <c r="L21" s="14" t="s">
        <v>741</v>
      </c>
      <c r="M21" s="14" t="s">
        <v>665</v>
      </c>
      <c r="N21" s="27" t="s">
        <v>575</v>
      </c>
      <c r="O21" s="14" t="s">
        <v>682</v>
      </c>
    </row>
    <row r="22" spans="1:15" x14ac:dyDescent="0.25">
      <c r="A22" s="6" t="s">
        <v>167</v>
      </c>
      <c r="B22">
        <v>0</v>
      </c>
      <c r="C22">
        <v>0</v>
      </c>
      <c r="D22">
        <v>0</v>
      </c>
      <c r="E22" s="14" t="s">
        <v>648</v>
      </c>
      <c r="F22" s="14">
        <v>0</v>
      </c>
      <c r="G22">
        <v>0</v>
      </c>
      <c r="H22" s="14" t="s">
        <v>711</v>
      </c>
      <c r="I22" s="27" t="s">
        <v>527</v>
      </c>
      <c r="J22" s="14" t="s">
        <v>537</v>
      </c>
      <c r="K22" s="14" t="s">
        <v>731</v>
      </c>
      <c r="L22" s="14" t="s">
        <v>543</v>
      </c>
      <c r="M22" s="14" t="s">
        <v>664</v>
      </c>
      <c r="N22" s="27" t="s">
        <v>576</v>
      </c>
      <c r="O22" s="14" t="s">
        <v>683</v>
      </c>
    </row>
    <row r="23" spans="1:15" x14ac:dyDescent="0.25">
      <c r="A23" s="6" t="s">
        <v>20</v>
      </c>
      <c r="B23">
        <v>0</v>
      </c>
      <c r="C23">
        <v>0</v>
      </c>
      <c r="D23" t="s">
        <v>470</v>
      </c>
      <c r="F23" s="14" t="s">
        <v>700</v>
      </c>
      <c r="G23">
        <v>0</v>
      </c>
      <c r="H23" s="14">
        <v>0</v>
      </c>
      <c r="I23">
        <v>0</v>
      </c>
      <c r="J23" s="14">
        <v>0</v>
      </c>
      <c r="K23" s="14">
        <v>0</v>
      </c>
      <c r="L23" s="14" t="s">
        <v>543</v>
      </c>
      <c r="N23">
        <v>0</v>
      </c>
    </row>
    <row r="24" spans="1:15" x14ac:dyDescent="0.25">
      <c r="A24" s="6" t="s">
        <v>21</v>
      </c>
      <c r="B24">
        <v>0</v>
      </c>
      <c r="C24">
        <v>0</v>
      </c>
      <c r="D24" t="s">
        <v>472</v>
      </c>
      <c r="E24" s="14" t="s">
        <v>649</v>
      </c>
      <c r="F24" s="14">
        <v>0</v>
      </c>
      <c r="G24" t="s">
        <v>461</v>
      </c>
      <c r="H24" s="14" t="s">
        <v>521</v>
      </c>
      <c r="I24" s="27" t="s">
        <v>530</v>
      </c>
      <c r="J24" s="14" t="s">
        <v>539</v>
      </c>
      <c r="K24" s="14" t="s">
        <v>542</v>
      </c>
      <c r="L24" s="14" t="s">
        <v>742</v>
      </c>
      <c r="M24" s="14" t="s">
        <v>666</v>
      </c>
      <c r="N24" s="27" t="s">
        <v>573</v>
      </c>
      <c r="O24" s="14" t="s">
        <v>684</v>
      </c>
    </row>
    <row r="25" spans="1:15" x14ac:dyDescent="0.25">
      <c r="A25" s="6" t="s">
        <v>22</v>
      </c>
      <c r="B25" t="s">
        <v>452</v>
      </c>
      <c r="C25">
        <v>0</v>
      </c>
      <c r="D25" t="s">
        <v>473</v>
      </c>
      <c r="E25" s="14" t="s">
        <v>649</v>
      </c>
      <c r="F25" s="14">
        <v>0</v>
      </c>
      <c r="G25">
        <v>0</v>
      </c>
      <c r="H25" s="14" t="s">
        <v>520</v>
      </c>
      <c r="I25">
        <v>0</v>
      </c>
      <c r="J25" s="14">
        <v>0</v>
      </c>
      <c r="K25" s="14" t="s">
        <v>542</v>
      </c>
      <c r="L25" s="14" t="s">
        <v>743</v>
      </c>
      <c r="M25" s="14" t="s">
        <v>667</v>
      </c>
      <c r="N25">
        <v>0</v>
      </c>
      <c r="O25" s="14" t="s">
        <v>685</v>
      </c>
    </row>
    <row r="26" spans="1:15" x14ac:dyDescent="0.25">
      <c r="A26" s="6" t="s">
        <v>23</v>
      </c>
      <c r="B26" t="s">
        <v>446</v>
      </c>
      <c r="C26">
        <v>0</v>
      </c>
      <c r="D26" t="s">
        <v>474</v>
      </c>
      <c r="E26" s="14" t="s">
        <v>649</v>
      </c>
      <c r="F26" s="14" t="s">
        <v>513</v>
      </c>
      <c r="G26">
        <v>0</v>
      </c>
      <c r="H26" s="14" t="s">
        <v>521</v>
      </c>
      <c r="I26" s="27" t="s">
        <v>531</v>
      </c>
      <c r="J26" s="14" t="s">
        <v>537</v>
      </c>
      <c r="K26" s="14" t="s">
        <v>541</v>
      </c>
      <c r="L26" s="14" t="s">
        <v>742</v>
      </c>
      <c r="M26" s="14" t="s">
        <v>669</v>
      </c>
      <c r="N26">
        <v>0</v>
      </c>
      <c r="O26" s="14" t="s">
        <v>686</v>
      </c>
    </row>
    <row r="27" spans="1:15" x14ac:dyDescent="0.25">
      <c r="A27" s="6" t="s">
        <v>24</v>
      </c>
      <c r="B27" t="s">
        <v>453</v>
      </c>
      <c r="C27" t="s">
        <v>463</v>
      </c>
      <c r="D27" t="s">
        <v>475</v>
      </c>
      <c r="E27" s="14" t="s">
        <v>650</v>
      </c>
      <c r="F27" s="14" t="s">
        <v>700</v>
      </c>
      <c r="G27">
        <v>0</v>
      </c>
      <c r="H27" s="14" t="s">
        <v>709</v>
      </c>
      <c r="I27" s="27" t="s">
        <v>532</v>
      </c>
      <c r="J27" s="14" t="s">
        <v>539</v>
      </c>
      <c r="K27" s="14">
        <v>0</v>
      </c>
      <c r="L27" s="14" t="s">
        <v>744</v>
      </c>
      <c r="M27" s="14" t="s">
        <v>662</v>
      </c>
      <c r="N27" s="27" t="s">
        <v>573</v>
      </c>
      <c r="O27" s="14" t="s">
        <v>687</v>
      </c>
    </row>
    <row r="28" spans="1:15" x14ac:dyDescent="0.25">
      <c r="A28" s="6" t="s">
        <v>25</v>
      </c>
      <c r="B28" t="s">
        <v>454</v>
      </c>
      <c r="C28">
        <v>0</v>
      </c>
      <c r="D28" t="s">
        <v>476</v>
      </c>
      <c r="E28" s="14" t="s">
        <v>651</v>
      </c>
      <c r="F28" s="14" t="s">
        <v>700</v>
      </c>
      <c r="G28">
        <v>0</v>
      </c>
      <c r="H28" s="14" t="s">
        <v>712</v>
      </c>
      <c r="I28" s="27" t="s">
        <v>533</v>
      </c>
      <c r="J28" s="14" t="s">
        <v>720</v>
      </c>
      <c r="K28" s="14" t="s">
        <v>732</v>
      </c>
      <c r="L28" s="14" t="s">
        <v>543</v>
      </c>
      <c r="M28" s="14" t="s">
        <v>670</v>
      </c>
      <c r="N28" s="27" t="s">
        <v>576</v>
      </c>
      <c r="O28" s="14" t="s">
        <v>678</v>
      </c>
    </row>
    <row r="29" spans="1:15" x14ac:dyDescent="0.25">
      <c r="A29" s="6" t="s">
        <v>26</v>
      </c>
      <c r="B29" t="s">
        <v>446</v>
      </c>
      <c r="C29">
        <v>0</v>
      </c>
      <c r="D29">
        <v>0</v>
      </c>
      <c r="E29" s="14" t="s">
        <v>652</v>
      </c>
      <c r="F29" s="14" t="s">
        <v>513</v>
      </c>
      <c r="G29">
        <v>0</v>
      </c>
      <c r="H29" s="14">
        <v>0</v>
      </c>
      <c r="I29" s="27" t="s">
        <v>531</v>
      </c>
      <c r="J29" s="14" t="s">
        <v>537</v>
      </c>
      <c r="K29" s="14" t="s">
        <v>541</v>
      </c>
      <c r="L29" s="14">
        <v>0</v>
      </c>
      <c r="M29" s="14" t="s">
        <v>668</v>
      </c>
      <c r="N29" s="27" t="s">
        <v>576</v>
      </c>
      <c r="O29" s="14" t="s">
        <v>688</v>
      </c>
    </row>
    <row r="30" spans="1:15" x14ac:dyDescent="0.25">
      <c r="A30" s="6" t="s">
        <v>27</v>
      </c>
      <c r="B30">
        <v>0</v>
      </c>
      <c r="C30">
        <v>0</v>
      </c>
      <c r="D30" t="s">
        <v>474</v>
      </c>
      <c r="E30" s="14" t="s">
        <v>640</v>
      </c>
      <c r="F30" s="14">
        <v>0</v>
      </c>
      <c r="G30">
        <v>0</v>
      </c>
      <c r="H30" s="14">
        <v>0</v>
      </c>
      <c r="I30">
        <v>0</v>
      </c>
      <c r="J30" s="14">
        <v>0</v>
      </c>
      <c r="K30" s="14">
        <v>0</v>
      </c>
      <c r="L30" s="14">
        <v>0</v>
      </c>
      <c r="M30" s="14" t="s">
        <v>664</v>
      </c>
      <c r="N30">
        <v>0</v>
      </c>
    </row>
    <row r="31" spans="1:15" x14ac:dyDescent="0.25">
      <c r="A31" s="6" t="s">
        <v>46</v>
      </c>
      <c r="B31" t="s">
        <v>455</v>
      </c>
      <c r="C31" t="s">
        <v>461</v>
      </c>
      <c r="D31">
        <v>0</v>
      </c>
      <c r="E31" s="14" t="s">
        <v>653</v>
      </c>
      <c r="F31" s="14">
        <v>0</v>
      </c>
      <c r="G31" t="s">
        <v>517</v>
      </c>
      <c r="H31" s="14" t="s">
        <v>520</v>
      </c>
      <c r="I31" s="27" t="s">
        <v>531</v>
      </c>
      <c r="J31" s="14" t="s">
        <v>721</v>
      </c>
      <c r="K31" s="14" t="s">
        <v>541</v>
      </c>
      <c r="L31" s="14" t="s">
        <v>745</v>
      </c>
      <c r="M31" s="14" t="s">
        <v>671</v>
      </c>
      <c r="N31">
        <v>0</v>
      </c>
      <c r="O31" s="14" t="s">
        <v>689</v>
      </c>
    </row>
    <row r="32" spans="1:15" x14ac:dyDescent="0.25">
      <c r="A32" s="6" t="s">
        <v>28</v>
      </c>
      <c r="B32">
        <v>0</v>
      </c>
      <c r="C32">
        <v>0</v>
      </c>
      <c r="D32">
        <v>0</v>
      </c>
      <c r="F32" s="14" t="s">
        <v>701</v>
      </c>
      <c r="G32">
        <v>0</v>
      </c>
      <c r="H32" s="14">
        <v>0</v>
      </c>
      <c r="I32">
        <v>0</v>
      </c>
      <c r="J32" s="14">
        <v>0</v>
      </c>
      <c r="K32" s="14">
        <v>0</v>
      </c>
      <c r="L32" s="14">
        <v>0</v>
      </c>
      <c r="N32">
        <v>0</v>
      </c>
    </row>
    <row r="33" spans="1:15" x14ac:dyDescent="0.25">
      <c r="A33" s="6" t="s">
        <v>29</v>
      </c>
      <c r="B33">
        <v>0</v>
      </c>
      <c r="C33">
        <v>0</v>
      </c>
      <c r="D33">
        <v>0</v>
      </c>
      <c r="F33" s="14">
        <v>0</v>
      </c>
      <c r="G33">
        <v>0</v>
      </c>
      <c r="H33" s="14">
        <v>0</v>
      </c>
      <c r="I33">
        <v>0</v>
      </c>
      <c r="J33" s="14">
        <v>0</v>
      </c>
      <c r="K33" s="14">
        <v>0</v>
      </c>
      <c r="L33" s="14">
        <v>0</v>
      </c>
      <c r="N33">
        <v>0</v>
      </c>
    </row>
    <row r="34" spans="1:15" x14ac:dyDescent="0.25">
      <c r="A34" s="6" t="s">
        <v>30</v>
      </c>
      <c r="B34" t="s">
        <v>445</v>
      </c>
      <c r="C34" t="s">
        <v>461</v>
      </c>
      <c r="D34" t="s">
        <v>477</v>
      </c>
      <c r="E34" s="14" t="s">
        <v>652</v>
      </c>
      <c r="F34" s="14">
        <v>0</v>
      </c>
      <c r="G34">
        <v>0</v>
      </c>
      <c r="H34" s="14" t="s">
        <v>520</v>
      </c>
      <c r="I34">
        <v>0</v>
      </c>
      <c r="J34" s="14" t="s">
        <v>538</v>
      </c>
      <c r="K34" s="14" t="s">
        <v>541</v>
      </c>
      <c r="L34" s="14" t="s">
        <v>746</v>
      </c>
      <c r="M34" s="14" t="s">
        <v>668</v>
      </c>
      <c r="N34">
        <v>0</v>
      </c>
    </row>
    <row r="35" spans="1:15" x14ac:dyDescent="0.25">
      <c r="A35" s="6" t="s">
        <v>31</v>
      </c>
      <c r="B35">
        <v>0</v>
      </c>
      <c r="C35">
        <v>0</v>
      </c>
      <c r="D35">
        <v>0</v>
      </c>
      <c r="F35" s="14">
        <v>0</v>
      </c>
      <c r="G35">
        <v>0</v>
      </c>
      <c r="H35" s="14">
        <v>0</v>
      </c>
      <c r="I35">
        <v>0</v>
      </c>
      <c r="J35" s="14">
        <v>0</v>
      </c>
      <c r="K35" s="14">
        <v>0</v>
      </c>
      <c r="L35" s="14">
        <v>0</v>
      </c>
      <c r="N35">
        <v>0</v>
      </c>
    </row>
    <row r="36" spans="1:15" x14ac:dyDescent="0.25">
      <c r="A36" s="6" t="s">
        <v>32</v>
      </c>
      <c r="B36" t="s">
        <v>456</v>
      </c>
      <c r="C36" t="s">
        <v>464</v>
      </c>
      <c r="D36" t="s">
        <v>478</v>
      </c>
      <c r="E36" s="14" t="s">
        <v>655</v>
      </c>
      <c r="F36" s="14" t="s">
        <v>702</v>
      </c>
      <c r="G36" t="s">
        <v>518</v>
      </c>
      <c r="H36" s="14" t="s">
        <v>522</v>
      </c>
      <c r="I36" s="27" t="s">
        <v>534</v>
      </c>
      <c r="J36" s="14" t="s">
        <v>722</v>
      </c>
      <c r="K36" s="14" t="s">
        <v>733</v>
      </c>
      <c r="L36" s="14" t="s">
        <v>747</v>
      </c>
      <c r="M36" s="14" t="s">
        <v>672</v>
      </c>
      <c r="N36" s="27" t="s">
        <v>577</v>
      </c>
      <c r="O36" s="14" t="s">
        <v>690</v>
      </c>
    </row>
    <row r="37" spans="1:15" x14ac:dyDescent="0.25">
      <c r="A37" s="6" t="s">
        <v>33</v>
      </c>
      <c r="B37" t="s">
        <v>457</v>
      </c>
      <c r="C37" t="s">
        <v>461</v>
      </c>
      <c r="D37" t="s">
        <v>472</v>
      </c>
      <c r="E37" s="14" t="s">
        <v>654</v>
      </c>
      <c r="F37" s="14" t="s">
        <v>700</v>
      </c>
      <c r="G37" t="s">
        <v>461</v>
      </c>
      <c r="H37" s="14" t="s">
        <v>713</v>
      </c>
      <c r="I37" s="27" t="s">
        <v>535</v>
      </c>
      <c r="J37" s="14" t="s">
        <v>723</v>
      </c>
      <c r="K37" s="14" t="s">
        <v>734</v>
      </c>
      <c r="L37" s="14" t="s">
        <v>544</v>
      </c>
      <c r="M37" s="14" t="s">
        <v>673</v>
      </c>
      <c r="N37" s="27" t="s">
        <v>578</v>
      </c>
      <c r="O37" s="14" t="s">
        <v>691</v>
      </c>
    </row>
    <row r="38" spans="1:15" x14ac:dyDescent="0.25">
      <c r="A38" s="6" t="s">
        <v>34</v>
      </c>
      <c r="B38">
        <v>0</v>
      </c>
      <c r="C38">
        <v>0</v>
      </c>
      <c r="D38">
        <v>0</v>
      </c>
      <c r="F38" s="14">
        <v>0</v>
      </c>
      <c r="G38">
        <v>0</v>
      </c>
      <c r="H38" s="14">
        <v>0</v>
      </c>
      <c r="I38">
        <v>0</v>
      </c>
      <c r="J38" s="14">
        <v>0</v>
      </c>
      <c r="K38" s="14">
        <v>0</v>
      </c>
      <c r="L38" s="14">
        <v>0</v>
      </c>
      <c r="N38">
        <v>0</v>
      </c>
    </row>
    <row r="39" spans="1:15" x14ac:dyDescent="0.25">
      <c r="A39" s="6" t="s">
        <v>35</v>
      </c>
      <c r="B39">
        <v>0</v>
      </c>
      <c r="C39">
        <v>0</v>
      </c>
      <c r="D39">
        <v>0</v>
      </c>
      <c r="F39" s="14">
        <v>0</v>
      </c>
      <c r="G39">
        <v>0</v>
      </c>
      <c r="H39" s="14">
        <v>0</v>
      </c>
      <c r="I39">
        <v>0</v>
      </c>
      <c r="J39" s="14">
        <v>0</v>
      </c>
      <c r="K39" s="14">
        <v>0</v>
      </c>
      <c r="L39" s="14">
        <v>0</v>
      </c>
      <c r="N39">
        <v>0</v>
      </c>
    </row>
    <row r="40" spans="1:15" x14ac:dyDescent="0.25">
      <c r="A40" s="6" t="s">
        <v>36</v>
      </c>
      <c r="B40" t="s">
        <v>446</v>
      </c>
      <c r="C40">
        <v>0</v>
      </c>
      <c r="D40">
        <v>0</v>
      </c>
      <c r="E40" s="14" t="s">
        <v>656</v>
      </c>
      <c r="F40" s="14">
        <v>0</v>
      </c>
      <c r="G40">
        <v>0</v>
      </c>
      <c r="H40" s="14">
        <v>0</v>
      </c>
      <c r="I40">
        <v>0</v>
      </c>
      <c r="J40" s="14">
        <v>0</v>
      </c>
      <c r="K40" s="14" t="s">
        <v>541</v>
      </c>
      <c r="L40" s="14">
        <v>0</v>
      </c>
      <c r="N40" s="27" t="s">
        <v>573</v>
      </c>
    </row>
    <row r="41" spans="1:15" x14ac:dyDescent="0.25">
      <c r="A41" s="6" t="s">
        <v>37</v>
      </c>
      <c r="B41" t="s">
        <v>458</v>
      </c>
      <c r="C41" t="s">
        <v>465</v>
      </c>
      <c r="D41" t="s">
        <v>479</v>
      </c>
      <c r="E41" s="14" t="s">
        <v>657</v>
      </c>
      <c r="F41" s="14" t="s">
        <v>703</v>
      </c>
      <c r="G41" t="s">
        <v>519</v>
      </c>
      <c r="H41" s="14" t="s">
        <v>714</v>
      </c>
      <c r="I41" s="27" t="s">
        <v>536</v>
      </c>
      <c r="J41" s="14" t="s">
        <v>724</v>
      </c>
      <c r="K41" s="14" t="s">
        <v>735</v>
      </c>
      <c r="L41" s="14" t="s">
        <v>545</v>
      </c>
      <c r="M41" s="14" t="s">
        <v>674</v>
      </c>
      <c r="N41" s="27" t="s">
        <v>579</v>
      </c>
      <c r="O41" s="14" t="s">
        <v>692</v>
      </c>
    </row>
    <row r="42" spans="1:15" x14ac:dyDescent="0.25">
      <c r="A42" s="6" t="s">
        <v>38</v>
      </c>
      <c r="B42">
        <v>0</v>
      </c>
      <c r="C42">
        <v>0</v>
      </c>
      <c r="D42">
        <v>0</v>
      </c>
      <c r="E42" s="14">
        <v>0</v>
      </c>
      <c r="F42" s="14">
        <v>0</v>
      </c>
      <c r="G42">
        <v>0</v>
      </c>
      <c r="H42" s="14">
        <v>0</v>
      </c>
      <c r="I42">
        <v>0</v>
      </c>
      <c r="J42" s="14">
        <v>0</v>
      </c>
      <c r="K42" s="14">
        <v>0</v>
      </c>
      <c r="L42" s="14">
        <v>0</v>
      </c>
      <c r="N42">
        <v>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8"/>
  <sheetViews>
    <sheetView workbookViewId="0">
      <selection activeCell="D11" sqref="D11"/>
    </sheetView>
  </sheetViews>
  <sheetFormatPr defaultRowHeight="15" x14ac:dyDescent="0.25"/>
  <cols>
    <col min="1" max="1" width="15.85546875" customWidth="1"/>
    <col min="4" max="4" width="12.28515625" customWidth="1"/>
  </cols>
  <sheetData>
    <row r="1" spans="1:19" x14ac:dyDescent="0.25">
      <c r="A1" s="32"/>
      <c r="B1" s="33" t="s">
        <v>403</v>
      </c>
      <c r="C1" s="33" t="s">
        <v>403</v>
      </c>
      <c r="D1" s="33" t="s">
        <v>403</v>
      </c>
      <c r="E1" s="33" t="s">
        <v>403</v>
      </c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</row>
    <row r="2" spans="1:19" x14ac:dyDescent="0.25">
      <c r="A2" s="32"/>
      <c r="B2" s="33" t="s">
        <v>404</v>
      </c>
      <c r="C2" s="33" t="s">
        <v>405</v>
      </c>
      <c r="D2" s="33" t="s">
        <v>406</v>
      </c>
      <c r="E2" s="33" t="s">
        <v>407</v>
      </c>
      <c r="F2" s="33" t="s">
        <v>408</v>
      </c>
      <c r="G2" s="33" t="s">
        <v>409</v>
      </c>
      <c r="H2" s="33" t="s">
        <v>410</v>
      </c>
      <c r="I2" s="33" t="s">
        <v>411</v>
      </c>
      <c r="J2" s="33" t="s">
        <v>412</v>
      </c>
      <c r="K2" s="33" t="s">
        <v>413</v>
      </c>
      <c r="L2" s="32"/>
      <c r="M2" s="32"/>
      <c r="N2" s="32"/>
      <c r="O2" s="32"/>
      <c r="P2" s="32"/>
      <c r="Q2" s="32"/>
      <c r="R2" s="32"/>
      <c r="S2" s="32"/>
    </row>
    <row r="3" spans="1:19" x14ac:dyDescent="0.25">
      <c r="A3" s="34" t="s">
        <v>414</v>
      </c>
      <c r="B3" s="35">
        <v>25</v>
      </c>
      <c r="C3" s="35">
        <v>2700</v>
      </c>
      <c r="D3" s="35">
        <v>66</v>
      </c>
      <c r="E3" s="35">
        <v>3.1566666666666663</v>
      </c>
      <c r="F3" s="35">
        <f>B3/C3</f>
        <v>9.2592592592592587E-3</v>
      </c>
      <c r="G3" s="35">
        <f>1/F3</f>
        <v>108</v>
      </c>
      <c r="H3" s="35">
        <f>D3*G3</f>
        <v>7128</v>
      </c>
      <c r="I3" s="35">
        <f>(C3*C3)*E3*(1-F3)/B3</f>
        <v>911960.99999999988</v>
      </c>
      <c r="J3" s="35">
        <f>I3/$I$8</f>
        <v>1</v>
      </c>
      <c r="K3" s="35">
        <f>J3*J3/($B$3-1)</f>
        <v>4.1666666666666664E-2</v>
      </c>
      <c r="L3" s="32"/>
      <c r="M3" s="32"/>
      <c r="N3" s="32"/>
      <c r="O3" s="32"/>
      <c r="P3" s="32"/>
      <c r="Q3" s="32"/>
      <c r="R3" s="32"/>
      <c r="S3" s="32"/>
    </row>
    <row r="4" spans="1:19" x14ac:dyDescent="0.25">
      <c r="A4" s="34" t="s">
        <v>415</v>
      </c>
      <c r="B4" s="35"/>
      <c r="C4" s="35"/>
      <c r="D4" s="35"/>
      <c r="E4" s="36"/>
      <c r="F4" s="35"/>
      <c r="G4" s="35"/>
      <c r="H4" s="35"/>
      <c r="I4" s="35"/>
      <c r="J4" s="35"/>
      <c r="K4" s="35"/>
      <c r="L4" s="32"/>
      <c r="M4" s="32"/>
      <c r="N4" s="32"/>
      <c r="O4" s="32"/>
      <c r="P4" s="32"/>
      <c r="Q4" s="32"/>
      <c r="R4" s="32"/>
      <c r="S4" s="32"/>
    </row>
    <row r="5" spans="1:19" x14ac:dyDescent="0.25">
      <c r="A5" s="34" t="s">
        <v>416</v>
      </c>
      <c r="B5" s="35"/>
      <c r="C5" s="35"/>
      <c r="D5" s="35"/>
      <c r="E5" s="36"/>
      <c r="F5" s="35"/>
      <c r="G5" s="35"/>
      <c r="H5" s="35"/>
      <c r="I5" s="35"/>
      <c r="J5" s="35"/>
      <c r="K5" s="35"/>
      <c r="L5" s="32"/>
      <c r="M5" s="32"/>
      <c r="N5" s="32"/>
      <c r="O5" s="32"/>
      <c r="P5" s="32"/>
      <c r="Q5" s="32"/>
      <c r="R5" s="32"/>
      <c r="S5" s="32"/>
    </row>
    <row r="6" spans="1:19" x14ac:dyDescent="0.25">
      <c r="A6" s="34" t="s">
        <v>417</v>
      </c>
      <c r="B6" s="35"/>
      <c r="C6" s="35"/>
      <c r="D6" s="35"/>
      <c r="E6" s="36"/>
      <c r="F6" s="35"/>
      <c r="G6" s="35"/>
      <c r="H6" s="35"/>
      <c r="I6" s="35"/>
      <c r="J6" s="35"/>
      <c r="K6" s="35"/>
      <c r="L6" s="32"/>
      <c r="M6" s="32"/>
      <c r="N6" s="32"/>
      <c r="O6" s="32"/>
      <c r="P6" s="32"/>
      <c r="Q6" s="32"/>
      <c r="R6" s="32"/>
      <c r="S6" s="32"/>
    </row>
    <row r="7" spans="1:19" x14ac:dyDescent="0.25">
      <c r="A7" s="32"/>
      <c r="B7" s="32"/>
      <c r="C7" s="32"/>
      <c r="D7" s="32" t="s">
        <v>418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</row>
    <row r="8" spans="1:19" x14ac:dyDescent="0.25">
      <c r="A8" s="34" t="s">
        <v>383</v>
      </c>
      <c r="B8" s="32"/>
      <c r="C8" s="32"/>
      <c r="D8" s="32"/>
      <c r="E8" s="32"/>
      <c r="F8" s="35">
        <f t="shared" ref="F8:K8" si="0">SUM(F3:F6)</f>
        <v>9.2592592592592587E-3</v>
      </c>
      <c r="G8" s="35">
        <f t="shared" si="0"/>
        <v>108</v>
      </c>
      <c r="H8" s="35">
        <f t="shared" si="0"/>
        <v>7128</v>
      </c>
      <c r="I8" s="35">
        <f t="shared" si="0"/>
        <v>911960.99999999988</v>
      </c>
      <c r="J8" s="35">
        <f t="shared" si="0"/>
        <v>1</v>
      </c>
      <c r="K8" s="35">
        <f t="shared" si="0"/>
        <v>4.1666666666666664E-2</v>
      </c>
      <c r="L8" s="32"/>
      <c r="M8" s="32"/>
      <c r="N8" s="32"/>
      <c r="O8" s="32"/>
      <c r="P8" s="32"/>
      <c r="Q8" s="32"/>
      <c r="R8" s="32"/>
      <c r="S8" s="32"/>
    </row>
    <row r="9" spans="1:19" x14ac:dyDescent="0.25">
      <c r="A9" s="32"/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</row>
    <row r="10" spans="1:19" x14ac:dyDescent="0.25">
      <c r="A10" s="34" t="s">
        <v>419</v>
      </c>
      <c r="B10" s="32"/>
      <c r="C10" s="33" t="s">
        <v>420</v>
      </c>
      <c r="D10" s="36">
        <f>$H$8</f>
        <v>7128</v>
      </c>
      <c r="E10" s="32"/>
      <c r="F10" s="34" t="s">
        <v>421</v>
      </c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</row>
    <row r="11" spans="1:19" x14ac:dyDescent="0.25">
      <c r="A11" s="34" t="s">
        <v>422</v>
      </c>
      <c r="B11" s="32"/>
      <c r="C11" s="33" t="s">
        <v>423</v>
      </c>
      <c r="D11" s="35">
        <f>1/$K$8</f>
        <v>24</v>
      </c>
      <c r="E11" s="32"/>
      <c r="F11" s="34" t="s">
        <v>424</v>
      </c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</row>
    <row r="12" spans="1:19" x14ac:dyDescent="0.25">
      <c r="A12" s="34" t="s">
        <v>425</v>
      </c>
      <c r="B12" s="32"/>
      <c r="C12" s="32"/>
      <c r="D12" s="32"/>
      <c r="E12" s="32"/>
      <c r="F12" s="34" t="s">
        <v>426</v>
      </c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</row>
    <row r="13" spans="1:19" x14ac:dyDescent="0.25">
      <c r="A13" s="34"/>
      <c r="B13" s="32"/>
      <c r="C13" s="32"/>
      <c r="D13" s="32"/>
      <c r="E13" s="32"/>
      <c r="F13" s="34" t="s">
        <v>427</v>
      </c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</row>
    <row r="14" spans="1:19" x14ac:dyDescent="0.25">
      <c r="A14" s="33" t="s">
        <v>428</v>
      </c>
      <c r="B14" s="32">
        <f>(TDIST(0.95,D11,1))*10</f>
        <v>1.7579078750503192</v>
      </c>
      <c r="C14" s="32"/>
      <c r="D14" s="32"/>
      <c r="E14" s="32"/>
      <c r="F14" s="34" t="s">
        <v>429</v>
      </c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</row>
    <row r="15" spans="1:19" ht="15.75" x14ac:dyDescent="0.25">
      <c r="A15" s="34" t="s">
        <v>430</v>
      </c>
      <c r="B15" s="32"/>
      <c r="C15" s="32"/>
      <c r="D15" s="37"/>
      <c r="E15" s="38"/>
      <c r="F15" s="38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</row>
    <row r="16" spans="1:19" x14ac:dyDescent="0.25">
      <c r="A16" s="33" t="s">
        <v>431</v>
      </c>
      <c r="B16" s="36">
        <f>$D$10+(B14)*SQRT($I$8)</f>
        <v>8806.7431159202752</v>
      </c>
      <c r="C16" s="32"/>
      <c r="D16" s="33" t="s">
        <v>432</v>
      </c>
      <c r="E16" s="39">
        <f>$D$10</f>
        <v>7128</v>
      </c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</row>
    <row r="17" spans="1:19" x14ac:dyDescent="0.25">
      <c r="A17" s="33" t="s">
        <v>433</v>
      </c>
      <c r="B17" s="36">
        <f>$D$10-(B14)*SQRT($I$8)</f>
        <v>5449.2568840797248</v>
      </c>
      <c r="C17" s="32"/>
      <c r="D17" s="40" t="s">
        <v>434</v>
      </c>
      <c r="E17" s="39">
        <f>(B14)*SQRT($I$8)</f>
        <v>1678.7431159202749</v>
      </c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</row>
    <row r="18" spans="1:19" x14ac:dyDescent="0.25">
      <c r="A18" s="32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</row>
    <row r="19" spans="1:19" ht="15.75" thickBot="1" x14ac:dyDescent="0.3">
      <c r="A19" s="41"/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</row>
    <row r="20" spans="1:19" ht="15.75" thickTop="1" x14ac:dyDescent="0.25">
      <c r="A20" s="42" t="s">
        <v>435</v>
      </c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43"/>
      <c r="M20" s="32"/>
      <c r="N20" s="32"/>
      <c r="O20" s="32"/>
      <c r="P20" s="32"/>
      <c r="Q20" s="32"/>
      <c r="R20" s="32"/>
      <c r="S20" s="32"/>
    </row>
    <row r="21" spans="1:19" x14ac:dyDescent="0.25">
      <c r="A21" s="44" t="s">
        <v>436</v>
      </c>
      <c r="B21" s="32"/>
      <c r="C21" s="32"/>
      <c r="D21" s="32"/>
      <c r="E21" s="44"/>
      <c r="F21" s="32"/>
      <c r="G21" s="32"/>
      <c r="H21" s="32"/>
      <c r="I21" s="44"/>
      <c r="J21" s="32"/>
      <c r="K21" s="32"/>
      <c r="L21" s="43"/>
      <c r="M21" s="44"/>
      <c r="N21" s="32"/>
      <c r="O21" s="32"/>
      <c r="P21" s="32"/>
      <c r="Q21" s="44"/>
      <c r="R21" s="32"/>
      <c r="S21" s="32"/>
    </row>
    <row r="22" spans="1:19" x14ac:dyDescent="0.25">
      <c r="A22" s="44" t="s">
        <v>437</v>
      </c>
      <c r="B22" s="32"/>
      <c r="C22" s="32"/>
      <c r="D22" s="32"/>
      <c r="E22" s="44"/>
      <c r="F22" s="32"/>
      <c r="G22" s="32"/>
      <c r="H22" s="32"/>
      <c r="I22" s="44"/>
      <c r="J22" s="32"/>
      <c r="K22" s="32"/>
      <c r="L22" s="43"/>
      <c r="M22" s="44"/>
      <c r="N22" s="32"/>
      <c r="O22" s="32"/>
      <c r="P22" s="32"/>
      <c r="Q22" s="44"/>
      <c r="R22" s="32"/>
      <c r="S22" s="32"/>
    </row>
    <row r="23" spans="1:19" x14ac:dyDescent="0.25">
      <c r="A23" s="32" t="s">
        <v>430</v>
      </c>
      <c r="B23" s="32"/>
      <c r="C23" s="32"/>
      <c r="D23" s="32"/>
      <c r="E23" s="32" t="s">
        <v>430</v>
      </c>
      <c r="F23" s="32"/>
      <c r="G23" s="32"/>
      <c r="H23" s="32"/>
      <c r="I23" s="32" t="s">
        <v>430</v>
      </c>
      <c r="J23" s="32"/>
      <c r="K23" s="32"/>
      <c r="L23" s="43"/>
      <c r="M23" s="32" t="s">
        <v>430</v>
      </c>
      <c r="N23" s="32"/>
      <c r="O23" s="32"/>
      <c r="P23" s="32"/>
      <c r="Q23" s="32" t="s">
        <v>430</v>
      </c>
      <c r="R23" s="32"/>
      <c r="S23" s="32"/>
    </row>
    <row r="24" spans="1:19" x14ac:dyDescent="0.25">
      <c r="A24" s="32" t="s">
        <v>432</v>
      </c>
      <c r="B24" s="32"/>
      <c r="C24" s="32"/>
      <c r="D24" s="32"/>
      <c r="E24" s="32" t="s">
        <v>432</v>
      </c>
      <c r="F24" s="32"/>
      <c r="G24" s="32"/>
      <c r="H24" s="32"/>
      <c r="I24" s="32" t="s">
        <v>432</v>
      </c>
      <c r="J24" s="45"/>
      <c r="K24" s="32"/>
      <c r="L24" s="43"/>
      <c r="M24" s="32" t="s">
        <v>432</v>
      </c>
      <c r="N24" s="32"/>
      <c r="O24" s="32"/>
      <c r="P24" s="32"/>
      <c r="Q24" s="32" t="s">
        <v>432</v>
      </c>
      <c r="R24" s="45"/>
      <c r="S24" s="32"/>
    </row>
    <row r="25" spans="1:19" x14ac:dyDescent="0.25">
      <c r="A25" s="32" t="s">
        <v>434</v>
      </c>
      <c r="B25" s="32"/>
      <c r="C25" s="32"/>
      <c r="D25" s="32"/>
      <c r="E25" s="32" t="s">
        <v>434</v>
      </c>
      <c r="F25" s="32"/>
      <c r="G25" s="32"/>
      <c r="H25" s="32"/>
      <c r="I25" s="32" t="s">
        <v>434</v>
      </c>
      <c r="J25" s="45"/>
      <c r="K25" s="32"/>
      <c r="L25" s="43"/>
      <c r="M25" s="32" t="s">
        <v>434</v>
      </c>
      <c r="N25" s="32"/>
      <c r="O25" s="32"/>
      <c r="P25" s="32"/>
      <c r="Q25" s="32" t="s">
        <v>434</v>
      </c>
      <c r="R25" s="45"/>
      <c r="S25" s="32"/>
    </row>
    <row r="26" spans="1:19" x14ac:dyDescent="0.25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43"/>
      <c r="M26" s="32"/>
      <c r="N26" s="32"/>
      <c r="O26" s="32"/>
      <c r="P26" s="32"/>
      <c r="Q26" s="32"/>
      <c r="R26" s="32"/>
      <c r="S26" s="32"/>
    </row>
    <row r="27" spans="1:19" x14ac:dyDescent="0.25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43"/>
      <c r="M27" s="32"/>
      <c r="N27" s="32"/>
      <c r="O27" s="32"/>
      <c r="P27" s="32"/>
      <c r="Q27" s="32"/>
      <c r="R27" s="32"/>
      <c r="S27" s="32"/>
    </row>
    <row r="28" spans="1:19" x14ac:dyDescent="0.25">
      <c r="A28" s="46" t="s">
        <v>438</v>
      </c>
      <c r="B28" s="32"/>
      <c r="C28" s="32"/>
      <c r="D28" s="32"/>
      <c r="E28" s="46" t="s">
        <v>438</v>
      </c>
      <c r="F28" s="32"/>
      <c r="G28" s="32"/>
      <c r="H28" s="32"/>
      <c r="I28" s="46" t="s">
        <v>438</v>
      </c>
      <c r="J28" s="32"/>
      <c r="K28" s="32"/>
      <c r="L28" s="43"/>
      <c r="M28" s="46" t="s">
        <v>438</v>
      </c>
      <c r="N28" s="32"/>
      <c r="O28" s="32"/>
      <c r="P28" s="32"/>
      <c r="Q28" s="46" t="s">
        <v>438</v>
      </c>
      <c r="R28" s="32"/>
      <c r="S28" s="32"/>
    </row>
    <row r="29" spans="1:19" x14ac:dyDescent="0.25">
      <c r="A29" s="32" t="s">
        <v>430</v>
      </c>
      <c r="B29" s="32"/>
      <c r="C29" s="32"/>
      <c r="D29" s="32"/>
      <c r="E29" s="32" t="s">
        <v>430</v>
      </c>
      <c r="F29" s="32"/>
      <c r="G29" s="32"/>
      <c r="H29" s="32"/>
      <c r="I29" s="32" t="s">
        <v>430</v>
      </c>
      <c r="J29" s="32"/>
      <c r="K29" s="32"/>
      <c r="L29" s="43"/>
      <c r="M29" s="32" t="s">
        <v>430</v>
      </c>
      <c r="N29" s="32"/>
      <c r="O29" s="32"/>
      <c r="P29" s="32"/>
      <c r="Q29" s="32" t="s">
        <v>430</v>
      </c>
      <c r="R29" s="32"/>
      <c r="S29" s="32"/>
    </row>
    <row r="30" spans="1:19" x14ac:dyDescent="0.25">
      <c r="A30" s="32" t="s">
        <v>432</v>
      </c>
      <c r="B30" s="32"/>
      <c r="C30" s="32"/>
      <c r="D30" s="32"/>
      <c r="E30" s="32" t="s">
        <v>432</v>
      </c>
      <c r="F30" s="32"/>
      <c r="G30" s="32"/>
      <c r="H30" s="32"/>
      <c r="I30" s="32" t="s">
        <v>432</v>
      </c>
      <c r="J30" s="45"/>
      <c r="K30" s="32"/>
      <c r="L30" s="43"/>
      <c r="M30" s="32" t="s">
        <v>432</v>
      </c>
      <c r="N30" s="32"/>
      <c r="O30" s="32"/>
      <c r="P30" s="32"/>
      <c r="Q30" s="32" t="s">
        <v>432</v>
      </c>
      <c r="R30" s="32"/>
      <c r="S30" s="32"/>
    </row>
    <row r="31" spans="1:19" x14ac:dyDescent="0.25">
      <c r="A31" s="32" t="s">
        <v>434</v>
      </c>
      <c r="B31" s="32"/>
      <c r="C31" s="32"/>
      <c r="D31" s="32"/>
      <c r="E31" s="32" t="s">
        <v>434</v>
      </c>
      <c r="F31" s="32"/>
      <c r="G31" s="32"/>
      <c r="H31" s="32"/>
      <c r="I31" s="32" t="s">
        <v>434</v>
      </c>
      <c r="J31" s="45"/>
      <c r="K31" s="32"/>
      <c r="L31" s="43"/>
      <c r="M31" s="32" t="s">
        <v>434</v>
      </c>
      <c r="N31" s="32"/>
      <c r="O31" s="32"/>
      <c r="P31" s="32"/>
      <c r="Q31" s="32" t="s">
        <v>434</v>
      </c>
      <c r="R31" s="32"/>
      <c r="S31" s="32"/>
    </row>
    <row r="32" spans="1:19" x14ac:dyDescent="0.25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43"/>
      <c r="M32" s="32"/>
      <c r="N32" s="32"/>
      <c r="O32" s="32"/>
      <c r="P32" s="32"/>
      <c r="Q32" s="32"/>
      <c r="R32" s="32"/>
      <c r="S32" s="32"/>
    </row>
    <row r="33" spans="1:19" x14ac:dyDescent="0.25">
      <c r="A33" s="46" t="s">
        <v>439</v>
      </c>
      <c r="B33" s="32"/>
      <c r="C33" s="32"/>
      <c r="D33" s="32"/>
      <c r="E33" s="46" t="s">
        <v>439</v>
      </c>
      <c r="F33" s="32"/>
      <c r="G33" s="32"/>
      <c r="H33" s="32"/>
      <c r="I33" s="46" t="s">
        <v>439</v>
      </c>
      <c r="J33" s="32"/>
      <c r="K33" s="32"/>
      <c r="L33" s="43"/>
      <c r="M33" s="46" t="s">
        <v>439</v>
      </c>
      <c r="N33" s="32"/>
      <c r="O33" s="32"/>
      <c r="P33" s="32"/>
      <c r="Q33" s="46" t="s">
        <v>439</v>
      </c>
      <c r="R33" s="32"/>
      <c r="S33" s="32"/>
    </row>
    <row r="34" spans="1:19" x14ac:dyDescent="0.25">
      <c r="A34" s="32" t="s">
        <v>430</v>
      </c>
      <c r="B34" s="32"/>
      <c r="C34" s="32"/>
      <c r="D34" s="32"/>
      <c r="E34" s="32" t="s">
        <v>430</v>
      </c>
      <c r="F34" s="32"/>
      <c r="G34" s="32"/>
      <c r="H34" s="32"/>
      <c r="I34" s="32" t="s">
        <v>430</v>
      </c>
      <c r="J34" s="32"/>
      <c r="K34" s="32"/>
      <c r="L34" s="43"/>
      <c r="M34" s="32" t="s">
        <v>430</v>
      </c>
      <c r="N34" s="32"/>
      <c r="O34" s="32"/>
      <c r="P34" s="32"/>
      <c r="Q34" s="32" t="s">
        <v>430</v>
      </c>
      <c r="R34" s="32"/>
      <c r="S34" s="32"/>
    </row>
    <row r="35" spans="1:19" x14ac:dyDescent="0.25">
      <c r="A35" s="32" t="s">
        <v>432</v>
      </c>
      <c r="B35" s="32"/>
      <c r="C35" s="32"/>
      <c r="D35" s="32"/>
      <c r="E35" s="32" t="s">
        <v>432</v>
      </c>
      <c r="F35" s="32"/>
      <c r="G35" s="32"/>
      <c r="H35" s="32"/>
      <c r="I35" s="32" t="s">
        <v>432</v>
      </c>
      <c r="J35" s="39"/>
      <c r="K35" s="32"/>
      <c r="L35" s="43"/>
      <c r="M35" s="32" t="s">
        <v>432</v>
      </c>
      <c r="N35" s="32"/>
      <c r="O35" s="32"/>
      <c r="P35" s="32"/>
      <c r="Q35" s="32" t="s">
        <v>432</v>
      </c>
      <c r="R35" s="32"/>
      <c r="S35" s="32"/>
    </row>
    <row r="36" spans="1:19" x14ac:dyDescent="0.25">
      <c r="A36" s="32" t="s">
        <v>434</v>
      </c>
      <c r="B36" s="32"/>
      <c r="C36" s="32"/>
      <c r="D36" s="32"/>
      <c r="E36" s="32" t="s">
        <v>434</v>
      </c>
      <c r="F36" s="32"/>
      <c r="G36" s="32"/>
      <c r="H36" s="32"/>
      <c r="I36" s="32" t="s">
        <v>434</v>
      </c>
      <c r="J36" s="39"/>
      <c r="K36" s="32"/>
      <c r="L36" s="43"/>
      <c r="M36" s="32" t="s">
        <v>434</v>
      </c>
      <c r="N36" s="32"/>
      <c r="O36" s="32"/>
      <c r="P36" s="32"/>
      <c r="Q36" s="32" t="s">
        <v>434</v>
      </c>
      <c r="R36" s="32"/>
      <c r="S36" s="32"/>
    </row>
    <row r="37" spans="1:19" ht="15.75" thickBot="1" x14ac:dyDescent="0.3">
      <c r="A37" s="47"/>
      <c r="B37" s="48"/>
      <c r="C37" s="32"/>
      <c r="D37" s="32"/>
      <c r="E37" s="47"/>
      <c r="F37" s="48"/>
      <c r="G37" s="48"/>
      <c r="H37" s="32"/>
      <c r="I37" s="47"/>
      <c r="J37" s="48"/>
      <c r="K37" s="48"/>
      <c r="L37" s="43"/>
      <c r="M37" s="47"/>
      <c r="N37" s="48"/>
      <c r="O37" s="48"/>
      <c r="P37" s="32"/>
      <c r="Q37" s="48"/>
      <c r="R37" s="48"/>
      <c r="S37" s="48"/>
    </row>
    <row r="38" spans="1:19" x14ac:dyDescent="0.25">
      <c r="A38" s="4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43"/>
      <c r="M38" s="32"/>
      <c r="N38" s="32"/>
      <c r="O38" s="32"/>
      <c r="P38" s="32"/>
      <c r="Q38" s="32"/>
      <c r="R38" s="32"/>
      <c r="S38" s="3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7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X24" sqref="B24:X24"/>
    </sheetView>
  </sheetViews>
  <sheetFormatPr defaultRowHeight="15" x14ac:dyDescent="0.25"/>
  <cols>
    <col min="1" max="1" width="24.7109375" customWidth="1"/>
  </cols>
  <sheetData>
    <row r="1" spans="1:36" x14ac:dyDescent="0.25">
      <c r="A1" s="1" t="s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  <c r="V1" s="2">
        <v>21</v>
      </c>
      <c r="W1" s="2">
        <v>22</v>
      </c>
      <c r="X1" s="2">
        <v>23</v>
      </c>
      <c r="Y1" s="2">
        <v>24</v>
      </c>
      <c r="Z1" s="3">
        <v>25</v>
      </c>
    </row>
    <row r="2" spans="1:36" ht="15.75" thickBot="1" x14ac:dyDescent="0.3">
      <c r="A2" s="4" t="s">
        <v>1</v>
      </c>
      <c r="B2" s="5" t="s">
        <v>40</v>
      </c>
      <c r="C2" s="5" t="s">
        <v>41</v>
      </c>
      <c r="D2" s="5" t="s">
        <v>42</v>
      </c>
      <c r="E2" s="5" t="s">
        <v>43</v>
      </c>
      <c r="F2" s="5" t="s">
        <v>44</v>
      </c>
      <c r="G2" s="5" t="s">
        <v>45</v>
      </c>
      <c r="H2" s="5" t="s">
        <v>47</v>
      </c>
      <c r="I2" s="5" t="s">
        <v>48</v>
      </c>
      <c r="J2" s="5" t="s">
        <v>49</v>
      </c>
      <c r="K2" s="5" t="s">
        <v>50</v>
      </c>
      <c r="L2" s="5" t="s">
        <v>51</v>
      </c>
      <c r="M2" s="5" t="s">
        <v>52</v>
      </c>
      <c r="N2" s="5" t="s">
        <v>53</v>
      </c>
      <c r="O2" s="5" t="s">
        <v>54</v>
      </c>
      <c r="P2" s="5" t="s">
        <v>55</v>
      </c>
      <c r="Q2" s="5" t="s">
        <v>56</v>
      </c>
      <c r="R2" s="5" t="s">
        <v>57</v>
      </c>
      <c r="S2" s="5" t="s">
        <v>58</v>
      </c>
      <c r="T2" s="5" t="s">
        <v>60</v>
      </c>
      <c r="U2" s="5" t="s">
        <v>61</v>
      </c>
      <c r="V2" s="5" t="s">
        <v>62</v>
      </c>
      <c r="W2" s="5" t="s">
        <v>63</v>
      </c>
      <c r="X2" s="5" t="s">
        <v>64</v>
      </c>
      <c r="Y2" s="5"/>
      <c r="Z2" s="5"/>
      <c r="AA2" s="5" t="s">
        <v>2</v>
      </c>
      <c r="AB2" s="5" t="s">
        <v>3</v>
      </c>
    </row>
    <row r="3" spans="1:36" ht="15.75" thickBot="1" x14ac:dyDescent="0.3">
      <c r="A3" s="6" t="s">
        <v>4</v>
      </c>
      <c r="B3">
        <v>11</v>
      </c>
      <c r="C3">
        <v>2</v>
      </c>
      <c r="D3">
        <v>2</v>
      </c>
      <c r="E3">
        <v>1</v>
      </c>
      <c r="F3">
        <v>2</v>
      </c>
      <c r="G3">
        <v>8</v>
      </c>
      <c r="H3">
        <v>1</v>
      </c>
      <c r="J3">
        <v>7</v>
      </c>
      <c r="K3">
        <v>1</v>
      </c>
      <c r="M3">
        <v>5</v>
      </c>
      <c r="N3">
        <v>2</v>
      </c>
      <c r="O3">
        <v>1</v>
      </c>
      <c r="P3">
        <v>4</v>
      </c>
      <c r="Q3">
        <v>2</v>
      </c>
      <c r="U3">
        <v>8</v>
      </c>
      <c r="V3">
        <v>2</v>
      </c>
      <c r="AA3">
        <f t="shared" ref="AA3:AA22" si="0">SUM(B3:Z3)</f>
        <v>59</v>
      </c>
      <c r="AB3">
        <f>(AA3/AA24)*100</f>
        <v>10.479573712255773</v>
      </c>
      <c r="AJ3" s="50"/>
    </row>
    <row r="4" spans="1:36" s="27" customFormat="1" ht="15.75" thickBot="1" x14ac:dyDescent="0.3">
      <c r="A4" s="28" t="s">
        <v>5</v>
      </c>
      <c r="B4" s="27">
        <v>1</v>
      </c>
      <c r="L4" s="27">
        <v>1</v>
      </c>
      <c r="AA4">
        <f t="shared" si="0"/>
        <v>2</v>
      </c>
      <c r="AB4" s="27">
        <f>(AA4/AA24)*100</f>
        <v>0.35523978685612789</v>
      </c>
      <c r="AJ4" s="51"/>
    </row>
    <row r="5" spans="1:36" ht="15.75" thickBot="1" x14ac:dyDescent="0.3">
      <c r="A5" s="6" t="s">
        <v>6</v>
      </c>
      <c r="L5">
        <v>1</v>
      </c>
      <c r="AA5">
        <f t="shared" si="0"/>
        <v>1</v>
      </c>
      <c r="AB5">
        <f>(AA5/AA24)*100</f>
        <v>0.17761989342806395</v>
      </c>
      <c r="AJ5" s="51"/>
    </row>
    <row r="6" spans="1:36" ht="15.75" thickBot="1" x14ac:dyDescent="0.3">
      <c r="A6" s="6" t="s">
        <v>9</v>
      </c>
      <c r="S6">
        <v>2</v>
      </c>
      <c r="T6">
        <v>1</v>
      </c>
      <c r="U6">
        <v>1</v>
      </c>
      <c r="AA6">
        <f t="shared" si="0"/>
        <v>4</v>
      </c>
      <c r="AB6">
        <f>(AA6/AA24)*100</f>
        <v>0.71047957371225579</v>
      </c>
      <c r="AJ6" s="51"/>
    </row>
    <row r="7" spans="1:36" ht="15.75" thickBot="1" x14ac:dyDescent="0.3">
      <c r="A7" s="6" t="s">
        <v>11</v>
      </c>
      <c r="B7">
        <v>1</v>
      </c>
      <c r="F7">
        <v>2</v>
      </c>
      <c r="G7">
        <v>2</v>
      </c>
      <c r="J7">
        <v>2</v>
      </c>
      <c r="T7">
        <v>2</v>
      </c>
      <c r="AA7">
        <f t="shared" si="0"/>
        <v>9</v>
      </c>
      <c r="AB7">
        <f>(AA7/AA24)*100</f>
        <v>1.5985790408525755</v>
      </c>
      <c r="AJ7" s="51"/>
    </row>
    <row r="8" spans="1:36" ht="15.75" thickBot="1" x14ac:dyDescent="0.3">
      <c r="A8" s="6" t="s">
        <v>59</v>
      </c>
      <c r="S8">
        <v>1</v>
      </c>
      <c r="U8">
        <v>1</v>
      </c>
      <c r="AA8">
        <f t="shared" si="0"/>
        <v>2</v>
      </c>
      <c r="AB8">
        <f>(AA8/AA24)*100</f>
        <v>0.35523978685612789</v>
      </c>
      <c r="AJ8" s="51"/>
    </row>
    <row r="9" spans="1:36" s="27" customFormat="1" ht="15.75" thickBot="1" x14ac:dyDescent="0.3">
      <c r="A9" s="28" t="s">
        <v>16</v>
      </c>
      <c r="C9" s="27">
        <v>1</v>
      </c>
      <c r="G9" s="27">
        <v>2</v>
      </c>
      <c r="K9" s="27">
        <v>1</v>
      </c>
      <c r="M9" s="27">
        <v>1</v>
      </c>
      <c r="T9" s="27">
        <v>1</v>
      </c>
      <c r="V9" s="27">
        <v>1</v>
      </c>
      <c r="AA9">
        <f t="shared" si="0"/>
        <v>7</v>
      </c>
      <c r="AB9" s="27">
        <f>(AA9/AA24)*100</f>
        <v>1.2433392539964476</v>
      </c>
      <c r="AJ9" s="51"/>
    </row>
    <row r="10" spans="1:36" s="27" customFormat="1" ht="15.75" thickBot="1" x14ac:dyDescent="0.3">
      <c r="A10" s="28" t="s">
        <v>18</v>
      </c>
      <c r="G10" s="27">
        <v>1</v>
      </c>
      <c r="O10" s="27">
        <v>1</v>
      </c>
      <c r="P10" s="27">
        <v>1</v>
      </c>
      <c r="Q10" s="27">
        <v>1</v>
      </c>
      <c r="R10" s="27">
        <v>1</v>
      </c>
      <c r="T10" s="27">
        <v>1</v>
      </c>
      <c r="W10" s="27">
        <v>1</v>
      </c>
      <c r="AA10">
        <f t="shared" si="0"/>
        <v>7</v>
      </c>
      <c r="AB10" s="27">
        <f>(AA10/AA24)*100</f>
        <v>1.2433392539964476</v>
      </c>
      <c r="AJ10" s="51"/>
    </row>
    <row r="11" spans="1:36" s="27" customFormat="1" ht="15.75" thickBot="1" x14ac:dyDescent="0.3">
      <c r="A11" s="28" t="s">
        <v>19</v>
      </c>
      <c r="E11" s="27">
        <v>4</v>
      </c>
      <c r="F11" s="27">
        <v>1</v>
      </c>
      <c r="H11" s="27">
        <v>1</v>
      </c>
      <c r="I11" s="27">
        <v>1</v>
      </c>
      <c r="K11" s="27">
        <v>1</v>
      </c>
      <c r="M11" s="27">
        <v>1</v>
      </c>
      <c r="O11" s="27">
        <v>1</v>
      </c>
      <c r="P11" s="27">
        <v>1</v>
      </c>
      <c r="T11" s="27">
        <v>2</v>
      </c>
      <c r="U11" s="27">
        <v>2</v>
      </c>
      <c r="V11" s="27">
        <v>2</v>
      </c>
      <c r="W11" s="27">
        <v>1</v>
      </c>
      <c r="X11" s="27">
        <v>2</v>
      </c>
      <c r="AA11">
        <f t="shared" si="0"/>
        <v>20</v>
      </c>
      <c r="AB11" s="27">
        <f>(AA11/AA24)*100</f>
        <v>3.5523978685612785</v>
      </c>
      <c r="AJ11" s="51"/>
    </row>
    <row r="12" spans="1:36" s="27" customFormat="1" x14ac:dyDescent="0.25">
      <c r="A12" s="28" t="s">
        <v>22</v>
      </c>
      <c r="K12" s="27">
        <v>2</v>
      </c>
      <c r="R12" s="27">
        <v>1</v>
      </c>
      <c r="T12" s="27">
        <v>1</v>
      </c>
      <c r="U12" s="27">
        <v>1</v>
      </c>
      <c r="V12" s="27">
        <v>2</v>
      </c>
      <c r="AA12">
        <f t="shared" si="0"/>
        <v>7</v>
      </c>
      <c r="AB12" s="27">
        <f>(AA12/AA24)*100</f>
        <v>1.2433392539964476</v>
      </c>
    </row>
    <row r="13" spans="1:36" x14ac:dyDescent="0.25">
      <c r="A13" s="6" t="s">
        <v>23</v>
      </c>
      <c r="I13">
        <v>1</v>
      </c>
      <c r="AA13">
        <f t="shared" si="0"/>
        <v>1</v>
      </c>
      <c r="AB13">
        <f>(AA13/AA24)*100</f>
        <v>0.17761989342806395</v>
      </c>
    </row>
    <row r="14" spans="1:36" s="27" customFormat="1" x14ac:dyDescent="0.25">
      <c r="A14" s="28" t="s">
        <v>24</v>
      </c>
      <c r="B14" s="27">
        <v>1</v>
      </c>
      <c r="G14" s="27">
        <v>1</v>
      </c>
      <c r="J14" s="27">
        <v>4</v>
      </c>
      <c r="L14" s="27">
        <v>1</v>
      </c>
      <c r="Q14" s="27">
        <v>1</v>
      </c>
      <c r="S14" s="27">
        <v>1</v>
      </c>
      <c r="T14" s="27">
        <v>1</v>
      </c>
      <c r="U14" s="27">
        <v>2</v>
      </c>
      <c r="W14" s="27">
        <v>1</v>
      </c>
      <c r="AA14">
        <f t="shared" si="0"/>
        <v>13</v>
      </c>
      <c r="AB14" s="27">
        <f>(AA14/AA24)*100</f>
        <v>2.3090586145648313</v>
      </c>
    </row>
    <row r="15" spans="1:36" s="27" customFormat="1" x14ac:dyDescent="0.25">
      <c r="A15" s="28" t="s">
        <v>25</v>
      </c>
      <c r="G15" s="27">
        <v>1</v>
      </c>
      <c r="K15" s="27">
        <v>1</v>
      </c>
      <c r="N15" s="27">
        <v>1</v>
      </c>
      <c r="V15" s="27">
        <v>2</v>
      </c>
      <c r="AA15">
        <f t="shared" si="0"/>
        <v>5</v>
      </c>
      <c r="AB15" s="27">
        <f>(AA15/AA24)*100</f>
        <v>0.88809946714031962</v>
      </c>
    </row>
    <row r="16" spans="1:36" x14ac:dyDescent="0.25">
      <c r="A16" s="6" t="s">
        <v>26</v>
      </c>
      <c r="R16">
        <v>1</v>
      </c>
      <c r="AA16">
        <f t="shared" si="0"/>
        <v>1</v>
      </c>
      <c r="AB16">
        <f>(AA16/AA24)*100</f>
        <v>0.17761989342806395</v>
      </c>
    </row>
    <row r="17" spans="1:28" s="27" customFormat="1" x14ac:dyDescent="0.25">
      <c r="A17" s="28" t="s">
        <v>46</v>
      </c>
      <c r="G17" s="27">
        <v>2</v>
      </c>
      <c r="K17" s="27">
        <v>2</v>
      </c>
      <c r="N17" s="27">
        <v>1</v>
      </c>
      <c r="O17" s="27">
        <v>1</v>
      </c>
      <c r="S17" s="27">
        <v>3</v>
      </c>
      <c r="T17" s="27">
        <v>1</v>
      </c>
      <c r="U17" s="27">
        <v>1</v>
      </c>
      <c r="AA17">
        <f t="shared" si="0"/>
        <v>11</v>
      </c>
      <c r="AB17">
        <f>(AA17/AA24)*100</f>
        <v>1.9538188277087036</v>
      </c>
    </row>
    <row r="18" spans="1:28" x14ac:dyDescent="0.25">
      <c r="A18" s="6" t="s">
        <v>30</v>
      </c>
      <c r="L18">
        <v>1</v>
      </c>
      <c r="S18">
        <v>1</v>
      </c>
      <c r="AA18">
        <f t="shared" si="0"/>
        <v>2</v>
      </c>
      <c r="AB18">
        <f>(AA18/AA24)*100</f>
        <v>0.35523978685612789</v>
      </c>
    </row>
    <row r="19" spans="1:28" x14ac:dyDescent="0.25">
      <c r="A19" s="6" t="s">
        <v>32</v>
      </c>
      <c r="B19">
        <v>22</v>
      </c>
      <c r="C19">
        <v>14</v>
      </c>
      <c r="D19">
        <v>11</v>
      </c>
      <c r="E19">
        <v>12</v>
      </c>
      <c r="F19">
        <v>20</v>
      </c>
      <c r="G19">
        <v>14</v>
      </c>
      <c r="H19">
        <v>14</v>
      </c>
      <c r="I19">
        <v>10</v>
      </c>
      <c r="J19">
        <v>26</v>
      </c>
      <c r="K19">
        <v>12</v>
      </c>
      <c r="L19">
        <v>10</v>
      </c>
      <c r="M19">
        <v>9</v>
      </c>
      <c r="N19">
        <v>14</v>
      </c>
      <c r="O19">
        <v>16</v>
      </c>
      <c r="P19">
        <v>10</v>
      </c>
      <c r="Q19">
        <v>10</v>
      </c>
      <c r="R19">
        <v>4</v>
      </c>
      <c r="S19">
        <v>20</v>
      </c>
      <c r="T19">
        <v>16</v>
      </c>
      <c r="U19">
        <v>18</v>
      </c>
      <c r="V19">
        <v>12</v>
      </c>
      <c r="W19">
        <v>13</v>
      </c>
      <c r="X19">
        <v>7</v>
      </c>
      <c r="AA19">
        <f t="shared" si="0"/>
        <v>314</v>
      </c>
      <c r="AB19">
        <f>(AA19/AA24)*100</f>
        <v>55.772646536412076</v>
      </c>
    </row>
    <row r="20" spans="1:28" s="27" customFormat="1" x14ac:dyDescent="0.25">
      <c r="A20" s="28" t="s">
        <v>33</v>
      </c>
      <c r="C20" s="27">
        <v>1</v>
      </c>
      <c r="J20" s="27">
        <v>1</v>
      </c>
      <c r="M20" s="27">
        <v>2</v>
      </c>
      <c r="P20" s="27">
        <v>1</v>
      </c>
      <c r="S20" s="27">
        <v>3</v>
      </c>
      <c r="T20" s="27">
        <v>1</v>
      </c>
      <c r="V20" s="27">
        <v>1</v>
      </c>
      <c r="AA20">
        <f t="shared" si="0"/>
        <v>10</v>
      </c>
      <c r="AB20" s="27">
        <f>(AA20/AA24)*100</f>
        <v>1.7761989342806392</v>
      </c>
    </row>
    <row r="21" spans="1:28" x14ac:dyDescent="0.25">
      <c r="A21" s="6" t="s">
        <v>36</v>
      </c>
      <c r="F21">
        <v>1</v>
      </c>
      <c r="AA21">
        <f t="shared" si="0"/>
        <v>1</v>
      </c>
      <c r="AB21">
        <f>(AA21/AA24)*100</f>
        <v>0.17761989342806395</v>
      </c>
    </row>
    <row r="22" spans="1:28" x14ac:dyDescent="0.25">
      <c r="A22" s="6" t="s">
        <v>37</v>
      </c>
      <c r="B22">
        <v>14</v>
      </c>
      <c r="C22">
        <v>1</v>
      </c>
      <c r="D22">
        <v>1</v>
      </c>
      <c r="E22">
        <v>3</v>
      </c>
      <c r="F22">
        <v>6</v>
      </c>
      <c r="G22">
        <v>8</v>
      </c>
      <c r="H22">
        <v>1</v>
      </c>
      <c r="I22">
        <v>2</v>
      </c>
      <c r="J22">
        <v>8</v>
      </c>
      <c r="K22">
        <v>7</v>
      </c>
      <c r="M22">
        <v>5</v>
      </c>
      <c r="N22">
        <v>2</v>
      </c>
      <c r="O22">
        <v>7</v>
      </c>
      <c r="Q22">
        <v>1</v>
      </c>
      <c r="R22">
        <v>4</v>
      </c>
      <c r="S22">
        <v>3</v>
      </c>
      <c r="T22">
        <v>1</v>
      </c>
      <c r="U22">
        <v>7</v>
      </c>
      <c r="V22">
        <v>3</v>
      </c>
      <c r="W22">
        <v>1</v>
      </c>
      <c r="X22">
        <v>2</v>
      </c>
      <c r="AA22">
        <f t="shared" si="0"/>
        <v>87</v>
      </c>
      <c r="AB22">
        <f>(AA22/AA24)*100</f>
        <v>15.452930728241562</v>
      </c>
    </row>
    <row r="23" spans="1:28" x14ac:dyDescent="0.25">
      <c r="A23" s="6"/>
    </row>
    <row r="24" spans="1:28" x14ac:dyDescent="0.25">
      <c r="A24" s="1" t="s">
        <v>39</v>
      </c>
      <c r="B24" s="2">
        <f t="shared" ref="B24:AB24" si="1">SUM(B3:B22)</f>
        <v>50</v>
      </c>
      <c r="C24" s="2">
        <f t="shared" si="1"/>
        <v>19</v>
      </c>
      <c r="D24" s="2">
        <f t="shared" si="1"/>
        <v>14</v>
      </c>
      <c r="E24" s="2">
        <f t="shared" si="1"/>
        <v>20</v>
      </c>
      <c r="F24" s="2">
        <f t="shared" si="1"/>
        <v>32</v>
      </c>
      <c r="G24" s="2">
        <f t="shared" si="1"/>
        <v>39</v>
      </c>
      <c r="H24" s="2">
        <f t="shared" si="1"/>
        <v>17</v>
      </c>
      <c r="I24" s="2">
        <f t="shared" si="1"/>
        <v>14</v>
      </c>
      <c r="J24" s="2">
        <f t="shared" si="1"/>
        <v>48</v>
      </c>
      <c r="K24" s="2">
        <f t="shared" si="1"/>
        <v>27</v>
      </c>
      <c r="L24" s="2">
        <f t="shared" si="1"/>
        <v>14</v>
      </c>
      <c r="M24" s="2">
        <f t="shared" si="1"/>
        <v>23</v>
      </c>
      <c r="N24" s="2">
        <f t="shared" si="1"/>
        <v>20</v>
      </c>
      <c r="O24" s="2">
        <f t="shared" si="1"/>
        <v>27</v>
      </c>
      <c r="P24" s="2">
        <f t="shared" si="1"/>
        <v>17</v>
      </c>
      <c r="Q24" s="2">
        <f t="shared" si="1"/>
        <v>15</v>
      </c>
      <c r="R24" s="2">
        <f t="shared" si="1"/>
        <v>11</v>
      </c>
      <c r="S24" s="2">
        <f t="shared" si="1"/>
        <v>34</v>
      </c>
      <c r="T24" s="2">
        <f t="shared" si="1"/>
        <v>28</v>
      </c>
      <c r="U24" s="2">
        <f t="shared" si="1"/>
        <v>41</v>
      </c>
      <c r="V24" s="2">
        <f t="shared" si="1"/>
        <v>25</v>
      </c>
      <c r="W24" s="2">
        <f t="shared" si="1"/>
        <v>17</v>
      </c>
      <c r="X24" s="2">
        <f t="shared" si="1"/>
        <v>11</v>
      </c>
      <c r="Y24" s="2">
        <f t="shared" si="1"/>
        <v>0</v>
      </c>
      <c r="Z24" s="2">
        <f t="shared" si="1"/>
        <v>0</v>
      </c>
      <c r="AA24" s="2">
        <f t="shared" si="1"/>
        <v>563</v>
      </c>
      <c r="AB24" s="7">
        <f t="shared" si="1"/>
        <v>100</v>
      </c>
    </row>
    <row r="27" spans="1:28" x14ac:dyDescent="0.25">
      <c r="A27" t="s">
        <v>754</v>
      </c>
      <c r="B27">
        <v>6</v>
      </c>
      <c r="C27">
        <v>8</v>
      </c>
      <c r="D27">
        <v>8</v>
      </c>
      <c r="E27">
        <v>9</v>
      </c>
      <c r="F27">
        <v>10</v>
      </c>
      <c r="G27">
        <v>13</v>
      </c>
      <c r="H27">
        <v>13</v>
      </c>
      <c r="I27">
        <v>14</v>
      </c>
      <c r="J27">
        <v>14</v>
      </c>
      <c r="K27">
        <v>15</v>
      </c>
      <c r="L27">
        <v>17</v>
      </c>
      <c r="M27">
        <v>17</v>
      </c>
      <c r="N27">
        <v>17</v>
      </c>
      <c r="O27">
        <v>17</v>
      </c>
      <c r="P27">
        <v>17</v>
      </c>
      <c r="Q27">
        <v>17</v>
      </c>
      <c r="R27">
        <v>18</v>
      </c>
      <c r="S27">
        <v>20</v>
      </c>
      <c r="T27">
        <v>20</v>
      </c>
      <c r="U27">
        <v>20</v>
      </c>
      <c r="V27">
        <v>20</v>
      </c>
      <c r="W27">
        <v>20</v>
      </c>
      <c r="X27">
        <v>20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7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15" sqref="B15:H15"/>
    </sheetView>
  </sheetViews>
  <sheetFormatPr defaultRowHeight="15" x14ac:dyDescent="0.25"/>
  <cols>
    <col min="1" max="1" width="22.42578125" customWidth="1"/>
  </cols>
  <sheetData>
    <row r="1" spans="1:28" x14ac:dyDescent="0.25">
      <c r="A1" s="1" t="s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  <c r="V1" s="2">
        <v>21</v>
      </c>
      <c r="W1" s="2">
        <v>22</v>
      </c>
      <c r="X1" s="2">
        <v>23</v>
      </c>
      <c r="Y1" s="2">
        <v>24</v>
      </c>
      <c r="Z1" s="3">
        <v>25</v>
      </c>
    </row>
    <row r="2" spans="1:28" x14ac:dyDescent="0.25">
      <c r="A2" s="4" t="s">
        <v>1</v>
      </c>
      <c r="B2" s="5" t="s">
        <v>65</v>
      </c>
      <c r="C2" s="5" t="s">
        <v>66</v>
      </c>
      <c r="D2" s="5" t="s">
        <v>67</v>
      </c>
      <c r="E2" s="5" t="s">
        <v>68</v>
      </c>
      <c r="F2" s="5" t="s">
        <v>69</v>
      </c>
      <c r="G2" s="5" t="s">
        <v>70</v>
      </c>
      <c r="H2" s="5" t="s">
        <v>71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 t="s">
        <v>2</v>
      </c>
      <c r="AB2" s="5" t="s">
        <v>3</v>
      </c>
    </row>
    <row r="3" spans="1:28" x14ac:dyDescent="0.25">
      <c r="A3" s="6" t="s">
        <v>4</v>
      </c>
      <c r="B3">
        <v>1</v>
      </c>
      <c r="C3">
        <v>1</v>
      </c>
      <c r="D3">
        <v>3</v>
      </c>
      <c r="F3">
        <v>1</v>
      </c>
      <c r="G3">
        <v>1</v>
      </c>
      <c r="H3">
        <v>1</v>
      </c>
      <c r="AA3">
        <f t="shared" ref="AA3:AA12" si="0">SUM(B3:Z3)</f>
        <v>8</v>
      </c>
      <c r="AB3">
        <f>(AA3/AA14)*100</f>
        <v>11.594202898550725</v>
      </c>
    </row>
    <row r="4" spans="1:28" x14ac:dyDescent="0.25">
      <c r="A4" s="6" t="s">
        <v>5</v>
      </c>
      <c r="D4">
        <v>1</v>
      </c>
      <c r="H4">
        <v>1</v>
      </c>
      <c r="AA4">
        <f t="shared" si="0"/>
        <v>2</v>
      </c>
      <c r="AB4">
        <f>(AA4/AA14)*100</f>
        <v>2.8985507246376812</v>
      </c>
    </row>
    <row r="5" spans="1:28" x14ac:dyDescent="0.25">
      <c r="A5" s="6" t="s">
        <v>6</v>
      </c>
      <c r="G5">
        <v>1</v>
      </c>
      <c r="AA5">
        <f t="shared" si="0"/>
        <v>1</v>
      </c>
      <c r="AB5">
        <f>(AA5/AA14)*100</f>
        <v>1.4492753623188406</v>
      </c>
    </row>
    <row r="6" spans="1:28" x14ac:dyDescent="0.25">
      <c r="A6" s="6" t="s">
        <v>19</v>
      </c>
      <c r="C6">
        <v>1</v>
      </c>
      <c r="D6">
        <v>2</v>
      </c>
      <c r="E6">
        <v>2</v>
      </c>
      <c r="G6">
        <v>1</v>
      </c>
      <c r="AA6">
        <f t="shared" si="0"/>
        <v>6</v>
      </c>
      <c r="AB6">
        <f>(AA6/AA14)*100</f>
        <v>8.695652173913043</v>
      </c>
    </row>
    <row r="7" spans="1:28" x14ac:dyDescent="0.25">
      <c r="A7" s="6" t="s">
        <v>24</v>
      </c>
      <c r="B7">
        <v>2</v>
      </c>
      <c r="AA7">
        <f t="shared" si="0"/>
        <v>2</v>
      </c>
      <c r="AB7">
        <f>(AA7/AA14)*100</f>
        <v>2.8985507246376812</v>
      </c>
    </row>
    <row r="8" spans="1:28" x14ac:dyDescent="0.25">
      <c r="A8" s="6" t="s">
        <v>46</v>
      </c>
      <c r="H8">
        <v>1</v>
      </c>
      <c r="AA8">
        <f t="shared" si="0"/>
        <v>1</v>
      </c>
      <c r="AB8">
        <f>(AA8/AA14)*100</f>
        <v>1.4492753623188406</v>
      </c>
    </row>
    <row r="9" spans="1:28" x14ac:dyDescent="0.25">
      <c r="A9" s="6" t="s">
        <v>30</v>
      </c>
      <c r="F9">
        <v>1</v>
      </c>
      <c r="AA9">
        <f t="shared" si="0"/>
        <v>1</v>
      </c>
      <c r="AB9">
        <f>(AA9/AA14)*100</f>
        <v>1.4492753623188406</v>
      </c>
    </row>
    <row r="10" spans="1:28" x14ac:dyDescent="0.25">
      <c r="A10" s="6" t="s">
        <v>32</v>
      </c>
      <c r="B10">
        <v>5</v>
      </c>
      <c r="C10">
        <v>7</v>
      </c>
      <c r="D10">
        <v>10</v>
      </c>
      <c r="E10">
        <v>8</v>
      </c>
      <c r="F10">
        <v>7</v>
      </c>
      <c r="G10">
        <v>5</v>
      </c>
      <c r="H10">
        <v>2</v>
      </c>
      <c r="AA10">
        <f t="shared" si="0"/>
        <v>44</v>
      </c>
      <c r="AB10">
        <f>(AA10/AA14)*100</f>
        <v>63.768115942028977</v>
      </c>
    </row>
    <row r="11" spans="1:28" x14ac:dyDescent="0.25">
      <c r="A11" s="6" t="s">
        <v>33</v>
      </c>
      <c r="B11">
        <v>1</v>
      </c>
      <c r="AA11">
        <f t="shared" si="0"/>
        <v>1</v>
      </c>
      <c r="AB11">
        <f>(AA11/AA14)*100</f>
        <v>1.4492753623188406</v>
      </c>
    </row>
    <row r="12" spans="1:28" x14ac:dyDescent="0.25">
      <c r="A12" s="6" t="s">
        <v>37</v>
      </c>
      <c r="B12">
        <v>1</v>
      </c>
      <c r="C12">
        <v>1</v>
      </c>
      <c r="E12">
        <v>1</v>
      </c>
      <c r="AA12">
        <f t="shared" si="0"/>
        <v>3</v>
      </c>
      <c r="AB12">
        <f>(AA12/AA14)*100</f>
        <v>4.3478260869565215</v>
      </c>
    </row>
    <row r="13" spans="1:28" x14ac:dyDescent="0.25">
      <c r="A13" s="6"/>
    </row>
    <row r="14" spans="1:28" x14ac:dyDescent="0.25">
      <c r="A14" s="1" t="s">
        <v>39</v>
      </c>
      <c r="B14" s="2">
        <f t="shared" ref="B14:Z14" si="1">SUM(B3:B13)</f>
        <v>10</v>
      </c>
      <c r="C14" s="2">
        <f t="shared" si="1"/>
        <v>10</v>
      </c>
      <c r="D14" s="2">
        <f t="shared" si="1"/>
        <v>16</v>
      </c>
      <c r="E14" s="2">
        <f t="shared" si="1"/>
        <v>11</v>
      </c>
      <c r="F14" s="2">
        <f t="shared" si="1"/>
        <v>9</v>
      </c>
      <c r="G14" s="2">
        <f t="shared" si="1"/>
        <v>8</v>
      </c>
      <c r="H14" s="2">
        <f t="shared" si="1"/>
        <v>5</v>
      </c>
      <c r="I14" s="2">
        <f t="shared" si="1"/>
        <v>0</v>
      </c>
      <c r="J14" s="2">
        <f t="shared" si="1"/>
        <v>0</v>
      </c>
      <c r="K14" s="2">
        <f t="shared" si="1"/>
        <v>0</v>
      </c>
      <c r="L14" s="2">
        <f t="shared" si="1"/>
        <v>0</v>
      </c>
      <c r="M14" s="2">
        <f t="shared" si="1"/>
        <v>0</v>
      </c>
      <c r="N14" s="2">
        <f t="shared" si="1"/>
        <v>0</v>
      </c>
      <c r="O14" s="2">
        <f t="shared" si="1"/>
        <v>0</v>
      </c>
      <c r="P14" s="2">
        <f t="shared" si="1"/>
        <v>0</v>
      </c>
      <c r="Q14" s="2">
        <f t="shared" si="1"/>
        <v>0</v>
      </c>
      <c r="R14" s="2">
        <f t="shared" si="1"/>
        <v>0</v>
      </c>
      <c r="S14" s="2">
        <f t="shared" si="1"/>
        <v>0</v>
      </c>
      <c r="T14" s="2">
        <f t="shared" si="1"/>
        <v>0</v>
      </c>
      <c r="U14" s="2">
        <f t="shared" si="1"/>
        <v>0</v>
      </c>
      <c r="V14" s="2">
        <f t="shared" si="1"/>
        <v>0</v>
      </c>
      <c r="W14" s="2">
        <f t="shared" si="1"/>
        <v>0</v>
      </c>
      <c r="X14" s="2">
        <f t="shared" si="1"/>
        <v>0</v>
      </c>
      <c r="Y14" s="2">
        <f t="shared" si="1"/>
        <v>0</v>
      </c>
      <c r="Z14" s="2">
        <f t="shared" si="1"/>
        <v>0</v>
      </c>
      <c r="AA14" s="2">
        <f>SUM(AA3:AA13)</f>
        <v>69</v>
      </c>
      <c r="AB14" s="7">
        <f>SUM(AB3:AB13)</f>
        <v>99.999999999999986</v>
      </c>
    </row>
    <row r="15" spans="1:28" x14ac:dyDescent="0.25">
      <c r="B15">
        <v>10</v>
      </c>
      <c r="C15">
        <v>20</v>
      </c>
      <c r="D15">
        <v>36</v>
      </c>
      <c r="E15">
        <v>47</v>
      </c>
      <c r="F15">
        <v>56</v>
      </c>
      <c r="G15">
        <v>64</v>
      </c>
      <c r="H15">
        <v>69</v>
      </c>
    </row>
    <row r="17" spans="1:8" x14ac:dyDescent="0.25">
      <c r="A17" t="s">
        <v>755</v>
      </c>
      <c r="B17">
        <v>5</v>
      </c>
      <c r="C17">
        <v>6</v>
      </c>
      <c r="D17">
        <v>7</v>
      </c>
      <c r="E17">
        <v>7</v>
      </c>
      <c r="F17">
        <v>8</v>
      </c>
      <c r="G17">
        <v>9</v>
      </c>
      <c r="H17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4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Q22" sqref="B22:Q22"/>
    </sheetView>
  </sheetViews>
  <sheetFormatPr defaultRowHeight="15" x14ac:dyDescent="0.25"/>
  <cols>
    <col min="1" max="1" width="23.28515625" customWidth="1"/>
  </cols>
  <sheetData>
    <row r="1" spans="1:28" x14ac:dyDescent="0.25">
      <c r="A1" s="1" t="s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  <c r="V1" s="2">
        <v>21</v>
      </c>
      <c r="W1" s="2">
        <v>22</v>
      </c>
      <c r="X1" s="2">
        <v>23</v>
      </c>
      <c r="Y1" s="2">
        <v>24</v>
      </c>
      <c r="Z1" s="3">
        <v>25</v>
      </c>
    </row>
    <row r="2" spans="1:28" x14ac:dyDescent="0.25">
      <c r="A2" s="4" t="s">
        <v>1</v>
      </c>
      <c r="B2" s="5" t="s">
        <v>72</v>
      </c>
      <c r="C2" s="5" t="s">
        <v>73</v>
      </c>
      <c r="D2" s="5" t="s">
        <v>74</v>
      </c>
      <c r="E2" s="5" t="s">
        <v>75</v>
      </c>
      <c r="F2" s="5" t="s">
        <v>76</v>
      </c>
      <c r="G2" s="5" t="s">
        <v>77</v>
      </c>
      <c r="H2" s="5" t="s">
        <v>78</v>
      </c>
      <c r="I2" s="5" t="s">
        <v>79</v>
      </c>
      <c r="J2" s="5" t="s">
        <v>80</v>
      </c>
      <c r="K2" s="5" t="s">
        <v>81</v>
      </c>
      <c r="L2" s="5" t="s">
        <v>82</v>
      </c>
      <c r="M2" s="5" t="s">
        <v>83</v>
      </c>
      <c r="N2" s="5" t="s">
        <v>84</v>
      </c>
      <c r="O2" s="5" t="s">
        <v>85</v>
      </c>
      <c r="P2" s="5" t="s">
        <v>86</v>
      </c>
      <c r="Q2" s="5" t="s">
        <v>87</v>
      </c>
      <c r="R2" s="5"/>
      <c r="S2" s="5"/>
      <c r="T2" s="5"/>
      <c r="U2" s="5"/>
      <c r="V2" s="5"/>
      <c r="W2" s="5"/>
      <c r="X2" s="5"/>
      <c r="Y2" s="5"/>
      <c r="Z2" s="5"/>
      <c r="AA2" s="5" t="s">
        <v>2</v>
      </c>
      <c r="AB2" s="5" t="s">
        <v>3</v>
      </c>
    </row>
    <row r="3" spans="1:28" x14ac:dyDescent="0.25">
      <c r="A3" s="6" t="s">
        <v>4</v>
      </c>
      <c r="B3">
        <v>6</v>
      </c>
      <c r="E3">
        <v>5</v>
      </c>
      <c r="F3">
        <v>2</v>
      </c>
      <c r="G3">
        <v>2</v>
      </c>
      <c r="H3">
        <v>3</v>
      </c>
      <c r="I3">
        <v>2</v>
      </c>
      <c r="J3">
        <v>5</v>
      </c>
      <c r="K3">
        <v>2</v>
      </c>
      <c r="L3">
        <v>9</v>
      </c>
      <c r="M3">
        <v>8</v>
      </c>
      <c r="P3">
        <v>8</v>
      </c>
      <c r="Q3">
        <v>2</v>
      </c>
      <c r="AA3">
        <f t="shared" ref="AA3:AA20" si="0">SUM(B3:Z3)</f>
        <v>54</v>
      </c>
      <c r="AB3">
        <f>(AA3/AA21)*100</f>
        <v>13.705583756345177</v>
      </c>
    </row>
    <row r="4" spans="1:28" x14ac:dyDescent="0.25">
      <c r="A4" s="6" t="s">
        <v>5</v>
      </c>
      <c r="C4">
        <v>1</v>
      </c>
      <c r="E4">
        <v>1</v>
      </c>
      <c r="F4">
        <v>1</v>
      </c>
      <c r="G4">
        <v>1</v>
      </c>
      <c r="H4">
        <v>1</v>
      </c>
      <c r="J4">
        <v>2</v>
      </c>
      <c r="L4">
        <v>3</v>
      </c>
      <c r="M4">
        <v>1</v>
      </c>
      <c r="AA4">
        <f t="shared" si="0"/>
        <v>11</v>
      </c>
      <c r="AB4">
        <f>(AA4/AA21)*100</f>
        <v>2.7918781725888326</v>
      </c>
    </row>
    <row r="5" spans="1:28" x14ac:dyDescent="0.25">
      <c r="A5" s="6" t="s">
        <v>6</v>
      </c>
      <c r="B5">
        <v>1</v>
      </c>
      <c r="D5">
        <v>1</v>
      </c>
      <c r="F5">
        <v>2</v>
      </c>
      <c r="I5">
        <v>2</v>
      </c>
      <c r="K5">
        <v>1</v>
      </c>
      <c r="L5">
        <v>2</v>
      </c>
      <c r="P5">
        <v>1</v>
      </c>
      <c r="AA5">
        <f t="shared" si="0"/>
        <v>10</v>
      </c>
      <c r="AB5">
        <f>(AA5/AA21)*100</f>
        <v>2.5380710659898478</v>
      </c>
    </row>
    <row r="6" spans="1:28" x14ac:dyDescent="0.25">
      <c r="A6" s="6" t="s">
        <v>9</v>
      </c>
      <c r="B6">
        <v>1</v>
      </c>
      <c r="C6">
        <v>1</v>
      </c>
      <c r="E6">
        <v>1</v>
      </c>
      <c r="L6">
        <v>1</v>
      </c>
      <c r="O6">
        <v>1</v>
      </c>
      <c r="AA6">
        <f t="shared" si="0"/>
        <v>5</v>
      </c>
      <c r="AB6">
        <f>(AA6/AA21)*100</f>
        <v>1.2690355329949239</v>
      </c>
    </row>
    <row r="7" spans="1:28" x14ac:dyDescent="0.25">
      <c r="A7" s="6" t="s">
        <v>11</v>
      </c>
      <c r="E7">
        <v>1</v>
      </c>
      <c r="F7">
        <v>1</v>
      </c>
      <c r="AA7">
        <f t="shared" si="0"/>
        <v>2</v>
      </c>
      <c r="AB7">
        <f>(AA7/AA21)*100</f>
        <v>0.50761421319796951</v>
      </c>
    </row>
    <row r="8" spans="1:28" x14ac:dyDescent="0.25">
      <c r="A8" s="6" t="s">
        <v>19</v>
      </c>
      <c r="B8">
        <v>3</v>
      </c>
      <c r="D8">
        <v>4</v>
      </c>
      <c r="E8">
        <v>9</v>
      </c>
      <c r="F8">
        <v>2</v>
      </c>
      <c r="H8">
        <v>3</v>
      </c>
      <c r="I8">
        <v>1</v>
      </c>
      <c r="J8">
        <v>11</v>
      </c>
      <c r="K8">
        <v>5</v>
      </c>
      <c r="L8">
        <v>8</v>
      </c>
      <c r="M8">
        <v>3</v>
      </c>
      <c r="N8">
        <v>1</v>
      </c>
      <c r="O8">
        <v>2</v>
      </c>
      <c r="P8">
        <v>2</v>
      </c>
      <c r="Q8">
        <v>1</v>
      </c>
      <c r="AA8">
        <f t="shared" si="0"/>
        <v>55</v>
      </c>
      <c r="AB8">
        <f>(AA8/AA21)*100</f>
        <v>13.959390862944163</v>
      </c>
    </row>
    <row r="9" spans="1:28" x14ac:dyDescent="0.25">
      <c r="A9" s="6" t="s">
        <v>167</v>
      </c>
      <c r="E9">
        <v>1</v>
      </c>
      <c r="L9">
        <v>1</v>
      </c>
      <c r="AA9">
        <f t="shared" si="0"/>
        <v>2</v>
      </c>
      <c r="AB9">
        <f>(AA9/AA21)*100</f>
        <v>0.50761421319796951</v>
      </c>
    </row>
    <row r="10" spans="1:28" x14ac:dyDescent="0.25">
      <c r="A10" s="6" t="s">
        <v>21</v>
      </c>
      <c r="F10">
        <v>1</v>
      </c>
      <c r="G10">
        <v>2</v>
      </c>
      <c r="I10">
        <v>1</v>
      </c>
      <c r="K10">
        <v>1</v>
      </c>
      <c r="AA10">
        <f t="shared" si="0"/>
        <v>5</v>
      </c>
      <c r="AB10">
        <f>(AA10/AA21)*100</f>
        <v>1.2690355329949239</v>
      </c>
    </row>
    <row r="11" spans="1:28" x14ac:dyDescent="0.25">
      <c r="A11" s="6" t="s">
        <v>22</v>
      </c>
      <c r="D11">
        <v>1</v>
      </c>
      <c r="E11">
        <v>1</v>
      </c>
      <c r="F11">
        <v>1</v>
      </c>
      <c r="AA11">
        <f t="shared" si="0"/>
        <v>3</v>
      </c>
      <c r="AB11">
        <f>(AA11/AA21)*100</f>
        <v>0.76142131979695438</v>
      </c>
    </row>
    <row r="12" spans="1:28" x14ac:dyDescent="0.25">
      <c r="A12" s="6" t="s">
        <v>23</v>
      </c>
      <c r="P12">
        <v>1</v>
      </c>
      <c r="AA12">
        <f t="shared" si="0"/>
        <v>1</v>
      </c>
      <c r="AB12">
        <f>(AA12/AA21)*100</f>
        <v>0.25380710659898476</v>
      </c>
    </row>
    <row r="13" spans="1:28" x14ac:dyDescent="0.25">
      <c r="A13" s="6" t="s">
        <v>24</v>
      </c>
      <c r="C13">
        <v>2</v>
      </c>
      <c r="D13">
        <v>1</v>
      </c>
      <c r="E13">
        <v>2</v>
      </c>
      <c r="H13">
        <v>2</v>
      </c>
      <c r="J13">
        <v>1</v>
      </c>
      <c r="K13">
        <v>1</v>
      </c>
      <c r="L13">
        <v>1</v>
      </c>
      <c r="P13">
        <v>2</v>
      </c>
      <c r="AA13">
        <f t="shared" si="0"/>
        <v>12</v>
      </c>
      <c r="AB13">
        <f>(AA13/AA21)*100</f>
        <v>3.0456852791878175</v>
      </c>
    </row>
    <row r="14" spans="1:28" x14ac:dyDescent="0.25">
      <c r="A14" s="6" t="s">
        <v>25</v>
      </c>
      <c r="B14">
        <v>1</v>
      </c>
      <c r="F14">
        <v>1</v>
      </c>
      <c r="G14">
        <v>2</v>
      </c>
      <c r="L14">
        <v>1</v>
      </c>
      <c r="P14">
        <v>1</v>
      </c>
      <c r="AA14">
        <f t="shared" si="0"/>
        <v>6</v>
      </c>
      <c r="AB14">
        <f>(AA14/AA21)*100</f>
        <v>1.5228426395939088</v>
      </c>
    </row>
    <row r="15" spans="1:28" x14ac:dyDescent="0.25">
      <c r="A15" s="6" t="s">
        <v>27</v>
      </c>
      <c r="O15">
        <v>1</v>
      </c>
      <c r="AA15">
        <f t="shared" si="0"/>
        <v>1</v>
      </c>
      <c r="AB15">
        <f>(AA15/AA21)*100</f>
        <v>0.25380710659898476</v>
      </c>
    </row>
    <row r="16" spans="1:28" x14ac:dyDescent="0.25">
      <c r="A16" s="6" t="s">
        <v>30</v>
      </c>
      <c r="B16">
        <v>2</v>
      </c>
      <c r="K16">
        <v>1</v>
      </c>
      <c r="AA16">
        <f t="shared" si="0"/>
        <v>3</v>
      </c>
      <c r="AB16">
        <f>(AA16/AA21)*100</f>
        <v>0.76142131979695438</v>
      </c>
    </row>
    <row r="17" spans="1:28" x14ac:dyDescent="0.25">
      <c r="A17" s="6" t="s">
        <v>32</v>
      </c>
      <c r="B17">
        <v>15</v>
      </c>
      <c r="C17">
        <v>6</v>
      </c>
      <c r="D17">
        <v>6</v>
      </c>
      <c r="E17">
        <v>19</v>
      </c>
      <c r="F17">
        <v>4</v>
      </c>
      <c r="G17">
        <v>7</v>
      </c>
      <c r="H17">
        <v>20</v>
      </c>
      <c r="I17">
        <v>13</v>
      </c>
      <c r="J17">
        <v>20</v>
      </c>
      <c r="K17">
        <v>12</v>
      </c>
      <c r="L17">
        <v>17</v>
      </c>
      <c r="M17">
        <v>16</v>
      </c>
      <c r="N17">
        <v>6</v>
      </c>
      <c r="O17">
        <v>5</v>
      </c>
      <c r="P17">
        <v>9</v>
      </c>
      <c r="Q17">
        <v>4</v>
      </c>
      <c r="AA17">
        <f t="shared" si="0"/>
        <v>179</v>
      </c>
      <c r="AB17">
        <f>(AA17/AA21)*100</f>
        <v>45.431472081218274</v>
      </c>
    </row>
    <row r="18" spans="1:28" x14ac:dyDescent="0.25">
      <c r="A18" s="6" t="s">
        <v>33</v>
      </c>
      <c r="G18">
        <v>1</v>
      </c>
      <c r="H18">
        <v>1</v>
      </c>
      <c r="I18">
        <v>1</v>
      </c>
      <c r="L18">
        <v>2</v>
      </c>
      <c r="AA18">
        <f t="shared" si="0"/>
        <v>5</v>
      </c>
      <c r="AB18">
        <f>(AA18/AA21)*100</f>
        <v>1.2690355329949239</v>
      </c>
    </row>
    <row r="19" spans="1:28" x14ac:dyDescent="0.25">
      <c r="A19" s="6" t="s">
        <v>37</v>
      </c>
      <c r="B19">
        <v>4</v>
      </c>
      <c r="E19">
        <v>2</v>
      </c>
      <c r="H19">
        <v>6</v>
      </c>
      <c r="J19">
        <v>4</v>
      </c>
      <c r="K19">
        <v>6</v>
      </c>
      <c r="L19">
        <v>5</v>
      </c>
      <c r="M19">
        <v>5</v>
      </c>
      <c r="N19">
        <v>2</v>
      </c>
      <c r="P19">
        <v>4</v>
      </c>
      <c r="Q19">
        <v>2</v>
      </c>
      <c r="AA19">
        <f t="shared" si="0"/>
        <v>40</v>
      </c>
      <c r="AB19">
        <f>(AA19/AA21)*100</f>
        <v>10.152284263959391</v>
      </c>
    </row>
    <row r="20" spans="1:28" x14ac:dyDescent="0.25">
      <c r="A20" s="6"/>
      <c r="AA20">
        <f t="shared" si="0"/>
        <v>0</v>
      </c>
      <c r="AB20">
        <f>(AA20/AA21)*100</f>
        <v>0</v>
      </c>
    </row>
    <row r="21" spans="1:28" x14ac:dyDescent="0.25">
      <c r="A21" s="1" t="s">
        <v>39</v>
      </c>
      <c r="B21" s="2">
        <f t="shared" ref="B21:Z21" si="1">SUM(B3:B20)</f>
        <v>33</v>
      </c>
      <c r="C21" s="2">
        <f t="shared" si="1"/>
        <v>10</v>
      </c>
      <c r="D21" s="2">
        <f t="shared" si="1"/>
        <v>13</v>
      </c>
      <c r="E21" s="2">
        <f t="shared" si="1"/>
        <v>42</v>
      </c>
      <c r="F21" s="2">
        <f t="shared" si="1"/>
        <v>15</v>
      </c>
      <c r="G21" s="2">
        <f t="shared" si="1"/>
        <v>15</v>
      </c>
      <c r="H21" s="2">
        <f t="shared" si="1"/>
        <v>36</v>
      </c>
      <c r="I21" s="2">
        <f t="shared" si="1"/>
        <v>20</v>
      </c>
      <c r="J21" s="2">
        <f t="shared" si="1"/>
        <v>43</v>
      </c>
      <c r="K21" s="2">
        <f t="shared" si="1"/>
        <v>29</v>
      </c>
      <c r="L21" s="2">
        <f t="shared" si="1"/>
        <v>50</v>
      </c>
      <c r="M21" s="2">
        <f t="shared" si="1"/>
        <v>33</v>
      </c>
      <c r="N21" s="2">
        <f t="shared" si="1"/>
        <v>9</v>
      </c>
      <c r="O21" s="2">
        <f t="shared" si="1"/>
        <v>9</v>
      </c>
      <c r="P21" s="2">
        <f t="shared" si="1"/>
        <v>28</v>
      </c>
      <c r="Q21" s="2">
        <f t="shared" si="1"/>
        <v>9</v>
      </c>
      <c r="R21" s="2">
        <f t="shared" si="1"/>
        <v>0</v>
      </c>
      <c r="S21" s="2">
        <f t="shared" si="1"/>
        <v>0</v>
      </c>
      <c r="T21" s="2">
        <f t="shared" si="1"/>
        <v>0</v>
      </c>
      <c r="U21" s="2">
        <f t="shared" si="1"/>
        <v>0</v>
      </c>
      <c r="V21" s="2">
        <f t="shared" si="1"/>
        <v>0</v>
      </c>
      <c r="W21" s="2">
        <f t="shared" si="1"/>
        <v>0</v>
      </c>
      <c r="X21" s="2">
        <f t="shared" si="1"/>
        <v>0</v>
      </c>
      <c r="Y21" s="2">
        <f t="shared" si="1"/>
        <v>0</v>
      </c>
      <c r="Z21" s="2">
        <f t="shared" si="1"/>
        <v>0</v>
      </c>
      <c r="AA21" s="2">
        <f>SUM(AA3:AA20)</f>
        <v>394</v>
      </c>
      <c r="AB21" s="7">
        <f>SUM(AB3:AB20)</f>
        <v>99.999999999999986</v>
      </c>
    </row>
    <row r="22" spans="1:28" x14ac:dyDescent="0.25">
      <c r="B22">
        <v>33</v>
      </c>
      <c r="C22">
        <v>43</v>
      </c>
      <c r="D22">
        <v>56</v>
      </c>
      <c r="E22">
        <v>98</v>
      </c>
      <c r="F22">
        <v>113</v>
      </c>
      <c r="G22">
        <v>128</v>
      </c>
      <c r="H22">
        <v>164</v>
      </c>
      <c r="I22">
        <v>184</v>
      </c>
      <c r="J22">
        <v>227</v>
      </c>
      <c r="K22">
        <v>256</v>
      </c>
      <c r="L22">
        <v>306</v>
      </c>
      <c r="M22">
        <v>339</v>
      </c>
      <c r="N22">
        <v>348</v>
      </c>
      <c r="O22">
        <v>357</v>
      </c>
      <c r="P22">
        <v>385</v>
      </c>
      <c r="Q22">
        <v>394</v>
      </c>
    </row>
    <row r="24" spans="1:28" x14ac:dyDescent="0.25">
      <c r="A24" t="s">
        <v>755</v>
      </c>
      <c r="B24">
        <v>8</v>
      </c>
      <c r="C24">
        <v>10</v>
      </c>
      <c r="D24">
        <v>11</v>
      </c>
      <c r="E24">
        <v>13</v>
      </c>
      <c r="F24">
        <v>14</v>
      </c>
      <c r="G24">
        <v>15</v>
      </c>
      <c r="H24">
        <v>15</v>
      </c>
      <c r="I24">
        <v>15</v>
      </c>
      <c r="J24">
        <v>15</v>
      </c>
      <c r="K24">
        <v>15</v>
      </c>
      <c r="L24">
        <v>15</v>
      </c>
      <c r="M24">
        <v>15</v>
      </c>
      <c r="N24">
        <v>15</v>
      </c>
      <c r="O24">
        <v>16</v>
      </c>
      <c r="P24">
        <v>17</v>
      </c>
      <c r="Q24">
        <v>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33"/>
  <sheetViews>
    <sheetView workbookViewId="0">
      <pane xSplit="1" topLeftCell="B1" activePane="topRight" state="frozen"/>
      <selection pane="topRight" activeCell="AO31" sqref="B31:AO31"/>
    </sheetView>
  </sheetViews>
  <sheetFormatPr defaultRowHeight="15" x14ac:dyDescent="0.25"/>
  <cols>
    <col min="1" max="1" width="23.85546875" customWidth="1"/>
  </cols>
  <sheetData>
    <row r="1" spans="1:44" x14ac:dyDescent="0.25">
      <c r="B1" s="69" t="s">
        <v>624</v>
      </c>
      <c r="C1" s="69"/>
      <c r="D1" s="69"/>
      <c r="E1" s="69"/>
      <c r="F1" s="69"/>
      <c r="G1" s="69"/>
      <c r="H1" s="69"/>
      <c r="I1" s="69" t="s">
        <v>415</v>
      </c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</row>
    <row r="2" spans="1:44" x14ac:dyDescent="0.25">
      <c r="A2" s="1" t="s">
        <v>0</v>
      </c>
      <c r="B2" s="2">
        <v>1</v>
      </c>
      <c r="C2" s="2">
        <v>2</v>
      </c>
      <c r="D2" s="2">
        <v>3</v>
      </c>
      <c r="E2" s="2">
        <v>4</v>
      </c>
      <c r="F2" s="2">
        <v>5</v>
      </c>
      <c r="G2" s="2">
        <v>6</v>
      </c>
      <c r="H2" s="2">
        <v>7</v>
      </c>
      <c r="I2" s="2">
        <v>8</v>
      </c>
      <c r="J2" s="2">
        <v>9</v>
      </c>
      <c r="K2" s="2">
        <v>10</v>
      </c>
      <c r="L2" s="2">
        <v>11</v>
      </c>
      <c r="M2" s="2">
        <v>12</v>
      </c>
      <c r="N2" s="2">
        <v>13</v>
      </c>
      <c r="O2" s="2">
        <v>14</v>
      </c>
      <c r="P2" s="2">
        <v>15</v>
      </c>
      <c r="Q2" s="2">
        <v>16</v>
      </c>
      <c r="R2" s="2">
        <v>17</v>
      </c>
      <c r="S2" s="2">
        <v>18</v>
      </c>
      <c r="T2" s="2">
        <v>19</v>
      </c>
      <c r="U2" s="2">
        <v>20</v>
      </c>
      <c r="V2" s="2">
        <v>21</v>
      </c>
      <c r="W2" s="2">
        <v>22</v>
      </c>
      <c r="X2" s="2">
        <v>23</v>
      </c>
      <c r="Y2" s="2">
        <v>24</v>
      </c>
      <c r="Z2" s="3">
        <v>25</v>
      </c>
      <c r="AA2" s="3">
        <v>26</v>
      </c>
      <c r="AB2" s="3">
        <v>27</v>
      </c>
      <c r="AC2" s="3">
        <v>28</v>
      </c>
      <c r="AD2" s="3">
        <v>29</v>
      </c>
      <c r="AE2" s="3">
        <v>30</v>
      </c>
      <c r="AF2" s="3">
        <v>31</v>
      </c>
      <c r="AG2" s="3">
        <v>32</v>
      </c>
      <c r="AH2" s="3">
        <v>33</v>
      </c>
      <c r="AI2" s="3">
        <v>34</v>
      </c>
      <c r="AJ2" s="3">
        <v>35</v>
      </c>
      <c r="AK2" s="3">
        <v>36</v>
      </c>
      <c r="AL2" s="3">
        <v>37</v>
      </c>
      <c r="AM2" s="3">
        <v>38</v>
      </c>
      <c r="AN2" s="3">
        <v>39</v>
      </c>
      <c r="AO2" s="3">
        <v>40</v>
      </c>
      <c r="AP2" s="3"/>
    </row>
    <row r="3" spans="1:44" x14ac:dyDescent="0.25">
      <c r="A3" s="4" t="s">
        <v>1</v>
      </c>
      <c r="B3" s="5" t="s">
        <v>88</v>
      </c>
      <c r="C3" s="5" t="s">
        <v>89</v>
      </c>
      <c r="D3" s="5" t="s">
        <v>90</v>
      </c>
      <c r="E3" s="5" t="s">
        <v>91</v>
      </c>
      <c r="F3" s="5" t="s">
        <v>92</v>
      </c>
      <c r="G3" s="5" t="s">
        <v>93</v>
      </c>
      <c r="H3" s="5" t="s">
        <v>94</v>
      </c>
      <c r="I3" s="5" t="s">
        <v>96</v>
      </c>
      <c r="J3" s="5" t="s">
        <v>97</v>
      </c>
      <c r="K3" s="5" t="s">
        <v>98</v>
      </c>
      <c r="L3" s="5" t="s">
        <v>99</v>
      </c>
      <c r="M3" s="5" t="s">
        <v>100</v>
      </c>
      <c r="N3" s="5" t="s">
        <v>101</v>
      </c>
      <c r="O3" s="5" t="s">
        <v>103</v>
      </c>
      <c r="P3" s="5" t="s">
        <v>104</v>
      </c>
      <c r="Q3" s="5" t="s">
        <v>105</v>
      </c>
      <c r="R3" s="5" t="s">
        <v>106</v>
      </c>
      <c r="S3" s="5" t="s">
        <v>61</v>
      </c>
      <c r="T3" s="5" t="s">
        <v>107</v>
      </c>
      <c r="U3" s="5" t="s">
        <v>108</v>
      </c>
      <c r="V3" s="5" t="s">
        <v>109</v>
      </c>
      <c r="W3" s="5" t="s">
        <v>110</v>
      </c>
      <c r="X3" s="5" t="s">
        <v>111</v>
      </c>
      <c r="Y3" s="5" t="s">
        <v>112</v>
      </c>
      <c r="Z3" s="5" t="s">
        <v>113</v>
      </c>
      <c r="AA3" t="s">
        <v>114</v>
      </c>
      <c r="AB3" t="s">
        <v>115</v>
      </c>
      <c r="AC3" t="s">
        <v>116</v>
      </c>
      <c r="AD3" t="s">
        <v>117</v>
      </c>
      <c r="AE3" t="s">
        <v>118</v>
      </c>
      <c r="AF3" t="s">
        <v>119</v>
      </c>
      <c r="AG3" s="5" t="s">
        <v>120</v>
      </c>
      <c r="AH3" s="5" t="s">
        <v>121</v>
      </c>
      <c r="AI3" s="5" t="s">
        <v>122</v>
      </c>
      <c r="AJ3" s="5" t="s">
        <v>123</v>
      </c>
      <c r="AK3" s="5" t="s">
        <v>124</v>
      </c>
      <c r="AL3" s="5" t="s">
        <v>125</v>
      </c>
      <c r="AM3" s="5" t="s">
        <v>126</v>
      </c>
      <c r="AN3" s="5" t="s">
        <v>127</v>
      </c>
      <c r="AO3" s="5" t="s">
        <v>128</v>
      </c>
      <c r="AP3" s="5"/>
      <c r="AQ3" s="5" t="s">
        <v>2</v>
      </c>
      <c r="AR3" s="5" t="s">
        <v>3</v>
      </c>
    </row>
    <row r="4" spans="1:44" x14ac:dyDescent="0.25">
      <c r="A4" s="6" t="s">
        <v>4</v>
      </c>
      <c r="B4">
        <v>3</v>
      </c>
      <c r="C4">
        <v>2</v>
      </c>
      <c r="D4">
        <v>2</v>
      </c>
      <c r="E4">
        <v>6</v>
      </c>
      <c r="F4">
        <v>4</v>
      </c>
      <c r="G4">
        <v>2</v>
      </c>
      <c r="H4">
        <v>7</v>
      </c>
      <c r="I4">
        <v>8</v>
      </c>
      <c r="J4">
        <v>9</v>
      </c>
      <c r="K4">
        <v>7</v>
      </c>
      <c r="L4">
        <v>12</v>
      </c>
      <c r="M4">
        <v>1</v>
      </c>
      <c r="N4">
        <v>14</v>
      </c>
      <c r="O4">
        <v>16</v>
      </c>
      <c r="P4">
        <v>5</v>
      </c>
      <c r="Q4">
        <v>5</v>
      </c>
      <c r="R4">
        <v>11</v>
      </c>
      <c r="S4">
        <v>3</v>
      </c>
      <c r="T4">
        <v>14</v>
      </c>
      <c r="U4">
        <v>9</v>
      </c>
      <c r="V4">
        <v>4</v>
      </c>
      <c r="W4">
        <v>8</v>
      </c>
      <c r="X4">
        <v>9</v>
      </c>
      <c r="Y4">
        <v>2</v>
      </c>
      <c r="Z4">
        <v>4</v>
      </c>
      <c r="AA4">
        <v>3</v>
      </c>
      <c r="AB4">
        <v>3</v>
      </c>
      <c r="AC4">
        <v>6</v>
      </c>
      <c r="AD4">
        <v>3</v>
      </c>
      <c r="AE4">
        <v>3</v>
      </c>
      <c r="AF4">
        <v>1</v>
      </c>
      <c r="AG4">
        <v>5</v>
      </c>
      <c r="AH4">
        <v>3</v>
      </c>
      <c r="AI4">
        <v>1</v>
      </c>
      <c r="AJ4">
        <v>3</v>
      </c>
      <c r="AK4">
        <v>7</v>
      </c>
      <c r="AL4">
        <v>6</v>
      </c>
      <c r="AM4">
        <v>8</v>
      </c>
      <c r="AN4">
        <v>1</v>
      </c>
      <c r="AO4">
        <v>3</v>
      </c>
      <c r="AQ4">
        <f>SUM(B4:AO4)</f>
        <v>223</v>
      </c>
      <c r="AR4">
        <f>(AQ4/AQ30)*100</f>
        <v>11.512648425400103</v>
      </c>
    </row>
    <row r="5" spans="1:44" x14ac:dyDescent="0.25">
      <c r="A5" s="6" t="s">
        <v>5</v>
      </c>
      <c r="D5">
        <v>1</v>
      </c>
      <c r="G5">
        <v>1</v>
      </c>
      <c r="O5">
        <v>1</v>
      </c>
      <c r="P5">
        <v>1</v>
      </c>
      <c r="T5">
        <v>1</v>
      </c>
      <c r="U5">
        <v>1</v>
      </c>
      <c r="Z5">
        <v>2</v>
      </c>
      <c r="AC5">
        <v>1</v>
      </c>
      <c r="AJ5">
        <v>1</v>
      </c>
      <c r="AK5">
        <v>1</v>
      </c>
      <c r="AN5">
        <v>2</v>
      </c>
      <c r="AQ5">
        <f t="shared" ref="AQ5:AQ30" si="0">SUM(B5:AO5)</f>
        <v>13</v>
      </c>
      <c r="AR5">
        <f>(AQ5/AQ30)*100</f>
        <v>0.67114093959731547</v>
      </c>
    </row>
    <row r="6" spans="1:44" x14ac:dyDescent="0.25">
      <c r="A6" s="6" t="s">
        <v>95</v>
      </c>
      <c r="H6">
        <v>1</v>
      </c>
      <c r="M6">
        <v>1</v>
      </c>
      <c r="AG6">
        <v>1</v>
      </c>
      <c r="AQ6">
        <f t="shared" si="0"/>
        <v>3</v>
      </c>
      <c r="AR6">
        <f>(AQ6/AQ30)*100</f>
        <v>0.15487867836861124</v>
      </c>
    </row>
    <row r="7" spans="1:44" x14ac:dyDescent="0.25">
      <c r="A7" s="6" t="s">
        <v>6</v>
      </c>
      <c r="B7">
        <v>4</v>
      </c>
      <c r="C7">
        <v>1</v>
      </c>
      <c r="F7">
        <v>1</v>
      </c>
      <c r="G7">
        <v>2</v>
      </c>
      <c r="J7">
        <v>2</v>
      </c>
      <c r="K7">
        <v>1</v>
      </c>
      <c r="L7">
        <v>2</v>
      </c>
      <c r="O7">
        <v>1</v>
      </c>
      <c r="P7">
        <v>6</v>
      </c>
      <c r="Q7">
        <v>5</v>
      </c>
      <c r="R7">
        <v>4</v>
      </c>
      <c r="T7">
        <v>3</v>
      </c>
      <c r="U7">
        <v>2</v>
      </c>
      <c r="V7">
        <v>2</v>
      </c>
      <c r="W7">
        <v>2</v>
      </c>
      <c r="Z7">
        <v>1</v>
      </c>
      <c r="AA7">
        <v>3</v>
      </c>
      <c r="AB7">
        <v>2</v>
      </c>
      <c r="AC7">
        <v>2</v>
      </c>
      <c r="AD7">
        <v>2</v>
      </c>
      <c r="AE7">
        <v>1</v>
      </c>
      <c r="AG7">
        <v>1</v>
      </c>
      <c r="AI7">
        <v>1</v>
      </c>
      <c r="AJ7">
        <v>2</v>
      </c>
      <c r="AK7">
        <v>4</v>
      </c>
      <c r="AL7">
        <v>1</v>
      </c>
      <c r="AO7">
        <v>1</v>
      </c>
      <c r="AQ7">
        <f t="shared" si="0"/>
        <v>59</v>
      </c>
      <c r="AR7">
        <f>(AQ7/AQ30)*100</f>
        <v>3.0459473412493545</v>
      </c>
    </row>
    <row r="8" spans="1:44" x14ac:dyDescent="0.25">
      <c r="A8" s="6" t="s">
        <v>8</v>
      </c>
      <c r="R8">
        <v>1</v>
      </c>
      <c r="U8">
        <v>1</v>
      </c>
      <c r="AQ8">
        <f t="shared" si="0"/>
        <v>2</v>
      </c>
      <c r="AR8">
        <f>(AQ8/AQ30)*100</f>
        <v>0.10325245224574084</v>
      </c>
    </row>
    <row r="9" spans="1:44" x14ac:dyDescent="0.25">
      <c r="A9" s="6" t="s">
        <v>9</v>
      </c>
      <c r="C9">
        <v>1</v>
      </c>
      <c r="E9">
        <v>2</v>
      </c>
      <c r="G9">
        <v>2</v>
      </c>
      <c r="H9">
        <v>1</v>
      </c>
      <c r="I9">
        <v>2</v>
      </c>
      <c r="J9">
        <v>3</v>
      </c>
      <c r="K9">
        <v>1</v>
      </c>
      <c r="L9">
        <v>4</v>
      </c>
      <c r="M9">
        <v>4</v>
      </c>
      <c r="N9">
        <v>4</v>
      </c>
      <c r="P9">
        <v>4</v>
      </c>
      <c r="S9">
        <v>5</v>
      </c>
      <c r="W9">
        <v>1</v>
      </c>
      <c r="X9">
        <v>2</v>
      </c>
      <c r="Y9">
        <v>2</v>
      </c>
      <c r="AC9">
        <v>1</v>
      </c>
      <c r="AE9">
        <v>1</v>
      </c>
      <c r="AF9">
        <v>1</v>
      </c>
      <c r="AL9">
        <v>1</v>
      </c>
      <c r="AN9">
        <v>1</v>
      </c>
      <c r="AQ9">
        <f t="shared" si="0"/>
        <v>43</v>
      </c>
      <c r="AR9">
        <f>(AQ9/AQ30)*100</f>
        <v>2.219927723283428</v>
      </c>
    </row>
    <row r="10" spans="1:44" x14ac:dyDescent="0.25">
      <c r="A10" s="6" t="s">
        <v>11</v>
      </c>
      <c r="M10">
        <v>1</v>
      </c>
      <c r="V10">
        <v>1</v>
      </c>
      <c r="Z10">
        <v>1</v>
      </c>
      <c r="AH10">
        <v>2</v>
      </c>
      <c r="AN10">
        <v>2</v>
      </c>
      <c r="AQ10">
        <f t="shared" si="0"/>
        <v>7</v>
      </c>
      <c r="AR10">
        <f>(AQ10/AQ30)*100</f>
        <v>0.36138358286009292</v>
      </c>
    </row>
    <row r="11" spans="1:44" x14ac:dyDescent="0.25">
      <c r="A11" s="6" t="s">
        <v>59</v>
      </c>
      <c r="Z11">
        <v>1</v>
      </c>
      <c r="AH11">
        <v>1</v>
      </c>
      <c r="AQ11">
        <f t="shared" si="0"/>
        <v>2</v>
      </c>
    </row>
    <row r="12" spans="1:44" x14ac:dyDescent="0.25">
      <c r="A12" s="6" t="s">
        <v>16</v>
      </c>
      <c r="F12">
        <v>1</v>
      </c>
      <c r="AI12">
        <v>2</v>
      </c>
      <c r="AQ12">
        <f t="shared" si="0"/>
        <v>3</v>
      </c>
      <c r="AR12">
        <f>(AQ12/AQ30)*100</f>
        <v>0.15487867836861124</v>
      </c>
    </row>
    <row r="13" spans="1:44" x14ac:dyDescent="0.25">
      <c r="A13" s="6" t="s">
        <v>18</v>
      </c>
      <c r="H13">
        <v>2</v>
      </c>
      <c r="J13">
        <v>2</v>
      </c>
      <c r="K13">
        <v>1</v>
      </c>
      <c r="L13">
        <v>4</v>
      </c>
      <c r="O13">
        <v>1</v>
      </c>
      <c r="Q13">
        <v>1</v>
      </c>
      <c r="AC13">
        <v>1</v>
      </c>
      <c r="AD13">
        <v>1</v>
      </c>
      <c r="AF13">
        <v>1</v>
      </c>
      <c r="AH13">
        <v>1</v>
      </c>
      <c r="AK13">
        <v>1</v>
      </c>
      <c r="AQ13">
        <f t="shared" si="0"/>
        <v>16</v>
      </c>
      <c r="AR13">
        <f>(AQ13/AQ30)*100</f>
        <v>0.82601961796592671</v>
      </c>
    </row>
    <row r="14" spans="1:44" x14ac:dyDescent="0.25">
      <c r="A14" s="6" t="s">
        <v>19</v>
      </c>
      <c r="B14">
        <v>5</v>
      </c>
      <c r="C14">
        <v>3</v>
      </c>
      <c r="D14">
        <v>2</v>
      </c>
      <c r="E14">
        <v>3</v>
      </c>
      <c r="F14">
        <v>5</v>
      </c>
      <c r="G14">
        <v>1</v>
      </c>
      <c r="H14">
        <v>3</v>
      </c>
      <c r="I14">
        <v>3</v>
      </c>
      <c r="J14">
        <v>7</v>
      </c>
      <c r="K14">
        <v>18</v>
      </c>
      <c r="L14">
        <v>4</v>
      </c>
      <c r="M14">
        <v>2</v>
      </c>
      <c r="N14">
        <v>3</v>
      </c>
      <c r="O14">
        <v>5</v>
      </c>
      <c r="P14">
        <v>7</v>
      </c>
      <c r="R14">
        <v>12</v>
      </c>
      <c r="S14">
        <v>2</v>
      </c>
      <c r="T14">
        <v>2</v>
      </c>
      <c r="U14">
        <v>8</v>
      </c>
      <c r="V14">
        <v>6</v>
      </c>
      <c r="W14">
        <v>5</v>
      </c>
      <c r="X14">
        <v>6</v>
      </c>
      <c r="Y14">
        <v>6</v>
      </c>
      <c r="Z14">
        <v>6</v>
      </c>
      <c r="AA14">
        <v>4</v>
      </c>
      <c r="AB14">
        <v>8</v>
      </c>
      <c r="AC14">
        <v>6</v>
      </c>
      <c r="AD14">
        <v>3</v>
      </c>
      <c r="AE14">
        <v>4</v>
      </c>
      <c r="AF14">
        <v>3</v>
      </c>
      <c r="AG14">
        <v>5</v>
      </c>
      <c r="AH14">
        <v>5</v>
      </c>
      <c r="AI14">
        <v>6</v>
      </c>
      <c r="AJ14">
        <v>12</v>
      </c>
      <c r="AK14">
        <v>8</v>
      </c>
      <c r="AL14">
        <v>4</v>
      </c>
      <c r="AM14">
        <v>2</v>
      </c>
      <c r="AN14">
        <v>4</v>
      </c>
      <c r="AO14">
        <v>2</v>
      </c>
      <c r="AQ14">
        <f t="shared" si="0"/>
        <v>200</v>
      </c>
      <c r="AR14">
        <f>(AQ14/AQ30)*100</f>
        <v>10.325245224574084</v>
      </c>
    </row>
    <row r="15" spans="1:44" x14ac:dyDescent="0.25">
      <c r="A15" s="6" t="s">
        <v>20</v>
      </c>
      <c r="E15">
        <v>1</v>
      </c>
      <c r="H15">
        <v>1</v>
      </c>
      <c r="AB15">
        <v>1</v>
      </c>
      <c r="AH15">
        <v>1</v>
      </c>
      <c r="AQ15">
        <f t="shared" si="0"/>
        <v>4</v>
      </c>
      <c r="AR15">
        <f>(AQ15/AQ30)*100</f>
        <v>0.20650490449148168</v>
      </c>
    </row>
    <row r="16" spans="1:44" x14ac:dyDescent="0.25">
      <c r="A16" s="6" t="s">
        <v>21</v>
      </c>
      <c r="E16">
        <v>1</v>
      </c>
      <c r="L16">
        <v>1</v>
      </c>
      <c r="P16">
        <v>2</v>
      </c>
      <c r="Q16">
        <v>1</v>
      </c>
      <c r="T16">
        <v>1</v>
      </c>
      <c r="Z16">
        <v>1</v>
      </c>
      <c r="AM16">
        <v>1</v>
      </c>
      <c r="AO16">
        <v>1</v>
      </c>
      <c r="AQ16">
        <f t="shared" si="0"/>
        <v>9</v>
      </c>
      <c r="AR16">
        <f>(AQ16/AQ30)*100</f>
        <v>0.46463603510583373</v>
      </c>
    </row>
    <row r="17" spans="1:44" x14ac:dyDescent="0.25">
      <c r="A17" s="6" t="s">
        <v>22</v>
      </c>
      <c r="K17">
        <v>2</v>
      </c>
      <c r="L17">
        <v>1</v>
      </c>
      <c r="N17">
        <v>1</v>
      </c>
      <c r="O17">
        <v>1</v>
      </c>
      <c r="W17">
        <v>1</v>
      </c>
      <c r="AG17">
        <v>2</v>
      </c>
      <c r="AJ17">
        <v>1</v>
      </c>
      <c r="AQ17">
        <f t="shared" si="0"/>
        <v>9</v>
      </c>
      <c r="AR17">
        <f>(AQ17/AQ30)*100</f>
        <v>0.46463603510583373</v>
      </c>
    </row>
    <row r="18" spans="1:44" x14ac:dyDescent="0.25">
      <c r="A18" s="6" t="s">
        <v>23</v>
      </c>
      <c r="M18">
        <v>1</v>
      </c>
      <c r="N18">
        <v>1</v>
      </c>
      <c r="O18">
        <v>1</v>
      </c>
      <c r="P18">
        <v>1</v>
      </c>
      <c r="R18">
        <v>2</v>
      </c>
      <c r="AB18">
        <v>1</v>
      </c>
      <c r="AG18">
        <v>1</v>
      </c>
      <c r="AQ18">
        <f t="shared" si="0"/>
        <v>8</v>
      </c>
      <c r="AR18">
        <f>(AQ18/AQ30)*100</f>
        <v>0.41300980898296336</v>
      </c>
    </row>
    <row r="19" spans="1:44" x14ac:dyDescent="0.25">
      <c r="A19" s="6" t="s">
        <v>24</v>
      </c>
      <c r="D19">
        <v>2</v>
      </c>
      <c r="E19">
        <v>2</v>
      </c>
      <c r="F19">
        <v>3</v>
      </c>
      <c r="G19">
        <v>1</v>
      </c>
      <c r="J19">
        <v>3</v>
      </c>
      <c r="K19">
        <v>2</v>
      </c>
      <c r="L19">
        <v>1</v>
      </c>
      <c r="N19">
        <v>3</v>
      </c>
      <c r="O19">
        <v>1</v>
      </c>
      <c r="R19">
        <v>1</v>
      </c>
      <c r="S19">
        <v>2</v>
      </c>
      <c r="T19">
        <v>3</v>
      </c>
      <c r="U19">
        <v>3</v>
      </c>
      <c r="X19">
        <v>3</v>
      </c>
      <c r="Y19">
        <v>1</v>
      </c>
      <c r="AA19">
        <v>2</v>
      </c>
      <c r="AB19">
        <v>2</v>
      </c>
      <c r="AC19">
        <v>3</v>
      </c>
      <c r="AE19">
        <v>3</v>
      </c>
      <c r="AG19">
        <v>2</v>
      </c>
      <c r="AH19">
        <v>6</v>
      </c>
      <c r="AK19">
        <v>1</v>
      </c>
      <c r="AL19">
        <v>3</v>
      </c>
      <c r="AM19">
        <v>1</v>
      </c>
      <c r="AN19">
        <v>1</v>
      </c>
      <c r="AQ19">
        <f t="shared" si="0"/>
        <v>55</v>
      </c>
      <c r="AR19">
        <f>(AQ19/AQ30)*100</f>
        <v>2.839442436757873</v>
      </c>
    </row>
    <row r="20" spans="1:44" x14ac:dyDescent="0.25">
      <c r="A20" s="6" t="s">
        <v>25</v>
      </c>
      <c r="F20">
        <v>1</v>
      </c>
      <c r="G20">
        <v>1</v>
      </c>
      <c r="H20">
        <v>2</v>
      </c>
      <c r="I20">
        <v>1</v>
      </c>
      <c r="K20">
        <v>4</v>
      </c>
      <c r="O20">
        <v>2</v>
      </c>
      <c r="P20">
        <v>1</v>
      </c>
      <c r="Q20">
        <v>2</v>
      </c>
      <c r="U20">
        <v>1</v>
      </c>
      <c r="W20">
        <v>1</v>
      </c>
      <c r="X20">
        <v>1</v>
      </c>
      <c r="Z20">
        <v>1</v>
      </c>
      <c r="AA20">
        <v>1</v>
      </c>
      <c r="AB20">
        <v>1</v>
      </c>
      <c r="AC20">
        <v>3</v>
      </c>
      <c r="AE20">
        <v>1</v>
      </c>
      <c r="AJ20">
        <v>1</v>
      </c>
      <c r="AL20">
        <v>1</v>
      </c>
      <c r="AN20">
        <v>1</v>
      </c>
      <c r="AQ20">
        <f t="shared" si="0"/>
        <v>27</v>
      </c>
      <c r="AR20">
        <f>(AQ20/AQ30)*100</f>
        <v>1.3939081053175013</v>
      </c>
    </row>
    <row r="21" spans="1:44" x14ac:dyDescent="0.25">
      <c r="A21" s="6" t="s">
        <v>26</v>
      </c>
      <c r="I21">
        <v>1</v>
      </c>
      <c r="AB21">
        <v>1</v>
      </c>
      <c r="AJ21">
        <v>1</v>
      </c>
      <c r="AM21">
        <v>1</v>
      </c>
      <c r="AN21">
        <v>1</v>
      </c>
      <c r="AQ21">
        <f t="shared" si="0"/>
        <v>5</v>
      </c>
      <c r="AR21">
        <f>(AQ21/AQ30)*100</f>
        <v>0.25813113061435211</v>
      </c>
    </row>
    <row r="22" spans="1:44" x14ac:dyDescent="0.25">
      <c r="A22" s="6" t="s">
        <v>27</v>
      </c>
      <c r="R22">
        <v>1</v>
      </c>
      <c r="T22">
        <v>1</v>
      </c>
      <c r="AF22">
        <v>1</v>
      </c>
      <c r="AQ22">
        <f t="shared" si="0"/>
        <v>3</v>
      </c>
      <c r="AR22">
        <f>(AQ22/AQ30)*100</f>
        <v>0.15487867836861124</v>
      </c>
    </row>
    <row r="23" spans="1:44" x14ac:dyDescent="0.25">
      <c r="A23" s="6" t="s">
        <v>102</v>
      </c>
      <c r="I23">
        <v>3</v>
      </c>
      <c r="K23">
        <v>1</v>
      </c>
      <c r="M23">
        <v>1</v>
      </c>
      <c r="O23">
        <v>1</v>
      </c>
      <c r="P23">
        <v>1</v>
      </c>
      <c r="X23">
        <v>1</v>
      </c>
      <c r="AQ23">
        <f t="shared" si="0"/>
        <v>8</v>
      </c>
    </row>
    <row r="24" spans="1:44" x14ac:dyDescent="0.25">
      <c r="A24" s="6" t="s">
        <v>30</v>
      </c>
      <c r="F24">
        <v>1</v>
      </c>
      <c r="I24">
        <v>1</v>
      </c>
      <c r="R24">
        <v>1</v>
      </c>
      <c r="AD24">
        <v>1</v>
      </c>
      <c r="AE24">
        <v>1</v>
      </c>
      <c r="AQ24">
        <f t="shared" si="0"/>
        <v>5</v>
      </c>
      <c r="AR24">
        <f>(AQ24/AQ30)*100</f>
        <v>0.25813113061435211</v>
      </c>
    </row>
    <row r="25" spans="1:44" x14ac:dyDescent="0.25">
      <c r="A25" s="6" t="s">
        <v>32</v>
      </c>
      <c r="B25">
        <v>8</v>
      </c>
      <c r="C25">
        <v>11</v>
      </c>
      <c r="D25">
        <v>7</v>
      </c>
      <c r="E25">
        <v>28</v>
      </c>
      <c r="F25">
        <v>22</v>
      </c>
      <c r="G25">
        <v>27</v>
      </c>
      <c r="H25">
        <v>10</v>
      </c>
      <c r="I25">
        <v>61</v>
      </c>
      <c r="J25">
        <v>50</v>
      </c>
      <c r="K25">
        <v>52</v>
      </c>
      <c r="L25">
        <v>60</v>
      </c>
      <c r="M25">
        <v>36</v>
      </c>
      <c r="N25">
        <v>29</v>
      </c>
      <c r="O25">
        <v>38</v>
      </c>
      <c r="P25">
        <v>42</v>
      </c>
      <c r="Q25">
        <v>8</v>
      </c>
      <c r="R25">
        <v>42</v>
      </c>
      <c r="S25">
        <v>13</v>
      </c>
      <c r="T25">
        <v>31</v>
      </c>
      <c r="U25">
        <v>37</v>
      </c>
      <c r="V25">
        <v>10</v>
      </c>
      <c r="W25">
        <v>26</v>
      </c>
      <c r="X25">
        <v>27</v>
      </c>
      <c r="Y25">
        <v>16</v>
      </c>
      <c r="Z25">
        <v>5</v>
      </c>
      <c r="AA25">
        <v>13</v>
      </c>
      <c r="AB25">
        <v>27</v>
      </c>
      <c r="AC25">
        <v>36</v>
      </c>
      <c r="AD25">
        <v>11</v>
      </c>
      <c r="AE25">
        <v>12</v>
      </c>
      <c r="AF25">
        <v>4</v>
      </c>
      <c r="AG25">
        <v>28</v>
      </c>
      <c r="AH25">
        <v>10</v>
      </c>
      <c r="AI25">
        <v>12</v>
      </c>
      <c r="AJ25">
        <v>12</v>
      </c>
      <c r="AK25">
        <v>16</v>
      </c>
      <c r="AL25">
        <v>6</v>
      </c>
      <c r="AM25">
        <v>12</v>
      </c>
      <c r="AN25">
        <v>27</v>
      </c>
      <c r="AO25">
        <v>9</v>
      </c>
      <c r="AQ25">
        <f t="shared" si="0"/>
        <v>931</v>
      </c>
      <c r="AR25">
        <f>(AQ25/AQ30)*100</f>
        <v>48.064016520392357</v>
      </c>
    </row>
    <row r="26" spans="1:44" x14ac:dyDescent="0.25">
      <c r="A26" s="6" t="s">
        <v>33</v>
      </c>
      <c r="E26">
        <v>1</v>
      </c>
      <c r="F26">
        <v>1</v>
      </c>
      <c r="I26">
        <v>2</v>
      </c>
      <c r="K26">
        <v>1</v>
      </c>
      <c r="L26">
        <v>1</v>
      </c>
      <c r="P26">
        <v>2</v>
      </c>
      <c r="R26">
        <v>1</v>
      </c>
      <c r="V26">
        <v>1</v>
      </c>
      <c r="W26">
        <v>1</v>
      </c>
      <c r="AG26">
        <v>1</v>
      </c>
      <c r="AI26">
        <v>1</v>
      </c>
      <c r="AL26">
        <v>1</v>
      </c>
      <c r="AQ26">
        <f t="shared" si="0"/>
        <v>14</v>
      </c>
      <c r="AR26">
        <f>(AQ26/AQ30)*100</f>
        <v>0.72276716572018584</v>
      </c>
    </row>
    <row r="27" spans="1:44" x14ac:dyDescent="0.25">
      <c r="A27" s="6" t="s">
        <v>36</v>
      </c>
      <c r="U27">
        <v>1</v>
      </c>
      <c r="AQ27">
        <f t="shared" si="0"/>
        <v>1</v>
      </c>
      <c r="AR27">
        <f>(AQ27/AQ30)*100</f>
        <v>5.1626226122870419E-2</v>
      </c>
    </row>
    <row r="28" spans="1:44" x14ac:dyDescent="0.25">
      <c r="A28" s="6" t="s">
        <v>37</v>
      </c>
      <c r="B28">
        <v>1</v>
      </c>
      <c r="C28">
        <v>3</v>
      </c>
      <c r="D28">
        <v>4</v>
      </c>
      <c r="E28">
        <v>6</v>
      </c>
      <c r="F28">
        <v>14</v>
      </c>
      <c r="G28">
        <v>11</v>
      </c>
      <c r="H28">
        <v>5</v>
      </c>
      <c r="I28">
        <v>18</v>
      </c>
      <c r="J28">
        <v>12</v>
      </c>
      <c r="K28">
        <v>11</v>
      </c>
      <c r="L28">
        <v>9</v>
      </c>
      <c r="M28">
        <v>2</v>
      </c>
      <c r="N28">
        <v>8</v>
      </c>
      <c r="O28">
        <v>15</v>
      </c>
      <c r="P28">
        <v>10</v>
      </c>
      <c r="Q28">
        <v>1</v>
      </c>
      <c r="R28">
        <v>18</v>
      </c>
      <c r="S28">
        <v>3</v>
      </c>
      <c r="T28">
        <v>15</v>
      </c>
      <c r="U28">
        <v>7</v>
      </c>
      <c r="V28">
        <v>8</v>
      </c>
      <c r="W28">
        <v>12</v>
      </c>
      <c r="X28">
        <v>3</v>
      </c>
      <c r="Y28">
        <v>2</v>
      </c>
      <c r="Z28">
        <v>1</v>
      </c>
      <c r="AA28">
        <v>4</v>
      </c>
      <c r="AB28">
        <v>9</v>
      </c>
      <c r="AC28">
        <v>7</v>
      </c>
      <c r="AD28">
        <v>4</v>
      </c>
      <c r="AE28">
        <v>1</v>
      </c>
      <c r="AF28">
        <v>2</v>
      </c>
      <c r="AG28">
        <v>10</v>
      </c>
      <c r="AH28">
        <v>8</v>
      </c>
      <c r="AI28">
        <v>2</v>
      </c>
      <c r="AJ28">
        <v>9</v>
      </c>
      <c r="AK28">
        <v>8</v>
      </c>
      <c r="AL28">
        <v>7</v>
      </c>
      <c r="AM28">
        <v>8</v>
      </c>
      <c r="AN28">
        <v>8</v>
      </c>
      <c r="AO28">
        <v>1</v>
      </c>
      <c r="AQ28">
        <f t="shared" si="0"/>
        <v>287</v>
      </c>
      <c r="AR28">
        <f>(AQ28/AQ30)*100</f>
        <v>14.816726897263809</v>
      </c>
    </row>
    <row r="29" spans="1:44" x14ac:dyDescent="0.25">
      <c r="A29" s="6"/>
      <c r="AQ29">
        <f t="shared" si="0"/>
        <v>0</v>
      </c>
    </row>
    <row r="30" spans="1:44" x14ac:dyDescent="0.25">
      <c r="A30" s="1" t="s">
        <v>39</v>
      </c>
      <c r="B30" s="2">
        <f t="shared" ref="B30:Z30" si="1">SUM(B4:B29)</f>
        <v>21</v>
      </c>
      <c r="C30" s="2">
        <f t="shared" si="1"/>
        <v>21</v>
      </c>
      <c r="D30" s="2">
        <f t="shared" si="1"/>
        <v>18</v>
      </c>
      <c r="E30" s="2">
        <f t="shared" si="1"/>
        <v>50</v>
      </c>
      <c r="F30" s="2">
        <f t="shared" si="1"/>
        <v>53</v>
      </c>
      <c r="G30" s="2">
        <f t="shared" si="1"/>
        <v>48</v>
      </c>
      <c r="H30" s="2">
        <f t="shared" si="1"/>
        <v>32</v>
      </c>
      <c r="I30" s="2">
        <f t="shared" si="1"/>
        <v>100</v>
      </c>
      <c r="J30" s="2">
        <f t="shared" si="1"/>
        <v>88</v>
      </c>
      <c r="K30" s="2">
        <f t="shared" si="1"/>
        <v>101</v>
      </c>
      <c r="L30" s="2">
        <f t="shared" si="1"/>
        <v>99</v>
      </c>
      <c r="M30" s="2">
        <f t="shared" si="1"/>
        <v>49</v>
      </c>
      <c r="N30" s="2">
        <f t="shared" si="1"/>
        <v>63</v>
      </c>
      <c r="O30" s="2">
        <f t="shared" si="1"/>
        <v>83</v>
      </c>
      <c r="P30" s="2">
        <f t="shared" si="1"/>
        <v>82</v>
      </c>
      <c r="Q30" s="2">
        <f t="shared" si="1"/>
        <v>23</v>
      </c>
      <c r="R30" s="2">
        <f t="shared" si="1"/>
        <v>94</v>
      </c>
      <c r="S30" s="2">
        <f t="shared" si="1"/>
        <v>28</v>
      </c>
      <c r="T30" s="2">
        <f t="shared" si="1"/>
        <v>71</v>
      </c>
      <c r="U30" s="2">
        <f t="shared" si="1"/>
        <v>70</v>
      </c>
      <c r="V30" s="2">
        <f t="shared" si="1"/>
        <v>32</v>
      </c>
      <c r="W30" s="2">
        <f t="shared" si="1"/>
        <v>57</v>
      </c>
      <c r="X30" s="2">
        <f t="shared" si="1"/>
        <v>52</v>
      </c>
      <c r="Y30" s="2">
        <f t="shared" si="1"/>
        <v>29</v>
      </c>
      <c r="Z30" s="2">
        <f t="shared" si="1"/>
        <v>23</v>
      </c>
      <c r="AA30" s="2">
        <f t="shared" ref="AA30:AO30" si="2">SUM(AA4:AA29)</f>
        <v>30</v>
      </c>
      <c r="AB30" s="2">
        <f t="shared" si="2"/>
        <v>55</v>
      </c>
      <c r="AC30" s="2">
        <f t="shared" si="2"/>
        <v>66</v>
      </c>
      <c r="AD30" s="2">
        <f t="shared" si="2"/>
        <v>25</v>
      </c>
      <c r="AE30" s="2">
        <f t="shared" si="2"/>
        <v>27</v>
      </c>
      <c r="AF30" s="2">
        <f t="shared" si="2"/>
        <v>13</v>
      </c>
      <c r="AG30" s="2">
        <f t="shared" si="2"/>
        <v>56</v>
      </c>
      <c r="AH30" s="2">
        <f t="shared" si="2"/>
        <v>37</v>
      </c>
      <c r="AI30" s="2">
        <f t="shared" si="2"/>
        <v>25</v>
      </c>
      <c r="AJ30" s="2">
        <f t="shared" si="2"/>
        <v>42</v>
      </c>
      <c r="AK30" s="2">
        <f t="shared" si="2"/>
        <v>46</v>
      </c>
      <c r="AL30" s="2">
        <f t="shared" si="2"/>
        <v>30</v>
      </c>
      <c r="AM30" s="2">
        <f t="shared" si="2"/>
        <v>33</v>
      </c>
      <c r="AN30" s="2">
        <f t="shared" si="2"/>
        <v>48</v>
      </c>
      <c r="AO30" s="2">
        <f t="shared" si="2"/>
        <v>17</v>
      </c>
      <c r="AP30" s="2"/>
      <c r="AQ30">
        <f t="shared" si="0"/>
        <v>1937</v>
      </c>
      <c r="AR30" s="7">
        <f>SUM(AR4:AR29)</f>
        <v>99.483737738771282</v>
      </c>
    </row>
    <row r="31" spans="1:44" x14ac:dyDescent="0.25">
      <c r="B31">
        <v>21</v>
      </c>
      <c r="C31">
        <v>42</v>
      </c>
      <c r="D31">
        <v>60</v>
      </c>
      <c r="E31">
        <v>110</v>
      </c>
      <c r="F31">
        <v>163</v>
      </c>
      <c r="G31">
        <v>211</v>
      </c>
      <c r="H31">
        <v>243</v>
      </c>
      <c r="I31">
        <v>343</v>
      </c>
      <c r="J31">
        <v>431</v>
      </c>
      <c r="K31">
        <v>532</v>
      </c>
      <c r="L31">
        <v>631</v>
      </c>
      <c r="M31">
        <v>680</v>
      </c>
      <c r="N31">
        <v>743</v>
      </c>
      <c r="O31">
        <v>826</v>
      </c>
      <c r="P31">
        <v>908</v>
      </c>
      <c r="Q31">
        <v>932</v>
      </c>
      <c r="R31">
        <v>1026</v>
      </c>
      <c r="S31">
        <v>1054</v>
      </c>
      <c r="T31">
        <v>1125</v>
      </c>
      <c r="U31">
        <v>1195</v>
      </c>
      <c r="V31">
        <v>1227</v>
      </c>
      <c r="W31">
        <v>1284</v>
      </c>
      <c r="X31">
        <v>1336</v>
      </c>
      <c r="Y31">
        <v>1365</v>
      </c>
      <c r="Z31">
        <v>1388</v>
      </c>
      <c r="AA31">
        <v>1418</v>
      </c>
      <c r="AB31">
        <v>1473</v>
      </c>
      <c r="AC31">
        <v>1539</v>
      </c>
      <c r="AD31">
        <v>1564</v>
      </c>
      <c r="AE31">
        <v>1591</v>
      </c>
      <c r="AF31">
        <v>1604</v>
      </c>
      <c r="AG31">
        <v>1660</v>
      </c>
      <c r="AH31">
        <v>1697</v>
      </c>
      <c r="AI31">
        <v>1722</v>
      </c>
      <c r="AJ31">
        <v>1764</v>
      </c>
      <c r="AK31">
        <v>1810</v>
      </c>
      <c r="AL31">
        <v>1840</v>
      </c>
      <c r="AM31">
        <v>1873</v>
      </c>
      <c r="AN31">
        <v>1921</v>
      </c>
      <c r="AO31">
        <v>1937</v>
      </c>
    </row>
    <row r="33" spans="1:41" x14ac:dyDescent="0.25">
      <c r="A33" t="s">
        <v>755</v>
      </c>
      <c r="B33">
        <v>5</v>
      </c>
      <c r="C33">
        <v>6</v>
      </c>
      <c r="D33">
        <v>8</v>
      </c>
      <c r="E33">
        <v>11</v>
      </c>
      <c r="F33">
        <v>14</v>
      </c>
      <c r="G33">
        <v>14</v>
      </c>
      <c r="H33">
        <v>16</v>
      </c>
      <c r="I33">
        <v>18</v>
      </c>
      <c r="J33">
        <v>18</v>
      </c>
      <c r="K33">
        <v>19</v>
      </c>
      <c r="L33">
        <v>19</v>
      </c>
      <c r="M33">
        <v>21</v>
      </c>
      <c r="N33">
        <v>21</v>
      </c>
      <c r="O33">
        <v>21</v>
      </c>
      <c r="P33">
        <v>21</v>
      </c>
      <c r="Q33">
        <v>21</v>
      </c>
      <c r="R33">
        <v>23</v>
      </c>
      <c r="S33">
        <v>23</v>
      </c>
      <c r="T33">
        <v>23</v>
      </c>
      <c r="U33">
        <v>24</v>
      </c>
      <c r="V33">
        <v>24</v>
      </c>
      <c r="W33">
        <v>24</v>
      </c>
      <c r="X33">
        <v>24</v>
      </c>
      <c r="Y33">
        <v>24</v>
      </c>
      <c r="Z33">
        <v>25</v>
      </c>
      <c r="AA33">
        <v>25</v>
      </c>
      <c r="AB33">
        <v>25</v>
      </c>
      <c r="AC33">
        <v>25</v>
      </c>
      <c r="AD33">
        <v>25</v>
      </c>
      <c r="AE33">
        <v>25</v>
      </c>
      <c r="AF33">
        <v>25</v>
      </c>
      <c r="AG33">
        <v>25</v>
      </c>
      <c r="AH33">
        <v>25</v>
      </c>
      <c r="AI33">
        <v>25</v>
      </c>
      <c r="AJ33">
        <v>25</v>
      </c>
      <c r="AK33">
        <v>25</v>
      </c>
      <c r="AL33">
        <v>25</v>
      </c>
      <c r="AM33">
        <v>25</v>
      </c>
      <c r="AN33">
        <v>25</v>
      </c>
      <c r="AO33">
        <v>25</v>
      </c>
    </row>
  </sheetData>
  <mergeCells count="2">
    <mergeCell ref="B1:H1"/>
    <mergeCell ref="I1:AO1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5"/>
  <sheetViews>
    <sheetView workbookViewId="0">
      <pane xSplit="1" topLeftCell="B1" activePane="topRight" state="frozen"/>
      <selection pane="topRight" activeCell="P23" sqref="B23:P23"/>
    </sheetView>
  </sheetViews>
  <sheetFormatPr defaultRowHeight="15" x14ac:dyDescent="0.25"/>
  <cols>
    <col min="1" max="1" width="20.7109375" customWidth="1"/>
    <col min="28" max="28" width="12.5703125" bestFit="1" customWidth="1"/>
  </cols>
  <sheetData>
    <row r="1" spans="1:28" x14ac:dyDescent="0.25">
      <c r="A1" s="1" t="s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  <c r="V1" s="2">
        <v>21</v>
      </c>
      <c r="W1" s="2">
        <v>22</v>
      </c>
      <c r="X1" s="2">
        <v>23</v>
      </c>
      <c r="Y1" s="2">
        <v>24</v>
      </c>
      <c r="Z1" s="3">
        <v>25</v>
      </c>
    </row>
    <row r="2" spans="1:28" x14ac:dyDescent="0.25">
      <c r="A2" s="4" t="s">
        <v>1</v>
      </c>
      <c r="B2" s="5" t="s">
        <v>129</v>
      </c>
      <c r="C2" s="5" t="s">
        <v>130</v>
      </c>
      <c r="D2" s="5" t="s">
        <v>131</v>
      </c>
      <c r="E2" s="5" t="s">
        <v>132</v>
      </c>
      <c r="F2" s="5" t="s">
        <v>133</v>
      </c>
      <c r="G2" s="5" t="s">
        <v>134</v>
      </c>
      <c r="H2" s="5" t="s">
        <v>135</v>
      </c>
      <c r="I2" s="5" t="s">
        <v>136</v>
      </c>
      <c r="J2" s="5" t="s">
        <v>44</v>
      </c>
      <c r="K2" s="5" t="s">
        <v>137</v>
      </c>
      <c r="L2" s="5" t="s">
        <v>138</v>
      </c>
      <c r="M2" s="5" t="s">
        <v>139</v>
      </c>
      <c r="N2" s="5" t="s">
        <v>140</v>
      </c>
      <c r="O2" s="5" t="s">
        <v>141</v>
      </c>
      <c r="P2" s="5" t="s">
        <v>142</v>
      </c>
      <c r="Q2" s="5"/>
      <c r="R2" s="5"/>
      <c r="S2" s="5"/>
      <c r="T2" s="5"/>
      <c r="U2" s="5"/>
      <c r="V2" s="5"/>
      <c r="W2" s="5"/>
      <c r="X2" s="5"/>
      <c r="Y2" s="5"/>
      <c r="Z2" s="5"/>
      <c r="AA2" s="5" t="s">
        <v>2</v>
      </c>
      <c r="AB2" s="5" t="s">
        <v>3</v>
      </c>
    </row>
    <row r="3" spans="1:28" x14ac:dyDescent="0.25">
      <c r="A3" s="6" t="s">
        <v>4</v>
      </c>
      <c r="B3">
        <v>6</v>
      </c>
      <c r="C3">
        <v>1</v>
      </c>
      <c r="E3">
        <v>11</v>
      </c>
      <c r="F3">
        <v>1</v>
      </c>
      <c r="G3">
        <v>3</v>
      </c>
      <c r="H3">
        <v>1</v>
      </c>
      <c r="I3">
        <v>1</v>
      </c>
      <c r="J3">
        <v>2</v>
      </c>
      <c r="K3">
        <v>3</v>
      </c>
      <c r="L3">
        <v>8</v>
      </c>
      <c r="M3">
        <v>3</v>
      </c>
      <c r="N3">
        <v>3</v>
      </c>
      <c r="O3">
        <v>3</v>
      </c>
      <c r="P3">
        <v>1</v>
      </c>
      <c r="AA3">
        <f t="shared" ref="AA3:AA21" si="0">SUM(B3:Z3)</f>
        <v>47</v>
      </c>
      <c r="AB3">
        <f>(AA3/AA22)*100</f>
        <v>13.055555555555557</v>
      </c>
    </row>
    <row r="4" spans="1:28" x14ac:dyDescent="0.25">
      <c r="A4" s="6" t="s">
        <v>5</v>
      </c>
      <c r="C4">
        <v>1</v>
      </c>
      <c r="G4">
        <v>1</v>
      </c>
      <c r="I4">
        <v>1</v>
      </c>
      <c r="J4">
        <v>1</v>
      </c>
      <c r="K4">
        <v>3</v>
      </c>
      <c r="L4">
        <v>3</v>
      </c>
      <c r="O4">
        <v>1</v>
      </c>
      <c r="P4">
        <v>1</v>
      </c>
      <c r="AA4">
        <f t="shared" si="0"/>
        <v>12</v>
      </c>
      <c r="AB4">
        <f>(AA4/AA22)*100</f>
        <v>3.3333333333333335</v>
      </c>
    </row>
    <row r="5" spans="1:28" x14ac:dyDescent="0.25">
      <c r="A5" s="6" t="s">
        <v>95</v>
      </c>
      <c r="J5">
        <v>1</v>
      </c>
      <c r="AA5">
        <f t="shared" si="0"/>
        <v>1</v>
      </c>
      <c r="AB5">
        <f>(AA5/AA22)*100</f>
        <v>0.27777777777777779</v>
      </c>
    </row>
    <row r="6" spans="1:28" x14ac:dyDescent="0.25">
      <c r="A6" s="6" t="s">
        <v>6</v>
      </c>
      <c r="D6">
        <v>3</v>
      </c>
      <c r="F6">
        <v>1</v>
      </c>
      <c r="K6">
        <v>1</v>
      </c>
      <c r="O6">
        <v>1</v>
      </c>
      <c r="P6">
        <v>2</v>
      </c>
      <c r="AA6">
        <f t="shared" si="0"/>
        <v>8</v>
      </c>
      <c r="AB6">
        <f>(AA6/AA22)*100</f>
        <v>2.2222222222222223</v>
      </c>
    </row>
    <row r="7" spans="1:28" x14ac:dyDescent="0.25">
      <c r="A7" s="6" t="s">
        <v>9</v>
      </c>
      <c r="B7">
        <v>1</v>
      </c>
      <c r="C7">
        <v>1</v>
      </c>
      <c r="E7">
        <v>1</v>
      </c>
      <c r="F7">
        <v>1</v>
      </c>
      <c r="AA7">
        <f t="shared" si="0"/>
        <v>4</v>
      </c>
      <c r="AB7">
        <f>(AA7/AA22)*100</f>
        <v>1.1111111111111112</v>
      </c>
    </row>
    <row r="8" spans="1:28" x14ac:dyDescent="0.25">
      <c r="A8" s="6" t="s">
        <v>11</v>
      </c>
      <c r="D8">
        <v>1</v>
      </c>
      <c r="E8">
        <v>1</v>
      </c>
      <c r="O8">
        <v>1</v>
      </c>
      <c r="AA8">
        <f t="shared" si="0"/>
        <v>3</v>
      </c>
      <c r="AB8">
        <f>(AA8/AA22)*100</f>
        <v>0.83333333333333337</v>
      </c>
    </row>
    <row r="9" spans="1:28" x14ac:dyDescent="0.25">
      <c r="A9" s="6" t="s">
        <v>59</v>
      </c>
      <c r="D9">
        <v>1</v>
      </c>
      <c r="AA9">
        <f t="shared" si="0"/>
        <v>1</v>
      </c>
      <c r="AB9">
        <f>(AA9/AA22)*100</f>
        <v>0.27777777777777779</v>
      </c>
    </row>
    <row r="10" spans="1:28" x14ac:dyDescent="0.25">
      <c r="A10" s="6" t="s">
        <v>16</v>
      </c>
      <c r="I10">
        <v>1</v>
      </c>
      <c r="AA10">
        <f t="shared" si="0"/>
        <v>1</v>
      </c>
      <c r="AB10">
        <f>(AA10/AA22)*100</f>
        <v>0.27777777777777779</v>
      </c>
    </row>
    <row r="11" spans="1:28" x14ac:dyDescent="0.25">
      <c r="A11" s="6" t="s">
        <v>19</v>
      </c>
      <c r="B11">
        <v>9</v>
      </c>
      <c r="C11">
        <v>3</v>
      </c>
      <c r="D11">
        <v>1</v>
      </c>
      <c r="E11">
        <v>5</v>
      </c>
      <c r="F11">
        <v>4</v>
      </c>
      <c r="G11">
        <v>4</v>
      </c>
      <c r="H11">
        <v>6</v>
      </c>
      <c r="I11">
        <v>5</v>
      </c>
      <c r="J11">
        <v>6</v>
      </c>
      <c r="K11">
        <v>4</v>
      </c>
      <c r="L11">
        <v>2</v>
      </c>
      <c r="M11">
        <v>2</v>
      </c>
      <c r="N11">
        <v>5</v>
      </c>
      <c r="O11">
        <v>4</v>
      </c>
      <c r="P11">
        <v>3</v>
      </c>
      <c r="AA11">
        <f t="shared" si="0"/>
        <v>63</v>
      </c>
      <c r="AB11">
        <f>(AA11/AA22)*100</f>
        <v>17.5</v>
      </c>
    </row>
    <row r="12" spans="1:28" x14ac:dyDescent="0.25">
      <c r="A12" s="6" t="s">
        <v>20</v>
      </c>
      <c r="B12">
        <v>1</v>
      </c>
      <c r="I12">
        <v>1</v>
      </c>
      <c r="AA12">
        <f t="shared" si="0"/>
        <v>2</v>
      </c>
      <c r="AB12">
        <f>(AA12/AA22)*100</f>
        <v>0.55555555555555558</v>
      </c>
    </row>
    <row r="13" spans="1:28" x14ac:dyDescent="0.25">
      <c r="A13" s="6" t="s">
        <v>23</v>
      </c>
      <c r="J13">
        <v>1</v>
      </c>
      <c r="AA13">
        <f t="shared" si="0"/>
        <v>1</v>
      </c>
      <c r="AB13">
        <f>(AA13/AA22)*100</f>
        <v>0.27777777777777779</v>
      </c>
    </row>
    <row r="14" spans="1:28" x14ac:dyDescent="0.25">
      <c r="A14" s="6" t="s">
        <v>24</v>
      </c>
      <c r="H14">
        <v>1</v>
      </c>
      <c r="K14">
        <v>1</v>
      </c>
      <c r="AA14">
        <f t="shared" si="0"/>
        <v>2</v>
      </c>
      <c r="AB14">
        <f>(AA14/AA22)*100</f>
        <v>0.55555555555555558</v>
      </c>
    </row>
    <row r="15" spans="1:28" x14ac:dyDescent="0.25">
      <c r="A15" s="6" t="s">
        <v>25</v>
      </c>
      <c r="E15">
        <v>1</v>
      </c>
      <c r="P15">
        <v>1</v>
      </c>
      <c r="AA15">
        <f t="shared" si="0"/>
        <v>2</v>
      </c>
      <c r="AB15">
        <f>(AA15/AA22)*100</f>
        <v>0.55555555555555558</v>
      </c>
    </row>
    <row r="16" spans="1:28" x14ac:dyDescent="0.25">
      <c r="A16" s="6" t="s">
        <v>26</v>
      </c>
      <c r="L16">
        <v>1</v>
      </c>
      <c r="AA16">
        <f t="shared" si="0"/>
        <v>1</v>
      </c>
      <c r="AB16">
        <f>(AA16/AA22)*100</f>
        <v>0.27777777777777779</v>
      </c>
    </row>
    <row r="17" spans="1:28" x14ac:dyDescent="0.25">
      <c r="A17" s="6" t="s">
        <v>46</v>
      </c>
      <c r="M17">
        <v>2</v>
      </c>
      <c r="AA17">
        <f t="shared" si="0"/>
        <v>2</v>
      </c>
      <c r="AB17">
        <f>(AA17/AA22)*100</f>
        <v>0.55555555555555558</v>
      </c>
    </row>
    <row r="18" spans="1:28" x14ac:dyDescent="0.25">
      <c r="A18" s="6" t="s">
        <v>32</v>
      </c>
      <c r="B18">
        <v>9</v>
      </c>
      <c r="C18">
        <v>3</v>
      </c>
      <c r="D18">
        <v>10</v>
      </c>
      <c r="E18">
        <v>12</v>
      </c>
      <c r="F18">
        <v>9</v>
      </c>
      <c r="G18">
        <v>14</v>
      </c>
      <c r="H18">
        <v>11</v>
      </c>
      <c r="I18">
        <v>11</v>
      </c>
      <c r="J18">
        <v>11</v>
      </c>
      <c r="K18">
        <v>10</v>
      </c>
      <c r="L18">
        <v>13</v>
      </c>
      <c r="M18">
        <v>11</v>
      </c>
      <c r="N18">
        <v>5</v>
      </c>
      <c r="O18">
        <v>10</v>
      </c>
      <c r="P18">
        <v>23</v>
      </c>
      <c r="AA18">
        <f t="shared" si="0"/>
        <v>162</v>
      </c>
      <c r="AB18" s="53">
        <f>(AA18/AA22)*100</f>
        <v>45</v>
      </c>
    </row>
    <row r="19" spans="1:28" x14ac:dyDescent="0.25">
      <c r="A19" s="6" t="s">
        <v>33</v>
      </c>
      <c r="D19">
        <v>1</v>
      </c>
      <c r="O19">
        <v>1</v>
      </c>
      <c r="AA19">
        <f t="shared" si="0"/>
        <v>2</v>
      </c>
      <c r="AB19">
        <f>(AA19/AA22)*100</f>
        <v>0.55555555555555558</v>
      </c>
    </row>
    <row r="20" spans="1:28" x14ac:dyDescent="0.25">
      <c r="A20" s="6" t="s">
        <v>37</v>
      </c>
      <c r="B20">
        <v>2</v>
      </c>
      <c r="E20">
        <v>6</v>
      </c>
      <c r="F20">
        <v>7</v>
      </c>
      <c r="G20">
        <v>3</v>
      </c>
      <c r="H20">
        <v>3</v>
      </c>
      <c r="I20">
        <v>8</v>
      </c>
      <c r="J20">
        <v>5</v>
      </c>
      <c r="K20">
        <v>1</v>
      </c>
      <c r="M20">
        <v>2</v>
      </c>
      <c r="N20">
        <v>2</v>
      </c>
      <c r="O20">
        <v>4</v>
      </c>
      <c r="P20">
        <v>3</v>
      </c>
      <c r="AA20">
        <f t="shared" si="0"/>
        <v>46</v>
      </c>
      <c r="AB20">
        <f>(AA20/AA22)*100</f>
        <v>12.777777777777777</v>
      </c>
    </row>
    <row r="21" spans="1:28" x14ac:dyDescent="0.25">
      <c r="A21" s="6"/>
      <c r="AA21">
        <f t="shared" si="0"/>
        <v>0</v>
      </c>
      <c r="AB21">
        <f>(AA21/AA22)*100</f>
        <v>0</v>
      </c>
    </row>
    <row r="22" spans="1:28" x14ac:dyDescent="0.25">
      <c r="A22" s="1" t="s">
        <v>39</v>
      </c>
      <c r="B22" s="2">
        <f t="shared" ref="B22:Z22" si="1">SUM(B3:B21)</f>
        <v>28</v>
      </c>
      <c r="C22" s="2">
        <f t="shared" si="1"/>
        <v>9</v>
      </c>
      <c r="D22" s="2">
        <f t="shared" si="1"/>
        <v>17</v>
      </c>
      <c r="E22" s="2">
        <f t="shared" si="1"/>
        <v>37</v>
      </c>
      <c r="F22" s="2">
        <f t="shared" si="1"/>
        <v>23</v>
      </c>
      <c r="G22" s="2">
        <f t="shared" si="1"/>
        <v>25</v>
      </c>
      <c r="H22" s="2">
        <f t="shared" si="1"/>
        <v>22</v>
      </c>
      <c r="I22" s="2">
        <f t="shared" si="1"/>
        <v>28</v>
      </c>
      <c r="J22" s="2">
        <f t="shared" si="1"/>
        <v>27</v>
      </c>
      <c r="K22" s="2">
        <f t="shared" si="1"/>
        <v>23</v>
      </c>
      <c r="L22" s="2">
        <f t="shared" si="1"/>
        <v>27</v>
      </c>
      <c r="M22" s="2">
        <f t="shared" si="1"/>
        <v>20</v>
      </c>
      <c r="N22" s="2">
        <f t="shared" si="1"/>
        <v>15</v>
      </c>
      <c r="O22" s="2">
        <f t="shared" si="1"/>
        <v>25</v>
      </c>
      <c r="P22" s="2">
        <f t="shared" si="1"/>
        <v>34</v>
      </c>
      <c r="Q22" s="2">
        <f t="shared" si="1"/>
        <v>0</v>
      </c>
      <c r="R22" s="2">
        <f t="shared" si="1"/>
        <v>0</v>
      </c>
      <c r="S22" s="2">
        <f t="shared" si="1"/>
        <v>0</v>
      </c>
      <c r="T22" s="2">
        <f t="shared" si="1"/>
        <v>0</v>
      </c>
      <c r="U22" s="2">
        <f t="shared" si="1"/>
        <v>0</v>
      </c>
      <c r="V22" s="2">
        <f t="shared" si="1"/>
        <v>0</v>
      </c>
      <c r="W22" s="2">
        <f t="shared" si="1"/>
        <v>0</v>
      </c>
      <c r="X22" s="2">
        <f t="shared" si="1"/>
        <v>0</v>
      </c>
      <c r="Y22" s="2">
        <f t="shared" si="1"/>
        <v>0</v>
      </c>
      <c r="Z22" s="2">
        <f t="shared" si="1"/>
        <v>0</v>
      </c>
      <c r="AA22" s="2">
        <f>SUM(AA3:AA21)</f>
        <v>360</v>
      </c>
      <c r="AB22" s="7">
        <f>SUM(AB3:AB21)</f>
        <v>100</v>
      </c>
    </row>
    <row r="23" spans="1:28" x14ac:dyDescent="0.25">
      <c r="B23">
        <v>28</v>
      </c>
      <c r="C23">
        <v>37</v>
      </c>
      <c r="D23">
        <v>54</v>
      </c>
      <c r="E23">
        <v>91</v>
      </c>
      <c r="F23">
        <v>114</v>
      </c>
      <c r="G23">
        <v>139</v>
      </c>
      <c r="H23">
        <v>161</v>
      </c>
      <c r="I23">
        <v>189</v>
      </c>
      <c r="J23">
        <v>216</v>
      </c>
      <c r="K23">
        <v>239</v>
      </c>
      <c r="L23">
        <v>266</v>
      </c>
      <c r="M23">
        <v>286</v>
      </c>
      <c r="N23">
        <v>301</v>
      </c>
      <c r="O23">
        <v>326</v>
      </c>
      <c r="P23">
        <v>360</v>
      </c>
    </row>
    <row r="25" spans="1:28" x14ac:dyDescent="0.25">
      <c r="A25" t="s">
        <v>755</v>
      </c>
      <c r="B25">
        <v>6</v>
      </c>
      <c r="C25">
        <v>7</v>
      </c>
      <c r="D25">
        <v>11</v>
      </c>
      <c r="E25">
        <v>12</v>
      </c>
      <c r="F25">
        <v>12</v>
      </c>
      <c r="G25">
        <v>12</v>
      </c>
      <c r="H25">
        <v>13</v>
      </c>
      <c r="I25">
        <v>14</v>
      </c>
      <c r="J25">
        <v>16</v>
      </c>
      <c r="K25">
        <v>16</v>
      </c>
      <c r="L25">
        <v>17</v>
      </c>
      <c r="M25">
        <v>18</v>
      </c>
      <c r="N25">
        <v>18</v>
      </c>
      <c r="O25">
        <v>18</v>
      </c>
      <c r="P25">
        <v>18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6"/>
  <sheetViews>
    <sheetView workbookViewId="0">
      <pane xSplit="1" topLeftCell="B1" activePane="topRight" state="frozen"/>
      <selection pane="topRight" activeCell="H14" sqref="B14:H14"/>
    </sheetView>
  </sheetViews>
  <sheetFormatPr defaultRowHeight="15" x14ac:dyDescent="0.25"/>
  <cols>
    <col min="1" max="1" width="24.28515625" customWidth="1"/>
  </cols>
  <sheetData>
    <row r="1" spans="1:28" x14ac:dyDescent="0.25">
      <c r="A1" s="1" t="s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  <c r="V1" s="2">
        <v>21</v>
      </c>
      <c r="W1" s="2">
        <v>22</v>
      </c>
      <c r="X1" s="2">
        <v>23</v>
      </c>
      <c r="Y1" s="2">
        <v>24</v>
      </c>
      <c r="Z1" s="3">
        <v>25</v>
      </c>
    </row>
    <row r="2" spans="1:28" x14ac:dyDescent="0.25">
      <c r="A2" s="4" t="s">
        <v>1</v>
      </c>
      <c r="B2" s="5" t="s">
        <v>143</v>
      </c>
      <c r="C2" s="5" t="s">
        <v>67</v>
      </c>
      <c r="D2" s="5" t="s">
        <v>144</v>
      </c>
      <c r="E2" s="5" t="s">
        <v>145</v>
      </c>
      <c r="F2" s="5" t="s">
        <v>146</v>
      </c>
      <c r="G2" s="5" t="s">
        <v>147</v>
      </c>
      <c r="H2" s="5" t="s">
        <v>148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 t="s">
        <v>2</v>
      </c>
      <c r="AB2" s="5" t="s">
        <v>3</v>
      </c>
    </row>
    <row r="3" spans="1:28" x14ac:dyDescent="0.25">
      <c r="A3" s="6" t="s">
        <v>4</v>
      </c>
      <c r="B3">
        <v>2</v>
      </c>
      <c r="C3">
        <v>3</v>
      </c>
      <c r="D3">
        <v>1</v>
      </c>
      <c r="F3">
        <v>1</v>
      </c>
      <c r="G3">
        <v>1</v>
      </c>
      <c r="AA3">
        <f t="shared" ref="AA3:AA12" si="0">SUM(B3:Z3)</f>
        <v>8</v>
      </c>
      <c r="AB3">
        <f>(AA3/AA13)*100</f>
        <v>4.7904191616766472</v>
      </c>
    </row>
    <row r="4" spans="1:28" x14ac:dyDescent="0.25">
      <c r="A4" s="6" t="s">
        <v>5</v>
      </c>
      <c r="C4">
        <v>2</v>
      </c>
      <c r="G4">
        <v>1</v>
      </c>
      <c r="AA4">
        <f t="shared" si="0"/>
        <v>3</v>
      </c>
      <c r="AB4">
        <f>(AA4/AA13)*100</f>
        <v>1.7964071856287425</v>
      </c>
    </row>
    <row r="5" spans="1:28" x14ac:dyDescent="0.25">
      <c r="A5" s="6" t="s">
        <v>6</v>
      </c>
      <c r="E5">
        <v>1</v>
      </c>
      <c r="F5">
        <v>1</v>
      </c>
      <c r="AA5">
        <f t="shared" si="0"/>
        <v>2</v>
      </c>
      <c r="AB5">
        <f>(AA5/AA13)*100</f>
        <v>1.1976047904191618</v>
      </c>
    </row>
    <row r="6" spans="1:28" x14ac:dyDescent="0.25">
      <c r="A6" s="6" t="s">
        <v>19</v>
      </c>
      <c r="B6">
        <v>3</v>
      </c>
      <c r="C6">
        <v>4</v>
      </c>
      <c r="D6">
        <v>4</v>
      </c>
      <c r="E6">
        <v>4</v>
      </c>
      <c r="F6">
        <v>2</v>
      </c>
      <c r="G6">
        <v>6</v>
      </c>
      <c r="H6">
        <v>3</v>
      </c>
      <c r="AA6">
        <f t="shared" si="0"/>
        <v>26</v>
      </c>
      <c r="AB6">
        <f>(AA6/AA13)*100</f>
        <v>15.568862275449103</v>
      </c>
    </row>
    <row r="7" spans="1:28" x14ac:dyDescent="0.25">
      <c r="A7" s="6" t="s">
        <v>21</v>
      </c>
      <c r="H7">
        <v>1</v>
      </c>
      <c r="AA7">
        <f t="shared" si="0"/>
        <v>1</v>
      </c>
      <c r="AB7">
        <f>(AA7/AA13)*100</f>
        <v>0.5988023952095809</v>
      </c>
    </row>
    <row r="8" spans="1:28" x14ac:dyDescent="0.25">
      <c r="A8" s="6" t="s">
        <v>102</v>
      </c>
      <c r="C8">
        <v>1</v>
      </c>
      <c r="G8">
        <v>1</v>
      </c>
      <c r="H8">
        <v>1</v>
      </c>
      <c r="AA8">
        <f t="shared" si="0"/>
        <v>3</v>
      </c>
      <c r="AB8">
        <f>(AA8/AA13)*100</f>
        <v>1.7964071856287425</v>
      </c>
    </row>
    <row r="9" spans="1:28" x14ac:dyDescent="0.25">
      <c r="A9" s="6" t="s">
        <v>32</v>
      </c>
      <c r="B9">
        <v>31</v>
      </c>
      <c r="C9">
        <v>26</v>
      </c>
      <c r="D9">
        <v>9</v>
      </c>
      <c r="E9">
        <v>8</v>
      </c>
      <c r="F9">
        <v>8</v>
      </c>
      <c r="G9">
        <v>15</v>
      </c>
      <c r="H9">
        <v>13</v>
      </c>
      <c r="AA9">
        <f t="shared" si="0"/>
        <v>110</v>
      </c>
      <c r="AB9">
        <f>(AA9/AA13)*100</f>
        <v>65.868263473053887</v>
      </c>
    </row>
    <row r="10" spans="1:28" x14ac:dyDescent="0.25">
      <c r="A10" s="6" t="s">
        <v>33</v>
      </c>
      <c r="C10">
        <v>1</v>
      </c>
      <c r="AA10">
        <f t="shared" si="0"/>
        <v>1</v>
      </c>
      <c r="AB10">
        <f>(AA10/AA13)*100</f>
        <v>0.5988023952095809</v>
      </c>
    </row>
    <row r="11" spans="1:28" x14ac:dyDescent="0.25">
      <c r="A11" s="6" t="s">
        <v>37</v>
      </c>
      <c r="B11">
        <v>3</v>
      </c>
      <c r="E11">
        <v>4</v>
      </c>
      <c r="F11">
        <v>4</v>
      </c>
      <c r="G11">
        <v>1</v>
      </c>
      <c r="H11">
        <v>1</v>
      </c>
      <c r="AA11">
        <f t="shared" si="0"/>
        <v>13</v>
      </c>
      <c r="AB11">
        <f>(AA11/AA13)*100</f>
        <v>7.7844311377245514</v>
      </c>
    </row>
    <row r="12" spans="1:28" x14ac:dyDescent="0.25">
      <c r="A12" s="6"/>
      <c r="AA12">
        <f t="shared" si="0"/>
        <v>0</v>
      </c>
      <c r="AB12">
        <f>(AA12/AA13)*100</f>
        <v>0</v>
      </c>
    </row>
    <row r="13" spans="1:28" x14ac:dyDescent="0.25">
      <c r="A13" s="1" t="s">
        <v>39</v>
      </c>
      <c r="B13" s="2">
        <f t="shared" ref="B13:Z13" si="1">SUM(B3:B12)</f>
        <v>39</v>
      </c>
      <c r="C13" s="2">
        <f t="shared" si="1"/>
        <v>37</v>
      </c>
      <c r="D13" s="2">
        <f t="shared" si="1"/>
        <v>14</v>
      </c>
      <c r="E13" s="2">
        <f t="shared" si="1"/>
        <v>17</v>
      </c>
      <c r="F13" s="2">
        <f t="shared" si="1"/>
        <v>16</v>
      </c>
      <c r="G13" s="2">
        <f t="shared" si="1"/>
        <v>25</v>
      </c>
      <c r="H13" s="2">
        <f t="shared" si="1"/>
        <v>19</v>
      </c>
      <c r="I13" s="2">
        <f t="shared" si="1"/>
        <v>0</v>
      </c>
      <c r="J13" s="2">
        <f t="shared" si="1"/>
        <v>0</v>
      </c>
      <c r="K13" s="2">
        <f t="shared" si="1"/>
        <v>0</v>
      </c>
      <c r="L13" s="2">
        <f t="shared" si="1"/>
        <v>0</v>
      </c>
      <c r="M13" s="2">
        <f t="shared" si="1"/>
        <v>0</v>
      </c>
      <c r="N13" s="2">
        <f t="shared" si="1"/>
        <v>0</v>
      </c>
      <c r="O13" s="2">
        <f t="shared" si="1"/>
        <v>0</v>
      </c>
      <c r="P13" s="2">
        <f t="shared" si="1"/>
        <v>0</v>
      </c>
      <c r="Q13" s="2">
        <f t="shared" si="1"/>
        <v>0</v>
      </c>
      <c r="R13" s="2">
        <f t="shared" si="1"/>
        <v>0</v>
      </c>
      <c r="S13" s="2">
        <f t="shared" si="1"/>
        <v>0</v>
      </c>
      <c r="T13" s="2">
        <f t="shared" si="1"/>
        <v>0</v>
      </c>
      <c r="U13" s="2">
        <f t="shared" si="1"/>
        <v>0</v>
      </c>
      <c r="V13" s="2">
        <f t="shared" si="1"/>
        <v>0</v>
      </c>
      <c r="W13" s="2">
        <f t="shared" si="1"/>
        <v>0</v>
      </c>
      <c r="X13" s="2">
        <f t="shared" si="1"/>
        <v>0</v>
      </c>
      <c r="Y13" s="2">
        <f t="shared" si="1"/>
        <v>0</v>
      </c>
      <c r="Z13" s="2">
        <f t="shared" si="1"/>
        <v>0</v>
      </c>
      <c r="AA13" s="2">
        <f>SUM(AA3:AA12)</f>
        <v>167</v>
      </c>
      <c r="AB13" s="7">
        <f>SUM(AB3:AB12)</f>
        <v>99.999999999999986</v>
      </c>
    </row>
    <row r="14" spans="1:28" x14ac:dyDescent="0.25">
      <c r="B14">
        <v>39</v>
      </c>
      <c r="C14">
        <v>76</v>
      </c>
      <c r="D14">
        <v>90</v>
      </c>
      <c r="E14">
        <v>107</v>
      </c>
      <c r="F14">
        <v>123</v>
      </c>
      <c r="G14">
        <v>148</v>
      </c>
      <c r="H14">
        <v>167</v>
      </c>
    </row>
    <row r="16" spans="1:28" x14ac:dyDescent="0.25">
      <c r="A16" t="s">
        <v>755</v>
      </c>
      <c r="B16">
        <v>4</v>
      </c>
      <c r="C16">
        <v>7</v>
      </c>
      <c r="D16">
        <v>7</v>
      </c>
      <c r="E16">
        <v>8</v>
      </c>
      <c r="F16">
        <v>8</v>
      </c>
      <c r="G16">
        <v>8</v>
      </c>
      <c r="H16">
        <v>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9"/>
  <sheetViews>
    <sheetView workbookViewId="0">
      <pane xSplit="1" topLeftCell="B1" activePane="topRight" state="frozen"/>
      <selection pane="topRight" activeCell="Z27" sqref="B27:Z27"/>
    </sheetView>
  </sheetViews>
  <sheetFormatPr defaultRowHeight="15" x14ac:dyDescent="0.25"/>
  <cols>
    <col min="1" max="1" width="22.85546875" customWidth="1"/>
  </cols>
  <sheetData>
    <row r="1" spans="1:28" x14ac:dyDescent="0.25">
      <c r="A1" s="1" t="s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  <c r="V1" s="2">
        <v>21</v>
      </c>
      <c r="W1" s="2">
        <v>22</v>
      </c>
      <c r="X1" s="2">
        <v>23</v>
      </c>
      <c r="Y1" s="2">
        <v>24</v>
      </c>
      <c r="Z1" s="3">
        <v>25</v>
      </c>
    </row>
    <row r="2" spans="1:28" x14ac:dyDescent="0.25">
      <c r="A2" s="4" t="s">
        <v>1</v>
      </c>
      <c r="B2" s="5" t="s">
        <v>149</v>
      </c>
      <c r="C2" s="5" t="s">
        <v>150</v>
      </c>
      <c r="D2" s="5" t="s">
        <v>151</v>
      </c>
      <c r="E2" s="5" t="s">
        <v>152</v>
      </c>
      <c r="F2" s="5" t="s">
        <v>153</v>
      </c>
      <c r="G2" s="5" t="s">
        <v>154</v>
      </c>
      <c r="H2" s="5" t="s">
        <v>155</v>
      </c>
      <c r="I2" s="5" t="s">
        <v>156</v>
      </c>
      <c r="J2" s="5" t="s">
        <v>157</v>
      </c>
      <c r="K2" s="5" t="s">
        <v>158</v>
      </c>
      <c r="L2" s="5" t="s">
        <v>159</v>
      </c>
      <c r="M2" s="5" t="s">
        <v>100</v>
      </c>
      <c r="N2" s="5" t="s">
        <v>161</v>
      </c>
      <c r="O2" s="5" t="s">
        <v>162</v>
      </c>
      <c r="P2" s="5" t="s">
        <v>163</v>
      </c>
      <c r="Q2" s="5" t="s">
        <v>164</v>
      </c>
      <c r="R2" s="5" t="s">
        <v>165</v>
      </c>
      <c r="S2" s="5" t="s">
        <v>166</v>
      </c>
      <c r="T2" s="5" t="s">
        <v>168</v>
      </c>
      <c r="U2" s="5" t="s">
        <v>169</v>
      </c>
      <c r="V2" s="5" t="s">
        <v>170</v>
      </c>
      <c r="W2" s="5" t="s">
        <v>171</v>
      </c>
      <c r="X2" s="5" t="s">
        <v>172</v>
      </c>
      <c r="Y2" s="5" t="s">
        <v>173</v>
      </c>
      <c r="Z2" s="5" t="s">
        <v>174</v>
      </c>
      <c r="AA2" s="5" t="s">
        <v>2</v>
      </c>
      <c r="AB2" s="5" t="s">
        <v>3</v>
      </c>
    </row>
    <row r="3" spans="1:28" x14ac:dyDescent="0.25">
      <c r="A3" s="6" t="s">
        <v>4</v>
      </c>
      <c r="B3">
        <v>3</v>
      </c>
      <c r="C3">
        <v>6</v>
      </c>
      <c r="D3">
        <v>3</v>
      </c>
      <c r="E3">
        <v>4</v>
      </c>
      <c r="F3">
        <v>5</v>
      </c>
      <c r="G3">
        <v>2</v>
      </c>
      <c r="H3">
        <v>4</v>
      </c>
      <c r="I3">
        <v>4</v>
      </c>
      <c r="J3">
        <v>5</v>
      </c>
      <c r="K3">
        <v>2</v>
      </c>
      <c r="L3">
        <v>1</v>
      </c>
      <c r="M3">
        <v>1</v>
      </c>
      <c r="O3">
        <v>3</v>
      </c>
      <c r="P3">
        <v>2</v>
      </c>
      <c r="Q3">
        <v>1</v>
      </c>
      <c r="R3">
        <v>4</v>
      </c>
      <c r="S3">
        <v>1</v>
      </c>
      <c r="T3">
        <v>6</v>
      </c>
      <c r="U3">
        <v>2</v>
      </c>
      <c r="V3">
        <v>2</v>
      </c>
      <c r="X3">
        <v>3</v>
      </c>
      <c r="Z3">
        <v>2</v>
      </c>
      <c r="AA3">
        <f t="shared" ref="AA3:AA25" si="0">SUM(B3:Z3)</f>
        <v>66</v>
      </c>
      <c r="AB3">
        <f>(AA3/AA26)*100</f>
        <v>8.9068825910931171</v>
      </c>
    </row>
    <row r="4" spans="1:28" x14ac:dyDescent="0.25">
      <c r="A4" s="6" t="s">
        <v>5</v>
      </c>
      <c r="B4">
        <v>1</v>
      </c>
      <c r="H4">
        <v>1</v>
      </c>
      <c r="I4">
        <v>1</v>
      </c>
      <c r="M4">
        <v>1</v>
      </c>
      <c r="N4">
        <v>1</v>
      </c>
      <c r="P4">
        <v>1</v>
      </c>
      <c r="Q4">
        <v>1</v>
      </c>
      <c r="R4">
        <v>2</v>
      </c>
      <c r="U4">
        <v>1</v>
      </c>
      <c r="V4">
        <v>1</v>
      </c>
      <c r="W4">
        <v>3</v>
      </c>
      <c r="X4">
        <v>2</v>
      </c>
      <c r="Y4">
        <v>1</v>
      </c>
      <c r="Z4">
        <v>1</v>
      </c>
      <c r="AA4">
        <f t="shared" si="0"/>
        <v>18</v>
      </c>
      <c r="AB4">
        <f>(AA4/AA26)*100</f>
        <v>2.42914979757085</v>
      </c>
    </row>
    <row r="5" spans="1:28" x14ac:dyDescent="0.25">
      <c r="A5" s="6" t="s">
        <v>95</v>
      </c>
      <c r="L5" t="s">
        <v>625</v>
      </c>
      <c r="AA5">
        <v>0</v>
      </c>
      <c r="AB5">
        <f>(AA5/AA26)*100</f>
        <v>0</v>
      </c>
    </row>
    <row r="6" spans="1:28" x14ac:dyDescent="0.25">
      <c r="A6" s="6" t="s">
        <v>6</v>
      </c>
      <c r="F6">
        <v>1</v>
      </c>
      <c r="H6">
        <v>2</v>
      </c>
      <c r="I6">
        <v>3</v>
      </c>
      <c r="J6">
        <v>1</v>
      </c>
      <c r="K6">
        <v>4</v>
      </c>
      <c r="L6">
        <v>2</v>
      </c>
      <c r="O6">
        <v>2</v>
      </c>
      <c r="P6">
        <v>1</v>
      </c>
      <c r="Q6">
        <v>3</v>
      </c>
      <c r="S6">
        <v>1</v>
      </c>
      <c r="X6">
        <v>2</v>
      </c>
      <c r="Z6">
        <v>2</v>
      </c>
      <c r="AA6">
        <f t="shared" si="0"/>
        <v>24</v>
      </c>
      <c r="AB6">
        <f>(AA6/AA26)*100</f>
        <v>3.2388663967611335</v>
      </c>
    </row>
    <row r="7" spans="1:28" x14ac:dyDescent="0.25">
      <c r="A7" s="6" t="s">
        <v>8</v>
      </c>
      <c r="B7">
        <v>1</v>
      </c>
      <c r="AA7">
        <f t="shared" si="0"/>
        <v>1</v>
      </c>
      <c r="AB7">
        <f>(AA7/AA26)*100</f>
        <v>0.1349527665317139</v>
      </c>
    </row>
    <row r="8" spans="1:28" x14ac:dyDescent="0.25">
      <c r="A8" s="6" t="s">
        <v>9</v>
      </c>
      <c r="B8">
        <v>1</v>
      </c>
      <c r="I8">
        <v>2</v>
      </c>
      <c r="T8">
        <v>1</v>
      </c>
      <c r="W8">
        <v>1</v>
      </c>
      <c r="AA8">
        <f t="shared" si="0"/>
        <v>5</v>
      </c>
      <c r="AB8">
        <f>(AA8/AA26)*100</f>
        <v>0.67476383265856954</v>
      </c>
    </row>
    <row r="9" spans="1:28" x14ac:dyDescent="0.25">
      <c r="A9" s="6" t="s">
        <v>11</v>
      </c>
      <c r="Y9">
        <v>1</v>
      </c>
      <c r="AA9">
        <f t="shared" si="0"/>
        <v>1</v>
      </c>
      <c r="AB9">
        <f>(AA9/AA26)*100</f>
        <v>0.1349527665317139</v>
      </c>
    </row>
    <row r="10" spans="1:28" x14ac:dyDescent="0.25">
      <c r="A10" s="6" t="s">
        <v>160</v>
      </c>
      <c r="K10">
        <v>1</v>
      </c>
      <c r="AA10">
        <f t="shared" si="0"/>
        <v>1</v>
      </c>
      <c r="AB10">
        <f>(AA10/AA26)*100</f>
        <v>0.1349527665317139</v>
      </c>
    </row>
    <row r="11" spans="1:28" x14ac:dyDescent="0.25">
      <c r="A11" s="6" t="s">
        <v>59</v>
      </c>
      <c r="I11">
        <v>1</v>
      </c>
      <c r="AA11">
        <v>1</v>
      </c>
      <c r="AB11">
        <f>(AA11/AA26)*100</f>
        <v>0.1349527665317139</v>
      </c>
    </row>
    <row r="12" spans="1:28" x14ac:dyDescent="0.25">
      <c r="A12" s="6" t="s">
        <v>18</v>
      </c>
      <c r="B12">
        <v>1</v>
      </c>
      <c r="E12">
        <v>1</v>
      </c>
      <c r="L12">
        <v>1</v>
      </c>
      <c r="Q12">
        <v>1</v>
      </c>
      <c r="Z12">
        <v>1</v>
      </c>
      <c r="AA12">
        <f t="shared" si="0"/>
        <v>5</v>
      </c>
      <c r="AB12">
        <f>(AA12/AA26)*100</f>
        <v>0.67476383265856954</v>
      </c>
    </row>
    <row r="13" spans="1:28" x14ac:dyDescent="0.25">
      <c r="A13" s="6" t="s">
        <v>19</v>
      </c>
      <c r="B13">
        <v>12</v>
      </c>
      <c r="C13">
        <v>2</v>
      </c>
      <c r="D13">
        <v>4</v>
      </c>
      <c r="E13">
        <v>2</v>
      </c>
      <c r="F13">
        <v>1</v>
      </c>
      <c r="G13">
        <v>2</v>
      </c>
      <c r="H13">
        <v>9</v>
      </c>
      <c r="I13">
        <v>3</v>
      </c>
      <c r="J13">
        <v>6</v>
      </c>
      <c r="K13">
        <v>7</v>
      </c>
      <c r="M13">
        <v>9</v>
      </c>
      <c r="N13">
        <v>14</v>
      </c>
      <c r="O13">
        <v>4</v>
      </c>
      <c r="P13">
        <v>7</v>
      </c>
      <c r="Q13">
        <v>2</v>
      </c>
      <c r="R13">
        <v>4</v>
      </c>
      <c r="S13">
        <v>6</v>
      </c>
      <c r="T13">
        <v>9</v>
      </c>
      <c r="U13">
        <v>5</v>
      </c>
      <c r="V13">
        <v>6</v>
      </c>
      <c r="W13">
        <v>8</v>
      </c>
      <c r="X13">
        <v>6</v>
      </c>
      <c r="Y13">
        <v>11</v>
      </c>
      <c r="Z13">
        <v>7</v>
      </c>
      <c r="AA13">
        <f t="shared" si="0"/>
        <v>146</v>
      </c>
      <c r="AB13">
        <f>(AA13/AA26)*100</f>
        <v>19.70310391363023</v>
      </c>
    </row>
    <row r="14" spans="1:28" x14ac:dyDescent="0.25">
      <c r="A14" s="6" t="s">
        <v>167</v>
      </c>
      <c r="O14">
        <v>1</v>
      </c>
      <c r="S14">
        <v>1</v>
      </c>
      <c r="Y14">
        <v>1</v>
      </c>
      <c r="AA14">
        <v>3</v>
      </c>
      <c r="AB14">
        <f>(AA14/AA26)*100</f>
        <v>0.40485829959514169</v>
      </c>
    </row>
    <row r="15" spans="1:28" x14ac:dyDescent="0.25">
      <c r="A15" s="6" t="s">
        <v>21</v>
      </c>
      <c r="B15">
        <v>1</v>
      </c>
      <c r="Q15">
        <v>1</v>
      </c>
      <c r="AA15">
        <f t="shared" si="0"/>
        <v>2</v>
      </c>
      <c r="AB15">
        <f>(AA15/AA26)*100</f>
        <v>0.26990553306342779</v>
      </c>
    </row>
    <row r="16" spans="1:28" x14ac:dyDescent="0.25">
      <c r="A16" s="6" t="s">
        <v>22</v>
      </c>
      <c r="B16">
        <v>1</v>
      </c>
      <c r="AA16">
        <f t="shared" si="0"/>
        <v>1</v>
      </c>
      <c r="AB16">
        <f>(AA16/AA26)*100</f>
        <v>0.1349527665317139</v>
      </c>
    </row>
    <row r="17" spans="1:28" x14ac:dyDescent="0.25">
      <c r="A17" s="6" t="s">
        <v>23</v>
      </c>
      <c r="T17">
        <v>1</v>
      </c>
      <c r="Z17">
        <v>1</v>
      </c>
      <c r="AA17">
        <f t="shared" si="0"/>
        <v>2</v>
      </c>
      <c r="AB17">
        <f>(AA17/AA26)*100</f>
        <v>0.26990553306342779</v>
      </c>
    </row>
    <row r="18" spans="1:28" x14ac:dyDescent="0.25">
      <c r="A18" s="6" t="s">
        <v>24</v>
      </c>
      <c r="M18">
        <v>1</v>
      </c>
      <c r="N18">
        <v>1</v>
      </c>
      <c r="P18">
        <v>1</v>
      </c>
      <c r="Q18">
        <v>1</v>
      </c>
      <c r="W18">
        <v>1</v>
      </c>
      <c r="AA18">
        <f t="shared" si="0"/>
        <v>5</v>
      </c>
      <c r="AB18">
        <f>(AA18/AA26)*100</f>
        <v>0.67476383265856954</v>
      </c>
    </row>
    <row r="19" spans="1:28" x14ac:dyDescent="0.25">
      <c r="A19" s="6" t="s">
        <v>25</v>
      </c>
      <c r="B19">
        <v>1</v>
      </c>
      <c r="J19">
        <v>1</v>
      </c>
      <c r="L19">
        <v>1</v>
      </c>
      <c r="O19">
        <v>1</v>
      </c>
      <c r="Q19">
        <v>1</v>
      </c>
      <c r="S19">
        <v>1</v>
      </c>
      <c r="V19">
        <v>1</v>
      </c>
      <c r="AA19">
        <f t="shared" si="0"/>
        <v>7</v>
      </c>
      <c r="AB19">
        <f>(AA19/AA26)*100</f>
        <v>0.94466936572199733</v>
      </c>
    </row>
    <row r="20" spans="1:28" x14ac:dyDescent="0.25">
      <c r="A20" s="6" t="s">
        <v>102</v>
      </c>
      <c r="X20">
        <v>1</v>
      </c>
      <c r="AA20">
        <v>1</v>
      </c>
      <c r="AB20">
        <f>(AA20/AA26)*100</f>
        <v>0.1349527665317139</v>
      </c>
    </row>
    <row r="21" spans="1:28" x14ac:dyDescent="0.25">
      <c r="A21" s="6" t="s">
        <v>30</v>
      </c>
      <c r="U21">
        <v>1</v>
      </c>
      <c r="AA21">
        <f t="shared" si="0"/>
        <v>1</v>
      </c>
      <c r="AB21">
        <f>(AA21/AA26)*100</f>
        <v>0.1349527665317139</v>
      </c>
    </row>
    <row r="22" spans="1:28" x14ac:dyDescent="0.25">
      <c r="A22" s="6" t="s">
        <v>32</v>
      </c>
      <c r="B22">
        <v>28</v>
      </c>
      <c r="C22">
        <v>17</v>
      </c>
      <c r="D22">
        <v>8</v>
      </c>
      <c r="E22">
        <v>13</v>
      </c>
      <c r="F22">
        <v>8</v>
      </c>
      <c r="G22">
        <v>14</v>
      </c>
      <c r="H22">
        <v>23</v>
      </c>
      <c r="I22">
        <v>18</v>
      </c>
      <c r="J22">
        <v>22</v>
      </c>
      <c r="K22">
        <v>22</v>
      </c>
      <c r="L22">
        <v>2</v>
      </c>
      <c r="M22">
        <v>18</v>
      </c>
      <c r="N22">
        <v>12</v>
      </c>
      <c r="O22">
        <v>18</v>
      </c>
      <c r="P22">
        <v>14</v>
      </c>
      <c r="Q22">
        <v>10</v>
      </c>
      <c r="R22">
        <v>12</v>
      </c>
      <c r="S22">
        <v>22</v>
      </c>
      <c r="T22">
        <v>14</v>
      </c>
      <c r="U22">
        <v>19</v>
      </c>
      <c r="V22">
        <v>9</v>
      </c>
      <c r="W22">
        <v>10</v>
      </c>
      <c r="X22">
        <v>8</v>
      </c>
      <c r="Y22">
        <v>16</v>
      </c>
      <c r="Z22">
        <v>18</v>
      </c>
      <c r="AA22">
        <f t="shared" si="0"/>
        <v>375</v>
      </c>
      <c r="AB22">
        <f>(AA22/AA26)*100</f>
        <v>50.607287449392715</v>
      </c>
    </row>
    <row r="23" spans="1:28" x14ac:dyDescent="0.25">
      <c r="A23" s="6" t="s">
        <v>33</v>
      </c>
      <c r="E23">
        <v>1</v>
      </c>
      <c r="F23">
        <v>1</v>
      </c>
      <c r="H23">
        <v>2</v>
      </c>
      <c r="I23">
        <v>2</v>
      </c>
      <c r="K23">
        <v>2</v>
      </c>
      <c r="P23">
        <v>1</v>
      </c>
      <c r="Q23">
        <v>1</v>
      </c>
      <c r="R23">
        <v>1</v>
      </c>
      <c r="U23">
        <v>1</v>
      </c>
      <c r="V23">
        <v>1</v>
      </c>
      <c r="Z23">
        <v>1</v>
      </c>
      <c r="AA23">
        <f t="shared" si="0"/>
        <v>14</v>
      </c>
      <c r="AB23">
        <f>(AA23/AA26)*100</f>
        <v>1.8893387314439947</v>
      </c>
    </row>
    <row r="24" spans="1:28" x14ac:dyDescent="0.25">
      <c r="A24" s="6" t="s">
        <v>37</v>
      </c>
      <c r="B24">
        <v>2</v>
      </c>
      <c r="C24">
        <v>2</v>
      </c>
      <c r="D24">
        <v>2</v>
      </c>
      <c r="E24">
        <v>1</v>
      </c>
      <c r="F24">
        <v>3</v>
      </c>
      <c r="G24">
        <v>2</v>
      </c>
      <c r="H24">
        <v>4</v>
      </c>
      <c r="I24">
        <v>2</v>
      </c>
      <c r="J24">
        <v>4</v>
      </c>
      <c r="K24">
        <v>4</v>
      </c>
      <c r="L24">
        <v>2</v>
      </c>
      <c r="N24">
        <v>1</v>
      </c>
      <c r="O24">
        <v>1</v>
      </c>
      <c r="P24">
        <v>2</v>
      </c>
      <c r="Q24">
        <v>1</v>
      </c>
      <c r="R24">
        <v>4</v>
      </c>
      <c r="S24">
        <v>9</v>
      </c>
      <c r="T24">
        <v>3</v>
      </c>
      <c r="U24">
        <v>2</v>
      </c>
      <c r="V24">
        <v>5</v>
      </c>
      <c r="W24">
        <v>3</v>
      </c>
      <c r="Y24">
        <v>3</v>
      </c>
      <c r="AA24">
        <f t="shared" si="0"/>
        <v>62</v>
      </c>
      <c r="AB24">
        <f>(AA24/AA26)*100</f>
        <v>8.3670715249662617</v>
      </c>
    </row>
    <row r="25" spans="1:28" x14ac:dyDescent="0.25">
      <c r="A25" s="6"/>
      <c r="AA25">
        <f t="shared" si="0"/>
        <v>0</v>
      </c>
      <c r="AB25">
        <f>(AA25/AA26)*100</f>
        <v>0</v>
      </c>
    </row>
    <row r="26" spans="1:28" x14ac:dyDescent="0.25">
      <c r="A26" s="1" t="s">
        <v>39</v>
      </c>
      <c r="B26" s="2">
        <f t="shared" ref="B26:Z26" si="1">SUM(B3:B25)</f>
        <v>52</v>
      </c>
      <c r="C26" s="2">
        <f t="shared" si="1"/>
        <v>27</v>
      </c>
      <c r="D26" s="2">
        <f t="shared" si="1"/>
        <v>17</v>
      </c>
      <c r="E26" s="2">
        <f t="shared" si="1"/>
        <v>22</v>
      </c>
      <c r="F26" s="2">
        <f t="shared" si="1"/>
        <v>19</v>
      </c>
      <c r="G26" s="2">
        <f t="shared" si="1"/>
        <v>20</v>
      </c>
      <c r="H26" s="2">
        <f t="shared" si="1"/>
        <v>45</v>
      </c>
      <c r="I26" s="2">
        <f t="shared" si="1"/>
        <v>36</v>
      </c>
      <c r="J26" s="2">
        <f t="shared" si="1"/>
        <v>39</v>
      </c>
      <c r="K26" s="2">
        <f t="shared" si="1"/>
        <v>42</v>
      </c>
      <c r="L26" s="2">
        <f t="shared" si="1"/>
        <v>9</v>
      </c>
      <c r="M26" s="2">
        <f t="shared" si="1"/>
        <v>30</v>
      </c>
      <c r="N26" s="2">
        <f t="shared" si="1"/>
        <v>29</v>
      </c>
      <c r="O26" s="2">
        <f t="shared" si="1"/>
        <v>30</v>
      </c>
      <c r="P26" s="2">
        <f t="shared" si="1"/>
        <v>29</v>
      </c>
      <c r="Q26" s="2">
        <f t="shared" si="1"/>
        <v>23</v>
      </c>
      <c r="R26" s="2">
        <f t="shared" si="1"/>
        <v>27</v>
      </c>
      <c r="S26" s="2">
        <f t="shared" si="1"/>
        <v>41</v>
      </c>
      <c r="T26" s="2">
        <f t="shared" si="1"/>
        <v>34</v>
      </c>
      <c r="U26" s="2">
        <f t="shared" si="1"/>
        <v>31</v>
      </c>
      <c r="V26" s="2">
        <f t="shared" si="1"/>
        <v>25</v>
      </c>
      <c r="W26" s="2">
        <f t="shared" si="1"/>
        <v>26</v>
      </c>
      <c r="X26" s="2">
        <f t="shared" si="1"/>
        <v>22</v>
      </c>
      <c r="Y26" s="2">
        <f t="shared" si="1"/>
        <v>33</v>
      </c>
      <c r="Z26" s="2">
        <f t="shared" si="1"/>
        <v>33</v>
      </c>
      <c r="AA26" s="2">
        <f>SUM(AA3:AA25)</f>
        <v>741</v>
      </c>
      <c r="AB26" s="7">
        <f>SUM(AB3:AB25)</f>
        <v>100.00000000000001</v>
      </c>
    </row>
    <row r="27" spans="1:28" x14ac:dyDescent="0.25">
      <c r="B27">
        <v>52</v>
      </c>
      <c r="C27">
        <v>79</v>
      </c>
      <c r="D27">
        <v>96</v>
      </c>
      <c r="E27">
        <v>118</v>
      </c>
      <c r="F27">
        <v>137</v>
      </c>
      <c r="G27">
        <v>157</v>
      </c>
      <c r="H27">
        <v>202</v>
      </c>
      <c r="I27">
        <v>238</v>
      </c>
      <c r="J27">
        <v>277</v>
      </c>
      <c r="K27">
        <v>319</v>
      </c>
      <c r="L27">
        <v>328</v>
      </c>
      <c r="M27">
        <v>358</v>
      </c>
      <c r="N27">
        <v>387</v>
      </c>
      <c r="O27">
        <v>417</v>
      </c>
      <c r="P27">
        <v>446</v>
      </c>
      <c r="Q27">
        <v>469</v>
      </c>
      <c r="R27">
        <v>496</v>
      </c>
      <c r="S27">
        <v>537</v>
      </c>
      <c r="T27">
        <v>571</v>
      </c>
      <c r="U27">
        <v>602</v>
      </c>
      <c r="V27">
        <v>627</v>
      </c>
      <c r="W27">
        <v>653</v>
      </c>
      <c r="X27">
        <v>675</v>
      </c>
      <c r="Y27">
        <v>708</v>
      </c>
      <c r="Z27">
        <v>741</v>
      </c>
    </row>
    <row r="29" spans="1:28" x14ac:dyDescent="0.25">
      <c r="A29" t="s">
        <v>755</v>
      </c>
      <c r="B29">
        <v>11</v>
      </c>
      <c r="C29">
        <v>11</v>
      </c>
      <c r="D29">
        <v>11</v>
      </c>
      <c r="E29">
        <v>12</v>
      </c>
      <c r="F29">
        <v>13</v>
      </c>
      <c r="G29">
        <v>13</v>
      </c>
      <c r="H29">
        <v>13</v>
      </c>
      <c r="I29">
        <v>14</v>
      </c>
      <c r="J29">
        <v>14</v>
      </c>
      <c r="K29">
        <v>15</v>
      </c>
      <c r="L29">
        <v>15</v>
      </c>
      <c r="M29">
        <v>16</v>
      </c>
      <c r="N29">
        <v>16</v>
      </c>
      <c r="O29">
        <v>17</v>
      </c>
      <c r="P29">
        <v>17</v>
      </c>
      <c r="Q29">
        <v>17</v>
      </c>
      <c r="R29">
        <v>18</v>
      </c>
      <c r="S29">
        <v>18</v>
      </c>
      <c r="T29">
        <v>18</v>
      </c>
      <c r="U29">
        <v>19</v>
      </c>
      <c r="V29">
        <v>19</v>
      </c>
      <c r="W29">
        <v>19</v>
      </c>
      <c r="X29">
        <v>20</v>
      </c>
      <c r="Y29">
        <v>21</v>
      </c>
      <c r="Z29">
        <v>21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4"/>
  <sheetViews>
    <sheetView workbookViewId="0">
      <pane xSplit="1" topLeftCell="B1" activePane="topRight" state="frozen"/>
      <selection pane="topRight" activeCell="R22" sqref="B22:R22"/>
    </sheetView>
  </sheetViews>
  <sheetFormatPr defaultRowHeight="15" x14ac:dyDescent="0.25"/>
  <cols>
    <col min="1" max="1" width="26" customWidth="1"/>
  </cols>
  <sheetData>
    <row r="1" spans="1:28" x14ac:dyDescent="0.25">
      <c r="A1" s="1" t="s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  <c r="V1" s="2">
        <v>21</v>
      </c>
      <c r="W1" s="2">
        <v>22</v>
      </c>
      <c r="X1" s="2">
        <v>23</v>
      </c>
      <c r="Y1" s="2">
        <v>24</v>
      </c>
      <c r="Z1" s="3">
        <v>25</v>
      </c>
    </row>
    <row r="2" spans="1:28" x14ac:dyDescent="0.25">
      <c r="A2" s="4" t="s">
        <v>1</v>
      </c>
      <c r="B2" s="5" t="s">
        <v>175</v>
      </c>
      <c r="C2" s="5" t="s">
        <v>176</v>
      </c>
      <c r="D2" s="5" t="s">
        <v>177</v>
      </c>
      <c r="E2" s="5" t="s">
        <v>178</v>
      </c>
      <c r="F2" s="5" t="s">
        <v>179</v>
      </c>
      <c r="G2" s="5" t="s">
        <v>180</v>
      </c>
      <c r="H2" s="5" t="s">
        <v>181</v>
      </c>
      <c r="I2" s="5" t="s">
        <v>182</v>
      </c>
      <c r="J2" s="5" t="s">
        <v>183</v>
      </c>
      <c r="K2" s="5" t="s">
        <v>184</v>
      </c>
      <c r="L2" s="5" t="s">
        <v>185</v>
      </c>
      <c r="M2" s="5" t="s">
        <v>186</v>
      </c>
      <c r="N2" s="5" t="s">
        <v>187</v>
      </c>
      <c r="O2" s="5" t="s">
        <v>188</v>
      </c>
      <c r="P2" s="5" t="s">
        <v>395</v>
      </c>
      <c r="Q2" s="5" t="s">
        <v>189</v>
      </c>
      <c r="R2" s="5" t="s">
        <v>190</v>
      </c>
      <c r="S2" s="5" t="s">
        <v>191</v>
      </c>
      <c r="T2" s="5"/>
      <c r="U2" s="5"/>
      <c r="V2" s="5"/>
      <c r="W2" s="5"/>
      <c r="X2" s="5"/>
      <c r="Y2" s="5"/>
      <c r="Z2" s="5"/>
      <c r="AA2" s="5" t="s">
        <v>2</v>
      </c>
      <c r="AB2" s="5" t="s">
        <v>3</v>
      </c>
    </row>
    <row r="3" spans="1:28" x14ac:dyDescent="0.25">
      <c r="A3" s="6" t="s">
        <v>4</v>
      </c>
      <c r="B3">
        <v>2</v>
      </c>
      <c r="C3">
        <v>1</v>
      </c>
      <c r="D3">
        <v>1</v>
      </c>
      <c r="E3">
        <v>3</v>
      </c>
      <c r="F3">
        <v>6</v>
      </c>
      <c r="G3">
        <v>5</v>
      </c>
      <c r="H3">
        <v>3</v>
      </c>
      <c r="I3">
        <v>6</v>
      </c>
      <c r="J3">
        <v>10</v>
      </c>
      <c r="K3">
        <v>8</v>
      </c>
      <c r="L3">
        <v>3</v>
      </c>
      <c r="M3">
        <v>11</v>
      </c>
      <c r="N3">
        <v>8</v>
      </c>
      <c r="O3">
        <v>4</v>
      </c>
      <c r="P3">
        <v>7</v>
      </c>
      <c r="Q3">
        <v>3</v>
      </c>
      <c r="R3">
        <v>1</v>
      </c>
      <c r="AA3">
        <f t="shared" ref="AA3:AA20" si="0">SUM(B3:Z3)</f>
        <v>82</v>
      </c>
      <c r="AB3">
        <f>(AA3/AA21)*100</f>
        <v>12.480974124809741</v>
      </c>
    </row>
    <row r="4" spans="1:28" x14ac:dyDescent="0.25">
      <c r="A4" s="6" t="s">
        <v>5</v>
      </c>
      <c r="I4">
        <v>1</v>
      </c>
      <c r="J4">
        <v>2</v>
      </c>
      <c r="K4">
        <v>2</v>
      </c>
      <c r="M4">
        <v>1</v>
      </c>
      <c r="AA4">
        <f t="shared" si="0"/>
        <v>6</v>
      </c>
      <c r="AB4">
        <f>(AA4/AA21)*100</f>
        <v>0.91324200913242004</v>
      </c>
    </row>
    <row r="5" spans="1:28" x14ac:dyDescent="0.25">
      <c r="A5" s="6" t="s">
        <v>6</v>
      </c>
      <c r="D5">
        <v>1</v>
      </c>
      <c r="K5">
        <v>1</v>
      </c>
      <c r="L5">
        <v>1</v>
      </c>
      <c r="N5">
        <v>1</v>
      </c>
      <c r="O5">
        <v>2</v>
      </c>
      <c r="P5">
        <v>1</v>
      </c>
      <c r="AA5">
        <f t="shared" si="0"/>
        <v>7</v>
      </c>
      <c r="AB5">
        <f>(AA5/AA21)*100</f>
        <v>1.06544901065449</v>
      </c>
    </row>
    <row r="6" spans="1:28" x14ac:dyDescent="0.25">
      <c r="A6" s="6" t="s">
        <v>9</v>
      </c>
      <c r="J6">
        <v>1</v>
      </c>
      <c r="L6">
        <v>1</v>
      </c>
      <c r="M6">
        <v>2</v>
      </c>
      <c r="P6">
        <v>1</v>
      </c>
      <c r="AA6">
        <f t="shared" si="0"/>
        <v>5</v>
      </c>
      <c r="AB6">
        <f>(AA6/AA21)*100</f>
        <v>0.76103500761035003</v>
      </c>
    </row>
    <row r="7" spans="1:28" x14ac:dyDescent="0.25">
      <c r="A7" s="6" t="s">
        <v>11</v>
      </c>
      <c r="B7">
        <v>1</v>
      </c>
      <c r="J7">
        <v>1</v>
      </c>
      <c r="R7">
        <v>1</v>
      </c>
      <c r="AA7">
        <f t="shared" si="0"/>
        <v>3</v>
      </c>
      <c r="AB7">
        <f>(AA7/AA21)*100</f>
        <v>0.45662100456621002</v>
      </c>
    </row>
    <row r="8" spans="1:28" x14ac:dyDescent="0.25">
      <c r="A8" s="6" t="s">
        <v>18</v>
      </c>
      <c r="K8">
        <v>2</v>
      </c>
      <c r="M8">
        <v>1</v>
      </c>
      <c r="N8">
        <v>1</v>
      </c>
      <c r="AA8">
        <f t="shared" si="0"/>
        <v>4</v>
      </c>
      <c r="AB8">
        <f>(AA8/AA21)*100</f>
        <v>0.60882800608828003</v>
      </c>
    </row>
    <row r="9" spans="1:28" x14ac:dyDescent="0.25">
      <c r="A9" s="6" t="s">
        <v>19</v>
      </c>
      <c r="B9">
        <v>6</v>
      </c>
      <c r="C9">
        <v>4</v>
      </c>
      <c r="D9">
        <v>4</v>
      </c>
      <c r="E9">
        <v>11</v>
      </c>
      <c r="F9">
        <v>3</v>
      </c>
      <c r="H9">
        <v>8</v>
      </c>
      <c r="I9">
        <v>6</v>
      </c>
      <c r="J9">
        <v>11</v>
      </c>
      <c r="K9">
        <v>7</v>
      </c>
      <c r="L9">
        <v>6</v>
      </c>
      <c r="M9">
        <v>13</v>
      </c>
      <c r="N9">
        <v>9</v>
      </c>
      <c r="O9">
        <v>6</v>
      </c>
      <c r="P9">
        <v>4</v>
      </c>
      <c r="Q9">
        <v>1</v>
      </c>
      <c r="AA9">
        <f t="shared" si="0"/>
        <v>99</v>
      </c>
      <c r="AB9">
        <f>(AA9/AA21)*100</f>
        <v>15.068493150684931</v>
      </c>
    </row>
    <row r="10" spans="1:28" x14ac:dyDescent="0.25">
      <c r="A10" s="6" t="s">
        <v>167</v>
      </c>
      <c r="D10">
        <v>1</v>
      </c>
      <c r="E10">
        <v>1</v>
      </c>
      <c r="P10">
        <v>1</v>
      </c>
      <c r="AA10">
        <f t="shared" si="0"/>
        <v>3</v>
      </c>
      <c r="AB10">
        <f>(AA10/AA21)*100</f>
        <v>0.45662100456621002</v>
      </c>
    </row>
    <row r="11" spans="1:28" x14ac:dyDescent="0.25">
      <c r="A11" s="6" t="s">
        <v>21</v>
      </c>
      <c r="C11">
        <v>2</v>
      </c>
      <c r="D11">
        <v>1</v>
      </c>
      <c r="E11">
        <v>2</v>
      </c>
      <c r="O11">
        <v>2</v>
      </c>
      <c r="Q11">
        <v>1</v>
      </c>
      <c r="AA11">
        <f t="shared" si="0"/>
        <v>8</v>
      </c>
      <c r="AB11">
        <f>(AA11/AA21)*100</f>
        <v>1.2176560121765601</v>
      </c>
    </row>
    <row r="12" spans="1:28" x14ac:dyDescent="0.25">
      <c r="A12" s="6" t="s">
        <v>23</v>
      </c>
      <c r="K12">
        <v>1</v>
      </c>
      <c r="AA12">
        <f t="shared" si="0"/>
        <v>1</v>
      </c>
      <c r="AB12">
        <f>(AA12/AA21)*100</f>
        <v>0.15220700152207001</v>
      </c>
    </row>
    <row r="13" spans="1:28" x14ac:dyDescent="0.25">
      <c r="A13" s="6" t="s">
        <v>24</v>
      </c>
      <c r="F13">
        <v>1</v>
      </c>
      <c r="I13">
        <v>1</v>
      </c>
      <c r="AA13">
        <f t="shared" si="0"/>
        <v>2</v>
      </c>
      <c r="AB13">
        <f>(AA13/AA21)*100</f>
        <v>0.30441400304414001</v>
      </c>
    </row>
    <row r="14" spans="1:28" x14ac:dyDescent="0.25">
      <c r="A14" s="6" t="s">
        <v>25</v>
      </c>
      <c r="B14">
        <v>1</v>
      </c>
      <c r="H14">
        <v>1</v>
      </c>
      <c r="J14">
        <v>1</v>
      </c>
      <c r="N14">
        <v>2</v>
      </c>
      <c r="O14">
        <v>2</v>
      </c>
      <c r="AA14">
        <f t="shared" si="0"/>
        <v>7</v>
      </c>
      <c r="AB14">
        <f>(AA14/AA21)*100</f>
        <v>1.06544901065449</v>
      </c>
    </row>
    <row r="15" spans="1:28" x14ac:dyDescent="0.25">
      <c r="A15" s="6" t="s">
        <v>26</v>
      </c>
      <c r="P15">
        <v>1</v>
      </c>
      <c r="AA15">
        <f t="shared" si="0"/>
        <v>1</v>
      </c>
      <c r="AB15">
        <f>(AA15/AA21)*100</f>
        <v>0.15220700152207001</v>
      </c>
    </row>
    <row r="16" spans="1:28" x14ac:dyDescent="0.25">
      <c r="A16" s="6" t="s">
        <v>102</v>
      </c>
      <c r="G16">
        <v>1</v>
      </c>
      <c r="AA16">
        <f t="shared" si="0"/>
        <v>1</v>
      </c>
      <c r="AB16">
        <f>(AA16/AA21)*100</f>
        <v>0.15220700152207001</v>
      </c>
    </row>
    <row r="17" spans="1:28" x14ac:dyDescent="0.25">
      <c r="A17" s="6" t="s">
        <v>32</v>
      </c>
      <c r="B17">
        <v>6</v>
      </c>
      <c r="C17">
        <v>6</v>
      </c>
      <c r="D17">
        <v>9</v>
      </c>
      <c r="E17">
        <v>15</v>
      </c>
      <c r="F17">
        <v>16</v>
      </c>
      <c r="G17">
        <v>10</v>
      </c>
      <c r="H17">
        <v>21</v>
      </c>
      <c r="I17">
        <v>19</v>
      </c>
      <c r="J17">
        <v>37</v>
      </c>
      <c r="K17">
        <v>31</v>
      </c>
      <c r="L17">
        <v>34</v>
      </c>
      <c r="M17">
        <v>51</v>
      </c>
      <c r="N17">
        <v>20</v>
      </c>
      <c r="O17">
        <v>42</v>
      </c>
      <c r="P17">
        <v>35</v>
      </c>
      <c r="Q17">
        <v>10</v>
      </c>
      <c r="R17">
        <v>5</v>
      </c>
      <c r="AA17">
        <f t="shared" si="0"/>
        <v>367</v>
      </c>
      <c r="AB17">
        <f>(AA17/AA21)*100</f>
        <v>55.859969558599701</v>
      </c>
    </row>
    <row r="18" spans="1:28" x14ac:dyDescent="0.25">
      <c r="A18" s="6" t="s">
        <v>33</v>
      </c>
      <c r="J18">
        <v>1</v>
      </c>
      <c r="K18">
        <v>1</v>
      </c>
      <c r="L18">
        <v>1</v>
      </c>
      <c r="M18">
        <v>1</v>
      </c>
      <c r="N18">
        <v>1</v>
      </c>
      <c r="P18">
        <v>1</v>
      </c>
      <c r="Q18">
        <v>1</v>
      </c>
      <c r="R18">
        <v>1</v>
      </c>
      <c r="AA18">
        <f t="shared" si="0"/>
        <v>8</v>
      </c>
      <c r="AB18">
        <f>(AA18/AA21)*100</f>
        <v>1.2176560121765601</v>
      </c>
    </row>
    <row r="19" spans="1:28" x14ac:dyDescent="0.25">
      <c r="A19" s="6" t="s">
        <v>37</v>
      </c>
      <c r="B19">
        <v>2</v>
      </c>
      <c r="C19">
        <v>1</v>
      </c>
      <c r="D19">
        <v>4</v>
      </c>
      <c r="E19">
        <v>2</v>
      </c>
      <c r="F19">
        <v>2</v>
      </c>
      <c r="G19">
        <v>3</v>
      </c>
      <c r="H19">
        <v>4</v>
      </c>
      <c r="I19">
        <v>1</v>
      </c>
      <c r="J19">
        <v>9</v>
      </c>
      <c r="K19">
        <v>3</v>
      </c>
      <c r="L19">
        <v>5</v>
      </c>
      <c r="M19">
        <v>3</v>
      </c>
      <c r="N19">
        <v>2</v>
      </c>
      <c r="O19">
        <v>7</v>
      </c>
      <c r="P19">
        <v>2</v>
      </c>
      <c r="Q19">
        <v>2</v>
      </c>
      <c r="R19">
        <v>1</v>
      </c>
      <c r="AA19">
        <f t="shared" si="0"/>
        <v>53</v>
      </c>
      <c r="AB19">
        <f>(AA19/AA21)*100</f>
        <v>8.0669710806697097</v>
      </c>
    </row>
    <row r="20" spans="1:28" x14ac:dyDescent="0.25">
      <c r="A20" s="6"/>
      <c r="AA20">
        <f t="shared" si="0"/>
        <v>0</v>
      </c>
      <c r="AB20">
        <f>(AA20/AA21)*100</f>
        <v>0</v>
      </c>
    </row>
    <row r="21" spans="1:28" x14ac:dyDescent="0.25">
      <c r="A21" s="1" t="s">
        <v>39</v>
      </c>
      <c r="B21" s="2">
        <f t="shared" ref="B21:Z21" si="1">SUM(B3:B20)</f>
        <v>18</v>
      </c>
      <c r="C21" s="2">
        <f t="shared" si="1"/>
        <v>14</v>
      </c>
      <c r="D21" s="2">
        <f t="shared" si="1"/>
        <v>21</v>
      </c>
      <c r="E21" s="2">
        <f t="shared" si="1"/>
        <v>34</v>
      </c>
      <c r="F21" s="2">
        <f t="shared" si="1"/>
        <v>28</v>
      </c>
      <c r="G21" s="2">
        <f t="shared" si="1"/>
        <v>19</v>
      </c>
      <c r="H21" s="2">
        <f t="shared" si="1"/>
        <v>37</v>
      </c>
      <c r="I21" s="2">
        <f t="shared" si="1"/>
        <v>34</v>
      </c>
      <c r="J21" s="2">
        <f t="shared" si="1"/>
        <v>73</v>
      </c>
      <c r="K21" s="2">
        <f t="shared" si="1"/>
        <v>56</v>
      </c>
      <c r="L21" s="2">
        <f t="shared" si="1"/>
        <v>51</v>
      </c>
      <c r="M21" s="2">
        <f t="shared" si="1"/>
        <v>83</v>
      </c>
      <c r="N21" s="2">
        <f t="shared" si="1"/>
        <v>44</v>
      </c>
      <c r="O21" s="2">
        <f t="shared" si="1"/>
        <v>65</v>
      </c>
      <c r="P21" s="2">
        <f t="shared" si="1"/>
        <v>53</v>
      </c>
      <c r="Q21" s="2">
        <f t="shared" si="1"/>
        <v>18</v>
      </c>
      <c r="R21" s="2">
        <f t="shared" si="1"/>
        <v>9</v>
      </c>
      <c r="S21" s="2">
        <f t="shared" si="1"/>
        <v>0</v>
      </c>
      <c r="T21" s="2">
        <f t="shared" si="1"/>
        <v>0</v>
      </c>
      <c r="U21" s="2">
        <f t="shared" si="1"/>
        <v>0</v>
      </c>
      <c r="V21" s="2">
        <f t="shared" si="1"/>
        <v>0</v>
      </c>
      <c r="W21" s="2">
        <f t="shared" si="1"/>
        <v>0</v>
      </c>
      <c r="X21" s="2">
        <f t="shared" si="1"/>
        <v>0</v>
      </c>
      <c r="Y21" s="2">
        <f t="shared" si="1"/>
        <v>0</v>
      </c>
      <c r="Z21" s="2">
        <f t="shared" si="1"/>
        <v>0</v>
      </c>
      <c r="AA21" s="2">
        <f>SUM(AA3:AA20)</f>
        <v>657</v>
      </c>
      <c r="AB21" s="7">
        <f>SUM(AB3:AB20)</f>
        <v>100</v>
      </c>
    </row>
    <row r="22" spans="1:28" x14ac:dyDescent="0.25">
      <c r="B22">
        <v>18</v>
      </c>
      <c r="C22">
        <v>32</v>
      </c>
      <c r="D22">
        <v>53</v>
      </c>
      <c r="E22">
        <v>87</v>
      </c>
      <c r="F22">
        <v>115</v>
      </c>
      <c r="G22">
        <v>134</v>
      </c>
      <c r="H22">
        <v>171</v>
      </c>
      <c r="I22">
        <v>205</v>
      </c>
      <c r="J22">
        <v>278</v>
      </c>
      <c r="K22">
        <v>334</v>
      </c>
      <c r="L22">
        <v>385</v>
      </c>
      <c r="M22">
        <v>468</v>
      </c>
      <c r="N22">
        <v>512</v>
      </c>
      <c r="O22">
        <v>577</v>
      </c>
      <c r="P22">
        <v>630</v>
      </c>
      <c r="Q22">
        <v>648</v>
      </c>
      <c r="R22">
        <v>657</v>
      </c>
    </row>
    <row r="24" spans="1:28" x14ac:dyDescent="0.25">
      <c r="A24" t="s">
        <v>755</v>
      </c>
      <c r="B24">
        <v>6</v>
      </c>
      <c r="C24">
        <v>7</v>
      </c>
      <c r="D24">
        <v>9</v>
      </c>
      <c r="E24">
        <v>9</v>
      </c>
      <c r="F24">
        <v>10</v>
      </c>
      <c r="G24">
        <v>11</v>
      </c>
      <c r="H24">
        <v>11</v>
      </c>
      <c r="I24">
        <v>12</v>
      </c>
      <c r="J24">
        <v>14</v>
      </c>
      <c r="K24">
        <v>16</v>
      </c>
      <c r="L24">
        <v>16</v>
      </c>
      <c r="M24">
        <v>16</v>
      </c>
      <c r="N24">
        <v>16</v>
      </c>
      <c r="O24">
        <v>16</v>
      </c>
      <c r="P24">
        <v>17</v>
      </c>
      <c r="Q24">
        <v>17</v>
      </c>
      <c r="R24">
        <v>17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26"/>
  <sheetViews>
    <sheetView workbookViewId="0">
      <pane xSplit="1" topLeftCell="B1" activePane="topRight" state="frozen"/>
      <selection activeCell="A2" sqref="A2"/>
      <selection pane="topRight" activeCell="AE24" sqref="B24:AE24"/>
    </sheetView>
  </sheetViews>
  <sheetFormatPr defaultRowHeight="15" x14ac:dyDescent="0.25"/>
  <cols>
    <col min="1" max="1" width="25.85546875" customWidth="1"/>
  </cols>
  <sheetData>
    <row r="1" spans="1:33" x14ac:dyDescent="0.25">
      <c r="A1" s="1" t="s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  <c r="V1" s="2">
        <v>21</v>
      </c>
      <c r="W1" s="2">
        <v>22</v>
      </c>
      <c r="X1" s="2">
        <v>23</v>
      </c>
      <c r="Y1" s="2">
        <v>24</v>
      </c>
      <c r="Z1" s="2">
        <v>25</v>
      </c>
      <c r="AA1" s="2">
        <v>26</v>
      </c>
      <c r="AB1" s="2">
        <v>27</v>
      </c>
      <c r="AC1" s="2">
        <v>28</v>
      </c>
      <c r="AD1" s="2">
        <v>29</v>
      </c>
      <c r="AE1" s="3">
        <v>30</v>
      </c>
    </row>
    <row r="2" spans="1:33" x14ac:dyDescent="0.25">
      <c r="A2" s="4" t="s">
        <v>1</v>
      </c>
      <c r="B2" s="5" t="s">
        <v>192</v>
      </c>
      <c r="C2" s="5" t="s">
        <v>193</v>
      </c>
      <c r="D2" s="5" t="s">
        <v>194</v>
      </c>
      <c r="E2" s="5" t="s">
        <v>195</v>
      </c>
      <c r="F2" s="5" t="s">
        <v>196</v>
      </c>
      <c r="G2" s="5" t="s">
        <v>197</v>
      </c>
      <c r="H2" s="5" t="s">
        <v>198</v>
      </c>
      <c r="I2" s="5" t="s">
        <v>161</v>
      </c>
      <c r="J2" s="5" t="s">
        <v>199</v>
      </c>
      <c r="K2" s="5" t="s">
        <v>200</v>
      </c>
      <c r="L2" s="5" t="s">
        <v>201</v>
      </c>
      <c r="M2" s="5" t="s">
        <v>202</v>
      </c>
      <c r="N2" s="5" t="s">
        <v>203</v>
      </c>
      <c r="O2" s="5" t="s">
        <v>204</v>
      </c>
      <c r="P2" s="5" t="s">
        <v>205</v>
      </c>
      <c r="Q2" s="5" t="s">
        <v>206</v>
      </c>
      <c r="R2" s="5" t="s">
        <v>207</v>
      </c>
      <c r="S2" s="5" t="s">
        <v>208</v>
      </c>
      <c r="T2" s="5" t="s">
        <v>209</v>
      </c>
      <c r="U2" s="5" t="s">
        <v>210</v>
      </c>
      <c r="V2" s="5" t="s">
        <v>211</v>
      </c>
      <c r="W2" s="5" t="s">
        <v>212</v>
      </c>
      <c r="X2" s="5" t="s">
        <v>213</v>
      </c>
      <c r="Y2" s="5" t="s">
        <v>214</v>
      </c>
      <c r="Z2" s="5" t="s">
        <v>215</v>
      </c>
      <c r="AA2" s="5" t="s">
        <v>216</v>
      </c>
      <c r="AB2" s="5" t="s">
        <v>217</v>
      </c>
      <c r="AC2" s="5" t="s">
        <v>218</v>
      </c>
      <c r="AD2" s="5" t="s">
        <v>219</v>
      </c>
      <c r="AE2" s="5" t="s">
        <v>220</v>
      </c>
      <c r="AF2" s="5" t="s">
        <v>2</v>
      </c>
      <c r="AG2" s="5" t="s">
        <v>3</v>
      </c>
    </row>
    <row r="3" spans="1:33" x14ac:dyDescent="0.25">
      <c r="A3" s="6" t="s">
        <v>4</v>
      </c>
      <c r="E3">
        <v>3</v>
      </c>
      <c r="F3">
        <v>3</v>
      </c>
      <c r="H3">
        <v>2</v>
      </c>
      <c r="J3">
        <v>9</v>
      </c>
      <c r="K3">
        <v>1</v>
      </c>
      <c r="L3">
        <v>1</v>
      </c>
      <c r="M3">
        <v>3</v>
      </c>
      <c r="N3">
        <v>7</v>
      </c>
      <c r="O3">
        <v>7</v>
      </c>
      <c r="P3">
        <v>4</v>
      </c>
      <c r="Q3">
        <v>4</v>
      </c>
      <c r="R3">
        <v>3</v>
      </c>
      <c r="S3">
        <v>14</v>
      </c>
      <c r="T3">
        <v>8</v>
      </c>
      <c r="U3">
        <v>16</v>
      </c>
      <c r="V3">
        <v>8</v>
      </c>
      <c r="W3">
        <v>5</v>
      </c>
      <c r="X3">
        <v>1</v>
      </c>
      <c r="Z3">
        <v>7</v>
      </c>
      <c r="AA3">
        <v>1</v>
      </c>
      <c r="AB3">
        <v>1</v>
      </c>
      <c r="AC3">
        <v>1</v>
      </c>
      <c r="AD3">
        <v>2</v>
      </c>
      <c r="AE3">
        <v>1</v>
      </c>
      <c r="AF3">
        <f t="shared" ref="AF3:AF22" si="0">SUM(B3:AE3)</f>
        <v>112</v>
      </c>
      <c r="AG3">
        <f>(AF3/AF23)*100</f>
        <v>16.568047337278109</v>
      </c>
    </row>
    <row r="4" spans="1:33" x14ac:dyDescent="0.25">
      <c r="A4" s="6" t="s">
        <v>5</v>
      </c>
      <c r="E4">
        <v>1</v>
      </c>
      <c r="AF4">
        <f t="shared" si="0"/>
        <v>1</v>
      </c>
      <c r="AG4">
        <f>(AF4/AF23)*100</f>
        <v>0.14792899408284024</v>
      </c>
    </row>
    <row r="5" spans="1:33" x14ac:dyDescent="0.25">
      <c r="A5" s="6" t="s">
        <v>6</v>
      </c>
      <c r="C5">
        <v>1</v>
      </c>
      <c r="D5">
        <v>2</v>
      </c>
      <c r="E5">
        <v>1</v>
      </c>
      <c r="F5">
        <v>1</v>
      </c>
      <c r="H5">
        <v>2</v>
      </c>
      <c r="I5">
        <v>1</v>
      </c>
      <c r="J5">
        <v>1</v>
      </c>
      <c r="L5">
        <v>3</v>
      </c>
      <c r="M5">
        <v>1</v>
      </c>
      <c r="N5">
        <v>1</v>
      </c>
      <c r="T5">
        <v>1</v>
      </c>
      <c r="V5">
        <v>1</v>
      </c>
      <c r="Y5">
        <v>2</v>
      </c>
      <c r="AE5">
        <v>1</v>
      </c>
      <c r="AF5">
        <f t="shared" si="0"/>
        <v>19</v>
      </c>
      <c r="AG5">
        <f>(AF5/AF23)*100</f>
        <v>2.8106508875739644</v>
      </c>
    </row>
    <row r="6" spans="1:33" x14ac:dyDescent="0.25">
      <c r="A6" s="6" t="s">
        <v>9</v>
      </c>
      <c r="F6">
        <v>1</v>
      </c>
      <c r="J6">
        <v>1</v>
      </c>
      <c r="K6">
        <v>1</v>
      </c>
      <c r="Q6">
        <v>1</v>
      </c>
      <c r="S6">
        <v>1</v>
      </c>
      <c r="T6">
        <v>1</v>
      </c>
      <c r="U6">
        <v>1</v>
      </c>
      <c r="AF6">
        <f t="shared" si="0"/>
        <v>7</v>
      </c>
      <c r="AG6">
        <f>(AF6/AF23)*100</f>
        <v>1.0355029585798818</v>
      </c>
    </row>
    <row r="7" spans="1:33" x14ac:dyDescent="0.25">
      <c r="A7" s="6" t="s">
        <v>11</v>
      </c>
      <c r="Q7">
        <v>1</v>
      </c>
      <c r="Z7">
        <v>1</v>
      </c>
      <c r="AF7">
        <f t="shared" si="0"/>
        <v>2</v>
      </c>
      <c r="AG7">
        <f>(AF7/AF23)*100</f>
        <v>0.29585798816568049</v>
      </c>
    </row>
    <row r="8" spans="1:33" ht="15.75" customHeight="1" x14ac:dyDescent="0.25">
      <c r="A8" s="6" t="s">
        <v>59</v>
      </c>
      <c r="W8">
        <v>1</v>
      </c>
      <c r="AF8">
        <f t="shared" si="0"/>
        <v>1</v>
      </c>
      <c r="AG8">
        <f>(AF8/AF23)*100</f>
        <v>0.14792899408284024</v>
      </c>
    </row>
    <row r="9" spans="1:33" x14ac:dyDescent="0.25">
      <c r="A9" s="6" t="s">
        <v>18</v>
      </c>
      <c r="E9">
        <v>1</v>
      </c>
      <c r="AF9">
        <f t="shared" si="0"/>
        <v>1</v>
      </c>
      <c r="AG9">
        <f>(AF9/AF23)*100</f>
        <v>0.14792899408284024</v>
      </c>
    </row>
    <row r="10" spans="1:33" x14ac:dyDescent="0.25">
      <c r="A10" s="6" t="s">
        <v>19</v>
      </c>
      <c r="B10">
        <v>3</v>
      </c>
      <c r="D10">
        <v>2</v>
      </c>
      <c r="E10">
        <v>7</v>
      </c>
      <c r="F10">
        <v>6</v>
      </c>
      <c r="H10">
        <v>3</v>
      </c>
      <c r="I10">
        <v>1</v>
      </c>
      <c r="J10">
        <v>1</v>
      </c>
      <c r="L10">
        <v>1</v>
      </c>
      <c r="M10">
        <v>3</v>
      </c>
      <c r="N10">
        <v>1</v>
      </c>
      <c r="O10">
        <v>2</v>
      </c>
      <c r="P10">
        <v>5</v>
      </c>
      <c r="Q10">
        <v>8</v>
      </c>
      <c r="R10">
        <v>3</v>
      </c>
      <c r="S10">
        <v>1</v>
      </c>
      <c r="T10">
        <v>2</v>
      </c>
      <c r="U10">
        <v>6</v>
      </c>
      <c r="V10">
        <v>2</v>
      </c>
      <c r="X10">
        <v>2</v>
      </c>
      <c r="Y10">
        <v>1</v>
      </c>
      <c r="Z10">
        <v>10</v>
      </c>
      <c r="AA10">
        <v>3</v>
      </c>
      <c r="AB10">
        <v>1</v>
      </c>
      <c r="AF10">
        <f t="shared" si="0"/>
        <v>74</v>
      </c>
      <c r="AG10">
        <f>(AF10/AF23)*100</f>
        <v>10.946745562130179</v>
      </c>
    </row>
    <row r="11" spans="1:33" x14ac:dyDescent="0.25">
      <c r="A11" s="6" t="s">
        <v>167</v>
      </c>
      <c r="J11">
        <v>1</v>
      </c>
      <c r="AF11">
        <f t="shared" si="0"/>
        <v>1</v>
      </c>
      <c r="AG11">
        <f>(AF11/AF23)*100</f>
        <v>0.14792899408284024</v>
      </c>
    </row>
    <row r="12" spans="1:33" x14ac:dyDescent="0.25">
      <c r="A12" s="6" t="s">
        <v>21</v>
      </c>
      <c r="I12">
        <v>1</v>
      </c>
      <c r="J12">
        <v>1</v>
      </c>
      <c r="Z12">
        <v>1</v>
      </c>
      <c r="AF12">
        <f t="shared" si="0"/>
        <v>3</v>
      </c>
      <c r="AG12">
        <f>(AF12/AF23)*100</f>
        <v>0.4437869822485207</v>
      </c>
    </row>
    <row r="13" spans="1:33" x14ac:dyDescent="0.25">
      <c r="A13" s="6" t="s">
        <v>23</v>
      </c>
      <c r="U13">
        <v>1</v>
      </c>
      <c r="AF13">
        <f t="shared" si="0"/>
        <v>1</v>
      </c>
      <c r="AG13">
        <f>(AF13/AF23)*100</f>
        <v>0.14792899408284024</v>
      </c>
    </row>
    <row r="14" spans="1:33" x14ac:dyDescent="0.25">
      <c r="A14" s="6" t="s">
        <v>24</v>
      </c>
      <c r="M14">
        <v>1</v>
      </c>
      <c r="N14">
        <v>1</v>
      </c>
      <c r="Q14">
        <v>1</v>
      </c>
      <c r="AF14">
        <f t="shared" si="0"/>
        <v>3</v>
      </c>
      <c r="AG14">
        <f>(AF14/AF23)*100</f>
        <v>0.4437869822485207</v>
      </c>
    </row>
    <row r="15" spans="1:33" x14ac:dyDescent="0.25">
      <c r="A15" s="6" t="s">
        <v>25</v>
      </c>
      <c r="B15">
        <v>2</v>
      </c>
      <c r="D15">
        <v>1</v>
      </c>
      <c r="H15">
        <v>2</v>
      </c>
      <c r="K15">
        <v>1</v>
      </c>
      <c r="L15">
        <v>1</v>
      </c>
      <c r="M15">
        <v>1</v>
      </c>
      <c r="R15">
        <v>2</v>
      </c>
      <c r="Y15">
        <v>1</v>
      </c>
      <c r="AF15">
        <f t="shared" si="0"/>
        <v>11</v>
      </c>
      <c r="AG15">
        <f>(AF15/AF23)*100</f>
        <v>1.6272189349112427</v>
      </c>
    </row>
    <row r="16" spans="1:33" x14ac:dyDescent="0.25">
      <c r="A16" s="6" t="s">
        <v>26</v>
      </c>
      <c r="U16">
        <v>1</v>
      </c>
      <c r="AF16">
        <f t="shared" si="0"/>
        <v>1</v>
      </c>
      <c r="AG16">
        <f>(AF16/AF23)*100</f>
        <v>0.14792899408284024</v>
      </c>
    </row>
    <row r="17" spans="1:16384" s="9" customFormat="1" x14ac:dyDescent="0.25">
      <c r="A17" s="6" t="s">
        <v>102</v>
      </c>
      <c r="B17" s="10">
        <v>1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10">
        <v>1</v>
      </c>
      <c r="N17" s="8"/>
      <c r="O17" s="8"/>
      <c r="P17" s="8"/>
      <c r="Q17" s="8"/>
      <c r="R17" s="8"/>
      <c r="S17" s="10">
        <v>2</v>
      </c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>
        <f t="shared" si="0"/>
        <v>4</v>
      </c>
      <c r="AG17">
        <f>(AF17/AF23)*100</f>
        <v>0.59171597633136097</v>
      </c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8"/>
      <c r="DQ17" s="8"/>
      <c r="DR17" s="8"/>
      <c r="DS17" s="8"/>
      <c r="DT17" s="8"/>
      <c r="DU17" s="8"/>
      <c r="DV17" s="8"/>
      <c r="DW17" s="8"/>
      <c r="DX17" s="8"/>
      <c r="DY17" s="8"/>
      <c r="DZ17" s="8"/>
      <c r="EA17" s="8"/>
      <c r="EB17" s="8"/>
      <c r="EC17" s="8"/>
      <c r="ED17" s="8"/>
      <c r="EE17" s="8"/>
      <c r="EF17" s="8"/>
      <c r="EG17" s="8"/>
      <c r="EH17" s="8"/>
      <c r="EI17" s="8"/>
      <c r="EJ17" s="8"/>
      <c r="EK17" s="8"/>
      <c r="EL17" s="8"/>
      <c r="EM17" s="8"/>
      <c r="EN17" s="8"/>
      <c r="EO17" s="8"/>
      <c r="EP17" s="8"/>
      <c r="EQ17" s="8"/>
      <c r="ER17" s="8"/>
      <c r="ES17" s="8"/>
      <c r="ET17" s="8"/>
      <c r="EU17" s="8"/>
      <c r="EV17" s="8"/>
      <c r="EW17" s="8"/>
      <c r="EX17" s="8"/>
      <c r="EY17" s="8"/>
      <c r="EZ17" s="8"/>
      <c r="FA17" s="8"/>
      <c r="FB17" s="8"/>
      <c r="FC17" s="8"/>
      <c r="FD17" s="8"/>
      <c r="FE17" s="8"/>
      <c r="FF17" s="8"/>
      <c r="FG17" s="8"/>
      <c r="FH17" s="8"/>
      <c r="FI17" s="8"/>
      <c r="FJ17" s="8"/>
      <c r="FK17" s="8"/>
      <c r="FL17" s="8"/>
      <c r="FM17" s="8"/>
      <c r="FN17" s="8"/>
      <c r="FO17" s="8"/>
      <c r="FP17" s="8"/>
      <c r="FQ17" s="8"/>
      <c r="FR17" s="8"/>
      <c r="FS17" s="8"/>
      <c r="FT17" s="8"/>
      <c r="FU17" s="8"/>
      <c r="FV17" s="8"/>
      <c r="FW17" s="8"/>
      <c r="FX17" s="8"/>
      <c r="FY17" s="8"/>
      <c r="FZ17" s="8"/>
      <c r="GA17" s="8"/>
      <c r="GB17" s="8"/>
      <c r="GC17" s="8"/>
      <c r="GD17" s="8"/>
      <c r="GE17" s="8"/>
      <c r="GF17" s="8"/>
      <c r="GG17" s="8"/>
      <c r="GH17" s="8"/>
      <c r="GI17" s="8"/>
      <c r="GJ17" s="8"/>
      <c r="GK17" s="8"/>
      <c r="GL17" s="8"/>
      <c r="GM17" s="8"/>
      <c r="GN17" s="8"/>
      <c r="GO17" s="8"/>
      <c r="GP17" s="8"/>
      <c r="GQ17" s="8"/>
      <c r="GR17" s="8"/>
      <c r="GS17" s="8"/>
      <c r="GT17" s="8"/>
      <c r="GU17" s="8"/>
      <c r="GV17" s="8"/>
      <c r="GW17" s="8"/>
      <c r="GX17" s="8"/>
      <c r="GY17" s="8"/>
      <c r="GZ17" s="8"/>
      <c r="HA17" s="8"/>
      <c r="HB17" s="8"/>
      <c r="HC17" s="8"/>
      <c r="HD17" s="8"/>
      <c r="HE17" s="8"/>
      <c r="HF17" s="8"/>
      <c r="HG17" s="8"/>
      <c r="HH17" s="8"/>
      <c r="HI17" s="8"/>
      <c r="HJ17" s="8"/>
      <c r="HK17" s="8"/>
      <c r="HL17" s="8"/>
      <c r="HM17" s="8"/>
      <c r="HN17" s="8"/>
      <c r="HO17" s="8"/>
      <c r="HP17" s="8"/>
      <c r="HQ17" s="8"/>
      <c r="HR17" s="8"/>
      <c r="HS17" s="8"/>
      <c r="HT17" s="8"/>
      <c r="HU17" s="8"/>
      <c r="HV17" s="8"/>
      <c r="HW17" s="8"/>
      <c r="HX17" s="8"/>
      <c r="HY17" s="8"/>
      <c r="HZ17" s="8"/>
      <c r="IA17" s="8"/>
      <c r="IB17" s="8"/>
      <c r="IC17" s="8"/>
      <c r="ID17" s="8"/>
      <c r="IE17" s="8"/>
      <c r="IF17" s="8"/>
      <c r="IG17" s="8"/>
      <c r="IH17" s="8"/>
      <c r="II17" s="8"/>
      <c r="IJ17" s="8"/>
      <c r="IK17" s="8"/>
      <c r="IL17" s="8"/>
      <c r="IM17" s="8"/>
      <c r="IN17" s="8"/>
      <c r="IO17" s="8"/>
      <c r="IP17" s="8"/>
      <c r="IQ17" s="8"/>
      <c r="IR17" s="8"/>
      <c r="IS17" s="8"/>
      <c r="IT17" s="8"/>
      <c r="IU17" s="8"/>
      <c r="IV17" s="8"/>
      <c r="IW17" s="8"/>
      <c r="IX17" s="8"/>
      <c r="IY17" s="8"/>
      <c r="IZ17" s="8"/>
      <c r="JA17" s="8"/>
      <c r="JB17" s="8"/>
      <c r="JC17" s="8"/>
      <c r="JD17" s="8"/>
      <c r="JE17" s="8"/>
      <c r="JF17" s="8"/>
      <c r="JG17" s="8"/>
      <c r="JH17" s="8"/>
      <c r="JI17" s="8"/>
      <c r="JJ17" s="8"/>
      <c r="JK17" s="8"/>
      <c r="JL17" s="8"/>
      <c r="JM17" s="8"/>
      <c r="JN17" s="8"/>
      <c r="JO17" s="8"/>
      <c r="JP17" s="8"/>
      <c r="JQ17" s="8"/>
      <c r="JR17" s="8"/>
      <c r="JS17" s="8"/>
      <c r="JT17" s="8"/>
      <c r="JU17" s="8"/>
      <c r="JV17" s="8"/>
      <c r="JW17" s="8"/>
      <c r="JX17" s="8"/>
      <c r="JY17" s="8"/>
      <c r="JZ17" s="8"/>
      <c r="KA17" s="8"/>
      <c r="KB17" s="8"/>
      <c r="KC17" s="8"/>
      <c r="KD17" s="8"/>
      <c r="KE17" s="8"/>
      <c r="KF17" s="8"/>
      <c r="KG17" s="8"/>
      <c r="KH17" s="8"/>
      <c r="KI17" s="8"/>
      <c r="KJ17" s="8"/>
      <c r="KK17" s="8"/>
      <c r="KL17" s="8"/>
      <c r="KM17" s="8"/>
      <c r="KN17" s="8"/>
      <c r="KO17" s="8"/>
      <c r="KP17" s="8"/>
      <c r="KQ17" s="8"/>
      <c r="KR17" s="8"/>
      <c r="KS17" s="8"/>
      <c r="KT17" s="8"/>
      <c r="KU17" s="8"/>
      <c r="KV17" s="8"/>
      <c r="KW17" s="8"/>
      <c r="KX17" s="8"/>
      <c r="KY17" s="8"/>
      <c r="KZ17" s="8"/>
      <c r="LA17" s="8"/>
      <c r="LB17" s="8"/>
      <c r="LC17" s="8"/>
      <c r="LD17" s="8"/>
      <c r="LE17" s="8"/>
      <c r="LF17" s="8"/>
      <c r="LG17" s="8"/>
      <c r="LH17" s="8"/>
      <c r="LI17" s="8"/>
      <c r="LJ17" s="8"/>
      <c r="LK17" s="8"/>
      <c r="LL17" s="8"/>
      <c r="LM17" s="8"/>
      <c r="LN17" s="8"/>
      <c r="LO17" s="8"/>
      <c r="LP17" s="8"/>
      <c r="LQ17" s="8"/>
      <c r="LR17" s="8"/>
      <c r="LS17" s="8"/>
      <c r="LT17" s="8"/>
      <c r="LU17" s="8"/>
      <c r="LV17" s="8"/>
      <c r="LW17" s="8"/>
      <c r="LX17" s="8"/>
      <c r="LY17" s="8"/>
      <c r="LZ17" s="8"/>
      <c r="MA17" s="8"/>
      <c r="MB17" s="8"/>
      <c r="MC17" s="8"/>
      <c r="MD17" s="8"/>
      <c r="ME17" s="8"/>
      <c r="MF17" s="8"/>
      <c r="MG17" s="8"/>
      <c r="MH17" s="8"/>
      <c r="MI17" s="8"/>
      <c r="MJ17" s="8"/>
      <c r="MK17" s="8"/>
      <c r="ML17" s="8"/>
      <c r="MM17" s="8"/>
      <c r="MN17" s="8"/>
      <c r="MO17" s="8"/>
      <c r="MP17" s="8"/>
      <c r="MQ17" s="8"/>
      <c r="MR17" s="8"/>
      <c r="MS17" s="8"/>
      <c r="MT17" s="8"/>
      <c r="MU17" s="8"/>
      <c r="MV17" s="8"/>
      <c r="MW17" s="8"/>
      <c r="MX17" s="8"/>
      <c r="MY17" s="8"/>
      <c r="MZ17" s="8"/>
      <c r="NA17" s="8"/>
      <c r="NB17" s="8"/>
      <c r="NC17" s="8"/>
      <c r="ND17" s="8"/>
      <c r="NE17" s="8"/>
      <c r="NF17" s="8"/>
      <c r="NG17" s="8"/>
      <c r="NH17" s="8"/>
      <c r="NI17" s="8"/>
      <c r="NJ17" s="8"/>
      <c r="NK17" s="8"/>
      <c r="NL17" s="8"/>
      <c r="NM17" s="8"/>
      <c r="NN17" s="8"/>
      <c r="NO17" s="8"/>
      <c r="NP17" s="8"/>
      <c r="NQ17" s="8"/>
      <c r="NR17" s="8"/>
      <c r="NS17" s="8"/>
      <c r="NT17" s="8"/>
      <c r="NU17" s="8"/>
      <c r="NV17" s="8"/>
      <c r="NW17" s="8"/>
      <c r="NX17" s="8"/>
      <c r="NY17" s="8"/>
      <c r="NZ17" s="8"/>
      <c r="OA17" s="8"/>
      <c r="OB17" s="8"/>
      <c r="OC17" s="8"/>
      <c r="OD17" s="8"/>
      <c r="OE17" s="8"/>
      <c r="OF17" s="8"/>
      <c r="OG17" s="8"/>
      <c r="OH17" s="8"/>
      <c r="OI17" s="8"/>
      <c r="OJ17" s="8"/>
      <c r="OK17" s="8"/>
      <c r="OL17" s="8"/>
      <c r="OM17" s="8"/>
      <c r="ON17" s="8"/>
      <c r="OO17" s="8"/>
      <c r="OP17" s="8"/>
      <c r="OQ17" s="8"/>
      <c r="OR17" s="8"/>
      <c r="OS17" s="8"/>
      <c r="OT17" s="8"/>
      <c r="OU17" s="8"/>
      <c r="OV17" s="8"/>
      <c r="OW17" s="8"/>
      <c r="OX17" s="8"/>
      <c r="OY17" s="8"/>
      <c r="OZ17" s="8"/>
      <c r="PA17" s="8"/>
      <c r="PB17" s="8"/>
      <c r="PC17" s="8"/>
      <c r="PD17" s="8"/>
      <c r="PE17" s="8"/>
      <c r="PF17" s="8"/>
      <c r="PG17" s="8"/>
      <c r="PH17" s="8"/>
      <c r="PI17" s="8"/>
      <c r="PJ17" s="8"/>
      <c r="PK17" s="8"/>
      <c r="PL17" s="8"/>
      <c r="PM17" s="8"/>
      <c r="PN17" s="8"/>
      <c r="PO17" s="8"/>
      <c r="PP17" s="8"/>
      <c r="PQ17" s="8"/>
      <c r="PR17" s="8"/>
      <c r="PS17" s="8"/>
      <c r="PT17" s="8"/>
      <c r="PU17" s="8"/>
      <c r="PV17" s="8"/>
      <c r="PW17" s="8"/>
      <c r="PX17" s="8"/>
      <c r="PY17" s="8"/>
      <c r="PZ17" s="8"/>
      <c r="QA17" s="8"/>
      <c r="QB17" s="8"/>
      <c r="QC17" s="8"/>
      <c r="QD17" s="8"/>
      <c r="QE17" s="8"/>
      <c r="QF17" s="8"/>
      <c r="QG17" s="8"/>
      <c r="QH17" s="8"/>
      <c r="QI17" s="8"/>
      <c r="QJ17" s="8"/>
      <c r="QK17" s="8"/>
      <c r="QL17" s="8"/>
      <c r="QM17" s="8"/>
      <c r="QN17" s="8"/>
      <c r="QO17" s="8"/>
      <c r="QP17" s="8"/>
      <c r="QQ17" s="8"/>
      <c r="QR17" s="8"/>
      <c r="QS17" s="8"/>
      <c r="QT17" s="8"/>
      <c r="QU17" s="8"/>
      <c r="QV17" s="8"/>
      <c r="QW17" s="8"/>
      <c r="QX17" s="8"/>
      <c r="QY17" s="8"/>
      <c r="QZ17" s="8"/>
      <c r="RA17" s="8"/>
      <c r="RB17" s="8"/>
      <c r="RC17" s="8"/>
      <c r="RD17" s="8"/>
      <c r="RE17" s="8"/>
      <c r="RF17" s="8"/>
      <c r="RG17" s="8"/>
      <c r="RH17" s="8"/>
      <c r="RI17" s="8"/>
      <c r="RJ17" s="8"/>
      <c r="RK17" s="8"/>
      <c r="RL17" s="8"/>
      <c r="RM17" s="8"/>
      <c r="RN17" s="8"/>
      <c r="RO17" s="8"/>
      <c r="RP17" s="8"/>
      <c r="RQ17" s="8"/>
      <c r="RR17" s="8"/>
      <c r="RS17" s="8"/>
      <c r="RT17" s="8"/>
      <c r="RU17" s="8"/>
      <c r="RV17" s="8"/>
      <c r="RW17" s="8"/>
      <c r="RX17" s="8"/>
      <c r="RY17" s="8"/>
      <c r="RZ17" s="8"/>
      <c r="SA17" s="8"/>
      <c r="SB17" s="8"/>
      <c r="SC17" s="8"/>
      <c r="SD17" s="8"/>
      <c r="SE17" s="8"/>
      <c r="SF17" s="8"/>
      <c r="SG17" s="8"/>
      <c r="SH17" s="8"/>
      <c r="SI17" s="8"/>
      <c r="SJ17" s="8"/>
      <c r="SK17" s="8"/>
      <c r="SL17" s="8"/>
      <c r="SM17" s="8"/>
      <c r="SN17" s="8"/>
      <c r="SO17" s="8"/>
      <c r="SP17" s="8"/>
      <c r="SQ17" s="8"/>
      <c r="SR17" s="8"/>
      <c r="SS17" s="8"/>
      <c r="ST17" s="8"/>
      <c r="SU17" s="8"/>
      <c r="SV17" s="8"/>
      <c r="SW17" s="8"/>
      <c r="SX17" s="8"/>
      <c r="SY17" s="8"/>
      <c r="SZ17" s="8"/>
      <c r="TA17" s="8"/>
      <c r="TB17" s="8"/>
      <c r="TC17" s="8"/>
      <c r="TD17" s="8"/>
      <c r="TE17" s="8"/>
      <c r="TF17" s="8"/>
      <c r="TG17" s="8"/>
      <c r="TH17" s="8"/>
      <c r="TI17" s="8"/>
      <c r="TJ17" s="8"/>
      <c r="TK17" s="8"/>
      <c r="TL17" s="8"/>
      <c r="TM17" s="8"/>
      <c r="TN17" s="8"/>
      <c r="TO17" s="8"/>
      <c r="TP17" s="8"/>
      <c r="TQ17" s="8"/>
      <c r="TR17" s="8"/>
      <c r="TS17" s="8"/>
      <c r="TT17" s="8"/>
      <c r="TU17" s="8"/>
      <c r="TV17" s="8"/>
      <c r="TW17" s="8"/>
      <c r="TX17" s="8"/>
      <c r="TY17" s="8"/>
      <c r="TZ17" s="8"/>
      <c r="UA17" s="8"/>
      <c r="UB17" s="8"/>
      <c r="UC17" s="8"/>
      <c r="UD17" s="8"/>
      <c r="UE17" s="8"/>
      <c r="UF17" s="8"/>
      <c r="UG17" s="8"/>
      <c r="UH17" s="8"/>
      <c r="UI17" s="8"/>
      <c r="UJ17" s="8"/>
      <c r="UK17" s="8"/>
      <c r="UL17" s="8"/>
      <c r="UM17" s="8"/>
      <c r="UN17" s="8"/>
      <c r="UO17" s="8"/>
      <c r="UP17" s="8"/>
      <c r="UQ17" s="8"/>
      <c r="UR17" s="8"/>
      <c r="US17" s="8"/>
      <c r="UT17" s="8"/>
      <c r="UU17" s="8"/>
      <c r="UV17" s="8"/>
      <c r="UW17" s="8"/>
      <c r="UX17" s="8"/>
      <c r="UY17" s="8"/>
      <c r="UZ17" s="8"/>
      <c r="VA17" s="8"/>
      <c r="VB17" s="8"/>
      <c r="VC17" s="8"/>
      <c r="VD17" s="8"/>
      <c r="VE17" s="8"/>
      <c r="VF17" s="8"/>
      <c r="VG17" s="8"/>
      <c r="VH17" s="8"/>
      <c r="VI17" s="8"/>
      <c r="VJ17" s="8"/>
      <c r="VK17" s="8"/>
      <c r="VL17" s="8"/>
      <c r="VM17" s="8"/>
      <c r="VN17" s="8"/>
      <c r="VO17" s="8"/>
      <c r="VP17" s="8"/>
      <c r="VQ17" s="8"/>
      <c r="VR17" s="8"/>
      <c r="VS17" s="8"/>
      <c r="VT17" s="8"/>
      <c r="VU17" s="8"/>
      <c r="VV17" s="8"/>
      <c r="VW17" s="8"/>
      <c r="VX17" s="8"/>
      <c r="VY17" s="8"/>
      <c r="VZ17" s="8"/>
      <c r="WA17" s="8"/>
      <c r="WB17" s="8"/>
      <c r="WC17" s="8"/>
      <c r="WD17" s="8"/>
      <c r="WE17" s="8"/>
      <c r="WF17" s="8"/>
      <c r="WG17" s="8"/>
      <c r="WH17" s="8"/>
      <c r="WI17" s="8"/>
      <c r="WJ17" s="8"/>
      <c r="WK17" s="8"/>
      <c r="WL17" s="8"/>
      <c r="WM17" s="8"/>
      <c r="WN17" s="8"/>
      <c r="WO17" s="8"/>
      <c r="WP17" s="8"/>
      <c r="WQ17" s="8"/>
      <c r="WR17" s="8"/>
      <c r="WS17" s="8"/>
      <c r="WT17" s="8"/>
      <c r="WU17" s="8"/>
      <c r="WV17" s="8"/>
      <c r="WW17" s="8"/>
      <c r="WX17" s="8"/>
      <c r="WY17" s="8"/>
      <c r="WZ17" s="8"/>
      <c r="XA17" s="8"/>
      <c r="XB17" s="8"/>
      <c r="XC17" s="8"/>
      <c r="XD17" s="8"/>
      <c r="XE17" s="8"/>
      <c r="XF17" s="8"/>
      <c r="XG17" s="8"/>
      <c r="XH17" s="8"/>
      <c r="XI17" s="8"/>
      <c r="XJ17" s="8"/>
      <c r="XK17" s="8"/>
      <c r="XL17" s="8"/>
      <c r="XM17" s="8"/>
      <c r="XN17" s="8"/>
      <c r="XO17" s="8"/>
      <c r="XP17" s="8"/>
      <c r="XQ17" s="8"/>
      <c r="XR17" s="8"/>
      <c r="XS17" s="8"/>
      <c r="XT17" s="8"/>
      <c r="XU17" s="8"/>
      <c r="XV17" s="8"/>
      <c r="XW17" s="8"/>
      <c r="XX17" s="8"/>
      <c r="XY17" s="8"/>
      <c r="XZ17" s="8"/>
      <c r="YA17" s="8"/>
      <c r="YB17" s="8"/>
      <c r="YC17" s="8"/>
      <c r="YD17" s="8"/>
      <c r="YE17" s="8"/>
      <c r="YF17" s="8"/>
      <c r="YG17" s="8"/>
      <c r="YH17" s="8"/>
      <c r="YI17" s="8"/>
      <c r="YJ17" s="8"/>
      <c r="YK17" s="8"/>
      <c r="YL17" s="8"/>
      <c r="YM17" s="8"/>
      <c r="YN17" s="8"/>
      <c r="YO17" s="8"/>
      <c r="YP17" s="8"/>
      <c r="YQ17" s="8"/>
      <c r="YR17" s="8"/>
      <c r="YS17" s="8"/>
      <c r="YT17" s="8"/>
      <c r="YU17" s="8"/>
      <c r="YV17" s="8"/>
      <c r="YW17" s="8"/>
      <c r="YX17" s="8"/>
      <c r="YY17" s="8"/>
      <c r="YZ17" s="8"/>
      <c r="ZA17" s="8"/>
      <c r="ZB17" s="8"/>
      <c r="ZC17" s="8"/>
      <c r="ZD17" s="8"/>
      <c r="ZE17" s="8"/>
      <c r="ZF17" s="8"/>
      <c r="ZG17" s="8"/>
      <c r="ZH17" s="8"/>
      <c r="ZI17" s="8"/>
      <c r="ZJ17" s="8"/>
      <c r="ZK17" s="8"/>
      <c r="ZL17" s="8"/>
      <c r="ZM17" s="8"/>
      <c r="ZN17" s="8"/>
      <c r="ZO17" s="8"/>
      <c r="ZP17" s="8"/>
      <c r="ZQ17" s="8"/>
      <c r="ZR17" s="8"/>
      <c r="ZS17" s="8"/>
      <c r="ZT17" s="8"/>
      <c r="ZU17" s="8"/>
      <c r="ZV17" s="8"/>
      <c r="ZW17" s="8"/>
      <c r="ZX17" s="8"/>
      <c r="ZY17" s="8"/>
      <c r="ZZ17" s="8"/>
      <c r="AAA17" s="8"/>
      <c r="AAB17" s="8"/>
      <c r="AAC17" s="8"/>
      <c r="AAD17" s="8"/>
      <c r="AAE17" s="8"/>
      <c r="AAF17" s="8"/>
      <c r="AAG17" s="8"/>
      <c r="AAH17" s="8"/>
      <c r="AAI17" s="8"/>
      <c r="AAJ17" s="8"/>
      <c r="AAK17" s="8"/>
      <c r="AAL17" s="8"/>
      <c r="AAM17" s="8"/>
      <c r="AAN17" s="8"/>
      <c r="AAO17" s="8"/>
      <c r="AAP17" s="8"/>
      <c r="AAQ17" s="8"/>
      <c r="AAR17" s="8"/>
      <c r="AAS17" s="8"/>
      <c r="AAT17" s="8"/>
      <c r="AAU17" s="8"/>
      <c r="AAV17" s="8"/>
      <c r="AAW17" s="8"/>
      <c r="AAX17" s="8"/>
      <c r="AAY17" s="8"/>
      <c r="AAZ17" s="8"/>
      <c r="ABA17" s="8"/>
      <c r="ABB17" s="8"/>
      <c r="ABC17" s="8"/>
      <c r="ABD17" s="8"/>
      <c r="ABE17" s="8"/>
      <c r="ABF17" s="8"/>
      <c r="ABG17" s="8"/>
      <c r="ABH17" s="8"/>
      <c r="ABI17" s="8"/>
      <c r="ABJ17" s="8"/>
      <c r="ABK17" s="8"/>
      <c r="ABL17" s="8"/>
      <c r="ABM17" s="8"/>
      <c r="ABN17" s="8"/>
      <c r="ABO17" s="8"/>
      <c r="ABP17" s="8"/>
      <c r="ABQ17" s="8"/>
      <c r="ABR17" s="8"/>
      <c r="ABS17" s="8"/>
      <c r="ABT17" s="8"/>
      <c r="ABU17" s="8"/>
      <c r="ABV17" s="8"/>
      <c r="ABW17" s="8"/>
      <c r="ABX17" s="8"/>
      <c r="ABY17" s="8"/>
      <c r="ABZ17" s="8"/>
      <c r="ACA17" s="8"/>
      <c r="ACB17" s="8"/>
      <c r="ACC17" s="8"/>
      <c r="ACD17" s="8"/>
      <c r="ACE17" s="8"/>
      <c r="ACF17" s="8"/>
      <c r="ACG17" s="8"/>
      <c r="ACH17" s="8"/>
      <c r="ACI17" s="8"/>
      <c r="ACJ17" s="8"/>
      <c r="ACK17" s="8"/>
      <c r="ACL17" s="8"/>
      <c r="ACM17" s="8"/>
      <c r="ACN17" s="8"/>
      <c r="ACO17" s="8"/>
      <c r="ACP17" s="8"/>
      <c r="ACQ17" s="8"/>
      <c r="ACR17" s="8"/>
      <c r="ACS17" s="8"/>
      <c r="ACT17" s="8"/>
      <c r="ACU17" s="8"/>
      <c r="ACV17" s="8"/>
      <c r="ACW17" s="8"/>
      <c r="ACX17" s="8"/>
      <c r="ACY17" s="8"/>
      <c r="ACZ17" s="8"/>
      <c r="ADA17" s="8"/>
      <c r="ADB17" s="8"/>
      <c r="ADC17" s="8"/>
      <c r="ADD17" s="8"/>
      <c r="ADE17" s="8"/>
      <c r="ADF17" s="8"/>
      <c r="ADG17" s="8"/>
      <c r="ADH17" s="8"/>
      <c r="ADI17" s="8"/>
      <c r="ADJ17" s="8"/>
      <c r="ADK17" s="8"/>
      <c r="ADL17" s="8"/>
      <c r="ADM17" s="8"/>
      <c r="ADN17" s="8"/>
      <c r="ADO17" s="8"/>
      <c r="ADP17" s="8"/>
      <c r="ADQ17" s="8"/>
      <c r="ADR17" s="8"/>
      <c r="ADS17" s="8"/>
      <c r="ADT17" s="8"/>
      <c r="ADU17" s="8"/>
      <c r="ADV17" s="8"/>
      <c r="ADW17" s="8"/>
      <c r="ADX17" s="8"/>
      <c r="ADY17" s="8"/>
      <c r="ADZ17" s="8"/>
      <c r="AEA17" s="8"/>
      <c r="AEB17" s="8"/>
      <c r="AEC17" s="8"/>
      <c r="AED17" s="8"/>
      <c r="AEE17" s="8"/>
      <c r="AEF17" s="8"/>
      <c r="AEG17" s="8"/>
      <c r="AEH17" s="8"/>
      <c r="AEI17" s="8"/>
      <c r="AEJ17" s="8"/>
      <c r="AEK17" s="8"/>
      <c r="AEL17" s="8"/>
      <c r="AEM17" s="8"/>
      <c r="AEN17" s="8"/>
      <c r="AEO17" s="8"/>
      <c r="AEP17" s="8"/>
      <c r="AEQ17" s="8"/>
      <c r="AER17" s="8"/>
      <c r="AES17" s="8"/>
      <c r="AET17" s="8"/>
      <c r="AEU17" s="8"/>
      <c r="AEV17" s="8"/>
      <c r="AEW17" s="8"/>
      <c r="AEX17" s="8"/>
      <c r="AEY17" s="8"/>
      <c r="AEZ17" s="8"/>
      <c r="AFA17" s="8"/>
      <c r="AFB17" s="8"/>
      <c r="AFC17" s="8"/>
      <c r="AFD17" s="8"/>
      <c r="AFE17" s="8"/>
      <c r="AFF17" s="8"/>
      <c r="AFG17" s="8"/>
      <c r="AFH17" s="8"/>
      <c r="AFI17" s="8"/>
      <c r="AFJ17" s="8"/>
      <c r="AFK17" s="8"/>
      <c r="AFL17" s="8"/>
      <c r="AFM17" s="8"/>
      <c r="AFN17" s="8"/>
      <c r="AFO17" s="8"/>
      <c r="AFP17" s="8"/>
      <c r="AFQ17" s="8"/>
      <c r="AFR17" s="8"/>
      <c r="AFS17" s="8"/>
      <c r="AFT17" s="8"/>
      <c r="AFU17" s="8"/>
      <c r="AFV17" s="8"/>
      <c r="AFW17" s="8"/>
      <c r="AFX17" s="8"/>
      <c r="AFY17" s="8"/>
      <c r="AFZ17" s="8"/>
      <c r="AGA17" s="8"/>
      <c r="AGB17" s="8"/>
      <c r="AGC17" s="8"/>
      <c r="AGD17" s="8"/>
      <c r="AGE17" s="8"/>
      <c r="AGF17" s="8"/>
      <c r="AGG17" s="8"/>
      <c r="AGH17" s="8"/>
      <c r="AGI17" s="8"/>
      <c r="AGJ17" s="8"/>
      <c r="AGK17" s="8"/>
      <c r="AGL17" s="8"/>
      <c r="AGM17" s="8"/>
      <c r="AGN17" s="8"/>
      <c r="AGO17" s="8"/>
      <c r="AGP17" s="8"/>
      <c r="AGQ17" s="8"/>
      <c r="AGR17" s="8"/>
      <c r="AGS17" s="8"/>
      <c r="AGT17" s="8"/>
      <c r="AGU17" s="8"/>
      <c r="AGV17" s="8"/>
      <c r="AGW17" s="8"/>
      <c r="AGX17" s="8"/>
      <c r="AGY17" s="8"/>
      <c r="AGZ17" s="8"/>
      <c r="AHA17" s="8"/>
      <c r="AHB17" s="8"/>
      <c r="AHC17" s="8"/>
      <c r="AHD17" s="8"/>
      <c r="AHE17" s="8"/>
      <c r="AHF17" s="8"/>
      <c r="AHG17" s="8"/>
      <c r="AHH17" s="8"/>
      <c r="AHI17" s="8"/>
      <c r="AHJ17" s="8"/>
      <c r="AHK17" s="8"/>
      <c r="AHL17" s="8"/>
      <c r="AHM17" s="8"/>
      <c r="AHN17" s="8"/>
      <c r="AHO17" s="8"/>
      <c r="AHP17" s="8"/>
      <c r="AHQ17" s="8"/>
      <c r="AHR17" s="8"/>
      <c r="AHS17" s="8"/>
      <c r="AHT17" s="8"/>
      <c r="AHU17" s="8"/>
      <c r="AHV17" s="8"/>
      <c r="AHW17" s="8"/>
      <c r="AHX17" s="8"/>
      <c r="AHY17" s="8"/>
      <c r="AHZ17" s="8"/>
      <c r="AIA17" s="8"/>
      <c r="AIB17" s="8"/>
      <c r="AIC17" s="8"/>
      <c r="AID17" s="8"/>
      <c r="AIE17" s="8"/>
      <c r="AIF17" s="8"/>
      <c r="AIG17" s="8"/>
      <c r="AIH17" s="8"/>
      <c r="AII17" s="8"/>
      <c r="AIJ17" s="8"/>
      <c r="AIK17" s="8"/>
      <c r="AIL17" s="8"/>
      <c r="AIM17" s="8"/>
      <c r="AIN17" s="8"/>
      <c r="AIO17" s="8"/>
      <c r="AIP17" s="8"/>
      <c r="AIQ17" s="8"/>
      <c r="AIR17" s="8"/>
      <c r="AIS17" s="8"/>
      <c r="AIT17" s="8"/>
      <c r="AIU17" s="8"/>
      <c r="AIV17" s="8"/>
      <c r="AIW17" s="8"/>
      <c r="AIX17" s="8"/>
      <c r="AIY17" s="8"/>
      <c r="AIZ17" s="8"/>
      <c r="AJA17" s="8"/>
      <c r="AJB17" s="8"/>
      <c r="AJC17" s="8"/>
      <c r="AJD17" s="8"/>
      <c r="AJE17" s="8"/>
      <c r="AJF17" s="8"/>
      <c r="AJG17" s="8"/>
      <c r="AJH17" s="8"/>
      <c r="AJI17" s="8"/>
      <c r="AJJ17" s="8"/>
      <c r="AJK17" s="8"/>
      <c r="AJL17" s="8"/>
      <c r="AJM17" s="8"/>
      <c r="AJN17" s="8"/>
      <c r="AJO17" s="8"/>
      <c r="AJP17" s="8"/>
      <c r="AJQ17" s="8"/>
      <c r="AJR17" s="8"/>
      <c r="AJS17" s="8"/>
      <c r="AJT17" s="8"/>
      <c r="AJU17" s="8"/>
      <c r="AJV17" s="8"/>
      <c r="AJW17" s="8"/>
      <c r="AJX17" s="8"/>
      <c r="AJY17" s="8"/>
      <c r="AJZ17" s="8"/>
      <c r="AKA17" s="8"/>
      <c r="AKB17" s="8"/>
      <c r="AKC17" s="8"/>
      <c r="AKD17" s="8"/>
      <c r="AKE17" s="8"/>
      <c r="AKF17" s="8"/>
      <c r="AKG17" s="8"/>
      <c r="AKH17" s="8"/>
      <c r="AKI17" s="8"/>
      <c r="AKJ17" s="8"/>
      <c r="AKK17" s="8"/>
      <c r="AKL17" s="8"/>
      <c r="AKM17" s="8"/>
      <c r="AKN17" s="8"/>
      <c r="AKO17" s="8"/>
      <c r="AKP17" s="8"/>
      <c r="AKQ17" s="8"/>
      <c r="AKR17" s="8"/>
      <c r="AKS17" s="8"/>
      <c r="AKT17" s="8"/>
      <c r="AKU17" s="8"/>
      <c r="AKV17" s="8"/>
      <c r="AKW17" s="8"/>
      <c r="AKX17" s="8"/>
      <c r="AKY17" s="8"/>
      <c r="AKZ17" s="8"/>
      <c r="ALA17" s="8"/>
      <c r="ALB17" s="8"/>
      <c r="ALC17" s="8"/>
      <c r="ALD17" s="8"/>
      <c r="ALE17" s="8"/>
      <c r="ALF17" s="8"/>
      <c r="ALG17" s="8"/>
      <c r="ALH17" s="8"/>
      <c r="ALI17" s="8"/>
      <c r="ALJ17" s="8"/>
      <c r="ALK17" s="8"/>
      <c r="ALL17" s="8"/>
      <c r="ALM17" s="8"/>
      <c r="ALN17" s="8"/>
      <c r="ALO17" s="8"/>
      <c r="ALP17" s="8"/>
      <c r="ALQ17" s="8"/>
      <c r="ALR17" s="8"/>
      <c r="ALS17" s="8"/>
      <c r="ALT17" s="8"/>
      <c r="ALU17" s="8"/>
      <c r="ALV17" s="8"/>
      <c r="ALW17" s="8"/>
      <c r="ALX17" s="8"/>
      <c r="ALY17" s="8"/>
      <c r="ALZ17" s="8"/>
      <c r="AMA17" s="8"/>
      <c r="AMB17" s="8"/>
      <c r="AMC17" s="8"/>
      <c r="AMD17" s="8"/>
      <c r="AME17" s="8"/>
      <c r="AMF17" s="8"/>
      <c r="AMG17" s="8"/>
      <c r="AMH17" s="8"/>
      <c r="AMI17" s="8"/>
      <c r="AMJ17" s="8"/>
      <c r="AMK17" s="8"/>
      <c r="AML17" s="8"/>
      <c r="AMM17" s="8"/>
      <c r="AMN17" s="8"/>
      <c r="AMO17" s="8"/>
      <c r="AMP17" s="8"/>
      <c r="AMQ17" s="8"/>
      <c r="AMR17" s="8"/>
      <c r="AMS17" s="8"/>
      <c r="AMT17" s="8"/>
      <c r="AMU17" s="8"/>
      <c r="AMV17" s="8"/>
      <c r="AMW17" s="8"/>
      <c r="AMX17" s="8"/>
      <c r="AMY17" s="8"/>
      <c r="AMZ17" s="8"/>
      <c r="ANA17" s="8"/>
      <c r="ANB17" s="8"/>
      <c r="ANC17" s="8"/>
      <c r="AND17" s="8"/>
      <c r="ANE17" s="8"/>
      <c r="ANF17" s="8"/>
      <c r="ANG17" s="8"/>
      <c r="ANH17" s="8"/>
      <c r="ANI17" s="8"/>
      <c r="ANJ17" s="8"/>
      <c r="ANK17" s="8"/>
      <c r="ANL17" s="8"/>
      <c r="ANM17" s="8"/>
      <c r="ANN17" s="8"/>
      <c r="ANO17" s="8"/>
      <c r="ANP17" s="8"/>
      <c r="ANQ17" s="8"/>
      <c r="ANR17" s="8"/>
      <c r="ANS17" s="8"/>
      <c r="ANT17" s="8"/>
      <c r="ANU17" s="8"/>
      <c r="ANV17" s="8"/>
      <c r="ANW17" s="8"/>
      <c r="ANX17" s="8"/>
      <c r="ANY17" s="8"/>
      <c r="ANZ17" s="8"/>
      <c r="AOA17" s="8"/>
      <c r="AOB17" s="8"/>
      <c r="AOC17" s="8"/>
      <c r="AOD17" s="8"/>
      <c r="AOE17" s="8"/>
      <c r="AOF17" s="8"/>
      <c r="AOG17" s="8"/>
      <c r="AOH17" s="8"/>
      <c r="AOI17" s="8"/>
      <c r="AOJ17" s="8"/>
      <c r="AOK17" s="8"/>
      <c r="AOL17" s="8"/>
      <c r="AOM17" s="8"/>
      <c r="AON17" s="8"/>
      <c r="AOO17" s="8"/>
      <c r="AOP17" s="8"/>
      <c r="AOQ17" s="8"/>
      <c r="AOR17" s="8"/>
      <c r="AOS17" s="8"/>
      <c r="AOT17" s="8"/>
      <c r="AOU17" s="8"/>
      <c r="AOV17" s="8"/>
      <c r="AOW17" s="8"/>
      <c r="AOX17" s="8"/>
      <c r="AOY17" s="8"/>
      <c r="AOZ17" s="8"/>
      <c r="APA17" s="8"/>
      <c r="APB17" s="8"/>
      <c r="APC17" s="8"/>
      <c r="APD17" s="8"/>
      <c r="APE17" s="8"/>
      <c r="APF17" s="8"/>
      <c r="APG17" s="8"/>
      <c r="APH17" s="8"/>
      <c r="API17" s="8"/>
      <c r="APJ17" s="8"/>
      <c r="APK17" s="8"/>
      <c r="APL17" s="8"/>
      <c r="APM17" s="8"/>
      <c r="APN17" s="8"/>
      <c r="APO17" s="8"/>
      <c r="APP17" s="8"/>
      <c r="APQ17" s="8"/>
      <c r="APR17" s="8"/>
      <c r="APS17" s="8"/>
      <c r="APT17" s="8"/>
      <c r="APU17" s="8"/>
      <c r="APV17" s="8"/>
      <c r="APW17" s="8"/>
      <c r="APX17" s="8"/>
      <c r="APY17" s="8"/>
      <c r="APZ17" s="8"/>
      <c r="AQA17" s="8"/>
      <c r="AQB17" s="8"/>
      <c r="AQC17" s="8"/>
      <c r="AQD17" s="8"/>
      <c r="AQE17" s="8"/>
      <c r="AQF17" s="8"/>
      <c r="AQG17" s="8"/>
      <c r="AQH17" s="8"/>
      <c r="AQI17" s="8"/>
      <c r="AQJ17" s="8"/>
      <c r="AQK17" s="8"/>
      <c r="AQL17" s="8"/>
      <c r="AQM17" s="8"/>
      <c r="AQN17" s="8"/>
      <c r="AQO17" s="8"/>
      <c r="AQP17" s="8"/>
      <c r="AQQ17" s="8"/>
      <c r="AQR17" s="8"/>
      <c r="AQS17" s="8"/>
      <c r="AQT17" s="8"/>
      <c r="AQU17" s="8"/>
      <c r="AQV17" s="8"/>
      <c r="AQW17" s="8"/>
      <c r="AQX17" s="8"/>
      <c r="AQY17" s="8"/>
      <c r="AQZ17" s="8"/>
      <c r="ARA17" s="8"/>
      <c r="ARB17" s="8"/>
      <c r="ARC17" s="8"/>
      <c r="ARD17" s="8"/>
      <c r="ARE17" s="8"/>
      <c r="ARF17" s="8"/>
      <c r="ARG17" s="8"/>
      <c r="ARH17" s="8"/>
      <c r="ARI17" s="8"/>
      <c r="ARJ17" s="8"/>
      <c r="ARK17" s="8"/>
      <c r="ARL17" s="8"/>
      <c r="ARM17" s="8"/>
      <c r="ARN17" s="8"/>
      <c r="ARO17" s="8"/>
      <c r="ARP17" s="8"/>
      <c r="ARQ17" s="8"/>
      <c r="ARR17" s="8"/>
      <c r="ARS17" s="8"/>
      <c r="ART17" s="8"/>
      <c r="ARU17" s="8"/>
      <c r="ARV17" s="8"/>
      <c r="ARW17" s="8"/>
      <c r="ARX17" s="8"/>
      <c r="ARY17" s="8"/>
      <c r="ARZ17" s="8"/>
      <c r="ASA17" s="8"/>
      <c r="ASB17" s="8"/>
      <c r="ASC17" s="8"/>
      <c r="ASD17" s="8"/>
      <c r="ASE17" s="8"/>
      <c r="ASF17" s="8"/>
      <c r="ASG17" s="8"/>
      <c r="ASH17" s="8"/>
      <c r="ASI17" s="8"/>
      <c r="ASJ17" s="8"/>
      <c r="ASK17" s="8"/>
      <c r="ASL17" s="8"/>
      <c r="ASM17" s="8"/>
      <c r="ASN17" s="8"/>
      <c r="ASO17" s="8"/>
      <c r="ASP17" s="8"/>
      <c r="ASQ17" s="8"/>
      <c r="ASR17" s="8"/>
      <c r="ASS17" s="8"/>
      <c r="AST17" s="8"/>
      <c r="ASU17" s="8"/>
      <c r="ASV17" s="8"/>
      <c r="ASW17" s="8"/>
      <c r="ASX17" s="8"/>
      <c r="ASY17" s="8"/>
      <c r="ASZ17" s="8"/>
      <c r="ATA17" s="8"/>
      <c r="ATB17" s="8"/>
      <c r="ATC17" s="8"/>
      <c r="ATD17" s="8"/>
      <c r="ATE17" s="8"/>
      <c r="ATF17" s="8"/>
      <c r="ATG17" s="8"/>
      <c r="ATH17" s="8"/>
      <c r="ATI17" s="8"/>
      <c r="ATJ17" s="8"/>
      <c r="ATK17" s="8"/>
      <c r="ATL17" s="8"/>
      <c r="ATM17" s="8"/>
      <c r="ATN17" s="8"/>
      <c r="ATO17" s="8"/>
      <c r="ATP17" s="8"/>
      <c r="ATQ17" s="8"/>
      <c r="ATR17" s="8"/>
      <c r="ATS17" s="8"/>
      <c r="ATT17" s="8"/>
      <c r="ATU17" s="8"/>
      <c r="ATV17" s="8"/>
      <c r="ATW17" s="8"/>
      <c r="ATX17" s="8"/>
      <c r="ATY17" s="8"/>
      <c r="ATZ17" s="8"/>
      <c r="AUA17" s="8"/>
      <c r="AUB17" s="8"/>
      <c r="AUC17" s="8"/>
      <c r="AUD17" s="8"/>
      <c r="AUE17" s="8"/>
      <c r="AUF17" s="8"/>
      <c r="AUG17" s="8"/>
      <c r="AUH17" s="8"/>
      <c r="AUI17" s="8"/>
      <c r="AUJ17" s="8"/>
      <c r="AUK17" s="8"/>
      <c r="AUL17" s="8"/>
      <c r="AUM17" s="8"/>
      <c r="AUN17" s="8"/>
      <c r="AUO17" s="8"/>
      <c r="AUP17" s="8"/>
      <c r="AUQ17" s="8"/>
      <c r="AUR17" s="8"/>
      <c r="AUS17" s="8"/>
      <c r="AUT17" s="8"/>
      <c r="AUU17" s="8"/>
      <c r="AUV17" s="8"/>
      <c r="AUW17" s="8"/>
      <c r="AUX17" s="8"/>
      <c r="AUY17" s="8"/>
      <c r="AUZ17" s="8"/>
      <c r="AVA17" s="8"/>
      <c r="AVB17" s="8"/>
      <c r="AVC17" s="8"/>
      <c r="AVD17" s="8"/>
      <c r="AVE17" s="8"/>
      <c r="AVF17" s="8"/>
      <c r="AVG17" s="8"/>
      <c r="AVH17" s="8"/>
      <c r="AVI17" s="8"/>
      <c r="AVJ17" s="8"/>
      <c r="AVK17" s="8"/>
      <c r="AVL17" s="8"/>
      <c r="AVM17" s="8"/>
      <c r="AVN17" s="8"/>
      <c r="AVO17" s="8"/>
      <c r="AVP17" s="8"/>
      <c r="AVQ17" s="8"/>
      <c r="AVR17" s="8"/>
      <c r="AVS17" s="8"/>
      <c r="AVT17" s="8"/>
      <c r="AVU17" s="8"/>
      <c r="AVV17" s="8"/>
      <c r="AVW17" s="8"/>
      <c r="AVX17" s="8"/>
      <c r="AVY17" s="8"/>
      <c r="AVZ17" s="8"/>
      <c r="AWA17" s="8"/>
      <c r="AWB17" s="8"/>
      <c r="AWC17" s="8"/>
      <c r="AWD17" s="8"/>
      <c r="AWE17" s="8"/>
      <c r="AWF17" s="8"/>
      <c r="AWG17" s="8"/>
      <c r="AWH17" s="8"/>
      <c r="AWI17" s="8"/>
      <c r="AWJ17" s="8"/>
      <c r="AWK17" s="8"/>
      <c r="AWL17" s="8"/>
      <c r="AWM17" s="8"/>
      <c r="AWN17" s="8"/>
      <c r="AWO17" s="8"/>
      <c r="AWP17" s="8"/>
      <c r="AWQ17" s="8"/>
      <c r="AWR17" s="8"/>
      <c r="AWS17" s="8"/>
      <c r="AWT17" s="8"/>
      <c r="AWU17" s="8"/>
      <c r="AWV17" s="8"/>
      <c r="AWW17" s="8"/>
      <c r="AWX17" s="8"/>
      <c r="AWY17" s="8"/>
      <c r="AWZ17" s="8"/>
      <c r="AXA17" s="8"/>
      <c r="AXB17" s="8"/>
      <c r="AXC17" s="8"/>
      <c r="AXD17" s="8"/>
      <c r="AXE17" s="8"/>
      <c r="AXF17" s="8"/>
      <c r="AXG17" s="8"/>
      <c r="AXH17" s="8"/>
      <c r="AXI17" s="8"/>
      <c r="AXJ17" s="8"/>
      <c r="AXK17" s="8"/>
      <c r="AXL17" s="8"/>
      <c r="AXM17" s="8"/>
      <c r="AXN17" s="8"/>
      <c r="AXO17" s="8"/>
      <c r="AXP17" s="8"/>
      <c r="AXQ17" s="8"/>
      <c r="AXR17" s="8"/>
      <c r="AXS17" s="8"/>
      <c r="AXT17" s="8"/>
      <c r="AXU17" s="8"/>
      <c r="AXV17" s="8"/>
      <c r="AXW17" s="8"/>
      <c r="AXX17" s="8"/>
      <c r="AXY17" s="8"/>
      <c r="AXZ17" s="8"/>
      <c r="AYA17" s="8"/>
      <c r="AYB17" s="8"/>
      <c r="AYC17" s="8"/>
      <c r="AYD17" s="8"/>
      <c r="AYE17" s="8"/>
      <c r="AYF17" s="8"/>
      <c r="AYG17" s="8"/>
      <c r="AYH17" s="8"/>
      <c r="AYI17" s="8"/>
      <c r="AYJ17" s="8"/>
      <c r="AYK17" s="8"/>
      <c r="AYL17" s="8"/>
      <c r="AYM17" s="8"/>
      <c r="AYN17" s="8"/>
      <c r="AYO17" s="8"/>
      <c r="AYP17" s="8"/>
      <c r="AYQ17" s="8"/>
      <c r="AYR17" s="8"/>
      <c r="AYS17" s="8"/>
      <c r="AYT17" s="8"/>
      <c r="AYU17" s="8"/>
      <c r="AYV17" s="8"/>
      <c r="AYW17" s="8"/>
      <c r="AYX17" s="8"/>
      <c r="AYY17" s="8"/>
      <c r="AYZ17" s="8"/>
      <c r="AZA17" s="8"/>
      <c r="AZB17" s="8"/>
      <c r="AZC17" s="8"/>
      <c r="AZD17" s="8"/>
      <c r="AZE17" s="8"/>
      <c r="AZF17" s="8"/>
      <c r="AZG17" s="8"/>
      <c r="AZH17" s="8"/>
      <c r="AZI17" s="8"/>
      <c r="AZJ17" s="8"/>
      <c r="AZK17" s="8"/>
      <c r="AZL17" s="8"/>
      <c r="AZM17" s="8"/>
      <c r="AZN17" s="8"/>
      <c r="AZO17" s="8"/>
      <c r="AZP17" s="8"/>
      <c r="AZQ17" s="8"/>
      <c r="AZR17" s="8"/>
      <c r="AZS17" s="8"/>
      <c r="AZT17" s="8"/>
      <c r="AZU17" s="8"/>
      <c r="AZV17" s="8"/>
      <c r="AZW17" s="8"/>
      <c r="AZX17" s="8"/>
      <c r="AZY17" s="8"/>
      <c r="AZZ17" s="8"/>
      <c r="BAA17" s="8"/>
      <c r="BAB17" s="8"/>
      <c r="BAC17" s="8"/>
      <c r="BAD17" s="8"/>
      <c r="BAE17" s="8"/>
      <c r="BAF17" s="8"/>
      <c r="BAG17" s="8"/>
      <c r="BAH17" s="8"/>
      <c r="BAI17" s="8"/>
      <c r="BAJ17" s="8"/>
      <c r="BAK17" s="8"/>
      <c r="BAL17" s="8"/>
      <c r="BAM17" s="8"/>
      <c r="BAN17" s="8"/>
      <c r="BAO17" s="8"/>
      <c r="BAP17" s="8"/>
      <c r="BAQ17" s="8"/>
      <c r="BAR17" s="8"/>
      <c r="BAS17" s="8"/>
      <c r="BAT17" s="8"/>
      <c r="BAU17" s="8"/>
      <c r="BAV17" s="8"/>
      <c r="BAW17" s="8"/>
      <c r="BAX17" s="8"/>
      <c r="BAY17" s="8"/>
      <c r="BAZ17" s="8"/>
      <c r="BBA17" s="8"/>
      <c r="BBB17" s="8"/>
      <c r="BBC17" s="8"/>
      <c r="BBD17" s="8"/>
      <c r="BBE17" s="8"/>
      <c r="BBF17" s="8"/>
      <c r="BBG17" s="8"/>
      <c r="BBH17" s="8"/>
      <c r="BBI17" s="8"/>
      <c r="BBJ17" s="8"/>
      <c r="BBK17" s="8"/>
      <c r="BBL17" s="8"/>
      <c r="BBM17" s="8"/>
      <c r="BBN17" s="8"/>
      <c r="BBO17" s="8"/>
      <c r="BBP17" s="8"/>
      <c r="BBQ17" s="8"/>
      <c r="BBR17" s="8"/>
      <c r="BBS17" s="8"/>
      <c r="BBT17" s="8"/>
      <c r="BBU17" s="8"/>
      <c r="BBV17" s="8"/>
      <c r="BBW17" s="8"/>
      <c r="BBX17" s="8"/>
      <c r="BBY17" s="8"/>
      <c r="BBZ17" s="8"/>
      <c r="BCA17" s="8"/>
      <c r="BCB17" s="8"/>
      <c r="BCC17" s="8"/>
      <c r="BCD17" s="8"/>
      <c r="BCE17" s="8"/>
      <c r="BCF17" s="8"/>
      <c r="BCG17" s="8"/>
      <c r="BCH17" s="8"/>
      <c r="BCI17" s="8"/>
      <c r="BCJ17" s="8"/>
      <c r="BCK17" s="8"/>
      <c r="BCL17" s="8"/>
      <c r="BCM17" s="8"/>
      <c r="BCN17" s="8"/>
      <c r="BCO17" s="8"/>
      <c r="BCP17" s="8"/>
      <c r="BCQ17" s="8"/>
      <c r="BCR17" s="8"/>
      <c r="BCS17" s="8"/>
      <c r="BCT17" s="8"/>
      <c r="BCU17" s="8"/>
      <c r="BCV17" s="8"/>
      <c r="BCW17" s="8"/>
      <c r="BCX17" s="8"/>
      <c r="BCY17" s="8"/>
      <c r="BCZ17" s="8"/>
      <c r="BDA17" s="8"/>
      <c r="BDB17" s="8"/>
      <c r="BDC17" s="8"/>
      <c r="BDD17" s="8"/>
      <c r="BDE17" s="8"/>
      <c r="BDF17" s="8"/>
      <c r="BDG17" s="8"/>
      <c r="BDH17" s="8"/>
      <c r="BDI17" s="8"/>
      <c r="BDJ17" s="8"/>
      <c r="BDK17" s="8"/>
      <c r="BDL17" s="8"/>
      <c r="BDM17" s="8"/>
      <c r="BDN17" s="8"/>
      <c r="BDO17" s="8"/>
      <c r="BDP17" s="8"/>
      <c r="BDQ17" s="8"/>
      <c r="BDR17" s="8"/>
      <c r="BDS17" s="8"/>
      <c r="BDT17" s="8"/>
      <c r="BDU17" s="8"/>
      <c r="BDV17" s="8"/>
      <c r="BDW17" s="8"/>
      <c r="BDX17" s="8"/>
      <c r="BDY17" s="8"/>
      <c r="BDZ17" s="8"/>
      <c r="BEA17" s="8"/>
      <c r="BEB17" s="8"/>
      <c r="BEC17" s="8"/>
      <c r="BED17" s="8"/>
      <c r="BEE17" s="8"/>
      <c r="BEF17" s="8"/>
      <c r="BEG17" s="8"/>
      <c r="BEH17" s="8"/>
      <c r="BEI17" s="8"/>
      <c r="BEJ17" s="8"/>
      <c r="BEK17" s="8"/>
      <c r="BEL17" s="8"/>
      <c r="BEM17" s="8"/>
      <c r="BEN17" s="8"/>
      <c r="BEO17" s="8"/>
      <c r="BEP17" s="8"/>
      <c r="BEQ17" s="8"/>
      <c r="BER17" s="8"/>
      <c r="BES17" s="8"/>
      <c r="BET17" s="8"/>
      <c r="BEU17" s="8"/>
      <c r="BEV17" s="8"/>
      <c r="BEW17" s="8"/>
      <c r="BEX17" s="8"/>
      <c r="BEY17" s="8"/>
      <c r="BEZ17" s="8"/>
      <c r="BFA17" s="8"/>
      <c r="BFB17" s="8"/>
      <c r="BFC17" s="8"/>
      <c r="BFD17" s="8"/>
      <c r="BFE17" s="8"/>
      <c r="BFF17" s="8"/>
      <c r="BFG17" s="8"/>
      <c r="BFH17" s="8"/>
      <c r="BFI17" s="8"/>
      <c r="BFJ17" s="8"/>
      <c r="BFK17" s="8"/>
      <c r="BFL17" s="8"/>
      <c r="BFM17" s="8"/>
      <c r="BFN17" s="8"/>
      <c r="BFO17" s="8"/>
      <c r="BFP17" s="8"/>
      <c r="BFQ17" s="8"/>
      <c r="BFR17" s="8"/>
      <c r="BFS17" s="8"/>
      <c r="BFT17" s="8"/>
      <c r="BFU17" s="8"/>
      <c r="BFV17" s="8"/>
      <c r="BFW17" s="8"/>
      <c r="BFX17" s="8"/>
      <c r="BFY17" s="8"/>
      <c r="BFZ17" s="8"/>
      <c r="BGA17" s="8"/>
      <c r="BGB17" s="8"/>
      <c r="BGC17" s="8"/>
      <c r="BGD17" s="8"/>
      <c r="BGE17" s="8"/>
      <c r="BGF17" s="8"/>
      <c r="BGG17" s="8"/>
      <c r="BGH17" s="8"/>
      <c r="BGI17" s="8"/>
      <c r="BGJ17" s="8"/>
      <c r="BGK17" s="8"/>
      <c r="BGL17" s="8"/>
      <c r="BGM17" s="8"/>
      <c r="BGN17" s="8"/>
      <c r="BGO17" s="8"/>
      <c r="BGP17" s="8"/>
      <c r="BGQ17" s="8"/>
      <c r="BGR17" s="8"/>
      <c r="BGS17" s="8"/>
      <c r="BGT17" s="8"/>
      <c r="BGU17" s="8"/>
      <c r="BGV17" s="8"/>
      <c r="BGW17" s="8"/>
      <c r="BGX17" s="8"/>
      <c r="BGY17" s="8"/>
      <c r="BGZ17" s="8"/>
      <c r="BHA17" s="8"/>
      <c r="BHB17" s="8"/>
      <c r="BHC17" s="8"/>
      <c r="BHD17" s="8"/>
      <c r="BHE17" s="8"/>
      <c r="BHF17" s="8"/>
      <c r="BHG17" s="8"/>
      <c r="BHH17" s="8"/>
      <c r="BHI17" s="8"/>
      <c r="BHJ17" s="8"/>
      <c r="BHK17" s="8"/>
      <c r="BHL17" s="8"/>
      <c r="BHM17" s="8"/>
      <c r="BHN17" s="8"/>
      <c r="BHO17" s="8"/>
      <c r="BHP17" s="8"/>
      <c r="BHQ17" s="8"/>
      <c r="BHR17" s="8"/>
      <c r="BHS17" s="8"/>
      <c r="BHT17" s="8"/>
      <c r="BHU17" s="8"/>
      <c r="BHV17" s="8"/>
      <c r="BHW17" s="8"/>
      <c r="BHX17" s="8"/>
      <c r="BHY17" s="8"/>
      <c r="BHZ17" s="8"/>
      <c r="BIA17" s="8"/>
      <c r="BIB17" s="8"/>
      <c r="BIC17" s="8"/>
      <c r="BID17" s="8"/>
      <c r="BIE17" s="8"/>
      <c r="BIF17" s="8"/>
      <c r="BIG17" s="8"/>
      <c r="BIH17" s="8"/>
      <c r="BII17" s="8"/>
      <c r="BIJ17" s="8"/>
      <c r="BIK17" s="8"/>
      <c r="BIL17" s="8"/>
      <c r="BIM17" s="8"/>
      <c r="BIN17" s="8"/>
      <c r="BIO17" s="8"/>
      <c r="BIP17" s="8"/>
      <c r="BIQ17" s="8"/>
      <c r="BIR17" s="8"/>
      <c r="BIS17" s="8"/>
      <c r="BIT17" s="8"/>
      <c r="BIU17" s="8"/>
      <c r="BIV17" s="8"/>
      <c r="BIW17" s="8"/>
      <c r="BIX17" s="8"/>
      <c r="BIY17" s="8"/>
      <c r="BIZ17" s="8"/>
      <c r="BJA17" s="8"/>
      <c r="BJB17" s="8"/>
      <c r="BJC17" s="8"/>
      <c r="BJD17" s="8"/>
      <c r="BJE17" s="8"/>
      <c r="BJF17" s="8"/>
      <c r="BJG17" s="8"/>
      <c r="BJH17" s="8"/>
      <c r="BJI17" s="8"/>
      <c r="BJJ17" s="8"/>
      <c r="BJK17" s="8"/>
      <c r="BJL17" s="8"/>
      <c r="BJM17" s="8"/>
      <c r="BJN17" s="8"/>
      <c r="BJO17" s="8"/>
      <c r="BJP17" s="8"/>
      <c r="BJQ17" s="8"/>
      <c r="BJR17" s="8"/>
      <c r="BJS17" s="8"/>
      <c r="BJT17" s="8"/>
      <c r="BJU17" s="8"/>
      <c r="BJV17" s="8"/>
      <c r="BJW17" s="8"/>
      <c r="BJX17" s="8"/>
      <c r="BJY17" s="8"/>
      <c r="BJZ17" s="8"/>
      <c r="BKA17" s="8"/>
      <c r="BKB17" s="8"/>
      <c r="BKC17" s="8"/>
      <c r="BKD17" s="8"/>
      <c r="BKE17" s="8"/>
      <c r="BKF17" s="8"/>
      <c r="BKG17" s="8"/>
      <c r="BKH17" s="8"/>
      <c r="BKI17" s="8"/>
      <c r="BKJ17" s="8"/>
      <c r="BKK17" s="8"/>
      <c r="BKL17" s="8"/>
      <c r="BKM17" s="8"/>
      <c r="BKN17" s="8"/>
      <c r="BKO17" s="8"/>
      <c r="BKP17" s="8"/>
      <c r="BKQ17" s="8"/>
      <c r="BKR17" s="8"/>
      <c r="BKS17" s="8"/>
      <c r="BKT17" s="8"/>
      <c r="BKU17" s="8"/>
      <c r="BKV17" s="8"/>
      <c r="BKW17" s="8"/>
      <c r="BKX17" s="8"/>
      <c r="BKY17" s="8"/>
      <c r="BKZ17" s="8"/>
      <c r="BLA17" s="8"/>
      <c r="BLB17" s="8"/>
      <c r="BLC17" s="8"/>
      <c r="BLD17" s="8"/>
      <c r="BLE17" s="8"/>
      <c r="BLF17" s="8"/>
      <c r="BLG17" s="8"/>
      <c r="BLH17" s="8"/>
      <c r="BLI17" s="8"/>
      <c r="BLJ17" s="8"/>
      <c r="BLK17" s="8"/>
      <c r="BLL17" s="8"/>
      <c r="BLM17" s="8"/>
      <c r="BLN17" s="8"/>
      <c r="BLO17" s="8"/>
      <c r="BLP17" s="8"/>
      <c r="BLQ17" s="8"/>
      <c r="BLR17" s="8"/>
      <c r="BLS17" s="8"/>
      <c r="BLT17" s="8"/>
      <c r="BLU17" s="8"/>
      <c r="BLV17" s="8"/>
      <c r="BLW17" s="8"/>
      <c r="BLX17" s="8"/>
      <c r="BLY17" s="8"/>
      <c r="BLZ17" s="8"/>
      <c r="BMA17" s="8"/>
      <c r="BMB17" s="8"/>
      <c r="BMC17" s="8"/>
      <c r="BMD17" s="8"/>
      <c r="BME17" s="8"/>
      <c r="BMF17" s="8"/>
      <c r="BMG17" s="8"/>
      <c r="BMH17" s="8"/>
      <c r="BMI17" s="8"/>
      <c r="BMJ17" s="8"/>
      <c r="BMK17" s="8"/>
      <c r="BML17" s="8"/>
      <c r="BMM17" s="8"/>
      <c r="BMN17" s="8"/>
      <c r="BMO17" s="8"/>
      <c r="BMP17" s="8"/>
      <c r="BMQ17" s="8"/>
      <c r="BMR17" s="8"/>
      <c r="BMS17" s="8"/>
      <c r="BMT17" s="8"/>
      <c r="BMU17" s="8"/>
      <c r="BMV17" s="8"/>
      <c r="BMW17" s="8"/>
      <c r="BMX17" s="8"/>
      <c r="BMY17" s="8"/>
      <c r="BMZ17" s="8"/>
      <c r="BNA17" s="8"/>
      <c r="BNB17" s="8"/>
      <c r="BNC17" s="8"/>
      <c r="BND17" s="8"/>
      <c r="BNE17" s="8"/>
      <c r="BNF17" s="8"/>
      <c r="BNG17" s="8"/>
      <c r="BNH17" s="8"/>
      <c r="BNI17" s="8"/>
      <c r="BNJ17" s="8"/>
      <c r="BNK17" s="8"/>
      <c r="BNL17" s="8"/>
      <c r="BNM17" s="8"/>
      <c r="BNN17" s="8"/>
      <c r="BNO17" s="8"/>
      <c r="BNP17" s="8"/>
      <c r="BNQ17" s="8"/>
      <c r="BNR17" s="8"/>
      <c r="BNS17" s="8"/>
      <c r="BNT17" s="8"/>
      <c r="BNU17" s="8"/>
      <c r="BNV17" s="8"/>
      <c r="BNW17" s="8"/>
      <c r="BNX17" s="8"/>
      <c r="BNY17" s="8"/>
      <c r="BNZ17" s="8"/>
      <c r="BOA17" s="8"/>
      <c r="BOB17" s="8"/>
      <c r="BOC17" s="8"/>
      <c r="BOD17" s="8"/>
      <c r="BOE17" s="8"/>
      <c r="BOF17" s="8"/>
      <c r="BOG17" s="8"/>
      <c r="BOH17" s="8"/>
      <c r="BOI17" s="8"/>
      <c r="BOJ17" s="8"/>
      <c r="BOK17" s="8"/>
      <c r="BOL17" s="8"/>
      <c r="BOM17" s="8"/>
      <c r="BON17" s="8"/>
      <c r="BOO17" s="8"/>
      <c r="BOP17" s="8"/>
      <c r="BOQ17" s="8"/>
      <c r="BOR17" s="8"/>
      <c r="BOS17" s="8"/>
      <c r="BOT17" s="8"/>
      <c r="BOU17" s="8"/>
      <c r="BOV17" s="8"/>
      <c r="BOW17" s="8"/>
      <c r="BOX17" s="8"/>
      <c r="BOY17" s="8"/>
      <c r="BOZ17" s="8"/>
      <c r="BPA17" s="8"/>
      <c r="BPB17" s="8"/>
      <c r="BPC17" s="8"/>
      <c r="BPD17" s="8"/>
      <c r="BPE17" s="8"/>
      <c r="BPF17" s="8"/>
      <c r="BPG17" s="8"/>
      <c r="BPH17" s="8"/>
      <c r="BPI17" s="8"/>
      <c r="BPJ17" s="8"/>
      <c r="BPK17" s="8"/>
      <c r="BPL17" s="8"/>
      <c r="BPM17" s="8"/>
      <c r="BPN17" s="8"/>
      <c r="BPO17" s="8"/>
      <c r="BPP17" s="8"/>
      <c r="BPQ17" s="8"/>
      <c r="BPR17" s="8"/>
      <c r="BPS17" s="8"/>
      <c r="BPT17" s="8"/>
      <c r="BPU17" s="8"/>
      <c r="BPV17" s="8"/>
      <c r="BPW17" s="8"/>
      <c r="BPX17" s="8"/>
      <c r="BPY17" s="8"/>
      <c r="BPZ17" s="8"/>
      <c r="BQA17" s="8"/>
      <c r="BQB17" s="8"/>
      <c r="BQC17" s="8"/>
      <c r="BQD17" s="8"/>
      <c r="BQE17" s="8"/>
      <c r="BQF17" s="8"/>
      <c r="BQG17" s="8"/>
      <c r="BQH17" s="8"/>
      <c r="BQI17" s="8"/>
      <c r="BQJ17" s="8"/>
      <c r="BQK17" s="8"/>
      <c r="BQL17" s="8"/>
      <c r="BQM17" s="8"/>
      <c r="BQN17" s="8"/>
      <c r="BQO17" s="8"/>
      <c r="BQP17" s="8"/>
      <c r="BQQ17" s="8"/>
      <c r="BQR17" s="8"/>
      <c r="BQS17" s="8"/>
      <c r="BQT17" s="8"/>
      <c r="BQU17" s="8"/>
      <c r="BQV17" s="8"/>
      <c r="BQW17" s="8"/>
      <c r="BQX17" s="8"/>
      <c r="BQY17" s="8"/>
      <c r="BQZ17" s="8"/>
      <c r="BRA17" s="8"/>
      <c r="BRB17" s="8"/>
      <c r="BRC17" s="8"/>
      <c r="BRD17" s="8"/>
      <c r="BRE17" s="8"/>
      <c r="BRF17" s="8"/>
      <c r="BRG17" s="8"/>
      <c r="BRH17" s="8"/>
      <c r="BRI17" s="8"/>
      <c r="BRJ17" s="8"/>
      <c r="BRK17" s="8"/>
      <c r="BRL17" s="8"/>
      <c r="BRM17" s="8"/>
      <c r="BRN17" s="8"/>
      <c r="BRO17" s="8"/>
      <c r="BRP17" s="8"/>
      <c r="BRQ17" s="8"/>
      <c r="BRR17" s="8"/>
      <c r="BRS17" s="8"/>
      <c r="BRT17" s="8"/>
      <c r="BRU17" s="8"/>
      <c r="BRV17" s="8"/>
      <c r="BRW17" s="8"/>
      <c r="BRX17" s="8"/>
      <c r="BRY17" s="8"/>
      <c r="BRZ17" s="8"/>
      <c r="BSA17" s="8"/>
      <c r="BSB17" s="8"/>
      <c r="BSC17" s="8"/>
      <c r="BSD17" s="8"/>
      <c r="BSE17" s="8"/>
      <c r="BSF17" s="8"/>
      <c r="BSG17" s="8"/>
      <c r="BSH17" s="8"/>
      <c r="BSI17" s="8"/>
      <c r="BSJ17" s="8"/>
      <c r="BSK17" s="8"/>
      <c r="BSL17" s="8"/>
      <c r="BSM17" s="8"/>
      <c r="BSN17" s="8"/>
      <c r="BSO17" s="8"/>
      <c r="BSP17" s="8"/>
      <c r="BSQ17" s="8"/>
      <c r="BSR17" s="8"/>
      <c r="BSS17" s="8"/>
      <c r="BST17" s="8"/>
      <c r="BSU17" s="8"/>
      <c r="BSV17" s="8"/>
      <c r="BSW17" s="8"/>
      <c r="BSX17" s="8"/>
      <c r="BSY17" s="8"/>
      <c r="BSZ17" s="8"/>
      <c r="BTA17" s="8"/>
      <c r="BTB17" s="8"/>
      <c r="BTC17" s="8"/>
      <c r="BTD17" s="8"/>
      <c r="BTE17" s="8"/>
      <c r="BTF17" s="8"/>
      <c r="BTG17" s="8"/>
      <c r="BTH17" s="8"/>
      <c r="BTI17" s="8"/>
      <c r="BTJ17" s="8"/>
      <c r="BTK17" s="8"/>
      <c r="BTL17" s="8"/>
      <c r="BTM17" s="8"/>
      <c r="BTN17" s="8"/>
      <c r="BTO17" s="8"/>
      <c r="BTP17" s="8"/>
      <c r="BTQ17" s="8"/>
      <c r="BTR17" s="8"/>
      <c r="BTS17" s="8"/>
      <c r="BTT17" s="8"/>
      <c r="BTU17" s="8"/>
      <c r="BTV17" s="8"/>
      <c r="BTW17" s="8"/>
      <c r="BTX17" s="8"/>
      <c r="BTY17" s="8"/>
      <c r="BTZ17" s="8"/>
      <c r="BUA17" s="8"/>
      <c r="BUB17" s="8"/>
      <c r="BUC17" s="8"/>
      <c r="BUD17" s="8"/>
      <c r="BUE17" s="8"/>
      <c r="BUF17" s="8"/>
      <c r="BUG17" s="8"/>
      <c r="BUH17" s="8"/>
      <c r="BUI17" s="8"/>
      <c r="BUJ17" s="8"/>
      <c r="BUK17" s="8"/>
      <c r="BUL17" s="8"/>
      <c r="BUM17" s="8"/>
      <c r="BUN17" s="8"/>
      <c r="BUO17" s="8"/>
      <c r="BUP17" s="8"/>
      <c r="BUQ17" s="8"/>
      <c r="BUR17" s="8"/>
      <c r="BUS17" s="8"/>
      <c r="BUT17" s="8"/>
      <c r="BUU17" s="8"/>
      <c r="BUV17" s="8"/>
      <c r="BUW17" s="8"/>
      <c r="BUX17" s="8"/>
      <c r="BUY17" s="8"/>
      <c r="BUZ17" s="8"/>
      <c r="BVA17" s="8"/>
      <c r="BVB17" s="8"/>
      <c r="BVC17" s="8"/>
      <c r="BVD17" s="8"/>
      <c r="BVE17" s="8"/>
      <c r="BVF17" s="8"/>
      <c r="BVG17" s="8"/>
      <c r="BVH17" s="8"/>
      <c r="BVI17" s="8"/>
      <c r="BVJ17" s="8"/>
      <c r="BVK17" s="8"/>
      <c r="BVL17" s="8"/>
      <c r="BVM17" s="8"/>
      <c r="BVN17" s="8"/>
      <c r="BVO17" s="8"/>
      <c r="BVP17" s="8"/>
      <c r="BVQ17" s="8"/>
      <c r="BVR17" s="8"/>
      <c r="BVS17" s="8"/>
      <c r="BVT17" s="8"/>
      <c r="BVU17" s="8"/>
      <c r="BVV17" s="8"/>
      <c r="BVW17" s="8"/>
      <c r="BVX17" s="8"/>
      <c r="BVY17" s="8"/>
      <c r="BVZ17" s="8"/>
      <c r="BWA17" s="8"/>
      <c r="BWB17" s="8"/>
      <c r="BWC17" s="8"/>
      <c r="BWD17" s="8"/>
      <c r="BWE17" s="8"/>
      <c r="BWF17" s="8"/>
      <c r="BWG17" s="8"/>
      <c r="BWH17" s="8"/>
      <c r="BWI17" s="8"/>
      <c r="BWJ17" s="8"/>
      <c r="BWK17" s="8"/>
      <c r="BWL17" s="8"/>
      <c r="BWM17" s="8"/>
      <c r="BWN17" s="8"/>
      <c r="BWO17" s="8"/>
      <c r="BWP17" s="8"/>
      <c r="BWQ17" s="8"/>
      <c r="BWR17" s="8"/>
      <c r="BWS17" s="8"/>
      <c r="BWT17" s="8"/>
      <c r="BWU17" s="8"/>
      <c r="BWV17" s="8"/>
      <c r="BWW17" s="8"/>
      <c r="BWX17" s="8"/>
      <c r="BWY17" s="8"/>
      <c r="BWZ17" s="8"/>
      <c r="BXA17" s="8"/>
      <c r="BXB17" s="8"/>
      <c r="BXC17" s="8"/>
      <c r="BXD17" s="8"/>
      <c r="BXE17" s="8"/>
      <c r="BXF17" s="8"/>
      <c r="BXG17" s="8"/>
      <c r="BXH17" s="8"/>
      <c r="BXI17" s="8"/>
      <c r="BXJ17" s="8"/>
      <c r="BXK17" s="8"/>
      <c r="BXL17" s="8"/>
      <c r="BXM17" s="8"/>
      <c r="BXN17" s="8"/>
      <c r="BXO17" s="8"/>
      <c r="BXP17" s="8"/>
      <c r="BXQ17" s="8"/>
      <c r="BXR17" s="8"/>
      <c r="BXS17" s="8"/>
      <c r="BXT17" s="8"/>
      <c r="BXU17" s="8"/>
      <c r="BXV17" s="8"/>
      <c r="BXW17" s="8"/>
      <c r="BXX17" s="8"/>
      <c r="BXY17" s="8"/>
      <c r="BXZ17" s="8"/>
      <c r="BYA17" s="8"/>
      <c r="BYB17" s="8"/>
      <c r="BYC17" s="8"/>
      <c r="BYD17" s="8"/>
      <c r="BYE17" s="8"/>
      <c r="BYF17" s="8"/>
      <c r="BYG17" s="8"/>
      <c r="BYH17" s="8"/>
      <c r="BYI17" s="8"/>
      <c r="BYJ17" s="8"/>
      <c r="BYK17" s="8"/>
      <c r="BYL17" s="8"/>
      <c r="BYM17" s="8"/>
      <c r="BYN17" s="8"/>
      <c r="BYO17" s="8"/>
      <c r="BYP17" s="8"/>
      <c r="BYQ17" s="8"/>
      <c r="BYR17" s="8"/>
      <c r="BYS17" s="8"/>
      <c r="BYT17" s="8"/>
      <c r="BYU17" s="8"/>
      <c r="BYV17" s="8"/>
      <c r="BYW17" s="8"/>
      <c r="BYX17" s="8"/>
      <c r="BYY17" s="8"/>
      <c r="BYZ17" s="8"/>
      <c r="BZA17" s="8"/>
      <c r="BZB17" s="8"/>
      <c r="BZC17" s="8"/>
      <c r="BZD17" s="8"/>
      <c r="BZE17" s="8"/>
      <c r="BZF17" s="8"/>
      <c r="BZG17" s="8"/>
      <c r="BZH17" s="8"/>
      <c r="BZI17" s="8"/>
      <c r="BZJ17" s="8"/>
      <c r="BZK17" s="8"/>
      <c r="BZL17" s="8"/>
      <c r="BZM17" s="8"/>
      <c r="BZN17" s="8"/>
      <c r="BZO17" s="8"/>
      <c r="BZP17" s="8"/>
      <c r="BZQ17" s="8"/>
      <c r="BZR17" s="8"/>
      <c r="BZS17" s="8"/>
      <c r="BZT17" s="8"/>
      <c r="BZU17" s="8"/>
      <c r="BZV17" s="8"/>
      <c r="BZW17" s="8"/>
      <c r="BZX17" s="8"/>
      <c r="BZY17" s="8"/>
      <c r="BZZ17" s="8"/>
      <c r="CAA17" s="8"/>
      <c r="CAB17" s="8"/>
      <c r="CAC17" s="8"/>
      <c r="CAD17" s="8"/>
      <c r="CAE17" s="8"/>
      <c r="CAF17" s="8"/>
      <c r="CAG17" s="8"/>
      <c r="CAH17" s="8"/>
      <c r="CAI17" s="8"/>
      <c r="CAJ17" s="8"/>
      <c r="CAK17" s="8"/>
      <c r="CAL17" s="8"/>
      <c r="CAM17" s="8"/>
      <c r="CAN17" s="8"/>
      <c r="CAO17" s="8"/>
      <c r="CAP17" s="8"/>
      <c r="CAQ17" s="8"/>
      <c r="CAR17" s="8"/>
      <c r="CAS17" s="8"/>
      <c r="CAT17" s="8"/>
      <c r="CAU17" s="8"/>
      <c r="CAV17" s="8"/>
      <c r="CAW17" s="8"/>
      <c r="CAX17" s="8"/>
      <c r="CAY17" s="8"/>
      <c r="CAZ17" s="8"/>
      <c r="CBA17" s="8"/>
      <c r="CBB17" s="8"/>
      <c r="CBC17" s="8"/>
      <c r="CBD17" s="8"/>
      <c r="CBE17" s="8"/>
      <c r="CBF17" s="8"/>
      <c r="CBG17" s="8"/>
      <c r="CBH17" s="8"/>
      <c r="CBI17" s="8"/>
      <c r="CBJ17" s="8"/>
      <c r="CBK17" s="8"/>
      <c r="CBL17" s="8"/>
      <c r="CBM17" s="8"/>
      <c r="CBN17" s="8"/>
      <c r="CBO17" s="8"/>
      <c r="CBP17" s="8"/>
      <c r="CBQ17" s="8"/>
      <c r="CBR17" s="8"/>
      <c r="CBS17" s="8"/>
      <c r="CBT17" s="8"/>
      <c r="CBU17" s="8"/>
      <c r="CBV17" s="8"/>
      <c r="CBW17" s="8"/>
      <c r="CBX17" s="8"/>
      <c r="CBY17" s="8"/>
      <c r="CBZ17" s="8"/>
      <c r="CCA17" s="8"/>
      <c r="CCB17" s="8"/>
      <c r="CCC17" s="8"/>
      <c r="CCD17" s="8"/>
      <c r="CCE17" s="8"/>
      <c r="CCF17" s="8"/>
      <c r="CCG17" s="8"/>
      <c r="CCH17" s="8"/>
      <c r="CCI17" s="8"/>
      <c r="CCJ17" s="8"/>
      <c r="CCK17" s="8"/>
      <c r="CCL17" s="8"/>
      <c r="CCM17" s="8"/>
      <c r="CCN17" s="8"/>
      <c r="CCO17" s="8"/>
      <c r="CCP17" s="8"/>
      <c r="CCQ17" s="8"/>
      <c r="CCR17" s="8"/>
      <c r="CCS17" s="8"/>
      <c r="CCT17" s="8"/>
      <c r="CCU17" s="8"/>
      <c r="CCV17" s="8"/>
      <c r="CCW17" s="8"/>
      <c r="CCX17" s="8"/>
      <c r="CCY17" s="8"/>
      <c r="CCZ17" s="8"/>
      <c r="CDA17" s="8"/>
      <c r="CDB17" s="8"/>
      <c r="CDC17" s="8"/>
      <c r="CDD17" s="8"/>
      <c r="CDE17" s="8"/>
      <c r="CDF17" s="8"/>
      <c r="CDG17" s="8"/>
      <c r="CDH17" s="8"/>
      <c r="CDI17" s="8"/>
      <c r="CDJ17" s="8"/>
      <c r="CDK17" s="8"/>
      <c r="CDL17" s="8"/>
      <c r="CDM17" s="8"/>
      <c r="CDN17" s="8"/>
      <c r="CDO17" s="8"/>
      <c r="CDP17" s="8"/>
      <c r="CDQ17" s="8"/>
      <c r="CDR17" s="8"/>
      <c r="CDS17" s="8"/>
      <c r="CDT17" s="8"/>
      <c r="CDU17" s="8"/>
      <c r="CDV17" s="8"/>
      <c r="CDW17" s="8"/>
      <c r="CDX17" s="8"/>
      <c r="CDY17" s="8"/>
      <c r="CDZ17" s="8"/>
      <c r="CEA17" s="8"/>
      <c r="CEB17" s="8"/>
      <c r="CEC17" s="8"/>
      <c r="CED17" s="8"/>
      <c r="CEE17" s="8"/>
      <c r="CEF17" s="8"/>
      <c r="CEG17" s="8"/>
      <c r="CEH17" s="8"/>
      <c r="CEI17" s="8"/>
      <c r="CEJ17" s="8"/>
      <c r="CEK17" s="8"/>
      <c r="CEL17" s="8"/>
      <c r="CEM17" s="8"/>
      <c r="CEN17" s="8"/>
      <c r="CEO17" s="8"/>
      <c r="CEP17" s="8"/>
      <c r="CEQ17" s="8"/>
      <c r="CER17" s="8"/>
      <c r="CES17" s="8"/>
      <c r="CET17" s="8"/>
      <c r="CEU17" s="8"/>
      <c r="CEV17" s="8"/>
      <c r="CEW17" s="8"/>
      <c r="CEX17" s="8"/>
      <c r="CEY17" s="8"/>
      <c r="CEZ17" s="8"/>
      <c r="CFA17" s="8"/>
      <c r="CFB17" s="8"/>
      <c r="CFC17" s="8"/>
      <c r="CFD17" s="8"/>
      <c r="CFE17" s="8"/>
      <c r="CFF17" s="8"/>
      <c r="CFG17" s="8"/>
      <c r="CFH17" s="8"/>
      <c r="CFI17" s="8"/>
      <c r="CFJ17" s="8"/>
      <c r="CFK17" s="8"/>
      <c r="CFL17" s="8"/>
      <c r="CFM17" s="8"/>
      <c r="CFN17" s="8"/>
      <c r="CFO17" s="8"/>
      <c r="CFP17" s="8"/>
      <c r="CFQ17" s="8"/>
      <c r="CFR17" s="8"/>
      <c r="CFS17" s="8"/>
      <c r="CFT17" s="8"/>
      <c r="CFU17" s="8"/>
      <c r="CFV17" s="8"/>
      <c r="CFW17" s="8"/>
      <c r="CFX17" s="8"/>
      <c r="CFY17" s="8"/>
      <c r="CFZ17" s="8"/>
      <c r="CGA17" s="8"/>
      <c r="CGB17" s="8"/>
      <c r="CGC17" s="8"/>
      <c r="CGD17" s="8"/>
      <c r="CGE17" s="8"/>
      <c r="CGF17" s="8"/>
      <c r="CGG17" s="8"/>
      <c r="CGH17" s="8"/>
      <c r="CGI17" s="8"/>
      <c r="CGJ17" s="8"/>
      <c r="CGK17" s="8"/>
      <c r="CGL17" s="8"/>
      <c r="CGM17" s="8"/>
      <c r="CGN17" s="8"/>
      <c r="CGO17" s="8"/>
      <c r="CGP17" s="8"/>
      <c r="CGQ17" s="8"/>
      <c r="CGR17" s="8"/>
      <c r="CGS17" s="8"/>
      <c r="CGT17" s="8"/>
      <c r="CGU17" s="8"/>
      <c r="CGV17" s="8"/>
      <c r="CGW17" s="8"/>
      <c r="CGX17" s="8"/>
      <c r="CGY17" s="8"/>
      <c r="CGZ17" s="8"/>
      <c r="CHA17" s="8"/>
      <c r="CHB17" s="8"/>
      <c r="CHC17" s="8"/>
      <c r="CHD17" s="8"/>
      <c r="CHE17" s="8"/>
      <c r="CHF17" s="8"/>
      <c r="CHG17" s="8"/>
      <c r="CHH17" s="8"/>
      <c r="CHI17" s="8"/>
      <c r="CHJ17" s="8"/>
      <c r="CHK17" s="8"/>
      <c r="CHL17" s="8"/>
      <c r="CHM17" s="8"/>
      <c r="CHN17" s="8"/>
      <c r="CHO17" s="8"/>
      <c r="CHP17" s="8"/>
      <c r="CHQ17" s="8"/>
      <c r="CHR17" s="8"/>
      <c r="CHS17" s="8"/>
      <c r="CHT17" s="8"/>
      <c r="CHU17" s="8"/>
      <c r="CHV17" s="8"/>
      <c r="CHW17" s="8"/>
      <c r="CHX17" s="8"/>
      <c r="CHY17" s="8"/>
      <c r="CHZ17" s="8"/>
      <c r="CIA17" s="8"/>
      <c r="CIB17" s="8"/>
      <c r="CIC17" s="8"/>
      <c r="CID17" s="8"/>
      <c r="CIE17" s="8"/>
      <c r="CIF17" s="8"/>
      <c r="CIG17" s="8"/>
      <c r="CIH17" s="8"/>
      <c r="CII17" s="8"/>
      <c r="CIJ17" s="8"/>
      <c r="CIK17" s="8"/>
      <c r="CIL17" s="8"/>
      <c r="CIM17" s="8"/>
      <c r="CIN17" s="8"/>
      <c r="CIO17" s="8"/>
      <c r="CIP17" s="8"/>
      <c r="CIQ17" s="8"/>
      <c r="CIR17" s="8"/>
      <c r="CIS17" s="8"/>
      <c r="CIT17" s="8"/>
      <c r="CIU17" s="8"/>
      <c r="CIV17" s="8"/>
      <c r="CIW17" s="8"/>
      <c r="CIX17" s="8"/>
      <c r="CIY17" s="8"/>
      <c r="CIZ17" s="8"/>
      <c r="CJA17" s="8"/>
      <c r="CJB17" s="8"/>
      <c r="CJC17" s="8"/>
      <c r="CJD17" s="8"/>
      <c r="CJE17" s="8"/>
      <c r="CJF17" s="8"/>
      <c r="CJG17" s="8"/>
      <c r="CJH17" s="8"/>
      <c r="CJI17" s="8"/>
      <c r="CJJ17" s="8"/>
      <c r="CJK17" s="8"/>
      <c r="CJL17" s="8"/>
      <c r="CJM17" s="8"/>
      <c r="CJN17" s="8"/>
      <c r="CJO17" s="8"/>
      <c r="CJP17" s="8"/>
      <c r="CJQ17" s="8"/>
      <c r="CJR17" s="8"/>
      <c r="CJS17" s="8"/>
      <c r="CJT17" s="8"/>
      <c r="CJU17" s="8"/>
      <c r="CJV17" s="8"/>
      <c r="CJW17" s="8"/>
      <c r="CJX17" s="8"/>
      <c r="CJY17" s="8"/>
      <c r="CJZ17" s="8"/>
      <c r="CKA17" s="8"/>
      <c r="CKB17" s="8"/>
      <c r="CKC17" s="8"/>
      <c r="CKD17" s="8"/>
      <c r="CKE17" s="8"/>
      <c r="CKF17" s="8"/>
      <c r="CKG17" s="8"/>
      <c r="CKH17" s="8"/>
      <c r="CKI17" s="8"/>
      <c r="CKJ17" s="8"/>
      <c r="CKK17" s="8"/>
      <c r="CKL17" s="8"/>
      <c r="CKM17" s="8"/>
      <c r="CKN17" s="8"/>
      <c r="CKO17" s="8"/>
      <c r="CKP17" s="8"/>
      <c r="CKQ17" s="8"/>
      <c r="CKR17" s="8"/>
      <c r="CKS17" s="8"/>
      <c r="CKT17" s="8"/>
      <c r="CKU17" s="8"/>
      <c r="CKV17" s="8"/>
      <c r="CKW17" s="8"/>
      <c r="CKX17" s="8"/>
      <c r="CKY17" s="8"/>
      <c r="CKZ17" s="8"/>
      <c r="CLA17" s="8"/>
      <c r="CLB17" s="8"/>
      <c r="CLC17" s="8"/>
      <c r="CLD17" s="8"/>
      <c r="CLE17" s="8"/>
      <c r="CLF17" s="8"/>
      <c r="CLG17" s="8"/>
      <c r="CLH17" s="8"/>
      <c r="CLI17" s="8"/>
      <c r="CLJ17" s="8"/>
      <c r="CLK17" s="8"/>
      <c r="CLL17" s="8"/>
      <c r="CLM17" s="8"/>
      <c r="CLN17" s="8"/>
      <c r="CLO17" s="8"/>
      <c r="CLP17" s="8"/>
      <c r="CLQ17" s="8"/>
      <c r="CLR17" s="8"/>
      <c r="CLS17" s="8"/>
      <c r="CLT17" s="8"/>
      <c r="CLU17" s="8"/>
      <c r="CLV17" s="8"/>
      <c r="CLW17" s="8"/>
      <c r="CLX17" s="8"/>
      <c r="CLY17" s="8"/>
      <c r="CLZ17" s="8"/>
      <c r="CMA17" s="8"/>
      <c r="CMB17" s="8"/>
      <c r="CMC17" s="8"/>
      <c r="CMD17" s="8"/>
      <c r="CME17" s="8"/>
      <c r="CMF17" s="8"/>
      <c r="CMG17" s="8"/>
      <c r="CMH17" s="8"/>
      <c r="CMI17" s="8"/>
      <c r="CMJ17" s="8"/>
      <c r="CMK17" s="8"/>
      <c r="CML17" s="8"/>
      <c r="CMM17" s="8"/>
      <c r="CMN17" s="8"/>
      <c r="CMO17" s="8"/>
      <c r="CMP17" s="8"/>
      <c r="CMQ17" s="8"/>
      <c r="CMR17" s="8"/>
      <c r="CMS17" s="8"/>
      <c r="CMT17" s="8"/>
      <c r="CMU17" s="8"/>
      <c r="CMV17" s="8"/>
      <c r="CMW17" s="8"/>
      <c r="CMX17" s="8"/>
      <c r="CMY17" s="8"/>
      <c r="CMZ17" s="8"/>
      <c r="CNA17" s="8"/>
      <c r="CNB17" s="8"/>
      <c r="CNC17" s="8"/>
      <c r="CND17" s="8"/>
      <c r="CNE17" s="8"/>
      <c r="CNF17" s="8"/>
      <c r="CNG17" s="8"/>
      <c r="CNH17" s="8"/>
      <c r="CNI17" s="8"/>
      <c r="CNJ17" s="8"/>
      <c r="CNK17" s="8"/>
      <c r="CNL17" s="8"/>
      <c r="CNM17" s="8"/>
      <c r="CNN17" s="8"/>
      <c r="CNO17" s="8"/>
      <c r="CNP17" s="8"/>
      <c r="CNQ17" s="8"/>
      <c r="CNR17" s="8"/>
      <c r="CNS17" s="8"/>
      <c r="CNT17" s="8"/>
      <c r="CNU17" s="8"/>
      <c r="CNV17" s="8"/>
      <c r="CNW17" s="8"/>
      <c r="CNX17" s="8"/>
      <c r="CNY17" s="8"/>
      <c r="CNZ17" s="8"/>
      <c r="COA17" s="8"/>
      <c r="COB17" s="8"/>
      <c r="COC17" s="8"/>
      <c r="COD17" s="8"/>
      <c r="COE17" s="8"/>
      <c r="COF17" s="8"/>
      <c r="COG17" s="8"/>
      <c r="COH17" s="8"/>
      <c r="COI17" s="8"/>
      <c r="COJ17" s="8"/>
      <c r="COK17" s="8"/>
      <c r="COL17" s="8"/>
      <c r="COM17" s="8"/>
      <c r="CON17" s="8"/>
      <c r="COO17" s="8"/>
      <c r="COP17" s="8"/>
      <c r="COQ17" s="8"/>
      <c r="COR17" s="8"/>
      <c r="COS17" s="8"/>
      <c r="COT17" s="8"/>
      <c r="COU17" s="8"/>
      <c r="COV17" s="8"/>
      <c r="COW17" s="8"/>
      <c r="COX17" s="8"/>
      <c r="COY17" s="8"/>
      <c r="COZ17" s="8"/>
      <c r="CPA17" s="8"/>
      <c r="CPB17" s="8"/>
      <c r="CPC17" s="8"/>
      <c r="CPD17" s="8"/>
      <c r="CPE17" s="8"/>
      <c r="CPF17" s="8"/>
      <c r="CPG17" s="8"/>
      <c r="CPH17" s="8"/>
      <c r="CPI17" s="8"/>
      <c r="CPJ17" s="8"/>
      <c r="CPK17" s="8"/>
      <c r="CPL17" s="8"/>
      <c r="CPM17" s="8"/>
      <c r="CPN17" s="8"/>
      <c r="CPO17" s="8"/>
      <c r="CPP17" s="8"/>
      <c r="CPQ17" s="8"/>
      <c r="CPR17" s="8"/>
      <c r="CPS17" s="8"/>
      <c r="CPT17" s="8"/>
      <c r="CPU17" s="8"/>
      <c r="CPV17" s="8"/>
      <c r="CPW17" s="8"/>
      <c r="CPX17" s="8"/>
      <c r="CPY17" s="8"/>
      <c r="CPZ17" s="8"/>
      <c r="CQA17" s="8"/>
      <c r="CQB17" s="8"/>
      <c r="CQC17" s="8"/>
      <c r="CQD17" s="8"/>
      <c r="CQE17" s="8"/>
      <c r="CQF17" s="8"/>
      <c r="CQG17" s="8"/>
      <c r="CQH17" s="8"/>
      <c r="CQI17" s="8"/>
      <c r="CQJ17" s="8"/>
      <c r="CQK17" s="8"/>
      <c r="CQL17" s="8"/>
      <c r="CQM17" s="8"/>
      <c r="CQN17" s="8"/>
      <c r="CQO17" s="8"/>
      <c r="CQP17" s="8"/>
      <c r="CQQ17" s="8"/>
      <c r="CQR17" s="8"/>
      <c r="CQS17" s="8"/>
      <c r="CQT17" s="8"/>
      <c r="CQU17" s="8"/>
      <c r="CQV17" s="8"/>
      <c r="CQW17" s="8"/>
      <c r="CQX17" s="8"/>
      <c r="CQY17" s="8"/>
      <c r="CQZ17" s="8"/>
      <c r="CRA17" s="8"/>
      <c r="CRB17" s="8"/>
      <c r="CRC17" s="8"/>
      <c r="CRD17" s="8"/>
      <c r="CRE17" s="8"/>
      <c r="CRF17" s="8"/>
      <c r="CRG17" s="8"/>
      <c r="CRH17" s="8"/>
      <c r="CRI17" s="8"/>
      <c r="CRJ17" s="8"/>
      <c r="CRK17" s="8"/>
      <c r="CRL17" s="8"/>
      <c r="CRM17" s="8"/>
      <c r="CRN17" s="8"/>
      <c r="CRO17" s="8"/>
      <c r="CRP17" s="8"/>
      <c r="CRQ17" s="8"/>
      <c r="CRR17" s="8"/>
      <c r="CRS17" s="8"/>
      <c r="CRT17" s="8"/>
      <c r="CRU17" s="8"/>
      <c r="CRV17" s="8"/>
      <c r="CRW17" s="8"/>
      <c r="CRX17" s="8"/>
      <c r="CRY17" s="8"/>
      <c r="CRZ17" s="8"/>
      <c r="CSA17" s="8"/>
      <c r="CSB17" s="8"/>
      <c r="CSC17" s="8"/>
      <c r="CSD17" s="8"/>
      <c r="CSE17" s="8"/>
      <c r="CSF17" s="8"/>
      <c r="CSG17" s="8"/>
      <c r="CSH17" s="8"/>
      <c r="CSI17" s="8"/>
      <c r="CSJ17" s="8"/>
      <c r="CSK17" s="8"/>
      <c r="CSL17" s="8"/>
      <c r="CSM17" s="8"/>
      <c r="CSN17" s="8"/>
      <c r="CSO17" s="8"/>
      <c r="CSP17" s="8"/>
      <c r="CSQ17" s="8"/>
      <c r="CSR17" s="8"/>
      <c r="CSS17" s="8"/>
      <c r="CST17" s="8"/>
      <c r="CSU17" s="8"/>
      <c r="CSV17" s="8"/>
      <c r="CSW17" s="8"/>
      <c r="CSX17" s="8"/>
      <c r="CSY17" s="8"/>
      <c r="CSZ17" s="8"/>
      <c r="CTA17" s="8"/>
      <c r="CTB17" s="8"/>
      <c r="CTC17" s="8"/>
      <c r="CTD17" s="8"/>
      <c r="CTE17" s="8"/>
      <c r="CTF17" s="8"/>
      <c r="CTG17" s="8"/>
      <c r="CTH17" s="8"/>
      <c r="CTI17" s="8"/>
      <c r="CTJ17" s="8"/>
      <c r="CTK17" s="8"/>
      <c r="CTL17" s="8"/>
      <c r="CTM17" s="8"/>
      <c r="CTN17" s="8"/>
      <c r="CTO17" s="8"/>
      <c r="CTP17" s="8"/>
      <c r="CTQ17" s="8"/>
      <c r="CTR17" s="8"/>
      <c r="CTS17" s="8"/>
      <c r="CTT17" s="8"/>
      <c r="CTU17" s="8"/>
      <c r="CTV17" s="8"/>
      <c r="CTW17" s="8"/>
      <c r="CTX17" s="8"/>
      <c r="CTY17" s="8"/>
      <c r="CTZ17" s="8"/>
      <c r="CUA17" s="8"/>
      <c r="CUB17" s="8"/>
      <c r="CUC17" s="8"/>
      <c r="CUD17" s="8"/>
      <c r="CUE17" s="8"/>
      <c r="CUF17" s="8"/>
      <c r="CUG17" s="8"/>
      <c r="CUH17" s="8"/>
      <c r="CUI17" s="8"/>
      <c r="CUJ17" s="8"/>
      <c r="CUK17" s="8"/>
      <c r="CUL17" s="8"/>
      <c r="CUM17" s="8"/>
      <c r="CUN17" s="8"/>
      <c r="CUO17" s="8"/>
      <c r="CUP17" s="8"/>
      <c r="CUQ17" s="8"/>
      <c r="CUR17" s="8"/>
      <c r="CUS17" s="8"/>
      <c r="CUT17" s="8"/>
      <c r="CUU17" s="8"/>
      <c r="CUV17" s="8"/>
      <c r="CUW17" s="8"/>
      <c r="CUX17" s="8"/>
      <c r="CUY17" s="8"/>
      <c r="CUZ17" s="8"/>
      <c r="CVA17" s="8"/>
      <c r="CVB17" s="8"/>
      <c r="CVC17" s="8"/>
      <c r="CVD17" s="8"/>
      <c r="CVE17" s="8"/>
      <c r="CVF17" s="8"/>
      <c r="CVG17" s="8"/>
      <c r="CVH17" s="8"/>
      <c r="CVI17" s="8"/>
      <c r="CVJ17" s="8"/>
      <c r="CVK17" s="8"/>
      <c r="CVL17" s="8"/>
      <c r="CVM17" s="8"/>
      <c r="CVN17" s="8"/>
      <c r="CVO17" s="8"/>
      <c r="CVP17" s="8"/>
      <c r="CVQ17" s="8"/>
      <c r="CVR17" s="8"/>
      <c r="CVS17" s="8"/>
      <c r="CVT17" s="8"/>
      <c r="CVU17" s="8"/>
      <c r="CVV17" s="8"/>
      <c r="CVW17" s="8"/>
      <c r="CVX17" s="8"/>
      <c r="CVY17" s="8"/>
      <c r="CVZ17" s="8"/>
      <c r="CWA17" s="8"/>
      <c r="CWB17" s="8"/>
      <c r="CWC17" s="8"/>
      <c r="CWD17" s="8"/>
      <c r="CWE17" s="8"/>
      <c r="CWF17" s="8"/>
      <c r="CWG17" s="8"/>
      <c r="CWH17" s="8"/>
      <c r="CWI17" s="8"/>
      <c r="CWJ17" s="8"/>
      <c r="CWK17" s="8"/>
      <c r="CWL17" s="8"/>
      <c r="CWM17" s="8"/>
      <c r="CWN17" s="8"/>
      <c r="CWO17" s="8"/>
      <c r="CWP17" s="8"/>
      <c r="CWQ17" s="8"/>
      <c r="CWR17" s="8"/>
      <c r="CWS17" s="8"/>
      <c r="CWT17" s="8"/>
      <c r="CWU17" s="8"/>
      <c r="CWV17" s="8"/>
      <c r="CWW17" s="8"/>
      <c r="CWX17" s="8"/>
      <c r="CWY17" s="8"/>
      <c r="CWZ17" s="8"/>
      <c r="CXA17" s="8"/>
      <c r="CXB17" s="8"/>
      <c r="CXC17" s="8"/>
      <c r="CXD17" s="8"/>
      <c r="CXE17" s="8"/>
      <c r="CXF17" s="8"/>
      <c r="CXG17" s="8"/>
      <c r="CXH17" s="8"/>
      <c r="CXI17" s="8"/>
      <c r="CXJ17" s="8"/>
      <c r="CXK17" s="8"/>
      <c r="CXL17" s="8"/>
      <c r="CXM17" s="8"/>
      <c r="CXN17" s="8"/>
      <c r="CXO17" s="8"/>
      <c r="CXP17" s="8"/>
      <c r="CXQ17" s="8"/>
      <c r="CXR17" s="8"/>
      <c r="CXS17" s="8"/>
      <c r="CXT17" s="8"/>
      <c r="CXU17" s="8"/>
      <c r="CXV17" s="8"/>
      <c r="CXW17" s="8"/>
      <c r="CXX17" s="8"/>
      <c r="CXY17" s="8"/>
      <c r="CXZ17" s="8"/>
      <c r="CYA17" s="8"/>
      <c r="CYB17" s="8"/>
      <c r="CYC17" s="8"/>
      <c r="CYD17" s="8"/>
      <c r="CYE17" s="8"/>
      <c r="CYF17" s="8"/>
      <c r="CYG17" s="8"/>
      <c r="CYH17" s="8"/>
      <c r="CYI17" s="8"/>
      <c r="CYJ17" s="8"/>
      <c r="CYK17" s="8"/>
      <c r="CYL17" s="8"/>
      <c r="CYM17" s="8"/>
      <c r="CYN17" s="8"/>
      <c r="CYO17" s="8"/>
      <c r="CYP17" s="8"/>
      <c r="CYQ17" s="8"/>
      <c r="CYR17" s="8"/>
      <c r="CYS17" s="8"/>
      <c r="CYT17" s="8"/>
      <c r="CYU17" s="8"/>
      <c r="CYV17" s="8"/>
      <c r="CYW17" s="8"/>
      <c r="CYX17" s="8"/>
      <c r="CYY17" s="8"/>
      <c r="CYZ17" s="8"/>
      <c r="CZA17" s="8"/>
      <c r="CZB17" s="8"/>
      <c r="CZC17" s="8"/>
      <c r="CZD17" s="8"/>
      <c r="CZE17" s="8"/>
      <c r="CZF17" s="8"/>
      <c r="CZG17" s="8"/>
      <c r="CZH17" s="8"/>
      <c r="CZI17" s="8"/>
      <c r="CZJ17" s="8"/>
      <c r="CZK17" s="8"/>
      <c r="CZL17" s="8"/>
      <c r="CZM17" s="8"/>
      <c r="CZN17" s="8"/>
      <c r="CZO17" s="8"/>
      <c r="CZP17" s="8"/>
      <c r="CZQ17" s="8"/>
      <c r="CZR17" s="8"/>
      <c r="CZS17" s="8"/>
      <c r="CZT17" s="8"/>
      <c r="CZU17" s="8"/>
      <c r="CZV17" s="8"/>
      <c r="CZW17" s="8"/>
      <c r="CZX17" s="8"/>
      <c r="CZY17" s="8"/>
      <c r="CZZ17" s="8"/>
      <c r="DAA17" s="8"/>
      <c r="DAB17" s="8"/>
      <c r="DAC17" s="8"/>
      <c r="DAD17" s="8"/>
      <c r="DAE17" s="8"/>
      <c r="DAF17" s="8"/>
      <c r="DAG17" s="8"/>
      <c r="DAH17" s="8"/>
      <c r="DAI17" s="8"/>
      <c r="DAJ17" s="8"/>
      <c r="DAK17" s="8"/>
      <c r="DAL17" s="8"/>
      <c r="DAM17" s="8"/>
      <c r="DAN17" s="8"/>
      <c r="DAO17" s="8"/>
      <c r="DAP17" s="8"/>
      <c r="DAQ17" s="8"/>
      <c r="DAR17" s="8"/>
      <c r="DAS17" s="8"/>
      <c r="DAT17" s="8"/>
      <c r="DAU17" s="8"/>
      <c r="DAV17" s="8"/>
      <c r="DAW17" s="8"/>
      <c r="DAX17" s="8"/>
      <c r="DAY17" s="8"/>
      <c r="DAZ17" s="8"/>
      <c r="DBA17" s="8"/>
      <c r="DBB17" s="8"/>
      <c r="DBC17" s="8"/>
      <c r="DBD17" s="8"/>
      <c r="DBE17" s="8"/>
      <c r="DBF17" s="8"/>
      <c r="DBG17" s="8"/>
      <c r="DBH17" s="8"/>
      <c r="DBI17" s="8"/>
      <c r="DBJ17" s="8"/>
      <c r="DBK17" s="8"/>
      <c r="DBL17" s="8"/>
      <c r="DBM17" s="8"/>
      <c r="DBN17" s="8"/>
      <c r="DBO17" s="8"/>
      <c r="DBP17" s="8"/>
      <c r="DBQ17" s="8"/>
      <c r="DBR17" s="8"/>
      <c r="DBS17" s="8"/>
      <c r="DBT17" s="8"/>
      <c r="DBU17" s="8"/>
      <c r="DBV17" s="8"/>
      <c r="DBW17" s="8"/>
      <c r="DBX17" s="8"/>
      <c r="DBY17" s="8"/>
      <c r="DBZ17" s="8"/>
      <c r="DCA17" s="8"/>
      <c r="DCB17" s="8"/>
      <c r="DCC17" s="8"/>
      <c r="DCD17" s="8"/>
      <c r="DCE17" s="8"/>
      <c r="DCF17" s="8"/>
      <c r="DCG17" s="8"/>
      <c r="DCH17" s="8"/>
      <c r="DCI17" s="8"/>
      <c r="DCJ17" s="8"/>
      <c r="DCK17" s="8"/>
      <c r="DCL17" s="8"/>
      <c r="DCM17" s="8"/>
      <c r="DCN17" s="8"/>
      <c r="DCO17" s="8"/>
      <c r="DCP17" s="8"/>
      <c r="DCQ17" s="8"/>
      <c r="DCR17" s="8"/>
      <c r="DCS17" s="8"/>
      <c r="DCT17" s="8"/>
      <c r="DCU17" s="8"/>
      <c r="DCV17" s="8"/>
      <c r="DCW17" s="8"/>
      <c r="DCX17" s="8"/>
      <c r="DCY17" s="8"/>
      <c r="DCZ17" s="8"/>
      <c r="DDA17" s="8"/>
      <c r="DDB17" s="8"/>
      <c r="DDC17" s="8"/>
      <c r="DDD17" s="8"/>
      <c r="DDE17" s="8"/>
      <c r="DDF17" s="8"/>
      <c r="DDG17" s="8"/>
      <c r="DDH17" s="8"/>
      <c r="DDI17" s="8"/>
      <c r="DDJ17" s="8"/>
      <c r="DDK17" s="8"/>
      <c r="DDL17" s="8"/>
      <c r="DDM17" s="8"/>
      <c r="DDN17" s="8"/>
      <c r="DDO17" s="8"/>
      <c r="DDP17" s="8"/>
      <c r="DDQ17" s="8"/>
      <c r="DDR17" s="8"/>
      <c r="DDS17" s="8"/>
      <c r="DDT17" s="8"/>
      <c r="DDU17" s="8"/>
      <c r="DDV17" s="8"/>
      <c r="DDW17" s="8"/>
      <c r="DDX17" s="8"/>
      <c r="DDY17" s="8"/>
      <c r="DDZ17" s="8"/>
      <c r="DEA17" s="8"/>
      <c r="DEB17" s="8"/>
      <c r="DEC17" s="8"/>
      <c r="DED17" s="8"/>
      <c r="DEE17" s="8"/>
      <c r="DEF17" s="8"/>
      <c r="DEG17" s="8"/>
      <c r="DEH17" s="8"/>
      <c r="DEI17" s="8"/>
      <c r="DEJ17" s="8"/>
      <c r="DEK17" s="8"/>
      <c r="DEL17" s="8"/>
      <c r="DEM17" s="8"/>
      <c r="DEN17" s="8"/>
      <c r="DEO17" s="8"/>
      <c r="DEP17" s="8"/>
      <c r="DEQ17" s="8"/>
      <c r="DER17" s="8"/>
      <c r="DES17" s="8"/>
      <c r="DET17" s="8"/>
      <c r="DEU17" s="8"/>
      <c r="DEV17" s="8"/>
      <c r="DEW17" s="8"/>
      <c r="DEX17" s="8"/>
      <c r="DEY17" s="8"/>
      <c r="DEZ17" s="8"/>
      <c r="DFA17" s="8"/>
      <c r="DFB17" s="8"/>
      <c r="DFC17" s="8"/>
      <c r="DFD17" s="8"/>
      <c r="DFE17" s="8"/>
      <c r="DFF17" s="8"/>
      <c r="DFG17" s="8"/>
      <c r="DFH17" s="8"/>
      <c r="DFI17" s="8"/>
      <c r="DFJ17" s="8"/>
      <c r="DFK17" s="8"/>
      <c r="DFL17" s="8"/>
      <c r="DFM17" s="8"/>
      <c r="DFN17" s="8"/>
      <c r="DFO17" s="8"/>
      <c r="DFP17" s="8"/>
      <c r="DFQ17" s="8"/>
      <c r="DFR17" s="8"/>
      <c r="DFS17" s="8"/>
      <c r="DFT17" s="8"/>
      <c r="DFU17" s="8"/>
      <c r="DFV17" s="8"/>
      <c r="DFW17" s="8"/>
      <c r="DFX17" s="8"/>
      <c r="DFY17" s="8"/>
      <c r="DFZ17" s="8"/>
      <c r="DGA17" s="8"/>
      <c r="DGB17" s="8"/>
      <c r="DGC17" s="8"/>
      <c r="DGD17" s="8"/>
      <c r="DGE17" s="8"/>
      <c r="DGF17" s="8"/>
      <c r="DGG17" s="8"/>
      <c r="DGH17" s="8"/>
      <c r="DGI17" s="8"/>
      <c r="DGJ17" s="8"/>
      <c r="DGK17" s="8"/>
      <c r="DGL17" s="8"/>
      <c r="DGM17" s="8"/>
      <c r="DGN17" s="8"/>
      <c r="DGO17" s="8"/>
      <c r="DGP17" s="8"/>
      <c r="DGQ17" s="8"/>
      <c r="DGR17" s="8"/>
      <c r="DGS17" s="8"/>
      <c r="DGT17" s="8"/>
      <c r="DGU17" s="8"/>
      <c r="DGV17" s="8"/>
      <c r="DGW17" s="8"/>
      <c r="DGX17" s="8"/>
      <c r="DGY17" s="8"/>
      <c r="DGZ17" s="8"/>
      <c r="DHA17" s="8"/>
      <c r="DHB17" s="8"/>
      <c r="DHC17" s="8"/>
      <c r="DHD17" s="8"/>
      <c r="DHE17" s="8"/>
      <c r="DHF17" s="8"/>
      <c r="DHG17" s="8"/>
      <c r="DHH17" s="8"/>
      <c r="DHI17" s="8"/>
      <c r="DHJ17" s="8"/>
      <c r="DHK17" s="8"/>
      <c r="DHL17" s="8"/>
      <c r="DHM17" s="8"/>
      <c r="DHN17" s="8"/>
      <c r="DHO17" s="8"/>
      <c r="DHP17" s="8"/>
      <c r="DHQ17" s="8"/>
      <c r="DHR17" s="8"/>
      <c r="DHS17" s="8"/>
      <c r="DHT17" s="8"/>
      <c r="DHU17" s="8"/>
      <c r="DHV17" s="8"/>
      <c r="DHW17" s="8"/>
      <c r="DHX17" s="8"/>
      <c r="DHY17" s="8"/>
      <c r="DHZ17" s="8"/>
      <c r="DIA17" s="8"/>
      <c r="DIB17" s="8"/>
      <c r="DIC17" s="8"/>
      <c r="DID17" s="8"/>
      <c r="DIE17" s="8"/>
      <c r="DIF17" s="8"/>
      <c r="DIG17" s="8"/>
      <c r="DIH17" s="8"/>
      <c r="DII17" s="8"/>
      <c r="DIJ17" s="8"/>
      <c r="DIK17" s="8"/>
      <c r="DIL17" s="8"/>
      <c r="DIM17" s="8"/>
      <c r="DIN17" s="8"/>
      <c r="DIO17" s="8"/>
      <c r="DIP17" s="8"/>
      <c r="DIQ17" s="8"/>
      <c r="DIR17" s="8"/>
      <c r="DIS17" s="8"/>
      <c r="DIT17" s="8"/>
      <c r="DIU17" s="8"/>
      <c r="DIV17" s="8"/>
      <c r="DIW17" s="8"/>
      <c r="DIX17" s="8"/>
      <c r="DIY17" s="8"/>
      <c r="DIZ17" s="8"/>
      <c r="DJA17" s="8"/>
      <c r="DJB17" s="8"/>
      <c r="DJC17" s="8"/>
      <c r="DJD17" s="8"/>
      <c r="DJE17" s="8"/>
      <c r="DJF17" s="8"/>
      <c r="DJG17" s="8"/>
      <c r="DJH17" s="8"/>
      <c r="DJI17" s="8"/>
      <c r="DJJ17" s="8"/>
      <c r="DJK17" s="8"/>
      <c r="DJL17" s="8"/>
      <c r="DJM17" s="8"/>
      <c r="DJN17" s="8"/>
      <c r="DJO17" s="8"/>
      <c r="DJP17" s="8"/>
      <c r="DJQ17" s="8"/>
      <c r="DJR17" s="8"/>
      <c r="DJS17" s="8"/>
      <c r="DJT17" s="8"/>
      <c r="DJU17" s="8"/>
      <c r="DJV17" s="8"/>
      <c r="DJW17" s="8"/>
      <c r="DJX17" s="8"/>
      <c r="DJY17" s="8"/>
      <c r="DJZ17" s="8"/>
      <c r="DKA17" s="8"/>
      <c r="DKB17" s="8"/>
      <c r="DKC17" s="8"/>
      <c r="DKD17" s="8"/>
      <c r="DKE17" s="8"/>
      <c r="DKF17" s="8"/>
      <c r="DKG17" s="8"/>
      <c r="DKH17" s="8"/>
      <c r="DKI17" s="8"/>
      <c r="DKJ17" s="8"/>
      <c r="DKK17" s="8"/>
      <c r="DKL17" s="8"/>
      <c r="DKM17" s="8"/>
      <c r="DKN17" s="8"/>
      <c r="DKO17" s="8"/>
      <c r="DKP17" s="8"/>
      <c r="DKQ17" s="8"/>
      <c r="DKR17" s="8"/>
      <c r="DKS17" s="8"/>
      <c r="DKT17" s="8"/>
      <c r="DKU17" s="8"/>
      <c r="DKV17" s="8"/>
      <c r="DKW17" s="8"/>
      <c r="DKX17" s="8"/>
      <c r="DKY17" s="8"/>
      <c r="DKZ17" s="8"/>
      <c r="DLA17" s="8"/>
      <c r="DLB17" s="8"/>
      <c r="DLC17" s="8"/>
      <c r="DLD17" s="8"/>
      <c r="DLE17" s="8"/>
      <c r="DLF17" s="8"/>
      <c r="DLG17" s="8"/>
      <c r="DLH17" s="8"/>
      <c r="DLI17" s="8"/>
      <c r="DLJ17" s="8"/>
      <c r="DLK17" s="8"/>
      <c r="DLL17" s="8"/>
      <c r="DLM17" s="8"/>
      <c r="DLN17" s="8"/>
      <c r="DLO17" s="8"/>
      <c r="DLP17" s="8"/>
      <c r="DLQ17" s="8"/>
      <c r="DLR17" s="8"/>
      <c r="DLS17" s="8"/>
      <c r="DLT17" s="8"/>
      <c r="DLU17" s="8"/>
      <c r="DLV17" s="8"/>
      <c r="DLW17" s="8"/>
      <c r="DLX17" s="8"/>
      <c r="DLY17" s="8"/>
      <c r="DLZ17" s="8"/>
      <c r="DMA17" s="8"/>
      <c r="DMB17" s="8"/>
      <c r="DMC17" s="8"/>
      <c r="DMD17" s="8"/>
      <c r="DME17" s="8"/>
      <c r="DMF17" s="8"/>
      <c r="DMG17" s="8"/>
      <c r="DMH17" s="8"/>
      <c r="DMI17" s="8"/>
      <c r="DMJ17" s="8"/>
      <c r="DMK17" s="8"/>
      <c r="DML17" s="8"/>
      <c r="DMM17" s="8"/>
      <c r="DMN17" s="8"/>
      <c r="DMO17" s="8"/>
      <c r="DMP17" s="8"/>
      <c r="DMQ17" s="8"/>
      <c r="DMR17" s="8"/>
      <c r="DMS17" s="8"/>
      <c r="DMT17" s="8"/>
      <c r="DMU17" s="8"/>
      <c r="DMV17" s="8"/>
      <c r="DMW17" s="8"/>
      <c r="DMX17" s="8"/>
      <c r="DMY17" s="8"/>
      <c r="DMZ17" s="8"/>
      <c r="DNA17" s="8"/>
      <c r="DNB17" s="8"/>
      <c r="DNC17" s="8"/>
      <c r="DND17" s="8"/>
      <c r="DNE17" s="8"/>
      <c r="DNF17" s="8"/>
      <c r="DNG17" s="8"/>
      <c r="DNH17" s="8"/>
      <c r="DNI17" s="8"/>
      <c r="DNJ17" s="8"/>
      <c r="DNK17" s="8"/>
      <c r="DNL17" s="8"/>
      <c r="DNM17" s="8"/>
      <c r="DNN17" s="8"/>
      <c r="DNO17" s="8"/>
      <c r="DNP17" s="8"/>
      <c r="DNQ17" s="8"/>
      <c r="DNR17" s="8"/>
      <c r="DNS17" s="8"/>
      <c r="DNT17" s="8"/>
      <c r="DNU17" s="8"/>
      <c r="DNV17" s="8"/>
      <c r="DNW17" s="8"/>
      <c r="DNX17" s="8"/>
      <c r="DNY17" s="8"/>
      <c r="DNZ17" s="8"/>
      <c r="DOA17" s="8"/>
      <c r="DOB17" s="8"/>
      <c r="DOC17" s="8"/>
      <c r="DOD17" s="8"/>
      <c r="DOE17" s="8"/>
      <c r="DOF17" s="8"/>
      <c r="DOG17" s="8"/>
      <c r="DOH17" s="8"/>
      <c r="DOI17" s="8"/>
      <c r="DOJ17" s="8"/>
      <c r="DOK17" s="8"/>
      <c r="DOL17" s="8"/>
      <c r="DOM17" s="8"/>
      <c r="DON17" s="8"/>
      <c r="DOO17" s="8"/>
      <c r="DOP17" s="8"/>
      <c r="DOQ17" s="8"/>
      <c r="DOR17" s="8"/>
      <c r="DOS17" s="8"/>
      <c r="DOT17" s="8"/>
      <c r="DOU17" s="8"/>
      <c r="DOV17" s="8"/>
      <c r="DOW17" s="8"/>
      <c r="DOX17" s="8"/>
      <c r="DOY17" s="8"/>
      <c r="DOZ17" s="8"/>
      <c r="DPA17" s="8"/>
      <c r="DPB17" s="8"/>
      <c r="DPC17" s="8"/>
      <c r="DPD17" s="8"/>
      <c r="DPE17" s="8"/>
      <c r="DPF17" s="8"/>
      <c r="DPG17" s="8"/>
      <c r="DPH17" s="8"/>
      <c r="DPI17" s="8"/>
      <c r="DPJ17" s="8"/>
      <c r="DPK17" s="8"/>
      <c r="DPL17" s="8"/>
      <c r="DPM17" s="8"/>
      <c r="DPN17" s="8"/>
      <c r="DPO17" s="8"/>
      <c r="DPP17" s="8"/>
      <c r="DPQ17" s="8"/>
      <c r="DPR17" s="8"/>
      <c r="DPS17" s="8"/>
      <c r="DPT17" s="8"/>
      <c r="DPU17" s="8"/>
      <c r="DPV17" s="8"/>
      <c r="DPW17" s="8"/>
      <c r="DPX17" s="8"/>
      <c r="DPY17" s="8"/>
      <c r="DPZ17" s="8"/>
      <c r="DQA17" s="8"/>
      <c r="DQB17" s="8"/>
      <c r="DQC17" s="8"/>
      <c r="DQD17" s="8"/>
      <c r="DQE17" s="8"/>
      <c r="DQF17" s="8"/>
      <c r="DQG17" s="8"/>
      <c r="DQH17" s="8"/>
      <c r="DQI17" s="8"/>
      <c r="DQJ17" s="8"/>
      <c r="DQK17" s="8"/>
      <c r="DQL17" s="8"/>
      <c r="DQM17" s="8"/>
      <c r="DQN17" s="8"/>
      <c r="DQO17" s="8"/>
      <c r="DQP17" s="8"/>
      <c r="DQQ17" s="8"/>
      <c r="DQR17" s="8"/>
      <c r="DQS17" s="8"/>
      <c r="DQT17" s="8"/>
      <c r="DQU17" s="8"/>
      <c r="DQV17" s="8"/>
      <c r="DQW17" s="8"/>
      <c r="DQX17" s="8"/>
      <c r="DQY17" s="8"/>
      <c r="DQZ17" s="8"/>
      <c r="DRA17" s="8"/>
      <c r="DRB17" s="8"/>
      <c r="DRC17" s="8"/>
      <c r="DRD17" s="8"/>
      <c r="DRE17" s="8"/>
      <c r="DRF17" s="8"/>
      <c r="DRG17" s="8"/>
      <c r="DRH17" s="8"/>
      <c r="DRI17" s="8"/>
      <c r="DRJ17" s="8"/>
      <c r="DRK17" s="8"/>
      <c r="DRL17" s="8"/>
      <c r="DRM17" s="8"/>
      <c r="DRN17" s="8"/>
      <c r="DRO17" s="8"/>
      <c r="DRP17" s="8"/>
      <c r="DRQ17" s="8"/>
      <c r="DRR17" s="8"/>
      <c r="DRS17" s="8"/>
      <c r="DRT17" s="8"/>
      <c r="DRU17" s="8"/>
      <c r="DRV17" s="8"/>
      <c r="DRW17" s="8"/>
      <c r="DRX17" s="8"/>
      <c r="DRY17" s="8"/>
      <c r="DRZ17" s="8"/>
      <c r="DSA17" s="8"/>
      <c r="DSB17" s="8"/>
      <c r="DSC17" s="8"/>
      <c r="DSD17" s="8"/>
      <c r="DSE17" s="8"/>
      <c r="DSF17" s="8"/>
      <c r="DSG17" s="8"/>
      <c r="DSH17" s="8"/>
      <c r="DSI17" s="8"/>
      <c r="DSJ17" s="8"/>
      <c r="DSK17" s="8"/>
      <c r="DSL17" s="8"/>
      <c r="DSM17" s="8"/>
      <c r="DSN17" s="8"/>
      <c r="DSO17" s="8"/>
      <c r="DSP17" s="8"/>
      <c r="DSQ17" s="8"/>
      <c r="DSR17" s="8"/>
      <c r="DSS17" s="8"/>
      <c r="DST17" s="8"/>
      <c r="DSU17" s="8"/>
      <c r="DSV17" s="8"/>
      <c r="DSW17" s="8"/>
      <c r="DSX17" s="8"/>
      <c r="DSY17" s="8"/>
      <c r="DSZ17" s="8"/>
      <c r="DTA17" s="8"/>
      <c r="DTB17" s="8"/>
      <c r="DTC17" s="8"/>
      <c r="DTD17" s="8"/>
      <c r="DTE17" s="8"/>
      <c r="DTF17" s="8"/>
      <c r="DTG17" s="8"/>
      <c r="DTH17" s="8"/>
      <c r="DTI17" s="8"/>
      <c r="DTJ17" s="8"/>
      <c r="DTK17" s="8"/>
      <c r="DTL17" s="8"/>
      <c r="DTM17" s="8"/>
      <c r="DTN17" s="8"/>
      <c r="DTO17" s="8"/>
      <c r="DTP17" s="8"/>
      <c r="DTQ17" s="8"/>
      <c r="DTR17" s="8"/>
      <c r="DTS17" s="8"/>
      <c r="DTT17" s="8"/>
      <c r="DTU17" s="8"/>
      <c r="DTV17" s="8"/>
      <c r="DTW17" s="8"/>
      <c r="DTX17" s="8"/>
      <c r="DTY17" s="8"/>
      <c r="DTZ17" s="8"/>
      <c r="DUA17" s="8"/>
      <c r="DUB17" s="8"/>
      <c r="DUC17" s="8"/>
      <c r="DUD17" s="8"/>
      <c r="DUE17" s="8"/>
      <c r="DUF17" s="8"/>
      <c r="DUG17" s="8"/>
      <c r="DUH17" s="8"/>
      <c r="DUI17" s="8"/>
      <c r="DUJ17" s="8"/>
      <c r="DUK17" s="8"/>
      <c r="DUL17" s="8"/>
      <c r="DUM17" s="8"/>
      <c r="DUN17" s="8"/>
      <c r="DUO17" s="8"/>
      <c r="DUP17" s="8"/>
      <c r="DUQ17" s="8"/>
      <c r="DUR17" s="8"/>
      <c r="DUS17" s="8"/>
      <c r="DUT17" s="8"/>
      <c r="DUU17" s="8"/>
      <c r="DUV17" s="8"/>
      <c r="DUW17" s="8"/>
      <c r="DUX17" s="8"/>
      <c r="DUY17" s="8"/>
      <c r="DUZ17" s="8"/>
      <c r="DVA17" s="8"/>
      <c r="DVB17" s="8"/>
      <c r="DVC17" s="8"/>
      <c r="DVD17" s="8"/>
      <c r="DVE17" s="8"/>
      <c r="DVF17" s="8"/>
      <c r="DVG17" s="8"/>
      <c r="DVH17" s="8"/>
      <c r="DVI17" s="8"/>
      <c r="DVJ17" s="8"/>
      <c r="DVK17" s="8"/>
      <c r="DVL17" s="8"/>
      <c r="DVM17" s="8"/>
      <c r="DVN17" s="8"/>
      <c r="DVO17" s="8"/>
      <c r="DVP17" s="8"/>
      <c r="DVQ17" s="8"/>
      <c r="DVR17" s="8"/>
      <c r="DVS17" s="8"/>
      <c r="DVT17" s="8"/>
      <c r="DVU17" s="8"/>
      <c r="DVV17" s="8"/>
      <c r="DVW17" s="8"/>
      <c r="DVX17" s="8"/>
      <c r="DVY17" s="8"/>
      <c r="DVZ17" s="8"/>
      <c r="DWA17" s="8"/>
      <c r="DWB17" s="8"/>
      <c r="DWC17" s="8"/>
      <c r="DWD17" s="8"/>
      <c r="DWE17" s="8"/>
      <c r="DWF17" s="8"/>
      <c r="DWG17" s="8"/>
      <c r="DWH17" s="8"/>
      <c r="DWI17" s="8"/>
      <c r="DWJ17" s="8"/>
      <c r="DWK17" s="8"/>
      <c r="DWL17" s="8"/>
      <c r="DWM17" s="8"/>
      <c r="DWN17" s="8"/>
      <c r="DWO17" s="8"/>
      <c r="DWP17" s="8"/>
      <c r="DWQ17" s="8"/>
      <c r="DWR17" s="8"/>
      <c r="DWS17" s="8"/>
      <c r="DWT17" s="8"/>
      <c r="DWU17" s="8"/>
      <c r="DWV17" s="8"/>
      <c r="DWW17" s="8"/>
      <c r="DWX17" s="8"/>
      <c r="DWY17" s="8"/>
      <c r="DWZ17" s="8"/>
      <c r="DXA17" s="8"/>
      <c r="DXB17" s="8"/>
      <c r="DXC17" s="8"/>
      <c r="DXD17" s="8"/>
      <c r="DXE17" s="8"/>
      <c r="DXF17" s="8"/>
      <c r="DXG17" s="8"/>
      <c r="DXH17" s="8"/>
      <c r="DXI17" s="8"/>
      <c r="DXJ17" s="8"/>
      <c r="DXK17" s="8"/>
      <c r="DXL17" s="8"/>
      <c r="DXM17" s="8"/>
      <c r="DXN17" s="8"/>
      <c r="DXO17" s="8"/>
      <c r="DXP17" s="8"/>
      <c r="DXQ17" s="8"/>
      <c r="DXR17" s="8"/>
      <c r="DXS17" s="8"/>
      <c r="DXT17" s="8"/>
      <c r="DXU17" s="8"/>
      <c r="DXV17" s="8"/>
      <c r="DXW17" s="8"/>
      <c r="DXX17" s="8"/>
      <c r="DXY17" s="8"/>
      <c r="DXZ17" s="8"/>
      <c r="DYA17" s="8"/>
      <c r="DYB17" s="8"/>
      <c r="DYC17" s="8"/>
      <c r="DYD17" s="8"/>
      <c r="DYE17" s="8"/>
      <c r="DYF17" s="8"/>
      <c r="DYG17" s="8"/>
      <c r="DYH17" s="8"/>
      <c r="DYI17" s="8"/>
      <c r="DYJ17" s="8"/>
      <c r="DYK17" s="8"/>
      <c r="DYL17" s="8"/>
      <c r="DYM17" s="8"/>
      <c r="DYN17" s="8"/>
      <c r="DYO17" s="8"/>
      <c r="DYP17" s="8"/>
      <c r="DYQ17" s="8"/>
      <c r="DYR17" s="8"/>
      <c r="DYS17" s="8"/>
      <c r="DYT17" s="8"/>
      <c r="DYU17" s="8"/>
      <c r="DYV17" s="8"/>
      <c r="DYW17" s="8"/>
      <c r="DYX17" s="8"/>
      <c r="DYY17" s="8"/>
      <c r="DYZ17" s="8"/>
      <c r="DZA17" s="8"/>
      <c r="DZB17" s="8"/>
      <c r="DZC17" s="8"/>
      <c r="DZD17" s="8"/>
      <c r="DZE17" s="8"/>
      <c r="DZF17" s="8"/>
      <c r="DZG17" s="8"/>
      <c r="DZH17" s="8"/>
      <c r="DZI17" s="8"/>
      <c r="DZJ17" s="8"/>
      <c r="DZK17" s="8"/>
      <c r="DZL17" s="8"/>
      <c r="DZM17" s="8"/>
      <c r="DZN17" s="8"/>
      <c r="DZO17" s="8"/>
      <c r="DZP17" s="8"/>
      <c r="DZQ17" s="8"/>
      <c r="DZR17" s="8"/>
      <c r="DZS17" s="8"/>
      <c r="DZT17" s="8"/>
      <c r="DZU17" s="8"/>
      <c r="DZV17" s="8"/>
      <c r="DZW17" s="8"/>
      <c r="DZX17" s="8"/>
      <c r="DZY17" s="8"/>
      <c r="DZZ17" s="8"/>
      <c r="EAA17" s="8"/>
      <c r="EAB17" s="8"/>
      <c r="EAC17" s="8"/>
      <c r="EAD17" s="8"/>
      <c r="EAE17" s="8"/>
      <c r="EAF17" s="8"/>
      <c r="EAG17" s="8"/>
      <c r="EAH17" s="8"/>
      <c r="EAI17" s="8"/>
      <c r="EAJ17" s="8"/>
      <c r="EAK17" s="8"/>
      <c r="EAL17" s="8"/>
      <c r="EAM17" s="8"/>
      <c r="EAN17" s="8"/>
      <c r="EAO17" s="8"/>
      <c r="EAP17" s="8"/>
      <c r="EAQ17" s="8"/>
      <c r="EAR17" s="8"/>
      <c r="EAS17" s="8"/>
      <c r="EAT17" s="8"/>
      <c r="EAU17" s="8"/>
      <c r="EAV17" s="8"/>
      <c r="EAW17" s="8"/>
      <c r="EAX17" s="8"/>
      <c r="EAY17" s="8"/>
      <c r="EAZ17" s="8"/>
      <c r="EBA17" s="8"/>
      <c r="EBB17" s="8"/>
      <c r="EBC17" s="8"/>
      <c r="EBD17" s="8"/>
      <c r="EBE17" s="8"/>
      <c r="EBF17" s="8"/>
      <c r="EBG17" s="8"/>
      <c r="EBH17" s="8"/>
      <c r="EBI17" s="8"/>
      <c r="EBJ17" s="8"/>
      <c r="EBK17" s="8"/>
      <c r="EBL17" s="8"/>
      <c r="EBM17" s="8"/>
      <c r="EBN17" s="8"/>
      <c r="EBO17" s="8"/>
      <c r="EBP17" s="8"/>
      <c r="EBQ17" s="8"/>
      <c r="EBR17" s="8"/>
      <c r="EBS17" s="8"/>
      <c r="EBT17" s="8"/>
      <c r="EBU17" s="8"/>
      <c r="EBV17" s="8"/>
      <c r="EBW17" s="8"/>
      <c r="EBX17" s="8"/>
      <c r="EBY17" s="8"/>
      <c r="EBZ17" s="8"/>
      <c r="ECA17" s="8"/>
      <c r="ECB17" s="8"/>
      <c r="ECC17" s="8"/>
      <c r="ECD17" s="8"/>
      <c r="ECE17" s="8"/>
      <c r="ECF17" s="8"/>
      <c r="ECG17" s="8"/>
      <c r="ECH17" s="8"/>
      <c r="ECI17" s="8"/>
      <c r="ECJ17" s="8"/>
      <c r="ECK17" s="8"/>
      <c r="ECL17" s="8"/>
      <c r="ECM17" s="8"/>
      <c r="ECN17" s="8"/>
      <c r="ECO17" s="8"/>
      <c r="ECP17" s="8"/>
      <c r="ECQ17" s="8"/>
      <c r="ECR17" s="8"/>
      <c r="ECS17" s="8"/>
      <c r="ECT17" s="8"/>
      <c r="ECU17" s="8"/>
      <c r="ECV17" s="8"/>
      <c r="ECW17" s="8"/>
      <c r="ECX17" s="8"/>
      <c r="ECY17" s="8"/>
      <c r="ECZ17" s="8"/>
      <c r="EDA17" s="8"/>
      <c r="EDB17" s="8"/>
      <c r="EDC17" s="8"/>
      <c r="EDD17" s="8"/>
      <c r="EDE17" s="8"/>
      <c r="EDF17" s="8"/>
      <c r="EDG17" s="8"/>
      <c r="EDH17" s="8"/>
      <c r="EDI17" s="8"/>
      <c r="EDJ17" s="8"/>
      <c r="EDK17" s="8"/>
      <c r="EDL17" s="8"/>
      <c r="EDM17" s="8"/>
      <c r="EDN17" s="8"/>
      <c r="EDO17" s="8"/>
      <c r="EDP17" s="8"/>
      <c r="EDQ17" s="8"/>
      <c r="EDR17" s="8"/>
      <c r="EDS17" s="8"/>
      <c r="EDT17" s="8"/>
      <c r="EDU17" s="8"/>
      <c r="EDV17" s="8"/>
      <c r="EDW17" s="8"/>
      <c r="EDX17" s="8"/>
      <c r="EDY17" s="8"/>
      <c r="EDZ17" s="8"/>
      <c r="EEA17" s="8"/>
      <c r="EEB17" s="8"/>
      <c r="EEC17" s="8"/>
      <c r="EED17" s="8"/>
      <c r="EEE17" s="8"/>
      <c r="EEF17" s="8"/>
      <c r="EEG17" s="8"/>
      <c r="EEH17" s="8"/>
      <c r="EEI17" s="8"/>
      <c r="EEJ17" s="8"/>
      <c r="EEK17" s="8"/>
      <c r="EEL17" s="8"/>
      <c r="EEM17" s="8"/>
      <c r="EEN17" s="8"/>
      <c r="EEO17" s="8"/>
      <c r="EEP17" s="8"/>
      <c r="EEQ17" s="8"/>
      <c r="EER17" s="8"/>
      <c r="EES17" s="8"/>
      <c r="EET17" s="8"/>
      <c r="EEU17" s="8"/>
      <c r="EEV17" s="8"/>
      <c r="EEW17" s="8"/>
      <c r="EEX17" s="8"/>
      <c r="EEY17" s="8"/>
      <c r="EEZ17" s="8"/>
      <c r="EFA17" s="8"/>
      <c r="EFB17" s="8"/>
      <c r="EFC17" s="8"/>
      <c r="EFD17" s="8"/>
      <c r="EFE17" s="8"/>
      <c r="EFF17" s="8"/>
      <c r="EFG17" s="8"/>
      <c r="EFH17" s="8"/>
      <c r="EFI17" s="8"/>
      <c r="EFJ17" s="8"/>
      <c r="EFK17" s="8"/>
      <c r="EFL17" s="8"/>
      <c r="EFM17" s="8"/>
      <c r="EFN17" s="8"/>
      <c r="EFO17" s="8"/>
      <c r="EFP17" s="8"/>
      <c r="EFQ17" s="8"/>
      <c r="EFR17" s="8"/>
      <c r="EFS17" s="8"/>
      <c r="EFT17" s="8"/>
      <c r="EFU17" s="8"/>
      <c r="EFV17" s="8"/>
      <c r="EFW17" s="8"/>
      <c r="EFX17" s="8"/>
      <c r="EFY17" s="8"/>
      <c r="EFZ17" s="8"/>
      <c r="EGA17" s="8"/>
      <c r="EGB17" s="8"/>
      <c r="EGC17" s="8"/>
      <c r="EGD17" s="8"/>
      <c r="EGE17" s="8"/>
      <c r="EGF17" s="8"/>
      <c r="EGG17" s="8"/>
      <c r="EGH17" s="8"/>
      <c r="EGI17" s="8"/>
      <c r="EGJ17" s="8"/>
      <c r="EGK17" s="8"/>
      <c r="EGL17" s="8"/>
      <c r="EGM17" s="8"/>
      <c r="EGN17" s="8"/>
      <c r="EGO17" s="8"/>
      <c r="EGP17" s="8"/>
      <c r="EGQ17" s="8"/>
      <c r="EGR17" s="8"/>
      <c r="EGS17" s="8"/>
      <c r="EGT17" s="8"/>
      <c r="EGU17" s="8"/>
      <c r="EGV17" s="8"/>
      <c r="EGW17" s="8"/>
      <c r="EGX17" s="8"/>
      <c r="EGY17" s="8"/>
      <c r="EGZ17" s="8"/>
      <c r="EHA17" s="8"/>
      <c r="EHB17" s="8"/>
      <c r="EHC17" s="8"/>
      <c r="EHD17" s="8"/>
      <c r="EHE17" s="8"/>
      <c r="EHF17" s="8"/>
      <c r="EHG17" s="8"/>
      <c r="EHH17" s="8"/>
      <c r="EHI17" s="8"/>
      <c r="EHJ17" s="8"/>
      <c r="EHK17" s="8"/>
      <c r="EHL17" s="8"/>
      <c r="EHM17" s="8"/>
      <c r="EHN17" s="8"/>
      <c r="EHO17" s="8"/>
      <c r="EHP17" s="8"/>
      <c r="EHQ17" s="8"/>
      <c r="EHR17" s="8"/>
      <c r="EHS17" s="8"/>
      <c r="EHT17" s="8"/>
      <c r="EHU17" s="8"/>
      <c r="EHV17" s="8"/>
      <c r="EHW17" s="8"/>
      <c r="EHX17" s="8"/>
      <c r="EHY17" s="8"/>
      <c r="EHZ17" s="8"/>
      <c r="EIA17" s="8"/>
      <c r="EIB17" s="8"/>
      <c r="EIC17" s="8"/>
      <c r="EID17" s="8"/>
      <c r="EIE17" s="8"/>
      <c r="EIF17" s="8"/>
      <c r="EIG17" s="8"/>
      <c r="EIH17" s="8"/>
      <c r="EII17" s="8"/>
      <c r="EIJ17" s="8"/>
      <c r="EIK17" s="8"/>
      <c r="EIL17" s="8"/>
      <c r="EIM17" s="8"/>
      <c r="EIN17" s="8"/>
      <c r="EIO17" s="8"/>
      <c r="EIP17" s="8"/>
      <c r="EIQ17" s="8"/>
      <c r="EIR17" s="8"/>
      <c r="EIS17" s="8"/>
      <c r="EIT17" s="8"/>
      <c r="EIU17" s="8"/>
      <c r="EIV17" s="8"/>
      <c r="EIW17" s="8"/>
      <c r="EIX17" s="8"/>
      <c r="EIY17" s="8"/>
      <c r="EIZ17" s="8"/>
      <c r="EJA17" s="8"/>
      <c r="EJB17" s="8"/>
      <c r="EJC17" s="8"/>
      <c r="EJD17" s="8"/>
      <c r="EJE17" s="8"/>
      <c r="EJF17" s="8"/>
      <c r="EJG17" s="8"/>
      <c r="EJH17" s="8"/>
      <c r="EJI17" s="8"/>
      <c r="EJJ17" s="8"/>
      <c r="EJK17" s="8"/>
      <c r="EJL17" s="8"/>
      <c r="EJM17" s="8"/>
      <c r="EJN17" s="8"/>
      <c r="EJO17" s="8"/>
      <c r="EJP17" s="8"/>
      <c r="EJQ17" s="8"/>
      <c r="EJR17" s="8"/>
      <c r="EJS17" s="8"/>
      <c r="EJT17" s="8"/>
      <c r="EJU17" s="8"/>
      <c r="EJV17" s="8"/>
      <c r="EJW17" s="8"/>
      <c r="EJX17" s="8"/>
      <c r="EJY17" s="8"/>
      <c r="EJZ17" s="8"/>
      <c r="EKA17" s="8"/>
      <c r="EKB17" s="8"/>
      <c r="EKC17" s="8"/>
      <c r="EKD17" s="8"/>
      <c r="EKE17" s="8"/>
      <c r="EKF17" s="8"/>
      <c r="EKG17" s="8"/>
      <c r="EKH17" s="8"/>
      <c r="EKI17" s="8"/>
      <c r="EKJ17" s="8"/>
      <c r="EKK17" s="8"/>
      <c r="EKL17" s="8"/>
      <c r="EKM17" s="8"/>
      <c r="EKN17" s="8"/>
      <c r="EKO17" s="8"/>
      <c r="EKP17" s="8"/>
      <c r="EKQ17" s="8"/>
      <c r="EKR17" s="8"/>
      <c r="EKS17" s="8"/>
      <c r="EKT17" s="8"/>
      <c r="EKU17" s="8"/>
      <c r="EKV17" s="8"/>
      <c r="EKW17" s="8"/>
      <c r="EKX17" s="8"/>
      <c r="EKY17" s="8"/>
      <c r="EKZ17" s="8"/>
      <c r="ELA17" s="8"/>
      <c r="ELB17" s="8"/>
      <c r="ELC17" s="8"/>
      <c r="ELD17" s="8"/>
      <c r="ELE17" s="8"/>
      <c r="ELF17" s="8"/>
      <c r="ELG17" s="8"/>
      <c r="ELH17" s="8"/>
      <c r="ELI17" s="8"/>
      <c r="ELJ17" s="8"/>
      <c r="ELK17" s="8"/>
      <c r="ELL17" s="8"/>
      <c r="ELM17" s="8"/>
      <c r="ELN17" s="8"/>
      <c r="ELO17" s="8"/>
      <c r="ELP17" s="8"/>
      <c r="ELQ17" s="8"/>
      <c r="ELR17" s="8"/>
      <c r="ELS17" s="8"/>
      <c r="ELT17" s="8"/>
      <c r="ELU17" s="8"/>
      <c r="ELV17" s="8"/>
      <c r="ELW17" s="8"/>
      <c r="ELX17" s="8"/>
      <c r="ELY17" s="8"/>
      <c r="ELZ17" s="8"/>
      <c r="EMA17" s="8"/>
      <c r="EMB17" s="8"/>
      <c r="EMC17" s="8"/>
      <c r="EMD17" s="8"/>
      <c r="EME17" s="8"/>
      <c r="EMF17" s="8"/>
      <c r="EMG17" s="8"/>
      <c r="EMH17" s="8"/>
      <c r="EMI17" s="8"/>
      <c r="EMJ17" s="8"/>
      <c r="EMK17" s="8"/>
      <c r="EML17" s="8"/>
      <c r="EMM17" s="8"/>
      <c r="EMN17" s="8"/>
      <c r="EMO17" s="8"/>
      <c r="EMP17" s="8"/>
      <c r="EMQ17" s="8"/>
      <c r="EMR17" s="8"/>
      <c r="EMS17" s="8"/>
      <c r="EMT17" s="8"/>
      <c r="EMU17" s="8"/>
      <c r="EMV17" s="8"/>
      <c r="EMW17" s="8"/>
      <c r="EMX17" s="8"/>
      <c r="EMY17" s="8"/>
      <c r="EMZ17" s="8"/>
      <c r="ENA17" s="8"/>
      <c r="ENB17" s="8"/>
      <c r="ENC17" s="8"/>
      <c r="END17" s="8"/>
      <c r="ENE17" s="8"/>
      <c r="ENF17" s="8"/>
      <c r="ENG17" s="8"/>
      <c r="ENH17" s="8"/>
      <c r="ENI17" s="8"/>
      <c r="ENJ17" s="8"/>
      <c r="ENK17" s="8"/>
      <c r="ENL17" s="8"/>
      <c r="ENM17" s="8"/>
      <c r="ENN17" s="8"/>
      <c r="ENO17" s="8"/>
      <c r="ENP17" s="8"/>
      <c r="ENQ17" s="8"/>
      <c r="ENR17" s="8"/>
      <c r="ENS17" s="8"/>
      <c r="ENT17" s="8"/>
      <c r="ENU17" s="8"/>
      <c r="ENV17" s="8"/>
      <c r="ENW17" s="8"/>
      <c r="ENX17" s="8"/>
      <c r="ENY17" s="8"/>
      <c r="ENZ17" s="8"/>
      <c r="EOA17" s="8"/>
      <c r="EOB17" s="8"/>
      <c r="EOC17" s="8"/>
      <c r="EOD17" s="8"/>
      <c r="EOE17" s="8"/>
      <c r="EOF17" s="8"/>
      <c r="EOG17" s="8"/>
      <c r="EOH17" s="8"/>
      <c r="EOI17" s="8"/>
      <c r="EOJ17" s="8"/>
      <c r="EOK17" s="8"/>
      <c r="EOL17" s="8"/>
      <c r="EOM17" s="8"/>
      <c r="EON17" s="8"/>
      <c r="EOO17" s="8"/>
      <c r="EOP17" s="8"/>
      <c r="EOQ17" s="8"/>
      <c r="EOR17" s="8"/>
      <c r="EOS17" s="8"/>
      <c r="EOT17" s="8"/>
      <c r="EOU17" s="8"/>
      <c r="EOV17" s="8"/>
      <c r="EOW17" s="8"/>
      <c r="EOX17" s="8"/>
      <c r="EOY17" s="8"/>
      <c r="EOZ17" s="8"/>
      <c r="EPA17" s="8"/>
      <c r="EPB17" s="8"/>
      <c r="EPC17" s="8"/>
      <c r="EPD17" s="8"/>
      <c r="EPE17" s="8"/>
      <c r="EPF17" s="8"/>
      <c r="EPG17" s="8"/>
      <c r="EPH17" s="8"/>
      <c r="EPI17" s="8"/>
      <c r="EPJ17" s="8"/>
      <c r="EPK17" s="8"/>
      <c r="EPL17" s="8"/>
      <c r="EPM17" s="8"/>
      <c r="EPN17" s="8"/>
      <c r="EPO17" s="8"/>
      <c r="EPP17" s="8"/>
      <c r="EPQ17" s="8"/>
      <c r="EPR17" s="8"/>
      <c r="EPS17" s="8"/>
      <c r="EPT17" s="8"/>
      <c r="EPU17" s="8"/>
      <c r="EPV17" s="8"/>
      <c r="EPW17" s="8"/>
      <c r="EPX17" s="8"/>
      <c r="EPY17" s="8"/>
      <c r="EPZ17" s="8"/>
      <c r="EQA17" s="8"/>
      <c r="EQB17" s="8"/>
      <c r="EQC17" s="8"/>
      <c r="EQD17" s="8"/>
      <c r="EQE17" s="8"/>
      <c r="EQF17" s="8"/>
      <c r="EQG17" s="8"/>
      <c r="EQH17" s="8"/>
      <c r="EQI17" s="8"/>
      <c r="EQJ17" s="8"/>
      <c r="EQK17" s="8"/>
      <c r="EQL17" s="8"/>
      <c r="EQM17" s="8"/>
      <c r="EQN17" s="8"/>
      <c r="EQO17" s="8"/>
      <c r="EQP17" s="8"/>
      <c r="EQQ17" s="8"/>
      <c r="EQR17" s="8"/>
      <c r="EQS17" s="8"/>
      <c r="EQT17" s="8"/>
      <c r="EQU17" s="8"/>
      <c r="EQV17" s="8"/>
      <c r="EQW17" s="8"/>
      <c r="EQX17" s="8"/>
      <c r="EQY17" s="8"/>
      <c r="EQZ17" s="8"/>
      <c r="ERA17" s="8"/>
      <c r="ERB17" s="8"/>
      <c r="ERC17" s="8"/>
      <c r="ERD17" s="8"/>
      <c r="ERE17" s="8"/>
      <c r="ERF17" s="8"/>
      <c r="ERG17" s="8"/>
      <c r="ERH17" s="8"/>
      <c r="ERI17" s="8"/>
      <c r="ERJ17" s="8"/>
      <c r="ERK17" s="8"/>
      <c r="ERL17" s="8"/>
      <c r="ERM17" s="8"/>
      <c r="ERN17" s="8"/>
      <c r="ERO17" s="8"/>
      <c r="ERP17" s="8"/>
      <c r="ERQ17" s="8"/>
      <c r="ERR17" s="8"/>
      <c r="ERS17" s="8"/>
      <c r="ERT17" s="8"/>
      <c r="ERU17" s="8"/>
      <c r="ERV17" s="8"/>
      <c r="ERW17" s="8"/>
      <c r="ERX17" s="8"/>
      <c r="ERY17" s="8"/>
      <c r="ERZ17" s="8"/>
      <c r="ESA17" s="8"/>
      <c r="ESB17" s="8"/>
      <c r="ESC17" s="8"/>
      <c r="ESD17" s="8"/>
      <c r="ESE17" s="8"/>
      <c r="ESF17" s="8"/>
      <c r="ESG17" s="8"/>
      <c r="ESH17" s="8"/>
      <c r="ESI17" s="8"/>
      <c r="ESJ17" s="8"/>
      <c r="ESK17" s="8"/>
      <c r="ESL17" s="8"/>
      <c r="ESM17" s="8"/>
      <c r="ESN17" s="8"/>
      <c r="ESO17" s="8"/>
      <c r="ESP17" s="8"/>
      <c r="ESQ17" s="8"/>
      <c r="ESR17" s="8"/>
      <c r="ESS17" s="8"/>
      <c r="EST17" s="8"/>
      <c r="ESU17" s="8"/>
      <c r="ESV17" s="8"/>
      <c r="ESW17" s="8"/>
      <c r="ESX17" s="8"/>
      <c r="ESY17" s="8"/>
      <c r="ESZ17" s="8"/>
      <c r="ETA17" s="8"/>
      <c r="ETB17" s="8"/>
      <c r="ETC17" s="8"/>
      <c r="ETD17" s="8"/>
      <c r="ETE17" s="8"/>
      <c r="ETF17" s="8"/>
      <c r="ETG17" s="8"/>
      <c r="ETH17" s="8"/>
      <c r="ETI17" s="8"/>
      <c r="ETJ17" s="8"/>
      <c r="ETK17" s="8"/>
      <c r="ETL17" s="8"/>
      <c r="ETM17" s="8"/>
      <c r="ETN17" s="8"/>
      <c r="ETO17" s="8"/>
      <c r="ETP17" s="8"/>
      <c r="ETQ17" s="8"/>
      <c r="ETR17" s="8"/>
      <c r="ETS17" s="8"/>
      <c r="ETT17" s="8"/>
      <c r="ETU17" s="8"/>
      <c r="ETV17" s="8"/>
      <c r="ETW17" s="8"/>
      <c r="ETX17" s="8"/>
      <c r="ETY17" s="8"/>
      <c r="ETZ17" s="8"/>
      <c r="EUA17" s="8"/>
      <c r="EUB17" s="8"/>
      <c r="EUC17" s="8"/>
      <c r="EUD17" s="8"/>
      <c r="EUE17" s="8"/>
      <c r="EUF17" s="8"/>
      <c r="EUG17" s="8"/>
      <c r="EUH17" s="8"/>
      <c r="EUI17" s="8"/>
      <c r="EUJ17" s="8"/>
      <c r="EUK17" s="8"/>
      <c r="EUL17" s="8"/>
      <c r="EUM17" s="8"/>
      <c r="EUN17" s="8"/>
      <c r="EUO17" s="8"/>
      <c r="EUP17" s="8"/>
      <c r="EUQ17" s="8"/>
      <c r="EUR17" s="8"/>
      <c r="EUS17" s="8"/>
      <c r="EUT17" s="8"/>
      <c r="EUU17" s="8"/>
      <c r="EUV17" s="8"/>
      <c r="EUW17" s="8"/>
      <c r="EUX17" s="8"/>
      <c r="EUY17" s="8"/>
      <c r="EUZ17" s="8"/>
      <c r="EVA17" s="8"/>
      <c r="EVB17" s="8"/>
      <c r="EVC17" s="8"/>
      <c r="EVD17" s="8"/>
      <c r="EVE17" s="8"/>
      <c r="EVF17" s="8"/>
      <c r="EVG17" s="8"/>
      <c r="EVH17" s="8"/>
      <c r="EVI17" s="8"/>
      <c r="EVJ17" s="8"/>
      <c r="EVK17" s="8"/>
      <c r="EVL17" s="8"/>
      <c r="EVM17" s="8"/>
      <c r="EVN17" s="8"/>
      <c r="EVO17" s="8"/>
      <c r="EVP17" s="8"/>
      <c r="EVQ17" s="8"/>
      <c r="EVR17" s="8"/>
      <c r="EVS17" s="8"/>
      <c r="EVT17" s="8"/>
      <c r="EVU17" s="8"/>
      <c r="EVV17" s="8"/>
      <c r="EVW17" s="8"/>
      <c r="EVX17" s="8"/>
      <c r="EVY17" s="8"/>
      <c r="EVZ17" s="8"/>
      <c r="EWA17" s="8"/>
      <c r="EWB17" s="8"/>
      <c r="EWC17" s="8"/>
      <c r="EWD17" s="8"/>
      <c r="EWE17" s="8"/>
      <c r="EWF17" s="8"/>
      <c r="EWG17" s="8"/>
      <c r="EWH17" s="8"/>
      <c r="EWI17" s="8"/>
      <c r="EWJ17" s="8"/>
      <c r="EWK17" s="8"/>
      <c r="EWL17" s="8"/>
      <c r="EWM17" s="8"/>
      <c r="EWN17" s="8"/>
      <c r="EWO17" s="8"/>
      <c r="EWP17" s="8"/>
      <c r="EWQ17" s="8"/>
      <c r="EWR17" s="8"/>
      <c r="EWS17" s="8"/>
      <c r="EWT17" s="8"/>
      <c r="EWU17" s="8"/>
      <c r="EWV17" s="8"/>
      <c r="EWW17" s="8"/>
      <c r="EWX17" s="8"/>
      <c r="EWY17" s="8"/>
      <c r="EWZ17" s="8"/>
      <c r="EXA17" s="8"/>
      <c r="EXB17" s="8"/>
      <c r="EXC17" s="8"/>
      <c r="EXD17" s="8"/>
      <c r="EXE17" s="8"/>
      <c r="EXF17" s="8"/>
      <c r="EXG17" s="8"/>
      <c r="EXH17" s="8"/>
      <c r="EXI17" s="8"/>
      <c r="EXJ17" s="8"/>
      <c r="EXK17" s="8"/>
      <c r="EXL17" s="8"/>
      <c r="EXM17" s="8"/>
      <c r="EXN17" s="8"/>
      <c r="EXO17" s="8"/>
      <c r="EXP17" s="8"/>
      <c r="EXQ17" s="8"/>
      <c r="EXR17" s="8"/>
      <c r="EXS17" s="8"/>
      <c r="EXT17" s="8"/>
      <c r="EXU17" s="8"/>
      <c r="EXV17" s="8"/>
      <c r="EXW17" s="8"/>
      <c r="EXX17" s="8"/>
      <c r="EXY17" s="8"/>
      <c r="EXZ17" s="8"/>
      <c r="EYA17" s="8"/>
      <c r="EYB17" s="8"/>
      <c r="EYC17" s="8"/>
      <c r="EYD17" s="8"/>
      <c r="EYE17" s="8"/>
      <c r="EYF17" s="8"/>
      <c r="EYG17" s="8"/>
      <c r="EYH17" s="8"/>
      <c r="EYI17" s="8"/>
      <c r="EYJ17" s="8"/>
      <c r="EYK17" s="8"/>
      <c r="EYL17" s="8"/>
      <c r="EYM17" s="8"/>
      <c r="EYN17" s="8"/>
      <c r="EYO17" s="8"/>
      <c r="EYP17" s="8"/>
      <c r="EYQ17" s="8"/>
      <c r="EYR17" s="8"/>
      <c r="EYS17" s="8"/>
      <c r="EYT17" s="8"/>
      <c r="EYU17" s="8"/>
      <c r="EYV17" s="8"/>
      <c r="EYW17" s="8"/>
      <c r="EYX17" s="8"/>
      <c r="EYY17" s="8"/>
      <c r="EYZ17" s="8"/>
      <c r="EZA17" s="8"/>
      <c r="EZB17" s="8"/>
      <c r="EZC17" s="8"/>
      <c r="EZD17" s="8"/>
      <c r="EZE17" s="8"/>
      <c r="EZF17" s="8"/>
      <c r="EZG17" s="8"/>
      <c r="EZH17" s="8"/>
      <c r="EZI17" s="8"/>
      <c r="EZJ17" s="8"/>
      <c r="EZK17" s="8"/>
      <c r="EZL17" s="8"/>
      <c r="EZM17" s="8"/>
      <c r="EZN17" s="8"/>
      <c r="EZO17" s="8"/>
      <c r="EZP17" s="8"/>
      <c r="EZQ17" s="8"/>
      <c r="EZR17" s="8"/>
      <c r="EZS17" s="8"/>
      <c r="EZT17" s="8"/>
      <c r="EZU17" s="8"/>
      <c r="EZV17" s="8"/>
      <c r="EZW17" s="8"/>
      <c r="EZX17" s="8"/>
      <c r="EZY17" s="8"/>
      <c r="EZZ17" s="8"/>
      <c r="FAA17" s="8"/>
      <c r="FAB17" s="8"/>
      <c r="FAC17" s="8"/>
      <c r="FAD17" s="8"/>
      <c r="FAE17" s="8"/>
      <c r="FAF17" s="8"/>
      <c r="FAG17" s="8"/>
      <c r="FAH17" s="8"/>
      <c r="FAI17" s="8"/>
      <c r="FAJ17" s="8"/>
      <c r="FAK17" s="8"/>
      <c r="FAL17" s="8"/>
      <c r="FAM17" s="8"/>
      <c r="FAN17" s="8"/>
      <c r="FAO17" s="8"/>
      <c r="FAP17" s="8"/>
      <c r="FAQ17" s="8"/>
      <c r="FAR17" s="8"/>
      <c r="FAS17" s="8"/>
      <c r="FAT17" s="8"/>
      <c r="FAU17" s="8"/>
      <c r="FAV17" s="8"/>
      <c r="FAW17" s="8"/>
      <c r="FAX17" s="8"/>
      <c r="FAY17" s="8"/>
      <c r="FAZ17" s="8"/>
      <c r="FBA17" s="8"/>
      <c r="FBB17" s="8"/>
      <c r="FBC17" s="8"/>
      <c r="FBD17" s="8"/>
      <c r="FBE17" s="8"/>
      <c r="FBF17" s="8"/>
      <c r="FBG17" s="8"/>
      <c r="FBH17" s="8"/>
      <c r="FBI17" s="8"/>
      <c r="FBJ17" s="8"/>
      <c r="FBK17" s="8"/>
      <c r="FBL17" s="8"/>
      <c r="FBM17" s="8"/>
      <c r="FBN17" s="8"/>
      <c r="FBO17" s="8"/>
      <c r="FBP17" s="8"/>
      <c r="FBQ17" s="8"/>
      <c r="FBR17" s="8"/>
      <c r="FBS17" s="8"/>
      <c r="FBT17" s="8"/>
      <c r="FBU17" s="8"/>
      <c r="FBV17" s="8"/>
      <c r="FBW17" s="8"/>
      <c r="FBX17" s="8"/>
      <c r="FBY17" s="8"/>
      <c r="FBZ17" s="8"/>
      <c r="FCA17" s="8"/>
      <c r="FCB17" s="8"/>
      <c r="FCC17" s="8"/>
      <c r="FCD17" s="8"/>
      <c r="FCE17" s="8"/>
      <c r="FCF17" s="8"/>
      <c r="FCG17" s="8"/>
      <c r="FCH17" s="8"/>
      <c r="FCI17" s="8"/>
      <c r="FCJ17" s="8"/>
      <c r="FCK17" s="8"/>
      <c r="FCL17" s="8"/>
      <c r="FCM17" s="8"/>
      <c r="FCN17" s="8"/>
      <c r="FCO17" s="8"/>
      <c r="FCP17" s="8"/>
      <c r="FCQ17" s="8"/>
      <c r="FCR17" s="8"/>
      <c r="FCS17" s="8"/>
      <c r="FCT17" s="8"/>
      <c r="FCU17" s="8"/>
      <c r="FCV17" s="8"/>
      <c r="FCW17" s="8"/>
      <c r="FCX17" s="8"/>
      <c r="FCY17" s="8"/>
      <c r="FCZ17" s="8"/>
      <c r="FDA17" s="8"/>
      <c r="FDB17" s="8"/>
      <c r="FDC17" s="8"/>
      <c r="FDD17" s="8"/>
      <c r="FDE17" s="8"/>
      <c r="FDF17" s="8"/>
      <c r="FDG17" s="8"/>
      <c r="FDH17" s="8"/>
      <c r="FDI17" s="8"/>
      <c r="FDJ17" s="8"/>
      <c r="FDK17" s="8"/>
      <c r="FDL17" s="8"/>
      <c r="FDM17" s="8"/>
      <c r="FDN17" s="8"/>
      <c r="FDO17" s="8"/>
      <c r="FDP17" s="8"/>
      <c r="FDQ17" s="8"/>
      <c r="FDR17" s="8"/>
      <c r="FDS17" s="8"/>
      <c r="FDT17" s="8"/>
      <c r="FDU17" s="8"/>
      <c r="FDV17" s="8"/>
      <c r="FDW17" s="8"/>
      <c r="FDX17" s="8"/>
      <c r="FDY17" s="8"/>
      <c r="FDZ17" s="8"/>
      <c r="FEA17" s="8"/>
      <c r="FEB17" s="8"/>
      <c r="FEC17" s="8"/>
      <c r="FED17" s="8"/>
      <c r="FEE17" s="8"/>
      <c r="FEF17" s="8"/>
      <c r="FEG17" s="8"/>
      <c r="FEH17" s="8"/>
      <c r="FEI17" s="8"/>
      <c r="FEJ17" s="8"/>
      <c r="FEK17" s="8"/>
      <c r="FEL17" s="8"/>
      <c r="FEM17" s="8"/>
      <c r="FEN17" s="8"/>
      <c r="FEO17" s="8"/>
      <c r="FEP17" s="8"/>
      <c r="FEQ17" s="8"/>
      <c r="FER17" s="8"/>
      <c r="FES17" s="8"/>
      <c r="FET17" s="8"/>
      <c r="FEU17" s="8"/>
      <c r="FEV17" s="8"/>
      <c r="FEW17" s="8"/>
      <c r="FEX17" s="8"/>
      <c r="FEY17" s="8"/>
      <c r="FEZ17" s="8"/>
      <c r="FFA17" s="8"/>
      <c r="FFB17" s="8"/>
      <c r="FFC17" s="8"/>
      <c r="FFD17" s="8"/>
      <c r="FFE17" s="8"/>
      <c r="FFF17" s="8"/>
      <c r="FFG17" s="8"/>
      <c r="FFH17" s="8"/>
      <c r="FFI17" s="8"/>
      <c r="FFJ17" s="8"/>
      <c r="FFK17" s="8"/>
      <c r="FFL17" s="8"/>
      <c r="FFM17" s="8"/>
      <c r="FFN17" s="8"/>
      <c r="FFO17" s="8"/>
      <c r="FFP17" s="8"/>
      <c r="FFQ17" s="8"/>
      <c r="FFR17" s="8"/>
      <c r="FFS17" s="8"/>
      <c r="FFT17" s="8"/>
      <c r="FFU17" s="8"/>
      <c r="FFV17" s="8"/>
      <c r="FFW17" s="8"/>
      <c r="FFX17" s="8"/>
      <c r="FFY17" s="8"/>
      <c r="FFZ17" s="8"/>
      <c r="FGA17" s="8"/>
      <c r="FGB17" s="8"/>
      <c r="FGC17" s="8"/>
      <c r="FGD17" s="8"/>
      <c r="FGE17" s="8"/>
      <c r="FGF17" s="8"/>
      <c r="FGG17" s="8"/>
      <c r="FGH17" s="8"/>
      <c r="FGI17" s="8"/>
      <c r="FGJ17" s="8"/>
      <c r="FGK17" s="8"/>
      <c r="FGL17" s="8"/>
      <c r="FGM17" s="8"/>
      <c r="FGN17" s="8"/>
      <c r="FGO17" s="8"/>
      <c r="FGP17" s="8"/>
      <c r="FGQ17" s="8"/>
      <c r="FGR17" s="8"/>
      <c r="FGS17" s="8"/>
      <c r="FGT17" s="8"/>
      <c r="FGU17" s="8"/>
      <c r="FGV17" s="8"/>
      <c r="FGW17" s="8"/>
      <c r="FGX17" s="8"/>
      <c r="FGY17" s="8"/>
      <c r="FGZ17" s="8"/>
      <c r="FHA17" s="8"/>
      <c r="FHB17" s="8"/>
      <c r="FHC17" s="8"/>
      <c r="FHD17" s="8"/>
      <c r="FHE17" s="8"/>
      <c r="FHF17" s="8"/>
      <c r="FHG17" s="8"/>
      <c r="FHH17" s="8"/>
      <c r="FHI17" s="8"/>
      <c r="FHJ17" s="8"/>
      <c r="FHK17" s="8"/>
      <c r="FHL17" s="8"/>
      <c r="FHM17" s="8"/>
      <c r="FHN17" s="8"/>
      <c r="FHO17" s="8"/>
      <c r="FHP17" s="8"/>
      <c r="FHQ17" s="8"/>
      <c r="FHR17" s="8"/>
      <c r="FHS17" s="8"/>
      <c r="FHT17" s="8"/>
      <c r="FHU17" s="8"/>
      <c r="FHV17" s="8"/>
      <c r="FHW17" s="8"/>
      <c r="FHX17" s="8"/>
      <c r="FHY17" s="8"/>
      <c r="FHZ17" s="8"/>
      <c r="FIA17" s="8"/>
      <c r="FIB17" s="8"/>
      <c r="FIC17" s="8"/>
      <c r="FID17" s="8"/>
      <c r="FIE17" s="8"/>
      <c r="FIF17" s="8"/>
      <c r="FIG17" s="8"/>
      <c r="FIH17" s="8"/>
      <c r="FII17" s="8"/>
      <c r="FIJ17" s="8"/>
      <c r="FIK17" s="8"/>
      <c r="FIL17" s="8"/>
      <c r="FIM17" s="8"/>
      <c r="FIN17" s="8"/>
      <c r="FIO17" s="8"/>
      <c r="FIP17" s="8"/>
      <c r="FIQ17" s="8"/>
      <c r="FIR17" s="8"/>
      <c r="FIS17" s="8"/>
      <c r="FIT17" s="8"/>
      <c r="FIU17" s="8"/>
      <c r="FIV17" s="8"/>
      <c r="FIW17" s="8"/>
      <c r="FIX17" s="8"/>
      <c r="FIY17" s="8"/>
      <c r="FIZ17" s="8"/>
      <c r="FJA17" s="8"/>
      <c r="FJB17" s="8"/>
      <c r="FJC17" s="8"/>
      <c r="FJD17" s="8"/>
      <c r="FJE17" s="8"/>
      <c r="FJF17" s="8"/>
      <c r="FJG17" s="8"/>
      <c r="FJH17" s="8"/>
      <c r="FJI17" s="8"/>
      <c r="FJJ17" s="8"/>
      <c r="FJK17" s="8"/>
      <c r="FJL17" s="8"/>
      <c r="FJM17" s="8"/>
      <c r="FJN17" s="8"/>
      <c r="FJO17" s="8"/>
      <c r="FJP17" s="8"/>
      <c r="FJQ17" s="8"/>
      <c r="FJR17" s="8"/>
      <c r="FJS17" s="8"/>
      <c r="FJT17" s="8"/>
      <c r="FJU17" s="8"/>
      <c r="FJV17" s="8"/>
      <c r="FJW17" s="8"/>
      <c r="FJX17" s="8"/>
      <c r="FJY17" s="8"/>
      <c r="FJZ17" s="8"/>
      <c r="FKA17" s="8"/>
      <c r="FKB17" s="8"/>
      <c r="FKC17" s="8"/>
      <c r="FKD17" s="8"/>
      <c r="FKE17" s="8"/>
      <c r="FKF17" s="8"/>
      <c r="FKG17" s="8"/>
      <c r="FKH17" s="8"/>
      <c r="FKI17" s="8"/>
      <c r="FKJ17" s="8"/>
      <c r="FKK17" s="8"/>
      <c r="FKL17" s="8"/>
      <c r="FKM17" s="8"/>
      <c r="FKN17" s="8"/>
      <c r="FKO17" s="8"/>
      <c r="FKP17" s="8"/>
      <c r="FKQ17" s="8"/>
      <c r="FKR17" s="8"/>
      <c r="FKS17" s="8"/>
      <c r="FKT17" s="8"/>
      <c r="FKU17" s="8"/>
      <c r="FKV17" s="8"/>
      <c r="FKW17" s="8"/>
      <c r="FKX17" s="8"/>
      <c r="FKY17" s="8"/>
      <c r="FKZ17" s="8"/>
      <c r="FLA17" s="8"/>
      <c r="FLB17" s="8"/>
      <c r="FLC17" s="8"/>
      <c r="FLD17" s="8"/>
      <c r="FLE17" s="8"/>
      <c r="FLF17" s="8"/>
      <c r="FLG17" s="8"/>
      <c r="FLH17" s="8"/>
      <c r="FLI17" s="8"/>
      <c r="FLJ17" s="8"/>
      <c r="FLK17" s="8"/>
      <c r="FLL17" s="8"/>
      <c r="FLM17" s="8"/>
      <c r="FLN17" s="8"/>
      <c r="FLO17" s="8"/>
      <c r="FLP17" s="8"/>
      <c r="FLQ17" s="8"/>
      <c r="FLR17" s="8"/>
      <c r="FLS17" s="8"/>
      <c r="FLT17" s="8"/>
      <c r="FLU17" s="8"/>
      <c r="FLV17" s="8"/>
      <c r="FLW17" s="8"/>
      <c r="FLX17" s="8"/>
      <c r="FLY17" s="8"/>
      <c r="FLZ17" s="8"/>
      <c r="FMA17" s="8"/>
      <c r="FMB17" s="8"/>
      <c r="FMC17" s="8"/>
      <c r="FMD17" s="8"/>
      <c r="FME17" s="8"/>
      <c r="FMF17" s="8"/>
      <c r="FMG17" s="8"/>
      <c r="FMH17" s="8"/>
      <c r="FMI17" s="8"/>
      <c r="FMJ17" s="8"/>
      <c r="FMK17" s="8"/>
      <c r="FML17" s="8"/>
      <c r="FMM17" s="8"/>
      <c r="FMN17" s="8"/>
      <c r="FMO17" s="8"/>
      <c r="FMP17" s="8"/>
      <c r="FMQ17" s="8"/>
      <c r="FMR17" s="8"/>
      <c r="FMS17" s="8"/>
      <c r="FMT17" s="8"/>
      <c r="FMU17" s="8"/>
      <c r="FMV17" s="8"/>
      <c r="FMW17" s="8"/>
      <c r="FMX17" s="8"/>
      <c r="FMY17" s="8"/>
      <c r="FMZ17" s="8"/>
      <c r="FNA17" s="8"/>
      <c r="FNB17" s="8"/>
      <c r="FNC17" s="8"/>
      <c r="FND17" s="8"/>
      <c r="FNE17" s="8"/>
      <c r="FNF17" s="8"/>
      <c r="FNG17" s="8"/>
      <c r="FNH17" s="8"/>
      <c r="FNI17" s="8"/>
      <c r="FNJ17" s="8"/>
      <c r="FNK17" s="8"/>
      <c r="FNL17" s="8"/>
      <c r="FNM17" s="8"/>
      <c r="FNN17" s="8"/>
      <c r="FNO17" s="8"/>
      <c r="FNP17" s="8"/>
      <c r="FNQ17" s="8"/>
      <c r="FNR17" s="8"/>
      <c r="FNS17" s="8"/>
      <c r="FNT17" s="8"/>
      <c r="FNU17" s="8"/>
      <c r="FNV17" s="8"/>
      <c r="FNW17" s="8"/>
      <c r="FNX17" s="8"/>
      <c r="FNY17" s="8"/>
      <c r="FNZ17" s="8"/>
      <c r="FOA17" s="8"/>
      <c r="FOB17" s="8"/>
      <c r="FOC17" s="8"/>
      <c r="FOD17" s="8"/>
      <c r="FOE17" s="8"/>
      <c r="FOF17" s="8"/>
      <c r="FOG17" s="8"/>
      <c r="FOH17" s="8"/>
      <c r="FOI17" s="8"/>
      <c r="FOJ17" s="8"/>
      <c r="FOK17" s="8"/>
      <c r="FOL17" s="8"/>
      <c r="FOM17" s="8"/>
      <c r="FON17" s="8"/>
      <c r="FOO17" s="8"/>
      <c r="FOP17" s="8"/>
      <c r="FOQ17" s="8"/>
      <c r="FOR17" s="8"/>
      <c r="FOS17" s="8"/>
      <c r="FOT17" s="8"/>
      <c r="FOU17" s="8"/>
      <c r="FOV17" s="8"/>
      <c r="FOW17" s="8"/>
      <c r="FOX17" s="8"/>
      <c r="FOY17" s="8"/>
      <c r="FOZ17" s="8"/>
      <c r="FPA17" s="8"/>
      <c r="FPB17" s="8"/>
      <c r="FPC17" s="8"/>
      <c r="FPD17" s="8"/>
      <c r="FPE17" s="8"/>
      <c r="FPF17" s="8"/>
      <c r="FPG17" s="8"/>
      <c r="FPH17" s="8"/>
      <c r="FPI17" s="8"/>
      <c r="FPJ17" s="8"/>
      <c r="FPK17" s="8"/>
      <c r="FPL17" s="8"/>
      <c r="FPM17" s="8"/>
      <c r="FPN17" s="8"/>
      <c r="FPO17" s="8"/>
      <c r="FPP17" s="8"/>
      <c r="FPQ17" s="8"/>
      <c r="FPR17" s="8"/>
      <c r="FPS17" s="8"/>
      <c r="FPT17" s="8"/>
      <c r="FPU17" s="8"/>
      <c r="FPV17" s="8"/>
      <c r="FPW17" s="8"/>
      <c r="FPX17" s="8"/>
      <c r="FPY17" s="8"/>
      <c r="FPZ17" s="8"/>
      <c r="FQA17" s="8"/>
      <c r="FQB17" s="8"/>
      <c r="FQC17" s="8"/>
      <c r="FQD17" s="8"/>
      <c r="FQE17" s="8"/>
      <c r="FQF17" s="8"/>
      <c r="FQG17" s="8"/>
      <c r="FQH17" s="8"/>
      <c r="FQI17" s="8"/>
      <c r="FQJ17" s="8"/>
      <c r="FQK17" s="8"/>
      <c r="FQL17" s="8"/>
      <c r="FQM17" s="8"/>
      <c r="FQN17" s="8"/>
      <c r="FQO17" s="8"/>
      <c r="FQP17" s="8"/>
      <c r="FQQ17" s="8"/>
      <c r="FQR17" s="8"/>
      <c r="FQS17" s="8"/>
      <c r="FQT17" s="8"/>
      <c r="FQU17" s="8"/>
      <c r="FQV17" s="8"/>
      <c r="FQW17" s="8"/>
      <c r="FQX17" s="8"/>
      <c r="FQY17" s="8"/>
      <c r="FQZ17" s="8"/>
      <c r="FRA17" s="8"/>
      <c r="FRB17" s="8"/>
      <c r="FRC17" s="8"/>
      <c r="FRD17" s="8"/>
      <c r="FRE17" s="8"/>
      <c r="FRF17" s="8"/>
      <c r="FRG17" s="8"/>
      <c r="FRH17" s="8"/>
      <c r="FRI17" s="8"/>
      <c r="FRJ17" s="8"/>
      <c r="FRK17" s="8"/>
      <c r="FRL17" s="8"/>
      <c r="FRM17" s="8"/>
      <c r="FRN17" s="8"/>
      <c r="FRO17" s="8"/>
      <c r="FRP17" s="8"/>
      <c r="FRQ17" s="8"/>
      <c r="FRR17" s="8"/>
      <c r="FRS17" s="8"/>
      <c r="FRT17" s="8"/>
      <c r="FRU17" s="8"/>
      <c r="FRV17" s="8"/>
      <c r="FRW17" s="8"/>
      <c r="FRX17" s="8"/>
      <c r="FRY17" s="8"/>
      <c r="FRZ17" s="8"/>
      <c r="FSA17" s="8"/>
      <c r="FSB17" s="8"/>
      <c r="FSC17" s="8"/>
      <c r="FSD17" s="8"/>
      <c r="FSE17" s="8"/>
      <c r="FSF17" s="8"/>
      <c r="FSG17" s="8"/>
      <c r="FSH17" s="8"/>
      <c r="FSI17" s="8"/>
      <c r="FSJ17" s="8"/>
      <c r="FSK17" s="8"/>
      <c r="FSL17" s="8"/>
      <c r="FSM17" s="8"/>
      <c r="FSN17" s="8"/>
      <c r="FSO17" s="8"/>
      <c r="FSP17" s="8"/>
      <c r="FSQ17" s="8"/>
      <c r="FSR17" s="8"/>
      <c r="FSS17" s="8"/>
      <c r="FST17" s="8"/>
      <c r="FSU17" s="8"/>
      <c r="FSV17" s="8"/>
      <c r="FSW17" s="8"/>
      <c r="FSX17" s="8"/>
      <c r="FSY17" s="8"/>
      <c r="FSZ17" s="8"/>
      <c r="FTA17" s="8"/>
      <c r="FTB17" s="8"/>
      <c r="FTC17" s="8"/>
      <c r="FTD17" s="8"/>
      <c r="FTE17" s="8"/>
      <c r="FTF17" s="8"/>
      <c r="FTG17" s="8"/>
      <c r="FTH17" s="8"/>
      <c r="FTI17" s="8"/>
      <c r="FTJ17" s="8"/>
      <c r="FTK17" s="8"/>
      <c r="FTL17" s="8"/>
      <c r="FTM17" s="8"/>
      <c r="FTN17" s="8"/>
      <c r="FTO17" s="8"/>
      <c r="FTP17" s="8"/>
      <c r="FTQ17" s="8"/>
      <c r="FTR17" s="8"/>
      <c r="FTS17" s="8"/>
      <c r="FTT17" s="8"/>
      <c r="FTU17" s="8"/>
      <c r="FTV17" s="8"/>
      <c r="FTW17" s="8"/>
      <c r="FTX17" s="8"/>
      <c r="FTY17" s="8"/>
      <c r="FTZ17" s="8"/>
      <c r="FUA17" s="8"/>
      <c r="FUB17" s="8"/>
      <c r="FUC17" s="8"/>
      <c r="FUD17" s="8"/>
      <c r="FUE17" s="8"/>
      <c r="FUF17" s="8"/>
      <c r="FUG17" s="8"/>
      <c r="FUH17" s="8"/>
      <c r="FUI17" s="8"/>
      <c r="FUJ17" s="8"/>
      <c r="FUK17" s="8"/>
      <c r="FUL17" s="8"/>
      <c r="FUM17" s="8"/>
      <c r="FUN17" s="8"/>
      <c r="FUO17" s="8"/>
      <c r="FUP17" s="8"/>
      <c r="FUQ17" s="8"/>
      <c r="FUR17" s="8"/>
      <c r="FUS17" s="8"/>
      <c r="FUT17" s="8"/>
      <c r="FUU17" s="8"/>
      <c r="FUV17" s="8"/>
      <c r="FUW17" s="8"/>
      <c r="FUX17" s="8"/>
      <c r="FUY17" s="8"/>
      <c r="FUZ17" s="8"/>
      <c r="FVA17" s="8"/>
      <c r="FVB17" s="8"/>
      <c r="FVC17" s="8"/>
      <c r="FVD17" s="8"/>
      <c r="FVE17" s="8"/>
      <c r="FVF17" s="8"/>
      <c r="FVG17" s="8"/>
      <c r="FVH17" s="8"/>
      <c r="FVI17" s="8"/>
      <c r="FVJ17" s="8"/>
      <c r="FVK17" s="8"/>
      <c r="FVL17" s="8"/>
      <c r="FVM17" s="8"/>
      <c r="FVN17" s="8"/>
      <c r="FVO17" s="8"/>
      <c r="FVP17" s="8"/>
      <c r="FVQ17" s="8"/>
      <c r="FVR17" s="8"/>
      <c r="FVS17" s="8"/>
      <c r="FVT17" s="8"/>
      <c r="FVU17" s="8"/>
      <c r="FVV17" s="8"/>
      <c r="FVW17" s="8"/>
      <c r="FVX17" s="8"/>
      <c r="FVY17" s="8"/>
      <c r="FVZ17" s="8"/>
      <c r="FWA17" s="8"/>
      <c r="FWB17" s="8"/>
      <c r="FWC17" s="8"/>
      <c r="FWD17" s="8"/>
      <c r="FWE17" s="8"/>
      <c r="FWF17" s="8"/>
      <c r="FWG17" s="8"/>
      <c r="FWH17" s="8"/>
      <c r="FWI17" s="8"/>
      <c r="FWJ17" s="8"/>
      <c r="FWK17" s="8"/>
      <c r="FWL17" s="8"/>
      <c r="FWM17" s="8"/>
      <c r="FWN17" s="8"/>
      <c r="FWO17" s="8"/>
      <c r="FWP17" s="8"/>
      <c r="FWQ17" s="8"/>
      <c r="FWR17" s="8"/>
      <c r="FWS17" s="8"/>
      <c r="FWT17" s="8"/>
      <c r="FWU17" s="8"/>
      <c r="FWV17" s="8"/>
      <c r="FWW17" s="8"/>
      <c r="FWX17" s="8"/>
      <c r="FWY17" s="8"/>
      <c r="FWZ17" s="8"/>
      <c r="FXA17" s="8"/>
      <c r="FXB17" s="8"/>
      <c r="FXC17" s="8"/>
      <c r="FXD17" s="8"/>
      <c r="FXE17" s="8"/>
      <c r="FXF17" s="8"/>
      <c r="FXG17" s="8"/>
      <c r="FXH17" s="8"/>
      <c r="FXI17" s="8"/>
      <c r="FXJ17" s="8"/>
      <c r="FXK17" s="8"/>
      <c r="FXL17" s="8"/>
      <c r="FXM17" s="8"/>
      <c r="FXN17" s="8"/>
      <c r="FXO17" s="8"/>
      <c r="FXP17" s="8"/>
      <c r="FXQ17" s="8"/>
      <c r="FXR17" s="8"/>
      <c r="FXS17" s="8"/>
      <c r="FXT17" s="8"/>
      <c r="FXU17" s="8"/>
      <c r="FXV17" s="8"/>
      <c r="FXW17" s="8"/>
      <c r="FXX17" s="8"/>
      <c r="FXY17" s="8"/>
      <c r="FXZ17" s="8"/>
      <c r="FYA17" s="8"/>
      <c r="FYB17" s="8"/>
      <c r="FYC17" s="8"/>
      <c r="FYD17" s="8"/>
      <c r="FYE17" s="8"/>
      <c r="FYF17" s="8"/>
      <c r="FYG17" s="8"/>
      <c r="FYH17" s="8"/>
      <c r="FYI17" s="8"/>
      <c r="FYJ17" s="8"/>
      <c r="FYK17" s="8"/>
      <c r="FYL17" s="8"/>
      <c r="FYM17" s="8"/>
      <c r="FYN17" s="8"/>
      <c r="FYO17" s="8"/>
      <c r="FYP17" s="8"/>
      <c r="FYQ17" s="8"/>
      <c r="FYR17" s="8"/>
      <c r="FYS17" s="8"/>
      <c r="FYT17" s="8"/>
      <c r="FYU17" s="8"/>
      <c r="FYV17" s="8"/>
      <c r="FYW17" s="8"/>
      <c r="FYX17" s="8"/>
      <c r="FYY17" s="8"/>
      <c r="FYZ17" s="8"/>
      <c r="FZA17" s="8"/>
      <c r="FZB17" s="8"/>
      <c r="FZC17" s="8"/>
      <c r="FZD17" s="8"/>
      <c r="FZE17" s="8"/>
      <c r="FZF17" s="8"/>
      <c r="FZG17" s="8"/>
      <c r="FZH17" s="8"/>
      <c r="FZI17" s="8"/>
      <c r="FZJ17" s="8"/>
      <c r="FZK17" s="8"/>
      <c r="FZL17" s="8"/>
      <c r="FZM17" s="8"/>
      <c r="FZN17" s="8"/>
      <c r="FZO17" s="8"/>
      <c r="FZP17" s="8"/>
      <c r="FZQ17" s="8"/>
      <c r="FZR17" s="8"/>
      <c r="FZS17" s="8"/>
      <c r="FZT17" s="8"/>
      <c r="FZU17" s="8"/>
      <c r="FZV17" s="8"/>
      <c r="FZW17" s="8"/>
      <c r="FZX17" s="8"/>
      <c r="FZY17" s="8"/>
      <c r="FZZ17" s="8"/>
      <c r="GAA17" s="8"/>
      <c r="GAB17" s="8"/>
      <c r="GAC17" s="8"/>
      <c r="GAD17" s="8"/>
      <c r="GAE17" s="8"/>
      <c r="GAF17" s="8"/>
      <c r="GAG17" s="8"/>
      <c r="GAH17" s="8"/>
      <c r="GAI17" s="8"/>
      <c r="GAJ17" s="8"/>
      <c r="GAK17" s="8"/>
      <c r="GAL17" s="8"/>
      <c r="GAM17" s="8"/>
      <c r="GAN17" s="8"/>
      <c r="GAO17" s="8"/>
      <c r="GAP17" s="8"/>
      <c r="GAQ17" s="8"/>
      <c r="GAR17" s="8"/>
      <c r="GAS17" s="8"/>
      <c r="GAT17" s="8"/>
      <c r="GAU17" s="8"/>
      <c r="GAV17" s="8"/>
      <c r="GAW17" s="8"/>
      <c r="GAX17" s="8"/>
      <c r="GAY17" s="8"/>
      <c r="GAZ17" s="8"/>
      <c r="GBA17" s="8"/>
      <c r="GBB17" s="8"/>
      <c r="GBC17" s="8"/>
      <c r="GBD17" s="8"/>
      <c r="GBE17" s="8"/>
      <c r="GBF17" s="8"/>
      <c r="GBG17" s="8"/>
      <c r="GBH17" s="8"/>
      <c r="GBI17" s="8"/>
      <c r="GBJ17" s="8"/>
      <c r="GBK17" s="8"/>
      <c r="GBL17" s="8"/>
      <c r="GBM17" s="8"/>
      <c r="GBN17" s="8"/>
      <c r="GBO17" s="8"/>
      <c r="GBP17" s="8"/>
      <c r="GBQ17" s="8"/>
      <c r="GBR17" s="8"/>
      <c r="GBS17" s="8"/>
      <c r="GBT17" s="8"/>
      <c r="GBU17" s="8"/>
      <c r="GBV17" s="8"/>
      <c r="GBW17" s="8"/>
      <c r="GBX17" s="8"/>
      <c r="GBY17" s="8"/>
      <c r="GBZ17" s="8"/>
      <c r="GCA17" s="8"/>
      <c r="GCB17" s="8"/>
      <c r="GCC17" s="8"/>
      <c r="GCD17" s="8"/>
      <c r="GCE17" s="8"/>
      <c r="GCF17" s="8"/>
      <c r="GCG17" s="8"/>
      <c r="GCH17" s="8"/>
      <c r="GCI17" s="8"/>
      <c r="GCJ17" s="8"/>
      <c r="GCK17" s="8"/>
      <c r="GCL17" s="8"/>
      <c r="GCM17" s="8"/>
      <c r="GCN17" s="8"/>
      <c r="GCO17" s="8"/>
      <c r="GCP17" s="8"/>
      <c r="GCQ17" s="8"/>
      <c r="GCR17" s="8"/>
      <c r="GCS17" s="8"/>
      <c r="GCT17" s="8"/>
      <c r="GCU17" s="8"/>
      <c r="GCV17" s="8"/>
      <c r="GCW17" s="8"/>
      <c r="GCX17" s="8"/>
      <c r="GCY17" s="8"/>
      <c r="GCZ17" s="8"/>
      <c r="GDA17" s="8"/>
      <c r="GDB17" s="8"/>
      <c r="GDC17" s="8"/>
      <c r="GDD17" s="8"/>
      <c r="GDE17" s="8"/>
      <c r="GDF17" s="8"/>
      <c r="GDG17" s="8"/>
      <c r="GDH17" s="8"/>
      <c r="GDI17" s="8"/>
      <c r="GDJ17" s="8"/>
      <c r="GDK17" s="8"/>
      <c r="GDL17" s="8"/>
      <c r="GDM17" s="8"/>
      <c r="GDN17" s="8"/>
      <c r="GDO17" s="8"/>
      <c r="GDP17" s="8"/>
      <c r="GDQ17" s="8"/>
      <c r="GDR17" s="8"/>
      <c r="GDS17" s="8"/>
      <c r="GDT17" s="8"/>
      <c r="GDU17" s="8"/>
      <c r="GDV17" s="8"/>
      <c r="GDW17" s="8"/>
      <c r="GDX17" s="8"/>
      <c r="GDY17" s="8"/>
      <c r="GDZ17" s="8"/>
      <c r="GEA17" s="8"/>
      <c r="GEB17" s="8"/>
      <c r="GEC17" s="8"/>
      <c r="GED17" s="8"/>
      <c r="GEE17" s="8"/>
      <c r="GEF17" s="8"/>
      <c r="GEG17" s="8"/>
      <c r="GEH17" s="8"/>
      <c r="GEI17" s="8"/>
      <c r="GEJ17" s="8"/>
      <c r="GEK17" s="8"/>
      <c r="GEL17" s="8"/>
      <c r="GEM17" s="8"/>
      <c r="GEN17" s="8"/>
      <c r="GEO17" s="8"/>
      <c r="GEP17" s="8"/>
      <c r="GEQ17" s="8"/>
      <c r="GER17" s="8"/>
      <c r="GES17" s="8"/>
      <c r="GET17" s="8"/>
      <c r="GEU17" s="8"/>
      <c r="GEV17" s="8"/>
      <c r="GEW17" s="8"/>
      <c r="GEX17" s="8"/>
      <c r="GEY17" s="8"/>
      <c r="GEZ17" s="8"/>
      <c r="GFA17" s="8"/>
      <c r="GFB17" s="8"/>
      <c r="GFC17" s="8"/>
      <c r="GFD17" s="8"/>
      <c r="GFE17" s="8"/>
      <c r="GFF17" s="8"/>
      <c r="GFG17" s="8"/>
      <c r="GFH17" s="8"/>
      <c r="GFI17" s="8"/>
      <c r="GFJ17" s="8"/>
      <c r="GFK17" s="8"/>
      <c r="GFL17" s="8"/>
      <c r="GFM17" s="8"/>
      <c r="GFN17" s="8"/>
      <c r="GFO17" s="8"/>
      <c r="GFP17" s="8"/>
      <c r="GFQ17" s="8"/>
      <c r="GFR17" s="8"/>
      <c r="GFS17" s="8"/>
      <c r="GFT17" s="8"/>
      <c r="GFU17" s="8"/>
      <c r="GFV17" s="8"/>
      <c r="GFW17" s="8"/>
      <c r="GFX17" s="8"/>
      <c r="GFY17" s="8"/>
      <c r="GFZ17" s="8"/>
      <c r="GGA17" s="8"/>
      <c r="GGB17" s="8"/>
      <c r="GGC17" s="8"/>
      <c r="GGD17" s="8"/>
      <c r="GGE17" s="8"/>
      <c r="GGF17" s="8"/>
      <c r="GGG17" s="8"/>
      <c r="GGH17" s="8"/>
      <c r="GGI17" s="8"/>
      <c r="GGJ17" s="8"/>
      <c r="GGK17" s="8"/>
      <c r="GGL17" s="8"/>
      <c r="GGM17" s="8"/>
      <c r="GGN17" s="8"/>
      <c r="GGO17" s="8"/>
      <c r="GGP17" s="8"/>
      <c r="GGQ17" s="8"/>
      <c r="GGR17" s="8"/>
      <c r="GGS17" s="8"/>
      <c r="GGT17" s="8"/>
      <c r="GGU17" s="8"/>
      <c r="GGV17" s="8"/>
      <c r="GGW17" s="8"/>
      <c r="GGX17" s="8"/>
      <c r="GGY17" s="8"/>
      <c r="GGZ17" s="8"/>
      <c r="GHA17" s="8"/>
      <c r="GHB17" s="8"/>
      <c r="GHC17" s="8"/>
      <c r="GHD17" s="8"/>
      <c r="GHE17" s="8"/>
      <c r="GHF17" s="8"/>
      <c r="GHG17" s="8"/>
      <c r="GHH17" s="8"/>
      <c r="GHI17" s="8"/>
      <c r="GHJ17" s="8"/>
      <c r="GHK17" s="8"/>
      <c r="GHL17" s="8"/>
      <c r="GHM17" s="8"/>
      <c r="GHN17" s="8"/>
      <c r="GHO17" s="8"/>
      <c r="GHP17" s="8"/>
      <c r="GHQ17" s="8"/>
      <c r="GHR17" s="8"/>
      <c r="GHS17" s="8"/>
      <c r="GHT17" s="8"/>
      <c r="GHU17" s="8"/>
      <c r="GHV17" s="8"/>
      <c r="GHW17" s="8"/>
      <c r="GHX17" s="8"/>
      <c r="GHY17" s="8"/>
      <c r="GHZ17" s="8"/>
      <c r="GIA17" s="8"/>
      <c r="GIB17" s="8"/>
      <c r="GIC17" s="8"/>
      <c r="GID17" s="8"/>
      <c r="GIE17" s="8"/>
      <c r="GIF17" s="8"/>
      <c r="GIG17" s="8"/>
      <c r="GIH17" s="8"/>
      <c r="GII17" s="8"/>
      <c r="GIJ17" s="8"/>
      <c r="GIK17" s="8"/>
      <c r="GIL17" s="8"/>
      <c r="GIM17" s="8"/>
      <c r="GIN17" s="8"/>
      <c r="GIO17" s="8"/>
      <c r="GIP17" s="8"/>
      <c r="GIQ17" s="8"/>
      <c r="GIR17" s="8"/>
      <c r="GIS17" s="8"/>
      <c r="GIT17" s="8"/>
      <c r="GIU17" s="8"/>
      <c r="GIV17" s="8"/>
      <c r="GIW17" s="8"/>
      <c r="GIX17" s="8"/>
      <c r="GIY17" s="8"/>
      <c r="GIZ17" s="8"/>
      <c r="GJA17" s="8"/>
      <c r="GJB17" s="8"/>
      <c r="GJC17" s="8"/>
      <c r="GJD17" s="8"/>
      <c r="GJE17" s="8"/>
      <c r="GJF17" s="8"/>
      <c r="GJG17" s="8"/>
      <c r="GJH17" s="8"/>
      <c r="GJI17" s="8"/>
      <c r="GJJ17" s="8"/>
      <c r="GJK17" s="8"/>
      <c r="GJL17" s="8"/>
      <c r="GJM17" s="8"/>
      <c r="GJN17" s="8"/>
      <c r="GJO17" s="8"/>
      <c r="GJP17" s="8"/>
      <c r="GJQ17" s="8"/>
      <c r="GJR17" s="8"/>
      <c r="GJS17" s="8"/>
      <c r="GJT17" s="8"/>
      <c r="GJU17" s="8"/>
      <c r="GJV17" s="8"/>
      <c r="GJW17" s="8"/>
      <c r="GJX17" s="8"/>
      <c r="GJY17" s="8"/>
      <c r="GJZ17" s="8"/>
      <c r="GKA17" s="8"/>
      <c r="GKB17" s="8"/>
      <c r="GKC17" s="8"/>
      <c r="GKD17" s="8"/>
      <c r="GKE17" s="8"/>
      <c r="GKF17" s="8"/>
      <c r="GKG17" s="8"/>
      <c r="GKH17" s="8"/>
      <c r="GKI17" s="8"/>
      <c r="GKJ17" s="8"/>
      <c r="GKK17" s="8"/>
      <c r="GKL17" s="8"/>
      <c r="GKM17" s="8"/>
      <c r="GKN17" s="8"/>
      <c r="GKO17" s="8"/>
      <c r="GKP17" s="8"/>
      <c r="GKQ17" s="8"/>
      <c r="GKR17" s="8"/>
      <c r="GKS17" s="8"/>
      <c r="GKT17" s="8"/>
      <c r="GKU17" s="8"/>
      <c r="GKV17" s="8"/>
      <c r="GKW17" s="8"/>
      <c r="GKX17" s="8"/>
      <c r="GKY17" s="8"/>
      <c r="GKZ17" s="8"/>
      <c r="GLA17" s="8"/>
      <c r="GLB17" s="8"/>
      <c r="GLC17" s="8"/>
      <c r="GLD17" s="8"/>
      <c r="GLE17" s="8"/>
      <c r="GLF17" s="8"/>
      <c r="GLG17" s="8"/>
      <c r="GLH17" s="8"/>
      <c r="GLI17" s="8"/>
      <c r="GLJ17" s="8"/>
      <c r="GLK17" s="8"/>
      <c r="GLL17" s="8"/>
      <c r="GLM17" s="8"/>
      <c r="GLN17" s="8"/>
      <c r="GLO17" s="8"/>
      <c r="GLP17" s="8"/>
      <c r="GLQ17" s="8"/>
      <c r="GLR17" s="8"/>
      <c r="GLS17" s="8"/>
      <c r="GLT17" s="8"/>
      <c r="GLU17" s="8"/>
      <c r="GLV17" s="8"/>
      <c r="GLW17" s="8"/>
      <c r="GLX17" s="8"/>
      <c r="GLY17" s="8"/>
      <c r="GLZ17" s="8"/>
      <c r="GMA17" s="8"/>
      <c r="GMB17" s="8"/>
      <c r="GMC17" s="8"/>
      <c r="GMD17" s="8"/>
      <c r="GME17" s="8"/>
      <c r="GMF17" s="8"/>
      <c r="GMG17" s="8"/>
      <c r="GMH17" s="8"/>
      <c r="GMI17" s="8"/>
      <c r="GMJ17" s="8"/>
      <c r="GMK17" s="8"/>
      <c r="GML17" s="8"/>
      <c r="GMM17" s="8"/>
      <c r="GMN17" s="8"/>
      <c r="GMO17" s="8"/>
      <c r="GMP17" s="8"/>
      <c r="GMQ17" s="8"/>
      <c r="GMR17" s="8"/>
      <c r="GMS17" s="8"/>
      <c r="GMT17" s="8"/>
      <c r="GMU17" s="8"/>
      <c r="GMV17" s="8"/>
      <c r="GMW17" s="8"/>
      <c r="GMX17" s="8"/>
      <c r="GMY17" s="8"/>
      <c r="GMZ17" s="8"/>
      <c r="GNA17" s="8"/>
      <c r="GNB17" s="8"/>
      <c r="GNC17" s="8"/>
      <c r="GND17" s="8"/>
      <c r="GNE17" s="8"/>
      <c r="GNF17" s="8"/>
      <c r="GNG17" s="8"/>
      <c r="GNH17" s="8"/>
      <c r="GNI17" s="8"/>
      <c r="GNJ17" s="8"/>
      <c r="GNK17" s="8"/>
      <c r="GNL17" s="8"/>
      <c r="GNM17" s="8"/>
      <c r="GNN17" s="8"/>
      <c r="GNO17" s="8"/>
      <c r="GNP17" s="8"/>
      <c r="GNQ17" s="8"/>
      <c r="GNR17" s="8"/>
      <c r="GNS17" s="8"/>
      <c r="GNT17" s="8"/>
      <c r="GNU17" s="8"/>
      <c r="GNV17" s="8"/>
      <c r="GNW17" s="8"/>
      <c r="GNX17" s="8"/>
      <c r="GNY17" s="8"/>
      <c r="GNZ17" s="8"/>
      <c r="GOA17" s="8"/>
      <c r="GOB17" s="8"/>
      <c r="GOC17" s="8"/>
      <c r="GOD17" s="8"/>
      <c r="GOE17" s="8"/>
      <c r="GOF17" s="8"/>
      <c r="GOG17" s="8"/>
      <c r="GOH17" s="8"/>
      <c r="GOI17" s="8"/>
      <c r="GOJ17" s="8"/>
      <c r="GOK17" s="8"/>
      <c r="GOL17" s="8"/>
      <c r="GOM17" s="8"/>
      <c r="GON17" s="8"/>
      <c r="GOO17" s="8"/>
      <c r="GOP17" s="8"/>
      <c r="GOQ17" s="8"/>
      <c r="GOR17" s="8"/>
      <c r="GOS17" s="8"/>
      <c r="GOT17" s="8"/>
      <c r="GOU17" s="8"/>
      <c r="GOV17" s="8"/>
      <c r="GOW17" s="8"/>
      <c r="GOX17" s="8"/>
      <c r="GOY17" s="8"/>
      <c r="GOZ17" s="8"/>
      <c r="GPA17" s="8"/>
      <c r="GPB17" s="8"/>
      <c r="GPC17" s="8"/>
      <c r="GPD17" s="8"/>
      <c r="GPE17" s="8"/>
      <c r="GPF17" s="8"/>
      <c r="GPG17" s="8"/>
      <c r="GPH17" s="8"/>
      <c r="GPI17" s="8"/>
      <c r="GPJ17" s="8"/>
      <c r="GPK17" s="8"/>
      <c r="GPL17" s="8"/>
      <c r="GPM17" s="8"/>
      <c r="GPN17" s="8"/>
      <c r="GPO17" s="8"/>
      <c r="GPP17" s="8"/>
      <c r="GPQ17" s="8"/>
      <c r="GPR17" s="8"/>
      <c r="GPS17" s="8"/>
      <c r="GPT17" s="8"/>
      <c r="GPU17" s="8"/>
      <c r="GPV17" s="8"/>
      <c r="GPW17" s="8"/>
      <c r="GPX17" s="8"/>
      <c r="GPY17" s="8"/>
      <c r="GPZ17" s="8"/>
      <c r="GQA17" s="8"/>
      <c r="GQB17" s="8"/>
      <c r="GQC17" s="8"/>
      <c r="GQD17" s="8"/>
      <c r="GQE17" s="8"/>
      <c r="GQF17" s="8"/>
      <c r="GQG17" s="8"/>
      <c r="GQH17" s="8"/>
      <c r="GQI17" s="8"/>
      <c r="GQJ17" s="8"/>
      <c r="GQK17" s="8"/>
      <c r="GQL17" s="8"/>
      <c r="GQM17" s="8"/>
      <c r="GQN17" s="8"/>
      <c r="GQO17" s="8"/>
      <c r="GQP17" s="8"/>
      <c r="GQQ17" s="8"/>
      <c r="GQR17" s="8"/>
      <c r="GQS17" s="8"/>
      <c r="GQT17" s="8"/>
      <c r="GQU17" s="8"/>
      <c r="GQV17" s="8"/>
      <c r="GQW17" s="8"/>
      <c r="GQX17" s="8"/>
      <c r="GQY17" s="8"/>
      <c r="GQZ17" s="8"/>
      <c r="GRA17" s="8"/>
      <c r="GRB17" s="8"/>
      <c r="GRC17" s="8"/>
      <c r="GRD17" s="8"/>
      <c r="GRE17" s="8"/>
      <c r="GRF17" s="8"/>
      <c r="GRG17" s="8"/>
      <c r="GRH17" s="8"/>
      <c r="GRI17" s="8"/>
      <c r="GRJ17" s="8"/>
      <c r="GRK17" s="8"/>
      <c r="GRL17" s="8"/>
      <c r="GRM17" s="8"/>
      <c r="GRN17" s="8"/>
      <c r="GRO17" s="8"/>
      <c r="GRP17" s="8"/>
      <c r="GRQ17" s="8"/>
      <c r="GRR17" s="8"/>
      <c r="GRS17" s="8"/>
      <c r="GRT17" s="8"/>
      <c r="GRU17" s="8"/>
      <c r="GRV17" s="8"/>
      <c r="GRW17" s="8"/>
      <c r="GRX17" s="8"/>
      <c r="GRY17" s="8"/>
      <c r="GRZ17" s="8"/>
      <c r="GSA17" s="8"/>
      <c r="GSB17" s="8"/>
      <c r="GSC17" s="8"/>
      <c r="GSD17" s="8"/>
      <c r="GSE17" s="8"/>
      <c r="GSF17" s="8"/>
      <c r="GSG17" s="8"/>
      <c r="GSH17" s="8"/>
      <c r="GSI17" s="8"/>
      <c r="GSJ17" s="8"/>
      <c r="GSK17" s="8"/>
      <c r="GSL17" s="8"/>
      <c r="GSM17" s="8"/>
      <c r="GSN17" s="8"/>
      <c r="GSO17" s="8"/>
      <c r="GSP17" s="8"/>
      <c r="GSQ17" s="8"/>
      <c r="GSR17" s="8"/>
      <c r="GSS17" s="8"/>
      <c r="GST17" s="8"/>
      <c r="GSU17" s="8"/>
      <c r="GSV17" s="8"/>
      <c r="GSW17" s="8"/>
      <c r="GSX17" s="8"/>
      <c r="GSY17" s="8"/>
      <c r="GSZ17" s="8"/>
      <c r="GTA17" s="8"/>
      <c r="GTB17" s="8"/>
      <c r="GTC17" s="8"/>
      <c r="GTD17" s="8"/>
      <c r="GTE17" s="8"/>
      <c r="GTF17" s="8"/>
      <c r="GTG17" s="8"/>
      <c r="GTH17" s="8"/>
      <c r="GTI17" s="8"/>
      <c r="GTJ17" s="8"/>
      <c r="GTK17" s="8"/>
      <c r="GTL17" s="8"/>
      <c r="GTM17" s="8"/>
      <c r="GTN17" s="8"/>
      <c r="GTO17" s="8"/>
      <c r="GTP17" s="8"/>
      <c r="GTQ17" s="8"/>
      <c r="GTR17" s="8"/>
      <c r="GTS17" s="8"/>
      <c r="GTT17" s="8"/>
      <c r="GTU17" s="8"/>
      <c r="GTV17" s="8"/>
      <c r="GTW17" s="8"/>
      <c r="GTX17" s="8"/>
      <c r="GTY17" s="8"/>
      <c r="GTZ17" s="8"/>
      <c r="GUA17" s="8"/>
      <c r="GUB17" s="8"/>
      <c r="GUC17" s="8"/>
      <c r="GUD17" s="8"/>
      <c r="GUE17" s="8"/>
      <c r="GUF17" s="8"/>
      <c r="GUG17" s="8"/>
      <c r="GUH17" s="8"/>
      <c r="GUI17" s="8"/>
      <c r="GUJ17" s="8"/>
      <c r="GUK17" s="8"/>
      <c r="GUL17" s="8"/>
      <c r="GUM17" s="8"/>
      <c r="GUN17" s="8"/>
      <c r="GUO17" s="8"/>
      <c r="GUP17" s="8"/>
      <c r="GUQ17" s="8"/>
      <c r="GUR17" s="8"/>
      <c r="GUS17" s="8"/>
      <c r="GUT17" s="8"/>
      <c r="GUU17" s="8"/>
      <c r="GUV17" s="8"/>
      <c r="GUW17" s="8"/>
      <c r="GUX17" s="8"/>
      <c r="GUY17" s="8"/>
      <c r="GUZ17" s="8"/>
      <c r="GVA17" s="8"/>
      <c r="GVB17" s="8"/>
      <c r="GVC17" s="8"/>
      <c r="GVD17" s="8"/>
      <c r="GVE17" s="8"/>
      <c r="GVF17" s="8"/>
      <c r="GVG17" s="8"/>
      <c r="GVH17" s="8"/>
      <c r="GVI17" s="8"/>
      <c r="GVJ17" s="8"/>
      <c r="GVK17" s="8"/>
      <c r="GVL17" s="8"/>
      <c r="GVM17" s="8"/>
      <c r="GVN17" s="8"/>
      <c r="GVO17" s="8"/>
      <c r="GVP17" s="8"/>
      <c r="GVQ17" s="8"/>
      <c r="GVR17" s="8"/>
      <c r="GVS17" s="8"/>
      <c r="GVT17" s="8"/>
      <c r="GVU17" s="8"/>
      <c r="GVV17" s="8"/>
      <c r="GVW17" s="8"/>
      <c r="GVX17" s="8"/>
      <c r="GVY17" s="8"/>
      <c r="GVZ17" s="8"/>
      <c r="GWA17" s="8"/>
      <c r="GWB17" s="8"/>
      <c r="GWC17" s="8"/>
      <c r="GWD17" s="8"/>
      <c r="GWE17" s="8"/>
      <c r="GWF17" s="8"/>
      <c r="GWG17" s="8"/>
      <c r="GWH17" s="8"/>
      <c r="GWI17" s="8"/>
      <c r="GWJ17" s="8"/>
      <c r="GWK17" s="8"/>
      <c r="GWL17" s="8"/>
      <c r="GWM17" s="8"/>
      <c r="GWN17" s="8"/>
      <c r="GWO17" s="8"/>
      <c r="GWP17" s="8"/>
      <c r="GWQ17" s="8"/>
      <c r="GWR17" s="8"/>
      <c r="GWS17" s="8"/>
      <c r="GWT17" s="8"/>
      <c r="GWU17" s="8"/>
      <c r="GWV17" s="8"/>
      <c r="GWW17" s="8"/>
      <c r="GWX17" s="8"/>
      <c r="GWY17" s="8"/>
      <c r="GWZ17" s="8"/>
      <c r="GXA17" s="8"/>
      <c r="GXB17" s="8"/>
      <c r="GXC17" s="8"/>
      <c r="GXD17" s="8"/>
      <c r="GXE17" s="8"/>
      <c r="GXF17" s="8"/>
      <c r="GXG17" s="8"/>
      <c r="GXH17" s="8"/>
      <c r="GXI17" s="8"/>
      <c r="GXJ17" s="8"/>
      <c r="GXK17" s="8"/>
      <c r="GXL17" s="8"/>
      <c r="GXM17" s="8"/>
      <c r="GXN17" s="8"/>
      <c r="GXO17" s="8"/>
      <c r="GXP17" s="8"/>
      <c r="GXQ17" s="8"/>
      <c r="GXR17" s="8"/>
      <c r="GXS17" s="8"/>
      <c r="GXT17" s="8"/>
      <c r="GXU17" s="8"/>
      <c r="GXV17" s="8"/>
      <c r="GXW17" s="8"/>
      <c r="GXX17" s="8"/>
      <c r="GXY17" s="8"/>
      <c r="GXZ17" s="8"/>
      <c r="GYA17" s="8"/>
      <c r="GYB17" s="8"/>
      <c r="GYC17" s="8"/>
      <c r="GYD17" s="8"/>
      <c r="GYE17" s="8"/>
      <c r="GYF17" s="8"/>
      <c r="GYG17" s="8"/>
      <c r="GYH17" s="8"/>
      <c r="GYI17" s="8"/>
      <c r="GYJ17" s="8"/>
      <c r="GYK17" s="8"/>
      <c r="GYL17" s="8"/>
      <c r="GYM17" s="8"/>
      <c r="GYN17" s="8"/>
      <c r="GYO17" s="8"/>
      <c r="GYP17" s="8"/>
      <c r="GYQ17" s="8"/>
      <c r="GYR17" s="8"/>
      <c r="GYS17" s="8"/>
      <c r="GYT17" s="8"/>
      <c r="GYU17" s="8"/>
      <c r="GYV17" s="8"/>
      <c r="GYW17" s="8"/>
      <c r="GYX17" s="8"/>
      <c r="GYY17" s="8"/>
      <c r="GYZ17" s="8"/>
      <c r="GZA17" s="8"/>
      <c r="GZB17" s="8"/>
      <c r="GZC17" s="8"/>
      <c r="GZD17" s="8"/>
      <c r="GZE17" s="8"/>
      <c r="GZF17" s="8"/>
      <c r="GZG17" s="8"/>
      <c r="GZH17" s="8"/>
      <c r="GZI17" s="8"/>
      <c r="GZJ17" s="8"/>
      <c r="GZK17" s="8"/>
      <c r="GZL17" s="8"/>
      <c r="GZM17" s="8"/>
      <c r="GZN17" s="8"/>
      <c r="GZO17" s="8"/>
      <c r="GZP17" s="8"/>
      <c r="GZQ17" s="8"/>
      <c r="GZR17" s="8"/>
      <c r="GZS17" s="8"/>
      <c r="GZT17" s="8"/>
      <c r="GZU17" s="8"/>
      <c r="GZV17" s="8"/>
      <c r="GZW17" s="8"/>
      <c r="GZX17" s="8"/>
      <c r="GZY17" s="8"/>
      <c r="GZZ17" s="8"/>
      <c r="HAA17" s="8"/>
      <c r="HAB17" s="8"/>
      <c r="HAC17" s="8"/>
      <c r="HAD17" s="8"/>
      <c r="HAE17" s="8"/>
      <c r="HAF17" s="8"/>
      <c r="HAG17" s="8"/>
      <c r="HAH17" s="8"/>
      <c r="HAI17" s="8"/>
      <c r="HAJ17" s="8"/>
      <c r="HAK17" s="8"/>
      <c r="HAL17" s="8"/>
      <c r="HAM17" s="8"/>
      <c r="HAN17" s="8"/>
      <c r="HAO17" s="8"/>
      <c r="HAP17" s="8"/>
      <c r="HAQ17" s="8"/>
      <c r="HAR17" s="8"/>
      <c r="HAS17" s="8"/>
      <c r="HAT17" s="8"/>
      <c r="HAU17" s="8"/>
      <c r="HAV17" s="8"/>
      <c r="HAW17" s="8"/>
      <c r="HAX17" s="8"/>
      <c r="HAY17" s="8"/>
      <c r="HAZ17" s="8"/>
      <c r="HBA17" s="8"/>
      <c r="HBB17" s="8"/>
      <c r="HBC17" s="8"/>
      <c r="HBD17" s="8"/>
      <c r="HBE17" s="8"/>
      <c r="HBF17" s="8"/>
      <c r="HBG17" s="8"/>
      <c r="HBH17" s="8"/>
      <c r="HBI17" s="8"/>
      <c r="HBJ17" s="8"/>
      <c r="HBK17" s="8"/>
      <c r="HBL17" s="8"/>
      <c r="HBM17" s="8"/>
      <c r="HBN17" s="8"/>
      <c r="HBO17" s="8"/>
      <c r="HBP17" s="8"/>
      <c r="HBQ17" s="8"/>
      <c r="HBR17" s="8"/>
      <c r="HBS17" s="8"/>
      <c r="HBT17" s="8"/>
      <c r="HBU17" s="8"/>
      <c r="HBV17" s="8"/>
      <c r="HBW17" s="8"/>
      <c r="HBX17" s="8"/>
      <c r="HBY17" s="8"/>
      <c r="HBZ17" s="8"/>
      <c r="HCA17" s="8"/>
      <c r="HCB17" s="8"/>
      <c r="HCC17" s="8"/>
      <c r="HCD17" s="8"/>
      <c r="HCE17" s="8"/>
      <c r="HCF17" s="8"/>
      <c r="HCG17" s="8"/>
      <c r="HCH17" s="8"/>
      <c r="HCI17" s="8"/>
      <c r="HCJ17" s="8"/>
      <c r="HCK17" s="8"/>
      <c r="HCL17" s="8"/>
      <c r="HCM17" s="8"/>
      <c r="HCN17" s="8"/>
      <c r="HCO17" s="8"/>
      <c r="HCP17" s="8"/>
      <c r="HCQ17" s="8"/>
      <c r="HCR17" s="8"/>
      <c r="HCS17" s="8"/>
      <c r="HCT17" s="8"/>
      <c r="HCU17" s="8"/>
      <c r="HCV17" s="8"/>
      <c r="HCW17" s="8"/>
      <c r="HCX17" s="8"/>
      <c r="HCY17" s="8"/>
      <c r="HCZ17" s="8"/>
      <c r="HDA17" s="8"/>
      <c r="HDB17" s="8"/>
      <c r="HDC17" s="8"/>
      <c r="HDD17" s="8"/>
      <c r="HDE17" s="8"/>
      <c r="HDF17" s="8"/>
      <c r="HDG17" s="8"/>
      <c r="HDH17" s="8"/>
      <c r="HDI17" s="8"/>
      <c r="HDJ17" s="8"/>
      <c r="HDK17" s="8"/>
      <c r="HDL17" s="8"/>
      <c r="HDM17" s="8"/>
      <c r="HDN17" s="8"/>
      <c r="HDO17" s="8"/>
      <c r="HDP17" s="8"/>
      <c r="HDQ17" s="8"/>
      <c r="HDR17" s="8"/>
      <c r="HDS17" s="8"/>
      <c r="HDT17" s="8"/>
      <c r="HDU17" s="8"/>
      <c r="HDV17" s="8"/>
      <c r="HDW17" s="8"/>
      <c r="HDX17" s="8"/>
      <c r="HDY17" s="8"/>
      <c r="HDZ17" s="8"/>
      <c r="HEA17" s="8"/>
      <c r="HEB17" s="8"/>
      <c r="HEC17" s="8"/>
      <c r="HED17" s="8"/>
      <c r="HEE17" s="8"/>
      <c r="HEF17" s="8"/>
      <c r="HEG17" s="8"/>
      <c r="HEH17" s="8"/>
      <c r="HEI17" s="8"/>
      <c r="HEJ17" s="8"/>
      <c r="HEK17" s="8"/>
      <c r="HEL17" s="8"/>
      <c r="HEM17" s="8"/>
      <c r="HEN17" s="8"/>
      <c r="HEO17" s="8"/>
      <c r="HEP17" s="8"/>
      <c r="HEQ17" s="8"/>
      <c r="HER17" s="8"/>
      <c r="HES17" s="8"/>
      <c r="HET17" s="8"/>
      <c r="HEU17" s="8"/>
      <c r="HEV17" s="8"/>
      <c r="HEW17" s="8"/>
      <c r="HEX17" s="8"/>
      <c r="HEY17" s="8"/>
      <c r="HEZ17" s="8"/>
      <c r="HFA17" s="8"/>
      <c r="HFB17" s="8"/>
      <c r="HFC17" s="8"/>
      <c r="HFD17" s="8"/>
      <c r="HFE17" s="8"/>
      <c r="HFF17" s="8"/>
      <c r="HFG17" s="8"/>
      <c r="HFH17" s="8"/>
      <c r="HFI17" s="8"/>
      <c r="HFJ17" s="8"/>
      <c r="HFK17" s="8"/>
      <c r="HFL17" s="8"/>
      <c r="HFM17" s="8"/>
      <c r="HFN17" s="8"/>
      <c r="HFO17" s="8"/>
      <c r="HFP17" s="8"/>
      <c r="HFQ17" s="8"/>
      <c r="HFR17" s="8"/>
      <c r="HFS17" s="8"/>
      <c r="HFT17" s="8"/>
      <c r="HFU17" s="8"/>
      <c r="HFV17" s="8"/>
      <c r="HFW17" s="8"/>
      <c r="HFX17" s="8"/>
      <c r="HFY17" s="8"/>
      <c r="HFZ17" s="8"/>
      <c r="HGA17" s="8"/>
      <c r="HGB17" s="8"/>
      <c r="HGC17" s="8"/>
      <c r="HGD17" s="8"/>
      <c r="HGE17" s="8"/>
      <c r="HGF17" s="8"/>
      <c r="HGG17" s="8"/>
      <c r="HGH17" s="8"/>
      <c r="HGI17" s="8"/>
      <c r="HGJ17" s="8"/>
      <c r="HGK17" s="8"/>
      <c r="HGL17" s="8"/>
      <c r="HGM17" s="8"/>
      <c r="HGN17" s="8"/>
      <c r="HGO17" s="8"/>
      <c r="HGP17" s="8"/>
      <c r="HGQ17" s="8"/>
      <c r="HGR17" s="8"/>
      <c r="HGS17" s="8"/>
      <c r="HGT17" s="8"/>
      <c r="HGU17" s="8"/>
      <c r="HGV17" s="8"/>
      <c r="HGW17" s="8"/>
      <c r="HGX17" s="8"/>
      <c r="HGY17" s="8"/>
      <c r="HGZ17" s="8"/>
      <c r="HHA17" s="8"/>
      <c r="HHB17" s="8"/>
      <c r="HHC17" s="8"/>
      <c r="HHD17" s="8"/>
      <c r="HHE17" s="8"/>
      <c r="HHF17" s="8"/>
      <c r="HHG17" s="8"/>
      <c r="HHH17" s="8"/>
      <c r="HHI17" s="8"/>
      <c r="HHJ17" s="8"/>
      <c r="HHK17" s="8"/>
      <c r="HHL17" s="8"/>
      <c r="HHM17" s="8"/>
      <c r="HHN17" s="8"/>
      <c r="HHO17" s="8"/>
      <c r="HHP17" s="8"/>
      <c r="HHQ17" s="8"/>
      <c r="HHR17" s="8"/>
      <c r="HHS17" s="8"/>
      <c r="HHT17" s="8"/>
      <c r="HHU17" s="8"/>
      <c r="HHV17" s="8"/>
      <c r="HHW17" s="8"/>
      <c r="HHX17" s="8"/>
      <c r="HHY17" s="8"/>
      <c r="HHZ17" s="8"/>
      <c r="HIA17" s="8"/>
      <c r="HIB17" s="8"/>
      <c r="HIC17" s="8"/>
      <c r="HID17" s="8"/>
      <c r="HIE17" s="8"/>
      <c r="HIF17" s="8"/>
      <c r="HIG17" s="8"/>
      <c r="HIH17" s="8"/>
      <c r="HII17" s="8"/>
      <c r="HIJ17" s="8"/>
      <c r="HIK17" s="8"/>
      <c r="HIL17" s="8"/>
      <c r="HIM17" s="8"/>
      <c r="HIN17" s="8"/>
      <c r="HIO17" s="8"/>
      <c r="HIP17" s="8"/>
      <c r="HIQ17" s="8"/>
      <c r="HIR17" s="8"/>
      <c r="HIS17" s="8"/>
      <c r="HIT17" s="8"/>
      <c r="HIU17" s="8"/>
      <c r="HIV17" s="8"/>
      <c r="HIW17" s="8"/>
      <c r="HIX17" s="8"/>
      <c r="HIY17" s="8"/>
      <c r="HIZ17" s="8"/>
      <c r="HJA17" s="8"/>
      <c r="HJB17" s="8"/>
      <c r="HJC17" s="8"/>
      <c r="HJD17" s="8"/>
      <c r="HJE17" s="8"/>
      <c r="HJF17" s="8"/>
      <c r="HJG17" s="8"/>
      <c r="HJH17" s="8"/>
      <c r="HJI17" s="8"/>
      <c r="HJJ17" s="8"/>
      <c r="HJK17" s="8"/>
      <c r="HJL17" s="8"/>
      <c r="HJM17" s="8"/>
      <c r="HJN17" s="8"/>
      <c r="HJO17" s="8"/>
      <c r="HJP17" s="8"/>
      <c r="HJQ17" s="8"/>
      <c r="HJR17" s="8"/>
      <c r="HJS17" s="8"/>
      <c r="HJT17" s="8"/>
      <c r="HJU17" s="8"/>
      <c r="HJV17" s="8"/>
      <c r="HJW17" s="8"/>
      <c r="HJX17" s="8"/>
      <c r="HJY17" s="8"/>
      <c r="HJZ17" s="8"/>
      <c r="HKA17" s="8"/>
      <c r="HKB17" s="8"/>
      <c r="HKC17" s="8"/>
      <c r="HKD17" s="8"/>
      <c r="HKE17" s="8"/>
      <c r="HKF17" s="8"/>
      <c r="HKG17" s="8"/>
      <c r="HKH17" s="8"/>
      <c r="HKI17" s="8"/>
      <c r="HKJ17" s="8"/>
      <c r="HKK17" s="8"/>
      <c r="HKL17" s="8"/>
      <c r="HKM17" s="8"/>
      <c r="HKN17" s="8"/>
      <c r="HKO17" s="8"/>
      <c r="HKP17" s="8"/>
      <c r="HKQ17" s="8"/>
      <c r="HKR17" s="8"/>
      <c r="HKS17" s="8"/>
      <c r="HKT17" s="8"/>
      <c r="HKU17" s="8"/>
      <c r="HKV17" s="8"/>
      <c r="HKW17" s="8"/>
      <c r="HKX17" s="8"/>
      <c r="HKY17" s="8"/>
      <c r="HKZ17" s="8"/>
      <c r="HLA17" s="8"/>
      <c r="HLB17" s="8"/>
      <c r="HLC17" s="8"/>
      <c r="HLD17" s="8"/>
      <c r="HLE17" s="8"/>
      <c r="HLF17" s="8"/>
      <c r="HLG17" s="8"/>
      <c r="HLH17" s="8"/>
      <c r="HLI17" s="8"/>
      <c r="HLJ17" s="8"/>
      <c r="HLK17" s="8"/>
      <c r="HLL17" s="8"/>
      <c r="HLM17" s="8"/>
      <c r="HLN17" s="8"/>
      <c r="HLO17" s="8"/>
      <c r="HLP17" s="8"/>
      <c r="HLQ17" s="8"/>
      <c r="HLR17" s="8"/>
      <c r="HLS17" s="8"/>
      <c r="HLT17" s="8"/>
      <c r="HLU17" s="8"/>
      <c r="HLV17" s="8"/>
      <c r="HLW17" s="8"/>
      <c r="HLX17" s="8"/>
      <c r="HLY17" s="8"/>
      <c r="HLZ17" s="8"/>
      <c r="HMA17" s="8"/>
      <c r="HMB17" s="8"/>
      <c r="HMC17" s="8"/>
      <c r="HMD17" s="8"/>
      <c r="HME17" s="8"/>
      <c r="HMF17" s="8"/>
      <c r="HMG17" s="8"/>
      <c r="HMH17" s="8"/>
      <c r="HMI17" s="8"/>
      <c r="HMJ17" s="8"/>
      <c r="HMK17" s="8"/>
      <c r="HML17" s="8"/>
      <c r="HMM17" s="8"/>
      <c r="HMN17" s="8"/>
      <c r="HMO17" s="8"/>
      <c r="HMP17" s="8"/>
      <c r="HMQ17" s="8"/>
      <c r="HMR17" s="8"/>
      <c r="HMS17" s="8"/>
      <c r="HMT17" s="8"/>
      <c r="HMU17" s="8"/>
      <c r="HMV17" s="8"/>
      <c r="HMW17" s="8"/>
      <c r="HMX17" s="8"/>
      <c r="HMY17" s="8"/>
      <c r="HMZ17" s="8"/>
      <c r="HNA17" s="8"/>
      <c r="HNB17" s="8"/>
      <c r="HNC17" s="8"/>
      <c r="HND17" s="8"/>
      <c r="HNE17" s="8"/>
      <c r="HNF17" s="8"/>
      <c r="HNG17" s="8"/>
      <c r="HNH17" s="8"/>
      <c r="HNI17" s="8"/>
      <c r="HNJ17" s="8"/>
      <c r="HNK17" s="8"/>
      <c r="HNL17" s="8"/>
      <c r="HNM17" s="8"/>
      <c r="HNN17" s="8"/>
      <c r="HNO17" s="8"/>
      <c r="HNP17" s="8"/>
      <c r="HNQ17" s="8"/>
      <c r="HNR17" s="8"/>
      <c r="HNS17" s="8"/>
      <c r="HNT17" s="8"/>
      <c r="HNU17" s="8"/>
      <c r="HNV17" s="8"/>
      <c r="HNW17" s="8"/>
      <c r="HNX17" s="8"/>
      <c r="HNY17" s="8"/>
      <c r="HNZ17" s="8"/>
      <c r="HOA17" s="8"/>
      <c r="HOB17" s="8"/>
      <c r="HOC17" s="8"/>
      <c r="HOD17" s="8"/>
      <c r="HOE17" s="8"/>
      <c r="HOF17" s="8"/>
      <c r="HOG17" s="8"/>
      <c r="HOH17" s="8"/>
      <c r="HOI17" s="8"/>
      <c r="HOJ17" s="8"/>
      <c r="HOK17" s="8"/>
      <c r="HOL17" s="8"/>
      <c r="HOM17" s="8"/>
      <c r="HON17" s="8"/>
      <c r="HOO17" s="8"/>
      <c r="HOP17" s="8"/>
      <c r="HOQ17" s="8"/>
      <c r="HOR17" s="8"/>
      <c r="HOS17" s="8"/>
      <c r="HOT17" s="8"/>
      <c r="HOU17" s="8"/>
      <c r="HOV17" s="8"/>
      <c r="HOW17" s="8"/>
      <c r="HOX17" s="8"/>
      <c r="HOY17" s="8"/>
      <c r="HOZ17" s="8"/>
      <c r="HPA17" s="8"/>
      <c r="HPB17" s="8"/>
      <c r="HPC17" s="8"/>
      <c r="HPD17" s="8"/>
      <c r="HPE17" s="8"/>
      <c r="HPF17" s="8"/>
      <c r="HPG17" s="8"/>
      <c r="HPH17" s="8"/>
      <c r="HPI17" s="8"/>
      <c r="HPJ17" s="8"/>
      <c r="HPK17" s="8"/>
      <c r="HPL17" s="8"/>
      <c r="HPM17" s="8"/>
      <c r="HPN17" s="8"/>
      <c r="HPO17" s="8"/>
      <c r="HPP17" s="8"/>
      <c r="HPQ17" s="8"/>
      <c r="HPR17" s="8"/>
      <c r="HPS17" s="8"/>
      <c r="HPT17" s="8"/>
      <c r="HPU17" s="8"/>
      <c r="HPV17" s="8"/>
      <c r="HPW17" s="8"/>
      <c r="HPX17" s="8"/>
      <c r="HPY17" s="8"/>
      <c r="HPZ17" s="8"/>
      <c r="HQA17" s="8"/>
      <c r="HQB17" s="8"/>
      <c r="HQC17" s="8"/>
      <c r="HQD17" s="8"/>
      <c r="HQE17" s="8"/>
      <c r="HQF17" s="8"/>
      <c r="HQG17" s="8"/>
      <c r="HQH17" s="8"/>
      <c r="HQI17" s="8"/>
      <c r="HQJ17" s="8"/>
      <c r="HQK17" s="8"/>
      <c r="HQL17" s="8"/>
      <c r="HQM17" s="8"/>
      <c r="HQN17" s="8"/>
      <c r="HQO17" s="8"/>
      <c r="HQP17" s="8"/>
      <c r="HQQ17" s="8"/>
      <c r="HQR17" s="8"/>
      <c r="HQS17" s="8"/>
      <c r="HQT17" s="8"/>
      <c r="HQU17" s="8"/>
      <c r="HQV17" s="8"/>
      <c r="HQW17" s="8"/>
      <c r="HQX17" s="8"/>
      <c r="HQY17" s="8"/>
      <c r="HQZ17" s="8"/>
      <c r="HRA17" s="8"/>
      <c r="HRB17" s="8"/>
      <c r="HRC17" s="8"/>
      <c r="HRD17" s="8"/>
      <c r="HRE17" s="8"/>
      <c r="HRF17" s="8"/>
      <c r="HRG17" s="8"/>
      <c r="HRH17" s="8"/>
      <c r="HRI17" s="8"/>
      <c r="HRJ17" s="8"/>
      <c r="HRK17" s="8"/>
      <c r="HRL17" s="8"/>
      <c r="HRM17" s="8"/>
      <c r="HRN17" s="8"/>
      <c r="HRO17" s="8"/>
      <c r="HRP17" s="8"/>
      <c r="HRQ17" s="8"/>
      <c r="HRR17" s="8"/>
      <c r="HRS17" s="8"/>
      <c r="HRT17" s="8"/>
      <c r="HRU17" s="8"/>
      <c r="HRV17" s="8"/>
      <c r="HRW17" s="8"/>
      <c r="HRX17" s="8"/>
      <c r="HRY17" s="8"/>
      <c r="HRZ17" s="8"/>
      <c r="HSA17" s="8"/>
      <c r="HSB17" s="8"/>
      <c r="HSC17" s="8"/>
      <c r="HSD17" s="8"/>
      <c r="HSE17" s="8"/>
      <c r="HSF17" s="8"/>
      <c r="HSG17" s="8"/>
      <c r="HSH17" s="8"/>
      <c r="HSI17" s="8"/>
      <c r="HSJ17" s="8"/>
      <c r="HSK17" s="8"/>
      <c r="HSL17" s="8"/>
      <c r="HSM17" s="8"/>
      <c r="HSN17" s="8"/>
      <c r="HSO17" s="8"/>
      <c r="HSP17" s="8"/>
      <c r="HSQ17" s="8"/>
      <c r="HSR17" s="8"/>
      <c r="HSS17" s="8"/>
      <c r="HST17" s="8"/>
      <c r="HSU17" s="8"/>
      <c r="HSV17" s="8"/>
      <c r="HSW17" s="8"/>
      <c r="HSX17" s="8"/>
      <c r="HSY17" s="8"/>
      <c r="HSZ17" s="8"/>
      <c r="HTA17" s="8"/>
      <c r="HTB17" s="8"/>
      <c r="HTC17" s="8"/>
      <c r="HTD17" s="8"/>
      <c r="HTE17" s="8"/>
      <c r="HTF17" s="8"/>
      <c r="HTG17" s="8"/>
      <c r="HTH17" s="8"/>
      <c r="HTI17" s="8"/>
      <c r="HTJ17" s="8"/>
      <c r="HTK17" s="8"/>
      <c r="HTL17" s="8"/>
      <c r="HTM17" s="8"/>
      <c r="HTN17" s="8"/>
      <c r="HTO17" s="8"/>
      <c r="HTP17" s="8"/>
      <c r="HTQ17" s="8"/>
      <c r="HTR17" s="8"/>
      <c r="HTS17" s="8"/>
      <c r="HTT17" s="8"/>
      <c r="HTU17" s="8"/>
      <c r="HTV17" s="8"/>
      <c r="HTW17" s="8"/>
      <c r="HTX17" s="8"/>
      <c r="HTY17" s="8"/>
      <c r="HTZ17" s="8"/>
      <c r="HUA17" s="8"/>
      <c r="HUB17" s="8"/>
      <c r="HUC17" s="8"/>
      <c r="HUD17" s="8"/>
      <c r="HUE17" s="8"/>
      <c r="HUF17" s="8"/>
      <c r="HUG17" s="8"/>
      <c r="HUH17" s="8"/>
      <c r="HUI17" s="8"/>
      <c r="HUJ17" s="8"/>
      <c r="HUK17" s="8"/>
      <c r="HUL17" s="8"/>
      <c r="HUM17" s="8"/>
      <c r="HUN17" s="8"/>
      <c r="HUO17" s="8"/>
      <c r="HUP17" s="8"/>
      <c r="HUQ17" s="8"/>
      <c r="HUR17" s="8"/>
      <c r="HUS17" s="8"/>
      <c r="HUT17" s="8"/>
      <c r="HUU17" s="8"/>
      <c r="HUV17" s="8"/>
      <c r="HUW17" s="8"/>
      <c r="HUX17" s="8"/>
      <c r="HUY17" s="8"/>
      <c r="HUZ17" s="8"/>
      <c r="HVA17" s="8"/>
      <c r="HVB17" s="8"/>
      <c r="HVC17" s="8"/>
      <c r="HVD17" s="8"/>
      <c r="HVE17" s="8"/>
      <c r="HVF17" s="8"/>
      <c r="HVG17" s="8"/>
      <c r="HVH17" s="8"/>
      <c r="HVI17" s="8"/>
      <c r="HVJ17" s="8"/>
      <c r="HVK17" s="8"/>
      <c r="HVL17" s="8"/>
      <c r="HVM17" s="8"/>
      <c r="HVN17" s="8"/>
      <c r="HVO17" s="8"/>
      <c r="HVP17" s="8"/>
      <c r="HVQ17" s="8"/>
      <c r="HVR17" s="8"/>
      <c r="HVS17" s="8"/>
      <c r="HVT17" s="8"/>
      <c r="HVU17" s="8"/>
      <c r="HVV17" s="8"/>
      <c r="HVW17" s="8"/>
      <c r="HVX17" s="8"/>
      <c r="HVY17" s="8"/>
      <c r="HVZ17" s="8"/>
      <c r="HWA17" s="8"/>
      <c r="HWB17" s="8"/>
      <c r="HWC17" s="8"/>
      <c r="HWD17" s="8"/>
      <c r="HWE17" s="8"/>
      <c r="HWF17" s="8"/>
      <c r="HWG17" s="8"/>
      <c r="HWH17" s="8"/>
      <c r="HWI17" s="8"/>
      <c r="HWJ17" s="8"/>
      <c r="HWK17" s="8"/>
      <c r="HWL17" s="8"/>
      <c r="HWM17" s="8"/>
      <c r="HWN17" s="8"/>
      <c r="HWO17" s="8"/>
      <c r="HWP17" s="8"/>
      <c r="HWQ17" s="8"/>
      <c r="HWR17" s="8"/>
      <c r="HWS17" s="8"/>
      <c r="HWT17" s="8"/>
      <c r="HWU17" s="8"/>
      <c r="HWV17" s="8"/>
      <c r="HWW17" s="8"/>
      <c r="HWX17" s="8"/>
      <c r="HWY17" s="8"/>
      <c r="HWZ17" s="8"/>
      <c r="HXA17" s="8"/>
      <c r="HXB17" s="8"/>
      <c r="HXC17" s="8"/>
      <c r="HXD17" s="8"/>
      <c r="HXE17" s="8"/>
      <c r="HXF17" s="8"/>
      <c r="HXG17" s="8"/>
      <c r="HXH17" s="8"/>
      <c r="HXI17" s="8"/>
      <c r="HXJ17" s="8"/>
      <c r="HXK17" s="8"/>
      <c r="HXL17" s="8"/>
      <c r="HXM17" s="8"/>
      <c r="HXN17" s="8"/>
      <c r="HXO17" s="8"/>
      <c r="HXP17" s="8"/>
      <c r="HXQ17" s="8"/>
      <c r="HXR17" s="8"/>
      <c r="HXS17" s="8"/>
      <c r="HXT17" s="8"/>
      <c r="HXU17" s="8"/>
      <c r="HXV17" s="8"/>
      <c r="HXW17" s="8"/>
      <c r="HXX17" s="8"/>
      <c r="HXY17" s="8"/>
      <c r="HXZ17" s="8"/>
      <c r="HYA17" s="8"/>
      <c r="HYB17" s="8"/>
      <c r="HYC17" s="8"/>
      <c r="HYD17" s="8"/>
      <c r="HYE17" s="8"/>
      <c r="HYF17" s="8"/>
      <c r="HYG17" s="8"/>
      <c r="HYH17" s="8"/>
      <c r="HYI17" s="8"/>
      <c r="HYJ17" s="8"/>
      <c r="HYK17" s="8"/>
      <c r="HYL17" s="8"/>
      <c r="HYM17" s="8"/>
      <c r="HYN17" s="8"/>
      <c r="HYO17" s="8"/>
      <c r="HYP17" s="8"/>
      <c r="HYQ17" s="8"/>
      <c r="HYR17" s="8"/>
      <c r="HYS17" s="8"/>
      <c r="HYT17" s="8"/>
      <c r="HYU17" s="8"/>
      <c r="HYV17" s="8"/>
      <c r="HYW17" s="8"/>
      <c r="HYX17" s="8"/>
      <c r="HYY17" s="8"/>
      <c r="HYZ17" s="8"/>
      <c r="HZA17" s="8"/>
      <c r="HZB17" s="8"/>
      <c r="HZC17" s="8"/>
      <c r="HZD17" s="8"/>
      <c r="HZE17" s="8"/>
      <c r="HZF17" s="8"/>
      <c r="HZG17" s="8"/>
      <c r="HZH17" s="8"/>
      <c r="HZI17" s="8"/>
      <c r="HZJ17" s="8"/>
      <c r="HZK17" s="8"/>
      <c r="HZL17" s="8"/>
      <c r="HZM17" s="8"/>
      <c r="HZN17" s="8"/>
      <c r="HZO17" s="8"/>
      <c r="HZP17" s="8"/>
      <c r="HZQ17" s="8"/>
      <c r="HZR17" s="8"/>
      <c r="HZS17" s="8"/>
      <c r="HZT17" s="8"/>
      <c r="HZU17" s="8"/>
      <c r="HZV17" s="8"/>
      <c r="HZW17" s="8"/>
      <c r="HZX17" s="8"/>
      <c r="HZY17" s="8"/>
      <c r="HZZ17" s="8"/>
      <c r="IAA17" s="8"/>
      <c r="IAB17" s="8"/>
      <c r="IAC17" s="8"/>
      <c r="IAD17" s="8"/>
      <c r="IAE17" s="8"/>
      <c r="IAF17" s="8"/>
      <c r="IAG17" s="8"/>
      <c r="IAH17" s="8"/>
      <c r="IAI17" s="8"/>
      <c r="IAJ17" s="8"/>
      <c r="IAK17" s="8"/>
      <c r="IAL17" s="8"/>
      <c r="IAM17" s="8"/>
      <c r="IAN17" s="8"/>
      <c r="IAO17" s="8"/>
      <c r="IAP17" s="8"/>
      <c r="IAQ17" s="8"/>
      <c r="IAR17" s="8"/>
      <c r="IAS17" s="8"/>
      <c r="IAT17" s="8"/>
      <c r="IAU17" s="8"/>
      <c r="IAV17" s="8"/>
      <c r="IAW17" s="8"/>
      <c r="IAX17" s="8"/>
      <c r="IAY17" s="8"/>
      <c r="IAZ17" s="8"/>
      <c r="IBA17" s="8"/>
      <c r="IBB17" s="8"/>
      <c r="IBC17" s="8"/>
      <c r="IBD17" s="8"/>
      <c r="IBE17" s="8"/>
      <c r="IBF17" s="8"/>
      <c r="IBG17" s="8"/>
      <c r="IBH17" s="8"/>
      <c r="IBI17" s="8"/>
      <c r="IBJ17" s="8"/>
      <c r="IBK17" s="8"/>
      <c r="IBL17" s="8"/>
      <c r="IBM17" s="8"/>
      <c r="IBN17" s="8"/>
      <c r="IBO17" s="8"/>
      <c r="IBP17" s="8"/>
      <c r="IBQ17" s="8"/>
      <c r="IBR17" s="8"/>
      <c r="IBS17" s="8"/>
      <c r="IBT17" s="8"/>
      <c r="IBU17" s="8"/>
      <c r="IBV17" s="8"/>
      <c r="IBW17" s="8"/>
      <c r="IBX17" s="8"/>
      <c r="IBY17" s="8"/>
      <c r="IBZ17" s="8"/>
      <c r="ICA17" s="8"/>
      <c r="ICB17" s="8"/>
      <c r="ICC17" s="8"/>
      <c r="ICD17" s="8"/>
      <c r="ICE17" s="8"/>
      <c r="ICF17" s="8"/>
      <c r="ICG17" s="8"/>
      <c r="ICH17" s="8"/>
      <c r="ICI17" s="8"/>
      <c r="ICJ17" s="8"/>
      <c r="ICK17" s="8"/>
      <c r="ICL17" s="8"/>
      <c r="ICM17" s="8"/>
      <c r="ICN17" s="8"/>
      <c r="ICO17" s="8"/>
      <c r="ICP17" s="8"/>
      <c r="ICQ17" s="8"/>
      <c r="ICR17" s="8"/>
      <c r="ICS17" s="8"/>
      <c r="ICT17" s="8"/>
      <c r="ICU17" s="8"/>
      <c r="ICV17" s="8"/>
      <c r="ICW17" s="8"/>
      <c r="ICX17" s="8"/>
      <c r="ICY17" s="8"/>
      <c r="ICZ17" s="8"/>
      <c r="IDA17" s="8"/>
      <c r="IDB17" s="8"/>
      <c r="IDC17" s="8"/>
      <c r="IDD17" s="8"/>
      <c r="IDE17" s="8"/>
      <c r="IDF17" s="8"/>
      <c r="IDG17" s="8"/>
      <c r="IDH17" s="8"/>
      <c r="IDI17" s="8"/>
      <c r="IDJ17" s="8"/>
      <c r="IDK17" s="8"/>
      <c r="IDL17" s="8"/>
      <c r="IDM17" s="8"/>
      <c r="IDN17" s="8"/>
      <c r="IDO17" s="8"/>
      <c r="IDP17" s="8"/>
      <c r="IDQ17" s="8"/>
      <c r="IDR17" s="8"/>
      <c r="IDS17" s="8"/>
      <c r="IDT17" s="8"/>
      <c r="IDU17" s="8"/>
      <c r="IDV17" s="8"/>
      <c r="IDW17" s="8"/>
      <c r="IDX17" s="8"/>
      <c r="IDY17" s="8"/>
      <c r="IDZ17" s="8"/>
      <c r="IEA17" s="8"/>
      <c r="IEB17" s="8"/>
      <c r="IEC17" s="8"/>
      <c r="IED17" s="8"/>
      <c r="IEE17" s="8"/>
      <c r="IEF17" s="8"/>
      <c r="IEG17" s="8"/>
      <c r="IEH17" s="8"/>
      <c r="IEI17" s="8"/>
      <c r="IEJ17" s="8"/>
      <c r="IEK17" s="8"/>
      <c r="IEL17" s="8"/>
      <c r="IEM17" s="8"/>
      <c r="IEN17" s="8"/>
      <c r="IEO17" s="8"/>
      <c r="IEP17" s="8"/>
      <c r="IEQ17" s="8"/>
      <c r="IER17" s="8"/>
      <c r="IES17" s="8"/>
      <c r="IET17" s="8"/>
      <c r="IEU17" s="8"/>
      <c r="IEV17" s="8"/>
      <c r="IEW17" s="8"/>
      <c r="IEX17" s="8"/>
      <c r="IEY17" s="8"/>
      <c r="IEZ17" s="8"/>
      <c r="IFA17" s="8"/>
      <c r="IFB17" s="8"/>
      <c r="IFC17" s="8"/>
      <c r="IFD17" s="8"/>
      <c r="IFE17" s="8"/>
      <c r="IFF17" s="8"/>
      <c r="IFG17" s="8"/>
      <c r="IFH17" s="8"/>
      <c r="IFI17" s="8"/>
      <c r="IFJ17" s="8"/>
      <c r="IFK17" s="8"/>
      <c r="IFL17" s="8"/>
      <c r="IFM17" s="8"/>
      <c r="IFN17" s="8"/>
      <c r="IFO17" s="8"/>
      <c r="IFP17" s="8"/>
      <c r="IFQ17" s="8"/>
      <c r="IFR17" s="8"/>
      <c r="IFS17" s="8"/>
      <c r="IFT17" s="8"/>
      <c r="IFU17" s="8"/>
      <c r="IFV17" s="8"/>
      <c r="IFW17" s="8"/>
      <c r="IFX17" s="8"/>
      <c r="IFY17" s="8"/>
      <c r="IFZ17" s="8"/>
      <c r="IGA17" s="8"/>
      <c r="IGB17" s="8"/>
      <c r="IGC17" s="8"/>
      <c r="IGD17" s="8"/>
      <c r="IGE17" s="8"/>
      <c r="IGF17" s="8"/>
      <c r="IGG17" s="8"/>
      <c r="IGH17" s="8"/>
      <c r="IGI17" s="8"/>
      <c r="IGJ17" s="8"/>
      <c r="IGK17" s="8"/>
      <c r="IGL17" s="8"/>
      <c r="IGM17" s="8"/>
      <c r="IGN17" s="8"/>
      <c r="IGO17" s="8"/>
      <c r="IGP17" s="8"/>
      <c r="IGQ17" s="8"/>
      <c r="IGR17" s="8"/>
      <c r="IGS17" s="8"/>
      <c r="IGT17" s="8"/>
      <c r="IGU17" s="8"/>
      <c r="IGV17" s="8"/>
      <c r="IGW17" s="8"/>
      <c r="IGX17" s="8"/>
      <c r="IGY17" s="8"/>
      <c r="IGZ17" s="8"/>
      <c r="IHA17" s="8"/>
      <c r="IHB17" s="8"/>
      <c r="IHC17" s="8"/>
      <c r="IHD17" s="8"/>
      <c r="IHE17" s="8"/>
      <c r="IHF17" s="8"/>
      <c r="IHG17" s="8"/>
      <c r="IHH17" s="8"/>
      <c r="IHI17" s="8"/>
      <c r="IHJ17" s="8"/>
      <c r="IHK17" s="8"/>
      <c r="IHL17" s="8"/>
      <c r="IHM17" s="8"/>
      <c r="IHN17" s="8"/>
      <c r="IHO17" s="8"/>
      <c r="IHP17" s="8"/>
      <c r="IHQ17" s="8"/>
      <c r="IHR17" s="8"/>
      <c r="IHS17" s="8"/>
      <c r="IHT17" s="8"/>
      <c r="IHU17" s="8"/>
      <c r="IHV17" s="8"/>
      <c r="IHW17" s="8"/>
      <c r="IHX17" s="8"/>
      <c r="IHY17" s="8"/>
      <c r="IHZ17" s="8"/>
      <c r="IIA17" s="8"/>
      <c r="IIB17" s="8"/>
      <c r="IIC17" s="8"/>
      <c r="IID17" s="8"/>
      <c r="IIE17" s="8"/>
      <c r="IIF17" s="8"/>
      <c r="IIG17" s="8"/>
      <c r="IIH17" s="8"/>
      <c r="III17" s="8"/>
      <c r="IIJ17" s="8"/>
      <c r="IIK17" s="8"/>
      <c r="IIL17" s="8"/>
      <c r="IIM17" s="8"/>
      <c r="IIN17" s="8"/>
      <c r="IIO17" s="8"/>
      <c r="IIP17" s="8"/>
      <c r="IIQ17" s="8"/>
      <c r="IIR17" s="8"/>
      <c r="IIS17" s="8"/>
      <c r="IIT17" s="8"/>
      <c r="IIU17" s="8"/>
      <c r="IIV17" s="8"/>
      <c r="IIW17" s="8"/>
      <c r="IIX17" s="8"/>
      <c r="IIY17" s="8"/>
      <c r="IIZ17" s="8"/>
      <c r="IJA17" s="8"/>
      <c r="IJB17" s="8"/>
      <c r="IJC17" s="8"/>
      <c r="IJD17" s="8"/>
      <c r="IJE17" s="8"/>
      <c r="IJF17" s="8"/>
      <c r="IJG17" s="8"/>
      <c r="IJH17" s="8"/>
      <c r="IJI17" s="8"/>
      <c r="IJJ17" s="8"/>
      <c r="IJK17" s="8"/>
      <c r="IJL17" s="8"/>
      <c r="IJM17" s="8"/>
      <c r="IJN17" s="8"/>
      <c r="IJO17" s="8"/>
      <c r="IJP17" s="8"/>
      <c r="IJQ17" s="8"/>
      <c r="IJR17" s="8"/>
      <c r="IJS17" s="8"/>
      <c r="IJT17" s="8"/>
      <c r="IJU17" s="8"/>
      <c r="IJV17" s="8"/>
      <c r="IJW17" s="8"/>
      <c r="IJX17" s="8"/>
      <c r="IJY17" s="8"/>
      <c r="IJZ17" s="8"/>
      <c r="IKA17" s="8"/>
      <c r="IKB17" s="8"/>
      <c r="IKC17" s="8"/>
      <c r="IKD17" s="8"/>
      <c r="IKE17" s="8"/>
      <c r="IKF17" s="8"/>
      <c r="IKG17" s="8"/>
      <c r="IKH17" s="8"/>
      <c r="IKI17" s="8"/>
      <c r="IKJ17" s="8"/>
      <c r="IKK17" s="8"/>
      <c r="IKL17" s="8"/>
      <c r="IKM17" s="8"/>
      <c r="IKN17" s="8"/>
      <c r="IKO17" s="8"/>
      <c r="IKP17" s="8"/>
      <c r="IKQ17" s="8"/>
      <c r="IKR17" s="8"/>
      <c r="IKS17" s="8"/>
      <c r="IKT17" s="8"/>
      <c r="IKU17" s="8"/>
      <c r="IKV17" s="8"/>
      <c r="IKW17" s="8"/>
      <c r="IKX17" s="8"/>
      <c r="IKY17" s="8"/>
      <c r="IKZ17" s="8"/>
      <c r="ILA17" s="8"/>
      <c r="ILB17" s="8"/>
      <c r="ILC17" s="8"/>
      <c r="ILD17" s="8"/>
      <c r="ILE17" s="8"/>
      <c r="ILF17" s="8"/>
      <c r="ILG17" s="8"/>
      <c r="ILH17" s="8"/>
      <c r="ILI17" s="8"/>
      <c r="ILJ17" s="8"/>
      <c r="ILK17" s="8"/>
      <c r="ILL17" s="8"/>
      <c r="ILM17" s="8"/>
      <c r="ILN17" s="8"/>
      <c r="ILO17" s="8"/>
      <c r="ILP17" s="8"/>
      <c r="ILQ17" s="8"/>
      <c r="ILR17" s="8"/>
      <c r="ILS17" s="8"/>
      <c r="ILT17" s="8"/>
      <c r="ILU17" s="8"/>
      <c r="ILV17" s="8"/>
      <c r="ILW17" s="8"/>
      <c r="ILX17" s="8"/>
      <c r="ILY17" s="8"/>
      <c r="ILZ17" s="8"/>
      <c r="IMA17" s="8"/>
      <c r="IMB17" s="8"/>
      <c r="IMC17" s="8"/>
      <c r="IMD17" s="8"/>
      <c r="IME17" s="8"/>
      <c r="IMF17" s="8"/>
      <c r="IMG17" s="8"/>
      <c r="IMH17" s="8"/>
      <c r="IMI17" s="8"/>
      <c r="IMJ17" s="8"/>
      <c r="IMK17" s="8"/>
      <c r="IML17" s="8"/>
      <c r="IMM17" s="8"/>
      <c r="IMN17" s="8"/>
      <c r="IMO17" s="8"/>
      <c r="IMP17" s="8"/>
      <c r="IMQ17" s="8"/>
      <c r="IMR17" s="8"/>
      <c r="IMS17" s="8"/>
      <c r="IMT17" s="8"/>
      <c r="IMU17" s="8"/>
      <c r="IMV17" s="8"/>
      <c r="IMW17" s="8"/>
      <c r="IMX17" s="8"/>
      <c r="IMY17" s="8"/>
      <c r="IMZ17" s="8"/>
      <c r="INA17" s="8"/>
      <c r="INB17" s="8"/>
      <c r="INC17" s="8"/>
      <c r="IND17" s="8"/>
      <c r="INE17" s="8"/>
      <c r="INF17" s="8"/>
      <c r="ING17" s="8"/>
      <c r="INH17" s="8"/>
      <c r="INI17" s="8"/>
      <c r="INJ17" s="8"/>
      <c r="INK17" s="8"/>
      <c r="INL17" s="8"/>
      <c r="INM17" s="8"/>
      <c r="INN17" s="8"/>
      <c r="INO17" s="8"/>
      <c r="INP17" s="8"/>
      <c r="INQ17" s="8"/>
      <c r="INR17" s="8"/>
      <c r="INS17" s="8"/>
      <c r="INT17" s="8"/>
      <c r="INU17" s="8"/>
      <c r="INV17" s="8"/>
      <c r="INW17" s="8"/>
      <c r="INX17" s="8"/>
      <c r="INY17" s="8"/>
      <c r="INZ17" s="8"/>
      <c r="IOA17" s="8"/>
      <c r="IOB17" s="8"/>
      <c r="IOC17" s="8"/>
      <c r="IOD17" s="8"/>
      <c r="IOE17" s="8"/>
      <c r="IOF17" s="8"/>
      <c r="IOG17" s="8"/>
      <c r="IOH17" s="8"/>
      <c r="IOI17" s="8"/>
      <c r="IOJ17" s="8"/>
      <c r="IOK17" s="8"/>
      <c r="IOL17" s="8"/>
      <c r="IOM17" s="8"/>
      <c r="ION17" s="8"/>
      <c r="IOO17" s="8"/>
      <c r="IOP17" s="8"/>
      <c r="IOQ17" s="8"/>
      <c r="IOR17" s="8"/>
      <c r="IOS17" s="8"/>
      <c r="IOT17" s="8"/>
      <c r="IOU17" s="8"/>
      <c r="IOV17" s="8"/>
      <c r="IOW17" s="8"/>
      <c r="IOX17" s="8"/>
      <c r="IOY17" s="8"/>
      <c r="IOZ17" s="8"/>
      <c r="IPA17" s="8"/>
      <c r="IPB17" s="8"/>
      <c r="IPC17" s="8"/>
      <c r="IPD17" s="8"/>
      <c r="IPE17" s="8"/>
      <c r="IPF17" s="8"/>
      <c r="IPG17" s="8"/>
      <c r="IPH17" s="8"/>
      <c r="IPI17" s="8"/>
      <c r="IPJ17" s="8"/>
      <c r="IPK17" s="8"/>
      <c r="IPL17" s="8"/>
      <c r="IPM17" s="8"/>
      <c r="IPN17" s="8"/>
      <c r="IPO17" s="8"/>
      <c r="IPP17" s="8"/>
      <c r="IPQ17" s="8"/>
      <c r="IPR17" s="8"/>
      <c r="IPS17" s="8"/>
      <c r="IPT17" s="8"/>
      <c r="IPU17" s="8"/>
      <c r="IPV17" s="8"/>
      <c r="IPW17" s="8"/>
      <c r="IPX17" s="8"/>
      <c r="IPY17" s="8"/>
      <c r="IPZ17" s="8"/>
      <c r="IQA17" s="8"/>
      <c r="IQB17" s="8"/>
      <c r="IQC17" s="8"/>
      <c r="IQD17" s="8"/>
      <c r="IQE17" s="8"/>
      <c r="IQF17" s="8"/>
      <c r="IQG17" s="8"/>
      <c r="IQH17" s="8"/>
      <c r="IQI17" s="8"/>
      <c r="IQJ17" s="8"/>
      <c r="IQK17" s="8"/>
      <c r="IQL17" s="8"/>
      <c r="IQM17" s="8"/>
      <c r="IQN17" s="8"/>
      <c r="IQO17" s="8"/>
      <c r="IQP17" s="8"/>
      <c r="IQQ17" s="8"/>
      <c r="IQR17" s="8"/>
      <c r="IQS17" s="8"/>
      <c r="IQT17" s="8"/>
      <c r="IQU17" s="8"/>
      <c r="IQV17" s="8"/>
      <c r="IQW17" s="8"/>
      <c r="IQX17" s="8"/>
      <c r="IQY17" s="8"/>
      <c r="IQZ17" s="8"/>
      <c r="IRA17" s="8"/>
      <c r="IRB17" s="8"/>
      <c r="IRC17" s="8"/>
      <c r="IRD17" s="8"/>
      <c r="IRE17" s="8"/>
      <c r="IRF17" s="8"/>
      <c r="IRG17" s="8"/>
      <c r="IRH17" s="8"/>
      <c r="IRI17" s="8"/>
      <c r="IRJ17" s="8"/>
      <c r="IRK17" s="8"/>
      <c r="IRL17" s="8"/>
      <c r="IRM17" s="8"/>
      <c r="IRN17" s="8"/>
      <c r="IRO17" s="8"/>
      <c r="IRP17" s="8"/>
      <c r="IRQ17" s="8"/>
      <c r="IRR17" s="8"/>
      <c r="IRS17" s="8"/>
      <c r="IRT17" s="8"/>
      <c r="IRU17" s="8"/>
      <c r="IRV17" s="8"/>
      <c r="IRW17" s="8"/>
      <c r="IRX17" s="8"/>
      <c r="IRY17" s="8"/>
      <c r="IRZ17" s="8"/>
      <c r="ISA17" s="8"/>
      <c r="ISB17" s="8"/>
      <c r="ISC17" s="8"/>
      <c r="ISD17" s="8"/>
      <c r="ISE17" s="8"/>
      <c r="ISF17" s="8"/>
      <c r="ISG17" s="8"/>
      <c r="ISH17" s="8"/>
      <c r="ISI17" s="8"/>
      <c r="ISJ17" s="8"/>
      <c r="ISK17" s="8"/>
      <c r="ISL17" s="8"/>
      <c r="ISM17" s="8"/>
      <c r="ISN17" s="8"/>
      <c r="ISO17" s="8"/>
      <c r="ISP17" s="8"/>
      <c r="ISQ17" s="8"/>
      <c r="ISR17" s="8"/>
      <c r="ISS17" s="8"/>
      <c r="IST17" s="8"/>
      <c r="ISU17" s="8"/>
      <c r="ISV17" s="8"/>
      <c r="ISW17" s="8"/>
      <c r="ISX17" s="8"/>
      <c r="ISY17" s="8"/>
      <c r="ISZ17" s="8"/>
      <c r="ITA17" s="8"/>
      <c r="ITB17" s="8"/>
      <c r="ITC17" s="8"/>
      <c r="ITD17" s="8"/>
      <c r="ITE17" s="8"/>
      <c r="ITF17" s="8"/>
      <c r="ITG17" s="8"/>
      <c r="ITH17" s="8"/>
      <c r="ITI17" s="8"/>
      <c r="ITJ17" s="8"/>
      <c r="ITK17" s="8"/>
      <c r="ITL17" s="8"/>
      <c r="ITM17" s="8"/>
      <c r="ITN17" s="8"/>
      <c r="ITO17" s="8"/>
      <c r="ITP17" s="8"/>
      <c r="ITQ17" s="8"/>
      <c r="ITR17" s="8"/>
      <c r="ITS17" s="8"/>
      <c r="ITT17" s="8"/>
      <c r="ITU17" s="8"/>
      <c r="ITV17" s="8"/>
      <c r="ITW17" s="8"/>
      <c r="ITX17" s="8"/>
      <c r="ITY17" s="8"/>
      <c r="ITZ17" s="8"/>
      <c r="IUA17" s="8"/>
      <c r="IUB17" s="8"/>
      <c r="IUC17" s="8"/>
      <c r="IUD17" s="8"/>
      <c r="IUE17" s="8"/>
      <c r="IUF17" s="8"/>
      <c r="IUG17" s="8"/>
      <c r="IUH17" s="8"/>
      <c r="IUI17" s="8"/>
      <c r="IUJ17" s="8"/>
      <c r="IUK17" s="8"/>
      <c r="IUL17" s="8"/>
      <c r="IUM17" s="8"/>
      <c r="IUN17" s="8"/>
      <c r="IUO17" s="8"/>
      <c r="IUP17" s="8"/>
      <c r="IUQ17" s="8"/>
      <c r="IUR17" s="8"/>
      <c r="IUS17" s="8"/>
      <c r="IUT17" s="8"/>
      <c r="IUU17" s="8"/>
      <c r="IUV17" s="8"/>
      <c r="IUW17" s="8"/>
      <c r="IUX17" s="8"/>
      <c r="IUY17" s="8"/>
      <c r="IUZ17" s="8"/>
      <c r="IVA17" s="8"/>
      <c r="IVB17" s="8"/>
      <c r="IVC17" s="8"/>
      <c r="IVD17" s="8"/>
      <c r="IVE17" s="8"/>
      <c r="IVF17" s="8"/>
      <c r="IVG17" s="8"/>
      <c r="IVH17" s="8"/>
      <c r="IVI17" s="8"/>
      <c r="IVJ17" s="8"/>
      <c r="IVK17" s="8"/>
      <c r="IVL17" s="8"/>
      <c r="IVM17" s="8"/>
      <c r="IVN17" s="8"/>
      <c r="IVO17" s="8"/>
      <c r="IVP17" s="8"/>
      <c r="IVQ17" s="8"/>
      <c r="IVR17" s="8"/>
      <c r="IVS17" s="8"/>
      <c r="IVT17" s="8"/>
      <c r="IVU17" s="8"/>
      <c r="IVV17" s="8"/>
      <c r="IVW17" s="8"/>
      <c r="IVX17" s="8"/>
      <c r="IVY17" s="8"/>
      <c r="IVZ17" s="8"/>
      <c r="IWA17" s="8"/>
      <c r="IWB17" s="8"/>
      <c r="IWC17" s="8"/>
      <c r="IWD17" s="8"/>
      <c r="IWE17" s="8"/>
      <c r="IWF17" s="8"/>
      <c r="IWG17" s="8"/>
      <c r="IWH17" s="8"/>
      <c r="IWI17" s="8"/>
      <c r="IWJ17" s="8"/>
      <c r="IWK17" s="8"/>
      <c r="IWL17" s="8"/>
      <c r="IWM17" s="8"/>
      <c r="IWN17" s="8"/>
      <c r="IWO17" s="8"/>
      <c r="IWP17" s="8"/>
      <c r="IWQ17" s="8"/>
      <c r="IWR17" s="8"/>
      <c r="IWS17" s="8"/>
      <c r="IWT17" s="8"/>
      <c r="IWU17" s="8"/>
      <c r="IWV17" s="8"/>
      <c r="IWW17" s="8"/>
      <c r="IWX17" s="8"/>
      <c r="IWY17" s="8"/>
      <c r="IWZ17" s="8"/>
      <c r="IXA17" s="8"/>
      <c r="IXB17" s="8"/>
      <c r="IXC17" s="8"/>
      <c r="IXD17" s="8"/>
      <c r="IXE17" s="8"/>
      <c r="IXF17" s="8"/>
      <c r="IXG17" s="8"/>
      <c r="IXH17" s="8"/>
      <c r="IXI17" s="8"/>
      <c r="IXJ17" s="8"/>
      <c r="IXK17" s="8"/>
      <c r="IXL17" s="8"/>
      <c r="IXM17" s="8"/>
      <c r="IXN17" s="8"/>
      <c r="IXO17" s="8"/>
      <c r="IXP17" s="8"/>
      <c r="IXQ17" s="8"/>
      <c r="IXR17" s="8"/>
      <c r="IXS17" s="8"/>
      <c r="IXT17" s="8"/>
      <c r="IXU17" s="8"/>
      <c r="IXV17" s="8"/>
      <c r="IXW17" s="8"/>
      <c r="IXX17" s="8"/>
      <c r="IXY17" s="8"/>
      <c r="IXZ17" s="8"/>
      <c r="IYA17" s="8"/>
      <c r="IYB17" s="8"/>
      <c r="IYC17" s="8"/>
      <c r="IYD17" s="8"/>
      <c r="IYE17" s="8"/>
      <c r="IYF17" s="8"/>
      <c r="IYG17" s="8"/>
      <c r="IYH17" s="8"/>
      <c r="IYI17" s="8"/>
      <c r="IYJ17" s="8"/>
      <c r="IYK17" s="8"/>
      <c r="IYL17" s="8"/>
      <c r="IYM17" s="8"/>
      <c r="IYN17" s="8"/>
      <c r="IYO17" s="8"/>
      <c r="IYP17" s="8"/>
      <c r="IYQ17" s="8"/>
      <c r="IYR17" s="8"/>
      <c r="IYS17" s="8"/>
      <c r="IYT17" s="8"/>
      <c r="IYU17" s="8"/>
      <c r="IYV17" s="8"/>
      <c r="IYW17" s="8"/>
      <c r="IYX17" s="8"/>
      <c r="IYY17" s="8"/>
      <c r="IYZ17" s="8"/>
      <c r="IZA17" s="8"/>
      <c r="IZB17" s="8"/>
      <c r="IZC17" s="8"/>
      <c r="IZD17" s="8"/>
      <c r="IZE17" s="8"/>
      <c r="IZF17" s="8"/>
      <c r="IZG17" s="8"/>
      <c r="IZH17" s="8"/>
      <c r="IZI17" s="8"/>
      <c r="IZJ17" s="8"/>
      <c r="IZK17" s="8"/>
      <c r="IZL17" s="8"/>
      <c r="IZM17" s="8"/>
      <c r="IZN17" s="8"/>
      <c r="IZO17" s="8"/>
      <c r="IZP17" s="8"/>
      <c r="IZQ17" s="8"/>
      <c r="IZR17" s="8"/>
      <c r="IZS17" s="8"/>
      <c r="IZT17" s="8"/>
      <c r="IZU17" s="8"/>
      <c r="IZV17" s="8"/>
      <c r="IZW17" s="8"/>
      <c r="IZX17" s="8"/>
      <c r="IZY17" s="8"/>
      <c r="IZZ17" s="8"/>
      <c r="JAA17" s="8"/>
      <c r="JAB17" s="8"/>
      <c r="JAC17" s="8"/>
      <c r="JAD17" s="8"/>
      <c r="JAE17" s="8"/>
      <c r="JAF17" s="8"/>
      <c r="JAG17" s="8"/>
      <c r="JAH17" s="8"/>
      <c r="JAI17" s="8"/>
      <c r="JAJ17" s="8"/>
      <c r="JAK17" s="8"/>
      <c r="JAL17" s="8"/>
      <c r="JAM17" s="8"/>
      <c r="JAN17" s="8"/>
      <c r="JAO17" s="8"/>
      <c r="JAP17" s="8"/>
      <c r="JAQ17" s="8"/>
      <c r="JAR17" s="8"/>
      <c r="JAS17" s="8"/>
      <c r="JAT17" s="8"/>
      <c r="JAU17" s="8"/>
      <c r="JAV17" s="8"/>
      <c r="JAW17" s="8"/>
      <c r="JAX17" s="8"/>
      <c r="JAY17" s="8"/>
      <c r="JAZ17" s="8"/>
      <c r="JBA17" s="8"/>
      <c r="JBB17" s="8"/>
      <c r="JBC17" s="8"/>
      <c r="JBD17" s="8"/>
      <c r="JBE17" s="8"/>
      <c r="JBF17" s="8"/>
      <c r="JBG17" s="8"/>
      <c r="JBH17" s="8"/>
      <c r="JBI17" s="8"/>
      <c r="JBJ17" s="8"/>
      <c r="JBK17" s="8"/>
      <c r="JBL17" s="8"/>
      <c r="JBM17" s="8"/>
      <c r="JBN17" s="8"/>
      <c r="JBO17" s="8"/>
      <c r="JBP17" s="8"/>
      <c r="JBQ17" s="8"/>
      <c r="JBR17" s="8"/>
      <c r="JBS17" s="8"/>
      <c r="JBT17" s="8"/>
      <c r="JBU17" s="8"/>
      <c r="JBV17" s="8"/>
      <c r="JBW17" s="8"/>
      <c r="JBX17" s="8"/>
      <c r="JBY17" s="8"/>
      <c r="JBZ17" s="8"/>
      <c r="JCA17" s="8"/>
      <c r="JCB17" s="8"/>
      <c r="JCC17" s="8"/>
      <c r="JCD17" s="8"/>
      <c r="JCE17" s="8"/>
      <c r="JCF17" s="8"/>
      <c r="JCG17" s="8"/>
      <c r="JCH17" s="8"/>
      <c r="JCI17" s="8"/>
      <c r="JCJ17" s="8"/>
      <c r="JCK17" s="8"/>
      <c r="JCL17" s="8"/>
      <c r="JCM17" s="8"/>
      <c r="JCN17" s="8"/>
      <c r="JCO17" s="8"/>
      <c r="JCP17" s="8"/>
      <c r="JCQ17" s="8"/>
      <c r="JCR17" s="8"/>
      <c r="JCS17" s="8"/>
      <c r="JCT17" s="8"/>
      <c r="JCU17" s="8"/>
      <c r="JCV17" s="8"/>
      <c r="JCW17" s="8"/>
      <c r="JCX17" s="8"/>
      <c r="JCY17" s="8"/>
      <c r="JCZ17" s="8"/>
      <c r="JDA17" s="8"/>
      <c r="JDB17" s="8"/>
      <c r="JDC17" s="8"/>
      <c r="JDD17" s="8"/>
      <c r="JDE17" s="8"/>
      <c r="JDF17" s="8"/>
      <c r="JDG17" s="8"/>
      <c r="JDH17" s="8"/>
      <c r="JDI17" s="8"/>
      <c r="JDJ17" s="8"/>
      <c r="JDK17" s="8"/>
      <c r="JDL17" s="8"/>
      <c r="JDM17" s="8"/>
      <c r="JDN17" s="8"/>
      <c r="JDO17" s="8"/>
      <c r="JDP17" s="8"/>
      <c r="JDQ17" s="8"/>
      <c r="JDR17" s="8"/>
      <c r="JDS17" s="8"/>
      <c r="JDT17" s="8"/>
      <c r="JDU17" s="8"/>
      <c r="JDV17" s="8"/>
      <c r="JDW17" s="8"/>
      <c r="JDX17" s="8"/>
      <c r="JDY17" s="8"/>
      <c r="JDZ17" s="8"/>
      <c r="JEA17" s="8"/>
      <c r="JEB17" s="8"/>
      <c r="JEC17" s="8"/>
      <c r="JED17" s="8"/>
      <c r="JEE17" s="8"/>
      <c r="JEF17" s="8"/>
      <c r="JEG17" s="8"/>
      <c r="JEH17" s="8"/>
      <c r="JEI17" s="8"/>
      <c r="JEJ17" s="8"/>
      <c r="JEK17" s="8"/>
      <c r="JEL17" s="8"/>
      <c r="JEM17" s="8"/>
      <c r="JEN17" s="8"/>
      <c r="JEO17" s="8"/>
      <c r="JEP17" s="8"/>
      <c r="JEQ17" s="8"/>
      <c r="JER17" s="8"/>
      <c r="JES17" s="8"/>
      <c r="JET17" s="8"/>
      <c r="JEU17" s="8"/>
      <c r="JEV17" s="8"/>
      <c r="JEW17" s="8"/>
      <c r="JEX17" s="8"/>
      <c r="JEY17" s="8"/>
      <c r="JEZ17" s="8"/>
      <c r="JFA17" s="8"/>
      <c r="JFB17" s="8"/>
      <c r="JFC17" s="8"/>
      <c r="JFD17" s="8"/>
      <c r="JFE17" s="8"/>
      <c r="JFF17" s="8"/>
      <c r="JFG17" s="8"/>
      <c r="JFH17" s="8"/>
      <c r="JFI17" s="8"/>
      <c r="JFJ17" s="8"/>
      <c r="JFK17" s="8"/>
      <c r="JFL17" s="8"/>
      <c r="JFM17" s="8"/>
      <c r="JFN17" s="8"/>
      <c r="JFO17" s="8"/>
      <c r="JFP17" s="8"/>
      <c r="JFQ17" s="8"/>
      <c r="JFR17" s="8"/>
      <c r="JFS17" s="8"/>
      <c r="JFT17" s="8"/>
      <c r="JFU17" s="8"/>
      <c r="JFV17" s="8"/>
      <c r="JFW17" s="8"/>
      <c r="JFX17" s="8"/>
      <c r="JFY17" s="8"/>
      <c r="JFZ17" s="8"/>
      <c r="JGA17" s="8"/>
      <c r="JGB17" s="8"/>
      <c r="JGC17" s="8"/>
      <c r="JGD17" s="8"/>
      <c r="JGE17" s="8"/>
      <c r="JGF17" s="8"/>
      <c r="JGG17" s="8"/>
      <c r="JGH17" s="8"/>
      <c r="JGI17" s="8"/>
      <c r="JGJ17" s="8"/>
      <c r="JGK17" s="8"/>
      <c r="JGL17" s="8"/>
      <c r="JGM17" s="8"/>
      <c r="JGN17" s="8"/>
      <c r="JGO17" s="8"/>
      <c r="JGP17" s="8"/>
      <c r="JGQ17" s="8"/>
      <c r="JGR17" s="8"/>
      <c r="JGS17" s="8"/>
      <c r="JGT17" s="8"/>
      <c r="JGU17" s="8"/>
      <c r="JGV17" s="8"/>
      <c r="JGW17" s="8"/>
      <c r="JGX17" s="8"/>
      <c r="JGY17" s="8"/>
      <c r="JGZ17" s="8"/>
      <c r="JHA17" s="8"/>
      <c r="JHB17" s="8"/>
      <c r="JHC17" s="8"/>
      <c r="JHD17" s="8"/>
      <c r="JHE17" s="8"/>
      <c r="JHF17" s="8"/>
      <c r="JHG17" s="8"/>
      <c r="JHH17" s="8"/>
      <c r="JHI17" s="8"/>
      <c r="JHJ17" s="8"/>
      <c r="JHK17" s="8"/>
      <c r="JHL17" s="8"/>
      <c r="JHM17" s="8"/>
      <c r="JHN17" s="8"/>
      <c r="JHO17" s="8"/>
      <c r="JHP17" s="8"/>
      <c r="JHQ17" s="8"/>
      <c r="JHR17" s="8"/>
      <c r="JHS17" s="8"/>
      <c r="JHT17" s="8"/>
      <c r="JHU17" s="8"/>
      <c r="JHV17" s="8"/>
      <c r="JHW17" s="8"/>
      <c r="JHX17" s="8"/>
      <c r="JHY17" s="8"/>
      <c r="JHZ17" s="8"/>
      <c r="JIA17" s="8"/>
      <c r="JIB17" s="8"/>
      <c r="JIC17" s="8"/>
      <c r="JID17" s="8"/>
      <c r="JIE17" s="8"/>
      <c r="JIF17" s="8"/>
      <c r="JIG17" s="8"/>
      <c r="JIH17" s="8"/>
      <c r="JII17" s="8"/>
      <c r="JIJ17" s="8"/>
      <c r="JIK17" s="8"/>
      <c r="JIL17" s="8"/>
      <c r="JIM17" s="8"/>
      <c r="JIN17" s="8"/>
      <c r="JIO17" s="8"/>
      <c r="JIP17" s="8"/>
      <c r="JIQ17" s="8"/>
      <c r="JIR17" s="8"/>
      <c r="JIS17" s="8"/>
      <c r="JIT17" s="8"/>
      <c r="JIU17" s="8"/>
      <c r="JIV17" s="8"/>
      <c r="JIW17" s="8"/>
      <c r="JIX17" s="8"/>
      <c r="JIY17" s="8"/>
      <c r="JIZ17" s="8"/>
      <c r="JJA17" s="8"/>
      <c r="JJB17" s="8"/>
      <c r="JJC17" s="8"/>
      <c r="JJD17" s="8"/>
      <c r="JJE17" s="8"/>
      <c r="JJF17" s="8"/>
      <c r="JJG17" s="8"/>
      <c r="JJH17" s="8"/>
      <c r="JJI17" s="8"/>
      <c r="JJJ17" s="8"/>
      <c r="JJK17" s="8"/>
      <c r="JJL17" s="8"/>
      <c r="JJM17" s="8"/>
      <c r="JJN17" s="8"/>
      <c r="JJO17" s="8"/>
      <c r="JJP17" s="8"/>
      <c r="JJQ17" s="8"/>
      <c r="JJR17" s="8"/>
      <c r="JJS17" s="8"/>
      <c r="JJT17" s="8"/>
      <c r="JJU17" s="8"/>
      <c r="JJV17" s="8"/>
      <c r="JJW17" s="8"/>
      <c r="JJX17" s="8"/>
      <c r="JJY17" s="8"/>
      <c r="JJZ17" s="8"/>
      <c r="JKA17" s="8"/>
      <c r="JKB17" s="8"/>
      <c r="JKC17" s="8"/>
      <c r="JKD17" s="8"/>
      <c r="JKE17" s="8"/>
      <c r="JKF17" s="8"/>
      <c r="JKG17" s="8"/>
      <c r="JKH17" s="8"/>
      <c r="JKI17" s="8"/>
      <c r="JKJ17" s="8"/>
      <c r="JKK17" s="8"/>
      <c r="JKL17" s="8"/>
      <c r="JKM17" s="8"/>
      <c r="JKN17" s="8"/>
      <c r="JKO17" s="8"/>
      <c r="JKP17" s="8"/>
      <c r="JKQ17" s="8"/>
      <c r="JKR17" s="8"/>
      <c r="JKS17" s="8"/>
      <c r="JKT17" s="8"/>
      <c r="JKU17" s="8"/>
      <c r="JKV17" s="8"/>
      <c r="JKW17" s="8"/>
      <c r="JKX17" s="8"/>
      <c r="JKY17" s="8"/>
      <c r="JKZ17" s="8"/>
      <c r="JLA17" s="8"/>
      <c r="JLB17" s="8"/>
      <c r="JLC17" s="8"/>
      <c r="JLD17" s="8"/>
      <c r="JLE17" s="8"/>
      <c r="JLF17" s="8"/>
      <c r="JLG17" s="8"/>
      <c r="JLH17" s="8"/>
      <c r="JLI17" s="8"/>
      <c r="JLJ17" s="8"/>
      <c r="JLK17" s="8"/>
      <c r="JLL17" s="8"/>
      <c r="JLM17" s="8"/>
      <c r="JLN17" s="8"/>
      <c r="JLO17" s="8"/>
      <c r="JLP17" s="8"/>
      <c r="JLQ17" s="8"/>
      <c r="JLR17" s="8"/>
      <c r="JLS17" s="8"/>
      <c r="JLT17" s="8"/>
      <c r="JLU17" s="8"/>
      <c r="JLV17" s="8"/>
      <c r="JLW17" s="8"/>
      <c r="JLX17" s="8"/>
      <c r="JLY17" s="8"/>
      <c r="JLZ17" s="8"/>
      <c r="JMA17" s="8"/>
      <c r="JMB17" s="8"/>
      <c r="JMC17" s="8"/>
      <c r="JMD17" s="8"/>
      <c r="JME17" s="8"/>
      <c r="JMF17" s="8"/>
      <c r="JMG17" s="8"/>
      <c r="JMH17" s="8"/>
      <c r="JMI17" s="8"/>
      <c r="JMJ17" s="8"/>
      <c r="JMK17" s="8"/>
      <c r="JML17" s="8"/>
      <c r="JMM17" s="8"/>
      <c r="JMN17" s="8"/>
      <c r="JMO17" s="8"/>
      <c r="JMP17" s="8"/>
      <c r="JMQ17" s="8"/>
      <c r="JMR17" s="8"/>
      <c r="JMS17" s="8"/>
      <c r="JMT17" s="8"/>
      <c r="JMU17" s="8"/>
      <c r="JMV17" s="8"/>
      <c r="JMW17" s="8"/>
      <c r="JMX17" s="8"/>
      <c r="JMY17" s="8"/>
      <c r="JMZ17" s="8"/>
      <c r="JNA17" s="8"/>
      <c r="JNB17" s="8"/>
      <c r="JNC17" s="8"/>
      <c r="JND17" s="8"/>
      <c r="JNE17" s="8"/>
      <c r="JNF17" s="8"/>
      <c r="JNG17" s="8"/>
      <c r="JNH17" s="8"/>
      <c r="JNI17" s="8"/>
      <c r="JNJ17" s="8"/>
      <c r="JNK17" s="8"/>
      <c r="JNL17" s="8"/>
      <c r="JNM17" s="8"/>
      <c r="JNN17" s="8"/>
      <c r="JNO17" s="8"/>
      <c r="JNP17" s="8"/>
      <c r="JNQ17" s="8"/>
      <c r="JNR17" s="8"/>
      <c r="JNS17" s="8"/>
      <c r="JNT17" s="8"/>
      <c r="JNU17" s="8"/>
      <c r="JNV17" s="8"/>
      <c r="JNW17" s="8"/>
      <c r="JNX17" s="8"/>
      <c r="JNY17" s="8"/>
      <c r="JNZ17" s="8"/>
      <c r="JOA17" s="8"/>
      <c r="JOB17" s="8"/>
      <c r="JOC17" s="8"/>
      <c r="JOD17" s="8"/>
      <c r="JOE17" s="8"/>
      <c r="JOF17" s="8"/>
      <c r="JOG17" s="8"/>
      <c r="JOH17" s="8"/>
      <c r="JOI17" s="8"/>
      <c r="JOJ17" s="8"/>
      <c r="JOK17" s="8"/>
      <c r="JOL17" s="8"/>
      <c r="JOM17" s="8"/>
      <c r="JON17" s="8"/>
      <c r="JOO17" s="8"/>
      <c r="JOP17" s="8"/>
      <c r="JOQ17" s="8"/>
      <c r="JOR17" s="8"/>
      <c r="JOS17" s="8"/>
      <c r="JOT17" s="8"/>
      <c r="JOU17" s="8"/>
      <c r="JOV17" s="8"/>
      <c r="JOW17" s="8"/>
      <c r="JOX17" s="8"/>
      <c r="JOY17" s="8"/>
      <c r="JOZ17" s="8"/>
      <c r="JPA17" s="8"/>
      <c r="JPB17" s="8"/>
      <c r="JPC17" s="8"/>
      <c r="JPD17" s="8"/>
      <c r="JPE17" s="8"/>
      <c r="JPF17" s="8"/>
      <c r="JPG17" s="8"/>
      <c r="JPH17" s="8"/>
      <c r="JPI17" s="8"/>
      <c r="JPJ17" s="8"/>
      <c r="JPK17" s="8"/>
      <c r="JPL17" s="8"/>
      <c r="JPM17" s="8"/>
      <c r="JPN17" s="8"/>
      <c r="JPO17" s="8"/>
      <c r="JPP17" s="8"/>
      <c r="JPQ17" s="8"/>
      <c r="JPR17" s="8"/>
      <c r="JPS17" s="8"/>
      <c r="JPT17" s="8"/>
      <c r="JPU17" s="8"/>
      <c r="JPV17" s="8"/>
      <c r="JPW17" s="8"/>
      <c r="JPX17" s="8"/>
      <c r="JPY17" s="8"/>
      <c r="JPZ17" s="8"/>
      <c r="JQA17" s="8"/>
      <c r="JQB17" s="8"/>
      <c r="JQC17" s="8"/>
      <c r="JQD17" s="8"/>
      <c r="JQE17" s="8"/>
      <c r="JQF17" s="8"/>
      <c r="JQG17" s="8"/>
      <c r="JQH17" s="8"/>
      <c r="JQI17" s="8"/>
      <c r="JQJ17" s="8"/>
      <c r="JQK17" s="8"/>
      <c r="JQL17" s="8"/>
      <c r="JQM17" s="8"/>
      <c r="JQN17" s="8"/>
      <c r="JQO17" s="8"/>
      <c r="JQP17" s="8"/>
      <c r="JQQ17" s="8"/>
      <c r="JQR17" s="8"/>
      <c r="JQS17" s="8"/>
      <c r="JQT17" s="8"/>
      <c r="JQU17" s="8"/>
      <c r="JQV17" s="8"/>
      <c r="JQW17" s="8"/>
      <c r="JQX17" s="8"/>
      <c r="JQY17" s="8"/>
      <c r="JQZ17" s="8"/>
      <c r="JRA17" s="8"/>
      <c r="JRB17" s="8"/>
      <c r="JRC17" s="8"/>
      <c r="JRD17" s="8"/>
      <c r="JRE17" s="8"/>
      <c r="JRF17" s="8"/>
      <c r="JRG17" s="8"/>
      <c r="JRH17" s="8"/>
      <c r="JRI17" s="8"/>
      <c r="JRJ17" s="8"/>
      <c r="JRK17" s="8"/>
      <c r="JRL17" s="8"/>
      <c r="JRM17" s="8"/>
      <c r="JRN17" s="8"/>
      <c r="JRO17" s="8"/>
      <c r="JRP17" s="8"/>
      <c r="JRQ17" s="8"/>
      <c r="JRR17" s="8"/>
      <c r="JRS17" s="8"/>
      <c r="JRT17" s="8"/>
      <c r="JRU17" s="8"/>
      <c r="JRV17" s="8"/>
      <c r="JRW17" s="8"/>
      <c r="JRX17" s="8"/>
      <c r="JRY17" s="8"/>
      <c r="JRZ17" s="8"/>
      <c r="JSA17" s="8"/>
      <c r="JSB17" s="8"/>
      <c r="JSC17" s="8"/>
      <c r="JSD17" s="8"/>
      <c r="JSE17" s="8"/>
      <c r="JSF17" s="8"/>
      <c r="JSG17" s="8"/>
      <c r="JSH17" s="8"/>
      <c r="JSI17" s="8"/>
      <c r="JSJ17" s="8"/>
      <c r="JSK17" s="8"/>
      <c r="JSL17" s="8"/>
      <c r="JSM17" s="8"/>
      <c r="JSN17" s="8"/>
      <c r="JSO17" s="8"/>
      <c r="JSP17" s="8"/>
      <c r="JSQ17" s="8"/>
      <c r="JSR17" s="8"/>
      <c r="JSS17" s="8"/>
      <c r="JST17" s="8"/>
      <c r="JSU17" s="8"/>
      <c r="JSV17" s="8"/>
      <c r="JSW17" s="8"/>
      <c r="JSX17" s="8"/>
      <c r="JSY17" s="8"/>
      <c r="JSZ17" s="8"/>
      <c r="JTA17" s="8"/>
      <c r="JTB17" s="8"/>
      <c r="JTC17" s="8"/>
      <c r="JTD17" s="8"/>
      <c r="JTE17" s="8"/>
      <c r="JTF17" s="8"/>
      <c r="JTG17" s="8"/>
      <c r="JTH17" s="8"/>
      <c r="JTI17" s="8"/>
      <c r="JTJ17" s="8"/>
      <c r="JTK17" s="8"/>
      <c r="JTL17" s="8"/>
      <c r="JTM17" s="8"/>
      <c r="JTN17" s="8"/>
      <c r="JTO17" s="8"/>
      <c r="JTP17" s="8"/>
      <c r="JTQ17" s="8"/>
      <c r="JTR17" s="8"/>
      <c r="JTS17" s="8"/>
      <c r="JTT17" s="8"/>
      <c r="JTU17" s="8"/>
      <c r="JTV17" s="8"/>
      <c r="JTW17" s="8"/>
      <c r="JTX17" s="8"/>
      <c r="JTY17" s="8"/>
      <c r="JTZ17" s="8"/>
      <c r="JUA17" s="8"/>
      <c r="JUB17" s="8"/>
      <c r="JUC17" s="8"/>
      <c r="JUD17" s="8"/>
      <c r="JUE17" s="8"/>
      <c r="JUF17" s="8"/>
      <c r="JUG17" s="8"/>
      <c r="JUH17" s="8"/>
      <c r="JUI17" s="8"/>
      <c r="JUJ17" s="8"/>
      <c r="JUK17" s="8"/>
      <c r="JUL17" s="8"/>
      <c r="JUM17" s="8"/>
      <c r="JUN17" s="8"/>
      <c r="JUO17" s="8"/>
      <c r="JUP17" s="8"/>
      <c r="JUQ17" s="8"/>
      <c r="JUR17" s="8"/>
      <c r="JUS17" s="8"/>
      <c r="JUT17" s="8"/>
      <c r="JUU17" s="8"/>
      <c r="JUV17" s="8"/>
      <c r="JUW17" s="8"/>
      <c r="JUX17" s="8"/>
      <c r="JUY17" s="8"/>
      <c r="JUZ17" s="8"/>
      <c r="JVA17" s="8"/>
      <c r="JVB17" s="8"/>
      <c r="JVC17" s="8"/>
      <c r="JVD17" s="8"/>
      <c r="JVE17" s="8"/>
      <c r="JVF17" s="8"/>
      <c r="JVG17" s="8"/>
      <c r="JVH17" s="8"/>
      <c r="JVI17" s="8"/>
      <c r="JVJ17" s="8"/>
      <c r="JVK17" s="8"/>
      <c r="JVL17" s="8"/>
      <c r="JVM17" s="8"/>
      <c r="JVN17" s="8"/>
      <c r="JVO17" s="8"/>
      <c r="JVP17" s="8"/>
      <c r="JVQ17" s="8"/>
      <c r="JVR17" s="8"/>
      <c r="JVS17" s="8"/>
      <c r="JVT17" s="8"/>
      <c r="JVU17" s="8"/>
      <c r="JVV17" s="8"/>
      <c r="JVW17" s="8"/>
      <c r="JVX17" s="8"/>
      <c r="JVY17" s="8"/>
      <c r="JVZ17" s="8"/>
      <c r="JWA17" s="8"/>
      <c r="JWB17" s="8"/>
      <c r="JWC17" s="8"/>
      <c r="JWD17" s="8"/>
      <c r="JWE17" s="8"/>
      <c r="JWF17" s="8"/>
      <c r="JWG17" s="8"/>
      <c r="JWH17" s="8"/>
      <c r="JWI17" s="8"/>
      <c r="JWJ17" s="8"/>
      <c r="JWK17" s="8"/>
      <c r="JWL17" s="8"/>
      <c r="JWM17" s="8"/>
      <c r="JWN17" s="8"/>
      <c r="JWO17" s="8"/>
      <c r="JWP17" s="8"/>
      <c r="JWQ17" s="8"/>
      <c r="JWR17" s="8"/>
      <c r="JWS17" s="8"/>
      <c r="JWT17" s="8"/>
      <c r="JWU17" s="8"/>
      <c r="JWV17" s="8"/>
      <c r="JWW17" s="8"/>
      <c r="JWX17" s="8"/>
      <c r="JWY17" s="8"/>
      <c r="JWZ17" s="8"/>
      <c r="JXA17" s="8"/>
      <c r="JXB17" s="8"/>
      <c r="JXC17" s="8"/>
      <c r="JXD17" s="8"/>
      <c r="JXE17" s="8"/>
      <c r="JXF17" s="8"/>
      <c r="JXG17" s="8"/>
      <c r="JXH17" s="8"/>
      <c r="JXI17" s="8"/>
      <c r="JXJ17" s="8"/>
      <c r="JXK17" s="8"/>
      <c r="JXL17" s="8"/>
      <c r="JXM17" s="8"/>
      <c r="JXN17" s="8"/>
      <c r="JXO17" s="8"/>
      <c r="JXP17" s="8"/>
      <c r="JXQ17" s="8"/>
      <c r="JXR17" s="8"/>
      <c r="JXS17" s="8"/>
      <c r="JXT17" s="8"/>
      <c r="JXU17" s="8"/>
      <c r="JXV17" s="8"/>
      <c r="JXW17" s="8"/>
      <c r="JXX17" s="8"/>
      <c r="JXY17" s="8"/>
      <c r="JXZ17" s="8"/>
      <c r="JYA17" s="8"/>
      <c r="JYB17" s="8"/>
      <c r="JYC17" s="8"/>
      <c r="JYD17" s="8"/>
      <c r="JYE17" s="8"/>
      <c r="JYF17" s="8"/>
      <c r="JYG17" s="8"/>
      <c r="JYH17" s="8"/>
      <c r="JYI17" s="8"/>
      <c r="JYJ17" s="8"/>
      <c r="JYK17" s="8"/>
      <c r="JYL17" s="8"/>
      <c r="JYM17" s="8"/>
      <c r="JYN17" s="8"/>
      <c r="JYO17" s="8"/>
      <c r="JYP17" s="8"/>
      <c r="JYQ17" s="8"/>
      <c r="JYR17" s="8"/>
      <c r="JYS17" s="8"/>
      <c r="JYT17" s="8"/>
      <c r="JYU17" s="8"/>
      <c r="JYV17" s="8"/>
      <c r="JYW17" s="8"/>
      <c r="JYX17" s="8"/>
      <c r="JYY17" s="8"/>
      <c r="JYZ17" s="8"/>
      <c r="JZA17" s="8"/>
      <c r="JZB17" s="8"/>
      <c r="JZC17" s="8"/>
      <c r="JZD17" s="8"/>
      <c r="JZE17" s="8"/>
      <c r="JZF17" s="8"/>
      <c r="JZG17" s="8"/>
      <c r="JZH17" s="8"/>
      <c r="JZI17" s="8"/>
      <c r="JZJ17" s="8"/>
      <c r="JZK17" s="8"/>
      <c r="JZL17" s="8"/>
      <c r="JZM17" s="8"/>
      <c r="JZN17" s="8"/>
      <c r="JZO17" s="8"/>
      <c r="JZP17" s="8"/>
      <c r="JZQ17" s="8"/>
      <c r="JZR17" s="8"/>
      <c r="JZS17" s="8"/>
      <c r="JZT17" s="8"/>
      <c r="JZU17" s="8"/>
      <c r="JZV17" s="8"/>
      <c r="JZW17" s="8"/>
      <c r="JZX17" s="8"/>
      <c r="JZY17" s="8"/>
      <c r="JZZ17" s="8"/>
      <c r="KAA17" s="8"/>
      <c r="KAB17" s="8"/>
      <c r="KAC17" s="8"/>
      <c r="KAD17" s="8"/>
      <c r="KAE17" s="8"/>
      <c r="KAF17" s="8"/>
      <c r="KAG17" s="8"/>
      <c r="KAH17" s="8"/>
      <c r="KAI17" s="8"/>
      <c r="KAJ17" s="8"/>
      <c r="KAK17" s="8"/>
      <c r="KAL17" s="8"/>
      <c r="KAM17" s="8"/>
      <c r="KAN17" s="8"/>
      <c r="KAO17" s="8"/>
      <c r="KAP17" s="8"/>
      <c r="KAQ17" s="8"/>
      <c r="KAR17" s="8"/>
      <c r="KAS17" s="8"/>
      <c r="KAT17" s="8"/>
      <c r="KAU17" s="8"/>
      <c r="KAV17" s="8"/>
      <c r="KAW17" s="8"/>
      <c r="KAX17" s="8"/>
      <c r="KAY17" s="8"/>
      <c r="KAZ17" s="8"/>
      <c r="KBA17" s="8"/>
      <c r="KBB17" s="8"/>
      <c r="KBC17" s="8"/>
      <c r="KBD17" s="8"/>
      <c r="KBE17" s="8"/>
      <c r="KBF17" s="8"/>
      <c r="KBG17" s="8"/>
      <c r="KBH17" s="8"/>
      <c r="KBI17" s="8"/>
      <c r="KBJ17" s="8"/>
      <c r="KBK17" s="8"/>
      <c r="KBL17" s="8"/>
      <c r="KBM17" s="8"/>
      <c r="KBN17" s="8"/>
      <c r="KBO17" s="8"/>
      <c r="KBP17" s="8"/>
      <c r="KBQ17" s="8"/>
      <c r="KBR17" s="8"/>
      <c r="KBS17" s="8"/>
      <c r="KBT17" s="8"/>
      <c r="KBU17" s="8"/>
      <c r="KBV17" s="8"/>
      <c r="KBW17" s="8"/>
      <c r="KBX17" s="8"/>
      <c r="KBY17" s="8"/>
      <c r="KBZ17" s="8"/>
      <c r="KCA17" s="8"/>
      <c r="KCB17" s="8"/>
      <c r="KCC17" s="8"/>
      <c r="KCD17" s="8"/>
      <c r="KCE17" s="8"/>
      <c r="KCF17" s="8"/>
      <c r="KCG17" s="8"/>
      <c r="KCH17" s="8"/>
      <c r="KCI17" s="8"/>
      <c r="KCJ17" s="8"/>
      <c r="KCK17" s="8"/>
      <c r="KCL17" s="8"/>
      <c r="KCM17" s="8"/>
      <c r="KCN17" s="8"/>
      <c r="KCO17" s="8"/>
      <c r="KCP17" s="8"/>
      <c r="KCQ17" s="8"/>
      <c r="KCR17" s="8"/>
      <c r="KCS17" s="8"/>
      <c r="KCT17" s="8"/>
      <c r="KCU17" s="8"/>
      <c r="KCV17" s="8"/>
      <c r="KCW17" s="8"/>
      <c r="KCX17" s="8"/>
      <c r="KCY17" s="8"/>
      <c r="KCZ17" s="8"/>
      <c r="KDA17" s="8"/>
      <c r="KDB17" s="8"/>
      <c r="KDC17" s="8"/>
      <c r="KDD17" s="8"/>
      <c r="KDE17" s="8"/>
      <c r="KDF17" s="8"/>
      <c r="KDG17" s="8"/>
      <c r="KDH17" s="8"/>
      <c r="KDI17" s="8"/>
      <c r="KDJ17" s="8"/>
      <c r="KDK17" s="8"/>
      <c r="KDL17" s="8"/>
      <c r="KDM17" s="8"/>
      <c r="KDN17" s="8"/>
      <c r="KDO17" s="8"/>
      <c r="KDP17" s="8"/>
      <c r="KDQ17" s="8"/>
      <c r="KDR17" s="8"/>
      <c r="KDS17" s="8"/>
      <c r="KDT17" s="8"/>
      <c r="KDU17" s="8"/>
      <c r="KDV17" s="8"/>
      <c r="KDW17" s="8"/>
      <c r="KDX17" s="8"/>
      <c r="KDY17" s="8"/>
      <c r="KDZ17" s="8"/>
      <c r="KEA17" s="8"/>
      <c r="KEB17" s="8"/>
      <c r="KEC17" s="8"/>
      <c r="KED17" s="8"/>
      <c r="KEE17" s="8"/>
      <c r="KEF17" s="8"/>
      <c r="KEG17" s="8"/>
      <c r="KEH17" s="8"/>
      <c r="KEI17" s="8"/>
      <c r="KEJ17" s="8"/>
      <c r="KEK17" s="8"/>
      <c r="KEL17" s="8"/>
      <c r="KEM17" s="8"/>
      <c r="KEN17" s="8"/>
      <c r="KEO17" s="8"/>
      <c r="KEP17" s="8"/>
      <c r="KEQ17" s="8"/>
      <c r="KER17" s="8"/>
      <c r="KES17" s="8"/>
      <c r="KET17" s="8"/>
      <c r="KEU17" s="8"/>
      <c r="KEV17" s="8"/>
      <c r="KEW17" s="8"/>
      <c r="KEX17" s="8"/>
      <c r="KEY17" s="8"/>
      <c r="KEZ17" s="8"/>
      <c r="KFA17" s="8"/>
      <c r="KFB17" s="8"/>
      <c r="KFC17" s="8"/>
      <c r="KFD17" s="8"/>
      <c r="KFE17" s="8"/>
      <c r="KFF17" s="8"/>
      <c r="KFG17" s="8"/>
      <c r="KFH17" s="8"/>
      <c r="KFI17" s="8"/>
      <c r="KFJ17" s="8"/>
      <c r="KFK17" s="8"/>
      <c r="KFL17" s="8"/>
      <c r="KFM17" s="8"/>
      <c r="KFN17" s="8"/>
      <c r="KFO17" s="8"/>
      <c r="KFP17" s="8"/>
      <c r="KFQ17" s="8"/>
      <c r="KFR17" s="8"/>
      <c r="KFS17" s="8"/>
      <c r="KFT17" s="8"/>
      <c r="KFU17" s="8"/>
      <c r="KFV17" s="8"/>
      <c r="KFW17" s="8"/>
      <c r="KFX17" s="8"/>
      <c r="KFY17" s="8"/>
      <c r="KFZ17" s="8"/>
      <c r="KGA17" s="8"/>
      <c r="KGB17" s="8"/>
      <c r="KGC17" s="8"/>
      <c r="KGD17" s="8"/>
      <c r="KGE17" s="8"/>
      <c r="KGF17" s="8"/>
      <c r="KGG17" s="8"/>
      <c r="KGH17" s="8"/>
      <c r="KGI17" s="8"/>
      <c r="KGJ17" s="8"/>
      <c r="KGK17" s="8"/>
      <c r="KGL17" s="8"/>
      <c r="KGM17" s="8"/>
      <c r="KGN17" s="8"/>
      <c r="KGO17" s="8"/>
      <c r="KGP17" s="8"/>
      <c r="KGQ17" s="8"/>
      <c r="KGR17" s="8"/>
      <c r="KGS17" s="8"/>
      <c r="KGT17" s="8"/>
      <c r="KGU17" s="8"/>
      <c r="KGV17" s="8"/>
      <c r="KGW17" s="8"/>
      <c r="KGX17" s="8"/>
      <c r="KGY17" s="8"/>
      <c r="KGZ17" s="8"/>
      <c r="KHA17" s="8"/>
      <c r="KHB17" s="8"/>
      <c r="KHC17" s="8"/>
      <c r="KHD17" s="8"/>
      <c r="KHE17" s="8"/>
      <c r="KHF17" s="8"/>
      <c r="KHG17" s="8"/>
      <c r="KHH17" s="8"/>
      <c r="KHI17" s="8"/>
      <c r="KHJ17" s="8"/>
      <c r="KHK17" s="8"/>
      <c r="KHL17" s="8"/>
      <c r="KHM17" s="8"/>
      <c r="KHN17" s="8"/>
      <c r="KHO17" s="8"/>
      <c r="KHP17" s="8"/>
      <c r="KHQ17" s="8"/>
      <c r="KHR17" s="8"/>
      <c r="KHS17" s="8"/>
      <c r="KHT17" s="8"/>
      <c r="KHU17" s="8"/>
      <c r="KHV17" s="8"/>
      <c r="KHW17" s="8"/>
      <c r="KHX17" s="8"/>
      <c r="KHY17" s="8"/>
      <c r="KHZ17" s="8"/>
      <c r="KIA17" s="8"/>
      <c r="KIB17" s="8"/>
      <c r="KIC17" s="8"/>
      <c r="KID17" s="8"/>
      <c r="KIE17" s="8"/>
      <c r="KIF17" s="8"/>
      <c r="KIG17" s="8"/>
      <c r="KIH17" s="8"/>
      <c r="KII17" s="8"/>
      <c r="KIJ17" s="8"/>
      <c r="KIK17" s="8"/>
      <c r="KIL17" s="8"/>
      <c r="KIM17" s="8"/>
      <c r="KIN17" s="8"/>
      <c r="KIO17" s="8"/>
      <c r="KIP17" s="8"/>
      <c r="KIQ17" s="8"/>
      <c r="KIR17" s="8"/>
      <c r="KIS17" s="8"/>
      <c r="KIT17" s="8"/>
      <c r="KIU17" s="8"/>
      <c r="KIV17" s="8"/>
      <c r="KIW17" s="8"/>
      <c r="KIX17" s="8"/>
      <c r="KIY17" s="8"/>
      <c r="KIZ17" s="8"/>
      <c r="KJA17" s="8"/>
      <c r="KJB17" s="8"/>
      <c r="KJC17" s="8"/>
      <c r="KJD17" s="8"/>
      <c r="KJE17" s="8"/>
      <c r="KJF17" s="8"/>
      <c r="KJG17" s="8"/>
      <c r="KJH17" s="8"/>
      <c r="KJI17" s="8"/>
      <c r="KJJ17" s="8"/>
      <c r="KJK17" s="8"/>
      <c r="KJL17" s="8"/>
      <c r="KJM17" s="8"/>
      <c r="KJN17" s="8"/>
      <c r="KJO17" s="8"/>
      <c r="KJP17" s="8"/>
      <c r="KJQ17" s="8"/>
      <c r="KJR17" s="8"/>
      <c r="KJS17" s="8"/>
      <c r="KJT17" s="8"/>
      <c r="KJU17" s="8"/>
      <c r="KJV17" s="8"/>
      <c r="KJW17" s="8"/>
      <c r="KJX17" s="8"/>
      <c r="KJY17" s="8"/>
      <c r="KJZ17" s="8"/>
      <c r="KKA17" s="8"/>
      <c r="KKB17" s="8"/>
      <c r="KKC17" s="8"/>
      <c r="KKD17" s="8"/>
      <c r="KKE17" s="8"/>
      <c r="KKF17" s="8"/>
      <c r="KKG17" s="8"/>
      <c r="KKH17" s="8"/>
      <c r="KKI17" s="8"/>
      <c r="KKJ17" s="8"/>
      <c r="KKK17" s="8"/>
      <c r="KKL17" s="8"/>
      <c r="KKM17" s="8"/>
      <c r="KKN17" s="8"/>
      <c r="KKO17" s="8"/>
      <c r="KKP17" s="8"/>
      <c r="KKQ17" s="8"/>
      <c r="KKR17" s="8"/>
      <c r="KKS17" s="8"/>
      <c r="KKT17" s="8"/>
      <c r="KKU17" s="8"/>
      <c r="KKV17" s="8"/>
      <c r="KKW17" s="8"/>
      <c r="KKX17" s="8"/>
      <c r="KKY17" s="8"/>
      <c r="KKZ17" s="8"/>
      <c r="KLA17" s="8"/>
      <c r="KLB17" s="8"/>
      <c r="KLC17" s="8"/>
      <c r="KLD17" s="8"/>
      <c r="KLE17" s="8"/>
      <c r="KLF17" s="8"/>
      <c r="KLG17" s="8"/>
      <c r="KLH17" s="8"/>
      <c r="KLI17" s="8"/>
      <c r="KLJ17" s="8"/>
      <c r="KLK17" s="8"/>
      <c r="KLL17" s="8"/>
      <c r="KLM17" s="8"/>
      <c r="KLN17" s="8"/>
      <c r="KLO17" s="8"/>
      <c r="KLP17" s="8"/>
      <c r="KLQ17" s="8"/>
      <c r="KLR17" s="8"/>
      <c r="KLS17" s="8"/>
      <c r="KLT17" s="8"/>
      <c r="KLU17" s="8"/>
      <c r="KLV17" s="8"/>
      <c r="KLW17" s="8"/>
      <c r="KLX17" s="8"/>
      <c r="KLY17" s="8"/>
      <c r="KLZ17" s="8"/>
      <c r="KMA17" s="8"/>
      <c r="KMB17" s="8"/>
      <c r="KMC17" s="8"/>
      <c r="KMD17" s="8"/>
      <c r="KME17" s="8"/>
      <c r="KMF17" s="8"/>
      <c r="KMG17" s="8"/>
      <c r="KMH17" s="8"/>
      <c r="KMI17" s="8"/>
      <c r="KMJ17" s="8"/>
      <c r="KMK17" s="8"/>
      <c r="KML17" s="8"/>
      <c r="KMM17" s="8"/>
      <c r="KMN17" s="8"/>
      <c r="KMO17" s="8"/>
      <c r="KMP17" s="8"/>
      <c r="KMQ17" s="8"/>
      <c r="KMR17" s="8"/>
      <c r="KMS17" s="8"/>
      <c r="KMT17" s="8"/>
      <c r="KMU17" s="8"/>
      <c r="KMV17" s="8"/>
      <c r="KMW17" s="8"/>
      <c r="KMX17" s="8"/>
      <c r="KMY17" s="8"/>
      <c r="KMZ17" s="8"/>
      <c r="KNA17" s="8"/>
      <c r="KNB17" s="8"/>
      <c r="KNC17" s="8"/>
      <c r="KND17" s="8"/>
      <c r="KNE17" s="8"/>
      <c r="KNF17" s="8"/>
      <c r="KNG17" s="8"/>
      <c r="KNH17" s="8"/>
      <c r="KNI17" s="8"/>
      <c r="KNJ17" s="8"/>
      <c r="KNK17" s="8"/>
      <c r="KNL17" s="8"/>
      <c r="KNM17" s="8"/>
      <c r="KNN17" s="8"/>
      <c r="KNO17" s="8"/>
      <c r="KNP17" s="8"/>
      <c r="KNQ17" s="8"/>
      <c r="KNR17" s="8"/>
      <c r="KNS17" s="8"/>
      <c r="KNT17" s="8"/>
      <c r="KNU17" s="8"/>
      <c r="KNV17" s="8"/>
      <c r="KNW17" s="8"/>
      <c r="KNX17" s="8"/>
      <c r="KNY17" s="8"/>
      <c r="KNZ17" s="8"/>
      <c r="KOA17" s="8"/>
      <c r="KOB17" s="8"/>
      <c r="KOC17" s="8"/>
      <c r="KOD17" s="8"/>
      <c r="KOE17" s="8"/>
      <c r="KOF17" s="8"/>
      <c r="KOG17" s="8"/>
      <c r="KOH17" s="8"/>
      <c r="KOI17" s="8"/>
      <c r="KOJ17" s="8"/>
      <c r="KOK17" s="8"/>
      <c r="KOL17" s="8"/>
      <c r="KOM17" s="8"/>
      <c r="KON17" s="8"/>
      <c r="KOO17" s="8"/>
      <c r="KOP17" s="8"/>
      <c r="KOQ17" s="8"/>
      <c r="KOR17" s="8"/>
      <c r="KOS17" s="8"/>
      <c r="KOT17" s="8"/>
      <c r="KOU17" s="8"/>
      <c r="KOV17" s="8"/>
      <c r="KOW17" s="8"/>
      <c r="KOX17" s="8"/>
      <c r="KOY17" s="8"/>
      <c r="KOZ17" s="8"/>
      <c r="KPA17" s="8"/>
      <c r="KPB17" s="8"/>
      <c r="KPC17" s="8"/>
      <c r="KPD17" s="8"/>
      <c r="KPE17" s="8"/>
      <c r="KPF17" s="8"/>
      <c r="KPG17" s="8"/>
      <c r="KPH17" s="8"/>
      <c r="KPI17" s="8"/>
      <c r="KPJ17" s="8"/>
      <c r="KPK17" s="8"/>
      <c r="KPL17" s="8"/>
      <c r="KPM17" s="8"/>
      <c r="KPN17" s="8"/>
      <c r="KPO17" s="8"/>
      <c r="KPP17" s="8"/>
      <c r="KPQ17" s="8"/>
      <c r="KPR17" s="8"/>
      <c r="KPS17" s="8"/>
      <c r="KPT17" s="8"/>
      <c r="KPU17" s="8"/>
      <c r="KPV17" s="8"/>
      <c r="KPW17" s="8"/>
      <c r="KPX17" s="8"/>
      <c r="KPY17" s="8"/>
      <c r="KPZ17" s="8"/>
      <c r="KQA17" s="8"/>
      <c r="KQB17" s="8"/>
      <c r="KQC17" s="8"/>
      <c r="KQD17" s="8"/>
      <c r="KQE17" s="8"/>
      <c r="KQF17" s="8"/>
      <c r="KQG17" s="8"/>
      <c r="KQH17" s="8"/>
      <c r="KQI17" s="8"/>
      <c r="KQJ17" s="8"/>
      <c r="KQK17" s="8"/>
      <c r="KQL17" s="8"/>
      <c r="KQM17" s="8"/>
      <c r="KQN17" s="8"/>
      <c r="KQO17" s="8"/>
      <c r="KQP17" s="8"/>
      <c r="KQQ17" s="8"/>
      <c r="KQR17" s="8"/>
      <c r="KQS17" s="8"/>
      <c r="KQT17" s="8"/>
      <c r="KQU17" s="8"/>
      <c r="KQV17" s="8"/>
      <c r="KQW17" s="8"/>
      <c r="KQX17" s="8"/>
      <c r="KQY17" s="8"/>
      <c r="KQZ17" s="8"/>
      <c r="KRA17" s="8"/>
      <c r="KRB17" s="8"/>
      <c r="KRC17" s="8"/>
      <c r="KRD17" s="8"/>
      <c r="KRE17" s="8"/>
      <c r="KRF17" s="8"/>
      <c r="KRG17" s="8"/>
      <c r="KRH17" s="8"/>
      <c r="KRI17" s="8"/>
      <c r="KRJ17" s="8"/>
      <c r="KRK17" s="8"/>
      <c r="KRL17" s="8"/>
      <c r="KRM17" s="8"/>
      <c r="KRN17" s="8"/>
      <c r="KRO17" s="8"/>
      <c r="KRP17" s="8"/>
      <c r="KRQ17" s="8"/>
      <c r="KRR17" s="8"/>
      <c r="KRS17" s="8"/>
      <c r="KRT17" s="8"/>
      <c r="KRU17" s="8"/>
      <c r="KRV17" s="8"/>
      <c r="KRW17" s="8"/>
      <c r="KRX17" s="8"/>
      <c r="KRY17" s="8"/>
      <c r="KRZ17" s="8"/>
      <c r="KSA17" s="8"/>
      <c r="KSB17" s="8"/>
      <c r="KSC17" s="8"/>
      <c r="KSD17" s="8"/>
      <c r="KSE17" s="8"/>
      <c r="KSF17" s="8"/>
      <c r="KSG17" s="8"/>
      <c r="KSH17" s="8"/>
      <c r="KSI17" s="8"/>
      <c r="KSJ17" s="8"/>
      <c r="KSK17" s="8"/>
      <c r="KSL17" s="8"/>
      <c r="KSM17" s="8"/>
      <c r="KSN17" s="8"/>
      <c r="KSO17" s="8"/>
      <c r="KSP17" s="8"/>
      <c r="KSQ17" s="8"/>
      <c r="KSR17" s="8"/>
      <c r="KSS17" s="8"/>
      <c r="KST17" s="8"/>
      <c r="KSU17" s="8"/>
      <c r="KSV17" s="8"/>
      <c r="KSW17" s="8"/>
      <c r="KSX17" s="8"/>
      <c r="KSY17" s="8"/>
      <c r="KSZ17" s="8"/>
      <c r="KTA17" s="8"/>
      <c r="KTB17" s="8"/>
      <c r="KTC17" s="8"/>
      <c r="KTD17" s="8"/>
      <c r="KTE17" s="8"/>
      <c r="KTF17" s="8"/>
      <c r="KTG17" s="8"/>
      <c r="KTH17" s="8"/>
      <c r="KTI17" s="8"/>
      <c r="KTJ17" s="8"/>
      <c r="KTK17" s="8"/>
      <c r="KTL17" s="8"/>
      <c r="KTM17" s="8"/>
      <c r="KTN17" s="8"/>
      <c r="KTO17" s="8"/>
      <c r="KTP17" s="8"/>
      <c r="KTQ17" s="8"/>
      <c r="KTR17" s="8"/>
      <c r="KTS17" s="8"/>
      <c r="KTT17" s="8"/>
      <c r="KTU17" s="8"/>
      <c r="KTV17" s="8"/>
      <c r="KTW17" s="8"/>
      <c r="KTX17" s="8"/>
      <c r="KTY17" s="8"/>
      <c r="KTZ17" s="8"/>
      <c r="KUA17" s="8"/>
      <c r="KUB17" s="8"/>
      <c r="KUC17" s="8"/>
      <c r="KUD17" s="8"/>
      <c r="KUE17" s="8"/>
      <c r="KUF17" s="8"/>
      <c r="KUG17" s="8"/>
      <c r="KUH17" s="8"/>
      <c r="KUI17" s="8"/>
      <c r="KUJ17" s="8"/>
      <c r="KUK17" s="8"/>
      <c r="KUL17" s="8"/>
      <c r="KUM17" s="8"/>
      <c r="KUN17" s="8"/>
      <c r="KUO17" s="8"/>
      <c r="KUP17" s="8"/>
      <c r="KUQ17" s="8"/>
      <c r="KUR17" s="8"/>
      <c r="KUS17" s="8"/>
      <c r="KUT17" s="8"/>
      <c r="KUU17" s="8"/>
      <c r="KUV17" s="8"/>
      <c r="KUW17" s="8"/>
      <c r="KUX17" s="8"/>
      <c r="KUY17" s="8"/>
      <c r="KUZ17" s="8"/>
      <c r="KVA17" s="8"/>
      <c r="KVB17" s="8"/>
      <c r="KVC17" s="8"/>
      <c r="KVD17" s="8"/>
      <c r="KVE17" s="8"/>
      <c r="KVF17" s="8"/>
      <c r="KVG17" s="8"/>
      <c r="KVH17" s="8"/>
      <c r="KVI17" s="8"/>
      <c r="KVJ17" s="8"/>
      <c r="KVK17" s="8"/>
      <c r="KVL17" s="8"/>
      <c r="KVM17" s="8"/>
      <c r="KVN17" s="8"/>
      <c r="KVO17" s="8"/>
      <c r="KVP17" s="8"/>
      <c r="KVQ17" s="8"/>
      <c r="KVR17" s="8"/>
      <c r="KVS17" s="8"/>
      <c r="KVT17" s="8"/>
      <c r="KVU17" s="8"/>
      <c r="KVV17" s="8"/>
      <c r="KVW17" s="8"/>
      <c r="KVX17" s="8"/>
      <c r="KVY17" s="8"/>
      <c r="KVZ17" s="8"/>
      <c r="KWA17" s="8"/>
      <c r="KWB17" s="8"/>
      <c r="KWC17" s="8"/>
      <c r="KWD17" s="8"/>
      <c r="KWE17" s="8"/>
      <c r="KWF17" s="8"/>
      <c r="KWG17" s="8"/>
      <c r="KWH17" s="8"/>
      <c r="KWI17" s="8"/>
      <c r="KWJ17" s="8"/>
      <c r="KWK17" s="8"/>
      <c r="KWL17" s="8"/>
      <c r="KWM17" s="8"/>
      <c r="KWN17" s="8"/>
      <c r="KWO17" s="8"/>
      <c r="KWP17" s="8"/>
      <c r="KWQ17" s="8"/>
      <c r="KWR17" s="8"/>
      <c r="KWS17" s="8"/>
      <c r="KWT17" s="8"/>
      <c r="KWU17" s="8"/>
      <c r="KWV17" s="8"/>
      <c r="KWW17" s="8"/>
      <c r="KWX17" s="8"/>
      <c r="KWY17" s="8"/>
      <c r="KWZ17" s="8"/>
      <c r="KXA17" s="8"/>
      <c r="KXB17" s="8"/>
      <c r="KXC17" s="8"/>
      <c r="KXD17" s="8"/>
      <c r="KXE17" s="8"/>
      <c r="KXF17" s="8"/>
      <c r="KXG17" s="8"/>
      <c r="KXH17" s="8"/>
      <c r="KXI17" s="8"/>
      <c r="KXJ17" s="8"/>
      <c r="KXK17" s="8"/>
      <c r="KXL17" s="8"/>
      <c r="KXM17" s="8"/>
      <c r="KXN17" s="8"/>
      <c r="KXO17" s="8"/>
      <c r="KXP17" s="8"/>
      <c r="KXQ17" s="8"/>
      <c r="KXR17" s="8"/>
      <c r="KXS17" s="8"/>
      <c r="KXT17" s="8"/>
      <c r="KXU17" s="8"/>
      <c r="KXV17" s="8"/>
      <c r="KXW17" s="8"/>
      <c r="KXX17" s="8"/>
      <c r="KXY17" s="8"/>
      <c r="KXZ17" s="8"/>
      <c r="KYA17" s="8"/>
      <c r="KYB17" s="8"/>
      <c r="KYC17" s="8"/>
      <c r="KYD17" s="8"/>
      <c r="KYE17" s="8"/>
      <c r="KYF17" s="8"/>
      <c r="KYG17" s="8"/>
      <c r="KYH17" s="8"/>
      <c r="KYI17" s="8"/>
      <c r="KYJ17" s="8"/>
      <c r="KYK17" s="8"/>
      <c r="KYL17" s="8"/>
      <c r="KYM17" s="8"/>
      <c r="KYN17" s="8"/>
      <c r="KYO17" s="8"/>
      <c r="KYP17" s="8"/>
      <c r="KYQ17" s="8"/>
      <c r="KYR17" s="8"/>
      <c r="KYS17" s="8"/>
      <c r="KYT17" s="8"/>
      <c r="KYU17" s="8"/>
      <c r="KYV17" s="8"/>
      <c r="KYW17" s="8"/>
      <c r="KYX17" s="8"/>
      <c r="KYY17" s="8"/>
      <c r="KYZ17" s="8"/>
      <c r="KZA17" s="8"/>
      <c r="KZB17" s="8"/>
      <c r="KZC17" s="8"/>
      <c r="KZD17" s="8"/>
      <c r="KZE17" s="8"/>
      <c r="KZF17" s="8"/>
      <c r="KZG17" s="8"/>
      <c r="KZH17" s="8"/>
      <c r="KZI17" s="8"/>
      <c r="KZJ17" s="8"/>
      <c r="KZK17" s="8"/>
      <c r="KZL17" s="8"/>
      <c r="KZM17" s="8"/>
      <c r="KZN17" s="8"/>
      <c r="KZO17" s="8"/>
      <c r="KZP17" s="8"/>
      <c r="KZQ17" s="8"/>
      <c r="KZR17" s="8"/>
      <c r="KZS17" s="8"/>
      <c r="KZT17" s="8"/>
      <c r="KZU17" s="8"/>
      <c r="KZV17" s="8"/>
      <c r="KZW17" s="8"/>
      <c r="KZX17" s="8"/>
      <c r="KZY17" s="8"/>
      <c r="KZZ17" s="8"/>
      <c r="LAA17" s="8"/>
      <c r="LAB17" s="8"/>
      <c r="LAC17" s="8"/>
      <c r="LAD17" s="8"/>
      <c r="LAE17" s="8"/>
      <c r="LAF17" s="8"/>
      <c r="LAG17" s="8"/>
      <c r="LAH17" s="8"/>
      <c r="LAI17" s="8"/>
      <c r="LAJ17" s="8"/>
      <c r="LAK17" s="8"/>
      <c r="LAL17" s="8"/>
      <c r="LAM17" s="8"/>
      <c r="LAN17" s="8"/>
      <c r="LAO17" s="8"/>
      <c r="LAP17" s="8"/>
      <c r="LAQ17" s="8"/>
      <c r="LAR17" s="8"/>
      <c r="LAS17" s="8"/>
      <c r="LAT17" s="8"/>
      <c r="LAU17" s="8"/>
      <c r="LAV17" s="8"/>
      <c r="LAW17" s="8"/>
      <c r="LAX17" s="8"/>
      <c r="LAY17" s="8"/>
      <c r="LAZ17" s="8"/>
      <c r="LBA17" s="8"/>
      <c r="LBB17" s="8"/>
      <c r="LBC17" s="8"/>
      <c r="LBD17" s="8"/>
      <c r="LBE17" s="8"/>
      <c r="LBF17" s="8"/>
      <c r="LBG17" s="8"/>
      <c r="LBH17" s="8"/>
      <c r="LBI17" s="8"/>
      <c r="LBJ17" s="8"/>
      <c r="LBK17" s="8"/>
      <c r="LBL17" s="8"/>
      <c r="LBM17" s="8"/>
      <c r="LBN17" s="8"/>
      <c r="LBO17" s="8"/>
      <c r="LBP17" s="8"/>
      <c r="LBQ17" s="8"/>
      <c r="LBR17" s="8"/>
      <c r="LBS17" s="8"/>
      <c r="LBT17" s="8"/>
      <c r="LBU17" s="8"/>
      <c r="LBV17" s="8"/>
      <c r="LBW17" s="8"/>
      <c r="LBX17" s="8"/>
      <c r="LBY17" s="8"/>
      <c r="LBZ17" s="8"/>
      <c r="LCA17" s="8"/>
      <c r="LCB17" s="8"/>
      <c r="LCC17" s="8"/>
      <c r="LCD17" s="8"/>
      <c r="LCE17" s="8"/>
      <c r="LCF17" s="8"/>
      <c r="LCG17" s="8"/>
      <c r="LCH17" s="8"/>
      <c r="LCI17" s="8"/>
      <c r="LCJ17" s="8"/>
      <c r="LCK17" s="8"/>
      <c r="LCL17" s="8"/>
      <c r="LCM17" s="8"/>
      <c r="LCN17" s="8"/>
      <c r="LCO17" s="8"/>
      <c r="LCP17" s="8"/>
      <c r="LCQ17" s="8"/>
      <c r="LCR17" s="8"/>
      <c r="LCS17" s="8"/>
      <c r="LCT17" s="8"/>
      <c r="LCU17" s="8"/>
      <c r="LCV17" s="8"/>
      <c r="LCW17" s="8"/>
      <c r="LCX17" s="8"/>
      <c r="LCY17" s="8"/>
      <c r="LCZ17" s="8"/>
      <c r="LDA17" s="8"/>
      <c r="LDB17" s="8"/>
      <c r="LDC17" s="8"/>
      <c r="LDD17" s="8"/>
      <c r="LDE17" s="8"/>
      <c r="LDF17" s="8"/>
      <c r="LDG17" s="8"/>
      <c r="LDH17" s="8"/>
      <c r="LDI17" s="8"/>
      <c r="LDJ17" s="8"/>
      <c r="LDK17" s="8"/>
      <c r="LDL17" s="8"/>
      <c r="LDM17" s="8"/>
      <c r="LDN17" s="8"/>
      <c r="LDO17" s="8"/>
      <c r="LDP17" s="8"/>
      <c r="LDQ17" s="8"/>
      <c r="LDR17" s="8"/>
      <c r="LDS17" s="8"/>
      <c r="LDT17" s="8"/>
      <c r="LDU17" s="8"/>
      <c r="LDV17" s="8"/>
      <c r="LDW17" s="8"/>
      <c r="LDX17" s="8"/>
      <c r="LDY17" s="8"/>
      <c r="LDZ17" s="8"/>
      <c r="LEA17" s="8"/>
      <c r="LEB17" s="8"/>
      <c r="LEC17" s="8"/>
      <c r="LED17" s="8"/>
      <c r="LEE17" s="8"/>
      <c r="LEF17" s="8"/>
      <c r="LEG17" s="8"/>
      <c r="LEH17" s="8"/>
      <c r="LEI17" s="8"/>
      <c r="LEJ17" s="8"/>
      <c r="LEK17" s="8"/>
      <c r="LEL17" s="8"/>
      <c r="LEM17" s="8"/>
      <c r="LEN17" s="8"/>
      <c r="LEO17" s="8"/>
      <c r="LEP17" s="8"/>
      <c r="LEQ17" s="8"/>
      <c r="LER17" s="8"/>
      <c r="LES17" s="8"/>
      <c r="LET17" s="8"/>
      <c r="LEU17" s="8"/>
      <c r="LEV17" s="8"/>
      <c r="LEW17" s="8"/>
      <c r="LEX17" s="8"/>
      <c r="LEY17" s="8"/>
      <c r="LEZ17" s="8"/>
      <c r="LFA17" s="8"/>
      <c r="LFB17" s="8"/>
      <c r="LFC17" s="8"/>
      <c r="LFD17" s="8"/>
      <c r="LFE17" s="8"/>
      <c r="LFF17" s="8"/>
      <c r="LFG17" s="8"/>
      <c r="LFH17" s="8"/>
      <c r="LFI17" s="8"/>
      <c r="LFJ17" s="8"/>
      <c r="LFK17" s="8"/>
      <c r="LFL17" s="8"/>
      <c r="LFM17" s="8"/>
      <c r="LFN17" s="8"/>
      <c r="LFO17" s="8"/>
      <c r="LFP17" s="8"/>
      <c r="LFQ17" s="8"/>
      <c r="LFR17" s="8"/>
      <c r="LFS17" s="8"/>
      <c r="LFT17" s="8"/>
      <c r="LFU17" s="8"/>
      <c r="LFV17" s="8"/>
      <c r="LFW17" s="8"/>
      <c r="LFX17" s="8"/>
      <c r="LFY17" s="8"/>
      <c r="LFZ17" s="8"/>
      <c r="LGA17" s="8"/>
      <c r="LGB17" s="8"/>
      <c r="LGC17" s="8"/>
      <c r="LGD17" s="8"/>
      <c r="LGE17" s="8"/>
      <c r="LGF17" s="8"/>
      <c r="LGG17" s="8"/>
      <c r="LGH17" s="8"/>
      <c r="LGI17" s="8"/>
      <c r="LGJ17" s="8"/>
      <c r="LGK17" s="8"/>
      <c r="LGL17" s="8"/>
      <c r="LGM17" s="8"/>
      <c r="LGN17" s="8"/>
      <c r="LGO17" s="8"/>
      <c r="LGP17" s="8"/>
      <c r="LGQ17" s="8"/>
      <c r="LGR17" s="8"/>
      <c r="LGS17" s="8"/>
      <c r="LGT17" s="8"/>
      <c r="LGU17" s="8"/>
      <c r="LGV17" s="8"/>
      <c r="LGW17" s="8"/>
      <c r="LGX17" s="8"/>
      <c r="LGY17" s="8"/>
      <c r="LGZ17" s="8"/>
      <c r="LHA17" s="8"/>
      <c r="LHB17" s="8"/>
      <c r="LHC17" s="8"/>
      <c r="LHD17" s="8"/>
      <c r="LHE17" s="8"/>
      <c r="LHF17" s="8"/>
      <c r="LHG17" s="8"/>
      <c r="LHH17" s="8"/>
      <c r="LHI17" s="8"/>
      <c r="LHJ17" s="8"/>
      <c r="LHK17" s="8"/>
      <c r="LHL17" s="8"/>
      <c r="LHM17" s="8"/>
      <c r="LHN17" s="8"/>
      <c r="LHO17" s="8"/>
      <c r="LHP17" s="8"/>
      <c r="LHQ17" s="8"/>
      <c r="LHR17" s="8"/>
      <c r="LHS17" s="8"/>
      <c r="LHT17" s="8"/>
      <c r="LHU17" s="8"/>
      <c r="LHV17" s="8"/>
      <c r="LHW17" s="8"/>
      <c r="LHX17" s="8"/>
      <c r="LHY17" s="8"/>
      <c r="LHZ17" s="8"/>
      <c r="LIA17" s="8"/>
      <c r="LIB17" s="8"/>
      <c r="LIC17" s="8"/>
      <c r="LID17" s="8"/>
      <c r="LIE17" s="8"/>
      <c r="LIF17" s="8"/>
      <c r="LIG17" s="8"/>
      <c r="LIH17" s="8"/>
      <c r="LII17" s="8"/>
      <c r="LIJ17" s="8"/>
      <c r="LIK17" s="8"/>
      <c r="LIL17" s="8"/>
      <c r="LIM17" s="8"/>
      <c r="LIN17" s="8"/>
      <c r="LIO17" s="8"/>
      <c r="LIP17" s="8"/>
      <c r="LIQ17" s="8"/>
      <c r="LIR17" s="8"/>
      <c r="LIS17" s="8"/>
      <c r="LIT17" s="8"/>
      <c r="LIU17" s="8"/>
      <c r="LIV17" s="8"/>
      <c r="LIW17" s="8"/>
      <c r="LIX17" s="8"/>
      <c r="LIY17" s="8"/>
      <c r="LIZ17" s="8"/>
      <c r="LJA17" s="8"/>
      <c r="LJB17" s="8"/>
      <c r="LJC17" s="8"/>
      <c r="LJD17" s="8"/>
      <c r="LJE17" s="8"/>
      <c r="LJF17" s="8"/>
      <c r="LJG17" s="8"/>
      <c r="LJH17" s="8"/>
      <c r="LJI17" s="8"/>
      <c r="LJJ17" s="8"/>
      <c r="LJK17" s="8"/>
      <c r="LJL17" s="8"/>
      <c r="LJM17" s="8"/>
      <c r="LJN17" s="8"/>
      <c r="LJO17" s="8"/>
      <c r="LJP17" s="8"/>
      <c r="LJQ17" s="8"/>
      <c r="LJR17" s="8"/>
      <c r="LJS17" s="8"/>
      <c r="LJT17" s="8"/>
      <c r="LJU17" s="8"/>
      <c r="LJV17" s="8"/>
      <c r="LJW17" s="8"/>
      <c r="LJX17" s="8"/>
      <c r="LJY17" s="8"/>
      <c r="LJZ17" s="8"/>
      <c r="LKA17" s="8"/>
      <c r="LKB17" s="8"/>
      <c r="LKC17" s="8"/>
      <c r="LKD17" s="8"/>
      <c r="LKE17" s="8"/>
      <c r="LKF17" s="8"/>
      <c r="LKG17" s="8"/>
      <c r="LKH17" s="8"/>
      <c r="LKI17" s="8"/>
      <c r="LKJ17" s="8"/>
      <c r="LKK17" s="8"/>
      <c r="LKL17" s="8"/>
      <c r="LKM17" s="8"/>
      <c r="LKN17" s="8"/>
      <c r="LKO17" s="8"/>
      <c r="LKP17" s="8"/>
      <c r="LKQ17" s="8"/>
      <c r="LKR17" s="8"/>
      <c r="LKS17" s="8"/>
      <c r="LKT17" s="8"/>
      <c r="LKU17" s="8"/>
      <c r="LKV17" s="8"/>
      <c r="LKW17" s="8"/>
      <c r="LKX17" s="8"/>
      <c r="LKY17" s="8"/>
      <c r="LKZ17" s="8"/>
      <c r="LLA17" s="8"/>
      <c r="LLB17" s="8"/>
      <c r="LLC17" s="8"/>
      <c r="LLD17" s="8"/>
      <c r="LLE17" s="8"/>
      <c r="LLF17" s="8"/>
      <c r="LLG17" s="8"/>
      <c r="LLH17" s="8"/>
      <c r="LLI17" s="8"/>
      <c r="LLJ17" s="8"/>
      <c r="LLK17" s="8"/>
      <c r="LLL17" s="8"/>
      <c r="LLM17" s="8"/>
      <c r="LLN17" s="8"/>
      <c r="LLO17" s="8"/>
      <c r="LLP17" s="8"/>
      <c r="LLQ17" s="8"/>
      <c r="LLR17" s="8"/>
      <c r="LLS17" s="8"/>
      <c r="LLT17" s="8"/>
      <c r="LLU17" s="8"/>
      <c r="LLV17" s="8"/>
      <c r="LLW17" s="8"/>
      <c r="LLX17" s="8"/>
      <c r="LLY17" s="8"/>
      <c r="LLZ17" s="8"/>
      <c r="LMA17" s="8"/>
      <c r="LMB17" s="8"/>
      <c r="LMC17" s="8"/>
      <c r="LMD17" s="8"/>
      <c r="LME17" s="8"/>
      <c r="LMF17" s="8"/>
      <c r="LMG17" s="8"/>
      <c r="LMH17" s="8"/>
      <c r="LMI17" s="8"/>
      <c r="LMJ17" s="8"/>
      <c r="LMK17" s="8"/>
      <c r="LML17" s="8"/>
      <c r="LMM17" s="8"/>
      <c r="LMN17" s="8"/>
      <c r="LMO17" s="8"/>
      <c r="LMP17" s="8"/>
      <c r="LMQ17" s="8"/>
      <c r="LMR17" s="8"/>
      <c r="LMS17" s="8"/>
      <c r="LMT17" s="8"/>
      <c r="LMU17" s="8"/>
      <c r="LMV17" s="8"/>
      <c r="LMW17" s="8"/>
      <c r="LMX17" s="8"/>
      <c r="LMY17" s="8"/>
      <c r="LMZ17" s="8"/>
      <c r="LNA17" s="8"/>
      <c r="LNB17" s="8"/>
      <c r="LNC17" s="8"/>
      <c r="LND17" s="8"/>
      <c r="LNE17" s="8"/>
      <c r="LNF17" s="8"/>
      <c r="LNG17" s="8"/>
      <c r="LNH17" s="8"/>
      <c r="LNI17" s="8"/>
      <c r="LNJ17" s="8"/>
      <c r="LNK17" s="8"/>
      <c r="LNL17" s="8"/>
      <c r="LNM17" s="8"/>
      <c r="LNN17" s="8"/>
      <c r="LNO17" s="8"/>
      <c r="LNP17" s="8"/>
      <c r="LNQ17" s="8"/>
      <c r="LNR17" s="8"/>
      <c r="LNS17" s="8"/>
      <c r="LNT17" s="8"/>
      <c r="LNU17" s="8"/>
      <c r="LNV17" s="8"/>
      <c r="LNW17" s="8"/>
      <c r="LNX17" s="8"/>
      <c r="LNY17" s="8"/>
      <c r="LNZ17" s="8"/>
      <c r="LOA17" s="8"/>
      <c r="LOB17" s="8"/>
      <c r="LOC17" s="8"/>
      <c r="LOD17" s="8"/>
      <c r="LOE17" s="8"/>
      <c r="LOF17" s="8"/>
      <c r="LOG17" s="8"/>
      <c r="LOH17" s="8"/>
      <c r="LOI17" s="8"/>
      <c r="LOJ17" s="8"/>
      <c r="LOK17" s="8"/>
      <c r="LOL17" s="8"/>
      <c r="LOM17" s="8"/>
      <c r="LON17" s="8"/>
      <c r="LOO17" s="8"/>
      <c r="LOP17" s="8"/>
      <c r="LOQ17" s="8"/>
      <c r="LOR17" s="8"/>
      <c r="LOS17" s="8"/>
      <c r="LOT17" s="8"/>
      <c r="LOU17" s="8"/>
      <c r="LOV17" s="8"/>
      <c r="LOW17" s="8"/>
      <c r="LOX17" s="8"/>
      <c r="LOY17" s="8"/>
      <c r="LOZ17" s="8"/>
      <c r="LPA17" s="8"/>
      <c r="LPB17" s="8"/>
      <c r="LPC17" s="8"/>
      <c r="LPD17" s="8"/>
      <c r="LPE17" s="8"/>
      <c r="LPF17" s="8"/>
      <c r="LPG17" s="8"/>
      <c r="LPH17" s="8"/>
      <c r="LPI17" s="8"/>
      <c r="LPJ17" s="8"/>
      <c r="LPK17" s="8"/>
      <c r="LPL17" s="8"/>
      <c r="LPM17" s="8"/>
      <c r="LPN17" s="8"/>
      <c r="LPO17" s="8"/>
      <c r="LPP17" s="8"/>
      <c r="LPQ17" s="8"/>
      <c r="LPR17" s="8"/>
      <c r="LPS17" s="8"/>
      <c r="LPT17" s="8"/>
      <c r="LPU17" s="8"/>
      <c r="LPV17" s="8"/>
      <c r="LPW17" s="8"/>
      <c r="LPX17" s="8"/>
      <c r="LPY17" s="8"/>
      <c r="LPZ17" s="8"/>
      <c r="LQA17" s="8"/>
      <c r="LQB17" s="8"/>
      <c r="LQC17" s="8"/>
      <c r="LQD17" s="8"/>
      <c r="LQE17" s="8"/>
      <c r="LQF17" s="8"/>
      <c r="LQG17" s="8"/>
      <c r="LQH17" s="8"/>
      <c r="LQI17" s="8"/>
      <c r="LQJ17" s="8"/>
      <c r="LQK17" s="8"/>
      <c r="LQL17" s="8"/>
      <c r="LQM17" s="8"/>
      <c r="LQN17" s="8"/>
      <c r="LQO17" s="8"/>
      <c r="LQP17" s="8"/>
      <c r="LQQ17" s="8"/>
      <c r="LQR17" s="8"/>
      <c r="LQS17" s="8"/>
      <c r="LQT17" s="8"/>
      <c r="LQU17" s="8"/>
      <c r="LQV17" s="8"/>
      <c r="LQW17" s="8"/>
      <c r="LQX17" s="8"/>
      <c r="LQY17" s="8"/>
      <c r="LQZ17" s="8"/>
      <c r="LRA17" s="8"/>
      <c r="LRB17" s="8"/>
      <c r="LRC17" s="8"/>
      <c r="LRD17" s="8"/>
      <c r="LRE17" s="8"/>
      <c r="LRF17" s="8"/>
      <c r="LRG17" s="8"/>
      <c r="LRH17" s="8"/>
      <c r="LRI17" s="8"/>
      <c r="LRJ17" s="8"/>
      <c r="LRK17" s="8"/>
      <c r="LRL17" s="8"/>
      <c r="LRM17" s="8"/>
      <c r="LRN17" s="8"/>
      <c r="LRO17" s="8"/>
      <c r="LRP17" s="8"/>
      <c r="LRQ17" s="8"/>
      <c r="LRR17" s="8"/>
      <c r="LRS17" s="8"/>
      <c r="LRT17" s="8"/>
      <c r="LRU17" s="8"/>
      <c r="LRV17" s="8"/>
      <c r="LRW17" s="8"/>
      <c r="LRX17" s="8"/>
      <c r="LRY17" s="8"/>
      <c r="LRZ17" s="8"/>
      <c r="LSA17" s="8"/>
      <c r="LSB17" s="8"/>
      <c r="LSC17" s="8"/>
      <c r="LSD17" s="8"/>
      <c r="LSE17" s="8"/>
      <c r="LSF17" s="8"/>
      <c r="LSG17" s="8"/>
      <c r="LSH17" s="8"/>
      <c r="LSI17" s="8"/>
      <c r="LSJ17" s="8"/>
      <c r="LSK17" s="8"/>
      <c r="LSL17" s="8"/>
      <c r="LSM17" s="8"/>
      <c r="LSN17" s="8"/>
      <c r="LSO17" s="8"/>
      <c r="LSP17" s="8"/>
      <c r="LSQ17" s="8"/>
      <c r="LSR17" s="8"/>
      <c r="LSS17" s="8"/>
      <c r="LST17" s="8"/>
      <c r="LSU17" s="8"/>
      <c r="LSV17" s="8"/>
      <c r="LSW17" s="8"/>
      <c r="LSX17" s="8"/>
      <c r="LSY17" s="8"/>
      <c r="LSZ17" s="8"/>
      <c r="LTA17" s="8"/>
      <c r="LTB17" s="8"/>
      <c r="LTC17" s="8"/>
      <c r="LTD17" s="8"/>
      <c r="LTE17" s="8"/>
      <c r="LTF17" s="8"/>
      <c r="LTG17" s="8"/>
      <c r="LTH17" s="8"/>
      <c r="LTI17" s="8"/>
      <c r="LTJ17" s="8"/>
      <c r="LTK17" s="8"/>
      <c r="LTL17" s="8"/>
      <c r="LTM17" s="8"/>
      <c r="LTN17" s="8"/>
      <c r="LTO17" s="8"/>
      <c r="LTP17" s="8"/>
      <c r="LTQ17" s="8"/>
      <c r="LTR17" s="8"/>
      <c r="LTS17" s="8"/>
      <c r="LTT17" s="8"/>
      <c r="LTU17" s="8"/>
      <c r="LTV17" s="8"/>
      <c r="LTW17" s="8"/>
      <c r="LTX17" s="8"/>
      <c r="LTY17" s="8"/>
      <c r="LTZ17" s="8"/>
      <c r="LUA17" s="8"/>
      <c r="LUB17" s="8"/>
      <c r="LUC17" s="8"/>
      <c r="LUD17" s="8"/>
      <c r="LUE17" s="8"/>
      <c r="LUF17" s="8"/>
      <c r="LUG17" s="8"/>
      <c r="LUH17" s="8"/>
      <c r="LUI17" s="8"/>
      <c r="LUJ17" s="8"/>
      <c r="LUK17" s="8"/>
      <c r="LUL17" s="8"/>
      <c r="LUM17" s="8"/>
      <c r="LUN17" s="8"/>
      <c r="LUO17" s="8"/>
      <c r="LUP17" s="8"/>
      <c r="LUQ17" s="8"/>
      <c r="LUR17" s="8"/>
      <c r="LUS17" s="8"/>
      <c r="LUT17" s="8"/>
      <c r="LUU17" s="8"/>
      <c r="LUV17" s="8"/>
      <c r="LUW17" s="8"/>
      <c r="LUX17" s="8"/>
      <c r="LUY17" s="8"/>
      <c r="LUZ17" s="8"/>
      <c r="LVA17" s="8"/>
      <c r="LVB17" s="8"/>
      <c r="LVC17" s="8"/>
      <c r="LVD17" s="8"/>
      <c r="LVE17" s="8"/>
      <c r="LVF17" s="8"/>
      <c r="LVG17" s="8"/>
      <c r="LVH17" s="8"/>
      <c r="LVI17" s="8"/>
      <c r="LVJ17" s="8"/>
      <c r="LVK17" s="8"/>
      <c r="LVL17" s="8"/>
      <c r="LVM17" s="8"/>
      <c r="LVN17" s="8"/>
      <c r="LVO17" s="8"/>
      <c r="LVP17" s="8"/>
      <c r="LVQ17" s="8"/>
      <c r="LVR17" s="8"/>
      <c r="LVS17" s="8"/>
      <c r="LVT17" s="8"/>
      <c r="LVU17" s="8"/>
      <c r="LVV17" s="8"/>
      <c r="LVW17" s="8"/>
      <c r="LVX17" s="8"/>
      <c r="LVY17" s="8"/>
      <c r="LVZ17" s="8"/>
      <c r="LWA17" s="8"/>
      <c r="LWB17" s="8"/>
      <c r="LWC17" s="8"/>
      <c r="LWD17" s="8"/>
      <c r="LWE17" s="8"/>
      <c r="LWF17" s="8"/>
      <c r="LWG17" s="8"/>
      <c r="LWH17" s="8"/>
      <c r="LWI17" s="8"/>
      <c r="LWJ17" s="8"/>
      <c r="LWK17" s="8"/>
      <c r="LWL17" s="8"/>
      <c r="LWM17" s="8"/>
      <c r="LWN17" s="8"/>
      <c r="LWO17" s="8"/>
      <c r="LWP17" s="8"/>
      <c r="LWQ17" s="8"/>
      <c r="LWR17" s="8"/>
      <c r="LWS17" s="8"/>
      <c r="LWT17" s="8"/>
      <c r="LWU17" s="8"/>
      <c r="LWV17" s="8"/>
      <c r="LWW17" s="8"/>
      <c r="LWX17" s="8"/>
      <c r="LWY17" s="8"/>
      <c r="LWZ17" s="8"/>
      <c r="LXA17" s="8"/>
      <c r="LXB17" s="8"/>
      <c r="LXC17" s="8"/>
      <c r="LXD17" s="8"/>
      <c r="LXE17" s="8"/>
      <c r="LXF17" s="8"/>
      <c r="LXG17" s="8"/>
      <c r="LXH17" s="8"/>
      <c r="LXI17" s="8"/>
      <c r="LXJ17" s="8"/>
      <c r="LXK17" s="8"/>
      <c r="LXL17" s="8"/>
      <c r="LXM17" s="8"/>
      <c r="LXN17" s="8"/>
      <c r="LXO17" s="8"/>
      <c r="LXP17" s="8"/>
      <c r="LXQ17" s="8"/>
      <c r="LXR17" s="8"/>
      <c r="LXS17" s="8"/>
      <c r="LXT17" s="8"/>
      <c r="LXU17" s="8"/>
      <c r="LXV17" s="8"/>
      <c r="LXW17" s="8"/>
      <c r="LXX17" s="8"/>
      <c r="LXY17" s="8"/>
      <c r="LXZ17" s="8"/>
      <c r="LYA17" s="8"/>
      <c r="LYB17" s="8"/>
      <c r="LYC17" s="8"/>
      <c r="LYD17" s="8"/>
      <c r="LYE17" s="8"/>
      <c r="LYF17" s="8"/>
      <c r="LYG17" s="8"/>
      <c r="LYH17" s="8"/>
      <c r="LYI17" s="8"/>
      <c r="LYJ17" s="8"/>
      <c r="LYK17" s="8"/>
      <c r="LYL17" s="8"/>
      <c r="LYM17" s="8"/>
      <c r="LYN17" s="8"/>
      <c r="LYO17" s="8"/>
      <c r="LYP17" s="8"/>
      <c r="LYQ17" s="8"/>
      <c r="LYR17" s="8"/>
      <c r="LYS17" s="8"/>
      <c r="LYT17" s="8"/>
      <c r="LYU17" s="8"/>
      <c r="LYV17" s="8"/>
      <c r="LYW17" s="8"/>
      <c r="LYX17" s="8"/>
      <c r="LYY17" s="8"/>
      <c r="LYZ17" s="8"/>
      <c r="LZA17" s="8"/>
      <c r="LZB17" s="8"/>
      <c r="LZC17" s="8"/>
      <c r="LZD17" s="8"/>
      <c r="LZE17" s="8"/>
      <c r="LZF17" s="8"/>
      <c r="LZG17" s="8"/>
      <c r="LZH17" s="8"/>
      <c r="LZI17" s="8"/>
      <c r="LZJ17" s="8"/>
      <c r="LZK17" s="8"/>
      <c r="LZL17" s="8"/>
      <c r="LZM17" s="8"/>
      <c r="LZN17" s="8"/>
      <c r="LZO17" s="8"/>
      <c r="LZP17" s="8"/>
      <c r="LZQ17" s="8"/>
      <c r="LZR17" s="8"/>
      <c r="LZS17" s="8"/>
      <c r="LZT17" s="8"/>
      <c r="LZU17" s="8"/>
      <c r="LZV17" s="8"/>
      <c r="LZW17" s="8"/>
      <c r="LZX17" s="8"/>
      <c r="LZY17" s="8"/>
      <c r="LZZ17" s="8"/>
      <c r="MAA17" s="8"/>
      <c r="MAB17" s="8"/>
      <c r="MAC17" s="8"/>
      <c r="MAD17" s="8"/>
      <c r="MAE17" s="8"/>
      <c r="MAF17" s="8"/>
      <c r="MAG17" s="8"/>
      <c r="MAH17" s="8"/>
      <c r="MAI17" s="8"/>
      <c r="MAJ17" s="8"/>
      <c r="MAK17" s="8"/>
      <c r="MAL17" s="8"/>
      <c r="MAM17" s="8"/>
      <c r="MAN17" s="8"/>
      <c r="MAO17" s="8"/>
      <c r="MAP17" s="8"/>
      <c r="MAQ17" s="8"/>
      <c r="MAR17" s="8"/>
      <c r="MAS17" s="8"/>
      <c r="MAT17" s="8"/>
      <c r="MAU17" s="8"/>
      <c r="MAV17" s="8"/>
      <c r="MAW17" s="8"/>
      <c r="MAX17" s="8"/>
      <c r="MAY17" s="8"/>
      <c r="MAZ17" s="8"/>
      <c r="MBA17" s="8"/>
      <c r="MBB17" s="8"/>
      <c r="MBC17" s="8"/>
      <c r="MBD17" s="8"/>
      <c r="MBE17" s="8"/>
      <c r="MBF17" s="8"/>
      <c r="MBG17" s="8"/>
      <c r="MBH17" s="8"/>
      <c r="MBI17" s="8"/>
      <c r="MBJ17" s="8"/>
      <c r="MBK17" s="8"/>
      <c r="MBL17" s="8"/>
      <c r="MBM17" s="8"/>
      <c r="MBN17" s="8"/>
      <c r="MBO17" s="8"/>
      <c r="MBP17" s="8"/>
      <c r="MBQ17" s="8"/>
      <c r="MBR17" s="8"/>
      <c r="MBS17" s="8"/>
      <c r="MBT17" s="8"/>
      <c r="MBU17" s="8"/>
      <c r="MBV17" s="8"/>
      <c r="MBW17" s="8"/>
      <c r="MBX17" s="8"/>
      <c r="MBY17" s="8"/>
      <c r="MBZ17" s="8"/>
      <c r="MCA17" s="8"/>
      <c r="MCB17" s="8"/>
      <c r="MCC17" s="8"/>
      <c r="MCD17" s="8"/>
      <c r="MCE17" s="8"/>
      <c r="MCF17" s="8"/>
      <c r="MCG17" s="8"/>
      <c r="MCH17" s="8"/>
      <c r="MCI17" s="8"/>
      <c r="MCJ17" s="8"/>
      <c r="MCK17" s="8"/>
      <c r="MCL17" s="8"/>
      <c r="MCM17" s="8"/>
      <c r="MCN17" s="8"/>
      <c r="MCO17" s="8"/>
      <c r="MCP17" s="8"/>
      <c r="MCQ17" s="8"/>
      <c r="MCR17" s="8"/>
      <c r="MCS17" s="8"/>
      <c r="MCT17" s="8"/>
      <c r="MCU17" s="8"/>
      <c r="MCV17" s="8"/>
      <c r="MCW17" s="8"/>
      <c r="MCX17" s="8"/>
      <c r="MCY17" s="8"/>
      <c r="MCZ17" s="8"/>
      <c r="MDA17" s="8"/>
      <c r="MDB17" s="8"/>
      <c r="MDC17" s="8"/>
      <c r="MDD17" s="8"/>
      <c r="MDE17" s="8"/>
      <c r="MDF17" s="8"/>
      <c r="MDG17" s="8"/>
      <c r="MDH17" s="8"/>
      <c r="MDI17" s="8"/>
      <c r="MDJ17" s="8"/>
      <c r="MDK17" s="8"/>
      <c r="MDL17" s="8"/>
      <c r="MDM17" s="8"/>
      <c r="MDN17" s="8"/>
      <c r="MDO17" s="8"/>
      <c r="MDP17" s="8"/>
      <c r="MDQ17" s="8"/>
      <c r="MDR17" s="8"/>
      <c r="MDS17" s="8"/>
      <c r="MDT17" s="8"/>
      <c r="MDU17" s="8"/>
      <c r="MDV17" s="8"/>
      <c r="MDW17" s="8"/>
      <c r="MDX17" s="8"/>
      <c r="MDY17" s="8"/>
      <c r="MDZ17" s="8"/>
      <c r="MEA17" s="8"/>
      <c r="MEB17" s="8"/>
      <c r="MEC17" s="8"/>
      <c r="MED17" s="8"/>
      <c r="MEE17" s="8"/>
      <c r="MEF17" s="8"/>
      <c r="MEG17" s="8"/>
      <c r="MEH17" s="8"/>
      <c r="MEI17" s="8"/>
      <c r="MEJ17" s="8"/>
      <c r="MEK17" s="8"/>
      <c r="MEL17" s="8"/>
      <c r="MEM17" s="8"/>
      <c r="MEN17" s="8"/>
      <c r="MEO17" s="8"/>
      <c r="MEP17" s="8"/>
      <c r="MEQ17" s="8"/>
      <c r="MER17" s="8"/>
      <c r="MES17" s="8"/>
      <c r="MET17" s="8"/>
      <c r="MEU17" s="8"/>
      <c r="MEV17" s="8"/>
      <c r="MEW17" s="8"/>
      <c r="MEX17" s="8"/>
      <c r="MEY17" s="8"/>
      <c r="MEZ17" s="8"/>
      <c r="MFA17" s="8"/>
      <c r="MFB17" s="8"/>
      <c r="MFC17" s="8"/>
      <c r="MFD17" s="8"/>
      <c r="MFE17" s="8"/>
      <c r="MFF17" s="8"/>
      <c r="MFG17" s="8"/>
      <c r="MFH17" s="8"/>
      <c r="MFI17" s="8"/>
      <c r="MFJ17" s="8"/>
      <c r="MFK17" s="8"/>
      <c r="MFL17" s="8"/>
      <c r="MFM17" s="8"/>
      <c r="MFN17" s="8"/>
      <c r="MFO17" s="8"/>
      <c r="MFP17" s="8"/>
      <c r="MFQ17" s="8"/>
      <c r="MFR17" s="8"/>
      <c r="MFS17" s="8"/>
      <c r="MFT17" s="8"/>
      <c r="MFU17" s="8"/>
      <c r="MFV17" s="8"/>
      <c r="MFW17" s="8"/>
      <c r="MFX17" s="8"/>
      <c r="MFY17" s="8"/>
      <c r="MFZ17" s="8"/>
      <c r="MGA17" s="8"/>
      <c r="MGB17" s="8"/>
      <c r="MGC17" s="8"/>
      <c r="MGD17" s="8"/>
      <c r="MGE17" s="8"/>
      <c r="MGF17" s="8"/>
      <c r="MGG17" s="8"/>
      <c r="MGH17" s="8"/>
      <c r="MGI17" s="8"/>
      <c r="MGJ17" s="8"/>
      <c r="MGK17" s="8"/>
      <c r="MGL17" s="8"/>
      <c r="MGM17" s="8"/>
      <c r="MGN17" s="8"/>
      <c r="MGO17" s="8"/>
      <c r="MGP17" s="8"/>
      <c r="MGQ17" s="8"/>
      <c r="MGR17" s="8"/>
      <c r="MGS17" s="8"/>
      <c r="MGT17" s="8"/>
      <c r="MGU17" s="8"/>
      <c r="MGV17" s="8"/>
      <c r="MGW17" s="8"/>
      <c r="MGX17" s="8"/>
      <c r="MGY17" s="8"/>
      <c r="MGZ17" s="8"/>
      <c r="MHA17" s="8"/>
      <c r="MHB17" s="8"/>
      <c r="MHC17" s="8"/>
      <c r="MHD17" s="8"/>
      <c r="MHE17" s="8"/>
      <c r="MHF17" s="8"/>
      <c r="MHG17" s="8"/>
      <c r="MHH17" s="8"/>
      <c r="MHI17" s="8"/>
      <c r="MHJ17" s="8"/>
      <c r="MHK17" s="8"/>
      <c r="MHL17" s="8"/>
      <c r="MHM17" s="8"/>
      <c r="MHN17" s="8"/>
      <c r="MHO17" s="8"/>
      <c r="MHP17" s="8"/>
      <c r="MHQ17" s="8"/>
      <c r="MHR17" s="8"/>
      <c r="MHS17" s="8"/>
      <c r="MHT17" s="8"/>
      <c r="MHU17" s="8"/>
      <c r="MHV17" s="8"/>
      <c r="MHW17" s="8"/>
      <c r="MHX17" s="8"/>
      <c r="MHY17" s="8"/>
      <c r="MHZ17" s="8"/>
      <c r="MIA17" s="8"/>
      <c r="MIB17" s="8"/>
      <c r="MIC17" s="8"/>
      <c r="MID17" s="8"/>
      <c r="MIE17" s="8"/>
      <c r="MIF17" s="8"/>
      <c r="MIG17" s="8"/>
      <c r="MIH17" s="8"/>
      <c r="MII17" s="8"/>
      <c r="MIJ17" s="8"/>
      <c r="MIK17" s="8"/>
      <c r="MIL17" s="8"/>
      <c r="MIM17" s="8"/>
      <c r="MIN17" s="8"/>
      <c r="MIO17" s="8"/>
      <c r="MIP17" s="8"/>
      <c r="MIQ17" s="8"/>
      <c r="MIR17" s="8"/>
      <c r="MIS17" s="8"/>
      <c r="MIT17" s="8"/>
      <c r="MIU17" s="8"/>
      <c r="MIV17" s="8"/>
      <c r="MIW17" s="8"/>
      <c r="MIX17" s="8"/>
      <c r="MIY17" s="8"/>
      <c r="MIZ17" s="8"/>
      <c r="MJA17" s="8"/>
      <c r="MJB17" s="8"/>
      <c r="MJC17" s="8"/>
      <c r="MJD17" s="8"/>
      <c r="MJE17" s="8"/>
      <c r="MJF17" s="8"/>
      <c r="MJG17" s="8"/>
      <c r="MJH17" s="8"/>
      <c r="MJI17" s="8"/>
      <c r="MJJ17" s="8"/>
      <c r="MJK17" s="8"/>
      <c r="MJL17" s="8"/>
      <c r="MJM17" s="8"/>
      <c r="MJN17" s="8"/>
      <c r="MJO17" s="8"/>
      <c r="MJP17" s="8"/>
      <c r="MJQ17" s="8"/>
      <c r="MJR17" s="8"/>
      <c r="MJS17" s="8"/>
      <c r="MJT17" s="8"/>
      <c r="MJU17" s="8"/>
      <c r="MJV17" s="8"/>
      <c r="MJW17" s="8"/>
      <c r="MJX17" s="8"/>
      <c r="MJY17" s="8"/>
      <c r="MJZ17" s="8"/>
      <c r="MKA17" s="8"/>
      <c r="MKB17" s="8"/>
      <c r="MKC17" s="8"/>
      <c r="MKD17" s="8"/>
      <c r="MKE17" s="8"/>
      <c r="MKF17" s="8"/>
      <c r="MKG17" s="8"/>
      <c r="MKH17" s="8"/>
      <c r="MKI17" s="8"/>
      <c r="MKJ17" s="8"/>
      <c r="MKK17" s="8"/>
      <c r="MKL17" s="8"/>
      <c r="MKM17" s="8"/>
      <c r="MKN17" s="8"/>
      <c r="MKO17" s="8"/>
      <c r="MKP17" s="8"/>
      <c r="MKQ17" s="8"/>
      <c r="MKR17" s="8"/>
      <c r="MKS17" s="8"/>
      <c r="MKT17" s="8"/>
      <c r="MKU17" s="8"/>
      <c r="MKV17" s="8"/>
      <c r="MKW17" s="8"/>
      <c r="MKX17" s="8"/>
      <c r="MKY17" s="8"/>
      <c r="MKZ17" s="8"/>
      <c r="MLA17" s="8"/>
      <c r="MLB17" s="8"/>
      <c r="MLC17" s="8"/>
      <c r="MLD17" s="8"/>
      <c r="MLE17" s="8"/>
      <c r="MLF17" s="8"/>
      <c r="MLG17" s="8"/>
      <c r="MLH17" s="8"/>
      <c r="MLI17" s="8"/>
      <c r="MLJ17" s="8"/>
      <c r="MLK17" s="8"/>
      <c r="MLL17" s="8"/>
      <c r="MLM17" s="8"/>
      <c r="MLN17" s="8"/>
      <c r="MLO17" s="8"/>
      <c r="MLP17" s="8"/>
      <c r="MLQ17" s="8"/>
      <c r="MLR17" s="8"/>
      <c r="MLS17" s="8"/>
      <c r="MLT17" s="8"/>
      <c r="MLU17" s="8"/>
      <c r="MLV17" s="8"/>
      <c r="MLW17" s="8"/>
      <c r="MLX17" s="8"/>
      <c r="MLY17" s="8"/>
      <c r="MLZ17" s="8"/>
      <c r="MMA17" s="8"/>
      <c r="MMB17" s="8"/>
      <c r="MMC17" s="8"/>
      <c r="MMD17" s="8"/>
      <c r="MME17" s="8"/>
      <c r="MMF17" s="8"/>
      <c r="MMG17" s="8"/>
      <c r="MMH17" s="8"/>
      <c r="MMI17" s="8"/>
      <c r="MMJ17" s="8"/>
      <c r="MMK17" s="8"/>
      <c r="MML17" s="8"/>
      <c r="MMM17" s="8"/>
      <c r="MMN17" s="8"/>
      <c r="MMO17" s="8"/>
      <c r="MMP17" s="8"/>
      <c r="MMQ17" s="8"/>
      <c r="MMR17" s="8"/>
      <c r="MMS17" s="8"/>
      <c r="MMT17" s="8"/>
      <c r="MMU17" s="8"/>
      <c r="MMV17" s="8"/>
      <c r="MMW17" s="8"/>
      <c r="MMX17" s="8"/>
      <c r="MMY17" s="8"/>
      <c r="MMZ17" s="8"/>
      <c r="MNA17" s="8"/>
      <c r="MNB17" s="8"/>
      <c r="MNC17" s="8"/>
      <c r="MND17" s="8"/>
      <c r="MNE17" s="8"/>
      <c r="MNF17" s="8"/>
      <c r="MNG17" s="8"/>
      <c r="MNH17" s="8"/>
      <c r="MNI17" s="8"/>
      <c r="MNJ17" s="8"/>
      <c r="MNK17" s="8"/>
      <c r="MNL17" s="8"/>
      <c r="MNM17" s="8"/>
      <c r="MNN17" s="8"/>
      <c r="MNO17" s="8"/>
      <c r="MNP17" s="8"/>
      <c r="MNQ17" s="8"/>
      <c r="MNR17" s="8"/>
      <c r="MNS17" s="8"/>
      <c r="MNT17" s="8"/>
      <c r="MNU17" s="8"/>
      <c r="MNV17" s="8"/>
      <c r="MNW17" s="8"/>
      <c r="MNX17" s="8"/>
      <c r="MNY17" s="8"/>
      <c r="MNZ17" s="8"/>
      <c r="MOA17" s="8"/>
      <c r="MOB17" s="8"/>
      <c r="MOC17" s="8"/>
      <c r="MOD17" s="8"/>
      <c r="MOE17" s="8"/>
      <c r="MOF17" s="8"/>
      <c r="MOG17" s="8"/>
      <c r="MOH17" s="8"/>
      <c r="MOI17" s="8"/>
      <c r="MOJ17" s="8"/>
      <c r="MOK17" s="8"/>
      <c r="MOL17" s="8"/>
      <c r="MOM17" s="8"/>
      <c r="MON17" s="8"/>
      <c r="MOO17" s="8"/>
      <c r="MOP17" s="8"/>
      <c r="MOQ17" s="8"/>
      <c r="MOR17" s="8"/>
      <c r="MOS17" s="8"/>
      <c r="MOT17" s="8"/>
      <c r="MOU17" s="8"/>
      <c r="MOV17" s="8"/>
      <c r="MOW17" s="8"/>
      <c r="MOX17" s="8"/>
      <c r="MOY17" s="8"/>
      <c r="MOZ17" s="8"/>
      <c r="MPA17" s="8"/>
      <c r="MPB17" s="8"/>
      <c r="MPC17" s="8"/>
      <c r="MPD17" s="8"/>
      <c r="MPE17" s="8"/>
      <c r="MPF17" s="8"/>
      <c r="MPG17" s="8"/>
      <c r="MPH17" s="8"/>
      <c r="MPI17" s="8"/>
      <c r="MPJ17" s="8"/>
      <c r="MPK17" s="8"/>
      <c r="MPL17" s="8"/>
      <c r="MPM17" s="8"/>
      <c r="MPN17" s="8"/>
      <c r="MPO17" s="8"/>
      <c r="MPP17" s="8"/>
      <c r="MPQ17" s="8"/>
      <c r="MPR17" s="8"/>
      <c r="MPS17" s="8"/>
      <c r="MPT17" s="8"/>
      <c r="MPU17" s="8"/>
      <c r="MPV17" s="8"/>
      <c r="MPW17" s="8"/>
      <c r="MPX17" s="8"/>
      <c r="MPY17" s="8"/>
      <c r="MPZ17" s="8"/>
      <c r="MQA17" s="8"/>
      <c r="MQB17" s="8"/>
      <c r="MQC17" s="8"/>
      <c r="MQD17" s="8"/>
      <c r="MQE17" s="8"/>
      <c r="MQF17" s="8"/>
      <c r="MQG17" s="8"/>
      <c r="MQH17" s="8"/>
      <c r="MQI17" s="8"/>
      <c r="MQJ17" s="8"/>
      <c r="MQK17" s="8"/>
      <c r="MQL17" s="8"/>
      <c r="MQM17" s="8"/>
      <c r="MQN17" s="8"/>
      <c r="MQO17" s="8"/>
      <c r="MQP17" s="8"/>
      <c r="MQQ17" s="8"/>
      <c r="MQR17" s="8"/>
      <c r="MQS17" s="8"/>
      <c r="MQT17" s="8"/>
      <c r="MQU17" s="8"/>
      <c r="MQV17" s="8"/>
      <c r="MQW17" s="8"/>
      <c r="MQX17" s="8"/>
      <c r="MQY17" s="8"/>
      <c r="MQZ17" s="8"/>
      <c r="MRA17" s="8"/>
      <c r="MRB17" s="8"/>
      <c r="MRC17" s="8"/>
      <c r="MRD17" s="8"/>
      <c r="MRE17" s="8"/>
      <c r="MRF17" s="8"/>
      <c r="MRG17" s="8"/>
      <c r="MRH17" s="8"/>
      <c r="MRI17" s="8"/>
      <c r="MRJ17" s="8"/>
      <c r="MRK17" s="8"/>
      <c r="MRL17" s="8"/>
      <c r="MRM17" s="8"/>
      <c r="MRN17" s="8"/>
      <c r="MRO17" s="8"/>
      <c r="MRP17" s="8"/>
      <c r="MRQ17" s="8"/>
      <c r="MRR17" s="8"/>
      <c r="MRS17" s="8"/>
      <c r="MRT17" s="8"/>
      <c r="MRU17" s="8"/>
      <c r="MRV17" s="8"/>
      <c r="MRW17" s="8"/>
      <c r="MRX17" s="8"/>
      <c r="MRY17" s="8"/>
      <c r="MRZ17" s="8"/>
      <c r="MSA17" s="8"/>
      <c r="MSB17" s="8"/>
      <c r="MSC17" s="8"/>
      <c r="MSD17" s="8"/>
      <c r="MSE17" s="8"/>
      <c r="MSF17" s="8"/>
      <c r="MSG17" s="8"/>
      <c r="MSH17" s="8"/>
      <c r="MSI17" s="8"/>
      <c r="MSJ17" s="8"/>
      <c r="MSK17" s="8"/>
      <c r="MSL17" s="8"/>
      <c r="MSM17" s="8"/>
      <c r="MSN17" s="8"/>
      <c r="MSO17" s="8"/>
      <c r="MSP17" s="8"/>
      <c r="MSQ17" s="8"/>
      <c r="MSR17" s="8"/>
      <c r="MSS17" s="8"/>
      <c r="MST17" s="8"/>
      <c r="MSU17" s="8"/>
      <c r="MSV17" s="8"/>
      <c r="MSW17" s="8"/>
      <c r="MSX17" s="8"/>
      <c r="MSY17" s="8"/>
      <c r="MSZ17" s="8"/>
      <c r="MTA17" s="8"/>
      <c r="MTB17" s="8"/>
      <c r="MTC17" s="8"/>
      <c r="MTD17" s="8"/>
      <c r="MTE17" s="8"/>
      <c r="MTF17" s="8"/>
      <c r="MTG17" s="8"/>
      <c r="MTH17" s="8"/>
      <c r="MTI17" s="8"/>
      <c r="MTJ17" s="8"/>
      <c r="MTK17" s="8"/>
      <c r="MTL17" s="8"/>
      <c r="MTM17" s="8"/>
      <c r="MTN17" s="8"/>
      <c r="MTO17" s="8"/>
      <c r="MTP17" s="8"/>
      <c r="MTQ17" s="8"/>
      <c r="MTR17" s="8"/>
      <c r="MTS17" s="8"/>
      <c r="MTT17" s="8"/>
      <c r="MTU17" s="8"/>
      <c r="MTV17" s="8"/>
      <c r="MTW17" s="8"/>
      <c r="MTX17" s="8"/>
      <c r="MTY17" s="8"/>
      <c r="MTZ17" s="8"/>
      <c r="MUA17" s="8"/>
      <c r="MUB17" s="8"/>
      <c r="MUC17" s="8"/>
      <c r="MUD17" s="8"/>
      <c r="MUE17" s="8"/>
      <c r="MUF17" s="8"/>
      <c r="MUG17" s="8"/>
      <c r="MUH17" s="8"/>
      <c r="MUI17" s="8"/>
      <c r="MUJ17" s="8"/>
      <c r="MUK17" s="8"/>
      <c r="MUL17" s="8"/>
      <c r="MUM17" s="8"/>
      <c r="MUN17" s="8"/>
      <c r="MUO17" s="8"/>
      <c r="MUP17" s="8"/>
      <c r="MUQ17" s="8"/>
      <c r="MUR17" s="8"/>
      <c r="MUS17" s="8"/>
      <c r="MUT17" s="8"/>
      <c r="MUU17" s="8"/>
      <c r="MUV17" s="8"/>
      <c r="MUW17" s="8"/>
      <c r="MUX17" s="8"/>
      <c r="MUY17" s="8"/>
      <c r="MUZ17" s="8"/>
      <c r="MVA17" s="8"/>
      <c r="MVB17" s="8"/>
      <c r="MVC17" s="8"/>
      <c r="MVD17" s="8"/>
      <c r="MVE17" s="8"/>
      <c r="MVF17" s="8"/>
      <c r="MVG17" s="8"/>
      <c r="MVH17" s="8"/>
      <c r="MVI17" s="8"/>
      <c r="MVJ17" s="8"/>
      <c r="MVK17" s="8"/>
      <c r="MVL17" s="8"/>
      <c r="MVM17" s="8"/>
      <c r="MVN17" s="8"/>
      <c r="MVO17" s="8"/>
      <c r="MVP17" s="8"/>
      <c r="MVQ17" s="8"/>
      <c r="MVR17" s="8"/>
      <c r="MVS17" s="8"/>
      <c r="MVT17" s="8"/>
      <c r="MVU17" s="8"/>
      <c r="MVV17" s="8"/>
      <c r="MVW17" s="8"/>
      <c r="MVX17" s="8"/>
      <c r="MVY17" s="8"/>
      <c r="MVZ17" s="8"/>
      <c r="MWA17" s="8"/>
      <c r="MWB17" s="8"/>
      <c r="MWC17" s="8"/>
      <c r="MWD17" s="8"/>
      <c r="MWE17" s="8"/>
      <c r="MWF17" s="8"/>
      <c r="MWG17" s="8"/>
      <c r="MWH17" s="8"/>
      <c r="MWI17" s="8"/>
      <c r="MWJ17" s="8"/>
      <c r="MWK17" s="8"/>
      <c r="MWL17" s="8"/>
      <c r="MWM17" s="8"/>
      <c r="MWN17" s="8"/>
      <c r="MWO17" s="8"/>
      <c r="MWP17" s="8"/>
      <c r="MWQ17" s="8"/>
      <c r="MWR17" s="8"/>
      <c r="MWS17" s="8"/>
      <c r="MWT17" s="8"/>
      <c r="MWU17" s="8"/>
      <c r="MWV17" s="8"/>
      <c r="MWW17" s="8"/>
      <c r="MWX17" s="8"/>
      <c r="MWY17" s="8"/>
      <c r="MWZ17" s="8"/>
      <c r="MXA17" s="8"/>
      <c r="MXB17" s="8"/>
      <c r="MXC17" s="8"/>
      <c r="MXD17" s="8"/>
      <c r="MXE17" s="8"/>
      <c r="MXF17" s="8"/>
      <c r="MXG17" s="8"/>
      <c r="MXH17" s="8"/>
      <c r="MXI17" s="8"/>
      <c r="MXJ17" s="8"/>
      <c r="MXK17" s="8"/>
      <c r="MXL17" s="8"/>
      <c r="MXM17" s="8"/>
      <c r="MXN17" s="8"/>
      <c r="MXO17" s="8"/>
      <c r="MXP17" s="8"/>
      <c r="MXQ17" s="8"/>
      <c r="MXR17" s="8"/>
      <c r="MXS17" s="8"/>
      <c r="MXT17" s="8"/>
      <c r="MXU17" s="8"/>
      <c r="MXV17" s="8"/>
      <c r="MXW17" s="8"/>
      <c r="MXX17" s="8"/>
      <c r="MXY17" s="8"/>
      <c r="MXZ17" s="8"/>
      <c r="MYA17" s="8"/>
      <c r="MYB17" s="8"/>
      <c r="MYC17" s="8"/>
      <c r="MYD17" s="8"/>
      <c r="MYE17" s="8"/>
      <c r="MYF17" s="8"/>
      <c r="MYG17" s="8"/>
      <c r="MYH17" s="8"/>
      <c r="MYI17" s="8"/>
      <c r="MYJ17" s="8"/>
      <c r="MYK17" s="8"/>
      <c r="MYL17" s="8"/>
      <c r="MYM17" s="8"/>
      <c r="MYN17" s="8"/>
      <c r="MYO17" s="8"/>
      <c r="MYP17" s="8"/>
      <c r="MYQ17" s="8"/>
      <c r="MYR17" s="8"/>
      <c r="MYS17" s="8"/>
      <c r="MYT17" s="8"/>
      <c r="MYU17" s="8"/>
      <c r="MYV17" s="8"/>
      <c r="MYW17" s="8"/>
      <c r="MYX17" s="8"/>
      <c r="MYY17" s="8"/>
      <c r="MYZ17" s="8"/>
      <c r="MZA17" s="8"/>
      <c r="MZB17" s="8"/>
      <c r="MZC17" s="8"/>
      <c r="MZD17" s="8"/>
      <c r="MZE17" s="8"/>
      <c r="MZF17" s="8"/>
      <c r="MZG17" s="8"/>
      <c r="MZH17" s="8"/>
      <c r="MZI17" s="8"/>
      <c r="MZJ17" s="8"/>
      <c r="MZK17" s="8"/>
      <c r="MZL17" s="8"/>
      <c r="MZM17" s="8"/>
      <c r="MZN17" s="8"/>
      <c r="MZO17" s="8"/>
      <c r="MZP17" s="8"/>
      <c r="MZQ17" s="8"/>
      <c r="MZR17" s="8"/>
      <c r="MZS17" s="8"/>
      <c r="MZT17" s="8"/>
      <c r="MZU17" s="8"/>
      <c r="MZV17" s="8"/>
      <c r="MZW17" s="8"/>
      <c r="MZX17" s="8"/>
      <c r="MZY17" s="8"/>
      <c r="MZZ17" s="8"/>
      <c r="NAA17" s="8"/>
      <c r="NAB17" s="8"/>
      <c r="NAC17" s="8"/>
      <c r="NAD17" s="8"/>
      <c r="NAE17" s="8"/>
      <c r="NAF17" s="8"/>
      <c r="NAG17" s="8"/>
      <c r="NAH17" s="8"/>
      <c r="NAI17" s="8"/>
      <c r="NAJ17" s="8"/>
      <c r="NAK17" s="8"/>
      <c r="NAL17" s="8"/>
      <c r="NAM17" s="8"/>
      <c r="NAN17" s="8"/>
      <c r="NAO17" s="8"/>
      <c r="NAP17" s="8"/>
      <c r="NAQ17" s="8"/>
      <c r="NAR17" s="8"/>
      <c r="NAS17" s="8"/>
      <c r="NAT17" s="8"/>
      <c r="NAU17" s="8"/>
      <c r="NAV17" s="8"/>
      <c r="NAW17" s="8"/>
      <c r="NAX17" s="8"/>
      <c r="NAY17" s="8"/>
      <c r="NAZ17" s="8"/>
      <c r="NBA17" s="8"/>
      <c r="NBB17" s="8"/>
      <c r="NBC17" s="8"/>
      <c r="NBD17" s="8"/>
      <c r="NBE17" s="8"/>
      <c r="NBF17" s="8"/>
      <c r="NBG17" s="8"/>
      <c r="NBH17" s="8"/>
      <c r="NBI17" s="8"/>
      <c r="NBJ17" s="8"/>
      <c r="NBK17" s="8"/>
      <c r="NBL17" s="8"/>
      <c r="NBM17" s="8"/>
      <c r="NBN17" s="8"/>
      <c r="NBO17" s="8"/>
      <c r="NBP17" s="8"/>
      <c r="NBQ17" s="8"/>
      <c r="NBR17" s="8"/>
      <c r="NBS17" s="8"/>
      <c r="NBT17" s="8"/>
      <c r="NBU17" s="8"/>
      <c r="NBV17" s="8"/>
      <c r="NBW17" s="8"/>
      <c r="NBX17" s="8"/>
      <c r="NBY17" s="8"/>
      <c r="NBZ17" s="8"/>
      <c r="NCA17" s="8"/>
      <c r="NCB17" s="8"/>
      <c r="NCC17" s="8"/>
      <c r="NCD17" s="8"/>
      <c r="NCE17" s="8"/>
      <c r="NCF17" s="8"/>
      <c r="NCG17" s="8"/>
      <c r="NCH17" s="8"/>
      <c r="NCI17" s="8"/>
      <c r="NCJ17" s="8"/>
      <c r="NCK17" s="8"/>
      <c r="NCL17" s="8"/>
      <c r="NCM17" s="8"/>
      <c r="NCN17" s="8"/>
      <c r="NCO17" s="8"/>
      <c r="NCP17" s="8"/>
      <c r="NCQ17" s="8"/>
      <c r="NCR17" s="8"/>
      <c r="NCS17" s="8"/>
      <c r="NCT17" s="8"/>
      <c r="NCU17" s="8"/>
      <c r="NCV17" s="8"/>
      <c r="NCW17" s="8"/>
      <c r="NCX17" s="8"/>
      <c r="NCY17" s="8"/>
      <c r="NCZ17" s="8"/>
      <c r="NDA17" s="8"/>
      <c r="NDB17" s="8"/>
      <c r="NDC17" s="8"/>
      <c r="NDD17" s="8"/>
      <c r="NDE17" s="8"/>
      <c r="NDF17" s="8"/>
      <c r="NDG17" s="8"/>
      <c r="NDH17" s="8"/>
      <c r="NDI17" s="8"/>
      <c r="NDJ17" s="8"/>
      <c r="NDK17" s="8"/>
      <c r="NDL17" s="8"/>
      <c r="NDM17" s="8"/>
      <c r="NDN17" s="8"/>
      <c r="NDO17" s="8"/>
      <c r="NDP17" s="8"/>
      <c r="NDQ17" s="8"/>
      <c r="NDR17" s="8"/>
      <c r="NDS17" s="8"/>
      <c r="NDT17" s="8"/>
      <c r="NDU17" s="8"/>
      <c r="NDV17" s="8"/>
      <c r="NDW17" s="8"/>
      <c r="NDX17" s="8"/>
      <c r="NDY17" s="8"/>
      <c r="NDZ17" s="8"/>
      <c r="NEA17" s="8"/>
      <c r="NEB17" s="8"/>
      <c r="NEC17" s="8"/>
      <c r="NED17" s="8"/>
      <c r="NEE17" s="8"/>
      <c r="NEF17" s="8"/>
      <c r="NEG17" s="8"/>
      <c r="NEH17" s="8"/>
      <c r="NEI17" s="8"/>
      <c r="NEJ17" s="8"/>
      <c r="NEK17" s="8"/>
      <c r="NEL17" s="8"/>
      <c r="NEM17" s="8"/>
      <c r="NEN17" s="8"/>
      <c r="NEO17" s="8"/>
      <c r="NEP17" s="8"/>
      <c r="NEQ17" s="8"/>
      <c r="NER17" s="8"/>
      <c r="NES17" s="8"/>
      <c r="NET17" s="8"/>
      <c r="NEU17" s="8"/>
      <c r="NEV17" s="8"/>
      <c r="NEW17" s="8"/>
      <c r="NEX17" s="8"/>
      <c r="NEY17" s="8"/>
      <c r="NEZ17" s="8"/>
      <c r="NFA17" s="8"/>
      <c r="NFB17" s="8"/>
      <c r="NFC17" s="8"/>
      <c r="NFD17" s="8"/>
      <c r="NFE17" s="8"/>
      <c r="NFF17" s="8"/>
      <c r="NFG17" s="8"/>
      <c r="NFH17" s="8"/>
      <c r="NFI17" s="8"/>
      <c r="NFJ17" s="8"/>
      <c r="NFK17" s="8"/>
      <c r="NFL17" s="8"/>
      <c r="NFM17" s="8"/>
      <c r="NFN17" s="8"/>
      <c r="NFO17" s="8"/>
      <c r="NFP17" s="8"/>
      <c r="NFQ17" s="8"/>
      <c r="NFR17" s="8"/>
      <c r="NFS17" s="8"/>
      <c r="NFT17" s="8"/>
      <c r="NFU17" s="8"/>
      <c r="NFV17" s="8"/>
      <c r="NFW17" s="8"/>
      <c r="NFX17" s="8"/>
      <c r="NFY17" s="8"/>
      <c r="NFZ17" s="8"/>
      <c r="NGA17" s="8"/>
      <c r="NGB17" s="8"/>
      <c r="NGC17" s="8"/>
      <c r="NGD17" s="8"/>
      <c r="NGE17" s="8"/>
      <c r="NGF17" s="8"/>
      <c r="NGG17" s="8"/>
      <c r="NGH17" s="8"/>
      <c r="NGI17" s="8"/>
      <c r="NGJ17" s="8"/>
      <c r="NGK17" s="8"/>
      <c r="NGL17" s="8"/>
      <c r="NGM17" s="8"/>
      <c r="NGN17" s="8"/>
      <c r="NGO17" s="8"/>
      <c r="NGP17" s="8"/>
      <c r="NGQ17" s="8"/>
      <c r="NGR17" s="8"/>
      <c r="NGS17" s="8"/>
      <c r="NGT17" s="8"/>
      <c r="NGU17" s="8"/>
      <c r="NGV17" s="8"/>
      <c r="NGW17" s="8"/>
      <c r="NGX17" s="8"/>
      <c r="NGY17" s="8"/>
      <c r="NGZ17" s="8"/>
      <c r="NHA17" s="8"/>
      <c r="NHB17" s="8"/>
      <c r="NHC17" s="8"/>
      <c r="NHD17" s="8"/>
      <c r="NHE17" s="8"/>
      <c r="NHF17" s="8"/>
      <c r="NHG17" s="8"/>
      <c r="NHH17" s="8"/>
      <c r="NHI17" s="8"/>
      <c r="NHJ17" s="8"/>
      <c r="NHK17" s="8"/>
      <c r="NHL17" s="8"/>
      <c r="NHM17" s="8"/>
      <c r="NHN17" s="8"/>
      <c r="NHO17" s="8"/>
      <c r="NHP17" s="8"/>
      <c r="NHQ17" s="8"/>
      <c r="NHR17" s="8"/>
      <c r="NHS17" s="8"/>
      <c r="NHT17" s="8"/>
      <c r="NHU17" s="8"/>
      <c r="NHV17" s="8"/>
      <c r="NHW17" s="8"/>
      <c r="NHX17" s="8"/>
      <c r="NHY17" s="8"/>
      <c r="NHZ17" s="8"/>
      <c r="NIA17" s="8"/>
      <c r="NIB17" s="8"/>
      <c r="NIC17" s="8"/>
      <c r="NID17" s="8"/>
      <c r="NIE17" s="8"/>
      <c r="NIF17" s="8"/>
      <c r="NIG17" s="8"/>
      <c r="NIH17" s="8"/>
      <c r="NII17" s="8"/>
      <c r="NIJ17" s="8"/>
      <c r="NIK17" s="8"/>
      <c r="NIL17" s="8"/>
      <c r="NIM17" s="8"/>
      <c r="NIN17" s="8"/>
      <c r="NIO17" s="8"/>
      <c r="NIP17" s="8"/>
      <c r="NIQ17" s="8"/>
      <c r="NIR17" s="8"/>
      <c r="NIS17" s="8"/>
      <c r="NIT17" s="8"/>
      <c r="NIU17" s="8"/>
      <c r="NIV17" s="8"/>
      <c r="NIW17" s="8"/>
      <c r="NIX17" s="8"/>
      <c r="NIY17" s="8"/>
      <c r="NIZ17" s="8"/>
      <c r="NJA17" s="8"/>
      <c r="NJB17" s="8"/>
      <c r="NJC17" s="8"/>
      <c r="NJD17" s="8"/>
      <c r="NJE17" s="8"/>
      <c r="NJF17" s="8"/>
      <c r="NJG17" s="8"/>
      <c r="NJH17" s="8"/>
      <c r="NJI17" s="8"/>
      <c r="NJJ17" s="8"/>
      <c r="NJK17" s="8"/>
      <c r="NJL17" s="8"/>
      <c r="NJM17" s="8"/>
      <c r="NJN17" s="8"/>
      <c r="NJO17" s="8"/>
      <c r="NJP17" s="8"/>
      <c r="NJQ17" s="8"/>
      <c r="NJR17" s="8"/>
      <c r="NJS17" s="8"/>
      <c r="NJT17" s="8"/>
      <c r="NJU17" s="8"/>
      <c r="NJV17" s="8"/>
      <c r="NJW17" s="8"/>
      <c r="NJX17" s="8"/>
      <c r="NJY17" s="8"/>
      <c r="NJZ17" s="8"/>
      <c r="NKA17" s="8"/>
      <c r="NKB17" s="8"/>
      <c r="NKC17" s="8"/>
      <c r="NKD17" s="8"/>
      <c r="NKE17" s="8"/>
      <c r="NKF17" s="8"/>
      <c r="NKG17" s="8"/>
      <c r="NKH17" s="8"/>
      <c r="NKI17" s="8"/>
      <c r="NKJ17" s="8"/>
      <c r="NKK17" s="8"/>
      <c r="NKL17" s="8"/>
      <c r="NKM17" s="8"/>
      <c r="NKN17" s="8"/>
      <c r="NKO17" s="8"/>
      <c r="NKP17" s="8"/>
      <c r="NKQ17" s="8"/>
      <c r="NKR17" s="8"/>
      <c r="NKS17" s="8"/>
      <c r="NKT17" s="8"/>
      <c r="NKU17" s="8"/>
      <c r="NKV17" s="8"/>
      <c r="NKW17" s="8"/>
      <c r="NKX17" s="8"/>
      <c r="NKY17" s="8"/>
      <c r="NKZ17" s="8"/>
      <c r="NLA17" s="8"/>
      <c r="NLB17" s="8"/>
      <c r="NLC17" s="8"/>
      <c r="NLD17" s="8"/>
      <c r="NLE17" s="8"/>
      <c r="NLF17" s="8"/>
      <c r="NLG17" s="8"/>
      <c r="NLH17" s="8"/>
      <c r="NLI17" s="8"/>
      <c r="NLJ17" s="8"/>
      <c r="NLK17" s="8"/>
      <c r="NLL17" s="8"/>
      <c r="NLM17" s="8"/>
      <c r="NLN17" s="8"/>
      <c r="NLO17" s="8"/>
      <c r="NLP17" s="8"/>
      <c r="NLQ17" s="8"/>
      <c r="NLR17" s="8"/>
      <c r="NLS17" s="8"/>
      <c r="NLT17" s="8"/>
      <c r="NLU17" s="8"/>
      <c r="NLV17" s="8"/>
      <c r="NLW17" s="8"/>
      <c r="NLX17" s="8"/>
      <c r="NLY17" s="8"/>
      <c r="NLZ17" s="8"/>
      <c r="NMA17" s="8"/>
      <c r="NMB17" s="8"/>
      <c r="NMC17" s="8"/>
      <c r="NMD17" s="8"/>
      <c r="NME17" s="8"/>
      <c r="NMF17" s="8"/>
      <c r="NMG17" s="8"/>
      <c r="NMH17" s="8"/>
      <c r="NMI17" s="8"/>
      <c r="NMJ17" s="8"/>
      <c r="NMK17" s="8"/>
      <c r="NML17" s="8"/>
      <c r="NMM17" s="8"/>
      <c r="NMN17" s="8"/>
      <c r="NMO17" s="8"/>
      <c r="NMP17" s="8"/>
      <c r="NMQ17" s="8"/>
      <c r="NMR17" s="8"/>
      <c r="NMS17" s="8"/>
      <c r="NMT17" s="8"/>
      <c r="NMU17" s="8"/>
      <c r="NMV17" s="8"/>
      <c r="NMW17" s="8"/>
      <c r="NMX17" s="8"/>
      <c r="NMY17" s="8"/>
      <c r="NMZ17" s="8"/>
      <c r="NNA17" s="8"/>
      <c r="NNB17" s="8"/>
      <c r="NNC17" s="8"/>
      <c r="NND17" s="8"/>
      <c r="NNE17" s="8"/>
      <c r="NNF17" s="8"/>
      <c r="NNG17" s="8"/>
      <c r="NNH17" s="8"/>
      <c r="NNI17" s="8"/>
      <c r="NNJ17" s="8"/>
      <c r="NNK17" s="8"/>
      <c r="NNL17" s="8"/>
      <c r="NNM17" s="8"/>
      <c r="NNN17" s="8"/>
      <c r="NNO17" s="8"/>
      <c r="NNP17" s="8"/>
      <c r="NNQ17" s="8"/>
      <c r="NNR17" s="8"/>
      <c r="NNS17" s="8"/>
      <c r="NNT17" s="8"/>
      <c r="NNU17" s="8"/>
      <c r="NNV17" s="8"/>
      <c r="NNW17" s="8"/>
      <c r="NNX17" s="8"/>
      <c r="NNY17" s="8"/>
      <c r="NNZ17" s="8"/>
      <c r="NOA17" s="8"/>
      <c r="NOB17" s="8"/>
      <c r="NOC17" s="8"/>
      <c r="NOD17" s="8"/>
      <c r="NOE17" s="8"/>
      <c r="NOF17" s="8"/>
      <c r="NOG17" s="8"/>
      <c r="NOH17" s="8"/>
      <c r="NOI17" s="8"/>
      <c r="NOJ17" s="8"/>
      <c r="NOK17" s="8"/>
      <c r="NOL17" s="8"/>
      <c r="NOM17" s="8"/>
      <c r="NON17" s="8"/>
      <c r="NOO17" s="8"/>
      <c r="NOP17" s="8"/>
      <c r="NOQ17" s="8"/>
      <c r="NOR17" s="8"/>
      <c r="NOS17" s="8"/>
      <c r="NOT17" s="8"/>
      <c r="NOU17" s="8"/>
      <c r="NOV17" s="8"/>
      <c r="NOW17" s="8"/>
      <c r="NOX17" s="8"/>
      <c r="NOY17" s="8"/>
      <c r="NOZ17" s="8"/>
      <c r="NPA17" s="8"/>
      <c r="NPB17" s="8"/>
      <c r="NPC17" s="8"/>
      <c r="NPD17" s="8"/>
      <c r="NPE17" s="8"/>
      <c r="NPF17" s="8"/>
      <c r="NPG17" s="8"/>
      <c r="NPH17" s="8"/>
      <c r="NPI17" s="8"/>
      <c r="NPJ17" s="8"/>
      <c r="NPK17" s="8"/>
      <c r="NPL17" s="8"/>
      <c r="NPM17" s="8"/>
      <c r="NPN17" s="8"/>
      <c r="NPO17" s="8"/>
      <c r="NPP17" s="8"/>
      <c r="NPQ17" s="8"/>
      <c r="NPR17" s="8"/>
      <c r="NPS17" s="8"/>
      <c r="NPT17" s="8"/>
      <c r="NPU17" s="8"/>
      <c r="NPV17" s="8"/>
      <c r="NPW17" s="8"/>
      <c r="NPX17" s="8"/>
      <c r="NPY17" s="8"/>
      <c r="NPZ17" s="8"/>
      <c r="NQA17" s="8"/>
      <c r="NQB17" s="8"/>
      <c r="NQC17" s="8"/>
      <c r="NQD17" s="8"/>
      <c r="NQE17" s="8"/>
      <c r="NQF17" s="8"/>
      <c r="NQG17" s="8"/>
      <c r="NQH17" s="8"/>
      <c r="NQI17" s="8"/>
      <c r="NQJ17" s="8"/>
      <c r="NQK17" s="8"/>
      <c r="NQL17" s="8"/>
      <c r="NQM17" s="8"/>
      <c r="NQN17" s="8"/>
      <c r="NQO17" s="8"/>
      <c r="NQP17" s="8"/>
      <c r="NQQ17" s="8"/>
      <c r="NQR17" s="8"/>
      <c r="NQS17" s="8"/>
      <c r="NQT17" s="8"/>
      <c r="NQU17" s="8"/>
      <c r="NQV17" s="8"/>
      <c r="NQW17" s="8"/>
      <c r="NQX17" s="8"/>
      <c r="NQY17" s="8"/>
      <c r="NQZ17" s="8"/>
      <c r="NRA17" s="8"/>
      <c r="NRB17" s="8"/>
      <c r="NRC17" s="8"/>
      <c r="NRD17" s="8"/>
      <c r="NRE17" s="8"/>
      <c r="NRF17" s="8"/>
      <c r="NRG17" s="8"/>
      <c r="NRH17" s="8"/>
      <c r="NRI17" s="8"/>
      <c r="NRJ17" s="8"/>
      <c r="NRK17" s="8"/>
      <c r="NRL17" s="8"/>
      <c r="NRM17" s="8"/>
      <c r="NRN17" s="8"/>
      <c r="NRO17" s="8"/>
      <c r="NRP17" s="8"/>
      <c r="NRQ17" s="8"/>
      <c r="NRR17" s="8"/>
      <c r="NRS17" s="8"/>
      <c r="NRT17" s="8"/>
      <c r="NRU17" s="8"/>
      <c r="NRV17" s="8"/>
      <c r="NRW17" s="8"/>
      <c r="NRX17" s="8"/>
      <c r="NRY17" s="8"/>
      <c r="NRZ17" s="8"/>
      <c r="NSA17" s="8"/>
      <c r="NSB17" s="8"/>
      <c r="NSC17" s="8"/>
      <c r="NSD17" s="8"/>
      <c r="NSE17" s="8"/>
      <c r="NSF17" s="8"/>
      <c r="NSG17" s="8"/>
      <c r="NSH17" s="8"/>
      <c r="NSI17" s="8"/>
      <c r="NSJ17" s="8"/>
      <c r="NSK17" s="8"/>
      <c r="NSL17" s="8"/>
      <c r="NSM17" s="8"/>
      <c r="NSN17" s="8"/>
      <c r="NSO17" s="8"/>
      <c r="NSP17" s="8"/>
      <c r="NSQ17" s="8"/>
      <c r="NSR17" s="8"/>
      <c r="NSS17" s="8"/>
      <c r="NST17" s="8"/>
      <c r="NSU17" s="8"/>
      <c r="NSV17" s="8"/>
      <c r="NSW17" s="8"/>
      <c r="NSX17" s="8"/>
      <c r="NSY17" s="8"/>
      <c r="NSZ17" s="8"/>
      <c r="NTA17" s="8"/>
      <c r="NTB17" s="8"/>
      <c r="NTC17" s="8"/>
      <c r="NTD17" s="8"/>
      <c r="NTE17" s="8"/>
      <c r="NTF17" s="8"/>
      <c r="NTG17" s="8"/>
      <c r="NTH17" s="8"/>
      <c r="NTI17" s="8"/>
      <c r="NTJ17" s="8"/>
      <c r="NTK17" s="8"/>
      <c r="NTL17" s="8"/>
      <c r="NTM17" s="8"/>
      <c r="NTN17" s="8"/>
      <c r="NTO17" s="8"/>
      <c r="NTP17" s="8"/>
      <c r="NTQ17" s="8"/>
      <c r="NTR17" s="8"/>
      <c r="NTS17" s="8"/>
      <c r="NTT17" s="8"/>
      <c r="NTU17" s="8"/>
      <c r="NTV17" s="8"/>
      <c r="NTW17" s="8"/>
      <c r="NTX17" s="8"/>
      <c r="NTY17" s="8"/>
      <c r="NTZ17" s="8"/>
      <c r="NUA17" s="8"/>
      <c r="NUB17" s="8"/>
      <c r="NUC17" s="8"/>
      <c r="NUD17" s="8"/>
      <c r="NUE17" s="8"/>
      <c r="NUF17" s="8"/>
      <c r="NUG17" s="8"/>
      <c r="NUH17" s="8"/>
      <c r="NUI17" s="8"/>
      <c r="NUJ17" s="8"/>
      <c r="NUK17" s="8"/>
      <c r="NUL17" s="8"/>
      <c r="NUM17" s="8"/>
      <c r="NUN17" s="8"/>
      <c r="NUO17" s="8"/>
      <c r="NUP17" s="8"/>
      <c r="NUQ17" s="8"/>
      <c r="NUR17" s="8"/>
      <c r="NUS17" s="8"/>
      <c r="NUT17" s="8"/>
      <c r="NUU17" s="8"/>
      <c r="NUV17" s="8"/>
      <c r="NUW17" s="8"/>
      <c r="NUX17" s="8"/>
      <c r="NUY17" s="8"/>
      <c r="NUZ17" s="8"/>
      <c r="NVA17" s="8"/>
      <c r="NVB17" s="8"/>
      <c r="NVC17" s="8"/>
      <c r="NVD17" s="8"/>
      <c r="NVE17" s="8"/>
      <c r="NVF17" s="8"/>
      <c r="NVG17" s="8"/>
      <c r="NVH17" s="8"/>
      <c r="NVI17" s="8"/>
      <c r="NVJ17" s="8"/>
      <c r="NVK17" s="8"/>
      <c r="NVL17" s="8"/>
      <c r="NVM17" s="8"/>
      <c r="NVN17" s="8"/>
      <c r="NVO17" s="8"/>
      <c r="NVP17" s="8"/>
      <c r="NVQ17" s="8"/>
      <c r="NVR17" s="8"/>
      <c r="NVS17" s="8"/>
      <c r="NVT17" s="8"/>
      <c r="NVU17" s="8"/>
      <c r="NVV17" s="8"/>
      <c r="NVW17" s="8"/>
      <c r="NVX17" s="8"/>
      <c r="NVY17" s="8"/>
      <c r="NVZ17" s="8"/>
      <c r="NWA17" s="8"/>
      <c r="NWB17" s="8"/>
      <c r="NWC17" s="8"/>
      <c r="NWD17" s="8"/>
      <c r="NWE17" s="8"/>
      <c r="NWF17" s="8"/>
      <c r="NWG17" s="8"/>
      <c r="NWH17" s="8"/>
      <c r="NWI17" s="8"/>
      <c r="NWJ17" s="8"/>
      <c r="NWK17" s="8"/>
      <c r="NWL17" s="8"/>
      <c r="NWM17" s="8"/>
      <c r="NWN17" s="8"/>
      <c r="NWO17" s="8"/>
      <c r="NWP17" s="8"/>
      <c r="NWQ17" s="8"/>
      <c r="NWR17" s="8"/>
      <c r="NWS17" s="8"/>
      <c r="NWT17" s="8"/>
      <c r="NWU17" s="8"/>
      <c r="NWV17" s="8"/>
      <c r="NWW17" s="8"/>
      <c r="NWX17" s="8"/>
      <c r="NWY17" s="8"/>
      <c r="NWZ17" s="8"/>
      <c r="NXA17" s="8"/>
      <c r="NXB17" s="8"/>
      <c r="NXC17" s="8"/>
      <c r="NXD17" s="8"/>
      <c r="NXE17" s="8"/>
      <c r="NXF17" s="8"/>
      <c r="NXG17" s="8"/>
      <c r="NXH17" s="8"/>
      <c r="NXI17" s="8"/>
      <c r="NXJ17" s="8"/>
      <c r="NXK17" s="8"/>
      <c r="NXL17" s="8"/>
      <c r="NXM17" s="8"/>
      <c r="NXN17" s="8"/>
      <c r="NXO17" s="8"/>
      <c r="NXP17" s="8"/>
      <c r="NXQ17" s="8"/>
      <c r="NXR17" s="8"/>
      <c r="NXS17" s="8"/>
      <c r="NXT17" s="8"/>
      <c r="NXU17" s="8"/>
      <c r="NXV17" s="8"/>
      <c r="NXW17" s="8"/>
      <c r="NXX17" s="8"/>
      <c r="NXY17" s="8"/>
      <c r="NXZ17" s="8"/>
      <c r="NYA17" s="8"/>
      <c r="NYB17" s="8"/>
      <c r="NYC17" s="8"/>
      <c r="NYD17" s="8"/>
      <c r="NYE17" s="8"/>
      <c r="NYF17" s="8"/>
      <c r="NYG17" s="8"/>
      <c r="NYH17" s="8"/>
      <c r="NYI17" s="8"/>
      <c r="NYJ17" s="8"/>
      <c r="NYK17" s="8"/>
      <c r="NYL17" s="8"/>
      <c r="NYM17" s="8"/>
      <c r="NYN17" s="8"/>
      <c r="NYO17" s="8"/>
      <c r="NYP17" s="8"/>
      <c r="NYQ17" s="8"/>
      <c r="NYR17" s="8"/>
      <c r="NYS17" s="8"/>
      <c r="NYT17" s="8"/>
      <c r="NYU17" s="8"/>
      <c r="NYV17" s="8"/>
      <c r="NYW17" s="8"/>
      <c r="NYX17" s="8"/>
      <c r="NYY17" s="8"/>
      <c r="NYZ17" s="8"/>
      <c r="NZA17" s="8"/>
      <c r="NZB17" s="8"/>
      <c r="NZC17" s="8"/>
      <c r="NZD17" s="8"/>
      <c r="NZE17" s="8"/>
      <c r="NZF17" s="8"/>
      <c r="NZG17" s="8"/>
      <c r="NZH17" s="8"/>
      <c r="NZI17" s="8"/>
      <c r="NZJ17" s="8"/>
      <c r="NZK17" s="8"/>
      <c r="NZL17" s="8"/>
      <c r="NZM17" s="8"/>
      <c r="NZN17" s="8"/>
      <c r="NZO17" s="8"/>
      <c r="NZP17" s="8"/>
      <c r="NZQ17" s="8"/>
      <c r="NZR17" s="8"/>
      <c r="NZS17" s="8"/>
      <c r="NZT17" s="8"/>
      <c r="NZU17" s="8"/>
      <c r="NZV17" s="8"/>
      <c r="NZW17" s="8"/>
      <c r="NZX17" s="8"/>
      <c r="NZY17" s="8"/>
      <c r="NZZ17" s="8"/>
      <c r="OAA17" s="8"/>
      <c r="OAB17" s="8"/>
      <c r="OAC17" s="8"/>
      <c r="OAD17" s="8"/>
      <c r="OAE17" s="8"/>
      <c r="OAF17" s="8"/>
      <c r="OAG17" s="8"/>
      <c r="OAH17" s="8"/>
      <c r="OAI17" s="8"/>
      <c r="OAJ17" s="8"/>
      <c r="OAK17" s="8"/>
      <c r="OAL17" s="8"/>
      <c r="OAM17" s="8"/>
      <c r="OAN17" s="8"/>
      <c r="OAO17" s="8"/>
      <c r="OAP17" s="8"/>
      <c r="OAQ17" s="8"/>
      <c r="OAR17" s="8"/>
      <c r="OAS17" s="8"/>
      <c r="OAT17" s="8"/>
      <c r="OAU17" s="8"/>
      <c r="OAV17" s="8"/>
      <c r="OAW17" s="8"/>
      <c r="OAX17" s="8"/>
      <c r="OAY17" s="8"/>
      <c r="OAZ17" s="8"/>
      <c r="OBA17" s="8"/>
      <c r="OBB17" s="8"/>
      <c r="OBC17" s="8"/>
      <c r="OBD17" s="8"/>
      <c r="OBE17" s="8"/>
      <c r="OBF17" s="8"/>
      <c r="OBG17" s="8"/>
      <c r="OBH17" s="8"/>
      <c r="OBI17" s="8"/>
      <c r="OBJ17" s="8"/>
      <c r="OBK17" s="8"/>
      <c r="OBL17" s="8"/>
      <c r="OBM17" s="8"/>
      <c r="OBN17" s="8"/>
      <c r="OBO17" s="8"/>
      <c r="OBP17" s="8"/>
      <c r="OBQ17" s="8"/>
      <c r="OBR17" s="8"/>
      <c r="OBS17" s="8"/>
      <c r="OBT17" s="8"/>
      <c r="OBU17" s="8"/>
      <c r="OBV17" s="8"/>
      <c r="OBW17" s="8"/>
      <c r="OBX17" s="8"/>
      <c r="OBY17" s="8"/>
      <c r="OBZ17" s="8"/>
      <c r="OCA17" s="8"/>
      <c r="OCB17" s="8"/>
      <c r="OCC17" s="8"/>
      <c r="OCD17" s="8"/>
      <c r="OCE17" s="8"/>
      <c r="OCF17" s="8"/>
      <c r="OCG17" s="8"/>
      <c r="OCH17" s="8"/>
      <c r="OCI17" s="8"/>
      <c r="OCJ17" s="8"/>
      <c r="OCK17" s="8"/>
      <c r="OCL17" s="8"/>
      <c r="OCM17" s="8"/>
      <c r="OCN17" s="8"/>
      <c r="OCO17" s="8"/>
      <c r="OCP17" s="8"/>
      <c r="OCQ17" s="8"/>
      <c r="OCR17" s="8"/>
      <c r="OCS17" s="8"/>
      <c r="OCT17" s="8"/>
      <c r="OCU17" s="8"/>
      <c r="OCV17" s="8"/>
      <c r="OCW17" s="8"/>
      <c r="OCX17" s="8"/>
      <c r="OCY17" s="8"/>
      <c r="OCZ17" s="8"/>
      <c r="ODA17" s="8"/>
      <c r="ODB17" s="8"/>
      <c r="ODC17" s="8"/>
      <c r="ODD17" s="8"/>
      <c r="ODE17" s="8"/>
      <c r="ODF17" s="8"/>
      <c r="ODG17" s="8"/>
      <c r="ODH17" s="8"/>
      <c r="ODI17" s="8"/>
      <c r="ODJ17" s="8"/>
      <c r="ODK17" s="8"/>
      <c r="ODL17" s="8"/>
      <c r="ODM17" s="8"/>
      <c r="ODN17" s="8"/>
      <c r="ODO17" s="8"/>
      <c r="ODP17" s="8"/>
      <c r="ODQ17" s="8"/>
      <c r="ODR17" s="8"/>
      <c r="ODS17" s="8"/>
      <c r="ODT17" s="8"/>
      <c r="ODU17" s="8"/>
      <c r="ODV17" s="8"/>
      <c r="ODW17" s="8"/>
      <c r="ODX17" s="8"/>
      <c r="ODY17" s="8"/>
      <c r="ODZ17" s="8"/>
      <c r="OEA17" s="8"/>
      <c r="OEB17" s="8"/>
      <c r="OEC17" s="8"/>
      <c r="OED17" s="8"/>
      <c r="OEE17" s="8"/>
      <c r="OEF17" s="8"/>
      <c r="OEG17" s="8"/>
      <c r="OEH17" s="8"/>
      <c r="OEI17" s="8"/>
      <c r="OEJ17" s="8"/>
      <c r="OEK17" s="8"/>
      <c r="OEL17" s="8"/>
      <c r="OEM17" s="8"/>
      <c r="OEN17" s="8"/>
      <c r="OEO17" s="8"/>
      <c r="OEP17" s="8"/>
      <c r="OEQ17" s="8"/>
      <c r="OER17" s="8"/>
      <c r="OES17" s="8"/>
      <c r="OET17" s="8"/>
      <c r="OEU17" s="8"/>
      <c r="OEV17" s="8"/>
      <c r="OEW17" s="8"/>
      <c r="OEX17" s="8"/>
      <c r="OEY17" s="8"/>
      <c r="OEZ17" s="8"/>
      <c r="OFA17" s="8"/>
      <c r="OFB17" s="8"/>
      <c r="OFC17" s="8"/>
      <c r="OFD17" s="8"/>
      <c r="OFE17" s="8"/>
      <c r="OFF17" s="8"/>
      <c r="OFG17" s="8"/>
      <c r="OFH17" s="8"/>
      <c r="OFI17" s="8"/>
      <c r="OFJ17" s="8"/>
      <c r="OFK17" s="8"/>
      <c r="OFL17" s="8"/>
      <c r="OFM17" s="8"/>
      <c r="OFN17" s="8"/>
      <c r="OFO17" s="8"/>
      <c r="OFP17" s="8"/>
      <c r="OFQ17" s="8"/>
      <c r="OFR17" s="8"/>
      <c r="OFS17" s="8"/>
      <c r="OFT17" s="8"/>
      <c r="OFU17" s="8"/>
      <c r="OFV17" s="8"/>
      <c r="OFW17" s="8"/>
      <c r="OFX17" s="8"/>
      <c r="OFY17" s="8"/>
      <c r="OFZ17" s="8"/>
      <c r="OGA17" s="8"/>
      <c r="OGB17" s="8"/>
      <c r="OGC17" s="8"/>
      <c r="OGD17" s="8"/>
      <c r="OGE17" s="8"/>
      <c r="OGF17" s="8"/>
      <c r="OGG17" s="8"/>
      <c r="OGH17" s="8"/>
      <c r="OGI17" s="8"/>
      <c r="OGJ17" s="8"/>
      <c r="OGK17" s="8"/>
      <c r="OGL17" s="8"/>
      <c r="OGM17" s="8"/>
      <c r="OGN17" s="8"/>
      <c r="OGO17" s="8"/>
      <c r="OGP17" s="8"/>
      <c r="OGQ17" s="8"/>
      <c r="OGR17" s="8"/>
      <c r="OGS17" s="8"/>
      <c r="OGT17" s="8"/>
      <c r="OGU17" s="8"/>
      <c r="OGV17" s="8"/>
      <c r="OGW17" s="8"/>
      <c r="OGX17" s="8"/>
      <c r="OGY17" s="8"/>
      <c r="OGZ17" s="8"/>
      <c r="OHA17" s="8"/>
      <c r="OHB17" s="8"/>
      <c r="OHC17" s="8"/>
      <c r="OHD17" s="8"/>
      <c r="OHE17" s="8"/>
      <c r="OHF17" s="8"/>
      <c r="OHG17" s="8"/>
      <c r="OHH17" s="8"/>
      <c r="OHI17" s="8"/>
      <c r="OHJ17" s="8"/>
      <c r="OHK17" s="8"/>
      <c r="OHL17" s="8"/>
      <c r="OHM17" s="8"/>
      <c r="OHN17" s="8"/>
      <c r="OHO17" s="8"/>
      <c r="OHP17" s="8"/>
      <c r="OHQ17" s="8"/>
      <c r="OHR17" s="8"/>
      <c r="OHS17" s="8"/>
      <c r="OHT17" s="8"/>
      <c r="OHU17" s="8"/>
      <c r="OHV17" s="8"/>
      <c r="OHW17" s="8"/>
      <c r="OHX17" s="8"/>
      <c r="OHY17" s="8"/>
      <c r="OHZ17" s="8"/>
      <c r="OIA17" s="8"/>
      <c r="OIB17" s="8"/>
      <c r="OIC17" s="8"/>
      <c r="OID17" s="8"/>
      <c r="OIE17" s="8"/>
      <c r="OIF17" s="8"/>
      <c r="OIG17" s="8"/>
      <c r="OIH17" s="8"/>
      <c r="OII17" s="8"/>
      <c r="OIJ17" s="8"/>
      <c r="OIK17" s="8"/>
      <c r="OIL17" s="8"/>
      <c r="OIM17" s="8"/>
      <c r="OIN17" s="8"/>
      <c r="OIO17" s="8"/>
      <c r="OIP17" s="8"/>
      <c r="OIQ17" s="8"/>
      <c r="OIR17" s="8"/>
      <c r="OIS17" s="8"/>
      <c r="OIT17" s="8"/>
      <c r="OIU17" s="8"/>
      <c r="OIV17" s="8"/>
      <c r="OIW17" s="8"/>
      <c r="OIX17" s="8"/>
      <c r="OIY17" s="8"/>
      <c r="OIZ17" s="8"/>
      <c r="OJA17" s="8"/>
      <c r="OJB17" s="8"/>
      <c r="OJC17" s="8"/>
      <c r="OJD17" s="8"/>
      <c r="OJE17" s="8"/>
      <c r="OJF17" s="8"/>
      <c r="OJG17" s="8"/>
      <c r="OJH17" s="8"/>
      <c r="OJI17" s="8"/>
      <c r="OJJ17" s="8"/>
      <c r="OJK17" s="8"/>
      <c r="OJL17" s="8"/>
      <c r="OJM17" s="8"/>
      <c r="OJN17" s="8"/>
      <c r="OJO17" s="8"/>
      <c r="OJP17" s="8"/>
      <c r="OJQ17" s="8"/>
      <c r="OJR17" s="8"/>
      <c r="OJS17" s="8"/>
      <c r="OJT17" s="8"/>
      <c r="OJU17" s="8"/>
      <c r="OJV17" s="8"/>
      <c r="OJW17" s="8"/>
      <c r="OJX17" s="8"/>
      <c r="OJY17" s="8"/>
      <c r="OJZ17" s="8"/>
      <c r="OKA17" s="8"/>
      <c r="OKB17" s="8"/>
      <c r="OKC17" s="8"/>
      <c r="OKD17" s="8"/>
      <c r="OKE17" s="8"/>
      <c r="OKF17" s="8"/>
      <c r="OKG17" s="8"/>
      <c r="OKH17" s="8"/>
      <c r="OKI17" s="8"/>
      <c r="OKJ17" s="8"/>
      <c r="OKK17" s="8"/>
      <c r="OKL17" s="8"/>
      <c r="OKM17" s="8"/>
      <c r="OKN17" s="8"/>
      <c r="OKO17" s="8"/>
      <c r="OKP17" s="8"/>
      <c r="OKQ17" s="8"/>
      <c r="OKR17" s="8"/>
      <c r="OKS17" s="8"/>
      <c r="OKT17" s="8"/>
      <c r="OKU17" s="8"/>
      <c r="OKV17" s="8"/>
      <c r="OKW17" s="8"/>
      <c r="OKX17" s="8"/>
      <c r="OKY17" s="8"/>
      <c r="OKZ17" s="8"/>
      <c r="OLA17" s="8"/>
      <c r="OLB17" s="8"/>
      <c r="OLC17" s="8"/>
      <c r="OLD17" s="8"/>
      <c r="OLE17" s="8"/>
      <c r="OLF17" s="8"/>
      <c r="OLG17" s="8"/>
      <c r="OLH17" s="8"/>
      <c r="OLI17" s="8"/>
      <c r="OLJ17" s="8"/>
      <c r="OLK17" s="8"/>
      <c r="OLL17" s="8"/>
      <c r="OLM17" s="8"/>
      <c r="OLN17" s="8"/>
      <c r="OLO17" s="8"/>
      <c r="OLP17" s="8"/>
      <c r="OLQ17" s="8"/>
      <c r="OLR17" s="8"/>
      <c r="OLS17" s="8"/>
      <c r="OLT17" s="8"/>
      <c r="OLU17" s="8"/>
      <c r="OLV17" s="8"/>
      <c r="OLW17" s="8"/>
      <c r="OLX17" s="8"/>
      <c r="OLY17" s="8"/>
      <c r="OLZ17" s="8"/>
      <c r="OMA17" s="8"/>
      <c r="OMB17" s="8"/>
      <c r="OMC17" s="8"/>
      <c r="OMD17" s="8"/>
      <c r="OME17" s="8"/>
      <c r="OMF17" s="8"/>
      <c r="OMG17" s="8"/>
      <c r="OMH17" s="8"/>
      <c r="OMI17" s="8"/>
      <c r="OMJ17" s="8"/>
      <c r="OMK17" s="8"/>
      <c r="OML17" s="8"/>
      <c r="OMM17" s="8"/>
      <c r="OMN17" s="8"/>
      <c r="OMO17" s="8"/>
      <c r="OMP17" s="8"/>
      <c r="OMQ17" s="8"/>
      <c r="OMR17" s="8"/>
      <c r="OMS17" s="8"/>
      <c r="OMT17" s="8"/>
      <c r="OMU17" s="8"/>
      <c r="OMV17" s="8"/>
      <c r="OMW17" s="8"/>
      <c r="OMX17" s="8"/>
      <c r="OMY17" s="8"/>
      <c r="OMZ17" s="8"/>
      <c r="ONA17" s="8"/>
      <c r="ONB17" s="8"/>
      <c r="ONC17" s="8"/>
      <c r="OND17" s="8"/>
      <c r="ONE17" s="8"/>
      <c r="ONF17" s="8"/>
      <c r="ONG17" s="8"/>
      <c r="ONH17" s="8"/>
      <c r="ONI17" s="8"/>
      <c r="ONJ17" s="8"/>
      <c r="ONK17" s="8"/>
      <c r="ONL17" s="8"/>
      <c r="ONM17" s="8"/>
      <c r="ONN17" s="8"/>
      <c r="ONO17" s="8"/>
      <c r="ONP17" s="8"/>
      <c r="ONQ17" s="8"/>
      <c r="ONR17" s="8"/>
      <c r="ONS17" s="8"/>
      <c r="ONT17" s="8"/>
      <c r="ONU17" s="8"/>
      <c r="ONV17" s="8"/>
      <c r="ONW17" s="8"/>
      <c r="ONX17" s="8"/>
      <c r="ONY17" s="8"/>
      <c r="ONZ17" s="8"/>
      <c r="OOA17" s="8"/>
      <c r="OOB17" s="8"/>
      <c r="OOC17" s="8"/>
      <c r="OOD17" s="8"/>
      <c r="OOE17" s="8"/>
      <c r="OOF17" s="8"/>
      <c r="OOG17" s="8"/>
      <c r="OOH17" s="8"/>
      <c r="OOI17" s="8"/>
      <c r="OOJ17" s="8"/>
      <c r="OOK17" s="8"/>
      <c r="OOL17" s="8"/>
      <c r="OOM17" s="8"/>
      <c r="OON17" s="8"/>
      <c r="OOO17" s="8"/>
      <c r="OOP17" s="8"/>
      <c r="OOQ17" s="8"/>
      <c r="OOR17" s="8"/>
      <c r="OOS17" s="8"/>
      <c r="OOT17" s="8"/>
      <c r="OOU17" s="8"/>
      <c r="OOV17" s="8"/>
      <c r="OOW17" s="8"/>
      <c r="OOX17" s="8"/>
      <c r="OOY17" s="8"/>
      <c r="OOZ17" s="8"/>
      <c r="OPA17" s="8"/>
      <c r="OPB17" s="8"/>
      <c r="OPC17" s="8"/>
      <c r="OPD17" s="8"/>
      <c r="OPE17" s="8"/>
      <c r="OPF17" s="8"/>
      <c r="OPG17" s="8"/>
      <c r="OPH17" s="8"/>
      <c r="OPI17" s="8"/>
      <c r="OPJ17" s="8"/>
      <c r="OPK17" s="8"/>
      <c r="OPL17" s="8"/>
      <c r="OPM17" s="8"/>
      <c r="OPN17" s="8"/>
      <c r="OPO17" s="8"/>
      <c r="OPP17" s="8"/>
      <c r="OPQ17" s="8"/>
      <c r="OPR17" s="8"/>
      <c r="OPS17" s="8"/>
      <c r="OPT17" s="8"/>
      <c r="OPU17" s="8"/>
      <c r="OPV17" s="8"/>
      <c r="OPW17" s="8"/>
      <c r="OPX17" s="8"/>
      <c r="OPY17" s="8"/>
      <c r="OPZ17" s="8"/>
      <c r="OQA17" s="8"/>
      <c r="OQB17" s="8"/>
      <c r="OQC17" s="8"/>
      <c r="OQD17" s="8"/>
      <c r="OQE17" s="8"/>
      <c r="OQF17" s="8"/>
      <c r="OQG17" s="8"/>
      <c r="OQH17" s="8"/>
      <c r="OQI17" s="8"/>
      <c r="OQJ17" s="8"/>
      <c r="OQK17" s="8"/>
      <c r="OQL17" s="8"/>
      <c r="OQM17" s="8"/>
      <c r="OQN17" s="8"/>
      <c r="OQO17" s="8"/>
      <c r="OQP17" s="8"/>
      <c r="OQQ17" s="8"/>
      <c r="OQR17" s="8"/>
      <c r="OQS17" s="8"/>
      <c r="OQT17" s="8"/>
      <c r="OQU17" s="8"/>
      <c r="OQV17" s="8"/>
      <c r="OQW17" s="8"/>
      <c r="OQX17" s="8"/>
      <c r="OQY17" s="8"/>
      <c r="OQZ17" s="8"/>
      <c r="ORA17" s="8"/>
      <c r="ORB17" s="8"/>
      <c r="ORC17" s="8"/>
      <c r="ORD17" s="8"/>
      <c r="ORE17" s="8"/>
      <c r="ORF17" s="8"/>
      <c r="ORG17" s="8"/>
      <c r="ORH17" s="8"/>
      <c r="ORI17" s="8"/>
      <c r="ORJ17" s="8"/>
      <c r="ORK17" s="8"/>
      <c r="ORL17" s="8"/>
      <c r="ORM17" s="8"/>
      <c r="ORN17" s="8"/>
      <c r="ORO17" s="8"/>
      <c r="ORP17" s="8"/>
      <c r="ORQ17" s="8"/>
      <c r="ORR17" s="8"/>
      <c r="ORS17" s="8"/>
      <c r="ORT17" s="8"/>
      <c r="ORU17" s="8"/>
      <c r="ORV17" s="8"/>
      <c r="ORW17" s="8"/>
      <c r="ORX17" s="8"/>
      <c r="ORY17" s="8"/>
      <c r="ORZ17" s="8"/>
      <c r="OSA17" s="8"/>
      <c r="OSB17" s="8"/>
      <c r="OSC17" s="8"/>
      <c r="OSD17" s="8"/>
      <c r="OSE17" s="8"/>
      <c r="OSF17" s="8"/>
      <c r="OSG17" s="8"/>
      <c r="OSH17" s="8"/>
      <c r="OSI17" s="8"/>
      <c r="OSJ17" s="8"/>
      <c r="OSK17" s="8"/>
      <c r="OSL17" s="8"/>
      <c r="OSM17" s="8"/>
      <c r="OSN17" s="8"/>
      <c r="OSO17" s="8"/>
      <c r="OSP17" s="8"/>
      <c r="OSQ17" s="8"/>
      <c r="OSR17" s="8"/>
      <c r="OSS17" s="8"/>
      <c r="OST17" s="8"/>
      <c r="OSU17" s="8"/>
      <c r="OSV17" s="8"/>
      <c r="OSW17" s="8"/>
      <c r="OSX17" s="8"/>
      <c r="OSY17" s="8"/>
      <c r="OSZ17" s="8"/>
      <c r="OTA17" s="8"/>
      <c r="OTB17" s="8"/>
      <c r="OTC17" s="8"/>
      <c r="OTD17" s="8"/>
      <c r="OTE17" s="8"/>
      <c r="OTF17" s="8"/>
      <c r="OTG17" s="8"/>
      <c r="OTH17" s="8"/>
      <c r="OTI17" s="8"/>
      <c r="OTJ17" s="8"/>
      <c r="OTK17" s="8"/>
      <c r="OTL17" s="8"/>
      <c r="OTM17" s="8"/>
      <c r="OTN17" s="8"/>
      <c r="OTO17" s="8"/>
      <c r="OTP17" s="8"/>
      <c r="OTQ17" s="8"/>
      <c r="OTR17" s="8"/>
      <c r="OTS17" s="8"/>
      <c r="OTT17" s="8"/>
      <c r="OTU17" s="8"/>
      <c r="OTV17" s="8"/>
      <c r="OTW17" s="8"/>
      <c r="OTX17" s="8"/>
      <c r="OTY17" s="8"/>
      <c r="OTZ17" s="8"/>
      <c r="OUA17" s="8"/>
      <c r="OUB17" s="8"/>
      <c r="OUC17" s="8"/>
      <c r="OUD17" s="8"/>
      <c r="OUE17" s="8"/>
      <c r="OUF17" s="8"/>
      <c r="OUG17" s="8"/>
      <c r="OUH17" s="8"/>
      <c r="OUI17" s="8"/>
      <c r="OUJ17" s="8"/>
      <c r="OUK17" s="8"/>
      <c r="OUL17" s="8"/>
      <c r="OUM17" s="8"/>
      <c r="OUN17" s="8"/>
      <c r="OUO17" s="8"/>
      <c r="OUP17" s="8"/>
      <c r="OUQ17" s="8"/>
      <c r="OUR17" s="8"/>
      <c r="OUS17" s="8"/>
      <c r="OUT17" s="8"/>
      <c r="OUU17" s="8"/>
      <c r="OUV17" s="8"/>
      <c r="OUW17" s="8"/>
      <c r="OUX17" s="8"/>
      <c r="OUY17" s="8"/>
      <c r="OUZ17" s="8"/>
      <c r="OVA17" s="8"/>
      <c r="OVB17" s="8"/>
      <c r="OVC17" s="8"/>
      <c r="OVD17" s="8"/>
      <c r="OVE17" s="8"/>
      <c r="OVF17" s="8"/>
      <c r="OVG17" s="8"/>
      <c r="OVH17" s="8"/>
      <c r="OVI17" s="8"/>
      <c r="OVJ17" s="8"/>
      <c r="OVK17" s="8"/>
      <c r="OVL17" s="8"/>
      <c r="OVM17" s="8"/>
      <c r="OVN17" s="8"/>
      <c r="OVO17" s="8"/>
      <c r="OVP17" s="8"/>
      <c r="OVQ17" s="8"/>
      <c r="OVR17" s="8"/>
      <c r="OVS17" s="8"/>
      <c r="OVT17" s="8"/>
      <c r="OVU17" s="8"/>
      <c r="OVV17" s="8"/>
      <c r="OVW17" s="8"/>
      <c r="OVX17" s="8"/>
      <c r="OVY17" s="8"/>
      <c r="OVZ17" s="8"/>
      <c r="OWA17" s="8"/>
      <c r="OWB17" s="8"/>
      <c r="OWC17" s="8"/>
      <c r="OWD17" s="8"/>
      <c r="OWE17" s="8"/>
      <c r="OWF17" s="8"/>
      <c r="OWG17" s="8"/>
      <c r="OWH17" s="8"/>
      <c r="OWI17" s="8"/>
      <c r="OWJ17" s="8"/>
      <c r="OWK17" s="8"/>
      <c r="OWL17" s="8"/>
      <c r="OWM17" s="8"/>
      <c r="OWN17" s="8"/>
      <c r="OWO17" s="8"/>
      <c r="OWP17" s="8"/>
      <c r="OWQ17" s="8"/>
      <c r="OWR17" s="8"/>
      <c r="OWS17" s="8"/>
      <c r="OWT17" s="8"/>
      <c r="OWU17" s="8"/>
      <c r="OWV17" s="8"/>
      <c r="OWW17" s="8"/>
      <c r="OWX17" s="8"/>
      <c r="OWY17" s="8"/>
      <c r="OWZ17" s="8"/>
      <c r="OXA17" s="8"/>
      <c r="OXB17" s="8"/>
      <c r="OXC17" s="8"/>
      <c r="OXD17" s="8"/>
      <c r="OXE17" s="8"/>
      <c r="OXF17" s="8"/>
      <c r="OXG17" s="8"/>
      <c r="OXH17" s="8"/>
      <c r="OXI17" s="8"/>
      <c r="OXJ17" s="8"/>
      <c r="OXK17" s="8"/>
      <c r="OXL17" s="8"/>
      <c r="OXM17" s="8"/>
      <c r="OXN17" s="8"/>
      <c r="OXO17" s="8"/>
      <c r="OXP17" s="8"/>
      <c r="OXQ17" s="8"/>
      <c r="OXR17" s="8"/>
      <c r="OXS17" s="8"/>
      <c r="OXT17" s="8"/>
      <c r="OXU17" s="8"/>
      <c r="OXV17" s="8"/>
      <c r="OXW17" s="8"/>
      <c r="OXX17" s="8"/>
      <c r="OXY17" s="8"/>
      <c r="OXZ17" s="8"/>
      <c r="OYA17" s="8"/>
      <c r="OYB17" s="8"/>
      <c r="OYC17" s="8"/>
      <c r="OYD17" s="8"/>
      <c r="OYE17" s="8"/>
      <c r="OYF17" s="8"/>
      <c r="OYG17" s="8"/>
      <c r="OYH17" s="8"/>
      <c r="OYI17" s="8"/>
      <c r="OYJ17" s="8"/>
      <c r="OYK17" s="8"/>
      <c r="OYL17" s="8"/>
      <c r="OYM17" s="8"/>
      <c r="OYN17" s="8"/>
      <c r="OYO17" s="8"/>
      <c r="OYP17" s="8"/>
      <c r="OYQ17" s="8"/>
      <c r="OYR17" s="8"/>
      <c r="OYS17" s="8"/>
      <c r="OYT17" s="8"/>
      <c r="OYU17" s="8"/>
      <c r="OYV17" s="8"/>
      <c r="OYW17" s="8"/>
      <c r="OYX17" s="8"/>
      <c r="OYY17" s="8"/>
      <c r="OYZ17" s="8"/>
      <c r="OZA17" s="8"/>
      <c r="OZB17" s="8"/>
      <c r="OZC17" s="8"/>
      <c r="OZD17" s="8"/>
      <c r="OZE17" s="8"/>
      <c r="OZF17" s="8"/>
      <c r="OZG17" s="8"/>
      <c r="OZH17" s="8"/>
      <c r="OZI17" s="8"/>
      <c r="OZJ17" s="8"/>
      <c r="OZK17" s="8"/>
      <c r="OZL17" s="8"/>
      <c r="OZM17" s="8"/>
      <c r="OZN17" s="8"/>
      <c r="OZO17" s="8"/>
      <c r="OZP17" s="8"/>
      <c r="OZQ17" s="8"/>
      <c r="OZR17" s="8"/>
      <c r="OZS17" s="8"/>
      <c r="OZT17" s="8"/>
      <c r="OZU17" s="8"/>
      <c r="OZV17" s="8"/>
      <c r="OZW17" s="8"/>
      <c r="OZX17" s="8"/>
      <c r="OZY17" s="8"/>
      <c r="OZZ17" s="8"/>
      <c r="PAA17" s="8"/>
      <c r="PAB17" s="8"/>
      <c r="PAC17" s="8"/>
      <c r="PAD17" s="8"/>
      <c r="PAE17" s="8"/>
      <c r="PAF17" s="8"/>
      <c r="PAG17" s="8"/>
      <c r="PAH17" s="8"/>
      <c r="PAI17" s="8"/>
      <c r="PAJ17" s="8"/>
      <c r="PAK17" s="8"/>
      <c r="PAL17" s="8"/>
      <c r="PAM17" s="8"/>
      <c r="PAN17" s="8"/>
      <c r="PAO17" s="8"/>
      <c r="PAP17" s="8"/>
      <c r="PAQ17" s="8"/>
      <c r="PAR17" s="8"/>
      <c r="PAS17" s="8"/>
      <c r="PAT17" s="8"/>
      <c r="PAU17" s="8"/>
      <c r="PAV17" s="8"/>
      <c r="PAW17" s="8"/>
      <c r="PAX17" s="8"/>
      <c r="PAY17" s="8"/>
      <c r="PAZ17" s="8"/>
      <c r="PBA17" s="8"/>
      <c r="PBB17" s="8"/>
      <c r="PBC17" s="8"/>
      <c r="PBD17" s="8"/>
      <c r="PBE17" s="8"/>
      <c r="PBF17" s="8"/>
      <c r="PBG17" s="8"/>
      <c r="PBH17" s="8"/>
      <c r="PBI17" s="8"/>
      <c r="PBJ17" s="8"/>
      <c r="PBK17" s="8"/>
      <c r="PBL17" s="8"/>
      <c r="PBM17" s="8"/>
      <c r="PBN17" s="8"/>
      <c r="PBO17" s="8"/>
      <c r="PBP17" s="8"/>
      <c r="PBQ17" s="8"/>
      <c r="PBR17" s="8"/>
      <c r="PBS17" s="8"/>
      <c r="PBT17" s="8"/>
      <c r="PBU17" s="8"/>
      <c r="PBV17" s="8"/>
      <c r="PBW17" s="8"/>
      <c r="PBX17" s="8"/>
      <c r="PBY17" s="8"/>
      <c r="PBZ17" s="8"/>
      <c r="PCA17" s="8"/>
      <c r="PCB17" s="8"/>
      <c r="PCC17" s="8"/>
      <c r="PCD17" s="8"/>
      <c r="PCE17" s="8"/>
      <c r="PCF17" s="8"/>
      <c r="PCG17" s="8"/>
      <c r="PCH17" s="8"/>
      <c r="PCI17" s="8"/>
      <c r="PCJ17" s="8"/>
      <c r="PCK17" s="8"/>
      <c r="PCL17" s="8"/>
      <c r="PCM17" s="8"/>
      <c r="PCN17" s="8"/>
      <c r="PCO17" s="8"/>
      <c r="PCP17" s="8"/>
      <c r="PCQ17" s="8"/>
      <c r="PCR17" s="8"/>
      <c r="PCS17" s="8"/>
      <c r="PCT17" s="8"/>
      <c r="PCU17" s="8"/>
      <c r="PCV17" s="8"/>
      <c r="PCW17" s="8"/>
      <c r="PCX17" s="8"/>
      <c r="PCY17" s="8"/>
      <c r="PCZ17" s="8"/>
      <c r="PDA17" s="8"/>
      <c r="PDB17" s="8"/>
      <c r="PDC17" s="8"/>
      <c r="PDD17" s="8"/>
      <c r="PDE17" s="8"/>
      <c r="PDF17" s="8"/>
      <c r="PDG17" s="8"/>
      <c r="PDH17" s="8"/>
      <c r="PDI17" s="8"/>
      <c r="PDJ17" s="8"/>
      <c r="PDK17" s="8"/>
      <c r="PDL17" s="8"/>
      <c r="PDM17" s="8"/>
      <c r="PDN17" s="8"/>
      <c r="PDO17" s="8"/>
      <c r="PDP17" s="8"/>
      <c r="PDQ17" s="8"/>
      <c r="PDR17" s="8"/>
      <c r="PDS17" s="8"/>
      <c r="PDT17" s="8"/>
      <c r="PDU17" s="8"/>
      <c r="PDV17" s="8"/>
      <c r="PDW17" s="8"/>
      <c r="PDX17" s="8"/>
      <c r="PDY17" s="8"/>
      <c r="PDZ17" s="8"/>
      <c r="PEA17" s="8"/>
      <c r="PEB17" s="8"/>
      <c r="PEC17" s="8"/>
      <c r="PED17" s="8"/>
      <c r="PEE17" s="8"/>
      <c r="PEF17" s="8"/>
      <c r="PEG17" s="8"/>
      <c r="PEH17" s="8"/>
      <c r="PEI17" s="8"/>
      <c r="PEJ17" s="8"/>
      <c r="PEK17" s="8"/>
      <c r="PEL17" s="8"/>
      <c r="PEM17" s="8"/>
      <c r="PEN17" s="8"/>
      <c r="PEO17" s="8"/>
      <c r="PEP17" s="8"/>
      <c r="PEQ17" s="8"/>
      <c r="PER17" s="8"/>
      <c r="PES17" s="8"/>
      <c r="PET17" s="8"/>
      <c r="PEU17" s="8"/>
      <c r="PEV17" s="8"/>
      <c r="PEW17" s="8"/>
      <c r="PEX17" s="8"/>
      <c r="PEY17" s="8"/>
      <c r="PEZ17" s="8"/>
      <c r="PFA17" s="8"/>
      <c r="PFB17" s="8"/>
      <c r="PFC17" s="8"/>
      <c r="PFD17" s="8"/>
      <c r="PFE17" s="8"/>
      <c r="PFF17" s="8"/>
      <c r="PFG17" s="8"/>
      <c r="PFH17" s="8"/>
      <c r="PFI17" s="8"/>
      <c r="PFJ17" s="8"/>
      <c r="PFK17" s="8"/>
      <c r="PFL17" s="8"/>
      <c r="PFM17" s="8"/>
      <c r="PFN17" s="8"/>
      <c r="PFO17" s="8"/>
      <c r="PFP17" s="8"/>
      <c r="PFQ17" s="8"/>
      <c r="PFR17" s="8"/>
      <c r="PFS17" s="8"/>
      <c r="PFT17" s="8"/>
      <c r="PFU17" s="8"/>
      <c r="PFV17" s="8"/>
      <c r="PFW17" s="8"/>
      <c r="PFX17" s="8"/>
      <c r="PFY17" s="8"/>
      <c r="PFZ17" s="8"/>
      <c r="PGA17" s="8"/>
      <c r="PGB17" s="8"/>
      <c r="PGC17" s="8"/>
      <c r="PGD17" s="8"/>
      <c r="PGE17" s="8"/>
      <c r="PGF17" s="8"/>
      <c r="PGG17" s="8"/>
      <c r="PGH17" s="8"/>
      <c r="PGI17" s="8"/>
      <c r="PGJ17" s="8"/>
      <c r="PGK17" s="8"/>
      <c r="PGL17" s="8"/>
      <c r="PGM17" s="8"/>
      <c r="PGN17" s="8"/>
      <c r="PGO17" s="8"/>
      <c r="PGP17" s="8"/>
      <c r="PGQ17" s="8"/>
      <c r="PGR17" s="8"/>
      <c r="PGS17" s="8"/>
      <c r="PGT17" s="8"/>
      <c r="PGU17" s="8"/>
      <c r="PGV17" s="8"/>
      <c r="PGW17" s="8"/>
      <c r="PGX17" s="8"/>
      <c r="PGY17" s="8"/>
      <c r="PGZ17" s="8"/>
      <c r="PHA17" s="8"/>
      <c r="PHB17" s="8"/>
      <c r="PHC17" s="8"/>
      <c r="PHD17" s="8"/>
      <c r="PHE17" s="8"/>
      <c r="PHF17" s="8"/>
      <c r="PHG17" s="8"/>
      <c r="PHH17" s="8"/>
      <c r="PHI17" s="8"/>
      <c r="PHJ17" s="8"/>
      <c r="PHK17" s="8"/>
      <c r="PHL17" s="8"/>
      <c r="PHM17" s="8"/>
      <c r="PHN17" s="8"/>
      <c r="PHO17" s="8"/>
      <c r="PHP17" s="8"/>
      <c r="PHQ17" s="8"/>
      <c r="PHR17" s="8"/>
      <c r="PHS17" s="8"/>
      <c r="PHT17" s="8"/>
      <c r="PHU17" s="8"/>
      <c r="PHV17" s="8"/>
      <c r="PHW17" s="8"/>
      <c r="PHX17" s="8"/>
      <c r="PHY17" s="8"/>
      <c r="PHZ17" s="8"/>
      <c r="PIA17" s="8"/>
      <c r="PIB17" s="8"/>
      <c r="PIC17" s="8"/>
      <c r="PID17" s="8"/>
      <c r="PIE17" s="8"/>
      <c r="PIF17" s="8"/>
      <c r="PIG17" s="8"/>
      <c r="PIH17" s="8"/>
      <c r="PII17" s="8"/>
      <c r="PIJ17" s="8"/>
      <c r="PIK17" s="8"/>
      <c r="PIL17" s="8"/>
      <c r="PIM17" s="8"/>
      <c r="PIN17" s="8"/>
      <c r="PIO17" s="8"/>
      <c r="PIP17" s="8"/>
      <c r="PIQ17" s="8"/>
      <c r="PIR17" s="8"/>
      <c r="PIS17" s="8"/>
      <c r="PIT17" s="8"/>
      <c r="PIU17" s="8"/>
      <c r="PIV17" s="8"/>
      <c r="PIW17" s="8"/>
      <c r="PIX17" s="8"/>
      <c r="PIY17" s="8"/>
      <c r="PIZ17" s="8"/>
      <c r="PJA17" s="8"/>
      <c r="PJB17" s="8"/>
      <c r="PJC17" s="8"/>
      <c r="PJD17" s="8"/>
      <c r="PJE17" s="8"/>
      <c r="PJF17" s="8"/>
      <c r="PJG17" s="8"/>
      <c r="PJH17" s="8"/>
      <c r="PJI17" s="8"/>
      <c r="PJJ17" s="8"/>
      <c r="PJK17" s="8"/>
      <c r="PJL17" s="8"/>
      <c r="PJM17" s="8"/>
      <c r="PJN17" s="8"/>
      <c r="PJO17" s="8"/>
      <c r="PJP17" s="8"/>
      <c r="PJQ17" s="8"/>
      <c r="PJR17" s="8"/>
      <c r="PJS17" s="8"/>
      <c r="PJT17" s="8"/>
      <c r="PJU17" s="8"/>
      <c r="PJV17" s="8"/>
      <c r="PJW17" s="8"/>
      <c r="PJX17" s="8"/>
      <c r="PJY17" s="8"/>
      <c r="PJZ17" s="8"/>
      <c r="PKA17" s="8"/>
      <c r="PKB17" s="8"/>
      <c r="PKC17" s="8"/>
      <c r="PKD17" s="8"/>
      <c r="PKE17" s="8"/>
      <c r="PKF17" s="8"/>
      <c r="PKG17" s="8"/>
      <c r="PKH17" s="8"/>
      <c r="PKI17" s="8"/>
      <c r="PKJ17" s="8"/>
      <c r="PKK17" s="8"/>
      <c r="PKL17" s="8"/>
      <c r="PKM17" s="8"/>
      <c r="PKN17" s="8"/>
      <c r="PKO17" s="8"/>
      <c r="PKP17" s="8"/>
      <c r="PKQ17" s="8"/>
      <c r="PKR17" s="8"/>
      <c r="PKS17" s="8"/>
      <c r="PKT17" s="8"/>
      <c r="PKU17" s="8"/>
      <c r="PKV17" s="8"/>
      <c r="PKW17" s="8"/>
      <c r="PKX17" s="8"/>
      <c r="PKY17" s="8"/>
      <c r="PKZ17" s="8"/>
      <c r="PLA17" s="8"/>
      <c r="PLB17" s="8"/>
      <c r="PLC17" s="8"/>
      <c r="PLD17" s="8"/>
      <c r="PLE17" s="8"/>
      <c r="PLF17" s="8"/>
      <c r="PLG17" s="8"/>
      <c r="PLH17" s="8"/>
      <c r="PLI17" s="8"/>
      <c r="PLJ17" s="8"/>
      <c r="PLK17" s="8"/>
      <c r="PLL17" s="8"/>
      <c r="PLM17" s="8"/>
      <c r="PLN17" s="8"/>
      <c r="PLO17" s="8"/>
      <c r="PLP17" s="8"/>
      <c r="PLQ17" s="8"/>
      <c r="PLR17" s="8"/>
      <c r="PLS17" s="8"/>
      <c r="PLT17" s="8"/>
      <c r="PLU17" s="8"/>
      <c r="PLV17" s="8"/>
      <c r="PLW17" s="8"/>
      <c r="PLX17" s="8"/>
      <c r="PLY17" s="8"/>
      <c r="PLZ17" s="8"/>
      <c r="PMA17" s="8"/>
      <c r="PMB17" s="8"/>
      <c r="PMC17" s="8"/>
      <c r="PMD17" s="8"/>
      <c r="PME17" s="8"/>
      <c r="PMF17" s="8"/>
      <c r="PMG17" s="8"/>
      <c r="PMH17" s="8"/>
      <c r="PMI17" s="8"/>
      <c r="PMJ17" s="8"/>
      <c r="PMK17" s="8"/>
      <c r="PML17" s="8"/>
      <c r="PMM17" s="8"/>
      <c r="PMN17" s="8"/>
      <c r="PMO17" s="8"/>
      <c r="PMP17" s="8"/>
      <c r="PMQ17" s="8"/>
      <c r="PMR17" s="8"/>
      <c r="PMS17" s="8"/>
      <c r="PMT17" s="8"/>
      <c r="PMU17" s="8"/>
      <c r="PMV17" s="8"/>
      <c r="PMW17" s="8"/>
      <c r="PMX17" s="8"/>
      <c r="PMY17" s="8"/>
      <c r="PMZ17" s="8"/>
      <c r="PNA17" s="8"/>
      <c r="PNB17" s="8"/>
      <c r="PNC17" s="8"/>
      <c r="PND17" s="8"/>
      <c r="PNE17" s="8"/>
      <c r="PNF17" s="8"/>
      <c r="PNG17" s="8"/>
      <c r="PNH17" s="8"/>
      <c r="PNI17" s="8"/>
      <c r="PNJ17" s="8"/>
      <c r="PNK17" s="8"/>
      <c r="PNL17" s="8"/>
      <c r="PNM17" s="8"/>
      <c r="PNN17" s="8"/>
      <c r="PNO17" s="8"/>
      <c r="PNP17" s="8"/>
      <c r="PNQ17" s="8"/>
      <c r="PNR17" s="8"/>
      <c r="PNS17" s="8"/>
      <c r="PNT17" s="8"/>
      <c r="PNU17" s="8"/>
      <c r="PNV17" s="8"/>
      <c r="PNW17" s="8"/>
      <c r="PNX17" s="8"/>
      <c r="PNY17" s="8"/>
      <c r="PNZ17" s="8"/>
      <c r="POA17" s="8"/>
      <c r="POB17" s="8"/>
      <c r="POC17" s="8"/>
      <c r="POD17" s="8"/>
      <c r="POE17" s="8"/>
      <c r="POF17" s="8"/>
      <c r="POG17" s="8"/>
      <c r="POH17" s="8"/>
      <c r="POI17" s="8"/>
      <c r="POJ17" s="8"/>
      <c r="POK17" s="8"/>
      <c r="POL17" s="8"/>
      <c r="POM17" s="8"/>
      <c r="PON17" s="8"/>
      <c r="POO17" s="8"/>
      <c r="POP17" s="8"/>
      <c r="POQ17" s="8"/>
      <c r="POR17" s="8"/>
      <c r="POS17" s="8"/>
      <c r="POT17" s="8"/>
      <c r="POU17" s="8"/>
      <c r="POV17" s="8"/>
      <c r="POW17" s="8"/>
      <c r="POX17" s="8"/>
      <c r="POY17" s="8"/>
      <c r="POZ17" s="8"/>
      <c r="PPA17" s="8"/>
      <c r="PPB17" s="8"/>
      <c r="PPC17" s="8"/>
      <c r="PPD17" s="8"/>
      <c r="PPE17" s="8"/>
      <c r="PPF17" s="8"/>
      <c r="PPG17" s="8"/>
      <c r="PPH17" s="8"/>
      <c r="PPI17" s="8"/>
      <c r="PPJ17" s="8"/>
      <c r="PPK17" s="8"/>
      <c r="PPL17" s="8"/>
      <c r="PPM17" s="8"/>
      <c r="PPN17" s="8"/>
      <c r="PPO17" s="8"/>
      <c r="PPP17" s="8"/>
      <c r="PPQ17" s="8"/>
      <c r="PPR17" s="8"/>
      <c r="PPS17" s="8"/>
      <c r="PPT17" s="8"/>
      <c r="PPU17" s="8"/>
      <c r="PPV17" s="8"/>
      <c r="PPW17" s="8"/>
      <c r="PPX17" s="8"/>
      <c r="PPY17" s="8"/>
      <c r="PPZ17" s="8"/>
      <c r="PQA17" s="8"/>
      <c r="PQB17" s="8"/>
      <c r="PQC17" s="8"/>
      <c r="PQD17" s="8"/>
      <c r="PQE17" s="8"/>
      <c r="PQF17" s="8"/>
      <c r="PQG17" s="8"/>
      <c r="PQH17" s="8"/>
      <c r="PQI17" s="8"/>
      <c r="PQJ17" s="8"/>
      <c r="PQK17" s="8"/>
      <c r="PQL17" s="8"/>
      <c r="PQM17" s="8"/>
      <c r="PQN17" s="8"/>
      <c r="PQO17" s="8"/>
      <c r="PQP17" s="8"/>
      <c r="PQQ17" s="8"/>
      <c r="PQR17" s="8"/>
      <c r="PQS17" s="8"/>
      <c r="PQT17" s="8"/>
      <c r="PQU17" s="8"/>
      <c r="PQV17" s="8"/>
      <c r="PQW17" s="8"/>
      <c r="PQX17" s="8"/>
      <c r="PQY17" s="8"/>
      <c r="PQZ17" s="8"/>
      <c r="PRA17" s="8"/>
      <c r="PRB17" s="8"/>
      <c r="PRC17" s="8"/>
      <c r="PRD17" s="8"/>
      <c r="PRE17" s="8"/>
      <c r="PRF17" s="8"/>
      <c r="PRG17" s="8"/>
      <c r="PRH17" s="8"/>
      <c r="PRI17" s="8"/>
      <c r="PRJ17" s="8"/>
      <c r="PRK17" s="8"/>
      <c r="PRL17" s="8"/>
      <c r="PRM17" s="8"/>
      <c r="PRN17" s="8"/>
      <c r="PRO17" s="8"/>
      <c r="PRP17" s="8"/>
      <c r="PRQ17" s="8"/>
      <c r="PRR17" s="8"/>
      <c r="PRS17" s="8"/>
      <c r="PRT17" s="8"/>
      <c r="PRU17" s="8"/>
      <c r="PRV17" s="8"/>
      <c r="PRW17" s="8"/>
      <c r="PRX17" s="8"/>
      <c r="PRY17" s="8"/>
      <c r="PRZ17" s="8"/>
      <c r="PSA17" s="8"/>
      <c r="PSB17" s="8"/>
      <c r="PSC17" s="8"/>
      <c r="PSD17" s="8"/>
      <c r="PSE17" s="8"/>
      <c r="PSF17" s="8"/>
      <c r="PSG17" s="8"/>
      <c r="PSH17" s="8"/>
      <c r="PSI17" s="8"/>
      <c r="PSJ17" s="8"/>
      <c r="PSK17" s="8"/>
      <c r="PSL17" s="8"/>
      <c r="PSM17" s="8"/>
      <c r="PSN17" s="8"/>
      <c r="PSO17" s="8"/>
      <c r="PSP17" s="8"/>
      <c r="PSQ17" s="8"/>
      <c r="PSR17" s="8"/>
      <c r="PSS17" s="8"/>
      <c r="PST17" s="8"/>
      <c r="PSU17" s="8"/>
      <c r="PSV17" s="8"/>
      <c r="PSW17" s="8"/>
      <c r="PSX17" s="8"/>
      <c r="PSY17" s="8"/>
      <c r="PSZ17" s="8"/>
      <c r="PTA17" s="8"/>
      <c r="PTB17" s="8"/>
      <c r="PTC17" s="8"/>
      <c r="PTD17" s="8"/>
      <c r="PTE17" s="8"/>
      <c r="PTF17" s="8"/>
      <c r="PTG17" s="8"/>
      <c r="PTH17" s="8"/>
      <c r="PTI17" s="8"/>
      <c r="PTJ17" s="8"/>
      <c r="PTK17" s="8"/>
      <c r="PTL17" s="8"/>
      <c r="PTM17" s="8"/>
      <c r="PTN17" s="8"/>
      <c r="PTO17" s="8"/>
      <c r="PTP17" s="8"/>
      <c r="PTQ17" s="8"/>
      <c r="PTR17" s="8"/>
      <c r="PTS17" s="8"/>
      <c r="PTT17" s="8"/>
      <c r="PTU17" s="8"/>
      <c r="PTV17" s="8"/>
      <c r="PTW17" s="8"/>
      <c r="PTX17" s="8"/>
      <c r="PTY17" s="8"/>
      <c r="PTZ17" s="8"/>
      <c r="PUA17" s="8"/>
      <c r="PUB17" s="8"/>
      <c r="PUC17" s="8"/>
      <c r="PUD17" s="8"/>
      <c r="PUE17" s="8"/>
      <c r="PUF17" s="8"/>
      <c r="PUG17" s="8"/>
      <c r="PUH17" s="8"/>
      <c r="PUI17" s="8"/>
      <c r="PUJ17" s="8"/>
      <c r="PUK17" s="8"/>
      <c r="PUL17" s="8"/>
      <c r="PUM17" s="8"/>
      <c r="PUN17" s="8"/>
      <c r="PUO17" s="8"/>
      <c r="PUP17" s="8"/>
      <c r="PUQ17" s="8"/>
      <c r="PUR17" s="8"/>
      <c r="PUS17" s="8"/>
      <c r="PUT17" s="8"/>
      <c r="PUU17" s="8"/>
      <c r="PUV17" s="8"/>
      <c r="PUW17" s="8"/>
      <c r="PUX17" s="8"/>
      <c r="PUY17" s="8"/>
      <c r="PUZ17" s="8"/>
      <c r="PVA17" s="8"/>
      <c r="PVB17" s="8"/>
      <c r="PVC17" s="8"/>
      <c r="PVD17" s="8"/>
      <c r="PVE17" s="8"/>
      <c r="PVF17" s="8"/>
      <c r="PVG17" s="8"/>
      <c r="PVH17" s="8"/>
      <c r="PVI17" s="8"/>
      <c r="PVJ17" s="8"/>
      <c r="PVK17" s="8"/>
      <c r="PVL17" s="8"/>
      <c r="PVM17" s="8"/>
      <c r="PVN17" s="8"/>
      <c r="PVO17" s="8"/>
      <c r="PVP17" s="8"/>
      <c r="PVQ17" s="8"/>
      <c r="PVR17" s="8"/>
      <c r="PVS17" s="8"/>
      <c r="PVT17" s="8"/>
      <c r="PVU17" s="8"/>
      <c r="PVV17" s="8"/>
      <c r="PVW17" s="8"/>
      <c r="PVX17" s="8"/>
      <c r="PVY17" s="8"/>
      <c r="PVZ17" s="8"/>
      <c r="PWA17" s="8"/>
      <c r="PWB17" s="8"/>
      <c r="PWC17" s="8"/>
      <c r="PWD17" s="8"/>
      <c r="PWE17" s="8"/>
      <c r="PWF17" s="8"/>
      <c r="PWG17" s="8"/>
      <c r="PWH17" s="8"/>
      <c r="PWI17" s="8"/>
      <c r="PWJ17" s="8"/>
      <c r="PWK17" s="8"/>
      <c r="PWL17" s="8"/>
      <c r="PWM17" s="8"/>
      <c r="PWN17" s="8"/>
      <c r="PWO17" s="8"/>
      <c r="PWP17" s="8"/>
      <c r="PWQ17" s="8"/>
      <c r="PWR17" s="8"/>
      <c r="PWS17" s="8"/>
      <c r="PWT17" s="8"/>
      <c r="PWU17" s="8"/>
      <c r="PWV17" s="8"/>
      <c r="PWW17" s="8"/>
      <c r="PWX17" s="8"/>
      <c r="PWY17" s="8"/>
      <c r="PWZ17" s="8"/>
      <c r="PXA17" s="8"/>
      <c r="PXB17" s="8"/>
      <c r="PXC17" s="8"/>
      <c r="PXD17" s="8"/>
      <c r="PXE17" s="8"/>
      <c r="PXF17" s="8"/>
      <c r="PXG17" s="8"/>
      <c r="PXH17" s="8"/>
      <c r="PXI17" s="8"/>
      <c r="PXJ17" s="8"/>
      <c r="PXK17" s="8"/>
      <c r="PXL17" s="8"/>
      <c r="PXM17" s="8"/>
      <c r="PXN17" s="8"/>
      <c r="PXO17" s="8"/>
      <c r="PXP17" s="8"/>
      <c r="PXQ17" s="8"/>
      <c r="PXR17" s="8"/>
      <c r="PXS17" s="8"/>
      <c r="PXT17" s="8"/>
      <c r="PXU17" s="8"/>
      <c r="PXV17" s="8"/>
      <c r="PXW17" s="8"/>
      <c r="PXX17" s="8"/>
      <c r="PXY17" s="8"/>
      <c r="PXZ17" s="8"/>
      <c r="PYA17" s="8"/>
      <c r="PYB17" s="8"/>
      <c r="PYC17" s="8"/>
      <c r="PYD17" s="8"/>
      <c r="PYE17" s="8"/>
      <c r="PYF17" s="8"/>
      <c r="PYG17" s="8"/>
      <c r="PYH17" s="8"/>
      <c r="PYI17" s="8"/>
      <c r="PYJ17" s="8"/>
      <c r="PYK17" s="8"/>
      <c r="PYL17" s="8"/>
      <c r="PYM17" s="8"/>
      <c r="PYN17" s="8"/>
      <c r="PYO17" s="8"/>
      <c r="PYP17" s="8"/>
      <c r="PYQ17" s="8"/>
      <c r="PYR17" s="8"/>
      <c r="PYS17" s="8"/>
      <c r="PYT17" s="8"/>
      <c r="PYU17" s="8"/>
      <c r="PYV17" s="8"/>
      <c r="PYW17" s="8"/>
      <c r="PYX17" s="8"/>
      <c r="PYY17" s="8"/>
      <c r="PYZ17" s="8"/>
      <c r="PZA17" s="8"/>
      <c r="PZB17" s="8"/>
      <c r="PZC17" s="8"/>
      <c r="PZD17" s="8"/>
      <c r="PZE17" s="8"/>
      <c r="PZF17" s="8"/>
      <c r="PZG17" s="8"/>
      <c r="PZH17" s="8"/>
      <c r="PZI17" s="8"/>
      <c r="PZJ17" s="8"/>
      <c r="PZK17" s="8"/>
      <c r="PZL17" s="8"/>
      <c r="PZM17" s="8"/>
      <c r="PZN17" s="8"/>
      <c r="PZO17" s="8"/>
      <c r="PZP17" s="8"/>
      <c r="PZQ17" s="8"/>
      <c r="PZR17" s="8"/>
      <c r="PZS17" s="8"/>
      <c r="PZT17" s="8"/>
      <c r="PZU17" s="8"/>
      <c r="PZV17" s="8"/>
      <c r="PZW17" s="8"/>
      <c r="PZX17" s="8"/>
      <c r="PZY17" s="8"/>
      <c r="PZZ17" s="8"/>
      <c r="QAA17" s="8"/>
      <c r="QAB17" s="8"/>
      <c r="QAC17" s="8"/>
      <c r="QAD17" s="8"/>
      <c r="QAE17" s="8"/>
      <c r="QAF17" s="8"/>
      <c r="QAG17" s="8"/>
      <c r="QAH17" s="8"/>
      <c r="QAI17" s="8"/>
      <c r="QAJ17" s="8"/>
      <c r="QAK17" s="8"/>
      <c r="QAL17" s="8"/>
      <c r="QAM17" s="8"/>
      <c r="QAN17" s="8"/>
      <c r="QAO17" s="8"/>
      <c r="QAP17" s="8"/>
      <c r="QAQ17" s="8"/>
      <c r="QAR17" s="8"/>
      <c r="QAS17" s="8"/>
      <c r="QAT17" s="8"/>
      <c r="QAU17" s="8"/>
      <c r="QAV17" s="8"/>
      <c r="QAW17" s="8"/>
      <c r="QAX17" s="8"/>
      <c r="QAY17" s="8"/>
      <c r="QAZ17" s="8"/>
      <c r="QBA17" s="8"/>
      <c r="QBB17" s="8"/>
      <c r="QBC17" s="8"/>
      <c r="QBD17" s="8"/>
      <c r="QBE17" s="8"/>
      <c r="QBF17" s="8"/>
      <c r="QBG17" s="8"/>
      <c r="QBH17" s="8"/>
      <c r="QBI17" s="8"/>
      <c r="QBJ17" s="8"/>
      <c r="QBK17" s="8"/>
      <c r="QBL17" s="8"/>
      <c r="QBM17" s="8"/>
      <c r="QBN17" s="8"/>
      <c r="QBO17" s="8"/>
      <c r="QBP17" s="8"/>
      <c r="QBQ17" s="8"/>
      <c r="QBR17" s="8"/>
      <c r="QBS17" s="8"/>
      <c r="QBT17" s="8"/>
      <c r="QBU17" s="8"/>
      <c r="QBV17" s="8"/>
      <c r="QBW17" s="8"/>
      <c r="QBX17" s="8"/>
      <c r="QBY17" s="8"/>
      <c r="QBZ17" s="8"/>
      <c r="QCA17" s="8"/>
      <c r="QCB17" s="8"/>
      <c r="QCC17" s="8"/>
      <c r="QCD17" s="8"/>
      <c r="QCE17" s="8"/>
      <c r="QCF17" s="8"/>
      <c r="QCG17" s="8"/>
      <c r="QCH17" s="8"/>
      <c r="QCI17" s="8"/>
      <c r="QCJ17" s="8"/>
      <c r="QCK17" s="8"/>
      <c r="QCL17" s="8"/>
      <c r="QCM17" s="8"/>
      <c r="QCN17" s="8"/>
      <c r="QCO17" s="8"/>
      <c r="QCP17" s="8"/>
      <c r="QCQ17" s="8"/>
      <c r="QCR17" s="8"/>
      <c r="QCS17" s="8"/>
      <c r="QCT17" s="8"/>
      <c r="QCU17" s="8"/>
      <c r="QCV17" s="8"/>
      <c r="QCW17" s="8"/>
      <c r="QCX17" s="8"/>
      <c r="QCY17" s="8"/>
      <c r="QCZ17" s="8"/>
      <c r="QDA17" s="8"/>
      <c r="QDB17" s="8"/>
      <c r="QDC17" s="8"/>
      <c r="QDD17" s="8"/>
      <c r="QDE17" s="8"/>
      <c r="QDF17" s="8"/>
      <c r="QDG17" s="8"/>
      <c r="QDH17" s="8"/>
      <c r="QDI17" s="8"/>
      <c r="QDJ17" s="8"/>
      <c r="QDK17" s="8"/>
      <c r="QDL17" s="8"/>
      <c r="QDM17" s="8"/>
      <c r="QDN17" s="8"/>
      <c r="QDO17" s="8"/>
      <c r="QDP17" s="8"/>
      <c r="QDQ17" s="8"/>
      <c r="QDR17" s="8"/>
      <c r="QDS17" s="8"/>
      <c r="QDT17" s="8"/>
      <c r="QDU17" s="8"/>
      <c r="QDV17" s="8"/>
      <c r="QDW17" s="8"/>
      <c r="QDX17" s="8"/>
      <c r="QDY17" s="8"/>
      <c r="QDZ17" s="8"/>
      <c r="QEA17" s="8"/>
      <c r="QEB17" s="8"/>
      <c r="QEC17" s="8"/>
      <c r="QED17" s="8"/>
      <c r="QEE17" s="8"/>
      <c r="QEF17" s="8"/>
      <c r="QEG17" s="8"/>
      <c r="QEH17" s="8"/>
      <c r="QEI17" s="8"/>
      <c r="QEJ17" s="8"/>
      <c r="QEK17" s="8"/>
      <c r="QEL17" s="8"/>
      <c r="QEM17" s="8"/>
      <c r="QEN17" s="8"/>
      <c r="QEO17" s="8"/>
      <c r="QEP17" s="8"/>
      <c r="QEQ17" s="8"/>
      <c r="QER17" s="8"/>
      <c r="QES17" s="8"/>
      <c r="QET17" s="8"/>
      <c r="QEU17" s="8"/>
      <c r="QEV17" s="8"/>
      <c r="QEW17" s="8"/>
      <c r="QEX17" s="8"/>
      <c r="QEY17" s="8"/>
      <c r="QEZ17" s="8"/>
      <c r="QFA17" s="8"/>
      <c r="QFB17" s="8"/>
      <c r="QFC17" s="8"/>
      <c r="QFD17" s="8"/>
      <c r="QFE17" s="8"/>
      <c r="QFF17" s="8"/>
      <c r="QFG17" s="8"/>
      <c r="QFH17" s="8"/>
      <c r="QFI17" s="8"/>
      <c r="QFJ17" s="8"/>
      <c r="QFK17" s="8"/>
      <c r="QFL17" s="8"/>
      <c r="QFM17" s="8"/>
      <c r="QFN17" s="8"/>
      <c r="QFO17" s="8"/>
      <c r="QFP17" s="8"/>
      <c r="QFQ17" s="8"/>
      <c r="QFR17" s="8"/>
      <c r="QFS17" s="8"/>
      <c r="QFT17" s="8"/>
      <c r="QFU17" s="8"/>
      <c r="QFV17" s="8"/>
      <c r="QFW17" s="8"/>
      <c r="QFX17" s="8"/>
      <c r="QFY17" s="8"/>
      <c r="QFZ17" s="8"/>
      <c r="QGA17" s="8"/>
      <c r="QGB17" s="8"/>
      <c r="QGC17" s="8"/>
      <c r="QGD17" s="8"/>
      <c r="QGE17" s="8"/>
      <c r="QGF17" s="8"/>
      <c r="QGG17" s="8"/>
      <c r="QGH17" s="8"/>
      <c r="QGI17" s="8"/>
      <c r="QGJ17" s="8"/>
      <c r="QGK17" s="8"/>
      <c r="QGL17" s="8"/>
      <c r="QGM17" s="8"/>
      <c r="QGN17" s="8"/>
      <c r="QGO17" s="8"/>
      <c r="QGP17" s="8"/>
      <c r="QGQ17" s="8"/>
      <c r="QGR17" s="8"/>
      <c r="QGS17" s="8"/>
      <c r="QGT17" s="8"/>
      <c r="QGU17" s="8"/>
      <c r="QGV17" s="8"/>
      <c r="QGW17" s="8"/>
      <c r="QGX17" s="8"/>
      <c r="QGY17" s="8"/>
      <c r="QGZ17" s="8"/>
      <c r="QHA17" s="8"/>
      <c r="QHB17" s="8"/>
      <c r="QHC17" s="8"/>
      <c r="QHD17" s="8"/>
      <c r="QHE17" s="8"/>
      <c r="QHF17" s="8"/>
      <c r="QHG17" s="8"/>
      <c r="QHH17" s="8"/>
      <c r="QHI17" s="8"/>
      <c r="QHJ17" s="8"/>
      <c r="QHK17" s="8"/>
      <c r="QHL17" s="8"/>
      <c r="QHM17" s="8"/>
      <c r="QHN17" s="8"/>
      <c r="QHO17" s="8"/>
      <c r="QHP17" s="8"/>
      <c r="QHQ17" s="8"/>
      <c r="QHR17" s="8"/>
      <c r="QHS17" s="8"/>
      <c r="QHT17" s="8"/>
      <c r="QHU17" s="8"/>
      <c r="QHV17" s="8"/>
      <c r="QHW17" s="8"/>
      <c r="QHX17" s="8"/>
      <c r="QHY17" s="8"/>
      <c r="QHZ17" s="8"/>
      <c r="QIA17" s="8"/>
      <c r="QIB17" s="8"/>
      <c r="QIC17" s="8"/>
      <c r="QID17" s="8"/>
      <c r="QIE17" s="8"/>
      <c r="QIF17" s="8"/>
      <c r="QIG17" s="8"/>
      <c r="QIH17" s="8"/>
      <c r="QII17" s="8"/>
      <c r="QIJ17" s="8"/>
      <c r="QIK17" s="8"/>
      <c r="QIL17" s="8"/>
      <c r="QIM17" s="8"/>
      <c r="QIN17" s="8"/>
      <c r="QIO17" s="8"/>
      <c r="QIP17" s="8"/>
      <c r="QIQ17" s="8"/>
      <c r="QIR17" s="8"/>
      <c r="QIS17" s="8"/>
      <c r="QIT17" s="8"/>
      <c r="QIU17" s="8"/>
      <c r="QIV17" s="8"/>
      <c r="QIW17" s="8"/>
      <c r="QIX17" s="8"/>
      <c r="QIY17" s="8"/>
      <c r="QIZ17" s="8"/>
      <c r="QJA17" s="8"/>
      <c r="QJB17" s="8"/>
      <c r="QJC17" s="8"/>
      <c r="QJD17" s="8"/>
      <c r="QJE17" s="8"/>
      <c r="QJF17" s="8"/>
      <c r="QJG17" s="8"/>
      <c r="QJH17" s="8"/>
      <c r="QJI17" s="8"/>
      <c r="QJJ17" s="8"/>
      <c r="QJK17" s="8"/>
      <c r="QJL17" s="8"/>
      <c r="QJM17" s="8"/>
      <c r="QJN17" s="8"/>
      <c r="QJO17" s="8"/>
      <c r="QJP17" s="8"/>
      <c r="QJQ17" s="8"/>
      <c r="QJR17" s="8"/>
      <c r="QJS17" s="8"/>
      <c r="QJT17" s="8"/>
      <c r="QJU17" s="8"/>
      <c r="QJV17" s="8"/>
      <c r="QJW17" s="8"/>
      <c r="QJX17" s="8"/>
      <c r="QJY17" s="8"/>
      <c r="QJZ17" s="8"/>
      <c r="QKA17" s="8"/>
      <c r="QKB17" s="8"/>
      <c r="QKC17" s="8"/>
      <c r="QKD17" s="8"/>
      <c r="QKE17" s="8"/>
      <c r="QKF17" s="8"/>
      <c r="QKG17" s="8"/>
      <c r="QKH17" s="8"/>
      <c r="QKI17" s="8"/>
      <c r="QKJ17" s="8"/>
      <c r="QKK17" s="8"/>
      <c r="QKL17" s="8"/>
      <c r="QKM17" s="8"/>
      <c r="QKN17" s="8"/>
      <c r="QKO17" s="8"/>
      <c r="QKP17" s="8"/>
      <c r="QKQ17" s="8"/>
      <c r="QKR17" s="8"/>
      <c r="QKS17" s="8"/>
      <c r="QKT17" s="8"/>
      <c r="QKU17" s="8"/>
      <c r="QKV17" s="8"/>
      <c r="QKW17" s="8"/>
      <c r="QKX17" s="8"/>
      <c r="QKY17" s="8"/>
      <c r="QKZ17" s="8"/>
      <c r="QLA17" s="8"/>
      <c r="QLB17" s="8"/>
      <c r="QLC17" s="8"/>
      <c r="QLD17" s="8"/>
      <c r="QLE17" s="8"/>
      <c r="QLF17" s="8"/>
      <c r="QLG17" s="8"/>
      <c r="QLH17" s="8"/>
      <c r="QLI17" s="8"/>
      <c r="QLJ17" s="8"/>
      <c r="QLK17" s="8"/>
      <c r="QLL17" s="8"/>
      <c r="QLM17" s="8"/>
      <c r="QLN17" s="8"/>
      <c r="QLO17" s="8"/>
      <c r="QLP17" s="8"/>
      <c r="QLQ17" s="8"/>
      <c r="QLR17" s="8"/>
      <c r="QLS17" s="8"/>
      <c r="QLT17" s="8"/>
      <c r="QLU17" s="8"/>
      <c r="QLV17" s="8"/>
      <c r="QLW17" s="8"/>
      <c r="QLX17" s="8"/>
      <c r="QLY17" s="8"/>
      <c r="QLZ17" s="8"/>
      <c r="QMA17" s="8"/>
      <c r="QMB17" s="8"/>
      <c r="QMC17" s="8"/>
      <c r="QMD17" s="8"/>
      <c r="QME17" s="8"/>
      <c r="QMF17" s="8"/>
      <c r="QMG17" s="8"/>
      <c r="QMH17" s="8"/>
      <c r="QMI17" s="8"/>
      <c r="QMJ17" s="8"/>
      <c r="QMK17" s="8"/>
      <c r="QML17" s="8"/>
      <c r="QMM17" s="8"/>
      <c r="QMN17" s="8"/>
      <c r="QMO17" s="8"/>
      <c r="QMP17" s="8"/>
      <c r="QMQ17" s="8"/>
      <c r="QMR17" s="8"/>
      <c r="QMS17" s="8"/>
      <c r="QMT17" s="8"/>
      <c r="QMU17" s="8"/>
      <c r="QMV17" s="8"/>
      <c r="QMW17" s="8"/>
      <c r="QMX17" s="8"/>
      <c r="QMY17" s="8"/>
      <c r="QMZ17" s="8"/>
      <c r="QNA17" s="8"/>
      <c r="QNB17" s="8"/>
      <c r="QNC17" s="8"/>
      <c r="QND17" s="8"/>
      <c r="QNE17" s="8"/>
      <c r="QNF17" s="8"/>
      <c r="QNG17" s="8"/>
      <c r="QNH17" s="8"/>
      <c r="QNI17" s="8"/>
      <c r="QNJ17" s="8"/>
      <c r="QNK17" s="8"/>
      <c r="QNL17" s="8"/>
      <c r="QNM17" s="8"/>
      <c r="QNN17" s="8"/>
      <c r="QNO17" s="8"/>
      <c r="QNP17" s="8"/>
      <c r="QNQ17" s="8"/>
      <c r="QNR17" s="8"/>
      <c r="QNS17" s="8"/>
      <c r="QNT17" s="8"/>
      <c r="QNU17" s="8"/>
      <c r="QNV17" s="8"/>
      <c r="QNW17" s="8"/>
      <c r="QNX17" s="8"/>
      <c r="QNY17" s="8"/>
      <c r="QNZ17" s="8"/>
      <c r="QOA17" s="8"/>
      <c r="QOB17" s="8"/>
      <c r="QOC17" s="8"/>
      <c r="QOD17" s="8"/>
      <c r="QOE17" s="8"/>
      <c r="QOF17" s="8"/>
      <c r="QOG17" s="8"/>
      <c r="QOH17" s="8"/>
      <c r="QOI17" s="8"/>
      <c r="QOJ17" s="8"/>
      <c r="QOK17" s="8"/>
      <c r="QOL17" s="8"/>
      <c r="QOM17" s="8"/>
      <c r="QON17" s="8"/>
      <c r="QOO17" s="8"/>
      <c r="QOP17" s="8"/>
      <c r="QOQ17" s="8"/>
      <c r="QOR17" s="8"/>
      <c r="QOS17" s="8"/>
      <c r="QOT17" s="8"/>
      <c r="QOU17" s="8"/>
      <c r="QOV17" s="8"/>
      <c r="QOW17" s="8"/>
      <c r="QOX17" s="8"/>
      <c r="QOY17" s="8"/>
      <c r="QOZ17" s="8"/>
      <c r="QPA17" s="8"/>
      <c r="QPB17" s="8"/>
      <c r="QPC17" s="8"/>
      <c r="QPD17" s="8"/>
      <c r="QPE17" s="8"/>
      <c r="QPF17" s="8"/>
      <c r="QPG17" s="8"/>
      <c r="QPH17" s="8"/>
      <c r="QPI17" s="8"/>
      <c r="QPJ17" s="8"/>
      <c r="QPK17" s="8"/>
      <c r="QPL17" s="8"/>
      <c r="QPM17" s="8"/>
      <c r="QPN17" s="8"/>
      <c r="QPO17" s="8"/>
      <c r="QPP17" s="8"/>
      <c r="QPQ17" s="8"/>
      <c r="QPR17" s="8"/>
      <c r="QPS17" s="8"/>
      <c r="QPT17" s="8"/>
      <c r="QPU17" s="8"/>
      <c r="QPV17" s="8"/>
      <c r="QPW17" s="8"/>
      <c r="QPX17" s="8"/>
      <c r="QPY17" s="8"/>
      <c r="QPZ17" s="8"/>
      <c r="QQA17" s="8"/>
      <c r="QQB17" s="8"/>
      <c r="QQC17" s="8"/>
      <c r="QQD17" s="8"/>
      <c r="QQE17" s="8"/>
      <c r="QQF17" s="8"/>
      <c r="QQG17" s="8"/>
      <c r="QQH17" s="8"/>
      <c r="QQI17" s="8"/>
      <c r="QQJ17" s="8"/>
      <c r="QQK17" s="8"/>
      <c r="QQL17" s="8"/>
      <c r="QQM17" s="8"/>
      <c r="QQN17" s="8"/>
      <c r="QQO17" s="8"/>
      <c r="QQP17" s="8"/>
      <c r="QQQ17" s="8"/>
      <c r="QQR17" s="8"/>
      <c r="QQS17" s="8"/>
      <c r="QQT17" s="8"/>
      <c r="QQU17" s="8"/>
      <c r="QQV17" s="8"/>
      <c r="QQW17" s="8"/>
      <c r="QQX17" s="8"/>
      <c r="QQY17" s="8"/>
      <c r="QQZ17" s="8"/>
      <c r="QRA17" s="8"/>
      <c r="QRB17" s="8"/>
      <c r="QRC17" s="8"/>
      <c r="QRD17" s="8"/>
      <c r="QRE17" s="8"/>
      <c r="QRF17" s="8"/>
      <c r="QRG17" s="8"/>
      <c r="QRH17" s="8"/>
      <c r="QRI17" s="8"/>
      <c r="QRJ17" s="8"/>
      <c r="QRK17" s="8"/>
      <c r="QRL17" s="8"/>
      <c r="QRM17" s="8"/>
      <c r="QRN17" s="8"/>
      <c r="QRO17" s="8"/>
      <c r="QRP17" s="8"/>
      <c r="QRQ17" s="8"/>
      <c r="QRR17" s="8"/>
      <c r="QRS17" s="8"/>
      <c r="QRT17" s="8"/>
      <c r="QRU17" s="8"/>
      <c r="QRV17" s="8"/>
      <c r="QRW17" s="8"/>
      <c r="QRX17" s="8"/>
      <c r="QRY17" s="8"/>
      <c r="QRZ17" s="8"/>
      <c r="QSA17" s="8"/>
      <c r="QSB17" s="8"/>
      <c r="QSC17" s="8"/>
      <c r="QSD17" s="8"/>
      <c r="QSE17" s="8"/>
      <c r="QSF17" s="8"/>
      <c r="QSG17" s="8"/>
      <c r="QSH17" s="8"/>
      <c r="QSI17" s="8"/>
      <c r="QSJ17" s="8"/>
      <c r="QSK17" s="8"/>
      <c r="QSL17" s="8"/>
      <c r="QSM17" s="8"/>
      <c r="QSN17" s="8"/>
      <c r="QSO17" s="8"/>
      <c r="QSP17" s="8"/>
      <c r="QSQ17" s="8"/>
      <c r="QSR17" s="8"/>
      <c r="QSS17" s="8"/>
      <c r="QST17" s="8"/>
      <c r="QSU17" s="8"/>
      <c r="QSV17" s="8"/>
      <c r="QSW17" s="8"/>
      <c r="QSX17" s="8"/>
      <c r="QSY17" s="8"/>
      <c r="QSZ17" s="8"/>
      <c r="QTA17" s="8"/>
      <c r="QTB17" s="8"/>
      <c r="QTC17" s="8"/>
      <c r="QTD17" s="8"/>
      <c r="QTE17" s="8"/>
      <c r="QTF17" s="8"/>
      <c r="QTG17" s="8"/>
      <c r="QTH17" s="8"/>
      <c r="QTI17" s="8"/>
      <c r="QTJ17" s="8"/>
      <c r="QTK17" s="8"/>
      <c r="QTL17" s="8"/>
      <c r="QTM17" s="8"/>
      <c r="QTN17" s="8"/>
      <c r="QTO17" s="8"/>
      <c r="QTP17" s="8"/>
      <c r="QTQ17" s="8"/>
      <c r="QTR17" s="8"/>
      <c r="QTS17" s="8"/>
      <c r="QTT17" s="8"/>
      <c r="QTU17" s="8"/>
      <c r="QTV17" s="8"/>
      <c r="QTW17" s="8"/>
      <c r="QTX17" s="8"/>
      <c r="QTY17" s="8"/>
      <c r="QTZ17" s="8"/>
      <c r="QUA17" s="8"/>
      <c r="QUB17" s="8"/>
      <c r="QUC17" s="8"/>
      <c r="QUD17" s="8"/>
      <c r="QUE17" s="8"/>
      <c r="QUF17" s="8"/>
      <c r="QUG17" s="8"/>
      <c r="QUH17" s="8"/>
      <c r="QUI17" s="8"/>
      <c r="QUJ17" s="8"/>
      <c r="QUK17" s="8"/>
      <c r="QUL17" s="8"/>
      <c r="QUM17" s="8"/>
      <c r="QUN17" s="8"/>
      <c r="QUO17" s="8"/>
      <c r="QUP17" s="8"/>
      <c r="QUQ17" s="8"/>
      <c r="QUR17" s="8"/>
      <c r="QUS17" s="8"/>
      <c r="QUT17" s="8"/>
      <c r="QUU17" s="8"/>
      <c r="QUV17" s="8"/>
      <c r="QUW17" s="8"/>
      <c r="QUX17" s="8"/>
      <c r="QUY17" s="8"/>
      <c r="QUZ17" s="8"/>
      <c r="QVA17" s="8"/>
      <c r="QVB17" s="8"/>
      <c r="QVC17" s="8"/>
      <c r="QVD17" s="8"/>
      <c r="QVE17" s="8"/>
      <c r="QVF17" s="8"/>
      <c r="QVG17" s="8"/>
      <c r="QVH17" s="8"/>
      <c r="QVI17" s="8"/>
      <c r="QVJ17" s="8"/>
      <c r="QVK17" s="8"/>
      <c r="QVL17" s="8"/>
      <c r="QVM17" s="8"/>
      <c r="QVN17" s="8"/>
      <c r="QVO17" s="8"/>
      <c r="QVP17" s="8"/>
      <c r="QVQ17" s="8"/>
      <c r="QVR17" s="8"/>
      <c r="QVS17" s="8"/>
      <c r="QVT17" s="8"/>
      <c r="QVU17" s="8"/>
      <c r="QVV17" s="8"/>
      <c r="QVW17" s="8"/>
      <c r="QVX17" s="8"/>
      <c r="QVY17" s="8"/>
      <c r="QVZ17" s="8"/>
      <c r="QWA17" s="8"/>
      <c r="QWB17" s="8"/>
      <c r="QWC17" s="8"/>
      <c r="QWD17" s="8"/>
      <c r="QWE17" s="8"/>
      <c r="QWF17" s="8"/>
      <c r="QWG17" s="8"/>
      <c r="QWH17" s="8"/>
      <c r="QWI17" s="8"/>
      <c r="QWJ17" s="8"/>
      <c r="QWK17" s="8"/>
      <c r="QWL17" s="8"/>
      <c r="QWM17" s="8"/>
      <c r="QWN17" s="8"/>
      <c r="QWO17" s="8"/>
      <c r="QWP17" s="8"/>
      <c r="QWQ17" s="8"/>
      <c r="QWR17" s="8"/>
      <c r="QWS17" s="8"/>
      <c r="QWT17" s="8"/>
      <c r="QWU17" s="8"/>
      <c r="QWV17" s="8"/>
      <c r="QWW17" s="8"/>
      <c r="QWX17" s="8"/>
      <c r="QWY17" s="8"/>
      <c r="QWZ17" s="8"/>
      <c r="QXA17" s="8"/>
      <c r="QXB17" s="8"/>
      <c r="QXC17" s="8"/>
      <c r="QXD17" s="8"/>
      <c r="QXE17" s="8"/>
      <c r="QXF17" s="8"/>
      <c r="QXG17" s="8"/>
      <c r="QXH17" s="8"/>
      <c r="QXI17" s="8"/>
      <c r="QXJ17" s="8"/>
      <c r="QXK17" s="8"/>
      <c r="QXL17" s="8"/>
      <c r="QXM17" s="8"/>
      <c r="QXN17" s="8"/>
      <c r="QXO17" s="8"/>
      <c r="QXP17" s="8"/>
      <c r="QXQ17" s="8"/>
      <c r="QXR17" s="8"/>
      <c r="QXS17" s="8"/>
      <c r="QXT17" s="8"/>
      <c r="QXU17" s="8"/>
      <c r="QXV17" s="8"/>
      <c r="QXW17" s="8"/>
      <c r="QXX17" s="8"/>
      <c r="QXY17" s="8"/>
      <c r="QXZ17" s="8"/>
      <c r="QYA17" s="8"/>
      <c r="QYB17" s="8"/>
      <c r="QYC17" s="8"/>
      <c r="QYD17" s="8"/>
      <c r="QYE17" s="8"/>
      <c r="QYF17" s="8"/>
      <c r="QYG17" s="8"/>
      <c r="QYH17" s="8"/>
      <c r="QYI17" s="8"/>
      <c r="QYJ17" s="8"/>
      <c r="QYK17" s="8"/>
      <c r="QYL17" s="8"/>
      <c r="QYM17" s="8"/>
      <c r="QYN17" s="8"/>
      <c r="QYO17" s="8"/>
      <c r="QYP17" s="8"/>
      <c r="QYQ17" s="8"/>
      <c r="QYR17" s="8"/>
      <c r="QYS17" s="8"/>
      <c r="QYT17" s="8"/>
      <c r="QYU17" s="8"/>
      <c r="QYV17" s="8"/>
      <c r="QYW17" s="8"/>
      <c r="QYX17" s="8"/>
      <c r="QYY17" s="8"/>
      <c r="QYZ17" s="8"/>
      <c r="QZA17" s="8"/>
      <c r="QZB17" s="8"/>
      <c r="QZC17" s="8"/>
      <c r="QZD17" s="8"/>
      <c r="QZE17" s="8"/>
      <c r="QZF17" s="8"/>
      <c r="QZG17" s="8"/>
      <c r="QZH17" s="8"/>
      <c r="QZI17" s="8"/>
      <c r="QZJ17" s="8"/>
      <c r="QZK17" s="8"/>
      <c r="QZL17" s="8"/>
      <c r="QZM17" s="8"/>
      <c r="QZN17" s="8"/>
      <c r="QZO17" s="8"/>
      <c r="QZP17" s="8"/>
      <c r="QZQ17" s="8"/>
      <c r="QZR17" s="8"/>
      <c r="QZS17" s="8"/>
      <c r="QZT17" s="8"/>
      <c r="QZU17" s="8"/>
      <c r="QZV17" s="8"/>
      <c r="QZW17" s="8"/>
      <c r="QZX17" s="8"/>
      <c r="QZY17" s="8"/>
      <c r="QZZ17" s="8"/>
      <c r="RAA17" s="8"/>
      <c r="RAB17" s="8"/>
      <c r="RAC17" s="8"/>
      <c r="RAD17" s="8"/>
      <c r="RAE17" s="8"/>
      <c r="RAF17" s="8"/>
      <c r="RAG17" s="8"/>
      <c r="RAH17" s="8"/>
      <c r="RAI17" s="8"/>
      <c r="RAJ17" s="8"/>
      <c r="RAK17" s="8"/>
      <c r="RAL17" s="8"/>
      <c r="RAM17" s="8"/>
      <c r="RAN17" s="8"/>
      <c r="RAO17" s="8"/>
      <c r="RAP17" s="8"/>
      <c r="RAQ17" s="8"/>
      <c r="RAR17" s="8"/>
      <c r="RAS17" s="8"/>
      <c r="RAT17" s="8"/>
      <c r="RAU17" s="8"/>
      <c r="RAV17" s="8"/>
      <c r="RAW17" s="8"/>
      <c r="RAX17" s="8"/>
      <c r="RAY17" s="8"/>
      <c r="RAZ17" s="8"/>
      <c r="RBA17" s="8"/>
      <c r="RBB17" s="8"/>
      <c r="RBC17" s="8"/>
      <c r="RBD17" s="8"/>
      <c r="RBE17" s="8"/>
      <c r="RBF17" s="8"/>
      <c r="RBG17" s="8"/>
      <c r="RBH17" s="8"/>
      <c r="RBI17" s="8"/>
      <c r="RBJ17" s="8"/>
      <c r="RBK17" s="8"/>
      <c r="RBL17" s="8"/>
      <c r="RBM17" s="8"/>
      <c r="RBN17" s="8"/>
      <c r="RBO17" s="8"/>
      <c r="RBP17" s="8"/>
      <c r="RBQ17" s="8"/>
      <c r="RBR17" s="8"/>
      <c r="RBS17" s="8"/>
      <c r="RBT17" s="8"/>
      <c r="RBU17" s="8"/>
      <c r="RBV17" s="8"/>
      <c r="RBW17" s="8"/>
      <c r="RBX17" s="8"/>
      <c r="RBY17" s="8"/>
      <c r="RBZ17" s="8"/>
      <c r="RCA17" s="8"/>
      <c r="RCB17" s="8"/>
      <c r="RCC17" s="8"/>
      <c r="RCD17" s="8"/>
      <c r="RCE17" s="8"/>
      <c r="RCF17" s="8"/>
      <c r="RCG17" s="8"/>
      <c r="RCH17" s="8"/>
      <c r="RCI17" s="8"/>
      <c r="RCJ17" s="8"/>
      <c r="RCK17" s="8"/>
      <c r="RCL17" s="8"/>
      <c r="RCM17" s="8"/>
      <c r="RCN17" s="8"/>
      <c r="RCO17" s="8"/>
      <c r="RCP17" s="8"/>
      <c r="RCQ17" s="8"/>
      <c r="RCR17" s="8"/>
      <c r="RCS17" s="8"/>
      <c r="RCT17" s="8"/>
      <c r="RCU17" s="8"/>
      <c r="RCV17" s="8"/>
      <c r="RCW17" s="8"/>
      <c r="RCX17" s="8"/>
      <c r="RCY17" s="8"/>
      <c r="RCZ17" s="8"/>
      <c r="RDA17" s="8"/>
      <c r="RDB17" s="8"/>
      <c r="RDC17" s="8"/>
      <c r="RDD17" s="8"/>
      <c r="RDE17" s="8"/>
      <c r="RDF17" s="8"/>
      <c r="RDG17" s="8"/>
      <c r="RDH17" s="8"/>
      <c r="RDI17" s="8"/>
      <c r="RDJ17" s="8"/>
      <c r="RDK17" s="8"/>
      <c r="RDL17" s="8"/>
      <c r="RDM17" s="8"/>
      <c r="RDN17" s="8"/>
      <c r="RDO17" s="8"/>
      <c r="RDP17" s="8"/>
      <c r="RDQ17" s="8"/>
      <c r="RDR17" s="8"/>
      <c r="RDS17" s="8"/>
      <c r="RDT17" s="8"/>
      <c r="RDU17" s="8"/>
      <c r="RDV17" s="8"/>
      <c r="RDW17" s="8"/>
      <c r="RDX17" s="8"/>
      <c r="RDY17" s="8"/>
      <c r="RDZ17" s="8"/>
      <c r="REA17" s="8"/>
      <c r="REB17" s="8"/>
      <c r="REC17" s="8"/>
      <c r="RED17" s="8"/>
      <c r="REE17" s="8"/>
      <c r="REF17" s="8"/>
      <c r="REG17" s="8"/>
      <c r="REH17" s="8"/>
      <c r="REI17" s="8"/>
      <c r="REJ17" s="8"/>
      <c r="REK17" s="8"/>
      <c r="REL17" s="8"/>
      <c r="REM17" s="8"/>
      <c r="REN17" s="8"/>
      <c r="REO17" s="8"/>
      <c r="REP17" s="8"/>
      <c r="REQ17" s="8"/>
      <c r="RER17" s="8"/>
      <c r="RES17" s="8"/>
      <c r="RET17" s="8"/>
      <c r="REU17" s="8"/>
      <c r="REV17" s="8"/>
      <c r="REW17" s="8"/>
      <c r="REX17" s="8"/>
      <c r="REY17" s="8"/>
      <c r="REZ17" s="8"/>
      <c r="RFA17" s="8"/>
      <c r="RFB17" s="8"/>
      <c r="RFC17" s="8"/>
      <c r="RFD17" s="8"/>
      <c r="RFE17" s="8"/>
      <c r="RFF17" s="8"/>
      <c r="RFG17" s="8"/>
      <c r="RFH17" s="8"/>
      <c r="RFI17" s="8"/>
      <c r="RFJ17" s="8"/>
      <c r="RFK17" s="8"/>
      <c r="RFL17" s="8"/>
      <c r="RFM17" s="8"/>
      <c r="RFN17" s="8"/>
      <c r="RFO17" s="8"/>
      <c r="RFP17" s="8"/>
      <c r="RFQ17" s="8"/>
      <c r="RFR17" s="8"/>
      <c r="RFS17" s="8"/>
      <c r="RFT17" s="8"/>
      <c r="RFU17" s="8"/>
      <c r="RFV17" s="8"/>
      <c r="RFW17" s="8"/>
      <c r="RFX17" s="8"/>
      <c r="RFY17" s="8"/>
      <c r="RFZ17" s="8"/>
      <c r="RGA17" s="8"/>
      <c r="RGB17" s="8"/>
      <c r="RGC17" s="8"/>
      <c r="RGD17" s="8"/>
      <c r="RGE17" s="8"/>
      <c r="RGF17" s="8"/>
      <c r="RGG17" s="8"/>
      <c r="RGH17" s="8"/>
      <c r="RGI17" s="8"/>
      <c r="RGJ17" s="8"/>
      <c r="RGK17" s="8"/>
      <c r="RGL17" s="8"/>
      <c r="RGM17" s="8"/>
      <c r="RGN17" s="8"/>
      <c r="RGO17" s="8"/>
      <c r="RGP17" s="8"/>
      <c r="RGQ17" s="8"/>
      <c r="RGR17" s="8"/>
      <c r="RGS17" s="8"/>
      <c r="RGT17" s="8"/>
      <c r="RGU17" s="8"/>
      <c r="RGV17" s="8"/>
      <c r="RGW17" s="8"/>
      <c r="RGX17" s="8"/>
      <c r="RGY17" s="8"/>
      <c r="RGZ17" s="8"/>
      <c r="RHA17" s="8"/>
      <c r="RHB17" s="8"/>
      <c r="RHC17" s="8"/>
      <c r="RHD17" s="8"/>
      <c r="RHE17" s="8"/>
      <c r="RHF17" s="8"/>
      <c r="RHG17" s="8"/>
      <c r="RHH17" s="8"/>
      <c r="RHI17" s="8"/>
      <c r="RHJ17" s="8"/>
      <c r="RHK17" s="8"/>
      <c r="RHL17" s="8"/>
      <c r="RHM17" s="8"/>
      <c r="RHN17" s="8"/>
      <c r="RHO17" s="8"/>
      <c r="RHP17" s="8"/>
      <c r="RHQ17" s="8"/>
      <c r="RHR17" s="8"/>
      <c r="RHS17" s="8"/>
      <c r="RHT17" s="8"/>
      <c r="RHU17" s="8"/>
      <c r="RHV17" s="8"/>
      <c r="RHW17" s="8"/>
      <c r="RHX17" s="8"/>
      <c r="RHY17" s="8"/>
      <c r="RHZ17" s="8"/>
      <c r="RIA17" s="8"/>
      <c r="RIB17" s="8"/>
      <c r="RIC17" s="8"/>
      <c r="RID17" s="8"/>
      <c r="RIE17" s="8"/>
      <c r="RIF17" s="8"/>
      <c r="RIG17" s="8"/>
      <c r="RIH17" s="8"/>
      <c r="RII17" s="8"/>
      <c r="RIJ17" s="8"/>
      <c r="RIK17" s="8"/>
      <c r="RIL17" s="8"/>
      <c r="RIM17" s="8"/>
      <c r="RIN17" s="8"/>
      <c r="RIO17" s="8"/>
      <c r="RIP17" s="8"/>
      <c r="RIQ17" s="8"/>
      <c r="RIR17" s="8"/>
      <c r="RIS17" s="8"/>
      <c r="RIT17" s="8"/>
      <c r="RIU17" s="8"/>
      <c r="RIV17" s="8"/>
      <c r="RIW17" s="8"/>
      <c r="RIX17" s="8"/>
      <c r="RIY17" s="8"/>
      <c r="RIZ17" s="8"/>
      <c r="RJA17" s="8"/>
      <c r="RJB17" s="8"/>
      <c r="RJC17" s="8"/>
      <c r="RJD17" s="8"/>
      <c r="RJE17" s="8"/>
      <c r="RJF17" s="8"/>
      <c r="RJG17" s="8"/>
      <c r="RJH17" s="8"/>
      <c r="RJI17" s="8"/>
      <c r="RJJ17" s="8"/>
      <c r="RJK17" s="8"/>
      <c r="RJL17" s="8"/>
      <c r="RJM17" s="8"/>
      <c r="RJN17" s="8"/>
      <c r="RJO17" s="8"/>
      <c r="RJP17" s="8"/>
      <c r="RJQ17" s="8"/>
      <c r="RJR17" s="8"/>
      <c r="RJS17" s="8"/>
      <c r="RJT17" s="8"/>
      <c r="RJU17" s="8"/>
      <c r="RJV17" s="8"/>
      <c r="RJW17" s="8"/>
      <c r="RJX17" s="8"/>
      <c r="RJY17" s="8"/>
      <c r="RJZ17" s="8"/>
      <c r="RKA17" s="8"/>
      <c r="RKB17" s="8"/>
      <c r="RKC17" s="8"/>
      <c r="RKD17" s="8"/>
      <c r="RKE17" s="8"/>
      <c r="RKF17" s="8"/>
      <c r="RKG17" s="8"/>
      <c r="RKH17" s="8"/>
      <c r="RKI17" s="8"/>
      <c r="RKJ17" s="8"/>
      <c r="RKK17" s="8"/>
      <c r="RKL17" s="8"/>
      <c r="RKM17" s="8"/>
      <c r="RKN17" s="8"/>
      <c r="RKO17" s="8"/>
      <c r="RKP17" s="8"/>
      <c r="RKQ17" s="8"/>
      <c r="RKR17" s="8"/>
      <c r="RKS17" s="8"/>
      <c r="RKT17" s="8"/>
      <c r="RKU17" s="8"/>
      <c r="RKV17" s="8"/>
      <c r="RKW17" s="8"/>
      <c r="RKX17" s="8"/>
      <c r="RKY17" s="8"/>
      <c r="RKZ17" s="8"/>
      <c r="RLA17" s="8"/>
      <c r="RLB17" s="8"/>
      <c r="RLC17" s="8"/>
      <c r="RLD17" s="8"/>
      <c r="RLE17" s="8"/>
      <c r="RLF17" s="8"/>
      <c r="RLG17" s="8"/>
      <c r="RLH17" s="8"/>
      <c r="RLI17" s="8"/>
      <c r="RLJ17" s="8"/>
      <c r="RLK17" s="8"/>
      <c r="RLL17" s="8"/>
      <c r="RLM17" s="8"/>
      <c r="RLN17" s="8"/>
      <c r="RLO17" s="8"/>
      <c r="RLP17" s="8"/>
      <c r="RLQ17" s="8"/>
      <c r="RLR17" s="8"/>
      <c r="RLS17" s="8"/>
      <c r="RLT17" s="8"/>
      <c r="RLU17" s="8"/>
      <c r="RLV17" s="8"/>
      <c r="RLW17" s="8"/>
      <c r="RLX17" s="8"/>
      <c r="RLY17" s="8"/>
      <c r="RLZ17" s="8"/>
      <c r="RMA17" s="8"/>
      <c r="RMB17" s="8"/>
      <c r="RMC17" s="8"/>
      <c r="RMD17" s="8"/>
      <c r="RME17" s="8"/>
      <c r="RMF17" s="8"/>
      <c r="RMG17" s="8"/>
      <c r="RMH17" s="8"/>
      <c r="RMI17" s="8"/>
      <c r="RMJ17" s="8"/>
      <c r="RMK17" s="8"/>
      <c r="RML17" s="8"/>
      <c r="RMM17" s="8"/>
      <c r="RMN17" s="8"/>
      <c r="RMO17" s="8"/>
      <c r="RMP17" s="8"/>
      <c r="RMQ17" s="8"/>
      <c r="RMR17" s="8"/>
      <c r="RMS17" s="8"/>
      <c r="RMT17" s="8"/>
      <c r="RMU17" s="8"/>
      <c r="RMV17" s="8"/>
      <c r="RMW17" s="8"/>
      <c r="RMX17" s="8"/>
      <c r="RMY17" s="8"/>
      <c r="RMZ17" s="8"/>
      <c r="RNA17" s="8"/>
      <c r="RNB17" s="8"/>
      <c r="RNC17" s="8"/>
      <c r="RND17" s="8"/>
      <c r="RNE17" s="8"/>
      <c r="RNF17" s="8"/>
      <c r="RNG17" s="8"/>
      <c r="RNH17" s="8"/>
      <c r="RNI17" s="8"/>
      <c r="RNJ17" s="8"/>
      <c r="RNK17" s="8"/>
      <c r="RNL17" s="8"/>
      <c r="RNM17" s="8"/>
      <c r="RNN17" s="8"/>
      <c r="RNO17" s="8"/>
      <c r="RNP17" s="8"/>
      <c r="RNQ17" s="8"/>
      <c r="RNR17" s="8"/>
      <c r="RNS17" s="8"/>
      <c r="RNT17" s="8"/>
      <c r="RNU17" s="8"/>
      <c r="RNV17" s="8"/>
      <c r="RNW17" s="8"/>
      <c r="RNX17" s="8"/>
      <c r="RNY17" s="8"/>
      <c r="RNZ17" s="8"/>
      <c r="ROA17" s="8"/>
      <c r="ROB17" s="8"/>
      <c r="ROC17" s="8"/>
      <c r="ROD17" s="8"/>
      <c r="ROE17" s="8"/>
      <c r="ROF17" s="8"/>
      <c r="ROG17" s="8"/>
      <c r="ROH17" s="8"/>
      <c r="ROI17" s="8"/>
      <c r="ROJ17" s="8"/>
      <c r="ROK17" s="8"/>
      <c r="ROL17" s="8"/>
      <c r="ROM17" s="8"/>
      <c r="RON17" s="8"/>
      <c r="ROO17" s="8"/>
      <c r="ROP17" s="8"/>
      <c r="ROQ17" s="8"/>
      <c r="ROR17" s="8"/>
      <c r="ROS17" s="8"/>
      <c r="ROT17" s="8"/>
      <c r="ROU17" s="8"/>
      <c r="ROV17" s="8"/>
      <c r="ROW17" s="8"/>
      <c r="ROX17" s="8"/>
      <c r="ROY17" s="8"/>
      <c r="ROZ17" s="8"/>
      <c r="RPA17" s="8"/>
      <c r="RPB17" s="8"/>
      <c r="RPC17" s="8"/>
      <c r="RPD17" s="8"/>
      <c r="RPE17" s="8"/>
      <c r="RPF17" s="8"/>
      <c r="RPG17" s="8"/>
      <c r="RPH17" s="8"/>
      <c r="RPI17" s="8"/>
      <c r="RPJ17" s="8"/>
      <c r="RPK17" s="8"/>
      <c r="RPL17" s="8"/>
      <c r="RPM17" s="8"/>
      <c r="RPN17" s="8"/>
      <c r="RPO17" s="8"/>
      <c r="RPP17" s="8"/>
      <c r="RPQ17" s="8"/>
      <c r="RPR17" s="8"/>
      <c r="RPS17" s="8"/>
      <c r="RPT17" s="8"/>
      <c r="RPU17" s="8"/>
      <c r="RPV17" s="8"/>
      <c r="RPW17" s="8"/>
      <c r="RPX17" s="8"/>
      <c r="RPY17" s="8"/>
      <c r="RPZ17" s="8"/>
      <c r="RQA17" s="8"/>
      <c r="RQB17" s="8"/>
      <c r="RQC17" s="8"/>
      <c r="RQD17" s="8"/>
      <c r="RQE17" s="8"/>
      <c r="RQF17" s="8"/>
      <c r="RQG17" s="8"/>
      <c r="RQH17" s="8"/>
      <c r="RQI17" s="8"/>
      <c r="RQJ17" s="8"/>
      <c r="RQK17" s="8"/>
      <c r="RQL17" s="8"/>
      <c r="RQM17" s="8"/>
      <c r="RQN17" s="8"/>
      <c r="RQO17" s="8"/>
      <c r="RQP17" s="8"/>
      <c r="RQQ17" s="8"/>
      <c r="RQR17" s="8"/>
      <c r="RQS17" s="8"/>
      <c r="RQT17" s="8"/>
      <c r="RQU17" s="8"/>
      <c r="RQV17" s="8"/>
      <c r="RQW17" s="8"/>
      <c r="RQX17" s="8"/>
      <c r="RQY17" s="8"/>
      <c r="RQZ17" s="8"/>
      <c r="RRA17" s="8"/>
      <c r="RRB17" s="8"/>
      <c r="RRC17" s="8"/>
      <c r="RRD17" s="8"/>
      <c r="RRE17" s="8"/>
      <c r="RRF17" s="8"/>
      <c r="RRG17" s="8"/>
      <c r="RRH17" s="8"/>
      <c r="RRI17" s="8"/>
      <c r="RRJ17" s="8"/>
      <c r="RRK17" s="8"/>
      <c r="RRL17" s="8"/>
      <c r="RRM17" s="8"/>
      <c r="RRN17" s="8"/>
      <c r="RRO17" s="8"/>
      <c r="RRP17" s="8"/>
      <c r="RRQ17" s="8"/>
      <c r="RRR17" s="8"/>
      <c r="RRS17" s="8"/>
      <c r="RRT17" s="8"/>
      <c r="RRU17" s="8"/>
      <c r="RRV17" s="8"/>
      <c r="RRW17" s="8"/>
      <c r="RRX17" s="8"/>
      <c r="RRY17" s="8"/>
      <c r="RRZ17" s="8"/>
      <c r="RSA17" s="8"/>
      <c r="RSB17" s="8"/>
      <c r="RSC17" s="8"/>
      <c r="RSD17" s="8"/>
      <c r="RSE17" s="8"/>
      <c r="RSF17" s="8"/>
      <c r="RSG17" s="8"/>
      <c r="RSH17" s="8"/>
      <c r="RSI17" s="8"/>
      <c r="RSJ17" s="8"/>
      <c r="RSK17" s="8"/>
      <c r="RSL17" s="8"/>
      <c r="RSM17" s="8"/>
      <c r="RSN17" s="8"/>
      <c r="RSO17" s="8"/>
      <c r="RSP17" s="8"/>
      <c r="RSQ17" s="8"/>
      <c r="RSR17" s="8"/>
      <c r="RSS17" s="8"/>
      <c r="RST17" s="8"/>
      <c r="RSU17" s="8"/>
      <c r="RSV17" s="8"/>
      <c r="RSW17" s="8"/>
      <c r="RSX17" s="8"/>
      <c r="RSY17" s="8"/>
      <c r="RSZ17" s="8"/>
      <c r="RTA17" s="8"/>
      <c r="RTB17" s="8"/>
      <c r="RTC17" s="8"/>
      <c r="RTD17" s="8"/>
      <c r="RTE17" s="8"/>
      <c r="RTF17" s="8"/>
      <c r="RTG17" s="8"/>
      <c r="RTH17" s="8"/>
      <c r="RTI17" s="8"/>
      <c r="RTJ17" s="8"/>
      <c r="RTK17" s="8"/>
      <c r="RTL17" s="8"/>
      <c r="RTM17" s="8"/>
      <c r="RTN17" s="8"/>
      <c r="RTO17" s="8"/>
      <c r="RTP17" s="8"/>
      <c r="RTQ17" s="8"/>
      <c r="RTR17" s="8"/>
      <c r="RTS17" s="8"/>
      <c r="RTT17" s="8"/>
      <c r="RTU17" s="8"/>
      <c r="RTV17" s="8"/>
      <c r="RTW17" s="8"/>
      <c r="RTX17" s="8"/>
      <c r="RTY17" s="8"/>
      <c r="RTZ17" s="8"/>
      <c r="RUA17" s="8"/>
      <c r="RUB17" s="8"/>
      <c r="RUC17" s="8"/>
      <c r="RUD17" s="8"/>
      <c r="RUE17" s="8"/>
      <c r="RUF17" s="8"/>
      <c r="RUG17" s="8"/>
      <c r="RUH17" s="8"/>
      <c r="RUI17" s="8"/>
      <c r="RUJ17" s="8"/>
      <c r="RUK17" s="8"/>
      <c r="RUL17" s="8"/>
      <c r="RUM17" s="8"/>
      <c r="RUN17" s="8"/>
      <c r="RUO17" s="8"/>
      <c r="RUP17" s="8"/>
      <c r="RUQ17" s="8"/>
      <c r="RUR17" s="8"/>
      <c r="RUS17" s="8"/>
      <c r="RUT17" s="8"/>
      <c r="RUU17" s="8"/>
      <c r="RUV17" s="8"/>
      <c r="RUW17" s="8"/>
      <c r="RUX17" s="8"/>
      <c r="RUY17" s="8"/>
      <c r="RUZ17" s="8"/>
      <c r="RVA17" s="8"/>
      <c r="RVB17" s="8"/>
      <c r="RVC17" s="8"/>
      <c r="RVD17" s="8"/>
      <c r="RVE17" s="8"/>
      <c r="RVF17" s="8"/>
      <c r="RVG17" s="8"/>
      <c r="RVH17" s="8"/>
      <c r="RVI17" s="8"/>
      <c r="RVJ17" s="8"/>
      <c r="RVK17" s="8"/>
      <c r="RVL17" s="8"/>
      <c r="RVM17" s="8"/>
      <c r="RVN17" s="8"/>
      <c r="RVO17" s="8"/>
      <c r="RVP17" s="8"/>
      <c r="RVQ17" s="8"/>
      <c r="RVR17" s="8"/>
      <c r="RVS17" s="8"/>
      <c r="RVT17" s="8"/>
      <c r="RVU17" s="8"/>
      <c r="RVV17" s="8"/>
      <c r="RVW17" s="8"/>
      <c r="RVX17" s="8"/>
      <c r="RVY17" s="8"/>
      <c r="RVZ17" s="8"/>
      <c r="RWA17" s="8"/>
      <c r="RWB17" s="8"/>
      <c r="RWC17" s="8"/>
      <c r="RWD17" s="8"/>
      <c r="RWE17" s="8"/>
      <c r="RWF17" s="8"/>
      <c r="RWG17" s="8"/>
      <c r="RWH17" s="8"/>
      <c r="RWI17" s="8"/>
      <c r="RWJ17" s="8"/>
      <c r="RWK17" s="8"/>
      <c r="RWL17" s="8"/>
      <c r="RWM17" s="8"/>
      <c r="RWN17" s="8"/>
      <c r="RWO17" s="8"/>
      <c r="RWP17" s="8"/>
      <c r="RWQ17" s="8"/>
      <c r="RWR17" s="8"/>
      <c r="RWS17" s="8"/>
      <c r="RWT17" s="8"/>
      <c r="RWU17" s="8"/>
      <c r="RWV17" s="8"/>
      <c r="RWW17" s="8"/>
      <c r="RWX17" s="8"/>
      <c r="RWY17" s="8"/>
      <c r="RWZ17" s="8"/>
      <c r="RXA17" s="8"/>
      <c r="RXB17" s="8"/>
      <c r="RXC17" s="8"/>
      <c r="RXD17" s="8"/>
      <c r="RXE17" s="8"/>
      <c r="RXF17" s="8"/>
      <c r="RXG17" s="8"/>
      <c r="RXH17" s="8"/>
      <c r="RXI17" s="8"/>
      <c r="RXJ17" s="8"/>
      <c r="RXK17" s="8"/>
      <c r="RXL17" s="8"/>
      <c r="RXM17" s="8"/>
      <c r="RXN17" s="8"/>
      <c r="RXO17" s="8"/>
      <c r="RXP17" s="8"/>
      <c r="RXQ17" s="8"/>
      <c r="RXR17" s="8"/>
      <c r="RXS17" s="8"/>
      <c r="RXT17" s="8"/>
      <c r="RXU17" s="8"/>
      <c r="RXV17" s="8"/>
      <c r="RXW17" s="8"/>
      <c r="RXX17" s="8"/>
      <c r="RXY17" s="8"/>
      <c r="RXZ17" s="8"/>
      <c r="RYA17" s="8"/>
      <c r="RYB17" s="8"/>
      <c r="RYC17" s="8"/>
      <c r="RYD17" s="8"/>
      <c r="RYE17" s="8"/>
      <c r="RYF17" s="8"/>
      <c r="RYG17" s="8"/>
      <c r="RYH17" s="8"/>
      <c r="RYI17" s="8"/>
      <c r="RYJ17" s="8"/>
      <c r="RYK17" s="8"/>
      <c r="RYL17" s="8"/>
      <c r="RYM17" s="8"/>
      <c r="RYN17" s="8"/>
      <c r="RYO17" s="8"/>
      <c r="RYP17" s="8"/>
      <c r="RYQ17" s="8"/>
      <c r="RYR17" s="8"/>
      <c r="RYS17" s="8"/>
      <c r="RYT17" s="8"/>
      <c r="RYU17" s="8"/>
      <c r="RYV17" s="8"/>
      <c r="RYW17" s="8"/>
      <c r="RYX17" s="8"/>
      <c r="RYY17" s="8"/>
      <c r="RYZ17" s="8"/>
      <c r="RZA17" s="8"/>
      <c r="RZB17" s="8"/>
      <c r="RZC17" s="8"/>
      <c r="RZD17" s="8"/>
      <c r="RZE17" s="8"/>
      <c r="RZF17" s="8"/>
      <c r="RZG17" s="8"/>
      <c r="RZH17" s="8"/>
      <c r="RZI17" s="8"/>
      <c r="RZJ17" s="8"/>
      <c r="RZK17" s="8"/>
      <c r="RZL17" s="8"/>
      <c r="RZM17" s="8"/>
      <c r="RZN17" s="8"/>
      <c r="RZO17" s="8"/>
      <c r="RZP17" s="8"/>
      <c r="RZQ17" s="8"/>
      <c r="RZR17" s="8"/>
      <c r="RZS17" s="8"/>
      <c r="RZT17" s="8"/>
      <c r="RZU17" s="8"/>
      <c r="RZV17" s="8"/>
      <c r="RZW17" s="8"/>
      <c r="RZX17" s="8"/>
      <c r="RZY17" s="8"/>
      <c r="RZZ17" s="8"/>
      <c r="SAA17" s="8"/>
      <c r="SAB17" s="8"/>
      <c r="SAC17" s="8"/>
      <c r="SAD17" s="8"/>
      <c r="SAE17" s="8"/>
      <c r="SAF17" s="8"/>
      <c r="SAG17" s="8"/>
      <c r="SAH17" s="8"/>
      <c r="SAI17" s="8"/>
      <c r="SAJ17" s="8"/>
      <c r="SAK17" s="8"/>
      <c r="SAL17" s="8"/>
      <c r="SAM17" s="8"/>
      <c r="SAN17" s="8"/>
      <c r="SAO17" s="8"/>
      <c r="SAP17" s="8"/>
      <c r="SAQ17" s="8"/>
      <c r="SAR17" s="8"/>
      <c r="SAS17" s="8"/>
      <c r="SAT17" s="8"/>
      <c r="SAU17" s="8"/>
      <c r="SAV17" s="8"/>
      <c r="SAW17" s="8"/>
      <c r="SAX17" s="8"/>
      <c r="SAY17" s="8"/>
      <c r="SAZ17" s="8"/>
      <c r="SBA17" s="8"/>
      <c r="SBB17" s="8"/>
      <c r="SBC17" s="8"/>
      <c r="SBD17" s="8"/>
      <c r="SBE17" s="8"/>
      <c r="SBF17" s="8"/>
      <c r="SBG17" s="8"/>
      <c r="SBH17" s="8"/>
      <c r="SBI17" s="8"/>
      <c r="SBJ17" s="8"/>
      <c r="SBK17" s="8"/>
      <c r="SBL17" s="8"/>
      <c r="SBM17" s="8"/>
      <c r="SBN17" s="8"/>
      <c r="SBO17" s="8"/>
      <c r="SBP17" s="8"/>
      <c r="SBQ17" s="8"/>
      <c r="SBR17" s="8"/>
      <c r="SBS17" s="8"/>
      <c r="SBT17" s="8"/>
      <c r="SBU17" s="8"/>
      <c r="SBV17" s="8"/>
      <c r="SBW17" s="8"/>
      <c r="SBX17" s="8"/>
      <c r="SBY17" s="8"/>
      <c r="SBZ17" s="8"/>
      <c r="SCA17" s="8"/>
      <c r="SCB17" s="8"/>
      <c r="SCC17" s="8"/>
      <c r="SCD17" s="8"/>
      <c r="SCE17" s="8"/>
      <c r="SCF17" s="8"/>
      <c r="SCG17" s="8"/>
      <c r="SCH17" s="8"/>
      <c r="SCI17" s="8"/>
      <c r="SCJ17" s="8"/>
      <c r="SCK17" s="8"/>
      <c r="SCL17" s="8"/>
      <c r="SCM17" s="8"/>
      <c r="SCN17" s="8"/>
      <c r="SCO17" s="8"/>
      <c r="SCP17" s="8"/>
      <c r="SCQ17" s="8"/>
      <c r="SCR17" s="8"/>
      <c r="SCS17" s="8"/>
      <c r="SCT17" s="8"/>
      <c r="SCU17" s="8"/>
      <c r="SCV17" s="8"/>
      <c r="SCW17" s="8"/>
      <c r="SCX17" s="8"/>
      <c r="SCY17" s="8"/>
      <c r="SCZ17" s="8"/>
      <c r="SDA17" s="8"/>
      <c r="SDB17" s="8"/>
      <c r="SDC17" s="8"/>
      <c r="SDD17" s="8"/>
      <c r="SDE17" s="8"/>
      <c r="SDF17" s="8"/>
      <c r="SDG17" s="8"/>
      <c r="SDH17" s="8"/>
      <c r="SDI17" s="8"/>
      <c r="SDJ17" s="8"/>
      <c r="SDK17" s="8"/>
      <c r="SDL17" s="8"/>
      <c r="SDM17" s="8"/>
      <c r="SDN17" s="8"/>
      <c r="SDO17" s="8"/>
      <c r="SDP17" s="8"/>
      <c r="SDQ17" s="8"/>
      <c r="SDR17" s="8"/>
      <c r="SDS17" s="8"/>
      <c r="SDT17" s="8"/>
      <c r="SDU17" s="8"/>
      <c r="SDV17" s="8"/>
      <c r="SDW17" s="8"/>
      <c r="SDX17" s="8"/>
      <c r="SDY17" s="8"/>
      <c r="SDZ17" s="8"/>
      <c r="SEA17" s="8"/>
      <c r="SEB17" s="8"/>
      <c r="SEC17" s="8"/>
      <c r="SED17" s="8"/>
      <c r="SEE17" s="8"/>
      <c r="SEF17" s="8"/>
      <c r="SEG17" s="8"/>
      <c r="SEH17" s="8"/>
      <c r="SEI17" s="8"/>
      <c r="SEJ17" s="8"/>
      <c r="SEK17" s="8"/>
      <c r="SEL17" s="8"/>
      <c r="SEM17" s="8"/>
      <c r="SEN17" s="8"/>
      <c r="SEO17" s="8"/>
      <c r="SEP17" s="8"/>
      <c r="SEQ17" s="8"/>
      <c r="SER17" s="8"/>
      <c r="SES17" s="8"/>
      <c r="SET17" s="8"/>
      <c r="SEU17" s="8"/>
      <c r="SEV17" s="8"/>
      <c r="SEW17" s="8"/>
      <c r="SEX17" s="8"/>
      <c r="SEY17" s="8"/>
      <c r="SEZ17" s="8"/>
      <c r="SFA17" s="8"/>
      <c r="SFB17" s="8"/>
      <c r="SFC17" s="8"/>
      <c r="SFD17" s="8"/>
      <c r="SFE17" s="8"/>
      <c r="SFF17" s="8"/>
      <c r="SFG17" s="8"/>
      <c r="SFH17" s="8"/>
      <c r="SFI17" s="8"/>
      <c r="SFJ17" s="8"/>
      <c r="SFK17" s="8"/>
      <c r="SFL17" s="8"/>
      <c r="SFM17" s="8"/>
      <c r="SFN17" s="8"/>
      <c r="SFO17" s="8"/>
      <c r="SFP17" s="8"/>
      <c r="SFQ17" s="8"/>
      <c r="SFR17" s="8"/>
      <c r="SFS17" s="8"/>
      <c r="SFT17" s="8"/>
      <c r="SFU17" s="8"/>
      <c r="SFV17" s="8"/>
      <c r="SFW17" s="8"/>
      <c r="SFX17" s="8"/>
      <c r="SFY17" s="8"/>
      <c r="SFZ17" s="8"/>
      <c r="SGA17" s="8"/>
      <c r="SGB17" s="8"/>
      <c r="SGC17" s="8"/>
      <c r="SGD17" s="8"/>
      <c r="SGE17" s="8"/>
      <c r="SGF17" s="8"/>
      <c r="SGG17" s="8"/>
      <c r="SGH17" s="8"/>
      <c r="SGI17" s="8"/>
      <c r="SGJ17" s="8"/>
      <c r="SGK17" s="8"/>
      <c r="SGL17" s="8"/>
      <c r="SGM17" s="8"/>
      <c r="SGN17" s="8"/>
      <c r="SGO17" s="8"/>
      <c r="SGP17" s="8"/>
      <c r="SGQ17" s="8"/>
      <c r="SGR17" s="8"/>
      <c r="SGS17" s="8"/>
      <c r="SGT17" s="8"/>
      <c r="SGU17" s="8"/>
      <c r="SGV17" s="8"/>
      <c r="SGW17" s="8"/>
      <c r="SGX17" s="8"/>
      <c r="SGY17" s="8"/>
      <c r="SGZ17" s="8"/>
      <c r="SHA17" s="8"/>
      <c r="SHB17" s="8"/>
      <c r="SHC17" s="8"/>
      <c r="SHD17" s="8"/>
      <c r="SHE17" s="8"/>
      <c r="SHF17" s="8"/>
      <c r="SHG17" s="8"/>
      <c r="SHH17" s="8"/>
      <c r="SHI17" s="8"/>
      <c r="SHJ17" s="8"/>
      <c r="SHK17" s="8"/>
      <c r="SHL17" s="8"/>
      <c r="SHM17" s="8"/>
      <c r="SHN17" s="8"/>
      <c r="SHO17" s="8"/>
      <c r="SHP17" s="8"/>
      <c r="SHQ17" s="8"/>
      <c r="SHR17" s="8"/>
      <c r="SHS17" s="8"/>
      <c r="SHT17" s="8"/>
      <c r="SHU17" s="8"/>
      <c r="SHV17" s="8"/>
      <c r="SHW17" s="8"/>
      <c r="SHX17" s="8"/>
      <c r="SHY17" s="8"/>
      <c r="SHZ17" s="8"/>
      <c r="SIA17" s="8"/>
      <c r="SIB17" s="8"/>
      <c r="SIC17" s="8"/>
      <c r="SID17" s="8"/>
      <c r="SIE17" s="8"/>
      <c r="SIF17" s="8"/>
      <c r="SIG17" s="8"/>
      <c r="SIH17" s="8"/>
      <c r="SII17" s="8"/>
      <c r="SIJ17" s="8"/>
      <c r="SIK17" s="8"/>
      <c r="SIL17" s="8"/>
      <c r="SIM17" s="8"/>
      <c r="SIN17" s="8"/>
      <c r="SIO17" s="8"/>
      <c r="SIP17" s="8"/>
      <c r="SIQ17" s="8"/>
      <c r="SIR17" s="8"/>
      <c r="SIS17" s="8"/>
      <c r="SIT17" s="8"/>
      <c r="SIU17" s="8"/>
      <c r="SIV17" s="8"/>
      <c r="SIW17" s="8"/>
      <c r="SIX17" s="8"/>
      <c r="SIY17" s="8"/>
      <c r="SIZ17" s="8"/>
      <c r="SJA17" s="8"/>
      <c r="SJB17" s="8"/>
      <c r="SJC17" s="8"/>
      <c r="SJD17" s="8"/>
      <c r="SJE17" s="8"/>
      <c r="SJF17" s="8"/>
      <c r="SJG17" s="8"/>
      <c r="SJH17" s="8"/>
      <c r="SJI17" s="8"/>
      <c r="SJJ17" s="8"/>
      <c r="SJK17" s="8"/>
      <c r="SJL17" s="8"/>
      <c r="SJM17" s="8"/>
      <c r="SJN17" s="8"/>
      <c r="SJO17" s="8"/>
      <c r="SJP17" s="8"/>
      <c r="SJQ17" s="8"/>
      <c r="SJR17" s="8"/>
      <c r="SJS17" s="8"/>
      <c r="SJT17" s="8"/>
      <c r="SJU17" s="8"/>
      <c r="SJV17" s="8"/>
      <c r="SJW17" s="8"/>
      <c r="SJX17" s="8"/>
      <c r="SJY17" s="8"/>
      <c r="SJZ17" s="8"/>
      <c r="SKA17" s="8"/>
      <c r="SKB17" s="8"/>
      <c r="SKC17" s="8"/>
      <c r="SKD17" s="8"/>
      <c r="SKE17" s="8"/>
      <c r="SKF17" s="8"/>
      <c r="SKG17" s="8"/>
      <c r="SKH17" s="8"/>
      <c r="SKI17" s="8"/>
      <c r="SKJ17" s="8"/>
      <c r="SKK17" s="8"/>
      <c r="SKL17" s="8"/>
      <c r="SKM17" s="8"/>
      <c r="SKN17" s="8"/>
      <c r="SKO17" s="8"/>
      <c r="SKP17" s="8"/>
      <c r="SKQ17" s="8"/>
      <c r="SKR17" s="8"/>
      <c r="SKS17" s="8"/>
      <c r="SKT17" s="8"/>
      <c r="SKU17" s="8"/>
      <c r="SKV17" s="8"/>
      <c r="SKW17" s="8"/>
      <c r="SKX17" s="8"/>
      <c r="SKY17" s="8"/>
      <c r="SKZ17" s="8"/>
      <c r="SLA17" s="8"/>
      <c r="SLB17" s="8"/>
      <c r="SLC17" s="8"/>
      <c r="SLD17" s="8"/>
      <c r="SLE17" s="8"/>
      <c r="SLF17" s="8"/>
      <c r="SLG17" s="8"/>
      <c r="SLH17" s="8"/>
      <c r="SLI17" s="8"/>
      <c r="SLJ17" s="8"/>
      <c r="SLK17" s="8"/>
      <c r="SLL17" s="8"/>
      <c r="SLM17" s="8"/>
      <c r="SLN17" s="8"/>
      <c r="SLO17" s="8"/>
      <c r="SLP17" s="8"/>
      <c r="SLQ17" s="8"/>
      <c r="SLR17" s="8"/>
      <c r="SLS17" s="8"/>
      <c r="SLT17" s="8"/>
      <c r="SLU17" s="8"/>
      <c r="SLV17" s="8"/>
      <c r="SLW17" s="8"/>
      <c r="SLX17" s="8"/>
      <c r="SLY17" s="8"/>
      <c r="SLZ17" s="8"/>
      <c r="SMA17" s="8"/>
      <c r="SMB17" s="8"/>
      <c r="SMC17" s="8"/>
      <c r="SMD17" s="8"/>
      <c r="SME17" s="8"/>
      <c r="SMF17" s="8"/>
      <c r="SMG17" s="8"/>
      <c r="SMH17" s="8"/>
      <c r="SMI17" s="8"/>
      <c r="SMJ17" s="8"/>
      <c r="SMK17" s="8"/>
      <c r="SML17" s="8"/>
      <c r="SMM17" s="8"/>
      <c r="SMN17" s="8"/>
      <c r="SMO17" s="8"/>
      <c r="SMP17" s="8"/>
      <c r="SMQ17" s="8"/>
      <c r="SMR17" s="8"/>
      <c r="SMS17" s="8"/>
      <c r="SMT17" s="8"/>
      <c r="SMU17" s="8"/>
      <c r="SMV17" s="8"/>
      <c r="SMW17" s="8"/>
      <c r="SMX17" s="8"/>
      <c r="SMY17" s="8"/>
      <c r="SMZ17" s="8"/>
      <c r="SNA17" s="8"/>
      <c r="SNB17" s="8"/>
      <c r="SNC17" s="8"/>
      <c r="SND17" s="8"/>
      <c r="SNE17" s="8"/>
      <c r="SNF17" s="8"/>
      <c r="SNG17" s="8"/>
      <c r="SNH17" s="8"/>
      <c r="SNI17" s="8"/>
      <c r="SNJ17" s="8"/>
      <c r="SNK17" s="8"/>
      <c r="SNL17" s="8"/>
      <c r="SNM17" s="8"/>
      <c r="SNN17" s="8"/>
      <c r="SNO17" s="8"/>
      <c r="SNP17" s="8"/>
      <c r="SNQ17" s="8"/>
      <c r="SNR17" s="8"/>
      <c r="SNS17" s="8"/>
      <c r="SNT17" s="8"/>
      <c r="SNU17" s="8"/>
      <c r="SNV17" s="8"/>
      <c r="SNW17" s="8"/>
      <c r="SNX17" s="8"/>
      <c r="SNY17" s="8"/>
      <c r="SNZ17" s="8"/>
      <c r="SOA17" s="8"/>
      <c r="SOB17" s="8"/>
      <c r="SOC17" s="8"/>
      <c r="SOD17" s="8"/>
      <c r="SOE17" s="8"/>
      <c r="SOF17" s="8"/>
      <c r="SOG17" s="8"/>
      <c r="SOH17" s="8"/>
      <c r="SOI17" s="8"/>
      <c r="SOJ17" s="8"/>
      <c r="SOK17" s="8"/>
      <c r="SOL17" s="8"/>
      <c r="SOM17" s="8"/>
      <c r="SON17" s="8"/>
      <c r="SOO17" s="8"/>
      <c r="SOP17" s="8"/>
      <c r="SOQ17" s="8"/>
      <c r="SOR17" s="8"/>
      <c r="SOS17" s="8"/>
      <c r="SOT17" s="8"/>
      <c r="SOU17" s="8"/>
      <c r="SOV17" s="8"/>
      <c r="SOW17" s="8"/>
      <c r="SOX17" s="8"/>
      <c r="SOY17" s="8"/>
      <c r="SOZ17" s="8"/>
      <c r="SPA17" s="8"/>
      <c r="SPB17" s="8"/>
      <c r="SPC17" s="8"/>
      <c r="SPD17" s="8"/>
      <c r="SPE17" s="8"/>
      <c r="SPF17" s="8"/>
      <c r="SPG17" s="8"/>
      <c r="SPH17" s="8"/>
      <c r="SPI17" s="8"/>
      <c r="SPJ17" s="8"/>
      <c r="SPK17" s="8"/>
      <c r="SPL17" s="8"/>
      <c r="SPM17" s="8"/>
      <c r="SPN17" s="8"/>
      <c r="SPO17" s="8"/>
      <c r="SPP17" s="8"/>
      <c r="SPQ17" s="8"/>
      <c r="SPR17" s="8"/>
      <c r="SPS17" s="8"/>
      <c r="SPT17" s="8"/>
      <c r="SPU17" s="8"/>
      <c r="SPV17" s="8"/>
      <c r="SPW17" s="8"/>
      <c r="SPX17" s="8"/>
      <c r="SPY17" s="8"/>
      <c r="SPZ17" s="8"/>
      <c r="SQA17" s="8"/>
      <c r="SQB17" s="8"/>
      <c r="SQC17" s="8"/>
      <c r="SQD17" s="8"/>
      <c r="SQE17" s="8"/>
      <c r="SQF17" s="8"/>
      <c r="SQG17" s="8"/>
      <c r="SQH17" s="8"/>
      <c r="SQI17" s="8"/>
      <c r="SQJ17" s="8"/>
      <c r="SQK17" s="8"/>
      <c r="SQL17" s="8"/>
      <c r="SQM17" s="8"/>
      <c r="SQN17" s="8"/>
      <c r="SQO17" s="8"/>
      <c r="SQP17" s="8"/>
      <c r="SQQ17" s="8"/>
      <c r="SQR17" s="8"/>
      <c r="SQS17" s="8"/>
      <c r="SQT17" s="8"/>
      <c r="SQU17" s="8"/>
      <c r="SQV17" s="8"/>
      <c r="SQW17" s="8"/>
      <c r="SQX17" s="8"/>
      <c r="SQY17" s="8"/>
      <c r="SQZ17" s="8"/>
      <c r="SRA17" s="8"/>
      <c r="SRB17" s="8"/>
      <c r="SRC17" s="8"/>
      <c r="SRD17" s="8"/>
      <c r="SRE17" s="8"/>
      <c r="SRF17" s="8"/>
      <c r="SRG17" s="8"/>
      <c r="SRH17" s="8"/>
      <c r="SRI17" s="8"/>
      <c r="SRJ17" s="8"/>
      <c r="SRK17" s="8"/>
      <c r="SRL17" s="8"/>
      <c r="SRM17" s="8"/>
      <c r="SRN17" s="8"/>
      <c r="SRO17" s="8"/>
      <c r="SRP17" s="8"/>
      <c r="SRQ17" s="8"/>
      <c r="SRR17" s="8"/>
      <c r="SRS17" s="8"/>
      <c r="SRT17" s="8"/>
      <c r="SRU17" s="8"/>
      <c r="SRV17" s="8"/>
      <c r="SRW17" s="8"/>
      <c r="SRX17" s="8"/>
      <c r="SRY17" s="8"/>
      <c r="SRZ17" s="8"/>
      <c r="SSA17" s="8"/>
      <c r="SSB17" s="8"/>
      <c r="SSC17" s="8"/>
      <c r="SSD17" s="8"/>
      <c r="SSE17" s="8"/>
      <c r="SSF17" s="8"/>
      <c r="SSG17" s="8"/>
      <c r="SSH17" s="8"/>
      <c r="SSI17" s="8"/>
      <c r="SSJ17" s="8"/>
      <c r="SSK17" s="8"/>
      <c r="SSL17" s="8"/>
      <c r="SSM17" s="8"/>
      <c r="SSN17" s="8"/>
      <c r="SSO17" s="8"/>
      <c r="SSP17" s="8"/>
      <c r="SSQ17" s="8"/>
      <c r="SSR17" s="8"/>
      <c r="SSS17" s="8"/>
      <c r="SST17" s="8"/>
      <c r="SSU17" s="8"/>
      <c r="SSV17" s="8"/>
      <c r="SSW17" s="8"/>
      <c r="SSX17" s="8"/>
      <c r="SSY17" s="8"/>
      <c r="SSZ17" s="8"/>
      <c r="STA17" s="8"/>
      <c r="STB17" s="8"/>
      <c r="STC17" s="8"/>
      <c r="STD17" s="8"/>
      <c r="STE17" s="8"/>
      <c r="STF17" s="8"/>
      <c r="STG17" s="8"/>
      <c r="STH17" s="8"/>
      <c r="STI17" s="8"/>
      <c r="STJ17" s="8"/>
      <c r="STK17" s="8"/>
      <c r="STL17" s="8"/>
      <c r="STM17" s="8"/>
      <c r="STN17" s="8"/>
      <c r="STO17" s="8"/>
      <c r="STP17" s="8"/>
      <c r="STQ17" s="8"/>
      <c r="STR17" s="8"/>
      <c r="STS17" s="8"/>
      <c r="STT17" s="8"/>
      <c r="STU17" s="8"/>
      <c r="STV17" s="8"/>
      <c r="STW17" s="8"/>
      <c r="STX17" s="8"/>
      <c r="STY17" s="8"/>
      <c r="STZ17" s="8"/>
      <c r="SUA17" s="8"/>
      <c r="SUB17" s="8"/>
      <c r="SUC17" s="8"/>
      <c r="SUD17" s="8"/>
      <c r="SUE17" s="8"/>
      <c r="SUF17" s="8"/>
      <c r="SUG17" s="8"/>
      <c r="SUH17" s="8"/>
      <c r="SUI17" s="8"/>
      <c r="SUJ17" s="8"/>
      <c r="SUK17" s="8"/>
      <c r="SUL17" s="8"/>
      <c r="SUM17" s="8"/>
      <c r="SUN17" s="8"/>
      <c r="SUO17" s="8"/>
      <c r="SUP17" s="8"/>
      <c r="SUQ17" s="8"/>
      <c r="SUR17" s="8"/>
      <c r="SUS17" s="8"/>
      <c r="SUT17" s="8"/>
      <c r="SUU17" s="8"/>
      <c r="SUV17" s="8"/>
      <c r="SUW17" s="8"/>
      <c r="SUX17" s="8"/>
      <c r="SUY17" s="8"/>
      <c r="SUZ17" s="8"/>
      <c r="SVA17" s="8"/>
      <c r="SVB17" s="8"/>
      <c r="SVC17" s="8"/>
      <c r="SVD17" s="8"/>
      <c r="SVE17" s="8"/>
      <c r="SVF17" s="8"/>
      <c r="SVG17" s="8"/>
      <c r="SVH17" s="8"/>
      <c r="SVI17" s="8"/>
      <c r="SVJ17" s="8"/>
      <c r="SVK17" s="8"/>
      <c r="SVL17" s="8"/>
      <c r="SVM17" s="8"/>
      <c r="SVN17" s="8"/>
      <c r="SVO17" s="8"/>
      <c r="SVP17" s="8"/>
      <c r="SVQ17" s="8"/>
      <c r="SVR17" s="8"/>
      <c r="SVS17" s="8"/>
      <c r="SVT17" s="8"/>
      <c r="SVU17" s="8"/>
      <c r="SVV17" s="8"/>
      <c r="SVW17" s="8"/>
      <c r="SVX17" s="8"/>
      <c r="SVY17" s="8"/>
      <c r="SVZ17" s="8"/>
      <c r="SWA17" s="8"/>
      <c r="SWB17" s="8"/>
      <c r="SWC17" s="8"/>
      <c r="SWD17" s="8"/>
      <c r="SWE17" s="8"/>
      <c r="SWF17" s="8"/>
      <c r="SWG17" s="8"/>
      <c r="SWH17" s="8"/>
      <c r="SWI17" s="8"/>
      <c r="SWJ17" s="8"/>
      <c r="SWK17" s="8"/>
      <c r="SWL17" s="8"/>
      <c r="SWM17" s="8"/>
      <c r="SWN17" s="8"/>
      <c r="SWO17" s="8"/>
      <c r="SWP17" s="8"/>
      <c r="SWQ17" s="8"/>
      <c r="SWR17" s="8"/>
      <c r="SWS17" s="8"/>
      <c r="SWT17" s="8"/>
      <c r="SWU17" s="8"/>
      <c r="SWV17" s="8"/>
      <c r="SWW17" s="8"/>
      <c r="SWX17" s="8"/>
      <c r="SWY17" s="8"/>
      <c r="SWZ17" s="8"/>
      <c r="SXA17" s="8"/>
      <c r="SXB17" s="8"/>
      <c r="SXC17" s="8"/>
      <c r="SXD17" s="8"/>
      <c r="SXE17" s="8"/>
      <c r="SXF17" s="8"/>
      <c r="SXG17" s="8"/>
      <c r="SXH17" s="8"/>
      <c r="SXI17" s="8"/>
      <c r="SXJ17" s="8"/>
      <c r="SXK17" s="8"/>
      <c r="SXL17" s="8"/>
      <c r="SXM17" s="8"/>
      <c r="SXN17" s="8"/>
      <c r="SXO17" s="8"/>
      <c r="SXP17" s="8"/>
      <c r="SXQ17" s="8"/>
      <c r="SXR17" s="8"/>
      <c r="SXS17" s="8"/>
      <c r="SXT17" s="8"/>
      <c r="SXU17" s="8"/>
      <c r="SXV17" s="8"/>
      <c r="SXW17" s="8"/>
      <c r="SXX17" s="8"/>
      <c r="SXY17" s="8"/>
      <c r="SXZ17" s="8"/>
      <c r="SYA17" s="8"/>
      <c r="SYB17" s="8"/>
      <c r="SYC17" s="8"/>
      <c r="SYD17" s="8"/>
      <c r="SYE17" s="8"/>
      <c r="SYF17" s="8"/>
      <c r="SYG17" s="8"/>
      <c r="SYH17" s="8"/>
      <c r="SYI17" s="8"/>
      <c r="SYJ17" s="8"/>
      <c r="SYK17" s="8"/>
      <c r="SYL17" s="8"/>
      <c r="SYM17" s="8"/>
      <c r="SYN17" s="8"/>
      <c r="SYO17" s="8"/>
      <c r="SYP17" s="8"/>
      <c r="SYQ17" s="8"/>
      <c r="SYR17" s="8"/>
      <c r="SYS17" s="8"/>
      <c r="SYT17" s="8"/>
      <c r="SYU17" s="8"/>
      <c r="SYV17" s="8"/>
      <c r="SYW17" s="8"/>
      <c r="SYX17" s="8"/>
      <c r="SYY17" s="8"/>
      <c r="SYZ17" s="8"/>
      <c r="SZA17" s="8"/>
      <c r="SZB17" s="8"/>
      <c r="SZC17" s="8"/>
      <c r="SZD17" s="8"/>
      <c r="SZE17" s="8"/>
      <c r="SZF17" s="8"/>
      <c r="SZG17" s="8"/>
      <c r="SZH17" s="8"/>
      <c r="SZI17" s="8"/>
      <c r="SZJ17" s="8"/>
      <c r="SZK17" s="8"/>
      <c r="SZL17" s="8"/>
      <c r="SZM17" s="8"/>
      <c r="SZN17" s="8"/>
      <c r="SZO17" s="8"/>
      <c r="SZP17" s="8"/>
      <c r="SZQ17" s="8"/>
      <c r="SZR17" s="8"/>
      <c r="SZS17" s="8"/>
      <c r="SZT17" s="8"/>
      <c r="SZU17" s="8"/>
      <c r="SZV17" s="8"/>
      <c r="SZW17" s="8"/>
      <c r="SZX17" s="8"/>
      <c r="SZY17" s="8"/>
      <c r="SZZ17" s="8"/>
      <c r="TAA17" s="8"/>
      <c r="TAB17" s="8"/>
      <c r="TAC17" s="8"/>
      <c r="TAD17" s="8"/>
      <c r="TAE17" s="8"/>
      <c r="TAF17" s="8"/>
      <c r="TAG17" s="8"/>
      <c r="TAH17" s="8"/>
      <c r="TAI17" s="8"/>
      <c r="TAJ17" s="8"/>
      <c r="TAK17" s="8"/>
      <c r="TAL17" s="8"/>
      <c r="TAM17" s="8"/>
      <c r="TAN17" s="8"/>
      <c r="TAO17" s="8"/>
      <c r="TAP17" s="8"/>
      <c r="TAQ17" s="8"/>
      <c r="TAR17" s="8"/>
      <c r="TAS17" s="8"/>
      <c r="TAT17" s="8"/>
      <c r="TAU17" s="8"/>
      <c r="TAV17" s="8"/>
      <c r="TAW17" s="8"/>
      <c r="TAX17" s="8"/>
      <c r="TAY17" s="8"/>
      <c r="TAZ17" s="8"/>
      <c r="TBA17" s="8"/>
      <c r="TBB17" s="8"/>
      <c r="TBC17" s="8"/>
      <c r="TBD17" s="8"/>
      <c r="TBE17" s="8"/>
      <c r="TBF17" s="8"/>
      <c r="TBG17" s="8"/>
      <c r="TBH17" s="8"/>
      <c r="TBI17" s="8"/>
      <c r="TBJ17" s="8"/>
      <c r="TBK17" s="8"/>
      <c r="TBL17" s="8"/>
      <c r="TBM17" s="8"/>
      <c r="TBN17" s="8"/>
      <c r="TBO17" s="8"/>
      <c r="TBP17" s="8"/>
      <c r="TBQ17" s="8"/>
      <c r="TBR17" s="8"/>
      <c r="TBS17" s="8"/>
      <c r="TBT17" s="8"/>
      <c r="TBU17" s="8"/>
      <c r="TBV17" s="8"/>
      <c r="TBW17" s="8"/>
      <c r="TBX17" s="8"/>
      <c r="TBY17" s="8"/>
      <c r="TBZ17" s="8"/>
      <c r="TCA17" s="8"/>
      <c r="TCB17" s="8"/>
      <c r="TCC17" s="8"/>
      <c r="TCD17" s="8"/>
      <c r="TCE17" s="8"/>
      <c r="TCF17" s="8"/>
      <c r="TCG17" s="8"/>
      <c r="TCH17" s="8"/>
      <c r="TCI17" s="8"/>
      <c r="TCJ17" s="8"/>
      <c r="TCK17" s="8"/>
      <c r="TCL17" s="8"/>
      <c r="TCM17" s="8"/>
      <c r="TCN17" s="8"/>
      <c r="TCO17" s="8"/>
      <c r="TCP17" s="8"/>
      <c r="TCQ17" s="8"/>
      <c r="TCR17" s="8"/>
      <c r="TCS17" s="8"/>
      <c r="TCT17" s="8"/>
      <c r="TCU17" s="8"/>
      <c r="TCV17" s="8"/>
      <c r="TCW17" s="8"/>
      <c r="TCX17" s="8"/>
      <c r="TCY17" s="8"/>
      <c r="TCZ17" s="8"/>
      <c r="TDA17" s="8"/>
      <c r="TDB17" s="8"/>
      <c r="TDC17" s="8"/>
      <c r="TDD17" s="8"/>
      <c r="TDE17" s="8"/>
      <c r="TDF17" s="8"/>
      <c r="TDG17" s="8"/>
      <c r="TDH17" s="8"/>
      <c r="TDI17" s="8"/>
      <c r="TDJ17" s="8"/>
      <c r="TDK17" s="8"/>
      <c r="TDL17" s="8"/>
      <c r="TDM17" s="8"/>
      <c r="TDN17" s="8"/>
      <c r="TDO17" s="8"/>
      <c r="TDP17" s="8"/>
      <c r="TDQ17" s="8"/>
      <c r="TDR17" s="8"/>
      <c r="TDS17" s="8"/>
      <c r="TDT17" s="8"/>
      <c r="TDU17" s="8"/>
      <c r="TDV17" s="8"/>
      <c r="TDW17" s="8"/>
      <c r="TDX17" s="8"/>
      <c r="TDY17" s="8"/>
      <c r="TDZ17" s="8"/>
      <c r="TEA17" s="8"/>
      <c r="TEB17" s="8"/>
      <c r="TEC17" s="8"/>
      <c r="TED17" s="8"/>
      <c r="TEE17" s="8"/>
      <c r="TEF17" s="8"/>
      <c r="TEG17" s="8"/>
      <c r="TEH17" s="8"/>
      <c r="TEI17" s="8"/>
      <c r="TEJ17" s="8"/>
      <c r="TEK17" s="8"/>
      <c r="TEL17" s="8"/>
      <c r="TEM17" s="8"/>
      <c r="TEN17" s="8"/>
      <c r="TEO17" s="8"/>
      <c r="TEP17" s="8"/>
      <c r="TEQ17" s="8"/>
      <c r="TER17" s="8"/>
      <c r="TES17" s="8"/>
      <c r="TET17" s="8"/>
      <c r="TEU17" s="8"/>
      <c r="TEV17" s="8"/>
      <c r="TEW17" s="8"/>
      <c r="TEX17" s="8"/>
      <c r="TEY17" s="8"/>
      <c r="TEZ17" s="8"/>
      <c r="TFA17" s="8"/>
      <c r="TFB17" s="8"/>
      <c r="TFC17" s="8"/>
      <c r="TFD17" s="8"/>
      <c r="TFE17" s="8"/>
      <c r="TFF17" s="8"/>
      <c r="TFG17" s="8"/>
      <c r="TFH17" s="8"/>
      <c r="TFI17" s="8"/>
      <c r="TFJ17" s="8"/>
      <c r="TFK17" s="8"/>
      <c r="TFL17" s="8"/>
      <c r="TFM17" s="8"/>
      <c r="TFN17" s="8"/>
      <c r="TFO17" s="8"/>
      <c r="TFP17" s="8"/>
      <c r="TFQ17" s="8"/>
      <c r="TFR17" s="8"/>
      <c r="TFS17" s="8"/>
      <c r="TFT17" s="8"/>
      <c r="TFU17" s="8"/>
      <c r="TFV17" s="8"/>
      <c r="TFW17" s="8"/>
      <c r="TFX17" s="8"/>
      <c r="TFY17" s="8"/>
      <c r="TFZ17" s="8"/>
      <c r="TGA17" s="8"/>
      <c r="TGB17" s="8"/>
      <c r="TGC17" s="8"/>
      <c r="TGD17" s="8"/>
      <c r="TGE17" s="8"/>
      <c r="TGF17" s="8"/>
      <c r="TGG17" s="8"/>
      <c r="TGH17" s="8"/>
      <c r="TGI17" s="8"/>
      <c r="TGJ17" s="8"/>
      <c r="TGK17" s="8"/>
      <c r="TGL17" s="8"/>
      <c r="TGM17" s="8"/>
      <c r="TGN17" s="8"/>
      <c r="TGO17" s="8"/>
      <c r="TGP17" s="8"/>
      <c r="TGQ17" s="8"/>
      <c r="TGR17" s="8"/>
      <c r="TGS17" s="8"/>
      <c r="TGT17" s="8"/>
      <c r="TGU17" s="8"/>
      <c r="TGV17" s="8"/>
      <c r="TGW17" s="8"/>
      <c r="TGX17" s="8"/>
      <c r="TGY17" s="8"/>
      <c r="TGZ17" s="8"/>
      <c r="THA17" s="8"/>
      <c r="THB17" s="8"/>
      <c r="THC17" s="8"/>
      <c r="THD17" s="8"/>
      <c r="THE17" s="8"/>
      <c r="THF17" s="8"/>
      <c r="THG17" s="8"/>
      <c r="THH17" s="8"/>
      <c r="THI17" s="8"/>
      <c r="THJ17" s="8"/>
      <c r="THK17" s="8"/>
      <c r="THL17" s="8"/>
      <c r="THM17" s="8"/>
      <c r="THN17" s="8"/>
      <c r="THO17" s="8"/>
      <c r="THP17" s="8"/>
      <c r="THQ17" s="8"/>
      <c r="THR17" s="8"/>
      <c r="THS17" s="8"/>
      <c r="THT17" s="8"/>
      <c r="THU17" s="8"/>
      <c r="THV17" s="8"/>
      <c r="THW17" s="8"/>
      <c r="THX17" s="8"/>
      <c r="THY17" s="8"/>
      <c r="THZ17" s="8"/>
      <c r="TIA17" s="8"/>
      <c r="TIB17" s="8"/>
      <c r="TIC17" s="8"/>
      <c r="TID17" s="8"/>
      <c r="TIE17" s="8"/>
      <c r="TIF17" s="8"/>
      <c r="TIG17" s="8"/>
      <c r="TIH17" s="8"/>
      <c r="TII17" s="8"/>
      <c r="TIJ17" s="8"/>
      <c r="TIK17" s="8"/>
      <c r="TIL17" s="8"/>
      <c r="TIM17" s="8"/>
      <c r="TIN17" s="8"/>
      <c r="TIO17" s="8"/>
      <c r="TIP17" s="8"/>
      <c r="TIQ17" s="8"/>
      <c r="TIR17" s="8"/>
      <c r="TIS17" s="8"/>
      <c r="TIT17" s="8"/>
      <c r="TIU17" s="8"/>
      <c r="TIV17" s="8"/>
      <c r="TIW17" s="8"/>
      <c r="TIX17" s="8"/>
      <c r="TIY17" s="8"/>
      <c r="TIZ17" s="8"/>
      <c r="TJA17" s="8"/>
      <c r="TJB17" s="8"/>
      <c r="TJC17" s="8"/>
      <c r="TJD17" s="8"/>
      <c r="TJE17" s="8"/>
      <c r="TJF17" s="8"/>
      <c r="TJG17" s="8"/>
      <c r="TJH17" s="8"/>
      <c r="TJI17" s="8"/>
      <c r="TJJ17" s="8"/>
      <c r="TJK17" s="8"/>
      <c r="TJL17" s="8"/>
      <c r="TJM17" s="8"/>
      <c r="TJN17" s="8"/>
      <c r="TJO17" s="8"/>
      <c r="TJP17" s="8"/>
      <c r="TJQ17" s="8"/>
      <c r="TJR17" s="8"/>
      <c r="TJS17" s="8"/>
      <c r="TJT17" s="8"/>
      <c r="TJU17" s="8"/>
      <c r="TJV17" s="8"/>
      <c r="TJW17" s="8"/>
      <c r="TJX17" s="8"/>
      <c r="TJY17" s="8"/>
      <c r="TJZ17" s="8"/>
      <c r="TKA17" s="8"/>
      <c r="TKB17" s="8"/>
      <c r="TKC17" s="8"/>
      <c r="TKD17" s="8"/>
      <c r="TKE17" s="8"/>
      <c r="TKF17" s="8"/>
      <c r="TKG17" s="8"/>
      <c r="TKH17" s="8"/>
      <c r="TKI17" s="8"/>
      <c r="TKJ17" s="8"/>
      <c r="TKK17" s="8"/>
      <c r="TKL17" s="8"/>
      <c r="TKM17" s="8"/>
      <c r="TKN17" s="8"/>
      <c r="TKO17" s="8"/>
      <c r="TKP17" s="8"/>
      <c r="TKQ17" s="8"/>
      <c r="TKR17" s="8"/>
      <c r="TKS17" s="8"/>
      <c r="TKT17" s="8"/>
      <c r="TKU17" s="8"/>
      <c r="TKV17" s="8"/>
      <c r="TKW17" s="8"/>
      <c r="TKX17" s="8"/>
      <c r="TKY17" s="8"/>
      <c r="TKZ17" s="8"/>
      <c r="TLA17" s="8"/>
      <c r="TLB17" s="8"/>
      <c r="TLC17" s="8"/>
      <c r="TLD17" s="8"/>
      <c r="TLE17" s="8"/>
      <c r="TLF17" s="8"/>
      <c r="TLG17" s="8"/>
      <c r="TLH17" s="8"/>
      <c r="TLI17" s="8"/>
      <c r="TLJ17" s="8"/>
      <c r="TLK17" s="8"/>
      <c r="TLL17" s="8"/>
      <c r="TLM17" s="8"/>
      <c r="TLN17" s="8"/>
      <c r="TLO17" s="8"/>
      <c r="TLP17" s="8"/>
      <c r="TLQ17" s="8"/>
      <c r="TLR17" s="8"/>
      <c r="TLS17" s="8"/>
      <c r="TLT17" s="8"/>
      <c r="TLU17" s="8"/>
      <c r="TLV17" s="8"/>
      <c r="TLW17" s="8"/>
      <c r="TLX17" s="8"/>
      <c r="TLY17" s="8"/>
      <c r="TLZ17" s="8"/>
      <c r="TMA17" s="8"/>
      <c r="TMB17" s="8"/>
      <c r="TMC17" s="8"/>
      <c r="TMD17" s="8"/>
      <c r="TME17" s="8"/>
      <c r="TMF17" s="8"/>
      <c r="TMG17" s="8"/>
      <c r="TMH17" s="8"/>
      <c r="TMI17" s="8"/>
      <c r="TMJ17" s="8"/>
      <c r="TMK17" s="8"/>
      <c r="TML17" s="8"/>
      <c r="TMM17" s="8"/>
      <c r="TMN17" s="8"/>
      <c r="TMO17" s="8"/>
      <c r="TMP17" s="8"/>
      <c r="TMQ17" s="8"/>
      <c r="TMR17" s="8"/>
      <c r="TMS17" s="8"/>
      <c r="TMT17" s="8"/>
      <c r="TMU17" s="8"/>
      <c r="TMV17" s="8"/>
      <c r="TMW17" s="8"/>
      <c r="TMX17" s="8"/>
      <c r="TMY17" s="8"/>
      <c r="TMZ17" s="8"/>
      <c r="TNA17" s="8"/>
      <c r="TNB17" s="8"/>
      <c r="TNC17" s="8"/>
      <c r="TND17" s="8"/>
      <c r="TNE17" s="8"/>
      <c r="TNF17" s="8"/>
      <c r="TNG17" s="8"/>
      <c r="TNH17" s="8"/>
      <c r="TNI17" s="8"/>
      <c r="TNJ17" s="8"/>
      <c r="TNK17" s="8"/>
      <c r="TNL17" s="8"/>
      <c r="TNM17" s="8"/>
      <c r="TNN17" s="8"/>
      <c r="TNO17" s="8"/>
      <c r="TNP17" s="8"/>
      <c r="TNQ17" s="8"/>
      <c r="TNR17" s="8"/>
      <c r="TNS17" s="8"/>
      <c r="TNT17" s="8"/>
      <c r="TNU17" s="8"/>
      <c r="TNV17" s="8"/>
      <c r="TNW17" s="8"/>
      <c r="TNX17" s="8"/>
      <c r="TNY17" s="8"/>
      <c r="TNZ17" s="8"/>
      <c r="TOA17" s="8"/>
      <c r="TOB17" s="8"/>
      <c r="TOC17" s="8"/>
      <c r="TOD17" s="8"/>
      <c r="TOE17" s="8"/>
      <c r="TOF17" s="8"/>
      <c r="TOG17" s="8"/>
      <c r="TOH17" s="8"/>
      <c r="TOI17" s="8"/>
      <c r="TOJ17" s="8"/>
      <c r="TOK17" s="8"/>
      <c r="TOL17" s="8"/>
      <c r="TOM17" s="8"/>
      <c r="TON17" s="8"/>
      <c r="TOO17" s="8"/>
      <c r="TOP17" s="8"/>
      <c r="TOQ17" s="8"/>
      <c r="TOR17" s="8"/>
      <c r="TOS17" s="8"/>
      <c r="TOT17" s="8"/>
      <c r="TOU17" s="8"/>
      <c r="TOV17" s="8"/>
      <c r="TOW17" s="8"/>
      <c r="TOX17" s="8"/>
      <c r="TOY17" s="8"/>
      <c r="TOZ17" s="8"/>
      <c r="TPA17" s="8"/>
      <c r="TPB17" s="8"/>
      <c r="TPC17" s="8"/>
      <c r="TPD17" s="8"/>
      <c r="TPE17" s="8"/>
      <c r="TPF17" s="8"/>
      <c r="TPG17" s="8"/>
      <c r="TPH17" s="8"/>
      <c r="TPI17" s="8"/>
      <c r="TPJ17" s="8"/>
      <c r="TPK17" s="8"/>
      <c r="TPL17" s="8"/>
      <c r="TPM17" s="8"/>
      <c r="TPN17" s="8"/>
      <c r="TPO17" s="8"/>
      <c r="TPP17" s="8"/>
      <c r="TPQ17" s="8"/>
      <c r="TPR17" s="8"/>
      <c r="TPS17" s="8"/>
      <c r="TPT17" s="8"/>
      <c r="TPU17" s="8"/>
      <c r="TPV17" s="8"/>
      <c r="TPW17" s="8"/>
      <c r="TPX17" s="8"/>
      <c r="TPY17" s="8"/>
      <c r="TPZ17" s="8"/>
      <c r="TQA17" s="8"/>
      <c r="TQB17" s="8"/>
      <c r="TQC17" s="8"/>
      <c r="TQD17" s="8"/>
      <c r="TQE17" s="8"/>
      <c r="TQF17" s="8"/>
      <c r="TQG17" s="8"/>
      <c r="TQH17" s="8"/>
      <c r="TQI17" s="8"/>
      <c r="TQJ17" s="8"/>
      <c r="TQK17" s="8"/>
      <c r="TQL17" s="8"/>
      <c r="TQM17" s="8"/>
      <c r="TQN17" s="8"/>
      <c r="TQO17" s="8"/>
      <c r="TQP17" s="8"/>
      <c r="TQQ17" s="8"/>
      <c r="TQR17" s="8"/>
      <c r="TQS17" s="8"/>
      <c r="TQT17" s="8"/>
      <c r="TQU17" s="8"/>
      <c r="TQV17" s="8"/>
      <c r="TQW17" s="8"/>
      <c r="TQX17" s="8"/>
      <c r="TQY17" s="8"/>
      <c r="TQZ17" s="8"/>
      <c r="TRA17" s="8"/>
      <c r="TRB17" s="8"/>
      <c r="TRC17" s="8"/>
      <c r="TRD17" s="8"/>
      <c r="TRE17" s="8"/>
      <c r="TRF17" s="8"/>
      <c r="TRG17" s="8"/>
      <c r="TRH17" s="8"/>
      <c r="TRI17" s="8"/>
      <c r="TRJ17" s="8"/>
      <c r="TRK17" s="8"/>
      <c r="TRL17" s="8"/>
      <c r="TRM17" s="8"/>
      <c r="TRN17" s="8"/>
      <c r="TRO17" s="8"/>
      <c r="TRP17" s="8"/>
      <c r="TRQ17" s="8"/>
      <c r="TRR17" s="8"/>
      <c r="TRS17" s="8"/>
      <c r="TRT17" s="8"/>
      <c r="TRU17" s="8"/>
      <c r="TRV17" s="8"/>
      <c r="TRW17" s="8"/>
      <c r="TRX17" s="8"/>
      <c r="TRY17" s="8"/>
      <c r="TRZ17" s="8"/>
      <c r="TSA17" s="8"/>
      <c r="TSB17" s="8"/>
      <c r="TSC17" s="8"/>
      <c r="TSD17" s="8"/>
      <c r="TSE17" s="8"/>
      <c r="TSF17" s="8"/>
      <c r="TSG17" s="8"/>
      <c r="TSH17" s="8"/>
      <c r="TSI17" s="8"/>
      <c r="TSJ17" s="8"/>
      <c r="TSK17" s="8"/>
      <c r="TSL17" s="8"/>
      <c r="TSM17" s="8"/>
      <c r="TSN17" s="8"/>
      <c r="TSO17" s="8"/>
      <c r="TSP17" s="8"/>
      <c r="TSQ17" s="8"/>
      <c r="TSR17" s="8"/>
      <c r="TSS17" s="8"/>
      <c r="TST17" s="8"/>
      <c r="TSU17" s="8"/>
      <c r="TSV17" s="8"/>
      <c r="TSW17" s="8"/>
      <c r="TSX17" s="8"/>
      <c r="TSY17" s="8"/>
      <c r="TSZ17" s="8"/>
      <c r="TTA17" s="8"/>
      <c r="TTB17" s="8"/>
      <c r="TTC17" s="8"/>
      <c r="TTD17" s="8"/>
      <c r="TTE17" s="8"/>
      <c r="TTF17" s="8"/>
      <c r="TTG17" s="8"/>
      <c r="TTH17" s="8"/>
      <c r="TTI17" s="8"/>
      <c r="TTJ17" s="8"/>
      <c r="TTK17" s="8"/>
      <c r="TTL17" s="8"/>
      <c r="TTM17" s="8"/>
      <c r="TTN17" s="8"/>
      <c r="TTO17" s="8"/>
      <c r="TTP17" s="8"/>
      <c r="TTQ17" s="8"/>
      <c r="TTR17" s="8"/>
      <c r="TTS17" s="8"/>
      <c r="TTT17" s="8"/>
      <c r="TTU17" s="8"/>
      <c r="TTV17" s="8"/>
      <c r="TTW17" s="8"/>
      <c r="TTX17" s="8"/>
      <c r="TTY17" s="8"/>
      <c r="TTZ17" s="8"/>
      <c r="TUA17" s="8"/>
      <c r="TUB17" s="8"/>
      <c r="TUC17" s="8"/>
      <c r="TUD17" s="8"/>
      <c r="TUE17" s="8"/>
      <c r="TUF17" s="8"/>
      <c r="TUG17" s="8"/>
      <c r="TUH17" s="8"/>
      <c r="TUI17" s="8"/>
      <c r="TUJ17" s="8"/>
      <c r="TUK17" s="8"/>
      <c r="TUL17" s="8"/>
      <c r="TUM17" s="8"/>
      <c r="TUN17" s="8"/>
      <c r="TUO17" s="8"/>
      <c r="TUP17" s="8"/>
      <c r="TUQ17" s="8"/>
      <c r="TUR17" s="8"/>
      <c r="TUS17" s="8"/>
      <c r="TUT17" s="8"/>
      <c r="TUU17" s="8"/>
      <c r="TUV17" s="8"/>
      <c r="TUW17" s="8"/>
      <c r="TUX17" s="8"/>
      <c r="TUY17" s="8"/>
      <c r="TUZ17" s="8"/>
      <c r="TVA17" s="8"/>
      <c r="TVB17" s="8"/>
      <c r="TVC17" s="8"/>
      <c r="TVD17" s="8"/>
      <c r="TVE17" s="8"/>
      <c r="TVF17" s="8"/>
      <c r="TVG17" s="8"/>
      <c r="TVH17" s="8"/>
      <c r="TVI17" s="8"/>
      <c r="TVJ17" s="8"/>
      <c r="TVK17" s="8"/>
      <c r="TVL17" s="8"/>
      <c r="TVM17" s="8"/>
      <c r="TVN17" s="8"/>
      <c r="TVO17" s="8"/>
      <c r="TVP17" s="8"/>
      <c r="TVQ17" s="8"/>
      <c r="TVR17" s="8"/>
      <c r="TVS17" s="8"/>
      <c r="TVT17" s="8"/>
      <c r="TVU17" s="8"/>
      <c r="TVV17" s="8"/>
      <c r="TVW17" s="8"/>
      <c r="TVX17" s="8"/>
      <c r="TVY17" s="8"/>
      <c r="TVZ17" s="8"/>
      <c r="TWA17" s="8"/>
      <c r="TWB17" s="8"/>
      <c r="TWC17" s="8"/>
      <c r="TWD17" s="8"/>
      <c r="TWE17" s="8"/>
      <c r="TWF17" s="8"/>
      <c r="TWG17" s="8"/>
      <c r="TWH17" s="8"/>
      <c r="TWI17" s="8"/>
      <c r="TWJ17" s="8"/>
      <c r="TWK17" s="8"/>
      <c r="TWL17" s="8"/>
      <c r="TWM17" s="8"/>
      <c r="TWN17" s="8"/>
      <c r="TWO17" s="8"/>
      <c r="TWP17" s="8"/>
      <c r="TWQ17" s="8"/>
      <c r="TWR17" s="8"/>
      <c r="TWS17" s="8"/>
      <c r="TWT17" s="8"/>
      <c r="TWU17" s="8"/>
      <c r="TWV17" s="8"/>
      <c r="TWW17" s="8"/>
      <c r="TWX17" s="8"/>
      <c r="TWY17" s="8"/>
      <c r="TWZ17" s="8"/>
      <c r="TXA17" s="8"/>
      <c r="TXB17" s="8"/>
      <c r="TXC17" s="8"/>
      <c r="TXD17" s="8"/>
      <c r="TXE17" s="8"/>
      <c r="TXF17" s="8"/>
      <c r="TXG17" s="8"/>
      <c r="TXH17" s="8"/>
      <c r="TXI17" s="8"/>
      <c r="TXJ17" s="8"/>
      <c r="TXK17" s="8"/>
      <c r="TXL17" s="8"/>
      <c r="TXM17" s="8"/>
      <c r="TXN17" s="8"/>
      <c r="TXO17" s="8"/>
      <c r="TXP17" s="8"/>
      <c r="TXQ17" s="8"/>
      <c r="TXR17" s="8"/>
      <c r="TXS17" s="8"/>
      <c r="TXT17" s="8"/>
      <c r="TXU17" s="8"/>
      <c r="TXV17" s="8"/>
      <c r="TXW17" s="8"/>
      <c r="TXX17" s="8"/>
      <c r="TXY17" s="8"/>
      <c r="TXZ17" s="8"/>
      <c r="TYA17" s="8"/>
      <c r="TYB17" s="8"/>
      <c r="TYC17" s="8"/>
      <c r="TYD17" s="8"/>
      <c r="TYE17" s="8"/>
      <c r="TYF17" s="8"/>
      <c r="TYG17" s="8"/>
      <c r="TYH17" s="8"/>
      <c r="TYI17" s="8"/>
      <c r="TYJ17" s="8"/>
      <c r="TYK17" s="8"/>
      <c r="TYL17" s="8"/>
      <c r="TYM17" s="8"/>
      <c r="TYN17" s="8"/>
      <c r="TYO17" s="8"/>
      <c r="TYP17" s="8"/>
      <c r="TYQ17" s="8"/>
      <c r="TYR17" s="8"/>
      <c r="TYS17" s="8"/>
      <c r="TYT17" s="8"/>
      <c r="TYU17" s="8"/>
      <c r="TYV17" s="8"/>
      <c r="TYW17" s="8"/>
      <c r="TYX17" s="8"/>
      <c r="TYY17" s="8"/>
      <c r="TYZ17" s="8"/>
      <c r="TZA17" s="8"/>
      <c r="TZB17" s="8"/>
      <c r="TZC17" s="8"/>
      <c r="TZD17" s="8"/>
      <c r="TZE17" s="8"/>
      <c r="TZF17" s="8"/>
      <c r="TZG17" s="8"/>
      <c r="TZH17" s="8"/>
      <c r="TZI17" s="8"/>
      <c r="TZJ17" s="8"/>
      <c r="TZK17" s="8"/>
      <c r="TZL17" s="8"/>
      <c r="TZM17" s="8"/>
      <c r="TZN17" s="8"/>
      <c r="TZO17" s="8"/>
      <c r="TZP17" s="8"/>
      <c r="TZQ17" s="8"/>
      <c r="TZR17" s="8"/>
      <c r="TZS17" s="8"/>
      <c r="TZT17" s="8"/>
      <c r="TZU17" s="8"/>
      <c r="TZV17" s="8"/>
      <c r="TZW17" s="8"/>
      <c r="TZX17" s="8"/>
      <c r="TZY17" s="8"/>
      <c r="TZZ17" s="8"/>
      <c r="UAA17" s="8"/>
      <c r="UAB17" s="8"/>
      <c r="UAC17" s="8"/>
      <c r="UAD17" s="8"/>
      <c r="UAE17" s="8"/>
      <c r="UAF17" s="8"/>
      <c r="UAG17" s="8"/>
      <c r="UAH17" s="8"/>
      <c r="UAI17" s="8"/>
      <c r="UAJ17" s="8"/>
      <c r="UAK17" s="8"/>
      <c r="UAL17" s="8"/>
      <c r="UAM17" s="8"/>
      <c r="UAN17" s="8"/>
      <c r="UAO17" s="8"/>
      <c r="UAP17" s="8"/>
      <c r="UAQ17" s="8"/>
      <c r="UAR17" s="8"/>
      <c r="UAS17" s="8"/>
      <c r="UAT17" s="8"/>
      <c r="UAU17" s="8"/>
      <c r="UAV17" s="8"/>
      <c r="UAW17" s="8"/>
      <c r="UAX17" s="8"/>
      <c r="UAY17" s="8"/>
      <c r="UAZ17" s="8"/>
      <c r="UBA17" s="8"/>
      <c r="UBB17" s="8"/>
      <c r="UBC17" s="8"/>
      <c r="UBD17" s="8"/>
      <c r="UBE17" s="8"/>
      <c r="UBF17" s="8"/>
      <c r="UBG17" s="8"/>
      <c r="UBH17" s="8"/>
      <c r="UBI17" s="8"/>
      <c r="UBJ17" s="8"/>
      <c r="UBK17" s="8"/>
      <c r="UBL17" s="8"/>
      <c r="UBM17" s="8"/>
      <c r="UBN17" s="8"/>
      <c r="UBO17" s="8"/>
      <c r="UBP17" s="8"/>
      <c r="UBQ17" s="8"/>
      <c r="UBR17" s="8"/>
      <c r="UBS17" s="8"/>
      <c r="UBT17" s="8"/>
      <c r="UBU17" s="8"/>
      <c r="UBV17" s="8"/>
      <c r="UBW17" s="8"/>
      <c r="UBX17" s="8"/>
      <c r="UBY17" s="8"/>
      <c r="UBZ17" s="8"/>
      <c r="UCA17" s="8"/>
      <c r="UCB17" s="8"/>
      <c r="UCC17" s="8"/>
      <c r="UCD17" s="8"/>
      <c r="UCE17" s="8"/>
      <c r="UCF17" s="8"/>
      <c r="UCG17" s="8"/>
      <c r="UCH17" s="8"/>
      <c r="UCI17" s="8"/>
      <c r="UCJ17" s="8"/>
      <c r="UCK17" s="8"/>
      <c r="UCL17" s="8"/>
      <c r="UCM17" s="8"/>
      <c r="UCN17" s="8"/>
      <c r="UCO17" s="8"/>
      <c r="UCP17" s="8"/>
      <c r="UCQ17" s="8"/>
      <c r="UCR17" s="8"/>
      <c r="UCS17" s="8"/>
      <c r="UCT17" s="8"/>
      <c r="UCU17" s="8"/>
      <c r="UCV17" s="8"/>
      <c r="UCW17" s="8"/>
      <c r="UCX17" s="8"/>
      <c r="UCY17" s="8"/>
      <c r="UCZ17" s="8"/>
      <c r="UDA17" s="8"/>
      <c r="UDB17" s="8"/>
      <c r="UDC17" s="8"/>
      <c r="UDD17" s="8"/>
      <c r="UDE17" s="8"/>
      <c r="UDF17" s="8"/>
      <c r="UDG17" s="8"/>
      <c r="UDH17" s="8"/>
      <c r="UDI17" s="8"/>
      <c r="UDJ17" s="8"/>
      <c r="UDK17" s="8"/>
      <c r="UDL17" s="8"/>
      <c r="UDM17" s="8"/>
      <c r="UDN17" s="8"/>
      <c r="UDO17" s="8"/>
      <c r="UDP17" s="8"/>
      <c r="UDQ17" s="8"/>
      <c r="UDR17" s="8"/>
      <c r="UDS17" s="8"/>
      <c r="UDT17" s="8"/>
      <c r="UDU17" s="8"/>
      <c r="UDV17" s="8"/>
      <c r="UDW17" s="8"/>
      <c r="UDX17" s="8"/>
      <c r="UDY17" s="8"/>
      <c r="UDZ17" s="8"/>
      <c r="UEA17" s="8"/>
      <c r="UEB17" s="8"/>
      <c r="UEC17" s="8"/>
      <c r="UED17" s="8"/>
      <c r="UEE17" s="8"/>
      <c r="UEF17" s="8"/>
      <c r="UEG17" s="8"/>
      <c r="UEH17" s="8"/>
      <c r="UEI17" s="8"/>
      <c r="UEJ17" s="8"/>
      <c r="UEK17" s="8"/>
      <c r="UEL17" s="8"/>
      <c r="UEM17" s="8"/>
      <c r="UEN17" s="8"/>
      <c r="UEO17" s="8"/>
      <c r="UEP17" s="8"/>
      <c r="UEQ17" s="8"/>
      <c r="UER17" s="8"/>
      <c r="UES17" s="8"/>
      <c r="UET17" s="8"/>
      <c r="UEU17" s="8"/>
      <c r="UEV17" s="8"/>
      <c r="UEW17" s="8"/>
      <c r="UEX17" s="8"/>
      <c r="UEY17" s="8"/>
      <c r="UEZ17" s="8"/>
      <c r="UFA17" s="8"/>
      <c r="UFB17" s="8"/>
      <c r="UFC17" s="8"/>
      <c r="UFD17" s="8"/>
      <c r="UFE17" s="8"/>
      <c r="UFF17" s="8"/>
      <c r="UFG17" s="8"/>
      <c r="UFH17" s="8"/>
      <c r="UFI17" s="8"/>
      <c r="UFJ17" s="8"/>
      <c r="UFK17" s="8"/>
      <c r="UFL17" s="8"/>
      <c r="UFM17" s="8"/>
      <c r="UFN17" s="8"/>
      <c r="UFO17" s="8"/>
      <c r="UFP17" s="8"/>
      <c r="UFQ17" s="8"/>
      <c r="UFR17" s="8"/>
      <c r="UFS17" s="8"/>
      <c r="UFT17" s="8"/>
      <c r="UFU17" s="8"/>
      <c r="UFV17" s="8"/>
      <c r="UFW17" s="8"/>
      <c r="UFX17" s="8"/>
      <c r="UFY17" s="8"/>
      <c r="UFZ17" s="8"/>
      <c r="UGA17" s="8"/>
      <c r="UGB17" s="8"/>
      <c r="UGC17" s="8"/>
      <c r="UGD17" s="8"/>
      <c r="UGE17" s="8"/>
      <c r="UGF17" s="8"/>
      <c r="UGG17" s="8"/>
      <c r="UGH17" s="8"/>
      <c r="UGI17" s="8"/>
      <c r="UGJ17" s="8"/>
      <c r="UGK17" s="8"/>
      <c r="UGL17" s="8"/>
      <c r="UGM17" s="8"/>
      <c r="UGN17" s="8"/>
      <c r="UGO17" s="8"/>
      <c r="UGP17" s="8"/>
      <c r="UGQ17" s="8"/>
      <c r="UGR17" s="8"/>
      <c r="UGS17" s="8"/>
      <c r="UGT17" s="8"/>
      <c r="UGU17" s="8"/>
      <c r="UGV17" s="8"/>
      <c r="UGW17" s="8"/>
      <c r="UGX17" s="8"/>
      <c r="UGY17" s="8"/>
      <c r="UGZ17" s="8"/>
      <c r="UHA17" s="8"/>
      <c r="UHB17" s="8"/>
      <c r="UHC17" s="8"/>
      <c r="UHD17" s="8"/>
      <c r="UHE17" s="8"/>
      <c r="UHF17" s="8"/>
      <c r="UHG17" s="8"/>
      <c r="UHH17" s="8"/>
      <c r="UHI17" s="8"/>
      <c r="UHJ17" s="8"/>
      <c r="UHK17" s="8"/>
      <c r="UHL17" s="8"/>
      <c r="UHM17" s="8"/>
      <c r="UHN17" s="8"/>
      <c r="UHO17" s="8"/>
      <c r="UHP17" s="8"/>
      <c r="UHQ17" s="8"/>
      <c r="UHR17" s="8"/>
      <c r="UHS17" s="8"/>
      <c r="UHT17" s="8"/>
      <c r="UHU17" s="8"/>
      <c r="UHV17" s="8"/>
      <c r="UHW17" s="8"/>
      <c r="UHX17" s="8"/>
      <c r="UHY17" s="8"/>
      <c r="UHZ17" s="8"/>
      <c r="UIA17" s="8"/>
      <c r="UIB17" s="8"/>
      <c r="UIC17" s="8"/>
      <c r="UID17" s="8"/>
      <c r="UIE17" s="8"/>
      <c r="UIF17" s="8"/>
      <c r="UIG17" s="8"/>
      <c r="UIH17" s="8"/>
      <c r="UII17" s="8"/>
      <c r="UIJ17" s="8"/>
      <c r="UIK17" s="8"/>
      <c r="UIL17" s="8"/>
      <c r="UIM17" s="8"/>
      <c r="UIN17" s="8"/>
      <c r="UIO17" s="8"/>
      <c r="UIP17" s="8"/>
      <c r="UIQ17" s="8"/>
      <c r="UIR17" s="8"/>
      <c r="UIS17" s="8"/>
      <c r="UIT17" s="8"/>
      <c r="UIU17" s="8"/>
      <c r="UIV17" s="8"/>
      <c r="UIW17" s="8"/>
      <c r="UIX17" s="8"/>
      <c r="UIY17" s="8"/>
      <c r="UIZ17" s="8"/>
      <c r="UJA17" s="8"/>
      <c r="UJB17" s="8"/>
      <c r="UJC17" s="8"/>
      <c r="UJD17" s="8"/>
      <c r="UJE17" s="8"/>
      <c r="UJF17" s="8"/>
      <c r="UJG17" s="8"/>
      <c r="UJH17" s="8"/>
      <c r="UJI17" s="8"/>
      <c r="UJJ17" s="8"/>
      <c r="UJK17" s="8"/>
      <c r="UJL17" s="8"/>
      <c r="UJM17" s="8"/>
      <c r="UJN17" s="8"/>
      <c r="UJO17" s="8"/>
      <c r="UJP17" s="8"/>
      <c r="UJQ17" s="8"/>
      <c r="UJR17" s="8"/>
      <c r="UJS17" s="8"/>
      <c r="UJT17" s="8"/>
      <c r="UJU17" s="8"/>
      <c r="UJV17" s="8"/>
      <c r="UJW17" s="8"/>
      <c r="UJX17" s="8"/>
      <c r="UJY17" s="8"/>
      <c r="UJZ17" s="8"/>
      <c r="UKA17" s="8"/>
      <c r="UKB17" s="8"/>
      <c r="UKC17" s="8"/>
      <c r="UKD17" s="8"/>
      <c r="UKE17" s="8"/>
      <c r="UKF17" s="8"/>
      <c r="UKG17" s="8"/>
      <c r="UKH17" s="8"/>
      <c r="UKI17" s="8"/>
      <c r="UKJ17" s="8"/>
      <c r="UKK17" s="8"/>
      <c r="UKL17" s="8"/>
      <c r="UKM17" s="8"/>
      <c r="UKN17" s="8"/>
      <c r="UKO17" s="8"/>
      <c r="UKP17" s="8"/>
      <c r="UKQ17" s="8"/>
      <c r="UKR17" s="8"/>
      <c r="UKS17" s="8"/>
      <c r="UKT17" s="8"/>
      <c r="UKU17" s="8"/>
      <c r="UKV17" s="8"/>
      <c r="UKW17" s="8"/>
      <c r="UKX17" s="8"/>
      <c r="UKY17" s="8"/>
      <c r="UKZ17" s="8"/>
      <c r="ULA17" s="8"/>
      <c r="ULB17" s="8"/>
      <c r="ULC17" s="8"/>
      <c r="ULD17" s="8"/>
      <c r="ULE17" s="8"/>
      <c r="ULF17" s="8"/>
      <c r="ULG17" s="8"/>
      <c r="ULH17" s="8"/>
      <c r="ULI17" s="8"/>
      <c r="ULJ17" s="8"/>
      <c r="ULK17" s="8"/>
      <c r="ULL17" s="8"/>
      <c r="ULM17" s="8"/>
      <c r="ULN17" s="8"/>
      <c r="ULO17" s="8"/>
      <c r="ULP17" s="8"/>
      <c r="ULQ17" s="8"/>
      <c r="ULR17" s="8"/>
      <c r="ULS17" s="8"/>
      <c r="ULT17" s="8"/>
      <c r="ULU17" s="8"/>
      <c r="ULV17" s="8"/>
      <c r="ULW17" s="8"/>
      <c r="ULX17" s="8"/>
      <c r="ULY17" s="8"/>
      <c r="ULZ17" s="8"/>
      <c r="UMA17" s="8"/>
      <c r="UMB17" s="8"/>
      <c r="UMC17" s="8"/>
      <c r="UMD17" s="8"/>
      <c r="UME17" s="8"/>
      <c r="UMF17" s="8"/>
      <c r="UMG17" s="8"/>
      <c r="UMH17" s="8"/>
      <c r="UMI17" s="8"/>
      <c r="UMJ17" s="8"/>
      <c r="UMK17" s="8"/>
      <c r="UML17" s="8"/>
      <c r="UMM17" s="8"/>
      <c r="UMN17" s="8"/>
      <c r="UMO17" s="8"/>
      <c r="UMP17" s="8"/>
      <c r="UMQ17" s="8"/>
      <c r="UMR17" s="8"/>
      <c r="UMS17" s="8"/>
      <c r="UMT17" s="8"/>
      <c r="UMU17" s="8"/>
      <c r="UMV17" s="8"/>
      <c r="UMW17" s="8"/>
      <c r="UMX17" s="8"/>
      <c r="UMY17" s="8"/>
      <c r="UMZ17" s="8"/>
      <c r="UNA17" s="8"/>
      <c r="UNB17" s="8"/>
      <c r="UNC17" s="8"/>
      <c r="UND17" s="8"/>
      <c r="UNE17" s="8"/>
      <c r="UNF17" s="8"/>
      <c r="UNG17" s="8"/>
      <c r="UNH17" s="8"/>
      <c r="UNI17" s="8"/>
      <c r="UNJ17" s="8"/>
      <c r="UNK17" s="8"/>
      <c r="UNL17" s="8"/>
      <c r="UNM17" s="8"/>
      <c r="UNN17" s="8"/>
      <c r="UNO17" s="8"/>
      <c r="UNP17" s="8"/>
      <c r="UNQ17" s="8"/>
      <c r="UNR17" s="8"/>
      <c r="UNS17" s="8"/>
      <c r="UNT17" s="8"/>
      <c r="UNU17" s="8"/>
      <c r="UNV17" s="8"/>
      <c r="UNW17" s="8"/>
      <c r="UNX17" s="8"/>
      <c r="UNY17" s="8"/>
      <c r="UNZ17" s="8"/>
      <c r="UOA17" s="8"/>
      <c r="UOB17" s="8"/>
      <c r="UOC17" s="8"/>
      <c r="UOD17" s="8"/>
      <c r="UOE17" s="8"/>
      <c r="UOF17" s="8"/>
      <c r="UOG17" s="8"/>
      <c r="UOH17" s="8"/>
      <c r="UOI17" s="8"/>
      <c r="UOJ17" s="8"/>
      <c r="UOK17" s="8"/>
      <c r="UOL17" s="8"/>
      <c r="UOM17" s="8"/>
      <c r="UON17" s="8"/>
      <c r="UOO17" s="8"/>
      <c r="UOP17" s="8"/>
      <c r="UOQ17" s="8"/>
      <c r="UOR17" s="8"/>
      <c r="UOS17" s="8"/>
      <c r="UOT17" s="8"/>
      <c r="UOU17" s="8"/>
      <c r="UOV17" s="8"/>
      <c r="UOW17" s="8"/>
      <c r="UOX17" s="8"/>
      <c r="UOY17" s="8"/>
      <c r="UOZ17" s="8"/>
      <c r="UPA17" s="8"/>
      <c r="UPB17" s="8"/>
      <c r="UPC17" s="8"/>
      <c r="UPD17" s="8"/>
      <c r="UPE17" s="8"/>
      <c r="UPF17" s="8"/>
      <c r="UPG17" s="8"/>
      <c r="UPH17" s="8"/>
      <c r="UPI17" s="8"/>
      <c r="UPJ17" s="8"/>
      <c r="UPK17" s="8"/>
      <c r="UPL17" s="8"/>
      <c r="UPM17" s="8"/>
      <c r="UPN17" s="8"/>
      <c r="UPO17" s="8"/>
      <c r="UPP17" s="8"/>
      <c r="UPQ17" s="8"/>
      <c r="UPR17" s="8"/>
      <c r="UPS17" s="8"/>
      <c r="UPT17" s="8"/>
      <c r="UPU17" s="8"/>
      <c r="UPV17" s="8"/>
      <c r="UPW17" s="8"/>
      <c r="UPX17" s="8"/>
      <c r="UPY17" s="8"/>
      <c r="UPZ17" s="8"/>
      <c r="UQA17" s="8"/>
      <c r="UQB17" s="8"/>
      <c r="UQC17" s="8"/>
      <c r="UQD17" s="8"/>
      <c r="UQE17" s="8"/>
      <c r="UQF17" s="8"/>
      <c r="UQG17" s="8"/>
      <c r="UQH17" s="8"/>
      <c r="UQI17" s="8"/>
      <c r="UQJ17" s="8"/>
      <c r="UQK17" s="8"/>
      <c r="UQL17" s="8"/>
      <c r="UQM17" s="8"/>
      <c r="UQN17" s="8"/>
      <c r="UQO17" s="8"/>
      <c r="UQP17" s="8"/>
      <c r="UQQ17" s="8"/>
      <c r="UQR17" s="8"/>
      <c r="UQS17" s="8"/>
      <c r="UQT17" s="8"/>
      <c r="UQU17" s="8"/>
      <c r="UQV17" s="8"/>
      <c r="UQW17" s="8"/>
      <c r="UQX17" s="8"/>
      <c r="UQY17" s="8"/>
      <c r="UQZ17" s="8"/>
      <c r="URA17" s="8"/>
      <c r="URB17" s="8"/>
      <c r="URC17" s="8"/>
      <c r="URD17" s="8"/>
      <c r="URE17" s="8"/>
      <c r="URF17" s="8"/>
      <c r="URG17" s="8"/>
      <c r="URH17" s="8"/>
      <c r="URI17" s="8"/>
      <c r="URJ17" s="8"/>
      <c r="URK17" s="8"/>
      <c r="URL17" s="8"/>
      <c r="URM17" s="8"/>
      <c r="URN17" s="8"/>
      <c r="URO17" s="8"/>
      <c r="URP17" s="8"/>
      <c r="URQ17" s="8"/>
      <c r="URR17" s="8"/>
      <c r="URS17" s="8"/>
      <c r="URT17" s="8"/>
      <c r="URU17" s="8"/>
      <c r="URV17" s="8"/>
      <c r="URW17" s="8"/>
      <c r="URX17" s="8"/>
      <c r="URY17" s="8"/>
      <c r="URZ17" s="8"/>
      <c r="USA17" s="8"/>
      <c r="USB17" s="8"/>
      <c r="USC17" s="8"/>
      <c r="USD17" s="8"/>
      <c r="USE17" s="8"/>
      <c r="USF17" s="8"/>
      <c r="USG17" s="8"/>
      <c r="USH17" s="8"/>
      <c r="USI17" s="8"/>
      <c r="USJ17" s="8"/>
      <c r="USK17" s="8"/>
      <c r="USL17" s="8"/>
      <c r="USM17" s="8"/>
      <c r="USN17" s="8"/>
      <c r="USO17" s="8"/>
      <c r="USP17" s="8"/>
      <c r="USQ17" s="8"/>
      <c r="USR17" s="8"/>
      <c r="USS17" s="8"/>
      <c r="UST17" s="8"/>
      <c r="USU17" s="8"/>
      <c r="USV17" s="8"/>
      <c r="USW17" s="8"/>
      <c r="USX17" s="8"/>
      <c r="USY17" s="8"/>
      <c r="USZ17" s="8"/>
      <c r="UTA17" s="8"/>
      <c r="UTB17" s="8"/>
      <c r="UTC17" s="8"/>
      <c r="UTD17" s="8"/>
      <c r="UTE17" s="8"/>
      <c r="UTF17" s="8"/>
      <c r="UTG17" s="8"/>
      <c r="UTH17" s="8"/>
      <c r="UTI17" s="8"/>
      <c r="UTJ17" s="8"/>
      <c r="UTK17" s="8"/>
      <c r="UTL17" s="8"/>
      <c r="UTM17" s="8"/>
      <c r="UTN17" s="8"/>
      <c r="UTO17" s="8"/>
      <c r="UTP17" s="8"/>
      <c r="UTQ17" s="8"/>
      <c r="UTR17" s="8"/>
      <c r="UTS17" s="8"/>
      <c r="UTT17" s="8"/>
      <c r="UTU17" s="8"/>
      <c r="UTV17" s="8"/>
      <c r="UTW17" s="8"/>
      <c r="UTX17" s="8"/>
      <c r="UTY17" s="8"/>
      <c r="UTZ17" s="8"/>
      <c r="UUA17" s="8"/>
      <c r="UUB17" s="8"/>
      <c r="UUC17" s="8"/>
      <c r="UUD17" s="8"/>
      <c r="UUE17" s="8"/>
      <c r="UUF17" s="8"/>
      <c r="UUG17" s="8"/>
      <c r="UUH17" s="8"/>
      <c r="UUI17" s="8"/>
      <c r="UUJ17" s="8"/>
      <c r="UUK17" s="8"/>
      <c r="UUL17" s="8"/>
      <c r="UUM17" s="8"/>
      <c r="UUN17" s="8"/>
      <c r="UUO17" s="8"/>
      <c r="UUP17" s="8"/>
      <c r="UUQ17" s="8"/>
      <c r="UUR17" s="8"/>
      <c r="UUS17" s="8"/>
      <c r="UUT17" s="8"/>
      <c r="UUU17" s="8"/>
      <c r="UUV17" s="8"/>
      <c r="UUW17" s="8"/>
      <c r="UUX17" s="8"/>
      <c r="UUY17" s="8"/>
      <c r="UUZ17" s="8"/>
      <c r="UVA17" s="8"/>
      <c r="UVB17" s="8"/>
      <c r="UVC17" s="8"/>
      <c r="UVD17" s="8"/>
      <c r="UVE17" s="8"/>
      <c r="UVF17" s="8"/>
      <c r="UVG17" s="8"/>
      <c r="UVH17" s="8"/>
      <c r="UVI17" s="8"/>
      <c r="UVJ17" s="8"/>
      <c r="UVK17" s="8"/>
      <c r="UVL17" s="8"/>
      <c r="UVM17" s="8"/>
      <c r="UVN17" s="8"/>
      <c r="UVO17" s="8"/>
      <c r="UVP17" s="8"/>
      <c r="UVQ17" s="8"/>
      <c r="UVR17" s="8"/>
      <c r="UVS17" s="8"/>
      <c r="UVT17" s="8"/>
      <c r="UVU17" s="8"/>
      <c r="UVV17" s="8"/>
      <c r="UVW17" s="8"/>
      <c r="UVX17" s="8"/>
      <c r="UVY17" s="8"/>
      <c r="UVZ17" s="8"/>
      <c r="UWA17" s="8"/>
      <c r="UWB17" s="8"/>
      <c r="UWC17" s="8"/>
      <c r="UWD17" s="8"/>
      <c r="UWE17" s="8"/>
      <c r="UWF17" s="8"/>
      <c r="UWG17" s="8"/>
      <c r="UWH17" s="8"/>
      <c r="UWI17" s="8"/>
      <c r="UWJ17" s="8"/>
      <c r="UWK17" s="8"/>
      <c r="UWL17" s="8"/>
      <c r="UWM17" s="8"/>
      <c r="UWN17" s="8"/>
      <c r="UWO17" s="8"/>
      <c r="UWP17" s="8"/>
      <c r="UWQ17" s="8"/>
      <c r="UWR17" s="8"/>
      <c r="UWS17" s="8"/>
      <c r="UWT17" s="8"/>
      <c r="UWU17" s="8"/>
      <c r="UWV17" s="8"/>
      <c r="UWW17" s="8"/>
      <c r="UWX17" s="8"/>
      <c r="UWY17" s="8"/>
      <c r="UWZ17" s="8"/>
      <c r="UXA17" s="8"/>
      <c r="UXB17" s="8"/>
      <c r="UXC17" s="8"/>
      <c r="UXD17" s="8"/>
      <c r="UXE17" s="8"/>
      <c r="UXF17" s="8"/>
      <c r="UXG17" s="8"/>
      <c r="UXH17" s="8"/>
      <c r="UXI17" s="8"/>
      <c r="UXJ17" s="8"/>
      <c r="UXK17" s="8"/>
      <c r="UXL17" s="8"/>
      <c r="UXM17" s="8"/>
      <c r="UXN17" s="8"/>
      <c r="UXO17" s="8"/>
      <c r="UXP17" s="8"/>
      <c r="UXQ17" s="8"/>
      <c r="UXR17" s="8"/>
      <c r="UXS17" s="8"/>
      <c r="UXT17" s="8"/>
      <c r="UXU17" s="8"/>
      <c r="UXV17" s="8"/>
      <c r="UXW17" s="8"/>
      <c r="UXX17" s="8"/>
      <c r="UXY17" s="8"/>
      <c r="UXZ17" s="8"/>
      <c r="UYA17" s="8"/>
      <c r="UYB17" s="8"/>
      <c r="UYC17" s="8"/>
      <c r="UYD17" s="8"/>
      <c r="UYE17" s="8"/>
      <c r="UYF17" s="8"/>
      <c r="UYG17" s="8"/>
      <c r="UYH17" s="8"/>
      <c r="UYI17" s="8"/>
      <c r="UYJ17" s="8"/>
      <c r="UYK17" s="8"/>
      <c r="UYL17" s="8"/>
      <c r="UYM17" s="8"/>
      <c r="UYN17" s="8"/>
      <c r="UYO17" s="8"/>
      <c r="UYP17" s="8"/>
      <c r="UYQ17" s="8"/>
      <c r="UYR17" s="8"/>
      <c r="UYS17" s="8"/>
      <c r="UYT17" s="8"/>
      <c r="UYU17" s="8"/>
      <c r="UYV17" s="8"/>
      <c r="UYW17" s="8"/>
      <c r="UYX17" s="8"/>
      <c r="UYY17" s="8"/>
      <c r="UYZ17" s="8"/>
      <c r="UZA17" s="8"/>
      <c r="UZB17" s="8"/>
      <c r="UZC17" s="8"/>
      <c r="UZD17" s="8"/>
      <c r="UZE17" s="8"/>
      <c r="UZF17" s="8"/>
      <c r="UZG17" s="8"/>
      <c r="UZH17" s="8"/>
      <c r="UZI17" s="8"/>
      <c r="UZJ17" s="8"/>
      <c r="UZK17" s="8"/>
      <c r="UZL17" s="8"/>
      <c r="UZM17" s="8"/>
      <c r="UZN17" s="8"/>
      <c r="UZO17" s="8"/>
      <c r="UZP17" s="8"/>
      <c r="UZQ17" s="8"/>
      <c r="UZR17" s="8"/>
      <c r="UZS17" s="8"/>
      <c r="UZT17" s="8"/>
      <c r="UZU17" s="8"/>
      <c r="UZV17" s="8"/>
      <c r="UZW17" s="8"/>
      <c r="UZX17" s="8"/>
      <c r="UZY17" s="8"/>
      <c r="UZZ17" s="8"/>
      <c r="VAA17" s="8"/>
      <c r="VAB17" s="8"/>
      <c r="VAC17" s="8"/>
      <c r="VAD17" s="8"/>
      <c r="VAE17" s="8"/>
      <c r="VAF17" s="8"/>
      <c r="VAG17" s="8"/>
      <c r="VAH17" s="8"/>
      <c r="VAI17" s="8"/>
      <c r="VAJ17" s="8"/>
      <c r="VAK17" s="8"/>
      <c r="VAL17" s="8"/>
      <c r="VAM17" s="8"/>
      <c r="VAN17" s="8"/>
      <c r="VAO17" s="8"/>
      <c r="VAP17" s="8"/>
      <c r="VAQ17" s="8"/>
      <c r="VAR17" s="8"/>
      <c r="VAS17" s="8"/>
      <c r="VAT17" s="8"/>
      <c r="VAU17" s="8"/>
      <c r="VAV17" s="8"/>
      <c r="VAW17" s="8"/>
      <c r="VAX17" s="8"/>
      <c r="VAY17" s="8"/>
      <c r="VAZ17" s="8"/>
      <c r="VBA17" s="8"/>
      <c r="VBB17" s="8"/>
      <c r="VBC17" s="8"/>
      <c r="VBD17" s="8"/>
      <c r="VBE17" s="8"/>
      <c r="VBF17" s="8"/>
      <c r="VBG17" s="8"/>
      <c r="VBH17" s="8"/>
      <c r="VBI17" s="8"/>
      <c r="VBJ17" s="8"/>
      <c r="VBK17" s="8"/>
      <c r="VBL17" s="8"/>
      <c r="VBM17" s="8"/>
      <c r="VBN17" s="8"/>
      <c r="VBO17" s="8"/>
      <c r="VBP17" s="8"/>
      <c r="VBQ17" s="8"/>
      <c r="VBR17" s="8"/>
      <c r="VBS17" s="8"/>
      <c r="VBT17" s="8"/>
      <c r="VBU17" s="8"/>
      <c r="VBV17" s="8"/>
      <c r="VBW17" s="8"/>
      <c r="VBX17" s="8"/>
      <c r="VBY17" s="8"/>
      <c r="VBZ17" s="8"/>
      <c r="VCA17" s="8"/>
      <c r="VCB17" s="8"/>
      <c r="VCC17" s="8"/>
      <c r="VCD17" s="8"/>
      <c r="VCE17" s="8"/>
      <c r="VCF17" s="8"/>
      <c r="VCG17" s="8"/>
      <c r="VCH17" s="8"/>
      <c r="VCI17" s="8"/>
      <c r="VCJ17" s="8"/>
      <c r="VCK17" s="8"/>
      <c r="VCL17" s="8"/>
      <c r="VCM17" s="8"/>
      <c r="VCN17" s="8"/>
      <c r="VCO17" s="8"/>
      <c r="VCP17" s="8"/>
      <c r="VCQ17" s="8"/>
      <c r="VCR17" s="8"/>
      <c r="VCS17" s="8"/>
      <c r="VCT17" s="8"/>
      <c r="VCU17" s="8"/>
      <c r="VCV17" s="8"/>
      <c r="VCW17" s="8"/>
      <c r="VCX17" s="8"/>
      <c r="VCY17" s="8"/>
      <c r="VCZ17" s="8"/>
      <c r="VDA17" s="8"/>
      <c r="VDB17" s="8"/>
      <c r="VDC17" s="8"/>
      <c r="VDD17" s="8"/>
      <c r="VDE17" s="8"/>
      <c r="VDF17" s="8"/>
      <c r="VDG17" s="8"/>
      <c r="VDH17" s="8"/>
      <c r="VDI17" s="8"/>
      <c r="VDJ17" s="8"/>
      <c r="VDK17" s="8"/>
      <c r="VDL17" s="8"/>
      <c r="VDM17" s="8"/>
      <c r="VDN17" s="8"/>
      <c r="VDO17" s="8"/>
      <c r="VDP17" s="8"/>
      <c r="VDQ17" s="8"/>
      <c r="VDR17" s="8"/>
      <c r="VDS17" s="8"/>
      <c r="VDT17" s="8"/>
      <c r="VDU17" s="8"/>
      <c r="VDV17" s="8"/>
      <c r="VDW17" s="8"/>
      <c r="VDX17" s="8"/>
      <c r="VDY17" s="8"/>
      <c r="VDZ17" s="8"/>
      <c r="VEA17" s="8"/>
      <c r="VEB17" s="8"/>
      <c r="VEC17" s="8"/>
      <c r="VED17" s="8"/>
      <c r="VEE17" s="8"/>
      <c r="VEF17" s="8"/>
      <c r="VEG17" s="8"/>
      <c r="VEH17" s="8"/>
      <c r="VEI17" s="8"/>
      <c r="VEJ17" s="8"/>
      <c r="VEK17" s="8"/>
      <c r="VEL17" s="8"/>
      <c r="VEM17" s="8"/>
      <c r="VEN17" s="8"/>
      <c r="VEO17" s="8"/>
      <c r="VEP17" s="8"/>
      <c r="VEQ17" s="8"/>
      <c r="VER17" s="8"/>
      <c r="VES17" s="8"/>
      <c r="VET17" s="8"/>
      <c r="VEU17" s="8"/>
      <c r="VEV17" s="8"/>
      <c r="VEW17" s="8"/>
      <c r="VEX17" s="8"/>
      <c r="VEY17" s="8"/>
      <c r="VEZ17" s="8"/>
      <c r="VFA17" s="8"/>
      <c r="VFB17" s="8"/>
      <c r="VFC17" s="8"/>
      <c r="VFD17" s="8"/>
      <c r="VFE17" s="8"/>
      <c r="VFF17" s="8"/>
      <c r="VFG17" s="8"/>
      <c r="VFH17" s="8"/>
      <c r="VFI17" s="8"/>
      <c r="VFJ17" s="8"/>
      <c r="VFK17" s="8"/>
      <c r="VFL17" s="8"/>
      <c r="VFM17" s="8"/>
      <c r="VFN17" s="8"/>
      <c r="VFO17" s="8"/>
      <c r="VFP17" s="8"/>
      <c r="VFQ17" s="8"/>
      <c r="VFR17" s="8"/>
      <c r="VFS17" s="8"/>
      <c r="VFT17" s="8"/>
      <c r="VFU17" s="8"/>
      <c r="VFV17" s="8"/>
      <c r="VFW17" s="8"/>
      <c r="VFX17" s="8"/>
      <c r="VFY17" s="8"/>
      <c r="VFZ17" s="8"/>
      <c r="VGA17" s="8"/>
      <c r="VGB17" s="8"/>
      <c r="VGC17" s="8"/>
      <c r="VGD17" s="8"/>
      <c r="VGE17" s="8"/>
      <c r="VGF17" s="8"/>
      <c r="VGG17" s="8"/>
      <c r="VGH17" s="8"/>
      <c r="VGI17" s="8"/>
      <c r="VGJ17" s="8"/>
      <c r="VGK17" s="8"/>
      <c r="VGL17" s="8"/>
      <c r="VGM17" s="8"/>
      <c r="VGN17" s="8"/>
      <c r="VGO17" s="8"/>
      <c r="VGP17" s="8"/>
      <c r="VGQ17" s="8"/>
      <c r="VGR17" s="8"/>
      <c r="VGS17" s="8"/>
      <c r="VGT17" s="8"/>
      <c r="VGU17" s="8"/>
      <c r="VGV17" s="8"/>
      <c r="VGW17" s="8"/>
      <c r="VGX17" s="8"/>
      <c r="VGY17" s="8"/>
      <c r="VGZ17" s="8"/>
      <c r="VHA17" s="8"/>
      <c r="VHB17" s="8"/>
      <c r="VHC17" s="8"/>
      <c r="VHD17" s="8"/>
      <c r="VHE17" s="8"/>
      <c r="VHF17" s="8"/>
      <c r="VHG17" s="8"/>
      <c r="VHH17" s="8"/>
      <c r="VHI17" s="8"/>
      <c r="VHJ17" s="8"/>
      <c r="VHK17" s="8"/>
      <c r="VHL17" s="8"/>
      <c r="VHM17" s="8"/>
      <c r="VHN17" s="8"/>
      <c r="VHO17" s="8"/>
      <c r="VHP17" s="8"/>
      <c r="VHQ17" s="8"/>
      <c r="VHR17" s="8"/>
      <c r="VHS17" s="8"/>
      <c r="VHT17" s="8"/>
      <c r="VHU17" s="8"/>
      <c r="VHV17" s="8"/>
      <c r="VHW17" s="8"/>
      <c r="VHX17" s="8"/>
      <c r="VHY17" s="8"/>
      <c r="VHZ17" s="8"/>
      <c r="VIA17" s="8"/>
      <c r="VIB17" s="8"/>
      <c r="VIC17" s="8"/>
      <c r="VID17" s="8"/>
      <c r="VIE17" s="8"/>
      <c r="VIF17" s="8"/>
      <c r="VIG17" s="8"/>
      <c r="VIH17" s="8"/>
      <c r="VII17" s="8"/>
      <c r="VIJ17" s="8"/>
      <c r="VIK17" s="8"/>
      <c r="VIL17" s="8"/>
      <c r="VIM17" s="8"/>
      <c r="VIN17" s="8"/>
      <c r="VIO17" s="8"/>
      <c r="VIP17" s="8"/>
      <c r="VIQ17" s="8"/>
      <c r="VIR17" s="8"/>
      <c r="VIS17" s="8"/>
      <c r="VIT17" s="8"/>
      <c r="VIU17" s="8"/>
      <c r="VIV17" s="8"/>
      <c r="VIW17" s="8"/>
      <c r="VIX17" s="8"/>
      <c r="VIY17" s="8"/>
      <c r="VIZ17" s="8"/>
      <c r="VJA17" s="8"/>
      <c r="VJB17" s="8"/>
      <c r="VJC17" s="8"/>
      <c r="VJD17" s="8"/>
      <c r="VJE17" s="8"/>
      <c r="VJF17" s="8"/>
      <c r="VJG17" s="8"/>
      <c r="VJH17" s="8"/>
      <c r="VJI17" s="8"/>
      <c r="VJJ17" s="8"/>
      <c r="VJK17" s="8"/>
      <c r="VJL17" s="8"/>
      <c r="VJM17" s="8"/>
      <c r="VJN17" s="8"/>
      <c r="VJO17" s="8"/>
      <c r="VJP17" s="8"/>
      <c r="VJQ17" s="8"/>
      <c r="VJR17" s="8"/>
      <c r="VJS17" s="8"/>
      <c r="VJT17" s="8"/>
      <c r="VJU17" s="8"/>
      <c r="VJV17" s="8"/>
      <c r="VJW17" s="8"/>
      <c r="VJX17" s="8"/>
      <c r="VJY17" s="8"/>
      <c r="VJZ17" s="8"/>
      <c r="VKA17" s="8"/>
      <c r="VKB17" s="8"/>
      <c r="VKC17" s="8"/>
      <c r="VKD17" s="8"/>
      <c r="VKE17" s="8"/>
      <c r="VKF17" s="8"/>
      <c r="VKG17" s="8"/>
      <c r="VKH17" s="8"/>
      <c r="VKI17" s="8"/>
      <c r="VKJ17" s="8"/>
      <c r="VKK17" s="8"/>
      <c r="VKL17" s="8"/>
      <c r="VKM17" s="8"/>
      <c r="VKN17" s="8"/>
      <c r="VKO17" s="8"/>
      <c r="VKP17" s="8"/>
      <c r="VKQ17" s="8"/>
      <c r="VKR17" s="8"/>
      <c r="VKS17" s="8"/>
      <c r="VKT17" s="8"/>
      <c r="VKU17" s="8"/>
      <c r="VKV17" s="8"/>
      <c r="VKW17" s="8"/>
      <c r="VKX17" s="8"/>
      <c r="VKY17" s="8"/>
      <c r="VKZ17" s="8"/>
      <c r="VLA17" s="8"/>
      <c r="VLB17" s="8"/>
      <c r="VLC17" s="8"/>
      <c r="VLD17" s="8"/>
      <c r="VLE17" s="8"/>
      <c r="VLF17" s="8"/>
      <c r="VLG17" s="8"/>
      <c r="VLH17" s="8"/>
      <c r="VLI17" s="8"/>
      <c r="VLJ17" s="8"/>
      <c r="VLK17" s="8"/>
      <c r="VLL17" s="8"/>
      <c r="VLM17" s="8"/>
      <c r="VLN17" s="8"/>
      <c r="VLO17" s="8"/>
      <c r="VLP17" s="8"/>
      <c r="VLQ17" s="8"/>
      <c r="VLR17" s="8"/>
      <c r="VLS17" s="8"/>
      <c r="VLT17" s="8"/>
      <c r="VLU17" s="8"/>
      <c r="VLV17" s="8"/>
      <c r="VLW17" s="8"/>
      <c r="VLX17" s="8"/>
      <c r="VLY17" s="8"/>
      <c r="VLZ17" s="8"/>
      <c r="VMA17" s="8"/>
      <c r="VMB17" s="8"/>
      <c r="VMC17" s="8"/>
      <c r="VMD17" s="8"/>
      <c r="VME17" s="8"/>
      <c r="VMF17" s="8"/>
      <c r="VMG17" s="8"/>
      <c r="VMH17" s="8"/>
      <c r="VMI17" s="8"/>
      <c r="VMJ17" s="8"/>
      <c r="VMK17" s="8"/>
      <c r="VML17" s="8"/>
      <c r="VMM17" s="8"/>
      <c r="VMN17" s="8"/>
      <c r="VMO17" s="8"/>
      <c r="VMP17" s="8"/>
      <c r="VMQ17" s="8"/>
      <c r="VMR17" s="8"/>
      <c r="VMS17" s="8"/>
      <c r="VMT17" s="8"/>
      <c r="VMU17" s="8"/>
      <c r="VMV17" s="8"/>
      <c r="VMW17" s="8"/>
      <c r="VMX17" s="8"/>
      <c r="VMY17" s="8"/>
      <c r="VMZ17" s="8"/>
      <c r="VNA17" s="8"/>
      <c r="VNB17" s="8"/>
      <c r="VNC17" s="8"/>
      <c r="VND17" s="8"/>
      <c r="VNE17" s="8"/>
      <c r="VNF17" s="8"/>
      <c r="VNG17" s="8"/>
      <c r="VNH17" s="8"/>
      <c r="VNI17" s="8"/>
      <c r="VNJ17" s="8"/>
      <c r="VNK17" s="8"/>
      <c r="VNL17" s="8"/>
      <c r="VNM17" s="8"/>
      <c r="VNN17" s="8"/>
      <c r="VNO17" s="8"/>
      <c r="VNP17" s="8"/>
      <c r="VNQ17" s="8"/>
      <c r="VNR17" s="8"/>
      <c r="VNS17" s="8"/>
      <c r="VNT17" s="8"/>
      <c r="VNU17" s="8"/>
      <c r="VNV17" s="8"/>
      <c r="VNW17" s="8"/>
      <c r="VNX17" s="8"/>
      <c r="VNY17" s="8"/>
      <c r="VNZ17" s="8"/>
      <c r="VOA17" s="8"/>
      <c r="VOB17" s="8"/>
      <c r="VOC17" s="8"/>
      <c r="VOD17" s="8"/>
      <c r="VOE17" s="8"/>
      <c r="VOF17" s="8"/>
      <c r="VOG17" s="8"/>
      <c r="VOH17" s="8"/>
      <c r="VOI17" s="8"/>
      <c r="VOJ17" s="8"/>
      <c r="VOK17" s="8"/>
      <c r="VOL17" s="8"/>
      <c r="VOM17" s="8"/>
      <c r="VON17" s="8"/>
      <c r="VOO17" s="8"/>
      <c r="VOP17" s="8"/>
      <c r="VOQ17" s="8"/>
      <c r="VOR17" s="8"/>
      <c r="VOS17" s="8"/>
      <c r="VOT17" s="8"/>
      <c r="VOU17" s="8"/>
      <c r="VOV17" s="8"/>
      <c r="VOW17" s="8"/>
      <c r="VOX17" s="8"/>
      <c r="VOY17" s="8"/>
      <c r="VOZ17" s="8"/>
      <c r="VPA17" s="8"/>
      <c r="VPB17" s="8"/>
      <c r="VPC17" s="8"/>
      <c r="VPD17" s="8"/>
      <c r="VPE17" s="8"/>
      <c r="VPF17" s="8"/>
      <c r="VPG17" s="8"/>
      <c r="VPH17" s="8"/>
      <c r="VPI17" s="8"/>
      <c r="VPJ17" s="8"/>
      <c r="VPK17" s="8"/>
      <c r="VPL17" s="8"/>
      <c r="VPM17" s="8"/>
      <c r="VPN17" s="8"/>
      <c r="VPO17" s="8"/>
      <c r="VPP17" s="8"/>
      <c r="VPQ17" s="8"/>
      <c r="VPR17" s="8"/>
      <c r="VPS17" s="8"/>
      <c r="VPT17" s="8"/>
      <c r="VPU17" s="8"/>
      <c r="VPV17" s="8"/>
      <c r="VPW17" s="8"/>
      <c r="VPX17" s="8"/>
      <c r="VPY17" s="8"/>
      <c r="VPZ17" s="8"/>
      <c r="VQA17" s="8"/>
      <c r="VQB17" s="8"/>
      <c r="VQC17" s="8"/>
      <c r="VQD17" s="8"/>
      <c r="VQE17" s="8"/>
      <c r="VQF17" s="8"/>
      <c r="VQG17" s="8"/>
      <c r="VQH17" s="8"/>
      <c r="VQI17" s="8"/>
      <c r="VQJ17" s="8"/>
      <c r="VQK17" s="8"/>
      <c r="VQL17" s="8"/>
      <c r="VQM17" s="8"/>
      <c r="VQN17" s="8"/>
      <c r="VQO17" s="8"/>
      <c r="VQP17" s="8"/>
      <c r="VQQ17" s="8"/>
      <c r="VQR17" s="8"/>
      <c r="VQS17" s="8"/>
      <c r="VQT17" s="8"/>
      <c r="VQU17" s="8"/>
      <c r="VQV17" s="8"/>
      <c r="VQW17" s="8"/>
      <c r="VQX17" s="8"/>
      <c r="VQY17" s="8"/>
      <c r="VQZ17" s="8"/>
      <c r="VRA17" s="8"/>
      <c r="VRB17" s="8"/>
      <c r="VRC17" s="8"/>
      <c r="VRD17" s="8"/>
      <c r="VRE17" s="8"/>
      <c r="VRF17" s="8"/>
      <c r="VRG17" s="8"/>
      <c r="VRH17" s="8"/>
      <c r="VRI17" s="8"/>
      <c r="VRJ17" s="8"/>
      <c r="VRK17" s="8"/>
      <c r="VRL17" s="8"/>
      <c r="VRM17" s="8"/>
      <c r="VRN17" s="8"/>
      <c r="VRO17" s="8"/>
      <c r="VRP17" s="8"/>
      <c r="VRQ17" s="8"/>
      <c r="VRR17" s="8"/>
      <c r="VRS17" s="8"/>
      <c r="VRT17" s="8"/>
      <c r="VRU17" s="8"/>
      <c r="VRV17" s="8"/>
      <c r="VRW17" s="8"/>
      <c r="VRX17" s="8"/>
      <c r="VRY17" s="8"/>
      <c r="VRZ17" s="8"/>
      <c r="VSA17" s="8"/>
      <c r="VSB17" s="8"/>
      <c r="VSC17" s="8"/>
      <c r="VSD17" s="8"/>
      <c r="VSE17" s="8"/>
      <c r="VSF17" s="8"/>
      <c r="VSG17" s="8"/>
      <c r="VSH17" s="8"/>
      <c r="VSI17" s="8"/>
      <c r="VSJ17" s="8"/>
      <c r="VSK17" s="8"/>
      <c r="VSL17" s="8"/>
      <c r="VSM17" s="8"/>
      <c r="VSN17" s="8"/>
      <c r="VSO17" s="8"/>
      <c r="VSP17" s="8"/>
      <c r="VSQ17" s="8"/>
      <c r="VSR17" s="8"/>
      <c r="VSS17" s="8"/>
      <c r="VST17" s="8"/>
      <c r="VSU17" s="8"/>
      <c r="VSV17" s="8"/>
      <c r="VSW17" s="8"/>
      <c r="VSX17" s="8"/>
      <c r="VSY17" s="8"/>
      <c r="VSZ17" s="8"/>
      <c r="VTA17" s="8"/>
      <c r="VTB17" s="8"/>
      <c r="VTC17" s="8"/>
      <c r="VTD17" s="8"/>
      <c r="VTE17" s="8"/>
      <c r="VTF17" s="8"/>
      <c r="VTG17" s="8"/>
      <c r="VTH17" s="8"/>
      <c r="VTI17" s="8"/>
      <c r="VTJ17" s="8"/>
      <c r="VTK17" s="8"/>
      <c r="VTL17" s="8"/>
      <c r="VTM17" s="8"/>
      <c r="VTN17" s="8"/>
      <c r="VTO17" s="8"/>
      <c r="VTP17" s="8"/>
      <c r="VTQ17" s="8"/>
      <c r="VTR17" s="8"/>
      <c r="VTS17" s="8"/>
      <c r="VTT17" s="8"/>
      <c r="VTU17" s="8"/>
      <c r="VTV17" s="8"/>
      <c r="VTW17" s="8"/>
      <c r="VTX17" s="8"/>
      <c r="VTY17" s="8"/>
      <c r="VTZ17" s="8"/>
      <c r="VUA17" s="8"/>
      <c r="VUB17" s="8"/>
      <c r="VUC17" s="8"/>
      <c r="VUD17" s="8"/>
      <c r="VUE17" s="8"/>
      <c r="VUF17" s="8"/>
      <c r="VUG17" s="8"/>
      <c r="VUH17" s="8"/>
      <c r="VUI17" s="8"/>
      <c r="VUJ17" s="8"/>
      <c r="VUK17" s="8"/>
      <c r="VUL17" s="8"/>
      <c r="VUM17" s="8"/>
      <c r="VUN17" s="8"/>
      <c r="VUO17" s="8"/>
      <c r="VUP17" s="8"/>
      <c r="VUQ17" s="8"/>
      <c r="VUR17" s="8"/>
      <c r="VUS17" s="8"/>
      <c r="VUT17" s="8"/>
      <c r="VUU17" s="8"/>
      <c r="VUV17" s="8"/>
      <c r="VUW17" s="8"/>
      <c r="VUX17" s="8"/>
      <c r="VUY17" s="8"/>
      <c r="VUZ17" s="8"/>
      <c r="VVA17" s="8"/>
      <c r="VVB17" s="8"/>
      <c r="VVC17" s="8"/>
      <c r="VVD17" s="8"/>
      <c r="VVE17" s="8"/>
      <c r="VVF17" s="8"/>
      <c r="VVG17" s="8"/>
      <c r="VVH17" s="8"/>
      <c r="VVI17" s="8"/>
      <c r="VVJ17" s="8"/>
      <c r="VVK17" s="8"/>
      <c r="VVL17" s="8"/>
      <c r="VVM17" s="8"/>
      <c r="VVN17" s="8"/>
      <c r="VVO17" s="8"/>
      <c r="VVP17" s="8"/>
      <c r="VVQ17" s="8"/>
      <c r="VVR17" s="8"/>
      <c r="VVS17" s="8"/>
      <c r="VVT17" s="8"/>
      <c r="VVU17" s="8"/>
      <c r="VVV17" s="8"/>
      <c r="VVW17" s="8"/>
      <c r="VVX17" s="8"/>
      <c r="VVY17" s="8"/>
      <c r="VVZ17" s="8"/>
      <c r="VWA17" s="8"/>
      <c r="VWB17" s="8"/>
      <c r="VWC17" s="8"/>
      <c r="VWD17" s="8"/>
      <c r="VWE17" s="8"/>
      <c r="VWF17" s="8"/>
      <c r="VWG17" s="8"/>
      <c r="VWH17" s="8"/>
      <c r="VWI17" s="8"/>
      <c r="VWJ17" s="8"/>
      <c r="VWK17" s="8"/>
      <c r="VWL17" s="8"/>
      <c r="VWM17" s="8"/>
      <c r="VWN17" s="8"/>
      <c r="VWO17" s="8"/>
      <c r="VWP17" s="8"/>
      <c r="VWQ17" s="8"/>
      <c r="VWR17" s="8"/>
      <c r="VWS17" s="8"/>
      <c r="VWT17" s="8"/>
      <c r="VWU17" s="8"/>
      <c r="VWV17" s="8"/>
      <c r="VWW17" s="8"/>
      <c r="VWX17" s="8"/>
      <c r="VWY17" s="8"/>
      <c r="VWZ17" s="8"/>
      <c r="VXA17" s="8"/>
      <c r="VXB17" s="8"/>
      <c r="VXC17" s="8"/>
      <c r="VXD17" s="8"/>
      <c r="VXE17" s="8"/>
      <c r="VXF17" s="8"/>
      <c r="VXG17" s="8"/>
      <c r="VXH17" s="8"/>
      <c r="VXI17" s="8"/>
      <c r="VXJ17" s="8"/>
      <c r="VXK17" s="8"/>
      <c r="VXL17" s="8"/>
      <c r="VXM17" s="8"/>
      <c r="VXN17" s="8"/>
      <c r="VXO17" s="8"/>
      <c r="VXP17" s="8"/>
      <c r="VXQ17" s="8"/>
      <c r="VXR17" s="8"/>
      <c r="VXS17" s="8"/>
      <c r="VXT17" s="8"/>
      <c r="VXU17" s="8"/>
      <c r="VXV17" s="8"/>
      <c r="VXW17" s="8"/>
      <c r="VXX17" s="8"/>
      <c r="VXY17" s="8"/>
      <c r="VXZ17" s="8"/>
      <c r="VYA17" s="8"/>
      <c r="VYB17" s="8"/>
      <c r="VYC17" s="8"/>
      <c r="VYD17" s="8"/>
      <c r="VYE17" s="8"/>
      <c r="VYF17" s="8"/>
      <c r="VYG17" s="8"/>
      <c r="VYH17" s="8"/>
      <c r="VYI17" s="8"/>
      <c r="VYJ17" s="8"/>
      <c r="VYK17" s="8"/>
      <c r="VYL17" s="8"/>
      <c r="VYM17" s="8"/>
      <c r="VYN17" s="8"/>
      <c r="VYO17" s="8"/>
      <c r="VYP17" s="8"/>
      <c r="VYQ17" s="8"/>
      <c r="VYR17" s="8"/>
      <c r="VYS17" s="8"/>
      <c r="VYT17" s="8"/>
      <c r="VYU17" s="8"/>
      <c r="VYV17" s="8"/>
      <c r="VYW17" s="8"/>
      <c r="VYX17" s="8"/>
      <c r="VYY17" s="8"/>
      <c r="VYZ17" s="8"/>
      <c r="VZA17" s="8"/>
      <c r="VZB17" s="8"/>
      <c r="VZC17" s="8"/>
      <c r="VZD17" s="8"/>
      <c r="VZE17" s="8"/>
      <c r="VZF17" s="8"/>
      <c r="VZG17" s="8"/>
      <c r="VZH17" s="8"/>
      <c r="VZI17" s="8"/>
      <c r="VZJ17" s="8"/>
      <c r="VZK17" s="8"/>
      <c r="VZL17" s="8"/>
      <c r="VZM17" s="8"/>
      <c r="VZN17" s="8"/>
      <c r="VZO17" s="8"/>
      <c r="VZP17" s="8"/>
      <c r="VZQ17" s="8"/>
      <c r="VZR17" s="8"/>
      <c r="VZS17" s="8"/>
      <c r="VZT17" s="8"/>
      <c r="VZU17" s="8"/>
      <c r="VZV17" s="8"/>
      <c r="VZW17" s="8"/>
      <c r="VZX17" s="8"/>
      <c r="VZY17" s="8"/>
      <c r="VZZ17" s="8"/>
      <c r="WAA17" s="8"/>
      <c r="WAB17" s="8"/>
      <c r="WAC17" s="8"/>
      <c r="WAD17" s="8"/>
      <c r="WAE17" s="8"/>
      <c r="WAF17" s="8"/>
      <c r="WAG17" s="8"/>
      <c r="WAH17" s="8"/>
      <c r="WAI17" s="8"/>
      <c r="WAJ17" s="8"/>
      <c r="WAK17" s="8"/>
      <c r="WAL17" s="8"/>
      <c r="WAM17" s="8"/>
      <c r="WAN17" s="8"/>
      <c r="WAO17" s="8"/>
      <c r="WAP17" s="8"/>
      <c r="WAQ17" s="8"/>
      <c r="WAR17" s="8"/>
      <c r="WAS17" s="8"/>
      <c r="WAT17" s="8"/>
      <c r="WAU17" s="8"/>
      <c r="WAV17" s="8"/>
      <c r="WAW17" s="8"/>
      <c r="WAX17" s="8"/>
      <c r="WAY17" s="8"/>
      <c r="WAZ17" s="8"/>
      <c r="WBA17" s="8"/>
      <c r="WBB17" s="8"/>
      <c r="WBC17" s="8"/>
      <c r="WBD17" s="8"/>
      <c r="WBE17" s="8"/>
      <c r="WBF17" s="8"/>
      <c r="WBG17" s="8"/>
      <c r="WBH17" s="8"/>
      <c r="WBI17" s="8"/>
      <c r="WBJ17" s="8"/>
      <c r="WBK17" s="8"/>
      <c r="WBL17" s="8"/>
      <c r="WBM17" s="8"/>
      <c r="WBN17" s="8"/>
      <c r="WBO17" s="8"/>
      <c r="WBP17" s="8"/>
      <c r="WBQ17" s="8"/>
      <c r="WBR17" s="8"/>
      <c r="WBS17" s="8"/>
      <c r="WBT17" s="8"/>
      <c r="WBU17" s="8"/>
      <c r="WBV17" s="8"/>
      <c r="WBW17" s="8"/>
      <c r="WBX17" s="8"/>
      <c r="WBY17" s="8"/>
      <c r="WBZ17" s="8"/>
      <c r="WCA17" s="8"/>
      <c r="WCB17" s="8"/>
      <c r="WCC17" s="8"/>
      <c r="WCD17" s="8"/>
      <c r="WCE17" s="8"/>
      <c r="WCF17" s="8"/>
      <c r="WCG17" s="8"/>
      <c r="WCH17" s="8"/>
      <c r="WCI17" s="8"/>
      <c r="WCJ17" s="8"/>
      <c r="WCK17" s="8"/>
      <c r="WCL17" s="8"/>
      <c r="WCM17" s="8"/>
      <c r="WCN17" s="8"/>
      <c r="WCO17" s="8"/>
      <c r="WCP17" s="8"/>
      <c r="WCQ17" s="8"/>
      <c r="WCR17" s="8"/>
      <c r="WCS17" s="8"/>
      <c r="WCT17" s="8"/>
      <c r="WCU17" s="8"/>
      <c r="WCV17" s="8"/>
      <c r="WCW17" s="8"/>
      <c r="WCX17" s="8"/>
      <c r="WCY17" s="8"/>
      <c r="WCZ17" s="8"/>
      <c r="WDA17" s="8"/>
      <c r="WDB17" s="8"/>
      <c r="WDC17" s="8"/>
      <c r="WDD17" s="8"/>
      <c r="WDE17" s="8"/>
      <c r="WDF17" s="8"/>
      <c r="WDG17" s="8"/>
      <c r="WDH17" s="8"/>
      <c r="WDI17" s="8"/>
      <c r="WDJ17" s="8"/>
      <c r="WDK17" s="8"/>
      <c r="WDL17" s="8"/>
      <c r="WDM17" s="8"/>
      <c r="WDN17" s="8"/>
      <c r="WDO17" s="8"/>
      <c r="WDP17" s="8"/>
      <c r="WDQ17" s="8"/>
      <c r="WDR17" s="8"/>
      <c r="WDS17" s="8"/>
      <c r="WDT17" s="8"/>
      <c r="WDU17" s="8"/>
      <c r="WDV17" s="8"/>
      <c r="WDW17" s="8"/>
      <c r="WDX17" s="8"/>
      <c r="WDY17" s="8"/>
      <c r="WDZ17" s="8"/>
      <c r="WEA17" s="8"/>
      <c r="WEB17" s="8"/>
      <c r="WEC17" s="8"/>
      <c r="WED17" s="8"/>
      <c r="WEE17" s="8"/>
      <c r="WEF17" s="8"/>
      <c r="WEG17" s="8"/>
      <c r="WEH17" s="8"/>
      <c r="WEI17" s="8"/>
      <c r="WEJ17" s="8"/>
      <c r="WEK17" s="8"/>
      <c r="WEL17" s="8"/>
      <c r="WEM17" s="8"/>
      <c r="WEN17" s="8"/>
      <c r="WEO17" s="8"/>
      <c r="WEP17" s="8"/>
      <c r="WEQ17" s="8"/>
      <c r="WER17" s="8"/>
      <c r="WES17" s="8"/>
      <c r="WET17" s="8"/>
      <c r="WEU17" s="8"/>
      <c r="WEV17" s="8"/>
      <c r="WEW17" s="8"/>
      <c r="WEX17" s="8"/>
      <c r="WEY17" s="8"/>
      <c r="WEZ17" s="8"/>
      <c r="WFA17" s="8"/>
      <c r="WFB17" s="8"/>
      <c r="WFC17" s="8"/>
      <c r="WFD17" s="8"/>
      <c r="WFE17" s="8"/>
      <c r="WFF17" s="8"/>
      <c r="WFG17" s="8"/>
      <c r="WFH17" s="8"/>
      <c r="WFI17" s="8"/>
      <c r="WFJ17" s="8"/>
      <c r="WFK17" s="8"/>
      <c r="WFL17" s="8"/>
      <c r="WFM17" s="8"/>
      <c r="WFN17" s="8"/>
      <c r="WFO17" s="8"/>
      <c r="WFP17" s="8"/>
      <c r="WFQ17" s="8"/>
      <c r="WFR17" s="8"/>
      <c r="WFS17" s="8"/>
      <c r="WFT17" s="8"/>
      <c r="WFU17" s="8"/>
      <c r="WFV17" s="8"/>
      <c r="WFW17" s="8"/>
      <c r="WFX17" s="8"/>
      <c r="WFY17" s="8"/>
      <c r="WFZ17" s="8"/>
      <c r="WGA17" s="8"/>
      <c r="WGB17" s="8"/>
      <c r="WGC17" s="8"/>
      <c r="WGD17" s="8"/>
      <c r="WGE17" s="8"/>
      <c r="WGF17" s="8"/>
      <c r="WGG17" s="8"/>
      <c r="WGH17" s="8"/>
      <c r="WGI17" s="8"/>
      <c r="WGJ17" s="8"/>
      <c r="WGK17" s="8"/>
      <c r="WGL17" s="8"/>
      <c r="WGM17" s="8"/>
      <c r="WGN17" s="8"/>
      <c r="WGO17" s="8"/>
      <c r="WGP17" s="8"/>
      <c r="WGQ17" s="8"/>
      <c r="WGR17" s="8"/>
      <c r="WGS17" s="8"/>
      <c r="WGT17" s="8"/>
      <c r="WGU17" s="8"/>
      <c r="WGV17" s="8"/>
      <c r="WGW17" s="8"/>
      <c r="WGX17" s="8"/>
      <c r="WGY17" s="8"/>
      <c r="WGZ17" s="8"/>
      <c r="WHA17" s="8"/>
      <c r="WHB17" s="8"/>
      <c r="WHC17" s="8"/>
      <c r="WHD17" s="8"/>
      <c r="WHE17" s="8"/>
      <c r="WHF17" s="8"/>
      <c r="WHG17" s="8"/>
      <c r="WHH17" s="8"/>
      <c r="WHI17" s="8"/>
      <c r="WHJ17" s="8"/>
      <c r="WHK17" s="8"/>
      <c r="WHL17" s="8"/>
      <c r="WHM17" s="8"/>
      <c r="WHN17" s="8"/>
      <c r="WHO17" s="8"/>
      <c r="WHP17" s="8"/>
      <c r="WHQ17" s="8"/>
      <c r="WHR17" s="8"/>
      <c r="WHS17" s="8"/>
      <c r="WHT17" s="8"/>
      <c r="WHU17" s="8"/>
      <c r="WHV17" s="8"/>
      <c r="WHW17" s="8"/>
      <c r="WHX17" s="8"/>
      <c r="WHY17" s="8"/>
      <c r="WHZ17" s="8"/>
      <c r="WIA17" s="8"/>
      <c r="WIB17" s="8"/>
      <c r="WIC17" s="8"/>
      <c r="WID17" s="8"/>
      <c r="WIE17" s="8"/>
      <c r="WIF17" s="8"/>
      <c r="WIG17" s="8"/>
      <c r="WIH17" s="8"/>
      <c r="WII17" s="8"/>
      <c r="WIJ17" s="8"/>
      <c r="WIK17" s="8"/>
      <c r="WIL17" s="8"/>
      <c r="WIM17" s="8"/>
      <c r="WIN17" s="8"/>
      <c r="WIO17" s="8"/>
      <c r="WIP17" s="8"/>
      <c r="WIQ17" s="8"/>
      <c r="WIR17" s="8"/>
      <c r="WIS17" s="8"/>
      <c r="WIT17" s="8"/>
      <c r="WIU17" s="8"/>
      <c r="WIV17" s="8"/>
      <c r="WIW17" s="8"/>
      <c r="WIX17" s="8"/>
      <c r="WIY17" s="8"/>
      <c r="WIZ17" s="8"/>
      <c r="WJA17" s="8"/>
      <c r="WJB17" s="8"/>
      <c r="WJC17" s="8"/>
      <c r="WJD17" s="8"/>
      <c r="WJE17" s="8"/>
      <c r="WJF17" s="8"/>
      <c r="WJG17" s="8"/>
      <c r="WJH17" s="8"/>
      <c r="WJI17" s="8"/>
      <c r="WJJ17" s="8"/>
      <c r="WJK17" s="8"/>
      <c r="WJL17" s="8"/>
      <c r="WJM17" s="8"/>
      <c r="WJN17" s="8"/>
      <c r="WJO17" s="8"/>
      <c r="WJP17" s="8"/>
      <c r="WJQ17" s="8"/>
      <c r="WJR17" s="8"/>
      <c r="WJS17" s="8"/>
      <c r="WJT17" s="8"/>
      <c r="WJU17" s="8"/>
      <c r="WJV17" s="8"/>
      <c r="WJW17" s="8"/>
      <c r="WJX17" s="8"/>
      <c r="WJY17" s="8"/>
      <c r="WJZ17" s="8"/>
      <c r="WKA17" s="8"/>
      <c r="WKB17" s="8"/>
      <c r="WKC17" s="8"/>
      <c r="WKD17" s="8"/>
      <c r="WKE17" s="8"/>
      <c r="WKF17" s="8"/>
      <c r="WKG17" s="8"/>
      <c r="WKH17" s="8"/>
      <c r="WKI17" s="8"/>
      <c r="WKJ17" s="8"/>
      <c r="WKK17" s="8"/>
      <c r="WKL17" s="8"/>
      <c r="WKM17" s="8"/>
      <c r="WKN17" s="8"/>
      <c r="WKO17" s="8"/>
      <c r="WKP17" s="8"/>
      <c r="WKQ17" s="8"/>
      <c r="WKR17" s="8"/>
      <c r="WKS17" s="8"/>
      <c r="WKT17" s="8"/>
      <c r="WKU17" s="8"/>
      <c r="WKV17" s="8"/>
      <c r="WKW17" s="8"/>
      <c r="WKX17" s="8"/>
      <c r="WKY17" s="8"/>
      <c r="WKZ17" s="8"/>
      <c r="WLA17" s="8"/>
      <c r="WLB17" s="8"/>
      <c r="WLC17" s="8"/>
      <c r="WLD17" s="8"/>
      <c r="WLE17" s="8"/>
      <c r="WLF17" s="8"/>
      <c r="WLG17" s="8"/>
      <c r="WLH17" s="8"/>
      <c r="WLI17" s="8"/>
      <c r="WLJ17" s="8"/>
      <c r="WLK17" s="8"/>
      <c r="WLL17" s="8"/>
      <c r="WLM17" s="8"/>
      <c r="WLN17" s="8"/>
      <c r="WLO17" s="8"/>
      <c r="WLP17" s="8"/>
      <c r="WLQ17" s="8"/>
      <c r="WLR17" s="8"/>
      <c r="WLS17" s="8"/>
      <c r="WLT17" s="8"/>
      <c r="WLU17" s="8"/>
      <c r="WLV17" s="8"/>
      <c r="WLW17" s="8"/>
      <c r="WLX17" s="8"/>
      <c r="WLY17" s="8"/>
      <c r="WLZ17" s="8"/>
      <c r="WMA17" s="8"/>
      <c r="WMB17" s="8"/>
      <c r="WMC17" s="8"/>
      <c r="WMD17" s="8"/>
      <c r="WME17" s="8"/>
      <c r="WMF17" s="8"/>
      <c r="WMG17" s="8"/>
      <c r="WMH17" s="8"/>
      <c r="WMI17" s="8"/>
      <c r="WMJ17" s="8"/>
      <c r="WMK17" s="8"/>
      <c r="WML17" s="8"/>
      <c r="WMM17" s="8"/>
      <c r="WMN17" s="8"/>
      <c r="WMO17" s="8"/>
      <c r="WMP17" s="8"/>
      <c r="WMQ17" s="8"/>
      <c r="WMR17" s="8"/>
      <c r="WMS17" s="8"/>
      <c r="WMT17" s="8"/>
      <c r="WMU17" s="8"/>
      <c r="WMV17" s="8"/>
      <c r="WMW17" s="8"/>
      <c r="WMX17" s="8"/>
      <c r="WMY17" s="8"/>
      <c r="WMZ17" s="8"/>
      <c r="WNA17" s="8"/>
      <c r="WNB17" s="8"/>
      <c r="WNC17" s="8"/>
      <c r="WND17" s="8"/>
      <c r="WNE17" s="8"/>
      <c r="WNF17" s="8"/>
      <c r="WNG17" s="8"/>
      <c r="WNH17" s="8"/>
      <c r="WNI17" s="8"/>
      <c r="WNJ17" s="8"/>
      <c r="WNK17" s="8"/>
      <c r="WNL17" s="8"/>
      <c r="WNM17" s="8"/>
      <c r="WNN17" s="8"/>
      <c r="WNO17" s="8"/>
      <c r="WNP17" s="8"/>
      <c r="WNQ17" s="8"/>
      <c r="WNR17" s="8"/>
      <c r="WNS17" s="8"/>
      <c r="WNT17" s="8"/>
      <c r="WNU17" s="8"/>
      <c r="WNV17" s="8"/>
      <c r="WNW17" s="8"/>
      <c r="WNX17" s="8"/>
      <c r="WNY17" s="8"/>
      <c r="WNZ17" s="8"/>
      <c r="WOA17" s="8"/>
      <c r="WOB17" s="8"/>
      <c r="WOC17" s="8"/>
      <c r="WOD17" s="8"/>
      <c r="WOE17" s="8"/>
      <c r="WOF17" s="8"/>
      <c r="WOG17" s="8"/>
      <c r="WOH17" s="8"/>
      <c r="WOI17" s="8"/>
      <c r="WOJ17" s="8"/>
      <c r="WOK17" s="8"/>
      <c r="WOL17" s="8"/>
      <c r="WOM17" s="8"/>
      <c r="WON17" s="8"/>
      <c r="WOO17" s="8"/>
      <c r="WOP17" s="8"/>
      <c r="WOQ17" s="8"/>
      <c r="WOR17" s="8"/>
      <c r="WOS17" s="8"/>
      <c r="WOT17" s="8"/>
      <c r="WOU17" s="8"/>
      <c r="WOV17" s="8"/>
      <c r="WOW17" s="8"/>
      <c r="WOX17" s="8"/>
      <c r="WOY17" s="8"/>
      <c r="WOZ17" s="8"/>
      <c r="WPA17" s="8"/>
      <c r="WPB17" s="8"/>
      <c r="WPC17" s="8"/>
      <c r="WPD17" s="8"/>
      <c r="WPE17" s="8"/>
      <c r="WPF17" s="8"/>
      <c r="WPG17" s="8"/>
      <c r="WPH17" s="8"/>
      <c r="WPI17" s="8"/>
      <c r="WPJ17" s="8"/>
      <c r="WPK17" s="8"/>
      <c r="WPL17" s="8"/>
      <c r="WPM17" s="8"/>
      <c r="WPN17" s="8"/>
      <c r="WPO17" s="8"/>
      <c r="WPP17" s="8"/>
      <c r="WPQ17" s="8"/>
      <c r="WPR17" s="8"/>
      <c r="WPS17" s="8"/>
      <c r="WPT17" s="8"/>
      <c r="WPU17" s="8"/>
      <c r="WPV17" s="8"/>
      <c r="WPW17" s="8"/>
      <c r="WPX17" s="8"/>
      <c r="WPY17" s="8"/>
      <c r="WPZ17" s="8"/>
      <c r="WQA17" s="8"/>
      <c r="WQB17" s="8"/>
      <c r="WQC17" s="8"/>
      <c r="WQD17" s="8"/>
      <c r="WQE17" s="8"/>
      <c r="WQF17" s="8"/>
      <c r="WQG17" s="8"/>
      <c r="WQH17" s="8"/>
      <c r="WQI17" s="8"/>
      <c r="WQJ17" s="8"/>
      <c r="WQK17" s="8"/>
      <c r="WQL17" s="8"/>
      <c r="WQM17" s="8"/>
      <c r="WQN17" s="8"/>
      <c r="WQO17" s="8"/>
      <c r="WQP17" s="8"/>
      <c r="WQQ17" s="8"/>
      <c r="WQR17" s="8"/>
      <c r="WQS17" s="8"/>
      <c r="WQT17" s="8"/>
      <c r="WQU17" s="8"/>
      <c r="WQV17" s="8"/>
      <c r="WQW17" s="8"/>
      <c r="WQX17" s="8"/>
      <c r="WQY17" s="8"/>
      <c r="WQZ17" s="8"/>
      <c r="WRA17" s="8"/>
      <c r="WRB17" s="8"/>
      <c r="WRC17" s="8"/>
      <c r="WRD17" s="8"/>
      <c r="WRE17" s="8"/>
      <c r="WRF17" s="8"/>
      <c r="WRG17" s="8"/>
      <c r="WRH17" s="8"/>
      <c r="WRI17" s="8"/>
      <c r="WRJ17" s="8"/>
      <c r="WRK17" s="8"/>
      <c r="WRL17" s="8"/>
      <c r="WRM17" s="8"/>
      <c r="WRN17" s="8"/>
      <c r="WRO17" s="8"/>
      <c r="WRP17" s="8"/>
      <c r="WRQ17" s="8"/>
      <c r="WRR17" s="8"/>
      <c r="WRS17" s="8"/>
      <c r="WRT17" s="8"/>
      <c r="WRU17" s="8"/>
      <c r="WRV17" s="8"/>
      <c r="WRW17" s="8"/>
      <c r="WRX17" s="8"/>
      <c r="WRY17" s="8"/>
      <c r="WRZ17" s="8"/>
      <c r="WSA17" s="8"/>
      <c r="WSB17" s="8"/>
      <c r="WSC17" s="8"/>
      <c r="WSD17" s="8"/>
      <c r="WSE17" s="8"/>
      <c r="WSF17" s="8"/>
      <c r="WSG17" s="8"/>
      <c r="WSH17" s="8"/>
      <c r="WSI17" s="8"/>
      <c r="WSJ17" s="8"/>
      <c r="WSK17" s="8"/>
      <c r="WSL17" s="8"/>
      <c r="WSM17" s="8"/>
      <c r="WSN17" s="8"/>
      <c r="WSO17" s="8"/>
      <c r="WSP17" s="8"/>
      <c r="WSQ17" s="8"/>
      <c r="WSR17" s="8"/>
      <c r="WSS17" s="8"/>
      <c r="WST17" s="8"/>
      <c r="WSU17" s="8"/>
      <c r="WSV17" s="8"/>
      <c r="WSW17" s="8"/>
      <c r="WSX17" s="8"/>
      <c r="WSY17" s="8"/>
      <c r="WSZ17" s="8"/>
      <c r="WTA17" s="8"/>
      <c r="WTB17" s="8"/>
      <c r="WTC17" s="8"/>
      <c r="WTD17" s="8"/>
      <c r="WTE17" s="8"/>
      <c r="WTF17" s="8"/>
      <c r="WTG17" s="8"/>
      <c r="WTH17" s="8"/>
      <c r="WTI17" s="8"/>
      <c r="WTJ17" s="8"/>
      <c r="WTK17" s="8"/>
      <c r="WTL17" s="8"/>
      <c r="WTM17" s="8"/>
      <c r="WTN17" s="8"/>
      <c r="WTO17" s="8"/>
      <c r="WTP17" s="8"/>
      <c r="WTQ17" s="8"/>
      <c r="WTR17" s="8"/>
      <c r="WTS17" s="8"/>
      <c r="WTT17" s="8"/>
      <c r="WTU17" s="8"/>
      <c r="WTV17" s="8"/>
      <c r="WTW17" s="8"/>
      <c r="WTX17" s="8"/>
      <c r="WTY17" s="8"/>
      <c r="WTZ17" s="8"/>
      <c r="WUA17" s="8"/>
      <c r="WUB17" s="8"/>
      <c r="WUC17" s="8"/>
      <c r="WUD17" s="8"/>
      <c r="WUE17" s="8"/>
      <c r="WUF17" s="8"/>
      <c r="WUG17" s="8"/>
      <c r="WUH17" s="8"/>
      <c r="WUI17" s="8"/>
      <c r="WUJ17" s="8"/>
      <c r="WUK17" s="8"/>
      <c r="WUL17" s="8"/>
      <c r="WUM17" s="8"/>
      <c r="WUN17" s="8"/>
      <c r="WUO17" s="8"/>
      <c r="WUP17" s="8"/>
      <c r="WUQ17" s="8"/>
      <c r="WUR17" s="8"/>
      <c r="WUS17" s="8"/>
      <c r="WUT17" s="8"/>
      <c r="WUU17" s="8"/>
      <c r="WUV17" s="8"/>
      <c r="WUW17" s="8"/>
      <c r="WUX17" s="8"/>
      <c r="WUY17" s="8"/>
      <c r="WUZ17" s="8"/>
      <c r="WVA17" s="8"/>
      <c r="WVB17" s="8"/>
      <c r="WVC17" s="8"/>
      <c r="WVD17" s="8"/>
      <c r="WVE17" s="8"/>
      <c r="WVF17" s="8"/>
      <c r="WVG17" s="8"/>
      <c r="WVH17" s="8"/>
      <c r="WVI17" s="8"/>
      <c r="WVJ17" s="8"/>
      <c r="WVK17" s="8"/>
      <c r="WVL17" s="8"/>
      <c r="WVM17" s="8"/>
      <c r="WVN17" s="8"/>
      <c r="WVO17" s="8"/>
      <c r="WVP17" s="8"/>
      <c r="WVQ17" s="8"/>
      <c r="WVR17" s="8"/>
      <c r="WVS17" s="8"/>
      <c r="WVT17" s="8"/>
      <c r="WVU17" s="8"/>
      <c r="WVV17" s="8"/>
      <c r="WVW17" s="8"/>
      <c r="WVX17" s="8"/>
      <c r="WVY17" s="8"/>
      <c r="WVZ17" s="8"/>
      <c r="WWA17" s="8"/>
      <c r="WWB17" s="8"/>
      <c r="WWC17" s="8"/>
      <c r="WWD17" s="8"/>
      <c r="WWE17" s="8"/>
      <c r="WWF17" s="8"/>
      <c r="WWG17" s="8"/>
      <c r="WWH17" s="8"/>
      <c r="WWI17" s="8"/>
      <c r="WWJ17" s="8"/>
      <c r="WWK17" s="8"/>
      <c r="WWL17" s="8"/>
      <c r="WWM17" s="8"/>
      <c r="WWN17" s="8"/>
      <c r="WWO17" s="8"/>
      <c r="WWP17" s="8"/>
      <c r="WWQ17" s="8"/>
      <c r="WWR17" s="8"/>
      <c r="WWS17" s="8"/>
      <c r="WWT17" s="8"/>
      <c r="WWU17" s="8"/>
      <c r="WWV17" s="8"/>
      <c r="WWW17" s="8"/>
      <c r="WWX17" s="8"/>
      <c r="WWY17" s="8"/>
      <c r="WWZ17" s="8"/>
      <c r="WXA17" s="8"/>
      <c r="WXB17" s="8"/>
      <c r="WXC17" s="8"/>
      <c r="WXD17" s="8"/>
      <c r="WXE17" s="8"/>
      <c r="WXF17" s="8"/>
      <c r="WXG17" s="8"/>
      <c r="WXH17" s="8"/>
      <c r="WXI17" s="8"/>
      <c r="WXJ17" s="8"/>
      <c r="WXK17" s="8"/>
      <c r="WXL17" s="8"/>
      <c r="WXM17" s="8"/>
      <c r="WXN17" s="8"/>
      <c r="WXO17" s="8"/>
      <c r="WXP17" s="8"/>
      <c r="WXQ17" s="8"/>
      <c r="WXR17" s="8"/>
      <c r="WXS17" s="8"/>
      <c r="WXT17" s="8"/>
      <c r="WXU17" s="8"/>
      <c r="WXV17" s="8"/>
      <c r="WXW17" s="8"/>
      <c r="WXX17" s="8"/>
      <c r="WXY17" s="8"/>
      <c r="WXZ17" s="8"/>
      <c r="WYA17" s="8"/>
      <c r="WYB17" s="8"/>
      <c r="WYC17" s="8"/>
      <c r="WYD17" s="8"/>
      <c r="WYE17" s="8"/>
      <c r="WYF17" s="8"/>
      <c r="WYG17" s="8"/>
      <c r="WYH17" s="8"/>
      <c r="WYI17" s="8"/>
      <c r="WYJ17" s="8"/>
      <c r="WYK17" s="8"/>
      <c r="WYL17" s="8"/>
      <c r="WYM17" s="8"/>
      <c r="WYN17" s="8"/>
      <c r="WYO17" s="8"/>
      <c r="WYP17" s="8"/>
      <c r="WYQ17" s="8"/>
      <c r="WYR17" s="8"/>
      <c r="WYS17" s="8"/>
      <c r="WYT17" s="8"/>
      <c r="WYU17" s="8"/>
      <c r="WYV17" s="8"/>
      <c r="WYW17" s="8"/>
      <c r="WYX17" s="8"/>
      <c r="WYY17" s="8"/>
      <c r="WYZ17" s="8"/>
      <c r="WZA17" s="8"/>
      <c r="WZB17" s="8"/>
      <c r="WZC17" s="8"/>
      <c r="WZD17" s="8"/>
      <c r="WZE17" s="8"/>
      <c r="WZF17" s="8"/>
      <c r="WZG17" s="8"/>
      <c r="WZH17" s="8"/>
      <c r="WZI17" s="8"/>
      <c r="WZJ17" s="8"/>
      <c r="WZK17" s="8"/>
      <c r="WZL17" s="8"/>
      <c r="WZM17" s="8"/>
      <c r="WZN17" s="8"/>
      <c r="WZO17" s="8"/>
      <c r="WZP17" s="8"/>
      <c r="WZQ17" s="8"/>
      <c r="WZR17" s="8"/>
      <c r="WZS17" s="8"/>
      <c r="WZT17" s="8"/>
      <c r="WZU17" s="8"/>
      <c r="WZV17" s="8"/>
      <c r="WZW17" s="8"/>
      <c r="WZX17" s="8"/>
      <c r="WZY17" s="8"/>
      <c r="WZZ17" s="8"/>
      <c r="XAA17" s="8"/>
      <c r="XAB17" s="8"/>
      <c r="XAC17" s="8"/>
      <c r="XAD17" s="8"/>
      <c r="XAE17" s="8"/>
      <c r="XAF17" s="8"/>
      <c r="XAG17" s="8"/>
      <c r="XAH17" s="8"/>
      <c r="XAI17" s="8"/>
      <c r="XAJ17" s="8"/>
      <c r="XAK17" s="8"/>
      <c r="XAL17" s="8"/>
      <c r="XAM17" s="8"/>
      <c r="XAN17" s="8"/>
      <c r="XAO17" s="8"/>
      <c r="XAP17" s="8"/>
      <c r="XAQ17" s="8"/>
      <c r="XAR17" s="8"/>
      <c r="XAS17" s="8"/>
      <c r="XAT17" s="8"/>
      <c r="XAU17" s="8"/>
      <c r="XAV17" s="8"/>
      <c r="XAW17" s="8"/>
      <c r="XAX17" s="8"/>
      <c r="XAY17" s="8"/>
      <c r="XAZ17" s="8"/>
      <c r="XBA17" s="8"/>
      <c r="XBB17" s="8"/>
      <c r="XBC17" s="8"/>
      <c r="XBD17" s="8"/>
      <c r="XBE17" s="8"/>
      <c r="XBF17" s="8"/>
      <c r="XBG17" s="8"/>
      <c r="XBH17" s="8"/>
      <c r="XBI17" s="8"/>
      <c r="XBJ17" s="8"/>
      <c r="XBK17" s="8"/>
      <c r="XBL17" s="8"/>
      <c r="XBM17" s="8"/>
      <c r="XBN17" s="8"/>
      <c r="XBO17" s="8"/>
      <c r="XBP17" s="8"/>
      <c r="XBQ17" s="8"/>
      <c r="XBR17" s="8"/>
      <c r="XBS17" s="8"/>
      <c r="XBT17" s="8"/>
      <c r="XBU17" s="8"/>
      <c r="XBV17" s="8"/>
      <c r="XBW17" s="8"/>
      <c r="XBX17" s="8"/>
      <c r="XBY17" s="8"/>
      <c r="XBZ17" s="8"/>
      <c r="XCA17" s="8"/>
      <c r="XCB17" s="8"/>
      <c r="XCC17" s="8"/>
      <c r="XCD17" s="8"/>
      <c r="XCE17" s="8"/>
      <c r="XCF17" s="8"/>
      <c r="XCG17" s="8"/>
      <c r="XCH17" s="8"/>
      <c r="XCI17" s="8"/>
      <c r="XCJ17" s="8"/>
      <c r="XCK17" s="8"/>
      <c r="XCL17" s="8"/>
      <c r="XCM17" s="8"/>
      <c r="XCN17" s="8"/>
      <c r="XCO17" s="8"/>
      <c r="XCP17" s="8"/>
      <c r="XCQ17" s="8"/>
      <c r="XCR17" s="8"/>
      <c r="XCS17" s="8"/>
      <c r="XCT17" s="8"/>
      <c r="XCU17" s="8"/>
      <c r="XCV17" s="8"/>
      <c r="XCW17" s="8"/>
      <c r="XCX17" s="8"/>
      <c r="XCY17" s="8"/>
      <c r="XCZ17" s="8"/>
      <c r="XDA17" s="8"/>
      <c r="XDB17" s="8"/>
      <c r="XDC17" s="8"/>
      <c r="XDD17" s="8"/>
      <c r="XDE17" s="8"/>
      <c r="XDF17" s="8"/>
      <c r="XDG17" s="8"/>
      <c r="XDH17" s="8"/>
      <c r="XDI17" s="8"/>
      <c r="XDJ17" s="8"/>
      <c r="XDK17" s="8"/>
      <c r="XDL17" s="8"/>
      <c r="XDM17" s="8"/>
      <c r="XDN17" s="8"/>
      <c r="XDO17" s="8"/>
      <c r="XDP17" s="8"/>
      <c r="XDQ17" s="8"/>
      <c r="XDR17" s="8"/>
      <c r="XDS17" s="8"/>
      <c r="XDT17" s="8"/>
      <c r="XDU17" s="8"/>
      <c r="XDV17" s="8"/>
      <c r="XDW17" s="8"/>
      <c r="XDX17" s="8"/>
      <c r="XDY17" s="8"/>
      <c r="XDZ17" s="8"/>
      <c r="XEA17" s="8"/>
      <c r="XEB17" s="8"/>
      <c r="XEC17" s="8"/>
      <c r="XED17" s="8"/>
      <c r="XEE17" s="8"/>
      <c r="XEF17" s="8"/>
      <c r="XEG17" s="8"/>
      <c r="XEH17" s="8"/>
      <c r="XEI17" s="8"/>
      <c r="XEJ17" s="8"/>
      <c r="XEK17" s="8"/>
      <c r="XEL17" s="8"/>
      <c r="XEM17" s="8"/>
      <c r="XEN17" s="8"/>
      <c r="XEO17" s="8"/>
      <c r="XEP17" s="8"/>
      <c r="XEQ17" s="8"/>
      <c r="XER17" s="8"/>
      <c r="XES17" s="8"/>
      <c r="XET17" s="8"/>
      <c r="XEU17" s="8"/>
      <c r="XEV17" s="8"/>
      <c r="XEW17" s="8"/>
      <c r="XEX17" s="8"/>
      <c r="XEY17" s="8"/>
      <c r="XEZ17" s="8"/>
      <c r="XFA17" s="8"/>
      <c r="XFB17" s="8"/>
      <c r="XFC17" s="8"/>
      <c r="XFD17" s="8"/>
    </row>
    <row r="18" spans="1:16384" x14ac:dyDescent="0.25">
      <c r="A18" s="6" t="s">
        <v>30</v>
      </c>
      <c r="L18">
        <v>1</v>
      </c>
      <c r="O18">
        <v>1</v>
      </c>
      <c r="AF18">
        <f t="shared" si="0"/>
        <v>2</v>
      </c>
      <c r="AG18">
        <f>(AF18/AF23)*100</f>
        <v>0.29585798816568049</v>
      </c>
    </row>
    <row r="19" spans="1:16384" x14ac:dyDescent="0.25">
      <c r="A19" s="6" t="s">
        <v>32</v>
      </c>
      <c r="B19">
        <v>12</v>
      </c>
      <c r="C19">
        <v>4</v>
      </c>
      <c r="D19">
        <v>24</v>
      </c>
      <c r="E19">
        <v>22</v>
      </c>
      <c r="F19">
        <v>19</v>
      </c>
      <c r="H19">
        <v>17</v>
      </c>
      <c r="I19">
        <v>8</v>
      </c>
      <c r="J19">
        <v>24</v>
      </c>
      <c r="K19">
        <v>9</v>
      </c>
      <c r="L19">
        <v>10</v>
      </c>
      <c r="M19">
        <v>9</v>
      </c>
      <c r="N19">
        <v>17</v>
      </c>
      <c r="O19">
        <v>27</v>
      </c>
      <c r="P19">
        <v>19</v>
      </c>
      <c r="Q19">
        <v>21</v>
      </c>
      <c r="R19">
        <v>8</v>
      </c>
      <c r="S19">
        <v>29</v>
      </c>
      <c r="T19">
        <v>17</v>
      </c>
      <c r="U19">
        <v>11</v>
      </c>
      <c r="V19">
        <v>17</v>
      </c>
      <c r="W19">
        <v>4</v>
      </c>
      <c r="X19">
        <v>10</v>
      </c>
      <c r="Y19">
        <v>2</v>
      </c>
      <c r="Z19">
        <v>8</v>
      </c>
      <c r="AA19">
        <v>7</v>
      </c>
      <c r="AB19">
        <v>2</v>
      </c>
      <c r="AC19">
        <v>2</v>
      </c>
      <c r="AD19">
        <v>1</v>
      </c>
      <c r="AE19">
        <v>4</v>
      </c>
      <c r="AF19">
        <f t="shared" si="0"/>
        <v>364</v>
      </c>
      <c r="AG19">
        <f>(AF19/AF23)*100</f>
        <v>53.846153846153847</v>
      </c>
    </row>
    <row r="20" spans="1:16384" x14ac:dyDescent="0.25">
      <c r="A20" s="6" t="s">
        <v>33</v>
      </c>
      <c r="F20">
        <v>1</v>
      </c>
      <c r="I20">
        <v>1</v>
      </c>
      <c r="P20">
        <v>3</v>
      </c>
      <c r="R20">
        <v>3</v>
      </c>
      <c r="S20">
        <v>1</v>
      </c>
      <c r="U20">
        <v>1</v>
      </c>
      <c r="V20">
        <v>1</v>
      </c>
      <c r="W20">
        <v>1</v>
      </c>
      <c r="Y20">
        <v>1</v>
      </c>
      <c r="AF20">
        <f t="shared" si="0"/>
        <v>13</v>
      </c>
      <c r="AG20">
        <f>(AF20/AF23)*100</f>
        <v>1.9230769230769231</v>
      </c>
    </row>
    <row r="21" spans="1:16384" x14ac:dyDescent="0.25">
      <c r="A21" s="6" t="s">
        <v>37</v>
      </c>
      <c r="B21">
        <v>1</v>
      </c>
      <c r="C21">
        <v>1</v>
      </c>
      <c r="D21">
        <v>1</v>
      </c>
      <c r="E21">
        <v>2</v>
      </c>
      <c r="F21">
        <v>5</v>
      </c>
      <c r="I21">
        <v>1</v>
      </c>
      <c r="J21">
        <v>6</v>
      </c>
      <c r="M21">
        <v>5</v>
      </c>
      <c r="N21">
        <v>3</v>
      </c>
      <c r="O21">
        <v>4</v>
      </c>
      <c r="P21">
        <v>4</v>
      </c>
      <c r="Q21">
        <v>4</v>
      </c>
      <c r="R21">
        <v>2</v>
      </c>
      <c r="S21">
        <v>3</v>
      </c>
      <c r="T21">
        <v>2</v>
      </c>
      <c r="V21">
        <v>2</v>
      </c>
      <c r="W21">
        <v>1</v>
      </c>
      <c r="Y21">
        <v>1</v>
      </c>
      <c r="Z21">
        <v>7</v>
      </c>
      <c r="AA21">
        <v>1</v>
      </c>
      <c r="AF21">
        <f t="shared" si="0"/>
        <v>56</v>
      </c>
      <c r="AG21">
        <f>(AF21/AF23)*100</f>
        <v>8.2840236686390547</v>
      </c>
    </row>
    <row r="22" spans="1:16384" x14ac:dyDescent="0.25">
      <c r="A22" s="6"/>
      <c r="AF22">
        <f t="shared" si="0"/>
        <v>0</v>
      </c>
      <c r="AG22">
        <f>(AF22/AF23)*100</f>
        <v>0</v>
      </c>
    </row>
    <row r="23" spans="1:16384" x14ac:dyDescent="0.25">
      <c r="A23" s="1" t="s">
        <v>39</v>
      </c>
      <c r="B23" s="2">
        <f t="shared" ref="B23:AE23" si="1">SUM(B3:B22)</f>
        <v>19</v>
      </c>
      <c r="C23" s="2">
        <f t="shared" si="1"/>
        <v>6</v>
      </c>
      <c r="D23" s="2">
        <f t="shared" si="1"/>
        <v>30</v>
      </c>
      <c r="E23" s="2">
        <f t="shared" si="1"/>
        <v>37</v>
      </c>
      <c r="F23" s="2">
        <f t="shared" si="1"/>
        <v>36</v>
      </c>
      <c r="G23" s="2">
        <f t="shared" si="1"/>
        <v>0</v>
      </c>
      <c r="H23" s="2">
        <f t="shared" si="1"/>
        <v>26</v>
      </c>
      <c r="I23" s="2">
        <f t="shared" si="1"/>
        <v>13</v>
      </c>
      <c r="J23" s="2">
        <f t="shared" si="1"/>
        <v>44</v>
      </c>
      <c r="K23" s="2">
        <f t="shared" si="1"/>
        <v>12</v>
      </c>
      <c r="L23" s="2">
        <f t="shared" si="1"/>
        <v>17</v>
      </c>
      <c r="M23" s="2">
        <f t="shared" si="1"/>
        <v>24</v>
      </c>
      <c r="N23" s="2">
        <f t="shared" si="1"/>
        <v>30</v>
      </c>
      <c r="O23" s="2">
        <f t="shared" si="1"/>
        <v>41</v>
      </c>
      <c r="P23" s="2">
        <f t="shared" si="1"/>
        <v>35</v>
      </c>
      <c r="Q23" s="2">
        <f t="shared" si="1"/>
        <v>40</v>
      </c>
      <c r="R23" s="2">
        <f t="shared" si="1"/>
        <v>21</v>
      </c>
      <c r="S23" s="2">
        <f t="shared" si="1"/>
        <v>51</v>
      </c>
      <c r="T23" s="2">
        <f t="shared" si="1"/>
        <v>31</v>
      </c>
      <c r="U23" s="2">
        <f t="shared" si="1"/>
        <v>37</v>
      </c>
      <c r="V23" s="2">
        <f t="shared" si="1"/>
        <v>31</v>
      </c>
      <c r="W23" s="2">
        <f t="shared" si="1"/>
        <v>12</v>
      </c>
      <c r="X23" s="2">
        <f t="shared" si="1"/>
        <v>13</v>
      </c>
      <c r="Y23" s="2">
        <f t="shared" si="1"/>
        <v>8</v>
      </c>
      <c r="Z23" s="2">
        <f t="shared" si="1"/>
        <v>34</v>
      </c>
      <c r="AA23" s="2">
        <f t="shared" si="1"/>
        <v>12</v>
      </c>
      <c r="AB23" s="2">
        <f t="shared" si="1"/>
        <v>4</v>
      </c>
      <c r="AC23" s="2">
        <f t="shared" si="1"/>
        <v>3</v>
      </c>
      <c r="AD23" s="2">
        <f t="shared" si="1"/>
        <v>3</v>
      </c>
      <c r="AE23" s="2">
        <f t="shared" si="1"/>
        <v>6</v>
      </c>
      <c r="AF23" s="2">
        <f>SUM(AF3:AF22)</f>
        <v>676</v>
      </c>
      <c r="AG23" s="7">
        <f>SUM(AG3:AG22)</f>
        <v>99.999999999999986</v>
      </c>
    </row>
    <row r="24" spans="1:16384" x14ac:dyDescent="0.25">
      <c r="B24">
        <v>19</v>
      </c>
      <c r="C24">
        <v>25</v>
      </c>
      <c r="D24">
        <v>55</v>
      </c>
      <c r="E24">
        <v>92</v>
      </c>
      <c r="F24">
        <v>128</v>
      </c>
      <c r="G24">
        <v>128</v>
      </c>
      <c r="H24">
        <v>154</v>
      </c>
      <c r="I24">
        <v>167</v>
      </c>
      <c r="J24">
        <v>211</v>
      </c>
      <c r="K24">
        <v>223</v>
      </c>
      <c r="L24">
        <v>240</v>
      </c>
      <c r="M24">
        <v>264</v>
      </c>
      <c r="N24">
        <v>294</v>
      </c>
      <c r="O24">
        <v>335</v>
      </c>
      <c r="P24">
        <v>370</v>
      </c>
      <c r="Q24">
        <v>410</v>
      </c>
      <c r="R24">
        <v>431</v>
      </c>
      <c r="S24">
        <v>482</v>
      </c>
      <c r="T24">
        <v>513</v>
      </c>
      <c r="U24">
        <v>550</v>
      </c>
      <c r="V24">
        <v>581</v>
      </c>
      <c r="W24">
        <v>593</v>
      </c>
      <c r="X24">
        <v>606</v>
      </c>
      <c r="Y24">
        <v>614</v>
      </c>
      <c r="Z24">
        <v>648</v>
      </c>
      <c r="AA24">
        <v>660</v>
      </c>
      <c r="AB24">
        <v>664</v>
      </c>
      <c r="AC24">
        <v>667</v>
      </c>
      <c r="AD24">
        <v>670</v>
      </c>
      <c r="AE24">
        <v>676</v>
      </c>
    </row>
    <row r="26" spans="1:16384" x14ac:dyDescent="0.25">
      <c r="A26" t="s">
        <v>755</v>
      </c>
      <c r="B26">
        <v>5</v>
      </c>
      <c r="C26">
        <v>6</v>
      </c>
      <c r="D26">
        <v>6</v>
      </c>
      <c r="E26">
        <v>9</v>
      </c>
      <c r="F26">
        <v>11</v>
      </c>
      <c r="G26">
        <v>11</v>
      </c>
      <c r="H26">
        <v>11</v>
      </c>
      <c r="I26">
        <v>12</v>
      </c>
      <c r="J26">
        <v>13</v>
      </c>
      <c r="K26">
        <v>13</v>
      </c>
      <c r="L26">
        <v>14</v>
      </c>
      <c r="M26">
        <v>15</v>
      </c>
      <c r="N26">
        <v>15</v>
      </c>
      <c r="O26">
        <v>15</v>
      </c>
      <c r="P26">
        <v>15</v>
      </c>
      <c r="Q26">
        <v>16</v>
      </c>
      <c r="R26">
        <v>16</v>
      </c>
      <c r="S26">
        <v>16</v>
      </c>
      <c r="T26">
        <v>16</v>
      </c>
      <c r="U26">
        <v>18</v>
      </c>
      <c r="V26">
        <v>18</v>
      </c>
      <c r="W26">
        <v>19</v>
      </c>
      <c r="X26">
        <v>19</v>
      </c>
      <c r="Y26">
        <v>19</v>
      </c>
      <c r="Z26">
        <v>19</v>
      </c>
      <c r="AA26">
        <v>19</v>
      </c>
      <c r="AB26">
        <v>19</v>
      </c>
      <c r="AC26">
        <v>19</v>
      </c>
      <c r="AD26">
        <v>19</v>
      </c>
      <c r="AE26">
        <v>19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7"/>
  <sheetViews>
    <sheetView workbookViewId="0">
      <pane xSplit="1" topLeftCell="B1" activePane="topRight" state="frozen"/>
      <selection activeCell="A2" sqref="A2"/>
      <selection pane="topRight" activeCell="Z24" sqref="B24:Z24"/>
    </sheetView>
  </sheetViews>
  <sheetFormatPr defaultRowHeight="15" x14ac:dyDescent="0.25"/>
  <cols>
    <col min="1" max="1" width="23" customWidth="1"/>
  </cols>
  <sheetData>
    <row r="1" spans="1:28" x14ac:dyDescent="0.25">
      <c r="A1" s="1" t="s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  <c r="V1" s="2">
        <v>21</v>
      </c>
      <c r="W1" s="2">
        <v>22</v>
      </c>
      <c r="X1" s="2">
        <v>23</v>
      </c>
      <c r="Y1" s="2">
        <v>24</v>
      </c>
      <c r="Z1" s="3">
        <v>25</v>
      </c>
    </row>
    <row r="2" spans="1:28" x14ac:dyDescent="0.25">
      <c r="A2" s="4" t="s">
        <v>1</v>
      </c>
      <c r="B2" s="5" t="s">
        <v>221</v>
      </c>
      <c r="C2" s="5" t="s">
        <v>222</v>
      </c>
      <c r="D2" s="5" t="s">
        <v>223</v>
      </c>
      <c r="E2" s="5" t="s">
        <v>224</v>
      </c>
      <c r="F2" s="5" t="s">
        <v>225</v>
      </c>
      <c r="G2" s="5" t="s">
        <v>226</v>
      </c>
      <c r="H2" s="5" t="s">
        <v>227</v>
      </c>
      <c r="I2" s="5" t="s">
        <v>228</v>
      </c>
      <c r="J2" s="5" t="s">
        <v>229</v>
      </c>
      <c r="K2" s="5" t="s">
        <v>230</v>
      </c>
      <c r="L2" s="5" t="s">
        <v>231</v>
      </c>
      <c r="M2" s="5" t="s">
        <v>232</v>
      </c>
      <c r="N2" s="5" t="s">
        <v>233</v>
      </c>
      <c r="O2" s="5" t="s">
        <v>234</v>
      </c>
      <c r="P2" s="5" t="s">
        <v>157</v>
      </c>
      <c r="Q2" s="5" t="s">
        <v>235</v>
      </c>
      <c r="R2" s="5" t="s">
        <v>236</v>
      </c>
      <c r="S2" s="5" t="s">
        <v>237</v>
      </c>
      <c r="T2" s="5" t="s">
        <v>238</v>
      </c>
      <c r="U2" s="5" t="s">
        <v>239</v>
      </c>
      <c r="V2" s="5" t="s">
        <v>240</v>
      </c>
      <c r="W2" s="5" t="s">
        <v>241</v>
      </c>
      <c r="X2" s="5" t="s">
        <v>242</v>
      </c>
      <c r="Y2" s="5" t="s">
        <v>243</v>
      </c>
      <c r="Z2" s="5" t="s">
        <v>244</v>
      </c>
      <c r="AA2" s="5" t="s">
        <v>2</v>
      </c>
      <c r="AB2" s="5" t="s">
        <v>3</v>
      </c>
    </row>
    <row r="3" spans="1:28" x14ac:dyDescent="0.25">
      <c r="A3" s="6" t="s">
        <v>4</v>
      </c>
      <c r="B3">
        <v>1</v>
      </c>
      <c r="C3">
        <v>4</v>
      </c>
      <c r="D3">
        <v>2</v>
      </c>
      <c r="E3">
        <v>1</v>
      </c>
      <c r="F3">
        <v>1</v>
      </c>
      <c r="G3">
        <v>1</v>
      </c>
      <c r="H3">
        <v>4</v>
      </c>
      <c r="I3">
        <v>5</v>
      </c>
      <c r="J3">
        <v>3</v>
      </c>
      <c r="K3">
        <v>4</v>
      </c>
      <c r="L3">
        <v>1</v>
      </c>
      <c r="N3">
        <v>3</v>
      </c>
      <c r="O3">
        <v>6</v>
      </c>
      <c r="P3">
        <v>1</v>
      </c>
      <c r="Q3">
        <v>4</v>
      </c>
      <c r="R3">
        <v>3</v>
      </c>
      <c r="S3">
        <v>4</v>
      </c>
      <c r="T3">
        <v>4</v>
      </c>
      <c r="U3">
        <v>3</v>
      </c>
      <c r="V3">
        <v>7</v>
      </c>
      <c r="W3">
        <v>4</v>
      </c>
      <c r="X3">
        <v>7</v>
      </c>
      <c r="Y3">
        <v>5</v>
      </c>
      <c r="Z3">
        <v>9</v>
      </c>
      <c r="AA3">
        <f t="shared" ref="AA3:AA22" si="0">SUM(B3:Z3)</f>
        <v>87</v>
      </c>
      <c r="AB3">
        <f>(AA3/AA23)*100</f>
        <v>14.054927302100161</v>
      </c>
    </row>
    <row r="4" spans="1:28" x14ac:dyDescent="0.25">
      <c r="A4" s="6" t="s">
        <v>5</v>
      </c>
      <c r="F4">
        <v>1</v>
      </c>
      <c r="H4">
        <v>1</v>
      </c>
      <c r="I4">
        <v>1</v>
      </c>
      <c r="K4">
        <v>3</v>
      </c>
      <c r="L4">
        <v>1</v>
      </c>
      <c r="Q4">
        <v>1</v>
      </c>
      <c r="V4">
        <v>1</v>
      </c>
      <c r="Y4">
        <v>1</v>
      </c>
      <c r="AA4">
        <f t="shared" si="0"/>
        <v>10</v>
      </c>
      <c r="AB4">
        <f>(AA4/AA23)*100</f>
        <v>1.615508885298869</v>
      </c>
    </row>
    <row r="5" spans="1:28" x14ac:dyDescent="0.25">
      <c r="A5" s="6" t="s">
        <v>6</v>
      </c>
      <c r="B5">
        <v>4</v>
      </c>
      <c r="F5">
        <v>1</v>
      </c>
      <c r="H5">
        <v>1</v>
      </c>
      <c r="J5">
        <v>1</v>
      </c>
      <c r="L5">
        <v>1</v>
      </c>
      <c r="M5">
        <v>1</v>
      </c>
      <c r="N5">
        <v>1</v>
      </c>
      <c r="O5">
        <v>1</v>
      </c>
      <c r="P5">
        <v>3</v>
      </c>
      <c r="Q5">
        <v>1</v>
      </c>
      <c r="S5">
        <v>1</v>
      </c>
      <c r="T5">
        <v>1</v>
      </c>
      <c r="U5">
        <v>3</v>
      </c>
      <c r="AA5">
        <f t="shared" si="0"/>
        <v>20</v>
      </c>
      <c r="AB5">
        <f>(AA5/AA23)*100</f>
        <v>3.2310177705977381</v>
      </c>
    </row>
    <row r="6" spans="1:28" x14ac:dyDescent="0.25">
      <c r="A6" s="6" t="s">
        <v>9</v>
      </c>
      <c r="J6">
        <v>2</v>
      </c>
      <c r="U6">
        <v>1</v>
      </c>
      <c r="Y6">
        <v>1</v>
      </c>
      <c r="AA6">
        <f t="shared" si="0"/>
        <v>4</v>
      </c>
      <c r="AB6">
        <f>(AA6/AA23)*100</f>
        <v>0.64620355411954766</v>
      </c>
    </row>
    <row r="7" spans="1:28" x14ac:dyDescent="0.25">
      <c r="A7" s="6" t="s">
        <v>11</v>
      </c>
      <c r="F7">
        <v>1</v>
      </c>
      <c r="I7">
        <v>2</v>
      </c>
      <c r="K7">
        <v>1</v>
      </c>
      <c r="N7">
        <v>1</v>
      </c>
      <c r="O7">
        <v>2</v>
      </c>
      <c r="T7">
        <v>1</v>
      </c>
      <c r="AA7">
        <f t="shared" si="0"/>
        <v>8</v>
      </c>
      <c r="AB7">
        <f>(AA7/AA23)*100</f>
        <v>1.2924071082390953</v>
      </c>
    </row>
    <row r="8" spans="1:28" x14ac:dyDescent="0.25">
      <c r="A8" s="6" t="s">
        <v>16</v>
      </c>
      <c r="P8">
        <v>1</v>
      </c>
      <c r="AA8">
        <f t="shared" si="0"/>
        <v>1</v>
      </c>
      <c r="AB8">
        <f>(AA8/AA23)*100</f>
        <v>0.16155088852988692</v>
      </c>
    </row>
    <row r="9" spans="1:28" x14ac:dyDescent="0.25">
      <c r="A9" s="6" t="s">
        <v>19</v>
      </c>
      <c r="B9">
        <v>3</v>
      </c>
      <c r="C9">
        <v>6</v>
      </c>
      <c r="D9">
        <v>17</v>
      </c>
      <c r="E9">
        <v>11</v>
      </c>
      <c r="H9">
        <v>7</v>
      </c>
      <c r="I9">
        <v>3</v>
      </c>
      <c r="J9">
        <v>6</v>
      </c>
      <c r="K9">
        <v>3</v>
      </c>
      <c r="N9">
        <v>1</v>
      </c>
      <c r="O9">
        <v>6</v>
      </c>
      <c r="P9">
        <v>4</v>
      </c>
      <c r="Q9">
        <v>5</v>
      </c>
      <c r="R9">
        <v>5</v>
      </c>
      <c r="S9">
        <v>5</v>
      </c>
      <c r="T9">
        <v>5</v>
      </c>
      <c r="U9">
        <v>7</v>
      </c>
      <c r="V9">
        <v>3</v>
      </c>
      <c r="W9">
        <v>7</v>
      </c>
      <c r="X9">
        <v>2</v>
      </c>
      <c r="Y9">
        <v>10</v>
      </c>
      <c r="Z9">
        <v>2</v>
      </c>
      <c r="AA9">
        <f t="shared" si="0"/>
        <v>118</v>
      </c>
      <c r="AB9">
        <f>(AA9/AA23)*100</f>
        <v>19.063004846526656</v>
      </c>
    </row>
    <row r="10" spans="1:28" x14ac:dyDescent="0.25">
      <c r="A10" s="6" t="s">
        <v>167</v>
      </c>
      <c r="N10">
        <v>1</v>
      </c>
      <c r="P10">
        <v>1</v>
      </c>
      <c r="U10">
        <v>1</v>
      </c>
      <c r="V10">
        <v>2</v>
      </c>
      <c r="AA10">
        <f t="shared" si="0"/>
        <v>5</v>
      </c>
      <c r="AB10">
        <f>(AA10/AA23)*100</f>
        <v>0.80775444264943452</v>
      </c>
    </row>
    <row r="11" spans="1:28" x14ac:dyDescent="0.25">
      <c r="A11" s="6" t="s">
        <v>21</v>
      </c>
      <c r="S11">
        <v>1</v>
      </c>
      <c r="T11">
        <v>1</v>
      </c>
      <c r="AA11">
        <f t="shared" si="0"/>
        <v>2</v>
      </c>
      <c r="AB11">
        <f>(AA11/AA23)*100</f>
        <v>0.32310177705977383</v>
      </c>
    </row>
    <row r="12" spans="1:28" x14ac:dyDescent="0.25">
      <c r="A12" s="6" t="s">
        <v>22</v>
      </c>
      <c r="B12">
        <v>1</v>
      </c>
      <c r="S12">
        <v>1</v>
      </c>
      <c r="AA12">
        <f t="shared" si="0"/>
        <v>2</v>
      </c>
      <c r="AB12">
        <f>(AA12/AA23)*100</f>
        <v>0.32310177705977383</v>
      </c>
    </row>
    <row r="13" spans="1:28" x14ac:dyDescent="0.25">
      <c r="A13" s="6" t="s">
        <v>23</v>
      </c>
      <c r="N13">
        <v>1</v>
      </c>
      <c r="AA13">
        <f t="shared" si="0"/>
        <v>1</v>
      </c>
      <c r="AB13">
        <f>(AA13/AA23)*100</f>
        <v>0.16155088852988692</v>
      </c>
    </row>
    <row r="14" spans="1:28" x14ac:dyDescent="0.25">
      <c r="A14" s="6" t="s">
        <v>25</v>
      </c>
      <c r="E14">
        <v>1</v>
      </c>
      <c r="G14">
        <v>1</v>
      </c>
      <c r="H14">
        <v>1</v>
      </c>
      <c r="N14">
        <v>1</v>
      </c>
      <c r="O14">
        <v>2</v>
      </c>
      <c r="P14">
        <v>1</v>
      </c>
      <c r="R14">
        <v>1</v>
      </c>
      <c r="U14">
        <v>2</v>
      </c>
      <c r="Y14">
        <v>1</v>
      </c>
      <c r="AA14">
        <f t="shared" si="0"/>
        <v>11</v>
      </c>
      <c r="AB14">
        <f>(AA14/AA23)*100</f>
        <v>1.7770597738287561</v>
      </c>
    </row>
    <row r="15" spans="1:28" x14ac:dyDescent="0.25">
      <c r="A15" s="6" t="s">
        <v>26</v>
      </c>
      <c r="H15">
        <v>1</v>
      </c>
      <c r="AA15">
        <f t="shared" si="0"/>
        <v>1</v>
      </c>
      <c r="AB15">
        <f>(AA15/AA23)*100</f>
        <v>0.16155088852988692</v>
      </c>
    </row>
    <row r="16" spans="1:28" x14ac:dyDescent="0.25">
      <c r="A16" s="6" t="s">
        <v>102</v>
      </c>
      <c r="N16">
        <v>1</v>
      </c>
      <c r="AA16">
        <f t="shared" si="0"/>
        <v>1</v>
      </c>
      <c r="AB16">
        <f>(AA16/AA23)*100</f>
        <v>0.16155088852988692</v>
      </c>
    </row>
    <row r="17" spans="1:28" x14ac:dyDescent="0.25">
      <c r="A17" s="6" t="s">
        <v>30</v>
      </c>
      <c r="Z17">
        <v>1</v>
      </c>
      <c r="AA17">
        <f t="shared" si="0"/>
        <v>1</v>
      </c>
      <c r="AB17">
        <f>(AA17/AA23)*100</f>
        <v>0.16155088852988692</v>
      </c>
    </row>
    <row r="18" spans="1:28" x14ac:dyDescent="0.25">
      <c r="A18" s="6" t="s">
        <v>32</v>
      </c>
      <c r="B18">
        <v>4</v>
      </c>
      <c r="C18">
        <v>6</v>
      </c>
      <c r="D18">
        <v>25</v>
      </c>
      <c r="E18">
        <v>11</v>
      </c>
      <c r="F18">
        <v>3</v>
      </c>
      <c r="G18">
        <v>1</v>
      </c>
      <c r="H18">
        <v>15</v>
      </c>
      <c r="I18">
        <v>8</v>
      </c>
      <c r="J18">
        <v>14</v>
      </c>
      <c r="K18">
        <v>4</v>
      </c>
      <c r="L18">
        <v>1</v>
      </c>
      <c r="M18">
        <v>3</v>
      </c>
      <c r="N18">
        <v>1</v>
      </c>
      <c r="O18">
        <v>12</v>
      </c>
      <c r="P18">
        <v>14</v>
      </c>
      <c r="Q18">
        <v>5</v>
      </c>
      <c r="R18">
        <v>11</v>
      </c>
      <c r="S18">
        <v>7</v>
      </c>
      <c r="T18">
        <v>18</v>
      </c>
      <c r="U18">
        <v>21</v>
      </c>
      <c r="V18">
        <v>13</v>
      </c>
      <c r="W18">
        <v>6</v>
      </c>
      <c r="X18">
        <v>11</v>
      </c>
      <c r="Y18">
        <v>30</v>
      </c>
      <c r="Z18">
        <v>13</v>
      </c>
      <c r="AA18">
        <f t="shared" si="0"/>
        <v>257</v>
      </c>
      <c r="AB18">
        <f>(AA18/AA23)*100</f>
        <v>41.518578352180938</v>
      </c>
    </row>
    <row r="19" spans="1:28" x14ac:dyDescent="0.25">
      <c r="A19" s="6" t="s">
        <v>33</v>
      </c>
      <c r="J19">
        <v>1</v>
      </c>
      <c r="O19">
        <v>1</v>
      </c>
      <c r="U19">
        <v>1</v>
      </c>
      <c r="Y19">
        <v>1</v>
      </c>
      <c r="AA19">
        <f t="shared" si="0"/>
        <v>4</v>
      </c>
      <c r="AB19">
        <f>(AA19/AA23)*100</f>
        <v>0.64620355411954766</v>
      </c>
    </row>
    <row r="20" spans="1:28" x14ac:dyDescent="0.25">
      <c r="A20" s="6" t="s">
        <v>36</v>
      </c>
      <c r="J20">
        <v>1</v>
      </c>
      <c r="AA20">
        <f t="shared" si="0"/>
        <v>1</v>
      </c>
      <c r="AB20">
        <f>(AA20/AA23)*100</f>
        <v>0.16155088852988692</v>
      </c>
    </row>
    <row r="21" spans="1:28" x14ac:dyDescent="0.25">
      <c r="A21" s="6" t="s">
        <v>37</v>
      </c>
      <c r="B21">
        <v>2</v>
      </c>
      <c r="C21">
        <v>1</v>
      </c>
      <c r="D21">
        <v>7</v>
      </c>
      <c r="E21">
        <v>5</v>
      </c>
      <c r="F21">
        <v>1</v>
      </c>
      <c r="G21">
        <v>2</v>
      </c>
      <c r="H21">
        <v>3</v>
      </c>
      <c r="I21">
        <v>6</v>
      </c>
      <c r="J21">
        <v>4</v>
      </c>
      <c r="K21">
        <v>1</v>
      </c>
      <c r="N21">
        <v>2</v>
      </c>
      <c r="O21">
        <v>6</v>
      </c>
      <c r="P21">
        <v>3</v>
      </c>
      <c r="Q21">
        <v>1</v>
      </c>
      <c r="R21">
        <v>2</v>
      </c>
      <c r="S21">
        <v>7</v>
      </c>
      <c r="T21">
        <v>4</v>
      </c>
      <c r="U21">
        <v>6</v>
      </c>
      <c r="V21">
        <v>2</v>
      </c>
      <c r="W21">
        <v>7</v>
      </c>
      <c r="X21">
        <v>4</v>
      </c>
      <c r="Y21">
        <v>5</v>
      </c>
      <c r="Z21">
        <v>4</v>
      </c>
      <c r="AA21">
        <f t="shared" si="0"/>
        <v>85</v>
      </c>
      <c r="AB21">
        <f>(AA21/AA23)*100</f>
        <v>13.731825525040387</v>
      </c>
    </row>
    <row r="22" spans="1:28" x14ac:dyDescent="0.25">
      <c r="A22" s="6"/>
      <c r="AA22">
        <f t="shared" si="0"/>
        <v>0</v>
      </c>
      <c r="AB22">
        <f>(AA22/AA23)*100</f>
        <v>0</v>
      </c>
    </row>
    <row r="23" spans="1:28" x14ac:dyDescent="0.25">
      <c r="A23" s="1" t="s">
        <v>39</v>
      </c>
      <c r="B23" s="2">
        <f t="shared" ref="B23:Z23" si="1">SUM(B3:B22)</f>
        <v>15</v>
      </c>
      <c r="C23" s="2">
        <f t="shared" si="1"/>
        <v>17</v>
      </c>
      <c r="D23" s="2">
        <f t="shared" si="1"/>
        <v>51</v>
      </c>
      <c r="E23" s="2">
        <f t="shared" si="1"/>
        <v>29</v>
      </c>
      <c r="F23" s="2">
        <f t="shared" si="1"/>
        <v>8</v>
      </c>
      <c r="G23" s="2">
        <f t="shared" si="1"/>
        <v>5</v>
      </c>
      <c r="H23" s="2">
        <f t="shared" si="1"/>
        <v>33</v>
      </c>
      <c r="I23" s="2">
        <f t="shared" si="1"/>
        <v>25</v>
      </c>
      <c r="J23" s="2">
        <f t="shared" si="1"/>
        <v>32</v>
      </c>
      <c r="K23" s="2">
        <f t="shared" si="1"/>
        <v>16</v>
      </c>
      <c r="L23" s="2">
        <f t="shared" si="1"/>
        <v>4</v>
      </c>
      <c r="M23" s="2">
        <f t="shared" si="1"/>
        <v>4</v>
      </c>
      <c r="N23" s="2">
        <f t="shared" si="1"/>
        <v>13</v>
      </c>
      <c r="O23" s="2">
        <f t="shared" si="1"/>
        <v>36</v>
      </c>
      <c r="P23" s="2">
        <f t="shared" si="1"/>
        <v>28</v>
      </c>
      <c r="Q23" s="2">
        <f t="shared" si="1"/>
        <v>17</v>
      </c>
      <c r="R23" s="2">
        <f t="shared" si="1"/>
        <v>22</v>
      </c>
      <c r="S23" s="2">
        <f t="shared" si="1"/>
        <v>26</v>
      </c>
      <c r="T23" s="2">
        <f t="shared" si="1"/>
        <v>34</v>
      </c>
      <c r="U23" s="2">
        <f t="shared" si="1"/>
        <v>45</v>
      </c>
      <c r="V23" s="2">
        <f t="shared" si="1"/>
        <v>28</v>
      </c>
      <c r="W23" s="2">
        <f t="shared" si="1"/>
        <v>24</v>
      </c>
      <c r="X23" s="2">
        <f t="shared" si="1"/>
        <v>24</v>
      </c>
      <c r="Y23" s="2">
        <f t="shared" si="1"/>
        <v>54</v>
      </c>
      <c r="Z23" s="2">
        <f t="shared" si="1"/>
        <v>29</v>
      </c>
      <c r="AA23" s="2">
        <f>SUM(AA3:AA22)</f>
        <v>619</v>
      </c>
      <c r="AB23" s="7">
        <f>SUM(AB3:AB22)</f>
        <v>100.00000000000003</v>
      </c>
    </row>
    <row r="24" spans="1:28" x14ac:dyDescent="0.25">
      <c r="B24">
        <v>15</v>
      </c>
      <c r="C24">
        <v>32</v>
      </c>
      <c r="D24">
        <v>83</v>
      </c>
      <c r="E24">
        <v>112</v>
      </c>
      <c r="F24">
        <v>120</v>
      </c>
      <c r="G24">
        <v>125</v>
      </c>
      <c r="H24">
        <v>158</v>
      </c>
      <c r="I24">
        <v>183</v>
      </c>
      <c r="J24">
        <v>215</v>
      </c>
      <c r="K24">
        <v>231</v>
      </c>
      <c r="L24">
        <v>235</v>
      </c>
      <c r="M24">
        <v>239</v>
      </c>
      <c r="N24">
        <v>252</v>
      </c>
      <c r="O24">
        <v>288</v>
      </c>
      <c r="P24">
        <v>316</v>
      </c>
      <c r="Q24">
        <v>333</v>
      </c>
      <c r="R24">
        <v>355</v>
      </c>
      <c r="S24">
        <v>381</v>
      </c>
      <c r="T24">
        <v>415</v>
      </c>
      <c r="U24">
        <v>460</v>
      </c>
      <c r="V24">
        <v>488</v>
      </c>
      <c r="W24">
        <v>512</v>
      </c>
      <c r="X24">
        <v>536</v>
      </c>
      <c r="Y24">
        <v>590</v>
      </c>
      <c r="Z24">
        <v>619</v>
      </c>
    </row>
    <row r="27" spans="1:28" x14ac:dyDescent="0.25">
      <c r="A27" t="s">
        <v>755</v>
      </c>
      <c r="B27">
        <v>6</v>
      </c>
      <c r="C27">
        <v>6</v>
      </c>
      <c r="D27">
        <v>6</v>
      </c>
      <c r="E27">
        <v>7</v>
      </c>
      <c r="F27">
        <v>9</v>
      </c>
      <c r="G27">
        <v>9</v>
      </c>
      <c r="H27">
        <v>10</v>
      </c>
      <c r="I27">
        <v>10</v>
      </c>
      <c r="J27">
        <v>13</v>
      </c>
      <c r="K27">
        <v>13</v>
      </c>
      <c r="L27">
        <v>13</v>
      </c>
      <c r="M27">
        <v>13</v>
      </c>
      <c r="N27">
        <v>16</v>
      </c>
      <c r="O27">
        <v>16</v>
      </c>
      <c r="P27">
        <v>17</v>
      </c>
      <c r="Q27">
        <v>17</v>
      </c>
      <c r="R27">
        <v>17</v>
      </c>
      <c r="S27">
        <v>18</v>
      </c>
      <c r="T27">
        <v>18</v>
      </c>
      <c r="U27">
        <v>18</v>
      </c>
      <c r="V27">
        <v>18</v>
      </c>
      <c r="W27">
        <v>18</v>
      </c>
      <c r="X27">
        <v>18</v>
      </c>
      <c r="Y27">
        <v>18</v>
      </c>
      <c r="Z27">
        <v>19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8"/>
  <sheetViews>
    <sheetView workbookViewId="0">
      <pane xSplit="1" topLeftCell="I1" activePane="topRight" state="frozen"/>
      <selection pane="topRight" activeCell="AF3" sqref="AF3:AF23"/>
    </sheetView>
  </sheetViews>
  <sheetFormatPr defaultRowHeight="15" x14ac:dyDescent="0.25"/>
  <cols>
    <col min="1" max="1" width="26" customWidth="1"/>
  </cols>
  <sheetData>
    <row r="1" spans="1:33" x14ac:dyDescent="0.25">
      <c r="A1" s="1" t="s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  <c r="V1" s="2">
        <v>21</v>
      </c>
      <c r="W1" s="2">
        <v>22</v>
      </c>
      <c r="X1" s="2">
        <v>23</v>
      </c>
      <c r="Y1" s="2">
        <v>24</v>
      </c>
      <c r="Z1" s="2">
        <v>25</v>
      </c>
      <c r="AA1" s="2">
        <v>26</v>
      </c>
      <c r="AB1" s="2">
        <v>27</v>
      </c>
      <c r="AC1" s="2">
        <v>28</v>
      </c>
      <c r="AD1" s="2">
        <v>29</v>
      </c>
      <c r="AE1" s="3">
        <v>30</v>
      </c>
    </row>
    <row r="2" spans="1:33" x14ac:dyDescent="0.25">
      <c r="A2" s="4" t="s">
        <v>1</v>
      </c>
      <c r="B2" s="5" t="s">
        <v>245</v>
      </c>
      <c r="C2" s="5" t="s">
        <v>73</v>
      </c>
      <c r="D2" s="5" t="s">
        <v>246</v>
      </c>
      <c r="E2" s="5" t="s">
        <v>247</v>
      </c>
      <c r="F2" s="5" t="s">
        <v>248</v>
      </c>
      <c r="G2" s="5" t="s">
        <v>249</v>
      </c>
      <c r="H2" s="5" t="s">
        <v>250</v>
      </c>
      <c r="I2" s="5" t="s">
        <v>251</v>
      </c>
      <c r="J2" s="5" t="s">
        <v>252</v>
      </c>
      <c r="K2" s="5" t="s">
        <v>253</v>
      </c>
      <c r="L2" s="5" t="s">
        <v>254</v>
      </c>
      <c r="M2" s="5" t="s">
        <v>255</v>
      </c>
      <c r="N2" s="5" t="s">
        <v>256</v>
      </c>
      <c r="O2" s="5" t="s">
        <v>257</v>
      </c>
      <c r="P2" s="5" t="s">
        <v>258</v>
      </c>
      <c r="Q2" s="5" t="s">
        <v>259</v>
      </c>
      <c r="R2" s="5" t="s">
        <v>260</v>
      </c>
      <c r="S2" s="5" t="s">
        <v>261</v>
      </c>
      <c r="T2" s="5" t="s">
        <v>262</v>
      </c>
      <c r="U2" s="5" t="s">
        <v>263</v>
      </c>
      <c r="V2" s="5" t="s">
        <v>264</v>
      </c>
      <c r="W2" s="5" t="s">
        <v>265</v>
      </c>
      <c r="X2" s="5" t="s">
        <v>266</v>
      </c>
      <c r="Y2" s="5" t="s">
        <v>267</v>
      </c>
      <c r="Z2" s="5" t="s">
        <v>268</v>
      </c>
      <c r="AA2" s="5" t="s">
        <v>269</v>
      </c>
      <c r="AB2" s="5" t="s">
        <v>270</v>
      </c>
      <c r="AC2" s="5" t="s">
        <v>271</v>
      </c>
      <c r="AD2" s="5" t="s">
        <v>272</v>
      </c>
      <c r="AE2" s="5" t="s">
        <v>273</v>
      </c>
      <c r="AF2" s="5" t="s">
        <v>2</v>
      </c>
      <c r="AG2" s="5" t="s">
        <v>3</v>
      </c>
    </row>
    <row r="3" spans="1:33" x14ac:dyDescent="0.25">
      <c r="A3" s="6" t="s">
        <v>4</v>
      </c>
      <c r="B3">
        <v>4</v>
      </c>
      <c r="C3">
        <v>6</v>
      </c>
      <c r="D3">
        <v>7</v>
      </c>
      <c r="E3">
        <v>7</v>
      </c>
      <c r="F3">
        <v>10</v>
      </c>
      <c r="G3">
        <v>4</v>
      </c>
      <c r="H3">
        <v>7</v>
      </c>
      <c r="I3">
        <v>7</v>
      </c>
      <c r="J3">
        <v>4</v>
      </c>
      <c r="K3">
        <v>9</v>
      </c>
      <c r="L3">
        <v>6</v>
      </c>
      <c r="M3">
        <v>5</v>
      </c>
      <c r="N3">
        <v>1</v>
      </c>
      <c r="O3">
        <v>2</v>
      </c>
      <c r="P3">
        <v>2</v>
      </c>
      <c r="Q3">
        <v>4</v>
      </c>
      <c r="S3">
        <v>7</v>
      </c>
      <c r="T3">
        <v>9</v>
      </c>
      <c r="U3">
        <v>7</v>
      </c>
      <c r="V3">
        <v>3</v>
      </c>
      <c r="W3">
        <v>9</v>
      </c>
      <c r="X3">
        <v>13</v>
      </c>
      <c r="Y3">
        <v>5</v>
      </c>
      <c r="Z3">
        <v>2</v>
      </c>
      <c r="AA3">
        <v>16</v>
      </c>
      <c r="AB3">
        <v>6</v>
      </c>
      <c r="AC3">
        <v>8</v>
      </c>
      <c r="AD3">
        <v>7</v>
      </c>
      <c r="AE3">
        <v>8</v>
      </c>
      <c r="AF3">
        <f t="shared" ref="AF3:AF23" si="0">SUM(B3:AE3)</f>
        <v>185</v>
      </c>
      <c r="AG3">
        <f>(AF3/AF24)*100</f>
        <v>20.130576713819366</v>
      </c>
    </row>
    <row r="4" spans="1:33" x14ac:dyDescent="0.25">
      <c r="A4" s="6" t="s">
        <v>5</v>
      </c>
      <c r="C4">
        <v>2</v>
      </c>
      <c r="E4">
        <v>1</v>
      </c>
      <c r="G4">
        <v>1</v>
      </c>
      <c r="H4">
        <v>1</v>
      </c>
      <c r="N4">
        <v>1</v>
      </c>
      <c r="O4">
        <v>1</v>
      </c>
      <c r="P4">
        <v>1</v>
      </c>
      <c r="U4">
        <v>1</v>
      </c>
      <c r="V4">
        <v>1</v>
      </c>
      <c r="W4">
        <v>2</v>
      </c>
      <c r="AA4">
        <v>1</v>
      </c>
      <c r="AF4">
        <f t="shared" si="0"/>
        <v>13</v>
      </c>
      <c r="AG4">
        <f>(AF4/AF24)*100</f>
        <v>1.4145810663764962</v>
      </c>
    </row>
    <row r="5" spans="1:33" x14ac:dyDescent="0.25">
      <c r="A5" s="6" t="s">
        <v>6</v>
      </c>
      <c r="B5">
        <v>3</v>
      </c>
      <c r="D5">
        <v>1</v>
      </c>
      <c r="E5">
        <v>1</v>
      </c>
      <c r="F5">
        <v>1</v>
      </c>
      <c r="G5">
        <v>1</v>
      </c>
      <c r="H5">
        <v>6</v>
      </c>
      <c r="I5">
        <v>5</v>
      </c>
      <c r="J5">
        <v>3</v>
      </c>
      <c r="L5">
        <v>1</v>
      </c>
      <c r="N5">
        <v>1</v>
      </c>
      <c r="O5">
        <v>2</v>
      </c>
      <c r="R5">
        <v>3</v>
      </c>
      <c r="S5">
        <v>2</v>
      </c>
      <c r="U5">
        <v>3</v>
      </c>
      <c r="V5">
        <v>1</v>
      </c>
      <c r="W5">
        <v>1</v>
      </c>
      <c r="AC5">
        <v>1</v>
      </c>
      <c r="AD5">
        <v>1</v>
      </c>
      <c r="AE5">
        <v>2</v>
      </c>
      <c r="AF5">
        <f t="shared" si="0"/>
        <v>39</v>
      </c>
      <c r="AG5">
        <f>(AF5/AF24)*100</f>
        <v>4.2437431991294883</v>
      </c>
    </row>
    <row r="6" spans="1:33" x14ac:dyDescent="0.25">
      <c r="A6" s="6" t="s">
        <v>8</v>
      </c>
      <c r="AC6">
        <v>1</v>
      </c>
      <c r="AF6">
        <f t="shared" si="0"/>
        <v>1</v>
      </c>
      <c r="AG6">
        <f>(AF6/AF24)*100</f>
        <v>0.1088139281828074</v>
      </c>
    </row>
    <row r="7" spans="1:33" x14ac:dyDescent="0.25">
      <c r="A7" s="6" t="s">
        <v>9</v>
      </c>
      <c r="B7">
        <v>1</v>
      </c>
      <c r="F7">
        <v>1</v>
      </c>
      <c r="S7">
        <v>1</v>
      </c>
      <c r="W7">
        <v>1</v>
      </c>
      <c r="AA7">
        <v>1</v>
      </c>
      <c r="AC7">
        <v>1</v>
      </c>
      <c r="AD7">
        <v>1</v>
      </c>
      <c r="AE7">
        <v>3</v>
      </c>
      <c r="AF7">
        <f t="shared" si="0"/>
        <v>10</v>
      </c>
      <c r="AG7">
        <f>(AF7/AF24)*100</f>
        <v>1.088139281828074</v>
      </c>
    </row>
    <row r="8" spans="1:33" x14ac:dyDescent="0.25">
      <c r="A8" s="6" t="s">
        <v>11</v>
      </c>
      <c r="Y8">
        <v>1</v>
      </c>
      <c r="AF8">
        <f t="shared" si="0"/>
        <v>1</v>
      </c>
      <c r="AG8">
        <f>(AF8/AF24)*100</f>
        <v>0.1088139281828074</v>
      </c>
    </row>
    <row r="9" spans="1:33" x14ac:dyDescent="0.25">
      <c r="A9" s="6" t="s">
        <v>59</v>
      </c>
      <c r="AA9">
        <v>1</v>
      </c>
      <c r="AF9">
        <f t="shared" si="0"/>
        <v>1</v>
      </c>
      <c r="AG9">
        <f>(AF9/AF24)*100</f>
        <v>0.1088139281828074</v>
      </c>
    </row>
    <row r="10" spans="1:33" x14ac:dyDescent="0.25">
      <c r="A10" s="6" t="s">
        <v>18</v>
      </c>
      <c r="AA10">
        <v>1</v>
      </c>
      <c r="AF10">
        <f t="shared" si="0"/>
        <v>1</v>
      </c>
      <c r="AG10">
        <f>(AF10/AF24)*100</f>
        <v>0.1088139281828074</v>
      </c>
    </row>
    <row r="11" spans="1:33" x14ac:dyDescent="0.25">
      <c r="A11" s="6" t="s">
        <v>19</v>
      </c>
      <c r="B11">
        <v>5</v>
      </c>
      <c r="D11">
        <v>2</v>
      </c>
      <c r="E11">
        <v>3</v>
      </c>
      <c r="F11">
        <v>6</v>
      </c>
      <c r="G11">
        <v>5</v>
      </c>
      <c r="H11">
        <v>7</v>
      </c>
      <c r="I11">
        <v>4</v>
      </c>
      <c r="J11">
        <v>3</v>
      </c>
      <c r="K11">
        <v>6</v>
      </c>
      <c r="L11">
        <v>2</v>
      </c>
      <c r="M11">
        <v>5</v>
      </c>
      <c r="N11">
        <v>3</v>
      </c>
      <c r="O11">
        <v>2</v>
      </c>
      <c r="P11">
        <v>4</v>
      </c>
      <c r="Q11">
        <v>3</v>
      </c>
      <c r="R11">
        <v>3</v>
      </c>
      <c r="S11">
        <v>3</v>
      </c>
      <c r="T11">
        <v>1</v>
      </c>
      <c r="U11">
        <v>10</v>
      </c>
      <c r="V11">
        <v>7</v>
      </c>
      <c r="W11">
        <v>5</v>
      </c>
      <c r="Y11">
        <v>3</v>
      </c>
      <c r="Z11">
        <v>2</v>
      </c>
      <c r="AA11">
        <v>1</v>
      </c>
      <c r="AB11">
        <v>5</v>
      </c>
      <c r="AC11">
        <v>1</v>
      </c>
      <c r="AD11">
        <v>5</v>
      </c>
      <c r="AE11">
        <v>4</v>
      </c>
      <c r="AF11">
        <f t="shared" si="0"/>
        <v>110</v>
      </c>
      <c r="AG11">
        <f>(AF11/AF24)*100</f>
        <v>11.969532100108813</v>
      </c>
    </row>
    <row r="12" spans="1:33" x14ac:dyDescent="0.25">
      <c r="A12" s="6" t="s">
        <v>167</v>
      </c>
      <c r="M12">
        <v>1</v>
      </c>
      <c r="N12">
        <v>1</v>
      </c>
      <c r="AF12">
        <f t="shared" si="0"/>
        <v>2</v>
      </c>
      <c r="AG12">
        <f>(AF12/AF24)*100</f>
        <v>0.2176278563656148</v>
      </c>
    </row>
    <row r="13" spans="1:33" x14ac:dyDescent="0.25">
      <c r="A13" s="6" t="s">
        <v>21</v>
      </c>
      <c r="AD13">
        <v>2</v>
      </c>
      <c r="AE13">
        <v>1</v>
      </c>
      <c r="AF13">
        <f t="shared" si="0"/>
        <v>3</v>
      </c>
      <c r="AG13">
        <f>(AF13/AF24)*100</f>
        <v>0.32644178454842221</v>
      </c>
    </row>
    <row r="14" spans="1:33" x14ac:dyDescent="0.25">
      <c r="A14" s="6" t="s">
        <v>22</v>
      </c>
      <c r="B14">
        <v>1</v>
      </c>
      <c r="F14">
        <v>2</v>
      </c>
      <c r="G14">
        <v>1</v>
      </c>
      <c r="H14">
        <v>2</v>
      </c>
      <c r="M14">
        <v>1</v>
      </c>
      <c r="N14">
        <v>1</v>
      </c>
      <c r="W14">
        <v>2</v>
      </c>
      <c r="Y14">
        <v>2</v>
      </c>
      <c r="Z14">
        <v>1</v>
      </c>
      <c r="AA14">
        <v>1</v>
      </c>
      <c r="AC14">
        <v>1</v>
      </c>
      <c r="AE14">
        <v>1</v>
      </c>
      <c r="AF14">
        <f t="shared" si="0"/>
        <v>16</v>
      </c>
      <c r="AG14">
        <f>(AF14/AF24)*100</f>
        <v>1.7410228509249184</v>
      </c>
    </row>
    <row r="15" spans="1:33" x14ac:dyDescent="0.25">
      <c r="A15" s="6" t="s">
        <v>23</v>
      </c>
      <c r="U15">
        <v>1</v>
      </c>
      <c r="W15">
        <v>2</v>
      </c>
      <c r="AF15">
        <f t="shared" si="0"/>
        <v>3</v>
      </c>
      <c r="AG15">
        <f>(AF15/AF24)*100</f>
        <v>0.32644178454842221</v>
      </c>
    </row>
    <row r="16" spans="1:33" x14ac:dyDescent="0.25">
      <c r="A16" s="6" t="s">
        <v>24</v>
      </c>
      <c r="D16">
        <v>1</v>
      </c>
      <c r="I16">
        <v>1</v>
      </c>
      <c r="J16">
        <v>1</v>
      </c>
      <c r="N16">
        <v>1</v>
      </c>
      <c r="Q16">
        <v>1</v>
      </c>
      <c r="Y16">
        <v>1</v>
      </c>
      <c r="AF16">
        <f t="shared" si="0"/>
        <v>6</v>
      </c>
      <c r="AG16">
        <f>(AF16/AF24)*100</f>
        <v>0.65288356909684442</v>
      </c>
    </row>
    <row r="17" spans="1:33" x14ac:dyDescent="0.25">
      <c r="A17" s="6" t="s">
        <v>25</v>
      </c>
      <c r="U17">
        <v>1</v>
      </c>
      <c r="AF17">
        <f t="shared" si="0"/>
        <v>1</v>
      </c>
      <c r="AG17">
        <f>(AF17/AF24)*100</f>
        <v>0.1088139281828074</v>
      </c>
    </row>
    <row r="18" spans="1:33" x14ac:dyDescent="0.25">
      <c r="A18" s="6" t="s">
        <v>102</v>
      </c>
      <c r="U18">
        <v>2</v>
      </c>
      <c r="V18">
        <v>1</v>
      </c>
      <c r="X18">
        <v>1</v>
      </c>
      <c r="AF18">
        <f t="shared" si="0"/>
        <v>4</v>
      </c>
      <c r="AG18">
        <f>(AF18/AF24)*100</f>
        <v>0.43525571273122959</v>
      </c>
    </row>
    <row r="19" spans="1:33" x14ac:dyDescent="0.25">
      <c r="A19" s="6" t="s">
        <v>30</v>
      </c>
      <c r="G19">
        <v>1</v>
      </c>
      <c r="K19">
        <v>1</v>
      </c>
      <c r="R19">
        <v>1</v>
      </c>
      <c r="AF19">
        <f t="shared" si="0"/>
        <v>3</v>
      </c>
      <c r="AG19">
        <f>(AF19/AF24)*100</f>
        <v>0.32644178454842221</v>
      </c>
    </row>
    <row r="20" spans="1:33" x14ac:dyDescent="0.25">
      <c r="A20" s="6" t="s">
        <v>32</v>
      </c>
      <c r="B20">
        <v>7</v>
      </c>
      <c r="C20">
        <v>1</v>
      </c>
      <c r="D20">
        <v>7</v>
      </c>
      <c r="E20">
        <v>12</v>
      </c>
      <c r="F20">
        <v>18</v>
      </c>
      <c r="G20">
        <v>16</v>
      </c>
      <c r="H20">
        <v>11</v>
      </c>
      <c r="I20">
        <v>15</v>
      </c>
      <c r="J20">
        <v>14</v>
      </c>
      <c r="K20">
        <v>15</v>
      </c>
      <c r="L20">
        <v>10</v>
      </c>
      <c r="M20">
        <v>11</v>
      </c>
      <c r="N20">
        <v>8</v>
      </c>
      <c r="O20">
        <v>12</v>
      </c>
      <c r="P20">
        <v>10</v>
      </c>
      <c r="Q20">
        <v>12</v>
      </c>
      <c r="R20">
        <v>8</v>
      </c>
      <c r="S20">
        <v>18</v>
      </c>
      <c r="T20">
        <v>9</v>
      </c>
      <c r="U20">
        <v>31</v>
      </c>
      <c r="V20">
        <v>21</v>
      </c>
      <c r="W20">
        <v>30</v>
      </c>
      <c r="X20">
        <v>11</v>
      </c>
      <c r="Y20">
        <v>27</v>
      </c>
      <c r="Z20">
        <v>12</v>
      </c>
      <c r="AA20">
        <v>14</v>
      </c>
      <c r="AB20">
        <v>23</v>
      </c>
      <c r="AC20">
        <v>15</v>
      </c>
      <c r="AD20">
        <v>26</v>
      </c>
      <c r="AE20">
        <v>28</v>
      </c>
      <c r="AF20">
        <f t="shared" si="0"/>
        <v>452</v>
      </c>
      <c r="AG20">
        <f>(AF20/AF24)*100</f>
        <v>49.183895538628946</v>
      </c>
    </row>
    <row r="21" spans="1:33" x14ac:dyDescent="0.25">
      <c r="A21" s="6" t="s">
        <v>33</v>
      </c>
      <c r="U21">
        <v>1</v>
      </c>
      <c r="AE21">
        <v>1</v>
      </c>
      <c r="AF21">
        <f t="shared" si="0"/>
        <v>2</v>
      </c>
      <c r="AG21">
        <f>(AF21/AF24)*100</f>
        <v>0.2176278563656148</v>
      </c>
    </row>
    <row r="22" spans="1:33" x14ac:dyDescent="0.25">
      <c r="A22" s="6" t="s">
        <v>37</v>
      </c>
      <c r="C22">
        <v>1</v>
      </c>
      <c r="D22">
        <v>1</v>
      </c>
      <c r="E22">
        <v>1</v>
      </c>
      <c r="F22">
        <v>6</v>
      </c>
      <c r="G22">
        <v>6</v>
      </c>
      <c r="H22">
        <v>3</v>
      </c>
      <c r="I22">
        <v>5</v>
      </c>
      <c r="J22">
        <v>5</v>
      </c>
      <c r="K22">
        <v>4</v>
      </c>
      <c r="L22">
        <v>2</v>
      </c>
      <c r="M22">
        <v>2</v>
      </c>
      <c r="N22">
        <v>1</v>
      </c>
      <c r="P22">
        <v>1</v>
      </c>
      <c r="Q22">
        <v>2</v>
      </c>
      <c r="R22">
        <v>3</v>
      </c>
      <c r="S22">
        <v>1</v>
      </c>
      <c r="U22">
        <v>1</v>
      </c>
      <c r="V22">
        <v>5</v>
      </c>
      <c r="W22">
        <v>2</v>
      </c>
      <c r="X22">
        <v>2</v>
      </c>
      <c r="Z22">
        <v>2</v>
      </c>
      <c r="AA22">
        <v>2</v>
      </c>
      <c r="AB22">
        <v>2</v>
      </c>
      <c r="AC22">
        <v>3</v>
      </c>
      <c r="AE22">
        <v>3</v>
      </c>
      <c r="AF22">
        <f t="shared" si="0"/>
        <v>66</v>
      </c>
      <c r="AG22">
        <f>(AF22/AF24)*100</f>
        <v>7.1817192600652895</v>
      </c>
    </row>
    <row r="23" spans="1:33" x14ac:dyDescent="0.25">
      <c r="A23" s="6"/>
      <c r="AF23">
        <f t="shared" si="0"/>
        <v>0</v>
      </c>
      <c r="AG23">
        <f>(AF23/AF24)*100</f>
        <v>0</v>
      </c>
    </row>
    <row r="24" spans="1:33" x14ac:dyDescent="0.25">
      <c r="A24" s="1" t="s">
        <v>39</v>
      </c>
      <c r="B24" s="2">
        <f t="shared" ref="B24:AE24" si="1">SUM(B3:B23)</f>
        <v>21</v>
      </c>
      <c r="C24" s="2">
        <f t="shared" si="1"/>
        <v>10</v>
      </c>
      <c r="D24" s="2">
        <f t="shared" si="1"/>
        <v>19</v>
      </c>
      <c r="E24" s="2">
        <f t="shared" si="1"/>
        <v>25</v>
      </c>
      <c r="F24" s="2">
        <f t="shared" si="1"/>
        <v>44</v>
      </c>
      <c r="G24" s="2">
        <f t="shared" si="1"/>
        <v>35</v>
      </c>
      <c r="H24" s="2">
        <f t="shared" si="1"/>
        <v>37</v>
      </c>
      <c r="I24" s="2">
        <f t="shared" si="1"/>
        <v>37</v>
      </c>
      <c r="J24" s="2">
        <f t="shared" si="1"/>
        <v>30</v>
      </c>
      <c r="K24" s="2">
        <f t="shared" si="1"/>
        <v>35</v>
      </c>
      <c r="L24" s="2">
        <f t="shared" si="1"/>
        <v>21</v>
      </c>
      <c r="M24" s="2">
        <f t="shared" si="1"/>
        <v>25</v>
      </c>
      <c r="N24" s="2">
        <f t="shared" si="1"/>
        <v>18</v>
      </c>
      <c r="O24" s="2">
        <f t="shared" si="1"/>
        <v>19</v>
      </c>
      <c r="P24" s="2">
        <f t="shared" si="1"/>
        <v>18</v>
      </c>
      <c r="Q24" s="2">
        <f t="shared" si="1"/>
        <v>22</v>
      </c>
      <c r="R24" s="2">
        <f t="shared" si="1"/>
        <v>18</v>
      </c>
      <c r="S24" s="2">
        <f t="shared" si="1"/>
        <v>32</v>
      </c>
      <c r="T24" s="2">
        <f t="shared" si="1"/>
        <v>19</v>
      </c>
      <c r="U24" s="2">
        <f t="shared" si="1"/>
        <v>58</v>
      </c>
      <c r="V24" s="2">
        <f t="shared" si="1"/>
        <v>39</v>
      </c>
      <c r="W24" s="2">
        <f t="shared" si="1"/>
        <v>54</v>
      </c>
      <c r="X24" s="2">
        <f t="shared" si="1"/>
        <v>27</v>
      </c>
      <c r="Y24" s="2">
        <f t="shared" si="1"/>
        <v>39</v>
      </c>
      <c r="Z24" s="2">
        <f t="shared" si="1"/>
        <v>19</v>
      </c>
      <c r="AA24" s="2">
        <f t="shared" si="1"/>
        <v>38</v>
      </c>
      <c r="AB24" s="2">
        <f t="shared" si="1"/>
        <v>36</v>
      </c>
      <c r="AC24" s="2">
        <f t="shared" si="1"/>
        <v>31</v>
      </c>
      <c r="AD24" s="2">
        <f t="shared" si="1"/>
        <v>42</v>
      </c>
      <c r="AE24" s="2">
        <f t="shared" si="1"/>
        <v>51</v>
      </c>
      <c r="AF24" s="2">
        <f>SUM(AF3:AF23)</f>
        <v>919</v>
      </c>
      <c r="AG24" s="7">
        <f>SUM(AG3:AG23)</f>
        <v>100</v>
      </c>
    </row>
    <row r="25" spans="1:33" x14ac:dyDescent="0.25">
      <c r="B25">
        <v>21</v>
      </c>
      <c r="C25">
        <v>31</v>
      </c>
      <c r="D25">
        <v>50</v>
      </c>
      <c r="E25">
        <v>75</v>
      </c>
      <c r="F25">
        <v>119</v>
      </c>
      <c r="G25">
        <v>154</v>
      </c>
      <c r="H25">
        <v>191</v>
      </c>
      <c r="I25">
        <v>228</v>
      </c>
      <c r="J25">
        <v>258</v>
      </c>
      <c r="K25">
        <v>293</v>
      </c>
      <c r="L25">
        <v>314</v>
      </c>
      <c r="M25">
        <v>339</v>
      </c>
      <c r="N25">
        <v>357</v>
      </c>
      <c r="O25">
        <v>376</v>
      </c>
      <c r="P25">
        <v>394</v>
      </c>
      <c r="Q25">
        <v>416</v>
      </c>
      <c r="R25">
        <v>434</v>
      </c>
      <c r="S25">
        <v>466</v>
      </c>
      <c r="T25">
        <v>485</v>
      </c>
      <c r="U25">
        <v>543</v>
      </c>
      <c r="V25">
        <v>582</v>
      </c>
      <c r="W25">
        <v>636</v>
      </c>
      <c r="X25">
        <v>663</v>
      </c>
      <c r="Y25">
        <v>702</v>
      </c>
      <c r="Z25">
        <v>721</v>
      </c>
      <c r="AA25">
        <v>759</v>
      </c>
      <c r="AB25">
        <v>795</v>
      </c>
      <c r="AC25">
        <v>826</v>
      </c>
      <c r="AD25">
        <v>868</v>
      </c>
      <c r="AE25">
        <v>919</v>
      </c>
    </row>
    <row r="28" spans="1:33" x14ac:dyDescent="0.25">
      <c r="A28" t="s">
        <v>755</v>
      </c>
      <c r="B28">
        <v>6</v>
      </c>
      <c r="C28">
        <v>8</v>
      </c>
      <c r="D28">
        <v>9</v>
      </c>
      <c r="E28">
        <v>9</v>
      </c>
      <c r="F28">
        <v>9</v>
      </c>
      <c r="G28">
        <v>10</v>
      </c>
      <c r="H28">
        <v>10</v>
      </c>
      <c r="I28">
        <v>10</v>
      </c>
      <c r="J28">
        <v>10</v>
      </c>
      <c r="K28">
        <v>10</v>
      </c>
      <c r="L28">
        <v>10</v>
      </c>
      <c r="M28">
        <v>11</v>
      </c>
      <c r="N28">
        <v>11</v>
      </c>
      <c r="O28">
        <v>11</v>
      </c>
      <c r="P28">
        <v>11</v>
      </c>
      <c r="Q28">
        <v>11</v>
      </c>
      <c r="R28">
        <v>11</v>
      </c>
      <c r="S28">
        <v>11</v>
      </c>
      <c r="T28">
        <v>11</v>
      </c>
      <c r="U28">
        <v>15</v>
      </c>
      <c r="V28">
        <v>15</v>
      </c>
      <c r="W28">
        <v>15</v>
      </c>
      <c r="X28">
        <v>15</v>
      </c>
      <c r="Y28">
        <v>16</v>
      </c>
      <c r="Z28">
        <v>16</v>
      </c>
      <c r="AA28">
        <v>18</v>
      </c>
      <c r="AB28">
        <v>18</v>
      </c>
      <c r="AC28">
        <v>19</v>
      </c>
      <c r="AD28">
        <v>20</v>
      </c>
      <c r="AE28">
        <v>20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"/>
  <sheetViews>
    <sheetView workbookViewId="0">
      <pane xSplit="1" topLeftCell="B1" activePane="topRight" state="frozen"/>
      <selection pane="topRight" activeCell="Z27" sqref="B27:Z27"/>
    </sheetView>
  </sheetViews>
  <sheetFormatPr defaultRowHeight="15" x14ac:dyDescent="0.25"/>
  <cols>
    <col min="1" max="1" width="25.42578125" customWidth="1"/>
  </cols>
  <sheetData>
    <row r="1" spans="1:33" x14ac:dyDescent="0.25">
      <c r="B1" s="70" t="s">
        <v>624</v>
      </c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 t="s">
        <v>415</v>
      </c>
      <c r="S1" s="70"/>
      <c r="T1" s="70"/>
      <c r="U1" s="70"/>
      <c r="V1" s="70"/>
      <c r="W1" s="70"/>
      <c r="X1" s="70"/>
      <c r="Y1" s="70"/>
      <c r="Z1" s="70"/>
    </row>
    <row r="2" spans="1:33" x14ac:dyDescent="0.25">
      <c r="A2" s="1" t="s">
        <v>0</v>
      </c>
      <c r="B2" s="2">
        <v>1</v>
      </c>
      <c r="C2" s="2">
        <v>2</v>
      </c>
      <c r="D2" s="2">
        <v>3</v>
      </c>
      <c r="E2" s="2">
        <v>4</v>
      </c>
      <c r="F2" s="2">
        <v>5</v>
      </c>
      <c r="G2" s="2">
        <v>6</v>
      </c>
      <c r="H2" s="2">
        <v>7</v>
      </c>
      <c r="I2" s="2">
        <v>8</v>
      </c>
      <c r="J2" s="2">
        <v>9</v>
      </c>
      <c r="K2" s="2">
        <v>10</v>
      </c>
      <c r="L2" s="2">
        <v>11</v>
      </c>
      <c r="M2" s="2">
        <v>12</v>
      </c>
      <c r="N2" s="2">
        <v>13</v>
      </c>
      <c r="O2" s="2">
        <v>14</v>
      </c>
      <c r="P2" s="2">
        <v>15</v>
      </c>
      <c r="Q2" s="2">
        <v>16</v>
      </c>
      <c r="R2" s="2">
        <v>17</v>
      </c>
      <c r="S2" s="2">
        <v>18</v>
      </c>
      <c r="T2" s="2">
        <v>19</v>
      </c>
      <c r="U2" s="2">
        <v>20</v>
      </c>
      <c r="V2" s="2">
        <v>21</v>
      </c>
      <c r="W2" s="2">
        <v>22</v>
      </c>
      <c r="X2" s="2">
        <v>23</v>
      </c>
      <c r="Y2" s="2">
        <v>24</v>
      </c>
      <c r="Z2" s="2">
        <v>25</v>
      </c>
      <c r="AA2" s="2">
        <v>26</v>
      </c>
      <c r="AB2" s="2">
        <v>27</v>
      </c>
      <c r="AC2" s="2">
        <v>28</v>
      </c>
      <c r="AD2" s="2">
        <v>29</v>
      </c>
      <c r="AE2" s="3">
        <v>30</v>
      </c>
    </row>
    <row r="3" spans="1:33" x14ac:dyDescent="0.25">
      <c r="A3" s="4" t="s">
        <v>1</v>
      </c>
      <c r="B3" s="5" t="s">
        <v>274</v>
      </c>
      <c r="C3" s="5" t="s">
        <v>275</v>
      </c>
      <c r="D3" s="5" t="s">
        <v>276</v>
      </c>
      <c r="E3" s="5" t="s">
        <v>277</v>
      </c>
      <c r="F3" s="5" t="s">
        <v>279</v>
      </c>
      <c r="G3" s="5" t="s">
        <v>278</v>
      </c>
      <c r="H3" s="5" t="s">
        <v>280</v>
      </c>
      <c r="I3" s="5" t="s">
        <v>281</v>
      </c>
      <c r="J3" s="5" t="s">
        <v>282</v>
      </c>
      <c r="K3" s="5" t="s">
        <v>283</v>
      </c>
      <c r="L3" s="5" t="s">
        <v>285</v>
      </c>
      <c r="M3" s="5" t="s">
        <v>284</v>
      </c>
      <c r="N3" s="5" t="s">
        <v>286</v>
      </c>
      <c r="O3" s="5" t="s">
        <v>287</v>
      </c>
      <c r="P3" s="5" t="s">
        <v>288</v>
      </c>
      <c r="Q3" s="5" t="s">
        <v>289</v>
      </c>
      <c r="R3" s="5" t="s">
        <v>290</v>
      </c>
      <c r="S3" s="5" t="s">
        <v>291</v>
      </c>
      <c r="T3" s="5" t="s">
        <v>292</v>
      </c>
      <c r="U3" s="5" t="s">
        <v>293</v>
      </c>
      <c r="V3" s="5" t="s">
        <v>294</v>
      </c>
      <c r="W3" s="5" t="s">
        <v>295</v>
      </c>
      <c r="X3" s="5" t="s">
        <v>296</v>
      </c>
      <c r="Y3" s="5" t="s">
        <v>297</v>
      </c>
      <c r="Z3" s="5" t="s">
        <v>298</v>
      </c>
      <c r="AA3" s="5"/>
      <c r="AB3" s="5"/>
      <c r="AC3" s="5"/>
      <c r="AD3" s="5"/>
      <c r="AE3" s="5"/>
      <c r="AF3" s="5" t="s">
        <v>2</v>
      </c>
      <c r="AG3" s="5" t="s">
        <v>3</v>
      </c>
    </row>
    <row r="4" spans="1:33" x14ac:dyDescent="0.25">
      <c r="A4" s="6" t="s">
        <v>4</v>
      </c>
      <c r="B4">
        <v>1</v>
      </c>
      <c r="C4">
        <v>6</v>
      </c>
      <c r="D4">
        <v>2</v>
      </c>
      <c r="E4">
        <v>5</v>
      </c>
      <c r="F4">
        <v>5</v>
      </c>
      <c r="G4">
        <v>3</v>
      </c>
      <c r="H4">
        <v>7</v>
      </c>
      <c r="I4">
        <v>1</v>
      </c>
      <c r="J4">
        <v>6</v>
      </c>
      <c r="K4">
        <v>6</v>
      </c>
      <c r="L4">
        <v>2</v>
      </c>
      <c r="M4">
        <v>14</v>
      </c>
      <c r="N4">
        <v>6</v>
      </c>
      <c r="O4">
        <v>10</v>
      </c>
      <c r="P4">
        <v>3</v>
      </c>
      <c r="Q4">
        <v>5</v>
      </c>
      <c r="R4">
        <v>4</v>
      </c>
      <c r="S4">
        <v>3</v>
      </c>
      <c r="T4">
        <v>3</v>
      </c>
      <c r="U4">
        <v>5</v>
      </c>
      <c r="V4">
        <v>2</v>
      </c>
      <c r="W4">
        <v>1</v>
      </c>
      <c r="X4">
        <v>2</v>
      </c>
      <c r="AF4">
        <f t="shared" ref="AF4:AF25" si="0">SUM(B4:AE4)</f>
        <v>102</v>
      </c>
      <c r="AG4">
        <f>(AF4/AF26)*100</f>
        <v>11.551528878822197</v>
      </c>
    </row>
    <row r="5" spans="1:33" x14ac:dyDescent="0.25">
      <c r="A5" s="6" t="s">
        <v>5</v>
      </c>
      <c r="D5">
        <v>2</v>
      </c>
      <c r="F5">
        <v>2</v>
      </c>
      <c r="I5">
        <v>1</v>
      </c>
      <c r="J5">
        <v>1</v>
      </c>
      <c r="K5">
        <v>1</v>
      </c>
      <c r="M5">
        <v>1</v>
      </c>
      <c r="N5">
        <v>1</v>
      </c>
      <c r="P5">
        <v>1</v>
      </c>
      <c r="T5">
        <v>1</v>
      </c>
      <c r="AF5">
        <f t="shared" si="0"/>
        <v>11</v>
      </c>
      <c r="AG5">
        <f>(AF5/AF26)*100</f>
        <v>1.245753114382786</v>
      </c>
    </row>
    <row r="6" spans="1:33" x14ac:dyDescent="0.25">
      <c r="A6" s="6" t="s">
        <v>6</v>
      </c>
      <c r="B6">
        <v>1</v>
      </c>
      <c r="C6">
        <v>2</v>
      </c>
      <c r="D6">
        <v>2</v>
      </c>
      <c r="F6">
        <v>4</v>
      </c>
      <c r="I6">
        <v>1</v>
      </c>
      <c r="J6">
        <v>1</v>
      </c>
      <c r="K6">
        <v>2</v>
      </c>
      <c r="M6">
        <v>6</v>
      </c>
      <c r="N6">
        <v>1</v>
      </c>
      <c r="O6">
        <v>1</v>
      </c>
      <c r="P6">
        <v>1</v>
      </c>
      <c r="Q6">
        <v>6</v>
      </c>
      <c r="R6">
        <v>1</v>
      </c>
      <c r="U6">
        <v>2</v>
      </c>
      <c r="V6">
        <v>1</v>
      </c>
      <c r="W6">
        <v>1</v>
      </c>
      <c r="X6">
        <v>2</v>
      </c>
      <c r="AF6">
        <f t="shared" si="0"/>
        <v>35</v>
      </c>
      <c r="AG6">
        <f>(AF6/AF26)*100</f>
        <v>3.9637599093997737</v>
      </c>
    </row>
    <row r="7" spans="1:33" x14ac:dyDescent="0.25">
      <c r="A7" s="6" t="s">
        <v>9</v>
      </c>
      <c r="E7">
        <v>1</v>
      </c>
      <c r="I7">
        <v>1</v>
      </c>
      <c r="K7">
        <v>1</v>
      </c>
      <c r="L7">
        <v>1</v>
      </c>
      <c r="M7">
        <v>1</v>
      </c>
      <c r="T7">
        <v>1</v>
      </c>
      <c r="Z7">
        <v>2</v>
      </c>
      <c r="AF7">
        <f t="shared" si="0"/>
        <v>8</v>
      </c>
      <c r="AG7">
        <f>(AF7/AF26)*100</f>
        <v>0.90600226500566261</v>
      </c>
    </row>
    <row r="8" spans="1:33" x14ac:dyDescent="0.25">
      <c r="A8" s="6" t="s">
        <v>11</v>
      </c>
      <c r="G8">
        <v>1</v>
      </c>
      <c r="K8">
        <v>1</v>
      </c>
      <c r="AF8">
        <f t="shared" si="0"/>
        <v>2</v>
      </c>
      <c r="AG8">
        <f>(AF8/AF26)*100</f>
        <v>0.22650056625141565</v>
      </c>
    </row>
    <row r="9" spans="1:33" x14ac:dyDescent="0.25">
      <c r="A9" s="6" t="s">
        <v>16</v>
      </c>
      <c r="G9">
        <v>1</v>
      </c>
      <c r="AF9">
        <f t="shared" si="0"/>
        <v>1</v>
      </c>
      <c r="AG9">
        <f>(AF9/AF26)*100</f>
        <v>0.11325028312570783</v>
      </c>
    </row>
    <row r="10" spans="1:33" x14ac:dyDescent="0.25">
      <c r="A10" s="6" t="s">
        <v>18</v>
      </c>
      <c r="K10">
        <v>1</v>
      </c>
      <c r="AF10">
        <f t="shared" si="0"/>
        <v>1</v>
      </c>
      <c r="AG10">
        <f>(AF10/AF26)*100</f>
        <v>0.11325028312570783</v>
      </c>
    </row>
    <row r="11" spans="1:33" x14ac:dyDescent="0.25">
      <c r="A11" s="6" t="s">
        <v>19</v>
      </c>
      <c r="B11">
        <v>11</v>
      </c>
      <c r="C11">
        <v>4</v>
      </c>
      <c r="D11">
        <v>1</v>
      </c>
      <c r="E11">
        <v>6</v>
      </c>
      <c r="F11">
        <v>8</v>
      </c>
      <c r="G11">
        <v>3</v>
      </c>
      <c r="H11">
        <v>4</v>
      </c>
      <c r="I11">
        <v>2</v>
      </c>
      <c r="J11">
        <v>4</v>
      </c>
      <c r="K11">
        <v>3</v>
      </c>
      <c r="L11">
        <v>2</v>
      </c>
      <c r="M11">
        <v>5</v>
      </c>
      <c r="N11">
        <v>4</v>
      </c>
      <c r="O11">
        <v>2</v>
      </c>
      <c r="P11">
        <v>6</v>
      </c>
      <c r="Q11">
        <v>5</v>
      </c>
      <c r="R11">
        <v>4</v>
      </c>
      <c r="S11">
        <v>3</v>
      </c>
      <c r="T11">
        <v>7</v>
      </c>
      <c r="U11">
        <v>5</v>
      </c>
      <c r="V11">
        <v>3</v>
      </c>
      <c r="W11">
        <v>2</v>
      </c>
      <c r="Y11">
        <v>1</v>
      </c>
      <c r="Z11">
        <v>1</v>
      </c>
      <c r="AF11">
        <f t="shared" si="0"/>
        <v>96</v>
      </c>
      <c r="AG11">
        <f>(AF11/AF26)*100</f>
        <v>10.872027180067951</v>
      </c>
    </row>
    <row r="12" spans="1:33" x14ac:dyDescent="0.25">
      <c r="A12" s="6" t="s">
        <v>167</v>
      </c>
      <c r="H12">
        <v>1</v>
      </c>
      <c r="AF12">
        <f t="shared" si="0"/>
        <v>1</v>
      </c>
      <c r="AG12">
        <f>(AF12/AF26)*100</f>
        <v>0.11325028312570783</v>
      </c>
    </row>
    <row r="13" spans="1:33" x14ac:dyDescent="0.25">
      <c r="A13" s="6" t="s">
        <v>21</v>
      </c>
      <c r="D13">
        <v>2</v>
      </c>
      <c r="F13">
        <v>1</v>
      </c>
      <c r="P13">
        <v>1</v>
      </c>
      <c r="T13">
        <v>3</v>
      </c>
      <c r="Z13">
        <v>1</v>
      </c>
      <c r="AF13">
        <f t="shared" si="0"/>
        <v>8</v>
      </c>
      <c r="AG13">
        <f>(AF13/AF26)*100</f>
        <v>0.90600226500566261</v>
      </c>
    </row>
    <row r="14" spans="1:33" x14ac:dyDescent="0.25">
      <c r="A14" s="6" t="s">
        <v>22</v>
      </c>
      <c r="E14">
        <v>1</v>
      </c>
      <c r="G14">
        <v>2</v>
      </c>
      <c r="H14">
        <v>1</v>
      </c>
      <c r="J14">
        <v>1</v>
      </c>
      <c r="U14">
        <v>1</v>
      </c>
      <c r="V14">
        <v>2</v>
      </c>
      <c r="AF14">
        <f t="shared" si="0"/>
        <v>8</v>
      </c>
      <c r="AG14">
        <f>(AF14/AF26)*100</f>
        <v>0.90600226500566261</v>
      </c>
    </row>
    <row r="15" spans="1:33" x14ac:dyDescent="0.25">
      <c r="A15" s="6" t="s">
        <v>23</v>
      </c>
      <c r="F15">
        <v>1</v>
      </c>
      <c r="R15">
        <v>1</v>
      </c>
      <c r="AF15">
        <f t="shared" si="0"/>
        <v>2</v>
      </c>
      <c r="AG15">
        <f>(AF15/AF26)*100</f>
        <v>0.22650056625141565</v>
      </c>
    </row>
    <row r="16" spans="1:33" x14ac:dyDescent="0.25">
      <c r="A16" s="6" t="s">
        <v>24</v>
      </c>
      <c r="D16">
        <v>1</v>
      </c>
      <c r="J16">
        <v>1</v>
      </c>
      <c r="L16">
        <v>1</v>
      </c>
      <c r="M16">
        <v>1</v>
      </c>
      <c r="N16">
        <v>2</v>
      </c>
      <c r="Q16">
        <v>1</v>
      </c>
      <c r="T16">
        <v>1</v>
      </c>
      <c r="AF16">
        <f t="shared" si="0"/>
        <v>8</v>
      </c>
      <c r="AG16">
        <f>(AF16/AF26)*100</f>
        <v>0.90600226500566261</v>
      </c>
    </row>
    <row r="17" spans="1:33" x14ac:dyDescent="0.25">
      <c r="A17" s="6" t="s">
        <v>25</v>
      </c>
      <c r="D17">
        <v>1</v>
      </c>
      <c r="E17">
        <v>1</v>
      </c>
      <c r="F17">
        <v>1</v>
      </c>
      <c r="G17">
        <v>1</v>
      </c>
      <c r="H17">
        <v>2</v>
      </c>
      <c r="I17">
        <v>1</v>
      </c>
      <c r="J17">
        <v>1</v>
      </c>
      <c r="L17">
        <v>1</v>
      </c>
      <c r="U17">
        <v>1</v>
      </c>
      <c r="AF17">
        <f t="shared" si="0"/>
        <v>10</v>
      </c>
      <c r="AG17">
        <f>(AF17/AF26)*100</f>
        <v>1.1325028312570782</v>
      </c>
    </row>
    <row r="18" spans="1:33" x14ac:dyDescent="0.25">
      <c r="A18" s="6" t="s">
        <v>26</v>
      </c>
      <c r="F18">
        <v>1</v>
      </c>
      <c r="O18">
        <v>1</v>
      </c>
      <c r="AF18">
        <f t="shared" si="0"/>
        <v>2</v>
      </c>
      <c r="AG18">
        <f>(AF18/AF26)*100</f>
        <v>0.22650056625141565</v>
      </c>
    </row>
    <row r="19" spans="1:33" x14ac:dyDescent="0.25">
      <c r="A19" s="6" t="s">
        <v>27</v>
      </c>
      <c r="L19">
        <v>1</v>
      </c>
      <c r="AF19">
        <f t="shared" si="0"/>
        <v>1</v>
      </c>
      <c r="AG19">
        <f>(AF19/AF26)*100</f>
        <v>0.11325028312570783</v>
      </c>
    </row>
    <row r="20" spans="1:33" x14ac:dyDescent="0.25">
      <c r="A20" s="6" t="s">
        <v>102</v>
      </c>
      <c r="I20">
        <v>1</v>
      </c>
      <c r="J20">
        <v>1</v>
      </c>
      <c r="T20">
        <v>1</v>
      </c>
      <c r="U20">
        <v>1</v>
      </c>
      <c r="AF20">
        <f t="shared" si="0"/>
        <v>4</v>
      </c>
      <c r="AG20">
        <f>(AF20/AF26)*100</f>
        <v>0.45300113250283131</v>
      </c>
    </row>
    <row r="21" spans="1:33" x14ac:dyDescent="0.25">
      <c r="A21" s="6" t="s">
        <v>30</v>
      </c>
      <c r="F21">
        <v>1</v>
      </c>
      <c r="J21">
        <v>1</v>
      </c>
      <c r="AF21">
        <f t="shared" si="0"/>
        <v>2</v>
      </c>
      <c r="AG21">
        <f>(AF21/AF26)*100</f>
        <v>0.22650056625141565</v>
      </c>
    </row>
    <row r="22" spans="1:33" x14ac:dyDescent="0.25">
      <c r="A22" s="6" t="s">
        <v>32</v>
      </c>
      <c r="B22">
        <v>13</v>
      </c>
      <c r="C22">
        <v>8</v>
      </c>
      <c r="D22">
        <v>12</v>
      </c>
      <c r="E22">
        <v>27</v>
      </c>
      <c r="F22">
        <v>32</v>
      </c>
      <c r="G22">
        <v>16</v>
      </c>
      <c r="H22">
        <v>27</v>
      </c>
      <c r="I22">
        <v>11</v>
      </c>
      <c r="J22">
        <v>19</v>
      </c>
      <c r="K22">
        <v>29</v>
      </c>
      <c r="L22">
        <v>27</v>
      </c>
      <c r="M22">
        <v>27</v>
      </c>
      <c r="N22">
        <v>20</v>
      </c>
      <c r="O22">
        <v>19</v>
      </c>
      <c r="P22">
        <v>18</v>
      </c>
      <c r="Q22">
        <v>28</v>
      </c>
      <c r="R22">
        <v>19</v>
      </c>
      <c r="S22">
        <v>21</v>
      </c>
      <c r="T22">
        <v>21</v>
      </c>
      <c r="U22">
        <v>16</v>
      </c>
      <c r="V22">
        <v>36</v>
      </c>
      <c r="W22">
        <v>22</v>
      </c>
      <c r="X22">
        <v>20</v>
      </c>
      <c r="Y22">
        <v>7</v>
      </c>
      <c r="Z22">
        <v>11</v>
      </c>
      <c r="AF22">
        <f t="shared" si="0"/>
        <v>506</v>
      </c>
      <c r="AG22">
        <f>(AF22/AF26)*100</f>
        <v>57.304643261608156</v>
      </c>
    </row>
    <row r="23" spans="1:33" x14ac:dyDescent="0.25">
      <c r="A23" s="6" t="s">
        <v>33</v>
      </c>
      <c r="H23">
        <v>1</v>
      </c>
      <c r="P23">
        <v>2</v>
      </c>
      <c r="R23">
        <v>1</v>
      </c>
      <c r="S23">
        <v>1</v>
      </c>
      <c r="AF23">
        <f t="shared" si="0"/>
        <v>5</v>
      </c>
      <c r="AG23">
        <f>(AF23/AF26)*100</f>
        <v>0.56625141562853909</v>
      </c>
    </row>
    <row r="24" spans="1:33" x14ac:dyDescent="0.25">
      <c r="A24" s="6" t="s">
        <v>37</v>
      </c>
      <c r="B24">
        <v>1</v>
      </c>
      <c r="C24">
        <v>1</v>
      </c>
      <c r="D24">
        <v>2</v>
      </c>
      <c r="E24">
        <v>5</v>
      </c>
      <c r="F24">
        <v>3</v>
      </c>
      <c r="G24">
        <v>1</v>
      </c>
      <c r="H24">
        <v>3</v>
      </c>
      <c r="I24">
        <v>2</v>
      </c>
      <c r="J24">
        <v>2</v>
      </c>
      <c r="K24">
        <v>3</v>
      </c>
      <c r="L24">
        <v>6</v>
      </c>
      <c r="M24">
        <v>3</v>
      </c>
      <c r="N24">
        <v>5</v>
      </c>
      <c r="O24">
        <v>3</v>
      </c>
      <c r="P24">
        <v>6</v>
      </c>
      <c r="Q24">
        <v>3</v>
      </c>
      <c r="R24">
        <v>3</v>
      </c>
      <c r="S24">
        <v>1</v>
      </c>
      <c r="T24">
        <v>6</v>
      </c>
      <c r="U24">
        <v>4</v>
      </c>
      <c r="V24">
        <v>5</v>
      </c>
      <c r="X24">
        <v>2</v>
      </c>
      <c r="AF24">
        <f t="shared" si="0"/>
        <v>70</v>
      </c>
      <c r="AG24">
        <f>(AF24/AF26)*100</f>
        <v>7.9275198187995475</v>
      </c>
    </row>
    <row r="25" spans="1:33" x14ac:dyDescent="0.25">
      <c r="A25" s="6"/>
      <c r="AF25">
        <f t="shared" si="0"/>
        <v>0</v>
      </c>
      <c r="AG25">
        <f>(AF25/AF26)*100</f>
        <v>0</v>
      </c>
    </row>
    <row r="26" spans="1:33" x14ac:dyDescent="0.25">
      <c r="A26" s="1" t="s">
        <v>39</v>
      </c>
      <c r="B26" s="2">
        <f t="shared" ref="B26:AG26" si="1">SUM(B4:B25)</f>
        <v>27</v>
      </c>
      <c r="C26" s="2">
        <f t="shared" si="1"/>
        <v>21</v>
      </c>
      <c r="D26" s="2">
        <f t="shared" si="1"/>
        <v>25</v>
      </c>
      <c r="E26" s="2">
        <f t="shared" si="1"/>
        <v>46</v>
      </c>
      <c r="F26" s="2">
        <f t="shared" si="1"/>
        <v>59</v>
      </c>
      <c r="G26" s="2">
        <f t="shared" si="1"/>
        <v>28</v>
      </c>
      <c r="H26" s="2">
        <f t="shared" si="1"/>
        <v>46</v>
      </c>
      <c r="I26" s="2">
        <f t="shared" si="1"/>
        <v>21</v>
      </c>
      <c r="J26" s="2">
        <f t="shared" si="1"/>
        <v>38</v>
      </c>
      <c r="K26" s="2">
        <f t="shared" si="1"/>
        <v>47</v>
      </c>
      <c r="L26" s="2">
        <f t="shared" si="1"/>
        <v>41</v>
      </c>
      <c r="M26" s="2">
        <f t="shared" si="1"/>
        <v>58</v>
      </c>
      <c r="N26" s="2">
        <f t="shared" si="1"/>
        <v>39</v>
      </c>
      <c r="O26" s="2">
        <f t="shared" si="1"/>
        <v>36</v>
      </c>
      <c r="P26" s="2">
        <f t="shared" si="1"/>
        <v>38</v>
      </c>
      <c r="Q26" s="2">
        <f t="shared" si="1"/>
        <v>48</v>
      </c>
      <c r="R26" s="2">
        <f t="shared" si="1"/>
        <v>33</v>
      </c>
      <c r="S26" s="2">
        <f t="shared" si="1"/>
        <v>29</v>
      </c>
      <c r="T26" s="2">
        <f t="shared" si="1"/>
        <v>44</v>
      </c>
      <c r="U26" s="2">
        <f t="shared" si="1"/>
        <v>35</v>
      </c>
      <c r="V26" s="2">
        <f t="shared" si="1"/>
        <v>49</v>
      </c>
      <c r="W26" s="2">
        <f t="shared" si="1"/>
        <v>26</v>
      </c>
      <c r="X26" s="2">
        <f t="shared" si="1"/>
        <v>26</v>
      </c>
      <c r="Y26" s="2">
        <f t="shared" si="1"/>
        <v>8</v>
      </c>
      <c r="Z26" s="2">
        <f t="shared" si="1"/>
        <v>15</v>
      </c>
      <c r="AA26" s="2">
        <f t="shared" si="1"/>
        <v>0</v>
      </c>
      <c r="AB26" s="2">
        <f t="shared" si="1"/>
        <v>0</v>
      </c>
      <c r="AC26" s="2">
        <f t="shared" si="1"/>
        <v>0</v>
      </c>
      <c r="AD26" s="2">
        <f t="shared" si="1"/>
        <v>0</v>
      </c>
      <c r="AE26" s="2">
        <f t="shared" si="1"/>
        <v>0</v>
      </c>
      <c r="AF26" s="2">
        <f t="shared" si="1"/>
        <v>883</v>
      </c>
      <c r="AG26" s="7">
        <f t="shared" si="1"/>
        <v>100.00000000000001</v>
      </c>
    </row>
    <row r="27" spans="1:33" x14ac:dyDescent="0.25">
      <c r="B27">
        <v>27</v>
      </c>
      <c r="C27">
        <v>48</v>
      </c>
      <c r="D27">
        <v>73</v>
      </c>
      <c r="E27">
        <v>119</v>
      </c>
      <c r="F27">
        <v>178</v>
      </c>
      <c r="G27">
        <v>206</v>
      </c>
      <c r="H27">
        <v>252</v>
      </c>
      <c r="I27">
        <v>273</v>
      </c>
      <c r="J27">
        <v>311</v>
      </c>
      <c r="K27">
        <v>358</v>
      </c>
      <c r="L27">
        <v>399</v>
      </c>
      <c r="M27">
        <v>457</v>
      </c>
      <c r="N27">
        <v>496</v>
      </c>
      <c r="O27">
        <v>532</v>
      </c>
      <c r="P27">
        <v>570</v>
      </c>
      <c r="Q27">
        <v>618</v>
      </c>
      <c r="R27">
        <v>651</v>
      </c>
      <c r="S27">
        <v>680</v>
      </c>
      <c r="T27">
        <v>724</v>
      </c>
      <c r="U27">
        <v>759</v>
      </c>
      <c r="V27">
        <v>808</v>
      </c>
      <c r="W27">
        <v>834</v>
      </c>
      <c r="X27">
        <v>860</v>
      </c>
      <c r="Y27">
        <v>868</v>
      </c>
      <c r="Z27">
        <v>883</v>
      </c>
    </row>
    <row r="29" spans="1:33" x14ac:dyDescent="0.25">
      <c r="A29" t="s">
        <v>755</v>
      </c>
      <c r="B29">
        <v>5</v>
      </c>
      <c r="C29">
        <v>5</v>
      </c>
      <c r="D29">
        <v>9</v>
      </c>
      <c r="E29">
        <v>11</v>
      </c>
      <c r="F29">
        <v>14</v>
      </c>
      <c r="G29">
        <v>16</v>
      </c>
      <c r="H29">
        <v>18</v>
      </c>
      <c r="I29">
        <v>19</v>
      </c>
      <c r="J29">
        <v>19</v>
      </c>
      <c r="K29">
        <v>20</v>
      </c>
      <c r="L29">
        <v>21</v>
      </c>
      <c r="M29">
        <v>21</v>
      </c>
      <c r="N29">
        <v>21</v>
      </c>
      <c r="O29">
        <v>21</v>
      </c>
      <c r="P29">
        <v>21</v>
      </c>
      <c r="Q29">
        <v>21</v>
      </c>
      <c r="R29">
        <v>21</v>
      </c>
      <c r="S29">
        <v>21</v>
      </c>
      <c r="T29">
        <v>21</v>
      </c>
      <c r="U29">
        <v>21</v>
      </c>
      <c r="V29">
        <v>21</v>
      </c>
      <c r="W29">
        <v>21</v>
      </c>
      <c r="X29">
        <v>21</v>
      </c>
      <c r="Y29">
        <v>21</v>
      </c>
      <c r="Z29">
        <v>21</v>
      </c>
    </row>
  </sheetData>
  <mergeCells count="2">
    <mergeCell ref="B1:Q1"/>
    <mergeCell ref="R1:Z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6"/>
  <sheetViews>
    <sheetView workbookViewId="0">
      <pane xSplit="1" topLeftCell="B1" activePane="topRight" state="frozen"/>
      <selection activeCell="A10" sqref="A10"/>
      <selection pane="topRight" activeCell="X23" sqref="B23:X23"/>
    </sheetView>
  </sheetViews>
  <sheetFormatPr defaultRowHeight="15" x14ac:dyDescent="0.25"/>
  <cols>
    <col min="1" max="1" width="26" customWidth="1"/>
  </cols>
  <sheetData>
    <row r="1" spans="1:33" x14ac:dyDescent="0.25">
      <c r="A1" s="1" t="s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  <c r="V1" s="2">
        <v>21</v>
      </c>
      <c r="W1" s="2">
        <v>22</v>
      </c>
      <c r="X1" s="2">
        <v>23</v>
      </c>
      <c r="Y1" s="2">
        <v>24</v>
      </c>
      <c r="Z1" s="2">
        <v>25</v>
      </c>
      <c r="AA1" s="2">
        <v>26</v>
      </c>
      <c r="AB1" s="2">
        <v>27</v>
      </c>
      <c r="AC1" s="2">
        <v>28</v>
      </c>
      <c r="AD1" s="2">
        <v>29</v>
      </c>
      <c r="AE1" s="3">
        <v>30</v>
      </c>
    </row>
    <row r="2" spans="1:33" x14ac:dyDescent="0.25">
      <c r="A2" s="4" t="s">
        <v>1</v>
      </c>
      <c r="B2" s="5" t="s">
        <v>299</v>
      </c>
      <c r="C2" s="5" t="s">
        <v>300</v>
      </c>
      <c r="D2" s="5" t="s">
        <v>301</v>
      </c>
      <c r="E2" s="5" t="s">
        <v>302</v>
      </c>
      <c r="F2" s="5" t="s">
        <v>303</v>
      </c>
      <c r="G2" s="5" t="s">
        <v>304</v>
      </c>
      <c r="H2" s="5" t="s">
        <v>305</v>
      </c>
      <c r="I2" s="5" t="s">
        <v>306</v>
      </c>
      <c r="J2" s="5" t="s">
        <v>93</v>
      </c>
      <c r="K2" s="5" t="s">
        <v>307</v>
      </c>
      <c r="L2" s="5" t="s">
        <v>308</v>
      </c>
      <c r="M2" s="5" t="s">
        <v>309</v>
      </c>
      <c r="N2" s="5" t="s">
        <v>310</v>
      </c>
      <c r="O2" s="5" t="s">
        <v>311</v>
      </c>
      <c r="P2" s="5" t="s">
        <v>312</v>
      </c>
      <c r="Q2" s="5" t="s">
        <v>313</v>
      </c>
      <c r="R2" s="5" t="s">
        <v>314</v>
      </c>
      <c r="S2" s="5" t="s">
        <v>315</v>
      </c>
      <c r="T2" s="5" t="s">
        <v>316</v>
      </c>
      <c r="U2" s="5" t="s">
        <v>317</v>
      </c>
      <c r="V2" s="5" t="s">
        <v>318</v>
      </c>
      <c r="W2" s="5" t="s">
        <v>319</v>
      </c>
      <c r="X2" s="5" t="s">
        <v>320</v>
      </c>
      <c r="Y2" s="5"/>
      <c r="Z2" s="5"/>
      <c r="AA2" s="5"/>
      <c r="AB2" s="5"/>
      <c r="AC2" s="5"/>
      <c r="AD2" s="5"/>
      <c r="AE2" s="5"/>
      <c r="AF2" s="5" t="s">
        <v>2</v>
      </c>
      <c r="AG2" s="5" t="s">
        <v>3</v>
      </c>
    </row>
    <row r="3" spans="1:33" x14ac:dyDescent="0.25">
      <c r="A3" s="6" t="s">
        <v>4</v>
      </c>
      <c r="B3">
        <v>4</v>
      </c>
      <c r="C3">
        <v>1</v>
      </c>
      <c r="D3">
        <v>4</v>
      </c>
      <c r="E3">
        <v>2</v>
      </c>
      <c r="F3">
        <v>4</v>
      </c>
      <c r="G3">
        <v>2</v>
      </c>
      <c r="H3">
        <v>9</v>
      </c>
      <c r="I3">
        <v>5</v>
      </c>
      <c r="J3">
        <v>4</v>
      </c>
      <c r="K3">
        <v>3</v>
      </c>
      <c r="L3">
        <v>3</v>
      </c>
      <c r="M3">
        <v>8</v>
      </c>
      <c r="N3">
        <v>12</v>
      </c>
      <c r="O3">
        <v>5</v>
      </c>
      <c r="P3">
        <v>5</v>
      </c>
      <c r="Q3">
        <v>2</v>
      </c>
      <c r="R3">
        <v>4</v>
      </c>
      <c r="S3">
        <v>4</v>
      </c>
      <c r="T3">
        <v>1</v>
      </c>
      <c r="U3">
        <v>5</v>
      </c>
      <c r="V3">
        <v>6</v>
      </c>
      <c r="W3">
        <v>6</v>
      </c>
      <c r="X3">
        <v>6</v>
      </c>
      <c r="AF3">
        <f>SUM(B3:AE3)</f>
        <v>105</v>
      </c>
      <c r="AG3">
        <f>(AF3/AF22)*100</f>
        <v>19.301470588235293</v>
      </c>
    </row>
    <row r="4" spans="1:33" x14ac:dyDescent="0.25">
      <c r="A4" s="6" t="s">
        <v>5</v>
      </c>
      <c r="G4">
        <v>1</v>
      </c>
      <c r="N4">
        <v>2</v>
      </c>
      <c r="W4">
        <v>1</v>
      </c>
      <c r="X4">
        <v>1</v>
      </c>
      <c r="AF4">
        <f t="shared" ref="AF4:AF21" si="0">SUM(B4:AE4)</f>
        <v>5</v>
      </c>
      <c r="AG4">
        <f>(AF4/AF22)*100</f>
        <v>0.91911764705882359</v>
      </c>
    </row>
    <row r="5" spans="1:33" x14ac:dyDescent="0.25">
      <c r="A5" s="6" t="s">
        <v>6</v>
      </c>
      <c r="D5">
        <v>1</v>
      </c>
      <c r="K5">
        <v>1</v>
      </c>
      <c r="Q5">
        <v>1</v>
      </c>
      <c r="S5">
        <v>2</v>
      </c>
      <c r="T5">
        <v>2</v>
      </c>
      <c r="U5">
        <v>1</v>
      </c>
      <c r="V5">
        <v>2</v>
      </c>
      <c r="W5">
        <v>1</v>
      </c>
      <c r="AF5">
        <f t="shared" si="0"/>
        <v>11</v>
      </c>
      <c r="AG5">
        <f>(AF5/AF22)*100</f>
        <v>2.0220588235294117</v>
      </c>
    </row>
    <row r="6" spans="1:33" x14ac:dyDescent="0.25">
      <c r="A6" s="6" t="s">
        <v>8</v>
      </c>
      <c r="C6">
        <v>1</v>
      </c>
      <c r="AF6">
        <f t="shared" si="0"/>
        <v>1</v>
      </c>
      <c r="AG6">
        <f>(AF6/AF22)*100</f>
        <v>0.18382352941176469</v>
      </c>
    </row>
    <row r="7" spans="1:33" x14ac:dyDescent="0.25">
      <c r="A7" s="6" t="s">
        <v>9</v>
      </c>
      <c r="D7">
        <v>1</v>
      </c>
      <c r="K7">
        <v>2</v>
      </c>
      <c r="M7">
        <v>1</v>
      </c>
      <c r="W7">
        <v>1</v>
      </c>
      <c r="X7">
        <v>2</v>
      </c>
      <c r="AF7">
        <f t="shared" si="0"/>
        <v>7</v>
      </c>
      <c r="AG7">
        <f>(AF7/AF22)*100</f>
        <v>1.2867647058823528</v>
      </c>
    </row>
    <row r="8" spans="1:33" x14ac:dyDescent="0.25">
      <c r="A8" s="6" t="s">
        <v>11</v>
      </c>
      <c r="D8">
        <v>1</v>
      </c>
      <c r="AF8">
        <f t="shared" si="0"/>
        <v>1</v>
      </c>
      <c r="AG8">
        <f>(AF8/AF22)*100</f>
        <v>0.18382352941176469</v>
      </c>
    </row>
    <row r="9" spans="1:33" x14ac:dyDescent="0.25">
      <c r="A9" s="6" t="s">
        <v>59</v>
      </c>
      <c r="U9">
        <v>1</v>
      </c>
      <c r="AF9">
        <f t="shared" si="0"/>
        <v>1</v>
      </c>
      <c r="AG9">
        <f>(AF9/AF22)*100</f>
        <v>0.18382352941176469</v>
      </c>
    </row>
    <row r="10" spans="1:33" x14ac:dyDescent="0.25">
      <c r="A10" s="6" t="s">
        <v>18</v>
      </c>
      <c r="V10">
        <v>1</v>
      </c>
      <c r="AF10">
        <f t="shared" si="0"/>
        <v>1</v>
      </c>
      <c r="AG10">
        <f>(AF10/AF22)*100</f>
        <v>0.18382352941176469</v>
      </c>
    </row>
    <row r="11" spans="1:33" x14ac:dyDescent="0.25">
      <c r="A11" s="6" t="s">
        <v>19</v>
      </c>
      <c r="B11">
        <v>8</v>
      </c>
      <c r="C11">
        <v>1</v>
      </c>
      <c r="D11">
        <v>2</v>
      </c>
      <c r="E11">
        <v>2</v>
      </c>
      <c r="F11">
        <v>1</v>
      </c>
      <c r="H11">
        <v>1</v>
      </c>
      <c r="I11">
        <v>2</v>
      </c>
      <c r="J11">
        <v>1</v>
      </c>
      <c r="K11">
        <v>2</v>
      </c>
      <c r="M11">
        <v>1</v>
      </c>
      <c r="N11">
        <v>11</v>
      </c>
      <c r="O11">
        <v>3</v>
      </c>
      <c r="P11">
        <v>2</v>
      </c>
      <c r="Q11">
        <v>4</v>
      </c>
      <c r="R11">
        <v>1</v>
      </c>
      <c r="S11">
        <v>5</v>
      </c>
      <c r="T11">
        <v>9</v>
      </c>
      <c r="U11">
        <v>6</v>
      </c>
      <c r="V11">
        <v>10</v>
      </c>
      <c r="W11">
        <v>9</v>
      </c>
      <c r="X11">
        <v>7</v>
      </c>
      <c r="AF11">
        <f t="shared" si="0"/>
        <v>88</v>
      </c>
      <c r="AG11">
        <f>(AF11/AF22)*100</f>
        <v>16.176470588235293</v>
      </c>
    </row>
    <row r="12" spans="1:33" x14ac:dyDescent="0.25">
      <c r="A12" s="6" t="s">
        <v>167</v>
      </c>
      <c r="B12">
        <v>1</v>
      </c>
      <c r="P12">
        <v>1</v>
      </c>
      <c r="T12">
        <v>1</v>
      </c>
      <c r="AF12">
        <f t="shared" si="0"/>
        <v>3</v>
      </c>
      <c r="AG12">
        <f>(AF12/AF22)*100</f>
        <v>0.55147058823529416</v>
      </c>
    </row>
    <row r="13" spans="1:33" x14ac:dyDescent="0.25">
      <c r="A13" s="6" t="s">
        <v>21</v>
      </c>
      <c r="L13">
        <v>1</v>
      </c>
      <c r="AF13">
        <f t="shared" si="0"/>
        <v>1</v>
      </c>
      <c r="AG13">
        <f>(AF13/AF22)*100</f>
        <v>0.18382352941176469</v>
      </c>
    </row>
    <row r="14" spans="1:33" x14ac:dyDescent="0.25">
      <c r="A14" s="6" t="s">
        <v>24</v>
      </c>
      <c r="D14">
        <v>1</v>
      </c>
      <c r="AF14">
        <f t="shared" si="0"/>
        <v>1</v>
      </c>
      <c r="AG14">
        <f>(AF14/AF22)*100</f>
        <v>0.18382352941176469</v>
      </c>
    </row>
    <row r="15" spans="1:33" x14ac:dyDescent="0.25">
      <c r="A15" s="6" t="s">
        <v>25</v>
      </c>
      <c r="F15">
        <v>1</v>
      </c>
      <c r="H15">
        <v>1</v>
      </c>
      <c r="Q15">
        <v>1</v>
      </c>
      <c r="AF15">
        <f t="shared" si="0"/>
        <v>3</v>
      </c>
      <c r="AG15">
        <f>(AF15/AF22)*100</f>
        <v>0.55147058823529416</v>
      </c>
    </row>
    <row r="16" spans="1:33" x14ac:dyDescent="0.25">
      <c r="A16" s="6" t="s">
        <v>26</v>
      </c>
      <c r="H16">
        <v>1</v>
      </c>
      <c r="Q16">
        <v>1</v>
      </c>
      <c r="W16">
        <v>1</v>
      </c>
      <c r="AF16">
        <f t="shared" si="0"/>
        <v>3</v>
      </c>
      <c r="AG16">
        <f>(AF16/AF22)*100</f>
        <v>0.55147058823529416</v>
      </c>
    </row>
    <row r="17" spans="1:33" x14ac:dyDescent="0.25">
      <c r="A17" s="6" t="s">
        <v>32</v>
      </c>
      <c r="B17">
        <v>9</v>
      </c>
      <c r="C17">
        <v>4</v>
      </c>
      <c r="D17">
        <v>1</v>
      </c>
      <c r="E17">
        <v>12</v>
      </c>
      <c r="F17">
        <v>5</v>
      </c>
      <c r="G17">
        <v>8</v>
      </c>
      <c r="H17">
        <v>5</v>
      </c>
      <c r="I17">
        <v>10</v>
      </c>
      <c r="J17">
        <v>4</v>
      </c>
      <c r="K17">
        <v>7</v>
      </c>
      <c r="L17">
        <v>7</v>
      </c>
      <c r="M17">
        <v>10</v>
      </c>
      <c r="N17">
        <v>16</v>
      </c>
      <c r="O17">
        <v>13</v>
      </c>
      <c r="P17">
        <v>10</v>
      </c>
      <c r="Q17">
        <v>16</v>
      </c>
      <c r="R17">
        <v>10</v>
      </c>
      <c r="S17">
        <v>8</v>
      </c>
      <c r="T17">
        <v>22</v>
      </c>
      <c r="U17">
        <v>30</v>
      </c>
      <c r="V17">
        <v>26</v>
      </c>
      <c r="W17">
        <v>13</v>
      </c>
      <c r="X17">
        <v>30</v>
      </c>
      <c r="AF17">
        <f t="shared" si="0"/>
        <v>276</v>
      </c>
      <c r="AG17">
        <f>(AF17/AF22)*100</f>
        <v>50.735294117647058</v>
      </c>
    </row>
    <row r="18" spans="1:33" x14ac:dyDescent="0.25">
      <c r="A18" s="6" t="s">
        <v>33</v>
      </c>
      <c r="J18">
        <v>1</v>
      </c>
      <c r="Q18">
        <v>1</v>
      </c>
      <c r="T18">
        <v>1</v>
      </c>
      <c r="X18">
        <v>1</v>
      </c>
      <c r="AF18">
        <f t="shared" si="0"/>
        <v>4</v>
      </c>
      <c r="AG18">
        <f>(AF18/AF22)*100</f>
        <v>0.73529411764705876</v>
      </c>
    </row>
    <row r="19" spans="1:33" x14ac:dyDescent="0.25">
      <c r="A19" s="6" t="s">
        <v>36</v>
      </c>
      <c r="J19">
        <v>1</v>
      </c>
      <c r="AF19">
        <f t="shared" si="0"/>
        <v>1</v>
      </c>
      <c r="AG19">
        <f>(AF19/AF22)*100</f>
        <v>0.18382352941176469</v>
      </c>
    </row>
    <row r="20" spans="1:33" x14ac:dyDescent="0.25">
      <c r="A20" s="6" t="s">
        <v>37</v>
      </c>
      <c r="B20">
        <v>2</v>
      </c>
      <c r="D20">
        <v>1</v>
      </c>
      <c r="E20">
        <v>3</v>
      </c>
      <c r="H20">
        <v>1</v>
      </c>
      <c r="I20">
        <v>4</v>
      </c>
      <c r="K20">
        <v>1</v>
      </c>
      <c r="L20">
        <v>1</v>
      </c>
      <c r="M20">
        <v>1</v>
      </c>
      <c r="N20">
        <v>3</v>
      </c>
      <c r="P20">
        <v>1</v>
      </c>
      <c r="Q20">
        <v>3</v>
      </c>
      <c r="R20">
        <v>2</v>
      </c>
      <c r="S20">
        <v>2</v>
      </c>
      <c r="T20">
        <v>2</v>
      </c>
      <c r="V20">
        <v>2</v>
      </c>
      <c r="W20">
        <v>1</v>
      </c>
      <c r="X20">
        <v>2</v>
      </c>
      <c r="AF20">
        <f t="shared" si="0"/>
        <v>32</v>
      </c>
      <c r="AG20">
        <f>(AF20/AF22)*100</f>
        <v>5.8823529411764701</v>
      </c>
    </row>
    <row r="21" spans="1:33" x14ac:dyDescent="0.25">
      <c r="A21" s="6"/>
      <c r="AF21">
        <f t="shared" si="0"/>
        <v>0</v>
      </c>
      <c r="AG21">
        <f>(AF21/AF22)*100</f>
        <v>0</v>
      </c>
    </row>
    <row r="22" spans="1:33" x14ac:dyDescent="0.25">
      <c r="A22" s="1" t="s">
        <v>39</v>
      </c>
      <c r="B22" s="2">
        <f t="shared" ref="B22:AE22" si="1">SUM(B3:B21)</f>
        <v>24</v>
      </c>
      <c r="C22" s="2">
        <f t="shared" si="1"/>
        <v>7</v>
      </c>
      <c r="D22" s="2">
        <f t="shared" si="1"/>
        <v>12</v>
      </c>
      <c r="E22" s="2">
        <f t="shared" si="1"/>
        <v>19</v>
      </c>
      <c r="F22" s="2">
        <f t="shared" si="1"/>
        <v>11</v>
      </c>
      <c r="G22" s="2">
        <f t="shared" si="1"/>
        <v>11</v>
      </c>
      <c r="H22" s="2">
        <f t="shared" si="1"/>
        <v>18</v>
      </c>
      <c r="I22" s="2">
        <f t="shared" si="1"/>
        <v>21</v>
      </c>
      <c r="J22" s="2">
        <f t="shared" si="1"/>
        <v>11</v>
      </c>
      <c r="K22" s="2">
        <f t="shared" si="1"/>
        <v>16</v>
      </c>
      <c r="L22" s="2">
        <f t="shared" si="1"/>
        <v>12</v>
      </c>
      <c r="M22" s="2">
        <f t="shared" si="1"/>
        <v>21</v>
      </c>
      <c r="N22" s="2">
        <f t="shared" si="1"/>
        <v>44</v>
      </c>
      <c r="O22" s="2">
        <f t="shared" si="1"/>
        <v>21</v>
      </c>
      <c r="P22" s="2">
        <f t="shared" si="1"/>
        <v>19</v>
      </c>
      <c r="Q22" s="2">
        <f t="shared" si="1"/>
        <v>29</v>
      </c>
      <c r="R22" s="2">
        <f t="shared" si="1"/>
        <v>17</v>
      </c>
      <c r="S22" s="2">
        <f t="shared" si="1"/>
        <v>21</v>
      </c>
      <c r="T22" s="2">
        <f t="shared" si="1"/>
        <v>38</v>
      </c>
      <c r="U22" s="2">
        <f t="shared" si="1"/>
        <v>43</v>
      </c>
      <c r="V22" s="2">
        <f t="shared" si="1"/>
        <v>47</v>
      </c>
      <c r="W22" s="2">
        <f t="shared" si="1"/>
        <v>33</v>
      </c>
      <c r="X22" s="2">
        <f t="shared" si="1"/>
        <v>49</v>
      </c>
      <c r="Y22" s="2">
        <f t="shared" si="1"/>
        <v>0</v>
      </c>
      <c r="Z22" s="2">
        <f t="shared" si="1"/>
        <v>0</v>
      </c>
      <c r="AA22" s="2">
        <f t="shared" si="1"/>
        <v>0</v>
      </c>
      <c r="AB22" s="2">
        <f t="shared" si="1"/>
        <v>0</v>
      </c>
      <c r="AC22" s="2">
        <f t="shared" si="1"/>
        <v>0</v>
      </c>
      <c r="AD22" s="2">
        <f t="shared" si="1"/>
        <v>0</v>
      </c>
      <c r="AE22" s="2">
        <f t="shared" si="1"/>
        <v>0</v>
      </c>
      <c r="AF22" s="2">
        <f>SUM(AF3:AF21)</f>
        <v>544</v>
      </c>
      <c r="AG22" s="7">
        <f>SUM(AG3:AG21)</f>
        <v>100.00000000000001</v>
      </c>
    </row>
    <row r="23" spans="1:33" x14ac:dyDescent="0.25">
      <c r="B23">
        <v>24</v>
      </c>
      <c r="C23">
        <v>31</v>
      </c>
      <c r="D23">
        <v>43</v>
      </c>
      <c r="E23">
        <v>62</v>
      </c>
      <c r="F23">
        <v>73</v>
      </c>
      <c r="G23">
        <v>84</v>
      </c>
      <c r="H23">
        <v>102</v>
      </c>
      <c r="I23">
        <v>123</v>
      </c>
      <c r="J23">
        <v>134</v>
      </c>
      <c r="K23">
        <v>150</v>
      </c>
      <c r="L23">
        <v>162</v>
      </c>
      <c r="M23">
        <v>183</v>
      </c>
      <c r="N23">
        <v>227</v>
      </c>
      <c r="O23">
        <v>248</v>
      </c>
      <c r="P23">
        <v>267</v>
      </c>
      <c r="Q23">
        <v>296</v>
      </c>
      <c r="R23">
        <v>313</v>
      </c>
      <c r="S23">
        <v>334</v>
      </c>
      <c r="T23">
        <v>372</v>
      </c>
      <c r="U23">
        <v>415</v>
      </c>
      <c r="V23">
        <v>462</v>
      </c>
      <c r="W23">
        <v>495</v>
      </c>
      <c r="X23">
        <v>544</v>
      </c>
    </row>
    <row r="26" spans="1:33" x14ac:dyDescent="0.25">
      <c r="A26" t="s">
        <v>755</v>
      </c>
      <c r="B26">
        <v>5</v>
      </c>
      <c r="C26">
        <v>6</v>
      </c>
      <c r="D26">
        <v>10</v>
      </c>
      <c r="E26">
        <v>10</v>
      </c>
      <c r="F26">
        <v>11</v>
      </c>
      <c r="G26">
        <v>12</v>
      </c>
      <c r="H26">
        <v>13</v>
      </c>
      <c r="I26">
        <v>13</v>
      </c>
      <c r="J26">
        <v>15</v>
      </c>
      <c r="K26">
        <v>15</v>
      </c>
      <c r="L26">
        <v>16</v>
      </c>
      <c r="M26">
        <v>16</v>
      </c>
      <c r="N26">
        <v>16</v>
      </c>
      <c r="O26">
        <v>16</v>
      </c>
      <c r="P26">
        <v>16</v>
      </c>
      <c r="Q26">
        <v>16</v>
      </c>
      <c r="R26">
        <v>16</v>
      </c>
      <c r="S26">
        <v>16</v>
      </c>
      <c r="T26">
        <v>16</v>
      </c>
      <c r="U26">
        <v>17</v>
      </c>
      <c r="V26">
        <v>18</v>
      </c>
      <c r="W26">
        <v>18</v>
      </c>
      <c r="X26">
        <v>18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7"/>
  <sheetViews>
    <sheetView workbookViewId="0">
      <pane xSplit="1" topLeftCell="B1" activePane="topRight" state="frozen"/>
      <selection pane="topRight" activeCell="AO25" sqref="B25:AO25"/>
    </sheetView>
  </sheetViews>
  <sheetFormatPr defaultRowHeight="15" x14ac:dyDescent="0.25"/>
  <cols>
    <col min="1" max="1" width="26" customWidth="1"/>
  </cols>
  <sheetData>
    <row r="1" spans="1:44" x14ac:dyDescent="0.25">
      <c r="B1" s="70" t="s">
        <v>624</v>
      </c>
      <c r="C1" s="70"/>
      <c r="D1" s="70"/>
      <c r="E1" s="70"/>
      <c r="F1" s="70"/>
      <c r="G1" s="70"/>
      <c r="H1" s="70"/>
      <c r="I1" s="70" t="s">
        <v>415</v>
      </c>
      <c r="J1" s="70"/>
      <c r="K1" s="70"/>
      <c r="L1" s="70"/>
      <c r="M1" s="70"/>
      <c r="N1" s="70" t="s">
        <v>416</v>
      </c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  <c r="AF1" s="70"/>
      <c r="AG1" s="70"/>
      <c r="AH1" s="70"/>
      <c r="AI1" s="70"/>
      <c r="AJ1" s="70"/>
      <c r="AK1" s="70"/>
      <c r="AL1" s="70"/>
      <c r="AM1" s="70"/>
      <c r="AN1" s="70"/>
      <c r="AO1" s="70"/>
    </row>
    <row r="2" spans="1:44" x14ac:dyDescent="0.25">
      <c r="A2" s="1" t="s">
        <v>0</v>
      </c>
      <c r="B2" s="2">
        <v>1</v>
      </c>
      <c r="C2" s="2">
        <v>2</v>
      </c>
      <c r="D2" s="2">
        <v>3</v>
      </c>
      <c r="E2" s="2">
        <v>4</v>
      </c>
      <c r="F2" s="2">
        <v>5</v>
      </c>
      <c r="G2" s="2">
        <v>6</v>
      </c>
      <c r="H2" s="2">
        <v>7</v>
      </c>
      <c r="I2" s="2">
        <v>8</v>
      </c>
      <c r="J2" s="2">
        <v>9</v>
      </c>
      <c r="K2" s="2">
        <v>10</v>
      </c>
      <c r="L2" s="2">
        <v>11</v>
      </c>
      <c r="M2" s="2">
        <v>12</v>
      </c>
      <c r="N2" s="2">
        <v>13</v>
      </c>
      <c r="O2" s="2">
        <v>14</v>
      </c>
      <c r="P2" s="2">
        <v>15</v>
      </c>
      <c r="Q2" s="2">
        <v>16</v>
      </c>
      <c r="R2" s="2">
        <v>17</v>
      </c>
      <c r="S2" s="2">
        <v>18</v>
      </c>
      <c r="T2" s="2">
        <v>19</v>
      </c>
      <c r="U2" s="2">
        <v>20</v>
      </c>
      <c r="V2" s="2">
        <v>21</v>
      </c>
      <c r="W2" s="2">
        <v>22</v>
      </c>
      <c r="X2" s="2">
        <v>23</v>
      </c>
      <c r="Y2" s="2">
        <v>24</v>
      </c>
      <c r="Z2" s="2">
        <v>25</v>
      </c>
      <c r="AA2" s="2">
        <v>26</v>
      </c>
      <c r="AB2" s="2">
        <v>27</v>
      </c>
      <c r="AC2" s="2">
        <v>28</v>
      </c>
      <c r="AD2" s="2">
        <v>29</v>
      </c>
      <c r="AE2" s="3">
        <v>30</v>
      </c>
      <c r="AF2" s="3">
        <v>31</v>
      </c>
      <c r="AG2" s="3">
        <v>32</v>
      </c>
      <c r="AH2" s="3">
        <v>33</v>
      </c>
      <c r="AI2" s="3">
        <v>34</v>
      </c>
      <c r="AJ2" s="3">
        <v>35</v>
      </c>
      <c r="AK2" s="3">
        <v>36</v>
      </c>
      <c r="AL2" s="3">
        <v>37</v>
      </c>
      <c r="AM2" s="3">
        <v>38</v>
      </c>
      <c r="AN2" s="3">
        <v>39</v>
      </c>
      <c r="AO2" s="3">
        <v>40</v>
      </c>
    </row>
    <row r="3" spans="1:44" x14ac:dyDescent="0.25">
      <c r="A3" s="4" t="s">
        <v>1</v>
      </c>
      <c r="B3" s="5" t="s">
        <v>321</v>
      </c>
      <c r="C3" s="5" t="s">
        <v>322</v>
      </c>
      <c r="D3" s="5" t="s">
        <v>323</v>
      </c>
      <c r="E3" s="5" t="s">
        <v>324</v>
      </c>
      <c r="F3" s="5" t="s">
        <v>325</v>
      </c>
      <c r="G3" s="5" t="s">
        <v>326</v>
      </c>
      <c r="H3" s="5" t="s">
        <v>327</v>
      </c>
      <c r="I3" s="5" t="s">
        <v>328</v>
      </c>
      <c r="J3" s="5" t="s">
        <v>329</v>
      </c>
      <c r="K3" s="5" t="s">
        <v>330</v>
      </c>
      <c r="L3" s="5" t="s">
        <v>331</v>
      </c>
      <c r="M3" s="5" t="s">
        <v>332</v>
      </c>
      <c r="N3" s="5" t="s">
        <v>333</v>
      </c>
      <c r="O3" s="5" t="s">
        <v>334</v>
      </c>
      <c r="P3" s="5" t="s">
        <v>335</v>
      </c>
      <c r="Q3" s="5" t="s">
        <v>43</v>
      </c>
      <c r="R3" s="5" t="s">
        <v>336</v>
      </c>
      <c r="S3" s="5" t="s">
        <v>337</v>
      </c>
      <c r="T3" s="5" t="s">
        <v>338</v>
      </c>
      <c r="U3" s="5" t="s">
        <v>339</v>
      </c>
      <c r="V3" s="5" t="s">
        <v>340</v>
      </c>
      <c r="W3" s="5" t="s">
        <v>341</v>
      </c>
      <c r="X3" s="5" t="s">
        <v>342</v>
      </c>
      <c r="Y3" s="5" t="s">
        <v>343</v>
      </c>
      <c r="Z3" s="5" t="s">
        <v>344</v>
      </c>
      <c r="AA3" s="5" t="s">
        <v>345</v>
      </c>
      <c r="AB3" s="5" t="s">
        <v>346</v>
      </c>
      <c r="AC3" s="5" t="s">
        <v>347</v>
      </c>
      <c r="AD3" s="5" t="s">
        <v>348</v>
      </c>
      <c r="AE3" s="5" t="s">
        <v>349</v>
      </c>
      <c r="AF3" s="5" t="s">
        <v>350</v>
      </c>
      <c r="AG3" s="5" t="s">
        <v>351</v>
      </c>
      <c r="AH3" s="5" t="s">
        <v>352</v>
      </c>
      <c r="AI3" s="5" t="s">
        <v>353</v>
      </c>
      <c r="AJ3" s="5" t="s">
        <v>354</v>
      </c>
      <c r="AK3" s="5" t="s">
        <v>355</v>
      </c>
      <c r="AL3" s="2" t="s">
        <v>356</v>
      </c>
      <c r="AM3" s="2" t="s">
        <v>357</v>
      </c>
      <c r="AN3" s="2" t="s">
        <v>358</v>
      </c>
      <c r="AO3" s="3" t="s">
        <v>359</v>
      </c>
    </row>
    <row r="4" spans="1:44" x14ac:dyDescent="0.25">
      <c r="A4" s="6" t="s">
        <v>4</v>
      </c>
      <c r="B4">
        <v>5</v>
      </c>
      <c r="C4">
        <v>2</v>
      </c>
      <c r="D4">
        <v>8</v>
      </c>
      <c r="E4">
        <v>11</v>
      </c>
      <c r="F4">
        <v>3</v>
      </c>
      <c r="G4">
        <v>5</v>
      </c>
      <c r="H4">
        <v>16</v>
      </c>
      <c r="I4">
        <v>7</v>
      </c>
      <c r="J4">
        <v>5</v>
      </c>
      <c r="K4">
        <v>5</v>
      </c>
      <c r="L4">
        <v>5</v>
      </c>
      <c r="M4">
        <v>9</v>
      </c>
      <c r="N4">
        <v>11</v>
      </c>
      <c r="O4">
        <v>11</v>
      </c>
      <c r="P4">
        <v>1</v>
      </c>
      <c r="Q4">
        <v>14</v>
      </c>
      <c r="R4">
        <v>13</v>
      </c>
      <c r="S4">
        <v>12</v>
      </c>
      <c r="T4">
        <v>4</v>
      </c>
      <c r="U4">
        <v>7</v>
      </c>
      <c r="V4">
        <v>8</v>
      </c>
      <c r="W4">
        <v>7</v>
      </c>
      <c r="X4">
        <v>4</v>
      </c>
      <c r="Y4">
        <v>8</v>
      </c>
      <c r="Z4">
        <v>6</v>
      </c>
      <c r="AA4">
        <v>8</v>
      </c>
      <c r="AB4">
        <v>6</v>
      </c>
      <c r="AC4">
        <v>9</v>
      </c>
      <c r="AD4">
        <v>9</v>
      </c>
      <c r="AE4">
        <v>5</v>
      </c>
      <c r="AF4">
        <v>2</v>
      </c>
      <c r="AG4">
        <v>3</v>
      </c>
      <c r="AH4">
        <v>5</v>
      </c>
      <c r="AI4">
        <v>5</v>
      </c>
      <c r="AJ4">
        <v>2</v>
      </c>
      <c r="AK4">
        <v>4</v>
      </c>
      <c r="AL4">
        <v>9</v>
      </c>
      <c r="AM4">
        <v>2</v>
      </c>
      <c r="AN4">
        <v>3</v>
      </c>
      <c r="AO4">
        <v>5</v>
      </c>
      <c r="AQ4">
        <f>SUM(B4:AO4)</f>
        <v>264</v>
      </c>
      <c r="AR4">
        <f>(AQ4/AQ24)*100</f>
        <v>24.719101123595504</v>
      </c>
    </row>
    <row r="5" spans="1:44" x14ac:dyDescent="0.25">
      <c r="A5" s="6" t="s">
        <v>5</v>
      </c>
      <c r="C5">
        <v>1</v>
      </c>
      <c r="F5">
        <v>1</v>
      </c>
      <c r="W5">
        <v>1</v>
      </c>
      <c r="AG5">
        <v>1</v>
      </c>
      <c r="AH5">
        <v>1</v>
      </c>
      <c r="AL5">
        <v>1</v>
      </c>
      <c r="AQ5">
        <f t="shared" ref="AQ5:AQ23" si="0">SUM(B5:AO5)</f>
        <v>6</v>
      </c>
      <c r="AR5">
        <f>(AQ5/AQ24)*100</f>
        <v>0.5617977528089888</v>
      </c>
    </row>
    <row r="6" spans="1:44" x14ac:dyDescent="0.25">
      <c r="A6" s="6" t="s">
        <v>95</v>
      </c>
      <c r="E6">
        <v>1</v>
      </c>
      <c r="AQ6">
        <f t="shared" si="0"/>
        <v>1</v>
      </c>
      <c r="AR6">
        <f>(AQ6/AQ24)*100</f>
        <v>9.3632958801498134E-2</v>
      </c>
    </row>
    <row r="7" spans="1:44" x14ac:dyDescent="0.25">
      <c r="A7" s="6" t="s">
        <v>6</v>
      </c>
      <c r="C7">
        <v>1</v>
      </c>
      <c r="D7">
        <v>2</v>
      </c>
      <c r="E7">
        <v>3</v>
      </c>
      <c r="F7">
        <v>2</v>
      </c>
      <c r="I7">
        <v>1</v>
      </c>
      <c r="K7">
        <v>1</v>
      </c>
      <c r="N7">
        <v>1</v>
      </c>
      <c r="O7">
        <v>1</v>
      </c>
      <c r="Q7">
        <v>1</v>
      </c>
      <c r="R7">
        <v>2</v>
      </c>
      <c r="S7">
        <v>1</v>
      </c>
      <c r="X7">
        <v>2</v>
      </c>
      <c r="AC7">
        <v>1</v>
      </c>
      <c r="AD7">
        <v>3</v>
      </c>
      <c r="AE7">
        <v>2</v>
      </c>
      <c r="AG7">
        <v>1</v>
      </c>
      <c r="AH7">
        <v>1</v>
      </c>
      <c r="AJ7">
        <v>5</v>
      </c>
      <c r="AL7">
        <v>1</v>
      </c>
      <c r="AN7">
        <v>1</v>
      </c>
      <c r="AO7">
        <v>2</v>
      </c>
      <c r="AQ7">
        <f t="shared" si="0"/>
        <v>35</v>
      </c>
      <c r="AR7">
        <f>(AQ7/AQ24)*100</f>
        <v>3.2771535580524342</v>
      </c>
    </row>
    <row r="8" spans="1:44" x14ac:dyDescent="0.25">
      <c r="A8" s="6" t="s">
        <v>9</v>
      </c>
      <c r="D8">
        <v>1</v>
      </c>
      <c r="O8">
        <v>1</v>
      </c>
      <c r="Q8">
        <v>2</v>
      </c>
      <c r="S8">
        <v>2</v>
      </c>
      <c r="T8">
        <v>1</v>
      </c>
      <c r="W8">
        <v>1</v>
      </c>
      <c r="Y8">
        <v>1</v>
      </c>
      <c r="Z8">
        <v>1</v>
      </c>
      <c r="AG8">
        <v>1</v>
      </c>
      <c r="AH8">
        <v>1</v>
      </c>
      <c r="AQ8">
        <f t="shared" si="0"/>
        <v>12</v>
      </c>
      <c r="AR8">
        <f>(AQ8/AQ24)*100</f>
        <v>1.1235955056179776</v>
      </c>
    </row>
    <row r="9" spans="1:44" x14ac:dyDescent="0.25">
      <c r="A9" s="6" t="s">
        <v>11</v>
      </c>
      <c r="H9">
        <v>1</v>
      </c>
      <c r="J9">
        <v>1</v>
      </c>
      <c r="U9">
        <v>1</v>
      </c>
      <c r="Y9">
        <v>1</v>
      </c>
      <c r="AQ9">
        <f t="shared" si="0"/>
        <v>4</v>
      </c>
      <c r="AR9">
        <f>(AQ9/AQ24)*100</f>
        <v>0.37453183520599254</v>
      </c>
    </row>
    <row r="10" spans="1:44" x14ac:dyDescent="0.25">
      <c r="A10" s="6" t="s">
        <v>18</v>
      </c>
      <c r="V10">
        <v>1</v>
      </c>
      <c r="Y10">
        <v>1</v>
      </c>
      <c r="AC10">
        <v>1</v>
      </c>
      <c r="AN10">
        <v>1</v>
      </c>
      <c r="AQ10">
        <f t="shared" si="0"/>
        <v>4</v>
      </c>
      <c r="AR10">
        <f>(AQ10/AQ24)*100</f>
        <v>0.37453183520599254</v>
      </c>
    </row>
    <row r="11" spans="1:44" x14ac:dyDescent="0.25">
      <c r="A11" s="6" t="s">
        <v>19</v>
      </c>
      <c r="B11">
        <v>4</v>
      </c>
      <c r="C11">
        <v>3</v>
      </c>
      <c r="D11">
        <v>10</v>
      </c>
      <c r="E11">
        <v>23</v>
      </c>
      <c r="F11">
        <v>2</v>
      </c>
      <c r="G11">
        <v>4</v>
      </c>
      <c r="H11">
        <v>6</v>
      </c>
      <c r="I11">
        <v>4</v>
      </c>
      <c r="J11">
        <v>2</v>
      </c>
      <c r="L11">
        <v>1</v>
      </c>
      <c r="N11">
        <v>1</v>
      </c>
      <c r="O11">
        <v>3</v>
      </c>
      <c r="Q11">
        <v>5</v>
      </c>
      <c r="R11">
        <v>2</v>
      </c>
      <c r="S11">
        <v>7</v>
      </c>
      <c r="T11">
        <v>5</v>
      </c>
      <c r="U11">
        <v>1</v>
      </c>
      <c r="V11">
        <v>4</v>
      </c>
      <c r="W11">
        <v>2</v>
      </c>
      <c r="X11">
        <v>5</v>
      </c>
      <c r="Y11">
        <v>3</v>
      </c>
      <c r="Z11">
        <v>3</v>
      </c>
      <c r="AB11">
        <v>8</v>
      </c>
      <c r="AC11">
        <v>6</v>
      </c>
      <c r="AD11">
        <v>4</v>
      </c>
      <c r="AE11">
        <v>2</v>
      </c>
      <c r="AF11">
        <v>2</v>
      </c>
      <c r="AG11">
        <v>5</v>
      </c>
      <c r="AH11">
        <v>2</v>
      </c>
      <c r="AI11">
        <v>3</v>
      </c>
      <c r="AJ11">
        <v>4</v>
      </c>
      <c r="AK11">
        <v>2</v>
      </c>
      <c r="AL11">
        <v>8</v>
      </c>
      <c r="AM11">
        <v>4</v>
      </c>
      <c r="AN11">
        <v>3</v>
      </c>
      <c r="AO11">
        <v>2</v>
      </c>
      <c r="AQ11">
        <f t="shared" si="0"/>
        <v>155</v>
      </c>
      <c r="AR11">
        <f>(AQ11/AQ24)*100</f>
        <v>14.513108614232209</v>
      </c>
    </row>
    <row r="12" spans="1:44" x14ac:dyDescent="0.25">
      <c r="A12" s="6" t="s">
        <v>167</v>
      </c>
      <c r="I12">
        <v>1</v>
      </c>
      <c r="L12">
        <v>1</v>
      </c>
      <c r="T12">
        <v>1</v>
      </c>
      <c r="AI12">
        <v>1</v>
      </c>
      <c r="AL12">
        <v>1</v>
      </c>
      <c r="AQ12">
        <f t="shared" si="0"/>
        <v>5</v>
      </c>
      <c r="AR12">
        <f>(AQ12/AQ24)*100</f>
        <v>0.46816479400749067</v>
      </c>
    </row>
    <row r="13" spans="1:44" x14ac:dyDescent="0.25">
      <c r="A13" s="6" t="s">
        <v>21</v>
      </c>
      <c r="F13">
        <v>1</v>
      </c>
      <c r="X13">
        <v>1</v>
      </c>
      <c r="AQ13">
        <f t="shared" si="0"/>
        <v>2</v>
      </c>
      <c r="AR13">
        <f>(AQ13/AQ24)*100</f>
        <v>0.18726591760299627</v>
      </c>
    </row>
    <row r="14" spans="1:44" x14ac:dyDescent="0.25">
      <c r="A14" s="6" t="s">
        <v>22</v>
      </c>
      <c r="G14">
        <v>1</v>
      </c>
      <c r="J14">
        <v>1</v>
      </c>
      <c r="Q14">
        <v>1</v>
      </c>
      <c r="R14">
        <v>1</v>
      </c>
      <c r="T14">
        <v>1</v>
      </c>
      <c r="AC14">
        <v>2</v>
      </c>
      <c r="AQ14">
        <f t="shared" si="0"/>
        <v>7</v>
      </c>
      <c r="AR14">
        <f>(AQ14/AQ24)*100</f>
        <v>0.65543071161048694</v>
      </c>
    </row>
    <row r="15" spans="1:44" x14ac:dyDescent="0.25">
      <c r="A15" s="6" t="s">
        <v>23</v>
      </c>
      <c r="C15">
        <v>1</v>
      </c>
      <c r="H15">
        <v>1</v>
      </c>
      <c r="P15">
        <v>1</v>
      </c>
      <c r="R15">
        <v>1</v>
      </c>
      <c r="W15">
        <v>1</v>
      </c>
      <c r="AB15">
        <v>1</v>
      </c>
      <c r="AD15">
        <v>1</v>
      </c>
      <c r="AO15">
        <v>1</v>
      </c>
      <c r="AQ15">
        <f t="shared" si="0"/>
        <v>8</v>
      </c>
      <c r="AR15">
        <f>(AQ15/AQ24)*100</f>
        <v>0.74906367041198507</v>
      </c>
    </row>
    <row r="16" spans="1:44" x14ac:dyDescent="0.25">
      <c r="A16" s="6" t="s">
        <v>24</v>
      </c>
      <c r="E16">
        <v>2</v>
      </c>
      <c r="Q16">
        <v>1</v>
      </c>
      <c r="U16">
        <v>2</v>
      </c>
      <c r="Y16">
        <v>1</v>
      </c>
      <c r="Z16">
        <v>1</v>
      </c>
      <c r="AB16">
        <v>1</v>
      </c>
      <c r="AQ16">
        <f t="shared" si="0"/>
        <v>8</v>
      </c>
      <c r="AR16">
        <f>(AQ16/AQ24)*100</f>
        <v>0.74906367041198507</v>
      </c>
    </row>
    <row r="17" spans="1:44" x14ac:dyDescent="0.25">
      <c r="A17" s="6" t="s">
        <v>25</v>
      </c>
      <c r="AK17">
        <v>1</v>
      </c>
      <c r="AQ17">
        <f t="shared" si="0"/>
        <v>1</v>
      </c>
      <c r="AR17">
        <f>(AQ17/AQ24)*100</f>
        <v>9.3632958801498134E-2</v>
      </c>
    </row>
    <row r="18" spans="1:44" x14ac:dyDescent="0.25">
      <c r="A18" s="6" t="s">
        <v>26</v>
      </c>
      <c r="I18">
        <v>1</v>
      </c>
      <c r="J18">
        <v>1</v>
      </c>
      <c r="AD18">
        <v>1</v>
      </c>
      <c r="AQ18">
        <f t="shared" si="0"/>
        <v>3</v>
      </c>
      <c r="AR18">
        <f>(AQ18/AQ24)*100</f>
        <v>0.2808988764044944</v>
      </c>
    </row>
    <row r="19" spans="1:44" x14ac:dyDescent="0.25">
      <c r="A19" s="6" t="s">
        <v>102</v>
      </c>
      <c r="D19">
        <v>1</v>
      </c>
      <c r="M19">
        <v>1</v>
      </c>
      <c r="T19">
        <v>2</v>
      </c>
      <c r="AQ19">
        <f t="shared" si="0"/>
        <v>4</v>
      </c>
      <c r="AR19">
        <f>(AQ19/AQ24)*100</f>
        <v>0.37453183520599254</v>
      </c>
    </row>
    <row r="20" spans="1:44" x14ac:dyDescent="0.25">
      <c r="A20" s="6" t="s">
        <v>32</v>
      </c>
      <c r="B20">
        <v>3</v>
      </c>
      <c r="C20">
        <v>4</v>
      </c>
      <c r="D20">
        <v>27</v>
      </c>
      <c r="E20">
        <v>28</v>
      </c>
      <c r="F20">
        <v>10</v>
      </c>
      <c r="G20">
        <v>9</v>
      </c>
      <c r="H20">
        <v>12</v>
      </c>
      <c r="I20">
        <v>6</v>
      </c>
      <c r="J20">
        <v>5</v>
      </c>
      <c r="K20">
        <v>11</v>
      </c>
      <c r="L20">
        <v>6</v>
      </c>
      <c r="M20">
        <v>6</v>
      </c>
      <c r="N20">
        <v>7</v>
      </c>
      <c r="O20">
        <v>17</v>
      </c>
      <c r="P20">
        <v>10</v>
      </c>
      <c r="Q20">
        <v>16</v>
      </c>
      <c r="R20">
        <v>16</v>
      </c>
      <c r="S20">
        <v>15</v>
      </c>
      <c r="T20">
        <v>8</v>
      </c>
      <c r="U20">
        <v>17</v>
      </c>
      <c r="V20">
        <v>6</v>
      </c>
      <c r="W20">
        <v>14</v>
      </c>
      <c r="X20">
        <v>19</v>
      </c>
      <c r="Y20">
        <v>9</v>
      </c>
      <c r="Z20">
        <v>19</v>
      </c>
      <c r="AA20">
        <v>8</v>
      </c>
      <c r="AB20">
        <v>18</v>
      </c>
      <c r="AC20">
        <v>16</v>
      </c>
      <c r="AD20">
        <v>10</v>
      </c>
      <c r="AE20">
        <v>17</v>
      </c>
      <c r="AF20">
        <v>7</v>
      </c>
      <c r="AG20">
        <v>8</v>
      </c>
      <c r="AH20">
        <v>13</v>
      </c>
      <c r="AI20">
        <v>14</v>
      </c>
      <c r="AJ20">
        <v>7</v>
      </c>
      <c r="AK20">
        <v>12</v>
      </c>
      <c r="AL20">
        <v>10</v>
      </c>
      <c r="AM20">
        <v>10</v>
      </c>
      <c r="AN20">
        <v>10</v>
      </c>
      <c r="AO20">
        <v>5</v>
      </c>
      <c r="AQ20">
        <f t="shared" si="0"/>
        <v>465</v>
      </c>
      <c r="AR20">
        <f>(AQ20/AQ24)*100</f>
        <v>43.539325842696627</v>
      </c>
    </row>
    <row r="21" spans="1:44" x14ac:dyDescent="0.25">
      <c r="A21" s="6" t="s">
        <v>33</v>
      </c>
      <c r="I21">
        <v>1</v>
      </c>
      <c r="M21">
        <v>1</v>
      </c>
      <c r="V21">
        <v>1</v>
      </c>
      <c r="AA21">
        <v>1</v>
      </c>
      <c r="AE21">
        <v>1</v>
      </c>
      <c r="AH21">
        <v>1</v>
      </c>
      <c r="AL21">
        <v>1</v>
      </c>
      <c r="AQ21">
        <f t="shared" si="0"/>
        <v>7</v>
      </c>
      <c r="AR21">
        <f>(AQ21/AQ24)*100</f>
        <v>0.65543071161048694</v>
      </c>
    </row>
    <row r="22" spans="1:44" x14ac:dyDescent="0.25">
      <c r="A22" s="6" t="s">
        <v>37</v>
      </c>
      <c r="E22">
        <v>2</v>
      </c>
      <c r="G22">
        <v>3</v>
      </c>
      <c r="H22">
        <v>3</v>
      </c>
      <c r="I22">
        <v>3</v>
      </c>
      <c r="J22">
        <v>2</v>
      </c>
      <c r="K22">
        <v>1</v>
      </c>
      <c r="L22">
        <v>1</v>
      </c>
      <c r="M22">
        <v>2</v>
      </c>
      <c r="N22">
        <v>1</v>
      </c>
      <c r="O22">
        <v>2</v>
      </c>
      <c r="P22">
        <v>1</v>
      </c>
      <c r="R22">
        <v>3</v>
      </c>
      <c r="S22">
        <v>3</v>
      </c>
      <c r="T22">
        <v>2</v>
      </c>
      <c r="U22">
        <v>2</v>
      </c>
      <c r="V22">
        <v>4</v>
      </c>
      <c r="W22">
        <v>1</v>
      </c>
      <c r="X22">
        <v>3</v>
      </c>
      <c r="Y22">
        <v>4</v>
      </c>
      <c r="Z22">
        <v>4</v>
      </c>
      <c r="AA22">
        <v>3</v>
      </c>
      <c r="AB22">
        <v>1</v>
      </c>
      <c r="AC22">
        <v>2</v>
      </c>
      <c r="AD22">
        <v>1</v>
      </c>
      <c r="AE22">
        <v>2</v>
      </c>
      <c r="AF22">
        <v>2</v>
      </c>
      <c r="AG22">
        <v>1</v>
      </c>
      <c r="AH22">
        <v>3</v>
      </c>
      <c r="AI22">
        <v>2</v>
      </c>
      <c r="AJ22">
        <v>3</v>
      </c>
      <c r="AK22">
        <v>3</v>
      </c>
      <c r="AL22">
        <v>4</v>
      </c>
      <c r="AM22">
        <v>1</v>
      </c>
      <c r="AO22">
        <v>2</v>
      </c>
      <c r="AQ22">
        <f>SUM(B22:AO22)</f>
        <v>77</v>
      </c>
      <c r="AR22">
        <f>(AQ22/AQ24)*100</f>
        <v>7.2097378277153554</v>
      </c>
    </row>
    <row r="23" spans="1:44" x14ac:dyDescent="0.25">
      <c r="A23" s="6"/>
      <c r="AQ23">
        <f t="shared" si="0"/>
        <v>0</v>
      </c>
      <c r="AR23">
        <f>(AQ23/AQ24)*100</f>
        <v>0</v>
      </c>
    </row>
    <row r="24" spans="1:44" x14ac:dyDescent="0.25">
      <c r="A24" s="1" t="s">
        <v>39</v>
      </c>
      <c r="B24" s="2">
        <f t="shared" ref="B24:AO24" si="1">SUM(B4:B23)</f>
        <v>12</v>
      </c>
      <c r="C24" s="2">
        <f t="shared" si="1"/>
        <v>12</v>
      </c>
      <c r="D24" s="2">
        <f t="shared" si="1"/>
        <v>49</v>
      </c>
      <c r="E24" s="2">
        <f t="shared" si="1"/>
        <v>70</v>
      </c>
      <c r="F24" s="2">
        <f t="shared" si="1"/>
        <v>19</v>
      </c>
      <c r="G24" s="2">
        <f t="shared" si="1"/>
        <v>22</v>
      </c>
      <c r="H24" s="2">
        <f t="shared" si="1"/>
        <v>39</v>
      </c>
      <c r="I24" s="2">
        <f t="shared" si="1"/>
        <v>24</v>
      </c>
      <c r="J24" s="2">
        <f t="shared" si="1"/>
        <v>17</v>
      </c>
      <c r="K24" s="2">
        <f t="shared" si="1"/>
        <v>18</v>
      </c>
      <c r="L24" s="2">
        <f t="shared" si="1"/>
        <v>14</v>
      </c>
      <c r="M24" s="2">
        <f t="shared" si="1"/>
        <v>19</v>
      </c>
      <c r="N24" s="2">
        <f t="shared" si="1"/>
        <v>21</v>
      </c>
      <c r="O24" s="2">
        <f t="shared" si="1"/>
        <v>35</v>
      </c>
      <c r="P24" s="2">
        <f t="shared" si="1"/>
        <v>13</v>
      </c>
      <c r="Q24" s="2">
        <f t="shared" si="1"/>
        <v>40</v>
      </c>
      <c r="R24" s="2">
        <f t="shared" si="1"/>
        <v>38</v>
      </c>
      <c r="S24" s="2">
        <f t="shared" si="1"/>
        <v>40</v>
      </c>
      <c r="T24" s="2">
        <f t="shared" si="1"/>
        <v>24</v>
      </c>
      <c r="U24" s="2">
        <f t="shared" si="1"/>
        <v>30</v>
      </c>
      <c r="V24" s="2">
        <f t="shared" si="1"/>
        <v>24</v>
      </c>
      <c r="W24" s="2">
        <f t="shared" si="1"/>
        <v>27</v>
      </c>
      <c r="X24" s="2">
        <f t="shared" si="1"/>
        <v>34</v>
      </c>
      <c r="Y24" s="2">
        <f t="shared" si="1"/>
        <v>28</v>
      </c>
      <c r="Z24" s="2">
        <f t="shared" si="1"/>
        <v>34</v>
      </c>
      <c r="AA24" s="2">
        <f t="shared" si="1"/>
        <v>20</v>
      </c>
      <c r="AB24" s="2">
        <f t="shared" si="1"/>
        <v>35</v>
      </c>
      <c r="AC24" s="2">
        <f t="shared" si="1"/>
        <v>37</v>
      </c>
      <c r="AD24" s="2">
        <f t="shared" si="1"/>
        <v>29</v>
      </c>
      <c r="AE24" s="2">
        <f t="shared" si="1"/>
        <v>29</v>
      </c>
      <c r="AF24" s="2">
        <f t="shared" si="1"/>
        <v>13</v>
      </c>
      <c r="AG24" s="2">
        <f t="shared" si="1"/>
        <v>20</v>
      </c>
      <c r="AH24" s="2">
        <f t="shared" si="1"/>
        <v>27</v>
      </c>
      <c r="AI24" s="2">
        <f t="shared" si="1"/>
        <v>25</v>
      </c>
      <c r="AJ24" s="2">
        <f t="shared" si="1"/>
        <v>21</v>
      </c>
      <c r="AK24" s="2">
        <f t="shared" si="1"/>
        <v>22</v>
      </c>
      <c r="AL24" s="2">
        <f t="shared" si="1"/>
        <v>35</v>
      </c>
      <c r="AM24" s="2">
        <f t="shared" si="1"/>
        <v>17</v>
      </c>
      <c r="AN24" s="2">
        <f t="shared" si="1"/>
        <v>18</v>
      </c>
      <c r="AO24" s="2">
        <f t="shared" si="1"/>
        <v>17</v>
      </c>
      <c r="AQ24">
        <f>SUM(B24:AO24)</f>
        <v>1068</v>
      </c>
      <c r="AR24" s="7">
        <f>SUM(AR4:AR23)</f>
        <v>100</v>
      </c>
    </row>
    <row r="25" spans="1:44" x14ac:dyDescent="0.25">
      <c r="B25">
        <v>12</v>
      </c>
      <c r="C25">
        <v>24</v>
      </c>
      <c r="D25">
        <v>73</v>
      </c>
      <c r="E25">
        <v>143</v>
      </c>
      <c r="F25">
        <v>162</v>
      </c>
      <c r="G25">
        <v>184</v>
      </c>
      <c r="H25">
        <v>223</v>
      </c>
      <c r="I25">
        <v>247</v>
      </c>
      <c r="J25">
        <v>264</v>
      </c>
      <c r="K25">
        <v>282</v>
      </c>
      <c r="L25">
        <v>296</v>
      </c>
      <c r="M25">
        <v>315</v>
      </c>
      <c r="N25">
        <v>336</v>
      </c>
      <c r="O25">
        <v>371</v>
      </c>
      <c r="P25">
        <v>384</v>
      </c>
      <c r="Q25">
        <v>424</v>
      </c>
      <c r="R25">
        <v>462</v>
      </c>
      <c r="S25">
        <v>502</v>
      </c>
      <c r="T25">
        <v>526</v>
      </c>
      <c r="U25">
        <v>556</v>
      </c>
      <c r="V25">
        <v>580</v>
      </c>
      <c r="W25">
        <v>607</v>
      </c>
      <c r="X25">
        <v>641</v>
      </c>
      <c r="Y25">
        <v>669</v>
      </c>
      <c r="Z25">
        <v>703</v>
      </c>
      <c r="AA25">
        <v>723</v>
      </c>
      <c r="AB25">
        <v>758</v>
      </c>
      <c r="AC25">
        <v>795</v>
      </c>
      <c r="AD25">
        <v>824</v>
      </c>
      <c r="AE25">
        <v>853</v>
      </c>
      <c r="AF25">
        <v>866</v>
      </c>
      <c r="AG25">
        <v>886</v>
      </c>
      <c r="AH25">
        <v>913</v>
      </c>
      <c r="AI25">
        <v>938</v>
      </c>
      <c r="AJ25">
        <v>959</v>
      </c>
      <c r="AK25">
        <v>981</v>
      </c>
      <c r="AL25">
        <v>1016</v>
      </c>
      <c r="AM25">
        <v>1033</v>
      </c>
      <c r="AN25">
        <v>1051</v>
      </c>
      <c r="AO25">
        <v>1068</v>
      </c>
    </row>
    <row r="27" spans="1:44" x14ac:dyDescent="0.25">
      <c r="A27" t="s">
        <v>755</v>
      </c>
      <c r="B27">
        <v>3</v>
      </c>
      <c r="C27">
        <v>6</v>
      </c>
      <c r="D27">
        <v>8</v>
      </c>
      <c r="E27">
        <v>11</v>
      </c>
      <c r="F27">
        <v>12</v>
      </c>
      <c r="G27">
        <v>13</v>
      </c>
      <c r="H27">
        <v>14</v>
      </c>
      <c r="I27">
        <v>17</v>
      </c>
      <c r="J27">
        <v>17</v>
      </c>
      <c r="K27">
        <v>17</v>
      </c>
      <c r="L27">
        <v>17</v>
      </c>
      <c r="M27">
        <v>17</v>
      </c>
      <c r="N27">
        <v>17</v>
      </c>
      <c r="O27">
        <v>17</v>
      </c>
      <c r="P27">
        <v>17</v>
      </c>
      <c r="Q27">
        <v>17</v>
      </c>
      <c r="R27">
        <v>17</v>
      </c>
      <c r="S27">
        <v>17</v>
      </c>
      <c r="T27">
        <v>17</v>
      </c>
      <c r="U27">
        <v>17</v>
      </c>
      <c r="V27">
        <v>18</v>
      </c>
      <c r="W27">
        <v>18</v>
      </c>
      <c r="X27">
        <v>18</v>
      </c>
      <c r="Y27">
        <v>18</v>
      </c>
      <c r="Z27">
        <v>18</v>
      </c>
      <c r="AA27">
        <v>18</v>
      </c>
      <c r="AB27">
        <v>18</v>
      </c>
      <c r="AC27">
        <v>18</v>
      </c>
      <c r="AD27">
        <v>18</v>
      </c>
      <c r="AE27">
        <v>18</v>
      </c>
      <c r="AF27">
        <v>18</v>
      </c>
      <c r="AG27">
        <v>18</v>
      </c>
      <c r="AH27">
        <v>18</v>
      </c>
      <c r="AI27">
        <v>18</v>
      </c>
      <c r="AJ27">
        <v>18</v>
      </c>
      <c r="AK27">
        <v>19</v>
      </c>
      <c r="AL27">
        <v>19</v>
      </c>
      <c r="AM27">
        <v>19</v>
      </c>
      <c r="AN27">
        <v>19</v>
      </c>
      <c r="AO27">
        <v>19</v>
      </c>
    </row>
  </sheetData>
  <mergeCells count="3">
    <mergeCell ref="B1:H1"/>
    <mergeCell ref="I1:M1"/>
    <mergeCell ref="N1:AO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workbookViewId="0">
      <selection activeCell="G1" sqref="G1:I1048576"/>
    </sheetView>
  </sheetViews>
  <sheetFormatPr defaultRowHeight="15" x14ac:dyDescent="0.25"/>
  <cols>
    <col min="1" max="1" width="15" style="27" customWidth="1"/>
    <col min="2" max="2" width="13" style="27" customWidth="1"/>
    <col min="4" max="4" width="13.140625" style="27" customWidth="1"/>
    <col min="5" max="5" width="13.42578125" style="27" customWidth="1"/>
    <col min="7" max="7" width="12" style="27" customWidth="1"/>
    <col min="8" max="8" width="12.5703125" style="27" customWidth="1"/>
    <col min="9" max="9" width="14.85546875" style="27" customWidth="1"/>
  </cols>
  <sheetData>
    <row r="1" spans="1:9" x14ac:dyDescent="0.25">
      <c r="A1" s="49" t="s">
        <v>364</v>
      </c>
      <c r="B1" s="49" t="s">
        <v>365</v>
      </c>
      <c r="D1" s="49" t="s">
        <v>373</v>
      </c>
      <c r="E1" s="49" t="s">
        <v>374</v>
      </c>
      <c r="G1" s="49" t="s">
        <v>376</v>
      </c>
      <c r="H1" s="49" t="s">
        <v>377</v>
      </c>
      <c r="I1" s="49" t="s">
        <v>592</v>
      </c>
    </row>
    <row r="2" spans="1:9" x14ac:dyDescent="0.25">
      <c r="A2" s="27" t="s">
        <v>583</v>
      </c>
      <c r="B2" s="27" t="s">
        <v>584</v>
      </c>
      <c r="D2" s="27" t="s">
        <v>587</v>
      </c>
      <c r="E2" s="27" t="s">
        <v>588</v>
      </c>
      <c r="G2" s="27" t="s">
        <v>602</v>
      </c>
      <c r="H2" s="27" t="s">
        <v>609</v>
      </c>
      <c r="I2" s="27" t="s">
        <v>610</v>
      </c>
    </row>
    <row r="3" spans="1:9" x14ac:dyDescent="0.25">
      <c r="A3" s="27" t="s">
        <v>480</v>
      </c>
      <c r="B3" s="27" t="s">
        <v>491</v>
      </c>
      <c r="D3" s="27" t="s">
        <v>546</v>
      </c>
      <c r="E3" s="27" t="s">
        <v>560</v>
      </c>
      <c r="G3" s="27" t="s">
        <v>594</v>
      </c>
      <c r="H3" s="27" t="s">
        <v>608</v>
      </c>
      <c r="I3" s="27" t="s">
        <v>611</v>
      </c>
    </row>
    <row r="4" spans="1:9" x14ac:dyDescent="0.25">
      <c r="A4" s="27" t="s">
        <v>481</v>
      </c>
      <c r="B4" s="27" t="s">
        <v>492</v>
      </c>
      <c r="D4" s="27" t="s">
        <v>547</v>
      </c>
      <c r="E4" s="27" t="s">
        <v>561</v>
      </c>
      <c r="G4" s="27" t="s">
        <v>595</v>
      </c>
      <c r="H4" s="27">
        <v>0</v>
      </c>
      <c r="I4" s="27" t="s">
        <v>612</v>
      </c>
    </row>
    <row r="5" spans="1:9" x14ac:dyDescent="0.25">
      <c r="A5" s="27" t="s">
        <v>482</v>
      </c>
      <c r="B5" s="27" t="s">
        <v>493</v>
      </c>
      <c r="D5" s="27">
        <v>0</v>
      </c>
      <c r="E5" s="27">
        <v>0</v>
      </c>
      <c r="G5" s="27" t="s">
        <v>597</v>
      </c>
      <c r="H5" s="27">
        <v>0</v>
      </c>
      <c r="I5" s="27">
        <v>0</v>
      </c>
    </row>
    <row r="6" spans="1:9" x14ac:dyDescent="0.25">
      <c r="A6" s="27" t="s">
        <v>483</v>
      </c>
      <c r="B6" s="27" t="s">
        <v>494</v>
      </c>
      <c r="D6" s="27" t="s">
        <v>548</v>
      </c>
      <c r="E6" s="27" t="s">
        <v>562</v>
      </c>
      <c r="G6" s="27" t="s">
        <v>596</v>
      </c>
      <c r="H6" s="27" t="s">
        <v>604</v>
      </c>
      <c r="I6" s="27" t="s">
        <v>613</v>
      </c>
    </row>
    <row r="7" spans="1:9" x14ac:dyDescent="0.25">
      <c r="A7" s="27">
        <v>0</v>
      </c>
      <c r="B7" s="27">
        <v>0</v>
      </c>
      <c r="D7" s="27">
        <v>0</v>
      </c>
      <c r="E7" s="27">
        <v>0</v>
      </c>
      <c r="G7" s="27">
        <v>0</v>
      </c>
      <c r="H7" s="27">
        <v>0</v>
      </c>
      <c r="I7" s="27">
        <v>0</v>
      </c>
    </row>
    <row r="8" spans="1:9" x14ac:dyDescent="0.25">
      <c r="A8" s="27">
        <v>0</v>
      </c>
      <c r="B8" s="27" t="s">
        <v>493</v>
      </c>
      <c r="D8" s="27">
        <v>0</v>
      </c>
      <c r="E8" s="27">
        <v>0</v>
      </c>
      <c r="G8" s="27">
        <v>0</v>
      </c>
      <c r="H8" s="27">
        <v>0</v>
      </c>
      <c r="I8" s="27">
        <v>0</v>
      </c>
    </row>
    <row r="9" spans="1:9" x14ac:dyDescent="0.25">
      <c r="A9" s="27" t="s">
        <v>484</v>
      </c>
      <c r="B9" s="27" t="s">
        <v>495</v>
      </c>
      <c r="D9" s="27" t="s">
        <v>549</v>
      </c>
      <c r="E9" s="27" t="s">
        <v>563</v>
      </c>
      <c r="G9" s="27" t="s">
        <v>597</v>
      </c>
      <c r="H9" s="27">
        <v>0</v>
      </c>
      <c r="I9" s="27" t="s">
        <v>614</v>
      </c>
    </row>
    <row r="10" spans="1:9" x14ac:dyDescent="0.25">
      <c r="A10" s="27">
        <v>0</v>
      </c>
      <c r="B10" s="27">
        <v>0</v>
      </c>
      <c r="D10" s="27">
        <v>0</v>
      </c>
      <c r="E10" s="27">
        <v>0</v>
      </c>
      <c r="G10" s="27">
        <v>0</v>
      </c>
      <c r="H10" s="27">
        <v>0</v>
      </c>
      <c r="I10" s="27">
        <v>0</v>
      </c>
    </row>
    <row r="11" spans="1:9" x14ac:dyDescent="0.25">
      <c r="A11" s="27">
        <v>0</v>
      </c>
      <c r="B11" s="27" t="s">
        <v>496</v>
      </c>
      <c r="D11" s="27" t="s">
        <v>550</v>
      </c>
      <c r="E11" s="27">
        <v>0</v>
      </c>
      <c r="G11" s="27" t="s">
        <v>597</v>
      </c>
      <c r="H11" s="27" t="s">
        <v>606</v>
      </c>
      <c r="I11" s="27" t="s">
        <v>615</v>
      </c>
    </row>
    <row r="12" spans="1:9" x14ac:dyDescent="0.25">
      <c r="A12" s="27">
        <v>0</v>
      </c>
      <c r="B12" s="27">
        <v>0</v>
      </c>
      <c r="D12" s="27">
        <v>0</v>
      </c>
      <c r="E12" s="27">
        <v>0</v>
      </c>
      <c r="G12" s="27">
        <v>0</v>
      </c>
      <c r="H12" s="27">
        <v>0</v>
      </c>
      <c r="I12" s="27">
        <v>0</v>
      </c>
    </row>
    <row r="13" spans="1:9" x14ac:dyDescent="0.25">
      <c r="A13" s="27">
        <v>0</v>
      </c>
      <c r="B13" s="27">
        <v>0</v>
      </c>
      <c r="D13" s="27">
        <v>0</v>
      </c>
      <c r="E13" s="27">
        <v>0</v>
      </c>
      <c r="G13" s="27">
        <v>0</v>
      </c>
      <c r="H13" s="27">
        <v>0</v>
      </c>
      <c r="I13" s="27">
        <v>0</v>
      </c>
    </row>
    <row r="14" spans="1:9" x14ac:dyDescent="0.25">
      <c r="A14" s="27">
        <v>0</v>
      </c>
      <c r="B14" s="27">
        <v>0</v>
      </c>
      <c r="D14" s="27">
        <v>0</v>
      </c>
      <c r="E14" s="27">
        <v>0</v>
      </c>
      <c r="G14" s="27">
        <v>0</v>
      </c>
      <c r="H14" s="27">
        <v>0</v>
      </c>
      <c r="I14" s="27">
        <v>0</v>
      </c>
    </row>
    <row r="15" spans="1:9" x14ac:dyDescent="0.25">
      <c r="A15" s="27">
        <v>0</v>
      </c>
      <c r="B15" s="27">
        <v>0</v>
      </c>
      <c r="D15" s="27">
        <v>0</v>
      </c>
      <c r="E15" s="27">
        <v>0</v>
      </c>
      <c r="G15" s="27">
        <v>0</v>
      </c>
      <c r="H15" s="27">
        <v>0</v>
      </c>
      <c r="I15" s="27">
        <v>0</v>
      </c>
    </row>
    <row r="16" spans="1:9" x14ac:dyDescent="0.25">
      <c r="A16" s="27">
        <v>0</v>
      </c>
      <c r="B16" s="27" t="s">
        <v>493</v>
      </c>
      <c r="D16" s="27">
        <v>0</v>
      </c>
      <c r="E16" s="27">
        <v>0</v>
      </c>
      <c r="G16" s="27">
        <v>0</v>
      </c>
      <c r="H16" s="27">
        <v>0</v>
      </c>
      <c r="I16" s="27">
        <v>0</v>
      </c>
    </row>
    <row r="17" spans="1:9" x14ac:dyDescent="0.25">
      <c r="A17" s="27">
        <v>0</v>
      </c>
      <c r="B17" s="27">
        <v>0</v>
      </c>
      <c r="D17" s="27">
        <v>0</v>
      </c>
      <c r="E17" s="27">
        <v>0</v>
      </c>
      <c r="G17" s="27">
        <v>0</v>
      </c>
      <c r="H17" s="27">
        <v>0</v>
      </c>
      <c r="I17" s="27">
        <v>0</v>
      </c>
    </row>
    <row r="18" spans="1:9" x14ac:dyDescent="0.25">
      <c r="A18" s="27" t="s">
        <v>482</v>
      </c>
      <c r="B18" s="27" t="s">
        <v>497</v>
      </c>
      <c r="D18" s="27" t="s">
        <v>551</v>
      </c>
      <c r="E18" s="27">
        <v>0</v>
      </c>
      <c r="G18" s="27">
        <v>0</v>
      </c>
      <c r="H18" s="27">
        <v>0</v>
      </c>
      <c r="I18" s="27">
        <v>0</v>
      </c>
    </row>
    <row r="19" spans="1:9" x14ac:dyDescent="0.25">
      <c r="A19" s="27">
        <v>0</v>
      </c>
      <c r="B19" s="27">
        <v>0</v>
      </c>
      <c r="D19" s="27">
        <v>0</v>
      </c>
      <c r="E19" s="27">
        <v>0</v>
      </c>
      <c r="G19" s="27">
        <v>0</v>
      </c>
      <c r="H19" s="27">
        <v>0</v>
      </c>
      <c r="I19" s="27">
        <v>0</v>
      </c>
    </row>
    <row r="20" spans="1:9" x14ac:dyDescent="0.25">
      <c r="A20" s="27" t="s">
        <v>485</v>
      </c>
      <c r="B20" s="27" t="s">
        <v>498</v>
      </c>
      <c r="D20" s="27" t="s">
        <v>551</v>
      </c>
      <c r="E20" s="27">
        <v>0</v>
      </c>
      <c r="G20" s="27">
        <v>0</v>
      </c>
      <c r="H20" s="27">
        <v>0</v>
      </c>
      <c r="I20" s="27" t="s">
        <v>616</v>
      </c>
    </row>
    <row r="21" spans="1:9" x14ac:dyDescent="0.25">
      <c r="A21" s="27" t="s">
        <v>486</v>
      </c>
      <c r="B21" s="27" t="s">
        <v>499</v>
      </c>
      <c r="D21" s="27" t="s">
        <v>552</v>
      </c>
      <c r="E21" s="27" t="s">
        <v>564</v>
      </c>
      <c r="G21" s="27" t="s">
        <v>598</v>
      </c>
      <c r="H21" s="27" t="s">
        <v>607</v>
      </c>
      <c r="I21" s="27" t="s">
        <v>617</v>
      </c>
    </row>
    <row r="22" spans="1:9" x14ac:dyDescent="0.25">
      <c r="A22" s="27">
        <v>0</v>
      </c>
      <c r="B22" s="27">
        <v>0</v>
      </c>
      <c r="D22" s="27" t="s">
        <v>551</v>
      </c>
      <c r="E22" s="27">
        <v>0</v>
      </c>
      <c r="G22" s="27">
        <v>0</v>
      </c>
      <c r="H22" s="27" t="s">
        <v>604</v>
      </c>
      <c r="I22" s="27" t="s">
        <v>618</v>
      </c>
    </row>
    <row r="23" spans="1:9" x14ac:dyDescent="0.25">
      <c r="A23" s="27" t="s">
        <v>481</v>
      </c>
      <c r="B23" s="27" t="s">
        <v>493</v>
      </c>
      <c r="D23" s="27">
        <v>0</v>
      </c>
      <c r="E23" s="27">
        <v>0</v>
      </c>
      <c r="G23" s="27">
        <v>0</v>
      </c>
      <c r="H23" s="27">
        <v>0</v>
      </c>
      <c r="I23" s="27">
        <v>0</v>
      </c>
    </row>
    <row r="24" spans="1:9" x14ac:dyDescent="0.25">
      <c r="A24" s="27" t="s">
        <v>482</v>
      </c>
      <c r="B24" s="27" t="s">
        <v>500</v>
      </c>
      <c r="D24" s="27" t="s">
        <v>553</v>
      </c>
      <c r="E24" s="27" t="s">
        <v>565</v>
      </c>
      <c r="G24" s="27" t="s">
        <v>597</v>
      </c>
      <c r="H24" s="27">
        <v>0</v>
      </c>
      <c r="I24" s="27" t="s">
        <v>619</v>
      </c>
    </row>
    <row r="25" spans="1:9" x14ac:dyDescent="0.25">
      <c r="A25" s="27">
        <v>0</v>
      </c>
      <c r="B25" s="27" t="s">
        <v>501</v>
      </c>
      <c r="D25" s="27" t="s">
        <v>554</v>
      </c>
      <c r="E25" s="27" t="s">
        <v>566</v>
      </c>
      <c r="G25" s="27" t="s">
        <v>597</v>
      </c>
      <c r="H25" s="27" t="s">
        <v>606</v>
      </c>
      <c r="I25" s="27" t="s">
        <v>620</v>
      </c>
    </row>
    <row r="26" spans="1:9" x14ac:dyDescent="0.25">
      <c r="A26" s="27">
        <v>0</v>
      </c>
      <c r="B26" s="27" t="s">
        <v>502</v>
      </c>
      <c r="D26" s="27" t="s">
        <v>551</v>
      </c>
      <c r="E26" s="27" t="s">
        <v>561</v>
      </c>
      <c r="G26" s="27" t="s">
        <v>595</v>
      </c>
      <c r="H26" s="27">
        <v>0</v>
      </c>
      <c r="I26" s="27" t="s">
        <v>621</v>
      </c>
    </row>
    <row r="27" spans="1:9" x14ac:dyDescent="0.25">
      <c r="A27" s="27" t="s">
        <v>487</v>
      </c>
      <c r="B27" s="27" t="s">
        <v>503</v>
      </c>
      <c r="D27" s="27" t="s">
        <v>555</v>
      </c>
      <c r="E27" s="27" t="s">
        <v>561</v>
      </c>
      <c r="G27" s="27" t="s">
        <v>599</v>
      </c>
      <c r="H27" s="27">
        <v>0</v>
      </c>
      <c r="I27" s="27" t="s">
        <v>621</v>
      </c>
    </row>
    <row r="28" spans="1:9" x14ac:dyDescent="0.25">
      <c r="A28" s="27" t="s">
        <v>490</v>
      </c>
      <c r="B28" s="27" t="s">
        <v>504</v>
      </c>
      <c r="D28" s="27" t="s">
        <v>556</v>
      </c>
      <c r="E28" s="27" t="s">
        <v>561</v>
      </c>
      <c r="G28" s="27">
        <v>0</v>
      </c>
      <c r="H28" s="27">
        <v>0</v>
      </c>
      <c r="I28" s="27" t="s">
        <v>619</v>
      </c>
    </row>
    <row r="29" spans="1:9" x14ac:dyDescent="0.25">
      <c r="A29" s="27">
        <v>0</v>
      </c>
      <c r="B29" s="27" t="s">
        <v>505</v>
      </c>
      <c r="D29" s="27" t="s">
        <v>550</v>
      </c>
      <c r="E29" s="27">
        <v>0</v>
      </c>
      <c r="G29" s="27">
        <v>0</v>
      </c>
      <c r="H29" s="27" t="s">
        <v>604</v>
      </c>
      <c r="I29" s="27" t="s">
        <v>619</v>
      </c>
    </row>
    <row r="30" spans="1:9" x14ac:dyDescent="0.25">
      <c r="A30" s="27">
        <v>0</v>
      </c>
      <c r="B30" s="27" t="s">
        <v>506</v>
      </c>
      <c r="D30" s="27" t="s">
        <v>551</v>
      </c>
      <c r="E30" s="27">
        <v>0</v>
      </c>
      <c r="G30" s="27">
        <v>0</v>
      </c>
      <c r="H30" s="27">
        <v>0</v>
      </c>
    </row>
    <row r="31" spans="1:9" x14ac:dyDescent="0.25">
      <c r="A31" s="27">
        <v>0</v>
      </c>
      <c r="B31" s="27" t="s">
        <v>507</v>
      </c>
      <c r="D31" s="27" t="s">
        <v>550</v>
      </c>
      <c r="E31" s="27" t="s">
        <v>567</v>
      </c>
      <c r="G31" s="27" t="s">
        <v>597</v>
      </c>
      <c r="H31" s="27" t="s">
        <v>606</v>
      </c>
      <c r="I31" s="27" t="s">
        <v>615</v>
      </c>
    </row>
    <row r="32" spans="1:9" x14ac:dyDescent="0.25">
      <c r="A32" s="27">
        <v>0</v>
      </c>
      <c r="B32" s="27">
        <v>0</v>
      </c>
      <c r="D32" s="27">
        <v>0</v>
      </c>
      <c r="E32" s="27">
        <v>0</v>
      </c>
      <c r="G32" s="27">
        <v>0</v>
      </c>
      <c r="H32" s="27">
        <v>0</v>
      </c>
      <c r="I32" s="27">
        <v>0</v>
      </c>
    </row>
    <row r="33" spans="1:9" x14ac:dyDescent="0.25">
      <c r="A33" s="27">
        <v>0</v>
      </c>
      <c r="B33" s="27">
        <v>0</v>
      </c>
      <c r="D33" s="27">
        <v>0</v>
      </c>
      <c r="E33" s="27">
        <v>0</v>
      </c>
      <c r="G33" s="27">
        <v>0</v>
      </c>
      <c r="H33" s="27">
        <v>0</v>
      </c>
      <c r="I33" s="27">
        <v>0</v>
      </c>
    </row>
    <row r="34" spans="1:9" x14ac:dyDescent="0.25">
      <c r="A34" s="27" t="s">
        <v>482</v>
      </c>
      <c r="B34" s="27" t="s">
        <v>508</v>
      </c>
      <c r="D34" s="27" t="s">
        <v>550</v>
      </c>
      <c r="E34" s="27">
        <v>0</v>
      </c>
      <c r="G34" s="27">
        <v>0</v>
      </c>
      <c r="H34" s="27">
        <v>0</v>
      </c>
      <c r="I34" s="27">
        <v>0</v>
      </c>
    </row>
    <row r="35" spans="1:9" x14ac:dyDescent="0.25">
      <c r="A35" s="27">
        <v>0</v>
      </c>
      <c r="B35" s="27">
        <v>0</v>
      </c>
      <c r="D35" s="27">
        <v>0</v>
      </c>
      <c r="E35" s="27">
        <v>0</v>
      </c>
      <c r="G35" s="27">
        <v>0</v>
      </c>
      <c r="H35" s="27">
        <v>0</v>
      </c>
      <c r="I35" s="27">
        <v>0</v>
      </c>
    </row>
    <row r="36" spans="1:9" x14ac:dyDescent="0.25">
      <c r="A36" s="27" t="s">
        <v>488</v>
      </c>
      <c r="B36" s="27" t="s">
        <v>509</v>
      </c>
      <c r="D36" s="27" t="s">
        <v>557</v>
      </c>
      <c r="E36" s="27" t="s">
        <v>568</v>
      </c>
      <c r="G36" s="27" t="s">
        <v>600</v>
      </c>
      <c r="H36" s="27" t="s">
        <v>603</v>
      </c>
      <c r="I36" s="27" t="s">
        <v>622</v>
      </c>
    </row>
    <row r="37" spans="1:9" x14ac:dyDescent="0.25">
      <c r="A37" s="27" t="s">
        <v>481</v>
      </c>
      <c r="B37" s="27" t="s">
        <v>510</v>
      </c>
      <c r="D37" s="27" t="s">
        <v>558</v>
      </c>
      <c r="E37" s="27" t="s">
        <v>567</v>
      </c>
      <c r="G37" s="27">
        <v>0</v>
      </c>
      <c r="H37" s="27" t="s">
        <v>604</v>
      </c>
      <c r="I37" s="27" t="s">
        <v>620</v>
      </c>
    </row>
    <row r="38" spans="1:9" x14ac:dyDescent="0.25">
      <c r="A38" s="27">
        <v>0</v>
      </c>
      <c r="B38" s="27">
        <v>0</v>
      </c>
      <c r="D38" s="27">
        <v>0</v>
      </c>
      <c r="E38" s="27">
        <v>0</v>
      </c>
      <c r="G38" s="27">
        <v>0</v>
      </c>
      <c r="H38" s="27">
        <v>0</v>
      </c>
      <c r="I38" s="27">
        <v>0</v>
      </c>
    </row>
    <row r="39" spans="1:9" x14ac:dyDescent="0.25">
      <c r="A39" s="27">
        <v>0</v>
      </c>
      <c r="B39" s="27">
        <v>0</v>
      </c>
      <c r="D39" s="27">
        <v>0</v>
      </c>
      <c r="E39" s="27">
        <v>0</v>
      </c>
      <c r="G39" s="27">
        <v>0</v>
      </c>
      <c r="H39" s="27">
        <v>0</v>
      </c>
      <c r="I39" s="27">
        <v>0</v>
      </c>
    </row>
    <row r="40" spans="1:9" x14ac:dyDescent="0.25">
      <c r="A40" s="27">
        <v>0</v>
      </c>
      <c r="B40" s="27" t="s">
        <v>511</v>
      </c>
      <c r="D40" s="27">
        <v>0</v>
      </c>
      <c r="E40" s="27">
        <v>0</v>
      </c>
      <c r="G40" s="27">
        <v>0</v>
      </c>
      <c r="H40" s="27">
        <v>0</v>
      </c>
      <c r="I40" s="27">
        <v>0</v>
      </c>
    </row>
    <row r="41" spans="1:9" x14ac:dyDescent="0.25">
      <c r="A41" s="27" t="s">
        <v>489</v>
      </c>
      <c r="B41" s="27" t="s">
        <v>512</v>
      </c>
      <c r="D41" s="27" t="s">
        <v>559</v>
      </c>
      <c r="E41" s="27" t="s">
        <v>569</v>
      </c>
      <c r="G41" s="27" t="s">
        <v>601</v>
      </c>
      <c r="H41" s="27" t="s">
        <v>605</v>
      </c>
      <c r="I41" s="27" t="s">
        <v>623</v>
      </c>
    </row>
    <row r="42" spans="1:9" x14ac:dyDescent="0.25">
      <c r="A42" s="27">
        <v>0</v>
      </c>
      <c r="B42" s="27">
        <v>0</v>
      </c>
      <c r="D42" s="27">
        <v>0</v>
      </c>
      <c r="E42" s="27">
        <v>0</v>
      </c>
      <c r="G42" s="27">
        <v>0</v>
      </c>
      <c r="H42" s="27">
        <v>0</v>
      </c>
      <c r="I42" s="27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49"/>
  <sheetViews>
    <sheetView workbookViewId="0">
      <selection activeCell="D40" sqref="D40"/>
    </sheetView>
  </sheetViews>
  <sheetFormatPr defaultRowHeight="15" x14ac:dyDescent="0.25"/>
  <cols>
    <col min="2" max="2" width="13.5703125" customWidth="1"/>
    <col min="4" max="4" width="12" bestFit="1" customWidth="1"/>
    <col min="19" max="47" width="9.140625" style="68"/>
  </cols>
  <sheetData>
    <row r="1" spans="1:47" x14ac:dyDescent="0.25">
      <c r="T1" s="70" t="s">
        <v>361</v>
      </c>
      <c r="U1" s="70"/>
      <c r="V1" s="70" t="s">
        <v>362</v>
      </c>
      <c r="W1" s="70"/>
      <c r="X1" s="70" t="s">
        <v>363</v>
      </c>
      <c r="Y1" s="70"/>
      <c r="Z1" s="70" t="s">
        <v>627</v>
      </c>
      <c r="AA1" s="70"/>
      <c r="AB1" s="70" t="s">
        <v>366</v>
      </c>
      <c r="AC1" s="70"/>
      <c r="AD1" s="70" t="s">
        <v>367</v>
      </c>
      <c r="AE1" s="70"/>
      <c r="AF1" s="70" t="s">
        <v>368</v>
      </c>
      <c r="AG1" s="70"/>
      <c r="AH1" s="70" t="s">
        <v>369</v>
      </c>
      <c r="AI1" s="70"/>
      <c r="AJ1" s="70" t="s">
        <v>370</v>
      </c>
      <c r="AK1" s="70"/>
      <c r="AL1" s="70" t="s">
        <v>371</v>
      </c>
      <c r="AM1" s="70"/>
      <c r="AN1" s="70" t="s">
        <v>372</v>
      </c>
      <c r="AO1" s="70"/>
      <c r="AP1" s="70" t="s">
        <v>628</v>
      </c>
      <c r="AQ1" s="70"/>
      <c r="AR1" s="70" t="s">
        <v>375</v>
      </c>
      <c r="AS1" s="70"/>
      <c r="AT1" s="70" t="s">
        <v>629</v>
      </c>
      <c r="AU1" s="70"/>
    </row>
    <row r="2" spans="1:47" x14ac:dyDescent="0.25">
      <c r="A2" t="s">
        <v>748</v>
      </c>
      <c r="B2" t="s">
        <v>751</v>
      </c>
      <c r="C2" t="s">
        <v>749</v>
      </c>
      <c r="D2" t="s">
        <v>750</v>
      </c>
      <c r="F2" t="s">
        <v>748</v>
      </c>
      <c r="G2" t="s">
        <v>752</v>
      </c>
      <c r="H2" t="s">
        <v>753</v>
      </c>
      <c r="S2" s="68" t="s">
        <v>384</v>
      </c>
      <c r="T2" s="68" t="s">
        <v>756</v>
      </c>
      <c r="U2" s="68" t="s">
        <v>755</v>
      </c>
      <c r="V2" s="68" t="s">
        <v>756</v>
      </c>
      <c r="W2" s="68" t="s">
        <v>755</v>
      </c>
      <c r="X2" s="68" t="s">
        <v>756</v>
      </c>
      <c r="Y2" s="68" t="s">
        <v>755</v>
      </c>
      <c r="Z2" s="68" t="s">
        <v>756</v>
      </c>
      <c r="AA2" s="68" t="s">
        <v>755</v>
      </c>
      <c r="AB2" s="68" t="s">
        <v>756</v>
      </c>
      <c r="AC2" s="68" t="s">
        <v>755</v>
      </c>
      <c r="AD2" s="68" t="s">
        <v>756</v>
      </c>
      <c r="AE2" s="68" t="s">
        <v>755</v>
      </c>
      <c r="AF2" s="68" t="s">
        <v>756</v>
      </c>
      <c r="AG2" s="68" t="s">
        <v>755</v>
      </c>
      <c r="AH2" s="68" t="s">
        <v>756</v>
      </c>
      <c r="AI2" s="68" t="s">
        <v>755</v>
      </c>
      <c r="AJ2" s="68" t="s">
        <v>756</v>
      </c>
      <c r="AK2" s="68" t="s">
        <v>755</v>
      </c>
      <c r="AL2" s="68" t="s">
        <v>756</v>
      </c>
      <c r="AM2" s="68" t="s">
        <v>755</v>
      </c>
      <c r="AN2" s="68" t="s">
        <v>756</v>
      </c>
      <c r="AO2" s="68" t="s">
        <v>755</v>
      </c>
      <c r="AP2" s="68" t="s">
        <v>756</v>
      </c>
      <c r="AQ2" s="68" t="s">
        <v>755</v>
      </c>
      <c r="AR2" s="68" t="s">
        <v>756</v>
      </c>
      <c r="AS2" s="68" t="s">
        <v>755</v>
      </c>
      <c r="AT2" s="68" t="s">
        <v>756</v>
      </c>
      <c r="AU2" s="68" t="s">
        <v>755</v>
      </c>
    </row>
    <row r="3" spans="1:47" x14ac:dyDescent="0.25">
      <c r="A3" t="s">
        <v>361</v>
      </c>
      <c r="B3">
        <v>23</v>
      </c>
      <c r="C3">
        <v>7</v>
      </c>
      <c r="D3">
        <v>2</v>
      </c>
      <c r="F3" t="s">
        <v>361</v>
      </c>
      <c r="G3">
        <v>16</v>
      </c>
      <c r="H3">
        <v>20</v>
      </c>
      <c r="I3">
        <v>2300</v>
      </c>
      <c r="S3" s="68">
        <v>1</v>
      </c>
      <c r="T3" s="68">
        <v>50</v>
      </c>
      <c r="U3" s="68">
        <v>6</v>
      </c>
      <c r="V3">
        <v>10</v>
      </c>
      <c r="W3">
        <v>5</v>
      </c>
      <c r="X3">
        <v>33</v>
      </c>
      <c r="Y3">
        <v>8</v>
      </c>
      <c r="Z3">
        <v>21</v>
      </c>
      <c r="AA3">
        <v>5</v>
      </c>
      <c r="AB3">
        <v>28</v>
      </c>
      <c r="AC3">
        <v>6</v>
      </c>
      <c r="AD3">
        <v>39</v>
      </c>
      <c r="AE3">
        <v>4</v>
      </c>
      <c r="AF3">
        <v>52</v>
      </c>
      <c r="AG3">
        <v>11</v>
      </c>
      <c r="AH3">
        <v>18</v>
      </c>
      <c r="AI3">
        <v>6</v>
      </c>
      <c r="AJ3">
        <v>19</v>
      </c>
      <c r="AK3">
        <v>5</v>
      </c>
      <c r="AL3">
        <v>15</v>
      </c>
      <c r="AM3">
        <v>6</v>
      </c>
      <c r="AN3">
        <v>21</v>
      </c>
      <c r="AO3">
        <v>6</v>
      </c>
      <c r="AP3">
        <v>27</v>
      </c>
      <c r="AQ3">
        <v>5</v>
      </c>
      <c r="AR3">
        <v>24</v>
      </c>
      <c r="AS3">
        <v>5</v>
      </c>
      <c r="AT3">
        <v>12</v>
      </c>
      <c r="AU3">
        <v>3</v>
      </c>
    </row>
    <row r="4" spans="1:47" x14ac:dyDescent="0.25">
      <c r="A4" s="14" t="s">
        <v>362</v>
      </c>
      <c r="B4" s="14">
        <v>7</v>
      </c>
      <c r="C4" s="14">
        <v>2</v>
      </c>
      <c r="D4" s="14">
        <v>5</v>
      </c>
      <c r="F4" s="14" t="s">
        <v>362</v>
      </c>
      <c r="G4" s="14">
        <v>12</v>
      </c>
      <c r="H4">
        <v>10</v>
      </c>
      <c r="I4">
        <v>720</v>
      </c>
      <c r="S4" s="68">
        <v>2</v>
      </c>
      <c r="T4" s="68">
        <v>69</v>
      </c>
      <c r="U4" s="68">
        <v>8</v>
      </c>
      <c r="V4">
        <v>20</v>
      </c>
      <c r="W4">
        <v>6</v>
      </c>
      <c r="X4">
        <v>43</v>
      </c>
      <c r="Y4">
        <v>10</v>
      </c>
      <c r="Z4">
        <v>42</v>
      </c>
      <c r="AA4">
        <v>6</v>
      </c>
      <c r="AB4">
        <v>37</v>
      </c>
      <c r="AC4">
        <v>7</v>
      </c>
      <c r="AD4">
        <v>76</v>
      </c>
      <c r="AE4">
        <v>7</v>
      </c>
      <c r="AF4">
        <v>79</v>
      </c>
      <c r="AG4">
        <v>11</v>
      </c>
      <c r="AH4">
        <v>32</v>
      </c>
      <c r="AI4">
        <v>7</v>
      </c>
      <c r="AJ4">
        <v>25</v>
      </c>
      <c r="AK4">
        <v>6</v>
      </c>
      <c r="AL4">
        <v>32</v>
      </c>
      <c r="AM4">
        <v>6</v>
      </c>
      <c r="AN4">
        <v>31</v>
      </c>
      <c r="AO4">
        <v>8</v>
      </c>
      <c r="AP4">
        <v>48</v>
      </c>
      <c r="AQ4">
        <v>5</v>
      </c>
      <c r="AR4">
        <v>31</v>
      </c>
      <c r="AS4">
        <v>6</v>
      </c>
      <c r="AT4">
        <v>24</v>
      </c>
      <c r="AU4">
        <v>6</v>
      </c>
    </row>
    <row r="5" spans="1:47" x14ac:dyDescent="0.25">
      <c r="A5" t="s">
        <v>363</v>
      </c>
      <c r="B5">
        <v>16</v>
      </c>
      <c r="C5">
        <v>4</v>
      </c>
      <c r="D5">
        <v>7</v>
      </c>
      <c r="F5" t="s">
        <v>363</v>
      </c>
      <c r="G5">
        <v>15</v>
      </c>
      <c r="H5">
        <v>17</v>
      </c>
      <c r="I5">
        <v>1625</v>
      </c>
      <c r="S5" s="68">
        <v>3</v>
      </c>
      <c r="T5" s="68">
        <v>83</v>
      </c>
      <c r="U5" s="68">
        <v>8</v>
      </c>
      <c r="V5">
        <v>36</v>
      </c>
      <c r="W5">
        <v>7</v>
      </c>
      <c r="X5">
        <v>56</v>
      </c>
      <c r="Y5">
        <v>11</v>
      </c>
      <c r="Z5">
        <v>60</v>
      </c>
      <c r="AA5">
        <v>8</v>
      </c>
      <c r="AB5">
        <v>54</v>
      </c>
      <c r="AC5">
        <v>11</v>
      </c>
      <c r="AD5">
        <v>90</v>
      </c>
      <c r="AE5">
        <v>7</v>
      </c>
      <c r="AF5">
        <v>96</v>
      </c>
      <c r="AG5">
        <v>11</v>
      </c>
      <c r="AH5">
        <v>53</v>
      </c>
      <c r="AI5">
        <v>9</v>
      </c>
      <c r="AJ5">
        <v>55</v>
      </c>
      <c r="AK5">
        <v>6</v>
      </c>
      <c r="AL5">
        <v>83</v>
      </c>
      <c r="AM5">
        <v>6</v>
      </c>
      <c r="AN5">
        <v>50</v>
      </c>
      <c r="AO5">
        <v>9</v>
      </c>
      <c r="AP5">
        <v>73</v>
      </c>
      <c r="AQ5">
        <v>9</v>
      </c>
      <c r="AR5">
        <v>43</v>
      </c>
      <c r="AS5">
        <v>10</v>
      </c>
      <c r="AT5">
        <v>73</v>
      </c>
      <c r="AU5">
        <v>8</v>
      </c>
    </row>
    <row r="6" spans="1:47" x14ac:dyDescent="0.25">
      <c r="A6" t="s">
        <v>627</v>
      </c>
      <c r="B6">
        <v>40</v>
      </c>
      <c r="C6">
        <v>9</v>
      </c>
      <c r="D6">
        <v>1</v>
      </c>
      <c r="F6" t="s">
        <v>627</v>
      </c>
      <c r="G6">
        <v>17</v>
      </c>
      <c r="H6">
        <v>25</v>
      </c>
      <c r="I6">
        <v>12280</v>
      </c>
      <c r="S6" s="68">
        <v>4</v>
      </c>
      <c r="T6" s="68">
        <v>103</v>
      </c>
      <c r="U6" s="68">
        <v>9</v>
      </c>
      <c r="V6">
        <v>47</v>
      </c>
      <c r="W6">
        <v>7</v>
      </c>
      <c r="X6">
        <v>98</v>
      </c>
      <c r="Y6">
        <v>13</v>
      </c>
      <c r="Z6">
        <v>110</v>
      </c>
      <c r="AA6">
        <v>11</v>
      </c>
      <c r="AB6">
        <v>91</v>
      </c>
      <c r="AC6">
        <v>12</v>
      </c>
      <c r="AD6">
        <v>107</v>
      </c>
      <c r="AE6">
        <v>8</v>
      </c>
      <c r="AF6">
        <v>118</v>
      </c>
      <c r="AG6">
        <v>12</v>
      </c>
      <c r="AH6">
        <v>87</v>
      </c>
      <c r="AI6">
        <v>9</v>
      </c>
      <c r="AJ6">
        <v>92</v>
      </c>
      <c r="AK6">
        <v>9</v>
      </c>
      <c r="AL6">
        <v>112</v>
      </c>
      <c r="AM6">
        <v>7</v>
      </c>
      <c r="AN6">
        <v>75</v>
      </c>
      <c r="AO6">
        <v>9</v>
      </c>
      <c r="AP6">
        <v>119</v>
      </c>
      <c r="AQ6">
        <v>11</v>
      </c>
      <c r="AR6">
        <v>62</v>
      </c>
      <c r="AS6">
        <v>10</v>
      </c>
      <c r="AT6">
        <v>143</v>
      </c>
      <c r="AU6">
        <v>11</v>
      </c>
    </row>
    <row r="7" spans="1:47" x14ac:dyDescent="0.25">
      <c r="A7" t="s">
        <v>366</v>
      </c>
      <c r="B7">
        <v>15</v>
      </c>
      <c r="C7">
        <v>6</v>
      </c>
      <c r="D7">
        <v>1</v>
      </c>
      <c r="F7" t="s">
        <v>366</v>
      </c>
      <c r="G7">
        <v>14</v>
      </c>
      <c r="H7">
        <v>18</v>
      </c>
      <c r="I7">
        <v>1500</v>
      </c>
      <c r="S7" s="68">
        <v>5</v>
      </c>
      <c r="T7" s="68">
        <v>135</v>
      </c>
      <c r="U7" s="68">
        <v>10</v>
      </c>
      <c r="V7">
        <v>56</v>
      </c>
      <c r="W7">
        <v>8</v>
      </c>
      <c r="X7">
        <v>113</v>
      </c>
      <c r="Y7">
        <v>14</v>
      </c>
      <c r="Z7">
        <v>163</v>
      </c>
      <c r="AA7">
        <v>14</v>
      </c>
      <c r="AB7">
        <v>114</v>
      </c>
      <c r="AC7">
        <v>12</v>
      </c>
      <c r="AD7">
        <v>123</v>
      </c>
      <c r="AE7">
        <v>8</v>
      </c>
      <c r="AF7">
        <v>137</v>
      </c>
      <c r="AG7">
        <v>13</v>
      </c>
      <c r="AH7">
        <v>115</v>
      </c>
      <c r="AI7">
        <v>10</v>
      </c>
      <c r="AJ7">
        <v>128</v>
      </c>
      <c r="AK7">
        <v>11</v>
      </c>
      <c r="AL7">
        <v>120</v>
      </c>
      <c r="AM7">
        <v>9</v>
      </c>
      <c r="AN7">
        <v>119</v>
      </c>
      <c r="AO7">
        <v>9</v>
      </c>
      <c r="AP7">
        <v>178</v>
      </c>
      <c r="AQ7">
        <v>14</v>
      </c>
      <c r="AR7">
        <v>73</v>
      </c>
      <c r="AS7">
        <v>11</v>
      </c>
      <c r="AT7">
        <v>162</v>
      </c>
      <c r="AU7">
        <v>12</v>
      </c>
    </row>
    <row r="8" spans="1:47" x14ac:dyDescent="0.25">
      <c r="A8" s="14" t="s">
        <v>367</v>
      </c>
      <c r="B8" s="14">
        <v>7</v>
      </c>
      <c r="C8" s="14">
        <v>1</v>
      </c>
      <c r="D8" s="14">
        <v>3</v>
      </c>
      <c r="F8" t="s">
        <v>626</v>
      </c>
      <c r="H8">
        <v>20</v>
      </c>
      <c r="I8">
        <v>15525</v>
      </c>
      <c r="S8" s="68">
        <v>6</v>
      </c>
      <c r="T8" s="68">
        <v>174</v>
      </c>
      <c r="U8" s="68">
        <v>13</v>
      </c>
      <c r="V8">
        <v>64</v>
      </c>
      <c r="W8">
        <v>9</v>
      </c>
      <c r="X8">
        <v>128</v>
      </c>
      <c r="Y8">
        <v>15</v>
      </c>
      <c r="Z8">
        <v>211</v>
      </c>
      <c r="AA8">
        <v>14</v>
      </c>
      <c r="AB8">
        <v>139</v>
      </c>
      <c r="AC8">
        <v>12</v>
      </c>
      <c r="AD8">
        <v>148</v>
      </c>
      <c r="AE8">
        <v>8</v>
      </c>
      <c r="AF8">
        <v>157</v>
      </c>
      <c r="AG8">
        <v>13</v>
      </c>
      <c r="AH8">
        <v>134</v>
      </c>
      <c r="AI8">
        <v>11</v>
      </c>
      <c r="AJ8">
        <v>128</v>
      </c>
      <c r="AK8">
        <v>11</v>
      </c>
      <c r="AL8">
        <v>125</v>
      </c>
      <c r="AM8">
        <v>9</v>
      </c>
      <c r="AN8">
        <v>154</v>
      </c>
      <c r="AO8">
        <v>10</v>
      </c>
      <c r="AP8">
        <v>206</v>
      </c>
      <c r="AQ8">
        <v>16</v>
      </c>
      <c r="AR8">
        <v>84</v>
      </c>
      <c r="AS8">
        <v>12</v>
      </c>
      <c r="AT8">
        <v>184</v>
      </c>
      <c r="AU8">
        <v>13</v>
      </c>
    </row>
    <row r="9" spans="1:47" x14ac:dyDescent="0.25">
      <c r="A9" t="s">
        <v>368</v>
      </c>
      <c r="B9">
        <v>25</v>
      </c>
      <c r="C9">
        <v>7</v>
      </c>
      <c r="D9">
        <v>1</v>
      </c>
      <c r="F9" s="14" t="s">
        <v>367</v>
      </c>
      <c r="G9" s="14">
        <v>12</v>
      </c>
      <c r="H9">
        <v>9</v>
      </c>
      <c r="I9">
        <v>720</v>
      </c>
      <c r="S9" s="68">
        <v>7</v>
      </c>
      <c r="T9" s="68">
        <v>191</v>
      </c>
      <c r="U9" s="68">
        <v>13</v>
      </c>
      <c r="V9">
        <v>69</v>
      </c>
      <c r="W9">
        <v>10</v>
      </c>
      <c r="X9">
        <v>164</v>
      </c>
      <c r="Y9">
        <v>15</v>
      </c>
      <c r="Z9">
        <v>243</v>
      </c>
      <c r="AA9">
        <v>16</v>
      </c>
      <c r="AB9">
        <v>161</v>
      </c>
      <c r="AC9">
        <v>13</v>
      </c>
      <c r="AD9">
        <v>167</v>
      </c>
      <c r="AE9">
        <v>9</v>
      </c>
      <c r="AF9">
        <v>202</v>
      </c>
      <c r="AG9">
        <v>13</v>
      </c>
      <c r="AH9">
        <v>171</v>
      </c>
      <c r="AI9">
        <v>11</v>
      </c>
      <c r="AJ9">
        <v>154</v>
      </c>
      <c r="AK9">
        <v>11</v>
      </c>
      <c r="AL9">
        <v>158</v>
      </c>
      <c r="AM9">
        <v>10</v>
      </c>
      <c r="AN9">
        <v>191</v>
      </c>
      <c r="AO9">
        <v>10</v>
      </c>
      <c r="AP9">
        <v>252</v>
      </c>
      <c r="AQ9">
        <v>18</v>
      </c>
      <c r="AR9">
        <v>102</v>
      </c>
      <c r="AS9">
        <v>13</v>
      </c>
      <c r="AT9">
        <v>223</v>
      </c>
      <c r="AU9">
        <v>14</v>
      </c>
    </row>
    <row r="10" spans="1:47" x14ac:dyDescent="0.25">
      <c r="A10" t="s">
        <v>369</v>
      </c>
      <c r="B10">
        <v>17</v>
      </c>
      <c r="C10">
        <v>5</v>
      </c>
      <c r="D10">
        <v>0</v>
      </c>
      <c r="F10" t="s">
        <v>368</v>
      </c>
      <c r="G10">
        <v>15</v>
      </c>
      <c r="H10">
        <v>22</v>
      </c>
      <c r="I10" s="27">
        <v>2700</v>
      </c>
      <c r="S10" s="68">
        <v>8</v>
      </c>
      <c r="T10" s="68">
        <v>205</v>
      </c>
      <c r="U10" s="68">
        <v>14</v>
      </c>
      <c r="X10">
        <v>184</v>
      </c>
      <c r="Y10">
        <v>15</v>
      </c>
      <c r="Z10">
        <v>343</v>
      </c>
      <c r="AA10">
        <v>18</v>
      </c>
      <c r="AB10">
        <v>189</v>
      </c>
      <c r="AC10">
        <v>14</v>
      </c>
      <c r="AD10"/>
      <c r="AF10">
        <v>238</v>
      </c>
      <c r="AG10">
        <v>14</v>
      </c>
      <c r="AH10">
        <v>205</v>
      </c>
      <c r="AI10">
        <v>12</v>
      </c>
      <c r="AJ10">
        <v>167</v>
      </c>
      <c r="AK10">
        <v>12</v>
      </c>
      <c r="AL10">
        <v>183</v>
      </c>
      <c r="AM10">
        <v>10</v>
      </c>
      <c r="AN10">
        <v>228</v>
      </c>
      <c r="AO10">
        <v>10</v>
      </c>
      <c r="AP10">
        <v>273</v>
      </c>
      <c r="AQ10">
        <v>19</v>
      </c>
      <c r="AR10">
        <v>123</v>
      </c>
      <c r="AS10">
        <v>13</v>
      </c>
      <c r="AT10">
        <v>247</v>
      </c>
      <c r="AU10">
        <v>17</v>
      </c>
    </row>
    <row r="11" spans="1:47" x14ac:dyDescent="0.25">
      <c r="A11" t="s">
        <v>370</v>
      </c>
      <c r="B11">
        <v>30</v>
      </c>
      <c r="C11">
        <v>6</v>
      </c>
      <c r="D11">
        <v>2</v>
      </c>
      <c r="F11" t="s">
        <v>369</v>
      </c>
      <c r="G11">
        <v>12</v>
      </c>
      <c r="H11">
        <v>17</v>
      </c>
      <c r="I11">
        <v>1560</v>
      </c>
      <c r="S11" s="68">
        <v>9</v>
      </c>
      <c r="T11" s="68">
        <v>253</v>
      </c>
      <c r="U11" s="68">
        <v>14</v>
      </c>
      <c r="X11">
        <v>227</v>
      </c>
      <c r="Y11">
        <v>15</v>
      </c>
      <c r="Z11">
        <v>431</v>
      </c>
      <c r="AA11">
        <v>18</v>
      </c>
      <c r="AB11">
        <v>216</v>
      </c>
      <c r="AC11">
        <v>16</v>
      </c>
      <c r="AD11"/>
      <c r="AF11">
        <v>277</v>
      </c>
      <c r="AG11">
        <v>14</v>
      </c>
      <c r="AH11">
        <v>278</v>
      </c>
      <c r="AI11">
        <v>14</v>
      </c>
      <c r="AJ11">
        <v>211</v>
      </c>
      <c r="AK11">
        <v>13</v>
      </c>
      <c r="AL11">
        <v>215</v>
      </c>
      <c r="AM11">
        <v>13</v>
      </c>
      <c r="AN11">
        <v>258</v>
      </c>
      <c r="AO11">
        <v>10</v>
      </c>
      <c r="AP11">
        <v>311</v>
      </c>
      <c r="AQ11">
        <v>19</v>
      </c>
      <c r="AR11">
        <v>134</v>
      </c>
      <c r="AS11">
        <v>15</v>
      </c>
      <c r="AT11">
        <v>264</v>
      </c>
      <c r="AU11">
        <v>17</v>
      </c>
    </row>
    <row r="12" spans="1:47" x14ac:dyDescent="0.25">
      <c r="A12" t="s">
        <v>371</v>
      </c>
      <c r="B12">
        <v>25</v>
      </c>
      <c r="C12">
        <v>9</v>
      </c>
      <c r="D12">
        <v>0</v>
      </c>
      <c r="F12" t="s">
        <v>370</v>
      </c>
      <c r="G12">
        <v>15</v>
      </c>
      <c r="H12">
        <v>19</v>
      </c>
      <c r="I12" s="27">
        <v>14400</v>
      </c>
      <c r="S12" s="68">
        <v>10</v>
      </c>
      <c r="T12" s="68">
        <v>280</v>
      </c>
      <c r="U12" s="68">
        <v>15</v>
      </c>
      <c r="X12">
        <v>256</v>
      </c>
      <c r="Y12">
        <v>15</v>
      </c>
      <c r="Z12">
        <v>532</v>
      </c>
      <c r="AA12">
        <v>19</v>
      </c>
      <c r="AB12">
        <v>239</v>
      </c>
      <c r="AC12">
        <v>16</v>
      </c>
      <c r="AD12"/>
      <c r="AF12">
        <v>319</v>
      </c>
      <c r="AG12">
        <v>15</v>
      </c>
      <c r="AH12">
        <v>334</v>
      </c>
      <c r="AI12">
        <v>16</v>
      </c>
      <c r="AJ12">
        <v>223</v>
      </c>
      <c r="AK12">
        <v>13</v>
      </c>
      <c r="AL12">
        <v>231</v>
      </c>
      <c r="AM12">
        <v>13</v>
      </c>
      <c r="AN12">
        <v>293</v>
      </c>
      <c r="AO12">
        <v>10</v>
      </c>
      <c r="AP12">
        <v>358</v>
      </c>
      <c r="AQ12">
        <v>20</v>
      </c>
      <c r="AR12">
        <v>150</v>
      </c>
      <c r="AS12">
        <v>15</v>
      </c>
      <c r="AT12">
        <v>282</v>
      </c>
      <c r="AU12">
        <v>17</v>
      </c>
    </row>
    <row r="13" spans="1:47" x14ac:dyDescent="0.25">
      <c r="A13" t="s">
        <v>372</v>
      </c>
      <c r="B13">
        <v>30</v>
      </c>
      <c r="C13">
        <v>5</v>
      </c>
      <c r="D13">
        <v>1</v>
      </c>
      <c r="F13" t="s">
        <v>371</v>
      </c>
      <c r="G13">
        <v>10</v>
      </c>
      <c r="H13">
        <v>19</v>
      </c>
      <c r="I13" s="27">
        <v>2600</v>
      </c>
      <c r="S13" s="68">
        <v>11</v>
      </c>
      <c r="T13" s="68">
        <v>294</v>
      </c>
      <c r="U13" s="68">
        <v>17</v>
      </c>
      <c r="X13">
        <v>306</v>
      </c>
      <c r="Y13">
        <v>15</v>
      </c>
      <c r="Z13">
        <v>631</v>
      </c>
      <c r="AA13">
        <v>19</v>
      </c>
      <c r="AB13">
        <v>266</v>
      </c>
      <c r="AC13">
        <v>17</v>
      </c>
      <c r="AD13"/>
      <c r="AF13">
        <v>328</v>
      </c>
      <c r="AG13">
        <v>15</v>
      </c>
      <c r="AH13">
        <v>385</v>
      </c>
      <c r="AI13">
        <v>16</v>
      </c>
      <c r="AJ13">
        <v>240</v>
      </c>
      <c r="AK13">
        <v>14</v>
      </c>
      <c r="AL13">
        <v>235</v>
      </c>
      <c r="AM13">
        <v>13</v>
      </c>
      <c r="AN13">
        <v>314</v>
      </c>
      <c r="AO13">
        <v>10</v>
      </c>
      <c r="AP13">
        <v>399</v>
      </c>
      <c r="AQ13">
        <v>21</v>
      </c>
      <c r="AR13">
        <v>162</v>
      </c>
      <c r="AS13">
        <v>16</v>
      </c>
      <c r="AT13">
        <v>296</v>
      </c>
      <c r="AU13">
        <v>17</v>
      </c>
    </row>
    <row r="14" spans="1:47" x14ac:dyDescent="0.25">
      <c r="A14" t="s">
        <v>628</v>
      </c>
      <c r="B14">
        <v>25</v>
      </c>
      <c r="C14">
        <v>6</v>
      </c>
      <c r="D14">
        <v>0</v>
      </c>
      <c r="F14" t="s">
        <v>372</v>
      </c>
      <c r="G14">
        <v>15</v>
      </c>
      <c r="H14">
        <v>20</v>
      </c>
      <c r="I14" s="27">
        <v>14800</v>
      </c>
      <c r="S14" s="68">
        <v>12</v>
      </c>
      <c r="T14" s="68">
        <v>317</v>
      </c>
      <c r="U14" s="68">
        <v>17</v>
      </c>
      <c r="X14">
        <v>339</v>
      </c>
      <c r="Y14">
        <v>15</v>
      </c>
      <c r="Z14">
        <v>680</v>
      </c>
      <c r="AA14">
        <v>21</v>
      </c>
      <c r="AB14">
        <v>286</v>
      </c>
      <c r="AC14">
        <v>18</v>
      </c>
      <c r="AD14"/>
      <c r="AF14">
        <v>358</v>
      </c>
      <c r="AG14">
        <v>16</v>
      </c>
      <c r="AH14">
        <v>468</v>
      </c>
      <c r="AI14">
        <v>16</v>
      </c>
      <c r="AJ14">
        <v>264</v>
      </c>
      <c r="AK14">
        <v>15</v>
      </c>
      <c r="AL14">
        <v>239</v>
      </c>
      <c r="AM14">
        <v>13</v>
      </c>
      <c r="AN14">
        <v>339</v>
      </c>
      <c r="AO14">
        <v>11</v>
      </c>
      <c r="AP14">
        <v>457</v>
      </c>
      <c r="AQ14">
        <v>21</v>
      </c>
      <c r="AR14">
        <v>183</v>
      </c>
      <c r="AS14">
        <v>16</v>
      </c>
      <c r="AT14">
        <v>315</v>
      </c>
      <c r="AU14">
        <v>17</v>
      </c>
    </row>
    <row r="15" spans="1:47" x14ac:dyDescent="0.25">
      <c r="A15" t="s">
        <v>375</v>
      </c>
      <c r="B15">
        <v>23</v>
      </c>
      <c r="C15">
        <v>8</v>
      </c>
      <c r="D15">
        <v>4</v>
      </c>
      <c r="F15" t="s">
        <v>628</v>
      </c>
      <c r="G15">
        <v>15</v>
      </c>
      <c r="H15">
        <v>21</v>
      </c>
      <c r="I15" s="27">
        <v>9760</v>
      </c>
      <c r="S15" s="68">
        <v>13</v>
      </c>
      <c r="T15" s="68">
        <v>337</v>
      </c>
      <c r="U15" s="68">
        <v>17</v>
      </c>
      <c r="X15">
        <v>348</v>
      </c>
      <c r="Y15">
        <v>15</v>
      </c>
      <c r="Z15">
        <v>743</v>
      </c>
      <c r="AA15">
        <v>21</v>
      </c>
      <c r="AB15">
        <v>301</v>
      </c>
      <c r="AC15">
        <v>18</v>
      </c>
      <c r="AD15"/>
      <c r="AF15">
        <v>387</v>
      </c>
      <c r="AG15">
        <v>16</v>
      </c>
      <c r="AH15">
        <v>512</v>
      </c>
      <c r="AI15">
        <v>16</v>
      </c>
      <c r="AJ15">
        <v>294</v>
      </c>
      <c r="AK15">
        <v>15</v>
      </c>
      <c r="AL15">
        <v>252</v>
      </c>
      <c r="AM15">
        <v>16</v>
      </c>
      <c r="AN15">
        <v>357</v>
      </c>
      <c r="AO15">
        <v>11</v>
      </c>
      <c r="AP15">
        <v>496</v>
      </c>
      <c r="AQ15">
        <v>21</v>
      </c>
      <c r="AR15">
        <v>227</v>
      </c>
      <c r="AS15">
        <v>16</v>
      </c>
      <c r="AT15">
        <v>336</v>
      </c>
      <c r="AU15">
        <v>17</v>
      </c>
    </row>
    <row r="16" spans="1:47" x14ac:dyDescent="0.25">
      <c r="A16" t="s">
        <v>629</v>
      </c>
      <c r="B16">
        <v>40</v>
      </c>
      <c r="C16">
        <v>3</v>
      </c>
      <c r="D16">
        <v>0</v>
      </c>
      <c r="F16" t="s">
        <v>375</v>
      </c>
      <c r="G16">
        <v>14</v>
      </c>
      <c r="H16">
        <v>18</v>
      </c>
      <c r="I16">
        <v>2340</v>
      </c>
      <c r="S16" s="68">
        <v>14</v>
      </c>
      <c r="T16" s="68">
        <v>364</v>
      </c>
      <c r="U16" s="68">
        <v>17</v>
      </c>
      <c r="X16">
        <v>357</v>
      </c>
      <c r="Y16">
        <v>16</v>
      </c>
      <c r="Z16">
        <v>826</v>
      </c>
      <c r="AA16">
        <v>21</v>
      </c>
      <c r="AB16">
        <v>326</v>
      </c>
      <c r="AC16">
        <v>18</v>
      </c>
      <c r="AD16"/>
      <c r="AF16">
        <v>417</v>
      </c>
      <c r="AG16">
        <v>17</v>
      </c>
      <c r="AH16">
        <v>577</v>
      </c>
      <c r="AI16">
        <v>16</v>
      </c>
      <c r="AJ16">
        <v>335</v>
      </c>
      <c r="AK16">
        <v>15</v>
      </c>
      <c r="AL16">
        <v>288</v>
      </c>
      <c r="AM16">
        <v>16</v>
      </c>
      <c r="AN16">
        <v>376</v>
      </c>
      <c r="AO16">
        <v>11</v>
      </c>
      <c r="AP16">
        <v>532</v>
      </c>
      <c r="AQ16">
        <v>21</v>
      </c>
      <c r="AR16">
        <v>248</v>
      </c>
      <c r="AS16">
        <v>16</v>
      </c>
      <c r="AT16">
        <v>371</v>
      </c>
      <c r="AU16">
        <v>17</v>
      </c>
    </row>
    <row r="17" spans="6:47" x14ac:dyDescent="0.25">
      <c r="F17" t="s">
        <v>629</v>
      </c>
      <c r="G17">
        <v>16</v>
      </c>
      <c r="H17">
        <v>19</v>
      </c>
      <c r="I17" s="27">
        <v>12130</v>
      </c>
      <c r="S17" s="68">
        <v>15</v>
      </c>
      <c r="T17" s="68">
        <v>381</v>
      </c>
      <c r="U17" s="68">
        <v>17</v>
      </c>
      <c r="X17">
        <v>385</v>
      </c>
      <c r="Y17">
        <v>17</v>
      </c>
      <c r="Z17">
        <v>908</v>
      </c>
      <c r="AA17">
        <v>21</v>
      </c>
      <c r="AB17">
        <v>360</v>
      </c>
      <c r="AC17">
        <v>18</v>
      </c>
      <c r="AD17"/>
      <c r="AF17">
        <v>446</v>
      </c>
      <c r="AG17">
        <v>17</v>
      </c>
      <c r="AH17">
        <v>630</v>
      </c>
      <c r="AI17">
        <v>17</v>
      </c>
      <c r="AJ17">
        <v>370</v>
      </c>
      <c r="AK17">
        <v>15</v>
      </c>
      <c r="AL17">
        <v>316</v>
      </c>
      <c r="AM17">
        <v>17</v>
      </c>
      <c r="AN17">
        <v>394</v>
      </c>
      <c r="AO17">
        <v>11</v>
      </c>
      <c r="AP17">
        <v>570</v>
      </c>
      <c r="AQ17">
        <v>21</v>
      </c>
      <c r="AR17">
        <v>267</v>
      </c>
      <c r="AS17">
        <v>16</v>
      </c>
      <c r="AT17">
        <v>384</v>
      </c>
      <c r="AU17">
        <v>17</v>
      </c>
    </row>
    <row r="18" spans="6:47" x14ac:dyDescent="0.25">
      <c r="S18" s="68">
        <v>16</v>
      </c>
      <c r="T18" s="68">
        <v>396</v>
      </c>
      <c r="U18" s="68">
        <v>17</v>
      </c>
      <c r="X18">
        <v>394</v>
      </c>
      <c r="Y18">
        <v>17</v>
      </c>
      <c r="Z18">
        <v>932</v>
      </c>
      <c r="AA18">
        <v>21</v>
      </c>
      <c r="AB18"/>
      <c r="AF18">
        <v>469</v>
      </c>
      <c r="AG18">
        <v>17</v>
      </c>
      <c r="AH18">
        <v>648</v>
      </c>
      <c r="AI18">
        <v>17</v>
      </c>
      <c r="AJ18">
        <v>410</v>
      </c>
      <c r="AK18">
        <v>16</v>
      </c>
      <c r="AL18">
        <v>333</v>
      </c>
      <c r="AM18">
        <v>17</v>
      </c>
      <c r="AN18">
        <v>416</v>
      </c>
      <c r="AO18">
        <v>11</v>
      </c>
      <c r="AP18">
        <v>618</v>
      </c>
      <c r="AQ18">
        <v>21</v>
      </c>
      <c r="AR18">
        <v>296</v>
      </c>
      <c r="AS18">
        <v>16</v>
      </c>
      <c r="AT18">
        <v>424</v>
      </c>
      <c r="AU18">
        <v>17</v>
      </c>
    </row>
    <row r="19" spans="6:47" x14ac:dyDescent="0.25">
      <c r="S19" s="68">
        <v>17</v>
      </c>
      <c r="T19" s="68">
        <v>407</v>
      </c>
      <c r="U19" s="68">
        <v>18</v>
      </c>
      <c r="Z19">
        <v>1026</v>
      </c>
      <c r="AA19">
        <v>23</v>
      </c>
      <c r="AB19"/>
      <c r="AF19">
        <v>496</v>
      </c>
      <c r="AG19">
        <v>18</v>
      </c>
      <c r="AH19">
        <v>657</v>
      </c>
      <c r="AI19">
        <v>17</v>
      </c>
      <c r="AJ19">
        <v>431</v>
      </c>
      <c r="AK19">
        <v>16</v>
      </c>
      <c r="AL19">
        <v>355</v>
      </c>
      <c r="AM19">
        <v>17</v>
      </c>
      <c r="AN19">
        <v>434</v>
      </c>
      <c r="AO19">
        <v>11</v>
      </c>
      <c r="AP19">
        <v>651</v>
      </c>
      <c r="AQ19">
        <v>21</v>
      </c>
      <c r="AR19">
        <v>313</v>
      </c>
      <c r="AS19">
        <v>16</v>
      </c>
      <c r="AT19">
        <v>462</v>
      </c>
      <c r="AU19">
        <v>17</v>
      </c>
    </row>
    <row r="20" spans="6:47" x14ac:dyDescent="0.25">
      <c r="S20" s="68">
        <v>18</v>
      </c>
      <c r="T20" s="68">
        <v>441</v>
      </c>
      <c r="U20" s="68">
        <v>20</v>
      </c>
      <c r="Z20">
        <v>1054</v>
      </c>
      <c r="AA20">
        <v>23</v>
      </c>
      <c r="AB20"/>
      <c r="AF20">
        <v>537</v>
      </c>
      <c r="AG20">
        <v>18</v>
      </c>
      <c r="AH20"/>
      <c r="AJ20">
        <v>482</v>
      </c>
      <c r="AK20">
        <v>16</v>
      </c>
      <c r="AL20">
        <v>381</v>
      </c>
      <c r="AM20">
        <v>18</v>
      </c>
      <c r="AN20">
        <v>466</v>
      </c>
      <c r="AO20">
        <v>11</v>
      </c>
      <c r="AP20">
        <v>680</v>
      </c>
      <c r="AQ20">
        <v>21</v>
      </c>
      <c r="AR20">
        <v>334</v>
      </c>
      <c r="AS20">
        <v>16</v>
      </c>
      <c r="AT20">
        <v>502</v>
      </c>
      <c r="AU20">
        <v>17</v>
      </c>
    </row>
    <row r="21" spans="6:47" x14ac:dyDescent="0.25">
      <c r="S21" s="68">
        <v>19</v>
      </c>
      <c r="T21" s="68">
        <v>469</v>
      </c>
      <c r="U21" s="68">
        <v>20</v>
      </c>
      <c r="Z21">
        <v>1125</v>
      </c>
      <c r="AA21">
        <v>23</v>
      </c>
      <c r="AB21"/>
      <c r="AF21">
        <v>571</v>
      </c>
      <c r="AG21">
        <v>18</v>
      </c>
      <c r="AH21"/>
      <c r="AJ21">
        <v>513</v>
      </c>
      <c r="AK21">
        <v>16</v>
      </c>
      <c r="AL21">
        <v>415</v>
      </c>
      <c r="AM21">
        <v>18</v>
      </c>
      <c r="AN21">
        <v>485</v>
      </c>
      <c r="AO21">
        <v>11</v>
      </c>
      <c r="AP21">
        <v>724</v>
      </c>
      <c r="AQ21">
        <v>21</v>
      </c>
      <c r="AR21">
        <v>372</v>
      </c>
      <c r="AS21">
        <v>16</v>
      </c>
      <c r="AT21">
        <v>526</v>
      </c>
      <c r="AU21">
        <v>17</v>
      </c>
    </row>
    <row r="22" spans="6:47" x14ac:dyDescent="0.25">
      <c r="S22" s="68">
        <v>20</v>
      </c>
      <c r="T22" s="68">
        <v>510</v>
      </c>
      <c r="U22" s="68">
        <v>20</v>
      </c>
      <c r="Z22">
        <v>1195</v>
      </c>
      <c r="AA22">
        <v>24</v>
      </c>
      <c r="AB22"/>
      <c r="AF22">
        <v>602</v>
      </c>
      <c r="AG22">
        <v>19</v>
      </c>
      <c r="AH22"/>
      <c r="AJ22">
        <v>550</v>
      </c>
      <c r="AK22">
        <v>18</v>
      </c>
      <c r="AL22">
        <v>460</v>
      </c>
      <c r="AM22">
        <v>18</v>
      </c>
      <c r="AN22">
        <v>543</v>
      </c>
      <c r="AO22">
        <v>15</v>
      </c>
      <c r="AP22">
        <v>759</v>
      </c>
      <c r="AQ22">
        <v>21</v>
      </c>
      <c r="AR22">
        <v>415</v>
      </c>
      <c r="AS22">
        <v>17</v>
      </c>
      <c r="AT22">
        <v>556</v>
      </c>
      <c r="AU22">
        <v>17</v>
      </c>
    </row>
    <row r="23" spans="6:47" x14ac:dyDescent="0.25">
      <c r="S23" s="68">
        <v>21</v>
      </c>
      <c r="T23" s="68">
        <v>535</v>
      </c>
      <c r="U23" s="68">
        <v>20</v>
      </c>
      <c r="Z23">
        <v>1227</v>
      </c>
      <c r="AA23">
        <v>24</v>
      </c>
      <c r="AB23"/>
      <c r="AF23">
        <v>627</v>
      </c>
      <c r="AG23">
        <v>19</v>
      </c>
      <c r="AH23"/>
      <c r="AJ23">
        <v>581</v>
      </c>
      <c r="AK23">
        <v>18</v>
      </c>
      <c r="AL23">
        <v>488</v>
      </c>
      <c r="AM23">
        <v>18</v>
      </c>
      <c r="AN23">
        <v>582</v>
      </c>
      <c r="AO23">
        <v>15</v>
      </c>
      <c r="AP23">
        <v>808</v>
      </c>
      <c r="AQ23">
        <v>21</v>
      </c>
      <c r="AR23">
        <v>462</v>
      </c>
      <c r="AS23">
        <v>18</v>
      </c>
      <c r="AT23">
        <v>580</v>
      </c>
      <c r="AU23">
        <v>18</v>
      </c>
    </row>
    <row r="24" spans="6:47" x14ac:dyDescent="0.25">
      <c r="S24" s="68">
        <v>22</v>
      </c>
      <c r="T24" s="68">
        <v>552</v>
      </c>
      <c r="U24" s="68">
        <v>20</v>
      </c>
      <c r="Z24">
        <v>1284</v>
      </c>
      <c r="AA24">
        <v>24</v>
      </c>
      <c r="AB24"/>
      <c r="AF24">
        <v>653</v>
      </c>
      <c r="AG24">
        <v>19</v>
      </c>
      <c r="AH24"/>
      <c r="AJ24">
        <v>593</v>
      </c>
      <c r="AK24">
        <v>19</v>
      </c>
      <c r="AL24">
        <v>512</v>
      </c>
      <c r="AM24">
        <v>18</v>
      </c>
      <c r="AN24">
        <v>636</v>
      </c>
      <c r="AO24">
        <v>15</v>
      </c>
      <c r="AP24">
        <v>834</v>
      </c>
      <c r="AQ24">
        <v>21</v>
      </c>
      <c r="AR24">
        <v>495</v>
      </c>
      <c r="AS24">
        <v>18</v>
      </c>
      <c r="AT24">
        <v>607</v>
      </c>
      <c r="AU24">
        <v>18</v>
      </c>
    </row>
    <row r="25" spans="6:47" x14ac:dyDescent="0.25">
      <c r="S25" s="68">
        <v>23</v>
      </c>
      <c r="T25" s="68">
        <v>563</v>
      </c>
      <c r="U25" s="68">
        <v>20</v>
      </c>
      <c r="Z25">
        <v>1336</v>
      </c>
      <c r="AA25">
        <v>24</v>
      </c>
      <c r="AB25"/>
      <c r="AF25">
        <v>675</v>
      </c>
      <c r="AG25">
        <v>20</v>
      </c>
      <c r="AH25"/>
      <c r="AJ25">
        <v>606</v>
      </c>
      <c r="AK25">
        <v>19</v>
      </c>
      <c r="AL25">
        <v>536</v>
      </c>
      <c r="AM25">
        <v>18</v>
      </c>
      <c r="AN25">
        <v>663</v>
      </c>
      <c r="AO25">
        <v>15</v>
      </c>
      <c r="AP25">
        <v>860</v>
      </c>
      <c r="AQ25">
        <v>21</v>
      </c>
      <c r="AR25">
        <v>544</v>
      </c>
      <c r="AS25">
        <v>18</v>
      </c>
      <c r="AT25">
        <v>641</v>
      </c>
      <c r="AU25">
        <v>18</v>
      </c>
    </row>
    <row r="26" spans="6:47" x14ac:dyDescent="0.25">
      <c r="S26" s="68">
        <v>24</v>
      </c>
      <c r="Z26">
        <v>1365</v>
      </c>
      <c r="AA26">
        <v>24</v>
      </c>
      <c r="AB26"/>
      <c r="AF26">
        <v>708</v>
      </c>
      <c r="AG26">
        <v>21</v>
      </c>
      <c r="AH26"/>
      <c r="AJ26">
        <v>614</v>
      </c>
      <c r="AK26">
        <v>19</v>
      </c>
      <c r="AL26">
        <v>590</v>
      </c>
      <c r="AM26">
        <v>18</v>
      </c>
      <c r="AN26">
        <v>702</v>
      </c>
      <c r="AO26">
        <v>16</v>
      </c>
      <c r="AP26">
        <v>868</v>
      </c>
      <c r="AQ26">
        <v>21</v>
      </c>
      <c r="AR26"/>
      <c r="AT26">
        <v>669</v>
      </c>
      <c r="AU26">
        <v>18</v>
      </c>
    </row>
    <row r="27" spans="6:47" x14ac:dyDescent="0.25">
      <c r="S27" s="68">
        <v>25</v>
      </c>
      <c r="Z27">
        <v>1388</v>
      </c>
      <c r="AA27">
        <v>25</v>
      </c>
      <c r="AB27"/>
      <c r="AF27">
        <v>741</v>
      </c>
      <c r="AG27">
        <v>21</v>
      </c>
      <c r="AH27"/>
      <c r="AJ27">
        <v>648</v>
      </c>
      <c r="AK27">
        <v>19</v>
      </c>
      <c r="AL27">
        <v>619</v>
      </c>
      <c r="AM27">
        <v>19</v>
      </c>
      <c r="AN27">
        <v>721</v>
      </c>
      <c r="AO27">
        <v>16</v>
      </c>
      <c r="AP27">
        <v>883</v>
      </c>
      <c r="AQ27">
        <v>21</v>
      </c>
      <c r="AR27"/>
      <c r="AT27">
        <v>703</v>
      </c>
      <c r="AU27">
        <v>18</v>
      </c>
    </row>
    <row r="28" spans="6:47" x14ac:dyDescent="0.25">
      <c r="S28" s="68">
        <v>26</v>
      </c>
      <c r="Z28">
        <v>1418</v>
      </c>
      <c r="AA28">
        <v>25</v>
      </c>
      <c r="AB28"/>
      <c r="AJ28">
        <v>660</v>
      </c>
      <c r="AK28">
        <v>19</v>
      </c>
      <c r="AL28"/>
      <c r="AN28">
        <v>759</v>
      </c>
      <c r="AO28">
        <v>18</v>
      </c>
      <c r="AP28"/>
      <c r="AT28">
        <v>723</v>
      </c>
      <c r="AU28">
        <v>18</v>
      </c>
    </row>
    <row r="29" spans="6:47" x14ac:dyDescent="0.25">
      <c r="S29" s="68">
        <v>27</v>
      </c>
      <c r="Z29">
        <v>1473</v>
      </c>
      <c r="AA29">
        <v>25</v>
      </c>
      <c r="AB29"/>
      <c r="AJ29">
        <v>664</v>
      </c>
      <c r="AK29">
        <v>19</v>
      </c>
      <c r="AL29"/>
      <c r="AN29">
        <v>795</v>
      </c>
      <c r="AO29">
        <v>18</v>
      </c>
      <c r="AP29"/>
      <c r="AT29">
        <v>758</v>
      </c>
      <c r="AU29">
        <v>18</v>
      </c>
    </row>
    <row r="30" spans="6:47" x14ac:dyDescent="0.25">
      <c r="S30" s="68">
        <v>28</v>
      </c>
      <c r="Z30">
        <v>1539</v>
      </c>
      <c r="AA30">
        <v>25</v>
      </c>
      <c r="AB30"/>
      <c r="AJ30">
        <v>667</v>
      </c>
      <c r="AK30">
        <v>19</v>
      </c>
      <c r="AL30"/>
      <c r="AN30">
        <v>826</v>
      </c>
      <c r="AO30">
        <v>19</v>
      </c>
      <c r="AP30"/>
      <c r="AT30">
        <v>795</v>
      </c>
      <c r="AU30">
        <v>18</v>
      </c>
    </row>
    <row r="31" spans="6:47" x14ac:dyDescent="0.25">
      <c r="S31" s="68">
        <v>29</v>
      </c>
      <c r="Z31">
        <v>1564</v>
      </c>
      <c r="AA31">
        <v>25</v>
      </c>
      <c r="AB31"/>
      <c r="AJ31">
        <v>670</v>
      </c>
      <c r="AK31">
        <v>19</v>
      </c>
      <c r="AL31"/>
      <c r="AN31">
        <v>868</v>
      </c>
      <c r="AO31">
        <v>20</v>
      </c>
      <c r="AP31"/>
      <c r="AT31">
        <v>824</v>
      </c>
      <c r="AU31">
        <v>18</v>
      </c>
    </row>
    <row r="32" spans="6:47" x14ac:dyDescent="0.25">
      <c r="S32" s="68">
        <v>30</v>
      </c>
      <c r="Z32">
        <v>1591</v>
      </c>
      <c r="AA32">
        <v>25</v>
      </c>
      <c r="AB32"/>
      <c r="AJ32">
        <v>676</v>
      </c>
      <c r="AK32">
        <v>19</v>
      </c>
      <c r="AL32"/>
      <c r="AN32">
        <v>919</v>
      </c>
      <c r="AO32">
        <v>20</v>
      </c>
      <c r="AP32"/>
      <c r="AT32">
        <v>853</v>
      </c>
      <c r="AU32">
        <v>18</v>
      </c>
    </row>
    <row r="33" spans="2:47" x14ac:dyDescent="0.25">
      <c r="S33" s="68">
        <v>31</v>
      </c>
      <c r="Z33">
        <v>1604</v>
      </c>
      <c r="AA33">
        <v>25</v>
      </c>
      <c r="AB33"/>
      <c r="AT33">
        <v>866</v>
      </c>
      <c r="AU33">
        <v>18</v>
      </c>
    </row>
    <row r="34" spans="2:47" x14ac:dyDescent="0.25">
      <c r="S34" s="68">
        <v>32</v>
      </c>
      <c r="Z34">
        <v>1660</v>
      </c>
      <c r="AA34">
        <v>25</v>
      </c>
      <c r="AB34"/>
      <c r="AT34">
        <v>886</v>
      </c>
      <c r="AU34">
        <v>18</v>
      </c>
    </row>
    <row r="35" spans="2:47" x14ac:dyDescent="0.25">
      <c r="S35" s="68">
        <v>33</v>
      </c>
      <c r="Z35">
        <v>1697</v>
      </c>
      <c r="AA35">
        <v>25</v>
      </c>
      <c r="AB35"/>
      <c r="AT35">
        <v>913</v>
      </c>
      <c r="AU35">
        <v>18</v>
      </c>
    </row>
    <row r="36" spans="2:47" x14ac:dyDescent="0.25">
      <c r="S36" s="68">
        <v>34</v>
      </c>
      <c r="Z36">
        <v>1722</v>
      </c>
      <c r="AA36">
        <v>25</v>
      </c>
      <c r="AB36"/>
      <c r="AT36">
        <v>938</v>
      </c>
      <c r="AU36">
        <v>18</v>
      </c>
    </row>
    <row r="37" spans="2:47" x14ac:dyDescent="0.25">
      <c r="S37" s="68">
        <v>35</v>
      </c>
      <c r="Z37">
        <v>1764</v>
      </c>
      <c r="AA37">
        <v>25</v>
      </c>
      <c r="AB37"/>
      <c r="AT37">
        <v>959</v>
      </c>
      <c r="AU37">
        <v>18</v>
      </c>
    </row>
    <row r="38" spans="2:47" x14ac:dyDescent="0.25">
      <c r="S38" s="68">
        <v>36</v>
      </c>
      <c r="Z38">
        <v>1810</v>
      </c>
      <c r="AA38">
        <v>25</v>
      </c>
      <c r="AB38"/>
      <c r="AT38">
        <v>981</v>
      </c>
      <c r="AU38">
        <v>19</v>
      </c>
    </row>
    <row r="39" spans="2:47" x14ac:dyDescent="0.25">
      <c r="S39" s="68">
        <v>37</v>
      </c>
      <c r="Z39">
        <v>1840</v>
      </c>
      <c r="AA39">
        <v>25</v>
      </c>
      <c r="AB39"/>
      <c r="AT39">
        <v>1016</v>
      </c>
      <c r="AU39">
        <v>19</v>
      </c>
    </row>
    <row r="40" spans="2:47" x14ac:dyDescent="0.25">
      <c r="S40" s="68">
        <v>38</v>
      </c>
      <c r="Z40">
        <v>1873</v>
      </c>
      <c r="AA40">
        <v>25</v>
      </c>
      <c r="AB40"/>
      <c r="AT40">
        <v>1033</v>
      </c>
      <c r="AU40">
        <v>19</v>
      </c>
    </row>
    <row r="41" spans="2:47" x14ac:dyDescent="0.25">
      <c r="S41" s="68">
        <v>39</v>
      </c>
      <c r="Z41">
        <v>1921</v>
      </c>
      <c r="AA41">
        <v>25</v>
      </c>
      <c r="AB41"/>
      <c r="AT41">
        <v>1051</v>
      </c>
      <c r="AU41">
        <v>19</v>
      </c>
    </row>
    <row r="42" spans="2:47" x14ac:dyDescent="0.25">
      <c r="B42" s="27"/>
      <c r="S42" s="68">
        <v>40</v>
      </c>
      <c r="Z42">
        <v>1937</v>
      </c>
      <c r="AA42">
        <v>25</v>
      </c>
      <c r="AB42"/>
      <c r="AT42">
        <v>1068</v>
      </c>
      <c r="AU42">
        <v>19</v>
      </c>
    </row>
    <row r="44" spans="2:47" x14ac:dyDescent="0.25">
      <c r="B44" s="27"/>
    </row>
    <row r="45" spans="2:47" x14ac:dyDescent="0.25">
      <c r="B45" s="27"/>
    </row>
    <row r="46" spans="2:47" x14ac:dyDescent="0.25">
      <c r="B46" s="27"/>
    </row>
    <row r="47" spans="2:47" x14ac:dyDescent="0.25">
      <c r="B47" s="27"/>
    </row>
    <row r="48" spans="2:47" x14ac:dyDescent="0.25">
      <c r="P48">
        <v>50</v>
      </c>
    </row>
    <row r="49" spans="2:2" x14ac:dyDescent="0.25">
      <c r="B49" s="27"/>
    </row>
  </sheetData>
  <mergeCells count="14">
    <mergeCell ref="AR1:AS1"/>
    <mergeCell ref="AT1:AU1"/>
    <mergeCell ref="AF1:AG1"/>
    <mergeCell ref="AH1:AI1"/>
    <mergeCell ref="AJ1:AK1"/>
    <mergeCell ref="AL1:AM1"/>
    <mergeCell ref="AN1:AO1"/>
    <mergeCell ref="AP1:AQ1"/>
    <mergeCell ref="AD1:AE1"/>
    <mergeCell ref="T1:U1"/>
    <mergeCell ref="V1:W1"/>
    <mergeCell ref="X1:Y1"/>
    <mergeCell ref="Z1:AA1"/>
    <mergeCell ref="AB1:AC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Bed (Quantitative) Data</vt:lpstr>
      <vt:lpstr>Measurements</vt:lpstr>
      <vt:lpstr>Summary Stats (Beds)</vt:lpstr>
      <vt:lpstr>Summary Stats (Species)</vt:lpstr>
      <vt:lpstr>Population Stats</vt:lpstr>
      <vt:lpstr>Population Equation</vt:lpstr>
      <vt:lpstr>FieldID#13-14</vt:lpstr>
      <vt:lpstr>FieldID#13-15</vt:lpstr>
      <vt:lpstr>FieldID#13-18</vt:lpstr>
      <vt:lpstr> FieldID#13-20 </vt:lpstr>
      <vt:lpstr>FieldID#13-21</vt:lpstr>
      <vt:lpstr>FieldID#13-28</vt:lpstr>
      <vt:lpstr>FieldID#13-29</vt:lpstr>
      <vt:lpstr>FieldID#13-31</vt:lpstr>
      <vt:lpstr>FieldID#13-36</vt:lpstr>
      <vt:lpstr>FieldID#13-39</vt:lpstr>
      <vt:lpstr>FieldID#13-48</vt:lpstr>
      <vt:lpstr>FieldID#13-49</vt:lpstr>
      <vt:lpstr>FieldID#13-50</vt:lpstr>
      <vt:lpstr>FieldID#13-53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 Furr</dc:creator>
  <cp:lastModifiedBy>cdavidson</cp:lastModifiedBy>
  <dcterms:created xsi:type="dcterms:W3CDTF">2016-12-05T13:19:15Z</dcterms:created>
  <dcterms:modified xsi:type="dcterms:W3CDTF">2019-02-13T19:07:54Z</dcterms:modified>
</cp:coreProperties>
</file>