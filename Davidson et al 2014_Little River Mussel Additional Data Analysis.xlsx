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oimspp-my.sharepoint.com/personal/chris_davidson_fws_gov/Documents/Desktop/"/>
    </mc:Choice>
  </mc:AlternateContent>
  <xr:revisionPtr revIDLastSave="7" documentId="8_{BB65F105-09E1-4832-B9FE-51AC160779B0}" xr6:coauthVersionLast="47" xr6:coauthVersionMax="47" xr10:uidLastSave="{168B305C-5960-44B8-92A4-1E705AAA6E8A}"/>
  <bookViews>
    <workbookView xWindow="-120" yWindow="-120" windowWidth="29040" windowHeight="17520" firstSheet="2" activeTab="2" xr2:uid="{00000000-000D-0000-FFFF-FFFF00000000}"/>
  </bookViews>
  <sheets>
    <sheet name="Mussel Data" sheetId="1" r:id="rId1"/>
    <sheet name="Site Data" sheetId="7" r:id="rId2"/>
    <sheet name="Raw Data Figure x" sheetId="4" r:id="rId3"/>
    <sheet name="Raw Data Figure xx" sheetId="9" r:id="rId4"/>
    <sheet name="Raw Data Figure xxx" sheetId="8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A51" i="1" l="1"/>
  <c r="AX51" i="1"/>
  <c r="AW51" i="1"/>
  <c r="AS51" i="1"/>
  <c r="AP51" i="1"/>
  <c r="AN51" i="1"/>
  <c r="AJ51" i="1"/>
  <c r="R51" i="1"/>
  <c r="K51" i="1"/>
  <c r="BN57" i="1"/>
  <c r="BM57" i="1"/>
  <c r="BO47" i="1" s="1"/>
  <c r="F51" i="1"/>
  <c r="BO12" i="1" l="1"/>
  <c r="BO36" i="1"/>
  <c r="BO26" i="1"/>
  <c r="BO4" i="1"/>
  <c r="BO30" i="1"/>
  <c r="BO14" i="1"/>
  <c r="BO38" i="1"/>
  <c r="BO24" i="1"/>
  <c r="BO28" i="1"/>
  <c r="BO6" i="1"/>
  <c r="BO8" i="1"/>
  <c r="BO32" i="1"/>
  <c r="BO10" i="1"/>
  <c r="BO34" i="1"/>
  <c r="BO16" i="1"/>
  <c r="BO40" i="1"/>
  <c r="BO18" i="1"/>
  <c r="BO42" i="1"/>
  <c r="BO20" i="1"/>
  <c r="BO44" i="1"/>
  <c r="BO22" i="1"/>
  <c r="BO46" i="1"/>
  <c r="BO5" i="1"/>
  <c r="BO9" i="1"/>
  <c r="BO13" i="1"/>
  <c r="BO17" i="1"/>
  <c r="BO21" i="1"/>
  <c r="BO25" i="1"/>
  <c r="BO29" i="1"/>
  <c r="BO33" i="1"/>
  <c r="BO37" i="1"/>
  <c r="BO41" i="1"/>
  <c r="BO45" i="1"/>
  <c r="BO3" i="1"/>
  <c r="BO7" i="1"/>
  <c r="BO11" i="1"/>
  <c r="BO15" i="1"/>
  <c r="BO19" i="1"/>
  <c r="BO23" i="1"/>
  <c r="BO27" i="1"/>
  <c r="BO31" i="1"/>
  <c r="BO35" i="1"/>
  <c r="BO39" i="1"/>
  <c r="BO43" i="1"/>
  <c r="BJ51" i="1"/>
  <c r="BI51" i="1"/>
  <c r="BH51" i="1"/>
  <c r="BG51" i="1"/>
  <c r="BE51" i="1"/>
  <c r="BC51" i="1"/>
  <c r="AZ51" i="1"/>
  <c r="BB51" i="1"/>
  <c r="AY51" i="1"/>
  <c r="BO57" i="1" l="1"/>
  <c r="AV51" i="1"/>
  <c r="AU51" i="1"/>
  <c r="AT51" i="1"/>
  <c r="AR51" i="1"/>
  <c r="AQ51" i="1"/>
  <c r="AM51" i="1"/>
  <c r="AI51" i="1"/>
  <c r="AH51" i="1"/>
  <c r="AG51" i="1"/>
  <c r="AF51" i="1"/>
  <c r="AE51" i="1"/>
  <c r="AD51" i="1"/>
  <c r="AC51" i="1"/>
  <c r="AB51" i="1"/>
  <c r="AA51" i="1"/>
  <c r="Z51" i="1"/>
  <c r="Y51" i="1"/>
  <c r="U51" i="1"/>
  <c r="S51" i="1"/>
  <c r="P51" i="1"/>
  <c r="O51" i="1"/>
  <c r="L51" i="1"/>
  <c r="J51" i="1"/>
  <c r="I51" i="1"/>
  <c r="H51" i="1"/>
  <c r="G51" i="1"/>
  <c r="E51" i="1"/>
  <c r="D51" i="1"/>
  <c r="C51" i="1"/>
  <c r="B51" i="1"/>
  <c r="A10" i="4"/>
  <c r="A7" i="4"/>
  <c r="A4" i="4"/>
  <c r="AK51" i="1" l="1"/>
  <c r="AL51" i="1"/>
  <c r="T51" i="1"/>
  <c r="V51" i="1"/>
  <c r="W51" i="1"/>
  <c r="M51" i="1"/>
  <c r="Q51" i="1"/>
  <c r="X50" i="1" l="1"/>
  <c r="X51" i="1" s="1"/>
  <c r="N49" i="1"/>
  <c r="N51" i="1" s="1"/>
</calcChain>
</file>

<file path=xl/sharedStrings.xml><?xml version="1.0" encoding="utf-8"?>
<sst xmlns="http://schemas.openxmlformats.org/spreadsheetml/2006/main" count="921" uniqueCount="325">
  <si>
    <t>Site</t>
  </si>
  <si>
    <t>LR 09091302</t>
  </si>
  <si>
    <t>LR 09091303</t>
  </si>
  <si>
    <t>LR 09091304</t>
  </si>
  <si>
    <t>LR 09091305</t>
  </si>
  <si>
    <t>Actinonaias ligamentina</t>
  </si>
  <si>
    <t>Alasmidonta marginata</t>
  </si>
  <si>
    <t>Amblema plicata</t>
  </si>
  <si>
    <t>Cyprogenia aberti</t>
  </si>
  <si>
    <t>Ellipsaria lineolata</t>
  </si>
  <si>
    <t>Elliptio dilatata</t>
  </si>
  <si>
    <t>Fusconaia ebena</t>
  </si>
  <si>
    <t>Fusconaia flava</t>
  </si>
  <si>
    <t>Lampsilis abrupta</t>
  </si>
  <si>
    <t>Lampsilis cardium</t>
  </si>
  <si>
    <t>Lampsilis hydiana</t>
  </si>
  <si>
    <t>Lampsilis ornata</t>
  </si>
  <si>
    <t>Lampsilis siliquoidea</t>
  </si>
  <si>
    <t>Lampsilis teres</t>
  </si>
  <si>
    <t>Lasmigona costata</t>
  </si>
  <si>
    <t>Lasmigona complanata</t>
  </si>
  <si>
    <t>Leptodea fragilis</t>
  </si>
  <si>
    <t>Ligumia recta</t>
  </si>
  <si>
    <t>Megalonaias nervosa</t>
  </si>
  <si>
    <t>Obliquaria reflexa</t>
  </si>
  <si>
    <t>Obovaria jacksoniana</t>
  </si>
  <si>
    <t>Plectomerus dombeyanus</t>
  </si>
  <si>
    <t>Pleurobema ridellii</t>
  </si>
  <si>
    <t>Pleurobema rubrum</t>
  </si>
  <si>
    <t>Pleurobema sintoxia</t>
  </si>
  <si>
    <t>Potamilus purpuratus</t>
  </si>
  <si>
    <t>Ptychobranchus occidentalis</t>
  </si>
  <si>
    <t>Quadrula apiculata</t>
  </si>
  <si>
    <t>Quadrula cylindrica</t>
  </si>
  <si>
    <t>Quadrula fragosa</t>
  </si>
  <si>
    <t>Quadrula metanevra</t>
  </si>
  <si>
    <t>Quadrula nobilis</t>
  </si>
  <si>
    <t>Quadrula nodulata</t>
  </si>
  <si>
    <t>Quadrula pustulosa</t>
  </si>
  <si>
    <t>Quadrula quadrula</t>
  </si>
  <si>
    <t>Quadrula verrucosa</t>
  </si>
  <si>
    <t>Strophitus undulatus</t>
  </si>
  <si>
    <t>Toxolasma lividus</t>
  </si>
  <si>
    <t>Toxolasma texasensis</t>
  </si>
  <si>
    <t>Toxolasma parvus</t>
  </si>
  <si>
    <t>Truncilla donaciformis</t>
  </si>
  <si>
    <t>Truncilla truncata</t>
  </si>
  <si>
    <t>Villosa lienosa</t>
  </si>
  <si>
    <t>LR 09091301</t>
  </si>
  <si>
    <t>LR 09091306</t>
  </si>
  <si>
    <t>Latitude</t>
  </si>
  <si>
    <t>Longitude</t>
  </si>
  <si>
    <t>Species (dead)</t>
  </si>
  <si>
    <t>(1)</t>
  </si>
  <si>
    <t>Search Effort (min)</t>
  </si>
  <si>
    <t>1 (1)</t>
  </si>
  <si>
    <t>6 (1)</t>
  </si>
  <si>
    <t>(5)</t>
  </si>
  <si>
    <t>(3)</t>
  </si>
  <si>
    <t>10 (2)</t>
  </si>
  <si>
    <t>LR 09091307</t>
  </si>
  <si>
    <t>LR 09091308</t>
  </si>
  <si>
    <t>LR 09101301</t>
  </si>
  <si>
    <t>LR 09101302</t>
  </si>
  <si>
    <t>LR 09101303</t>
  </si>
  <si>
    <t>LR 09101304</t>
  </si>
  <si>
    <t>LR 09101305</t>
  </si>
  <si>
    <t>LR 09101306</t>
  </si>
  <si>
    <t>LR 09101307</t>
  </si>
  <si>
    <t>LR 09101308</t>
  </si>
  <si>
    <t>1</t>
  </si>
  <si>
    <t>2</t>
  </si>
  <si>
    <t>(2)</t>
  </si>
  <si>
    <t>9</t>
  </si>
  <si>
    <t>3</t>
  </si>
  <si>
    <t>1(1)</t>
  </si>
  <si>
    <t>6</t>
  </si>
  <si>
    <t>26</t>
  </si>
  <si>
    <t>5</t>
  </si>
  <si>
    <t>50</t>
  </si>
  <si>
    <t>13</t>
  </si>
  <si>
    <t>2 (2)</t>
  </si>
  <si>
    <t>4</t>
  </si>
  <si>
    <t>7 (4)</t>
  </si>
  <si>
    <t>35</t>
  </si>
  <si>
    <t>7</t>
  </si>
  <si>
    <t>1 (2)</t>
  </si>
  <si>
    <t>15 (3)</t>
  </si>
  <si>
    <t>93</t>
  </si>
  <si>
    <t>14</t>
  </si>
  <si>
    <t>45</t>
  </si>
  <si>
    <t>100</t>
  </si>
  <si>
    <t>25</t>
  </si>
  <si>
    <t>18</t>
  </si>
  <si>
    <t>11</t>
  </si>
  <si>
    <t>2 (1)</t>
  </si>
  <si>
    <t>24</t>
  </si>
  <si>
    <t>LR 09111301</t>
  </si>
  <si>
    <t>LR 09111302</t>
  </si>
  <si>
    <t>LR 09111303</t>
  </si>
  <si>
    <t>LR 09111304</t>
  </si>
  <si>
    <t>LR 09111305</t>
  </si>
  <si>
    <t>LR 09111306</t>
  </si>
  <si>
    <t>12</t>
  </si>
  <si>
    <t>8</t>
  </si>
  <si>
    <t>42</t>
  </si>
  <si>
    <t>23</t>
  </si>
  <si>
    <t>7 (1)</t>
  </si>
  <si>
    <t>29</t>
  </si>
  <si>
    <t>38</t>
  </si>
  <si>
    <t>LR 09121301</t>
  </si>
  <si>
    <t>LR 09121302</t>
  </si>
  <si>
    <t>LR 09121303</t>
  </si>
  <si>
    <t>LR 09121304</t>
  </si>
  <si>
    <t>LR 09121305</t>
  </si>
  <si>
    <t>LR 09121306</t>
  </si>
  <si>
    <t>10</t>
  </si>
  <si>
    <t>3 (1)</t>
  </si>
  <si>
    <t>4 (4)</t>
  </si>
  <si>
    <t>72</t>
  </si>
  <si>
    <t>16</t>
  </si>
  <si>
    <t>53</t>
  </si>
  <si>
    <t>41</t>
  </si>
  <si>
    <t>22</t>
  </si>
  <si>
    <t>LR 09131301</t>
  </si>
  <si>
    <t>LR 09131302</t>
  </si>
  <si>
    <t>LR 09131303</t>
  </si>
  <si>
    <t>52</t>
  </si>
  <si>
    <t>40</t>
  </si>
  <si>
    <t>30</t>
  </si>
  <si>
    <t>36</t>
  </si>
  <si>
    <t>3 (2)</t>
  </si>
  <si>
    <t>83</t>
  </si>
  <si>
    <t>5 (3)</t>
  </si>
  <si>
    <t>39</t>
  </si>
  <si>
    <t>LR 09231301</t>
  </si>
  <si>
    <t>LR 09231302</t>
  </si>
  <si>
    <t>LR 09231303</t>
  </si>
  <si>
    <t>LR 09231304</t>
  </si>
  <si>
    <t>LR 09231305</t>
  </si>
  <si>
    <t>LR 09231306</t>
  </si>
  <si>
    <t>27</t>
  </si>
  <si>
    <t>1 (3)</t>
  </si>
  <si>
    <t>68 (1)</t>
  </si>
  <si>
    <t>28</t>
  </si>
  <si>
    <t>LR 09241301</t>
  </si>
  <si>
    <t>LR 09241302</t>
  </si>
  <si>
    <t>LR 09241303</t>
  </si>
  <si>
    <t>LR 09241304</t>
  </si>
  <si>
    <t>LR 09241305</t>
  </si>
  <si>
    <t>LR 09241306</t>
  </si>
  <si>
    <t>LR 09241307</t>
  </si>
  <si>
    <t>19</t>
  </si>
  <si>
    <t>49</t>
  </si>
  <si>
    <t>20</t>
  </si>
  <si>
    <t>58</t>
  </si>
  <si>
    <t>4 (1)</t>
  </si>
  <si>
    <t>17</t>
  </si>
  <si>
    <t>(8)</t>
  </si>
  <si>
    <t>55</t>
  </si>
  <si>
    <t>7 (20)</t>
  </si>
  <si>
    <t>68</t>
  </si>
  <si>
    <t>LR 09251301</t>
  </si>
  <si>
    <t>10 (1)</t>
  </si>
  <si>
    <t>LR 09251302</t>
  </si>
  <si>
    <t>LR 09251303</t>
  </si>
  <si>
    <t>LR 09251304</t>
  </si>
  <si>
    <t>29 (1)</t>
  </si>
  <si>
    <t>32</t>
  </si>
  <si>
    <t>69</t>
  </si>
  <si>
    <t>9 (1)</t>
  </si>
  <si>
    <t>LR 09261301</t>
  </si>
  <si>
    <t>37</t>
  </si>
  <si>
    <t>LR 09261302</t>
  </si>
  <si>
    <t>LR 09261303</t>
  </si>
  <si>
    <t>LR 09261304</t>
  </si>
  <si>
    <t>LR 09261305</t>
  </si>
  <si>
    <t>LR 09261306</t>
  </si>
  <si>
    <t>LR 09261307</t>
  </si>
  <si>
    <t>LR 09261308</t>
  </si>
  <si>
    <t>73</t>
  </si>
  <si>
    <t>66</t>
  </si>
  <si>
    <t>43</t>
  </si>
  <si>
    <t>34</t>
  </si>
  <si>
    <t>21</t>
  </si>
  <si>
    <t>31</t>
  </si>
  <si>
    <t>3 (4)</t>
  </si>
  <si>
    <t>LR 09271301</t>
  </si>
  <si>
    <t>LR 09271302</t>
  </si>
  <si>
    <t>LR 09271303</t>
  </si>
  <si>
    <t>LR 09271304</t>
  </si>
  <si>
    <t>LR 09271305</t>
  </si>
  <si>
    <t>44</t>
  </si>
  <si>
    <t>Map Label</t>
  </si>
  <si>
    <t>NA</t>
  </si>
  <si>
    <t>Rabbitsfoot</t>
  </si>
  <si>
    <t>Length (mm)</t>
  </si>
  <si>
    <t>Mean</t>
  </si>
  <si>
    <t>Min</t>
  </si>
  <si>
    <t>Max</t>
  </si>
  <si>
    <t>50 - 59</t>
  </si>
  <si>
    <t>60 - 69</t>
  </si>
  <si>
    <t>70 - 79</t>
  </si>
  <si>
    <t>80 - 89</t>
  </si>
  <si>
    <t>90 - 99</t>
  </si>
  <si>
    <t>100 - 109</t>
  </si>
  <si>
    <t>110 - 119</t>
  </si>
  <si>
    <t>45 (14)</t>
  </si>
  <si>
    <t>3 (3)</t>
  </si>
  <si>
    <t>12 (5)</t>
  </si>
  <si>
    <t>64 (1)</t>
  </si>
  <si>
    <t>127 (7)</t>
  </si>
  <si>
    <t>9 (4)</t>
  </si>
  <si>
    <t>374 (3)</t>
  </si>
  <si>
    <t>71 (6)</t>
  </si>
  <si>
    <t>77 (2)</t>
  </si>
  <si>
    <t>118 (7)</t>
  </si>
  <si>
    <t>70 (4)</t>
  </si>
  <si>
    <t>112 (11)</t>
  </si>
  <si>
    <t>110 (3)</t>
  </si>
  <si>
    <t>8 (1)</t>
  </si>
  <si>
    <t>112 (4)</t>
  </si>
  <si>
    <t>54 (2)</t>
  </si>
  <si>
    <t>116 (2)</t>
  </si>
  <si>
    <t>144 (6)</t>
  </si>
  <si>
    <t>143 (5)</t>
  </si>
  <si>
    <t>9 (2)</t>
  </si>
  <si>
    <t>18 (1)</t>
  </si>
  <si>
    <t>83 (1)</t>
  </si>
  <si>
    <t>110 (1)</t>
  </si>
  <si>
    <t>160 (14)</t>
  </si>
  <si>
    <t>20 (14)</t>
  </si>
  <si>
    <t>50 (9)</t>
  </si>
  <si>
    <t>143 (2)</t>
  </si>
  <si>
    <t>19 (1)</t>
  </si>
  <si>
    <t>17 (1)</t>
  </si>
  <si>
    <t>103 (2)</t>
  </si>
  <si>
    <t>43 (1)</t>
  </si>
  <si>
    <t>81 (5)</t>
  </si>
  <si>
    <t>74 (1)</t>
  </si>
  <si>
    <t>LITT 073108POS01</t>
  </si>
  <si>
    <t>Total Live (dead) Individuals</t>
  </si>
  <si>
    <t>CPUE (# live individuals/min)</t>
  </si>
  <si>
    <t>Species Richness</t>
  </si>
  <si>
    <t>2 (0)</t>
  </si>
  <si>
    <t>Total Live Individuals</t>
  </si>
  <si>
    <t>Total Dead Individuals</t>
  </si>
  <si>
    <t>Lampsilis sp. B cf. hydiana</t>
  </si>
  <si>
    <r>
      <t>NA</t>
    </r>
    <r>
      <rPr>
        <vertAlign val="superscript"/>
        <sz val="10"/>
        <color theme="1"/>
        <rFont val="Calibri"/>
        <family val="2"/>
        <scheme val="minor"/>
      </rPr>
      <t>1</t>
    </r>
  </si>
  <si>
    <r>
      <rPr>
        <vertAlign val="superscript"/>
        <sz val="10"/>
        <color theme="1"/>
        <rFont val="Calibri"/>
        <family val="2"/>
        <scheme val="minor"/>
      </rPr>
      <t>1</t>
    </r>
    <r>
      <rPr>
        <sz val="10"/>
        <color theme="1"/>
        <rFont val="Calibri"/>
        <family val="2"/>
        <scheme val="minor"/>
      </rPr>
      <t>Not applicable. Quantitative sample (37 1-m</t>
    </r>
    <r>
      <rPr>
        <vertAlign val="superscript"/>
        <sz val="10"/>
        <color theme="1"/>
        <rFont val="Calibri"/>
        <family val="2"/>
        <scheme val="minor"/>
      </rPr>
      <t>2</t>
    </r>
    <r>
      <rPr>
        <sz val="10"/>
        <color theme="1"/>
        <rFont val="Calibri"/>
        <family val="2"/>
        <scheme val="minor"/>
      </rPr>
      <t xml:space="preserve"> quadrats).</t>
    </r>
  </si>
  <si>
    <t>Arkansia wheeleri</t>
  </si>
  <si>
    <t>20 (10)</t>
  </si>
  <si>
    <t>136 (3)</t>
  </si>
  <si>
    <t>135 (7)</t>
  </si>
  <si>
    <t>9 (3)</t>
  </si>
  <si>
    <t>124 (21)</t>
  </si>
  <si>
    <t>142 (3)</t>
  </si>
  <si>
    <t>81 (2)</t>
  </si>
  <si>
    <t>198 (1)</t>
  </si>
  <si>
    <t>Relative Abundance</t>
  </si>
  <si>
    <t>13-03</t>
  </si>
  <si>
    <t>13-07</t>
  </si>
  <si>
    <t>13-08</t>
  </si>
  <si>
    <t>13-12</t>
  </si>
  <si>
    <t>13-15</t>
  </si>
  <si>
    <t>13-21</t>
  </si>
  <si>
    <t>13-28</t>
  </si>
  <si>
    <t>13-29</t>
  </si>
  <si>
    <t>13-31</t>
  </si>
  <si>
    <t>13-17</t>
  </si>
  <si>
    <t>13-18</t>
  </si>
  <si>
    <t>13-19</t>
  </si>
  <si>
    <t>13-36</t>
  </si>
  <si>
    <t>13-39</t>
  </si>
  <si>
    <t>13-40</t>
  </si>
  <si>
    <t>13-43</t>
  </si>
  <si>
    <t>13-44</t>
  </si>
  <si>
    <t>13-45</t>
  </si>
  <si>
    <t>13-48</t>
  </si>
  <si>
    <t>13-50</t>
  </si>
  <si>
    <t>13-54</t>
  </si>
  <si>
    <t>13-57</t>
  </si>
  <si>
    <t>13-27</t>
  </si>
  <si>
    <t>13-01</t>
  </si>
  <si>
    <t>13-02</t>
  </si>
  <si>
    <t>13-04</t>
  </si>
  <si>
    <t>13-05</t>
  </si>
  <si>
    <t>13-06</t>
  </si>
  <si>
    <t>13-09</t>
  </si>
  <si>
    <t>13-10</t>
  </si>
  <si>
    <t>13-11</t>
  </si>
  <si>
    <t>13-13</t>
  </si>
  <si>
    <t>13-16</t>
  </si>
  <si>
    <t>13-22</t>
  </si>
  <si>
    <t>13-24</t>
  </si>
  <si>
    <t>13-25</t>
  </si>
  <si>
    <t>13-26</t>
  </si>
  <si>
    <t>13-30</t>
  </si>
  <si>
    <t>13-32</t>
  </si>
  <si>
    <t>13-33</t>
  </si>
  <si>
    <t>13-34</t>
  </si>
  <si>
    <t>13-35</t>
  </si>
  <si>
    <t>13-37</t>
  </si>
  <si>
    <t>13-38</t>
  </si>
  <si>
    <t>13-41</t>
  </si>
  <si>
    <t>13-42</t>
  </si>
  <si>
    <t>13-46</t>
  </si>
  <si>
    <t>13-47</t>
  </si>
  <si>
    <t>13-51</t>
  </si>
  <si>
    <t>13-52</t>
  </si>
  <si>
    <t>13-55</t>
  </si>
  <si>
    <t>13-56</t>
  </si>
  <si>
    <t>13-58</t>
  </si>
  <si>
    <t>13-59</t>
  </si>
  <si>
    <t>13-60</t>
  </si>
  <si>
    <t>13-61</t>
  </si>
  <si>
    <t>13-62</t>
  </si>
  <si>
    <t>Distance (km)</t>
  </si>
  <si>
    <t>13-14</t>
  </si>
  <si>
    <t>13-20</t>
  </si>
  <si>
    <t>13-23</t>
  </si>
  <si>
    <t>13-49</t>
  </si>
  <si>
    <t>13-53</t>
  </si>
  <si>
    <t>Richness</t>
  </si>
  <si>
    <t>#/min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</si>
</sst>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000"/>
    <numFmt numFmtId="166" formatCode="0.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5"/>
      <name val="Calibri"/>
      <family val="2"/>
      <scheme val="minor"/>
    </font>
    <font>
      <sz val="10"/>
      <name val="Calibri"/>
      <family val="2"/>
      <scheme val="minor"/>
    </font>
    <font>
      <i/>
      <sz val="10"/>
      <color theme="1"/>
      <name val="Calibri"/>
      <family val="2"/>
      <scheme val="minor"/>
    </font>
    <font>
      <vertAlign val="superscript"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1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1" fontId="2" fillId="0" borderId="0" xfId="0" applyNumberFormat="1" applyFont="1" applyAlignment="1">
      <alignment horizontal="right"/>
    </xf>
    <xf numFmtId="49" fontId="5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right"/>
    </xf>
    <xf numFmtId="2" fontId="2" fillId="0" borderId="0" xfId="0" applyNumberFormat="1" applyFont="1" applyAlignment="1">
      <alignment horizontal="right"/>
    </xf>
    <xf numFmtId="0" fontId="2" fillId="0" borderId="0" xfId="0" applyFont="1" applyAlignment="1">
      <alignment horizontal="left" wrapText="1"/>
    </xf>
    <xf numFmtId="1" fontId="2" fillId="2" borderId="0" xfId="0" applyNumberFormat="1" applyFont="1" applyFill="1" applyAlignment="1">
      <alignment horizontal="right"/>
    </xf>
    <xf numFmtId="10" fontId="2" fillId="0" borderId="0" xfId="1" applyNumberFormat="1" applyFont="1" applyAlignment="1">
      <alignment horizontal="right"/>
    </xf>
    <xf numFmtId="9" fontId="2" fillId="0" borderId="0" xfId="1" applyFont="1" applyAlignment="1">
      <alignment horizontal="right"/>
    </xf>
    <xf numFmtId="2" fontId="0" fillId="0" borderId="0" xfId="0" applyNumberFormat="1"/>
    <xf numFmtId="0" fontId="7" fillId="0" borderId="0" xfId="0" applyFont="1"/>
    <xf numFmtId="165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189895013123358"/>
          <c:y val="2.8252405949256341E-2"/>
          <c:w val="0.83855314960629923"/>
          <c:h val="0.73444808982210552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'Raw Data Figure x'!$D$1:$J$1</c:f>
              <c:strCache>
                <c:ptCount val="7"/>
                <c:pt idx="0">
                  <c:v>50 - 59</c:v>
                </c:pt>
                <c:pt idx="1">
                  <c:v>60 - 69</c:v>
                </c:pt>
                <c:pt idx="2">
                  <c:v>70 - 79</c:v>
                </c:pt>
                <c:pt idx="3">
                  <c:v>80 - 89</c:v>
                </c:pt>
                <c:pt idx="4">
                  <c:v>90 - 99</c:v>
                </c:pt>
                <c:pt idx="5">
                  <c:v>100 - 109</c:v>
                </c:pt>
                <c:pt idx="6">
                  <c:v>110 - 119</c:v>
                </c:pt>
              </c:strCache>
            </c:strRef>
          </c:cat>
          <c:val>
            <c:numRef>
              <c:f>'Raw Data Figure x'!$D$2:$J$2</c:f>
              <c:numCache>
                <c:formatCode>General</c:formatCode>
                <c:ptCount val="7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8</c:v>
                </c:pt>
                <c:pt idx="4">
                  <c:v>25</c:v>
                </c:pt>
                <c:pt idx="5">
                  <c:v>15</c:v>
                </c:pt>
                <c:pt idx="6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B9-4FCC-838D-F3F8D4C50D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5897216"/>
        <c:axId val="185898392"/>
      </c:barChart>
      <c:catAx>
        <c:axId val="1858972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Length (mm)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185898392"/>
        <c:crosses val="autoZero"/>
        <c:auto val="1"/>
        <c:lblAlgn val="ctr"/>
        <c:lblOffset val="100"/>
        <c:noMultiLvlLbl val="0"/>
      </c:catAx>
      <c:valAx>
        <c:axId val="18589839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Number of Individuals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5897216"/>
        <c:crosses val="autoZero"/>
        <c:crossBetween val="between"/>
      </c:valAx>
    </c:plotArea>
    <c:plotVisOnly val="1"/>
    <c:dispBlanksAs val="gap"/>
    <c:showDLblsOverMax val="0"/>
  </c:chart>
  <c:spPr>
    <a:ln w="19050"/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'Raw Data Figure xx'!$A$2:$A$29</c:f>
              <c:numCache>
                <c:formatCode>General</c:formatCode>
                <c:ptCount val="28"/>
                <c:pt idx="0">
                  <c:v>0.27</c:v>
                </c:pt>
                <c:pt idx="1">
                  <c:v>1.93</c:v>
                </c:pt>
                <c:pt idx="2">
                  <c:v>2.76</c:v>
                </c:pt>
                <c:pt idx="3">
                  <c:v>4.08</c:v>
                </c:pt>
                <c:pt idx="4">
                  <c:v>4.8099999999999996</c:v>
                </c:pt>
                <c:pt idx="5">
                  <c:v>5.82</c:v>
                </c:pt>
                <c:pt idx="6">
                  <c:v>7.35</c:v>
                </c:pt>
                <c:pt idx="7">
                  <c:v>8.4600000000000009</c:v>
                </c:pt>
                <c:pt idx="8" formatCode="0.00">
                  <c:v>8.6999999999999993</c:v>
                </c:pt>
                <c:pt idx="9">
                  <c:v>11.41</c:v>
                </c:pt>
                <c:pt idx="10">
                  <c:v>12.83</c:v>
                </c:pt>
                <c:pt idx="11">
                  <c:v>15.74</c:v>
                </c:pt>
                <c:pt idx="12">
                  <c:v>25.13</c:v>
                </c:pt>
                <c:pt idx="13">
                  <c:v>25.45</c:v>
                </c:pt>
                <c:pt idx="14" formatCode="0.00">
                  <c:v>25.9</c:v>
                </c:pt>
                <c:pt idx="15">
                  <c:v>27.36</c:v>
                </c:pt>
                <c:pt idx="16">
                  <c:v>29.61</c:v>
                </c:pt>
                <c:pt idx="17">
                  <c:v>33.81</c:v>
                </c:pt>
                <c:pt idx="18">
                  <c:v>34.880000000000003</c:v>
                </c:pt>
                <c:pt idx="19">
                  <c:v>36.83</c:v>
                </c:pt>
                <c:pt idx="20">
                  <c:v>38.43</c:v>
                </c:pt>
                <c:pt idx="21">
                  <c:v>39.479999999999997</c:v>
                </c:pt>
                <c:pt idx="22">
                  <c:v>41.12</c:v>
                </c:pt>
                <c:pt idx="23">
                  <c:v>41.95</c:v>
                </c:pt>
                <c:pt idx="24">
                  <c:v>43.25</c:v>
                </c:pt>
                <c:pt idx="25">
                  <c:v>44.88</c:v>
                </c:pt>
                <c:pt idx="26">
                  <c:v>45.89</c:v>
                </c:pt>
                <c:pt idx="27">
                  <c:v>48.91</c:v>
                </c:pt>
              </c:numCache>
            </c:numRef>
          </c:xVal>
          <c:yVal>
            <c:numRef>
              <c:f>'Raw Data Figure xx'!$B$2:$B$29</c:f>
              <c:numCache>
                <c:formatCode>General</c:formatCode>
                <c:ptCount val="28"/>
                <c:pt idx="0">
                  <c:v>13</c:v>
                </c:pt>
                <c:pt idx="1">
                  <c:v>11</c:v>
                </c:pt>
                <c:pt idx="2">
                  <c:v>13</c:v>
                </c:pt>
                <c:pt idx="3">
                  <c:v>17</c:v>
                </c:pt>
                <c:pt idx="4">
                  <c:v>17</c:v>
                </c:pt>
                <c:pt idx="5">
                  <c:v>16</c:v>
                </c:pt>
                <c:pt idx="6">
                  <c:v>19</c:v>
                </c:pt>
                <c:pt idx="7">
                  <c:v>18</c:v>
                </c:pt>
                <c:pt idx="8">
                  <c:v>12</c:v>
                </c:pt>
                <c:pt idx="9">
                  <c:v>19</c:v>
                </c:pt>
                <c:pt idx="10">
                  <c:v>14</c:v>
                </c:pt>
                <c:pt idx="11">
                  <c:v>18</c:v>
                </c:pt>
                <c:pt idx="12">
                  <c:v>20</c:v>
                </c:pt>
                <c:pt idx="13">
                  <c:v>16</c:v>
                </c:pt>
                <c:pt idx="14">
                  <c:v>16</c:v>
                </c:pt>
                <c:pt idx="15">
                  <c:v>14</c:v>
                </c:pt>
                <c:pt idx="16">
                  <c:v>17</c:v>
                </c:pt>
                <c:pt idx="17">
                  <c:v>11</c:v>
                </c:pt>
                <c:pt idx="18">
                  <c:v>12</c:v>
                </c:pt>
                <c:pt idx="19">
                  <c:v>13</c:v>
                </c:pt>
                <c:pt idx="20">
                  <c:v>22</c:v>
                </c:pt>
                <c:pt idx="21">
                  <c:v>12</c:v>
                </c:pt>
                <c:pt idx="22">
                  <c:v>16</c:v>
                </c:pt>
                <c:pt idx="23">
                  <c:v>16</c:v>
                </c:pt>
                <c:pt idx="24">
                  <c:v>15</c:v>
                </c:pt>
                <c:pt idx="25">
                  <c:v>16</c:v>
                </c:pt>
                <c:pt idx="26">
                  <c:v>15</c:v>
                </c:pt>
                <c:pt idx="27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CBF-4788-A533-CDD6051F56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107984"/>
        <c:axId val="184670600"/>
      </c:scatterChart>
      <c:valAx>
        <c:axId val="2481079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Distance downstream from state line (km)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4670600"/>
        <c:crosses val="autoZero"/>
        <c:crossBetween val="midCat"/>
      </c:valAx>
      <c:valAx>
        <c:axId val="18467060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Species Richness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48107984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01122236263677"/>
          <c:y val="6.0659813356663747E-2"/>
          <c:w val="0.80579998487843341"/>
          <c:h val="0.73444808982210552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'Raw Data Figure xxx'!$A$2:$A$28</c:f>
              <c:numCache>
                <c:formatCode>General</c:formatCode>
                <c:ptCount val="27"/>
                <c:pt idx="0">
                  <c:v>0.27</c:v>
                </c:pt>
                <c:pt idx="1">
                  <c:v>1.93</c:v>
                </c:pt>
                <c:pt idx="2">
                  <c:v>2.76</c:v>
                </c:pt>
                <c:pt idx="3">
                  <c:v>4.08</c:v>
                </c:pt>
                <c:pt idx="4">
                  <c:v>4.8099999999999996</c:v>
                </c:pt>
                <c:pt idx="5">
                  <c:v>5.82</c:v>
                </c:pt>
                <c:pt idx="6">
                  <c:v>7.35</c:v>
                </c:pt>
                <c:pt idx="7">
                  <c:v>8.4600000000000009</c:v>
                </c:pt>
                <c:pt idx="8" formatCode="0.00">
                  <c:v>8.6999999999999993</c:v>
                </c:pt>
                <c:pt idx="9">
                  <c:v>11.41</c:v>
                </c:pt>
                <c:pt idx="10">
                  <c:v>12.83</c:v>
                </c:pt>
                <c:pt idx="11">
                  <c:v>15.74</c:v>
                </c:pt>
                <c:pt idx="12">
                  <c:v>25.45</c:v>
                </c:pt>
                <c:pt idx="13" formatCode="0.00">
                  <c:v>25.9</c:v>
                </c:pt>
                <c:pt idx="14">
                  <c:v>27.36</c:v>
                </c:pt>
                <c:pt idx="15">
                  <c:v>29.61</c:v>
                </c:pt>
                <c:pt idx="16">
                  <c:v>33.81</c:v>
                </c:pt>
                <c:pt idx="17">
                  <c:v>34.880000000000003</c:v>
                </c:pt>
                <c:pt idx="18">
                  <c:v>36.83</c:v>
                </c:pt>
                <c:pt idx="19">
                  <c:v>38.43</c:v>
                </c:pt>
                <c:pt idx="20">
                  <c:v>39.479999999999997</c:v>
                </c:pt>
                <c:pt idx="21">
                  <c:v>41.12</c:v>
                </c:pt>
                <c:pt idx="22">
                  <c:v>41.95</c:v>
                </c:pt>
                <c:pt idx="23">
                  <c:v>43.25</c:v>
                </c:pt>
                <c:pt idx="24">
                  <c:v>44.88</c:v>
                </c:pt>
                <c:pt idx="25">
                  <c:v>45.89</c:v>
                </c:pt>
                <c:pt idx="26">
                  <c:v>48.91</c:v>
                </c:pt>
              </c:numCache>
            </c:numRef>
          </c:xVal>
          <c:yVal>
            <c:numRef>
              <c:f>'Raw Data Figure xxx'!$B$2:$B$28</c:f>
              <c:numCache>
                <c:formatCode>0.00</c:formatCode>
                <c:ptCount val="27"/>
                <c:pt idx="0">
                  <c:v>1.25</c:v>
                </c:pt>
                <c:pt idx="1">
                  <c:v>1</c:v>
                </c:pt>
                <c:pt idx="2">
                  <c:v>3.96875</c:v>
                </c:pt>
                <c:pt idx="3">
                  <c:v>2.4375</c:v>
                </c:pt>
                <c:pt idx="4">
                  <c:v>3.978723404255319</c:v>
                </c:pt>
                <c:pt idx="5">
                  <c:v>0.66981132075471694</c:v>
                </c:pt>
                <c:pt idx="6">
                  <c:v>2.0714285714285716</c:v>
                </c:pt>
                <c:pt idx="7">
                  <c:v>2.3225806451612905</c:v>
                </c:pt>
                <c:pt idx="8">
                  <c:v>2.6481481481481484</c:v>
                </c:pt>
                <c:pt idx="9">
                  <c:v>3.4</c:v>
                </c:pt>
                <c:pt idx="10">
                  <c:v>2.2647058823529411</c:v>
                </c:pt>
                <c:pt idx="11">
                  <c:v>2.2692307692307692</c:v>
                </c:pt>
                <c:pt idx="12">
                  <c:v>1.8064516129032258</c:v>
                </c:pt>
                <c:pt idx="13">
                  <c:v>2.75</c:v>
                </c:pt>
                <c:pt idx="14">
                  <c:v>1.8666666666666667</c:v>
                </c:pt>
                <c:pt idx="15">
                  <c:v>2.109375</c:v>
                </c:pt>
                <c:pt idx="16">
                  <c:v>1.7291666666666667</c:v>
                </c:pt>
                <c:pt idx="17">
                  <c:v>1.6111111111111112</c:v>
                </c:pt>
                <c:pt idx="18">
                  <c:v>2.2000000000000002</c:v>
                </c:pt>
                <c:pt idx="19">
                  <c:v>3.4782608695652173</c:v>
                </c:pt>
                <c:pt idx="20">
                  <c:v>3.1</c:v>
                </c:pt>
                <c:pt idx="21">
                  <c:v>2.5535714285714284</c:v>
                </c:pt>
                <c:pt idx="22">
                  <c:v>2.21875</c:v>
                </c:pt>
                <c:pt idx="23">
                  <c:v>1.125</c:v>
                </c:pt>
                <c:pt idx="24">
                  <c:v>1.132183908045977</c:v>
                </c:pt>
                <c:pt idx="25">
                  <c:v>0.31666666666666665</c:v>
                </c:pt>
                <c:pt idx="26">
                  <c:v>1.9285714285714286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C5B-4BAA-8D2A-629D32E636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109552"/>
        <c:axId val="248495760"/>
      </c:scatterChart>
      <c:valAx>
        <c:axId val="2481095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Distance downstream from state line (km)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48495760"/>
        <c:crosses val="autoZero"/>
        <c:crossBetween val="midCat"/>
      </c:valAx>
      <c:valAx>
        <c:axId val="248495760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Mussel Abundance (#/min)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24810955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600075</xdr:colOff>
      <xdr:row>3</xdr:row>
      <xdr:rowOff>9525</xdr:rowOff>
    </xdr:from>
    <xdr:to>
      <xdr:col>10</xdr:col>
      <xdr:colOff>295275</xdr:colOff>
      <xdr:row>17</xdr:row>
      <xdr:rowOff>85725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85725</xdr:colOff>
      <xdr:row>3</xdr:row>
      <xdr:rowOff>104775</xdr:rowOff>
    </xdr:from>
    <xdr:to>
      <xdr:col>10</xdr:col>
      <xdr:colOff>390525</xdr:colOff>
      <xdr:row>17</xdr:row>
      <xdr:rowOff>180975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476250</xdr:colOff>
      <xdr:row>1</xdr:row>
      <xdr:rowOff>76200</xdr:rowOff>
    </xdr:from>
    <xdr:to>
      <xdr:col>11</xdr:col>
      <xdr:colOff>228600</xdr:colOff>
      <xdr:row>15</xdr:row>
      <xdr:rowOff>152400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58"/>
  <sheetViews>
    <sheetView zoomScaleNormal="100" workbookViewId="0">
      <pane xSplit="1" ySplit="1" topLeftCell="BI2" activePane="bottomRight" state="frozen"/>
      <selection pane="topRight" activeCell="B1" sqref="B1"/>
      <selection pane="bottomLeft" activeCell="A2" sqref="A2"/>
      <selection pane="bottomRight" activeCell="A33" sqref="A33:XFD33"/>
    </sheetView>
  </sheetViews>
  <sheetFormatPr defaultRowHeight="12.75" x14ac:dyDescent="0.2"/>
  <cols>
    <col min="1" max="1" width="26.5703125" style="5" bestFit="1" customWidth="1"/>
    <col min="2" max="4" width="12.140625" style="6" bestFit="1" customWidth="1"/>
    <col min="5" max="6" width="11.5703125" style="6" bestFit="1" customWidth="1"/>
    <col min="7" max="7" width="12.140625" style="6" bestFit="1" customWidth="1"/>
    <col min="8" max="9" width="11.5703125" style="6" bestFit="1" customWidth="1"/>
    <col min="10" max="11" width="12.140625" style="6" bestFit="1" customWidth="1"/>
    <col min="12" max="14" width="11.5703125" style="6" bestFit="1" customWidth="1"/>
    <col min="15" max="16" width="12.140625" style="6" bestFit="1" customWidth="1"/>
    <col min="17" max="18" width="11.5703125" style="6" bestFit="1" customWidth="1"/>
    <col min="19" max="21" width="12.140625" style="6" bestFit="1" customWidth="1"/>
    <col min="22" max="23" width="11.5703125" style="6" bestFit="1" customWidth="1"/>
    <col min="24" max="24" width="12.140625" style="6" bestFit="1" customWidth="1"/>
    <col min="25" max="25" width="12.5703125" style="6" bestFit="1" customWidth="1"/>
    <col min="26" max="27" width="11.5703125" style="6" bestFit="1" customWidth="1"/>
    <col min="28" max="28" width="12.140625" style="6" bestFit="1" customWidth="1"/>
    <col min="29" max="29" width="11.5703125" style="6" bestFit="1" customWidth="1"/>
    <col min="30" max="35" width="12.140625" style="6" bestFit="1" customWidth="1"/>
    <col min="36" max="37" width="11.5703125" style="6" bestFit="1" customWidth="1"/>
    <col min="38" max="38" width="12.140625" style="6" bestFit="1" customWidth="1"/>
    <col min="39" max="39" width="11.5703125" style="6" bestFit="1" customWidth="1"/>
    <col min="40" max="40" width="12.140625" style="6" bestFit="1" customWidth="1"/>
    <col min="41" max="43" width="11.5703125" style="6" bestFit="1" customWidth="1"/>
    <col min="44" max="44" width="12.140625" style="6" bestFit="1" customWidth="1"/>
    <col min="45" max="45" width="11.5703125" style="6" bestFit="1" customWidth="1"/>
    <col min="46" max="48" width="12.140625" style="6" bestFit="1" customWidth="1"/>
    <col min="49" max="49" width="11.5703125" style="6" bestFit="1" customWidth="1"/>
    <col min="50" max="50" width="12.140625" style="6" bestFit="1" customWidth="1"/>
    <col min="51" max="62" width="11.42578125" style="6" bestFit="1" customWidth="1"/>
    <col min="63" max="63" width="16.5703125" style="6" bestFit="1" customWidth="1"/>
    <col min="64" max="64" width="7.85546875" style="6" customWidth="1"/>
    <col min="65" max="65" width="19.85546875" style="6" bestFit="1" customWidth="1"/>
    <col min="66" max="66" width="20.85546875" style="6" bestFit="1" customWidth="1"/>
    <col min="67" max="67" width="16.5703125" style="6" bestFit="1" customWidth="1"/>
    <col min="68" max="16384" width="9.140625" style="6"/>
  </cols>
  <sheetData>
    <row r="1" spans="1:67" x14ac:dyDescent="0.2">
      <c r="A1" s="5" t="s">
        <v>52</v>
      </c>
      <c r="B1" s="6" t="s">
        <v>48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49</v>
      </c>
      <c r="H1" s="7" t="s">
        <v>60</v>
      </c>
      <c r="I1" s="7" t="s">
        <v>61</v>
      </c>
      <c r="J1" s="6" t="s">
        <v>62</v>
      </c>
      <c r="K1" s="6" t="s">
        <v>63</v>
      </c>
      <c r="L1" s="6" t="s">
        <v>64</v>
      </c>
      <c r="M1" s="7" t="s">
        <v>65</v>
      </c>
      <c r="N1" s="6" t="s">
        <v>66</v>
      </c>
      <c r="O1" s="7" t="s">
        <v>67</v>
      </c>
      <c r="P1" s="7" t="s">
        <v>68</v>
      </c>
      <c r="Q1" s="6" t="s">
        <v>69</v>
      </c>
      <c r="R1" s="7" t="s">
        <v>97</v>
      </c>
      <c r="S1" s="7" t="s">
        <v>98</v>
      </c>
      <c r="T1" s="6" t="s">
        <v>99</v>
      </c>
      <c r="U1" s="7" t="s">
        <v>100</v>
      </c>
      <c r="V1" s="6" t="s">
        <v>101</v>
      </c>
      <c r="W1" s="6" t="s">
        <v>102</v>
      </c>
      <c r="X1" s="6" t="s">
        <v>110</v>
      </c>
      <c r="Y1" s="7" t="s">
        <v>111</v>
      </c>
      <c r="Z1" s="7" t="s">
        <v>112</v>
      </c>
      <c r="AA1" s="6" t="s">
        <v>113</v>
      </c>
      <c r="AB1" s="7" t="s">
        <v>114</v>
      </c>
      <c r="AC1" s="6" t="s">
        <v>115</v>
      </c>
      <c r="AD1" s="7" t="s">
        <v>124</v>
      </c>
      <c r="AE1" s="7" t="s">
        <v>125</v>
      </c>
      <c r="AF1" s="7" t="s">
        <v>126</v>
      </c>
      <c r="AG1" s="6" t="s">
        <v>135</v>
      </c>
      <c r="AH1" s="6" t="s">
        <v>136</v>
      </c>
      <c r="AI1" s="6" t="s">
        <v>137</v>
      </c>
      <c r="AJ1" s="6" t="s">
        <v>138</v>
      </c>
      <c r="AK1" s="6" t="s">
        <v>139</v>
      </c>
      <c r="AL1" s="6" t="s">
        <v>140</v>
      </c>
      <c r="AM1" s="7" t="s">
        <v>145</v>
      </c>
      <c r="AN1" s="7" t="s">
        <v>146</v>
      </c>
      <c r="AO1" s="6" t="s">
        <v>147</v>
      </c>
      <c r="AP1" s="6" t="s">
        <v>148</v>
      </c>
      <c r="AQ1" s="7" t="s">
        <v>149</v>
      </c>
      <c r="AR1" s="7" t="s">
        <v>150</v>
      </c>
      <c r="AS1" s="7" t="s">
        <v>151</v>
      </c>
      <c r="AT1" s="6" t="s">
        <v>162</v>
      </c>
      <c r="AU1" s="6" t="s">
        <v>164</v>
      </c>
      <c r="AV1" s="7" t="s">
        <v>165</v>
      </c>
      <c r="AW1" s="7" t="s">
        <v>166</v>
      </c>
      <c r="AX1" s="7" t="s">
        <v>171</v>
      </c>
      <c r="AY1" s="6" t="s">
        <v>173</v>
      </c>
      <c r="AZ1" s="8" t="s">
        <v>174</v>
      </c>
      <c r="BA1" s="7" t="s">
        <v>175</v>
      </c>
      <c r="BB1" s="7" t="s">
        <v>176</v>
      </c>
      <c r="BC1" s="6" t="s">
        <v>177</v>
      </c>
      <c r="BD1" s="6" t="s">
        <v>178</v>
      </c>
      <c r="BE1" s="7" t="s">
        <v>179</v>
      </c>
      <c r="BF1" s="6" t="s">
        <v>187</v>
      </c>
      <c r="BG1" s="6" t="s">
        <v>188</v>
      </c>
      <c r="BH1" s="6" t="s">
        <v>189</v>
      </c>
      <c r="BI1" s="6" t="s">
        <v>190</v>
      </c>
      <c r="BJ1" s="6" t="s">
        <v>191</v>
      </c>
      <c r="BK1" s="7" t="s">
        <v>240</v>
      </c>
      <c r="BL1" s="7"/>
      <c r="BM1" s="6" t="s">
        <v>245</v>
      </c>
      <c r="BN1" s="6" t="s">
        <v>246</v>
      </c>
      <c r="BO1" s="6" t="s">
        <v>259</v>
      </c>
    </row>
    <row r="2" spans="1:67" x14ac:dyDescent="0.2">
      <c r="A2" s="5" t="s">
        <v>193</v>
      </c>
    </row>
    <row r="3" spans="1:67" s="11" customFormat="1" x14ac:dyDescent="0.2">
      <c r="A3" s="10" t="s">
        <v>5</v>
      </c>
      <c r="D3" s="11" t="s">
        <v>56</v>
      </c>
      <c r="E3" s="11" t="s">
        <v>53</v>
      </c>
      <c r="F3" s="11" t="s">
        <v>70</v>
      </c>
      <c r="G3" s="11" t="s">
        <v>70</v>
      </c>
      <c r="H3" s="11" t="s">
        <v>74</v>
      </c>
      <c r="I3" s="11" t="s">
        <v>79</v>
      </c>
      <c r="J3" s="11" t="s">
        <v>71</v>
      </c>
      <c r="K3" s="11" t="s">
        <v>71</v>
      </c>
      <c r="L3" s="11" t="s">
        <v>71</v>
      </c>
      <c r="M3" s="11" t="s">
        <v>73</v>
      </c>
      <c r="O3" s="11" t="s">
        <v>91</v>
      </c>
      <c r="P3" s="11" t="s">
        <v>94</v>
      </c>
      <c r="R3" s="11" t="s">
        <v>103</v>
      </c>
      <c r="S3" s="11" t="s">
        <v>85</v>
      </c>
      <c r="T3" s="11" t="s">
        <v>74</v>
      </c>
      <c r="U3" s="11" t="s">
        <v>141</v>
      </c>
      <c r="W3" s="11" t="s">
        <v>71</v>
      </c>
      <c r="X3" s="11" t="s">
        <v>71</v>
      </c>
      <c r="Y3" s="11" t="s">
        <v>82</v>
      </c>
      <c r="Z3" s="11" t="s">
        <v>120</v>
      </c>
      <c r="AB3" s="11" t="s">
        <v>120</v>
      </c>
      <c r="AC3" s="11" t="s">
        <v>85</v>
      </c>
      <c r="AD3" s="11" t="s">
        <v>94</v>
      </c>
      <c r="AE3" s="11" t="s">
        <v>128</v>
      </c>
      <c r="AF3" s="11" t="s">
        <v>132</v>
      </c>
      <c r="AG3" s="11" t="s">
        <v>82</v>
      </c>
      <c r="AH3" s="11" t="s">
        <v>70</v>
      </c>
      <c r="AI3" s="11" t="s">
        <v>71</v>
      </c>
      <c r="AJ3" s="11" t="s">
        <v>141</v>
      </c>
      <c r="AK3" s="11" t="s">
        <v>96</v>
      </c>
      <c r="AL3" s="11" t="s">
        <v>70</v>
      </c>
      <c r="AM3" s="11" t="s">
        <v>104</v>
      </c>
      <c r="AN3" s="11" t="s">
        <v>144</v>
      </c>
      <c r="AO3" s="11" t="s">
        <v>70</v>
      </c>
      <c r="AQ3" s="11" t="s">
        <v>154</v>
      </c>
      <c r="AR3" s="11" t="s">
        <v>154</v>
      </c>
      <c r="AS3" s="11" t="s">
        <v>154</v>
      </c>
      <c r="AT3" s="11" t="s">
        <v>76</v>
      </c>
      <c r="AU3" s="11" t="s">
        <v>76</v>
      </c>
      <c r="AV3" s="11" t="s">
        <v>168</v>
      </c>
      <c r="AW3" s="11" t="s">
        <v>123</v>
      </c>
      <c r="AX3" s="11" t="s">
        <v>73</v>
      </c>
      <c r="AY3" s="11" t="s">
        <v>70</v>
      </c>
      <c r="AZ3" s="11" t="s">
        <v>70</v>
      </c>
      <c r="BA3" s="11" t="s">
        <v>180</v>
      </c>
      <c r="BB3" s="11" t="s">
        <v>182</v>
      </c>
      <c r="BC3" s="11" t="s">
        <v>76</v>
      </c>
      <c r="BE3" s="11" t="s">
        <v>185</v>
      </c>
      <c r="BG3" s="11" t="s">
        <v>104</v>
      </c>
      <c r="BH3" s="11" t="s">
        <v>70</v>
      </c>
      <c r="BM3" s="9">
        <v>812</v>
      </c>
      <c r="BN3" s="9">
        <v>2</v>
      </c>
      <c r="BO3" s="15">
        <f>BM3/BM57</f>
        <v>0.19819380034171344</v>
      </c>
    </row>
    <row r="4" spans="1:67" s="11" customFormat="1" x14ac:dyDescent="0.2">
      <c r="A4" s="10" t="s">
        <v>6</v>
      </c>
      <c r="BM4" s="9">
        <v>0</v>
      </c>
      <c r="BN4" s="9">
        <v>0</v>
      </c>
      <c r="BO4" s="15">
        <f>BM4/BM57</f>
        <v>0</v>
      </c>
    </row>
    <row r="5" spans="1:67" s="11" customFormat="1" x14ac:dyDescent="0.2">
      <c r="A5" s="10" t="s">
        <v>7</v>
      </c>
      <c r="C5" s="11" t="s">
        <v>53</v>
      </c>
      <c r="D5" s="11">
        <v>1</v>
      </c>
      <c r="G5" s="11" t="s">
        <v>70</v>
      </c>
      <c r="H5" s="11" t="s">
        <v>70</v>
      </c>
      <c r="I5" s="11" t="s">
        <v>80</v>
      </c>
      <c r="L5" s="11" t="s">
        <v>71</v>
      </c>
      <c r="M5" s="11" t="s">
        <v>71</v>
      </c>
      <c r="P5" s="11" t="s">
        <v>70</v>
      </c>
      <c r="R5" s="11" t="s">
        <v>74</v>
      </c>
      <c r="S5" s="11" t="s">
        <v>70</v>
      </c>
      <c r="T5" s="11" t="s">
        <v>71</v>
      </c>
      <c r="U5" s="11" t="s">
        <v>76</v>
      </c>
      <c r="W5" s="11" t="s">
        <v>74</v>
      </c>
      <c r="X5" s="11" t="s">
        <v>70</v>
      </c>
      <c r="Y5" s="11" t="s">
        <v>117</v>
      </c>
      <c r="Z5" s="11" t="s">
        <v>78</v>
      </c>
      <c r="AB5" s="11" t="s">
        <v>74</v>
      </c>
      <c r="AC5" s="11" t="s">
        <v>70</v>
      </c>
      <c r="AD5" s="11" t="s">
        <v>74</v>
      </c>
      <c r="AE5" s="11" t="s">
        <v>129</v>
      </c>
      <c r="AF5" s="11" t="s">
        <v>71</v>
      </c>
      <c r="AJ5" s="11" t="s">
        <v>78</v>
      </c>
      <c r="AM5" s="11" t="s">
        <v>74</v>
      </c>
      <c r="AN5" s="11" t="s">
        <v>71</v>
      </c>
      <c r="AP5" s="11" t="s">
        <v>53</v>
      </c>
      <c r="AQ5" s="11" t="s">
        <v>70</v>
      </c>
      <c r="AR5" s="11" t="s">
        <v>107</v>
      </c>
      <c r="AS5" s="11" t="s">
        <v>74</v>
      </c>
      <c r="AT5" s="11" t="s">
        <v>70</v>
      </c>
      <c r="AU5" s="11" t="s">
        <v>71</v>
      </c>
      <c r="AV5" s="11" t="s">
        <v>94</v>
      </c>
      <c r="AW5" s="11" t="s">
        <v>104</v>
      </c>
      <c r="AX5" s="11" t="s">
        <v>71</v>
      </c>
      <c r="BA5" s="11" t="s">
        <v>82</v>
      </c>
      <c r="BB5" s="11" t="s">
        <v>70</v>
      </c>
      <c r="BC5" s="11" t="s">
        <v>70</v>
      </c>
      <c r="BE5" s="11" t="s">
        <v>70</v>
      </c>
      <c r="BM5" s="9">
        <v>136</v>
      </c>
      <c r="BN5" s="9">
        <v>4</v>
      </c>
      <c r="BO5" s="15">
        <f>BM5/BM57</f>
        <v>3.3195020746887967E-2</v>
      </c>
    </row>
    <row r="6" spans="1:67" s="11" customFormat="1" x14ac:dyDescent="0.2">
      <c r="A6" s="10" t="s">
        <v>250</v>
      </c>
      <c r="AE6" s="11" t="s">
        <v>70</v>
      </c>
      <c r="AM6" s="11" t="s">
        <v>53</v>
      </c>
      <c r="BM6" s="9">
        <v>1</v>
      </c>
      <c r="BN6" s="9">
        <v>1</v>
      </c>
      <c r="BO6" s="15">
        <f>BM6/BM57</f>
        <v>2.4408103490358799E-4</v>
      </c>
    </row>
    <row r="7" spans="1:67" s="11" customFormat="1" x14ac:dyDescent="0.2">
      <c r="A7" s="10" t="s">
        <v>8</v>
      </c>
      <c r="I7" s="11" t="s">
        <v>53</v>
      </c>
      <c r="BM7" s="9">
        <v>0</v>
      </c>
      <c r="BN7" s="9">
        <v>1</v>
      </c>
      <c r="BO7" s="15">
        <f>BM7/BM57</f>
        <v>0</v>
      </c>
    </row>
    <row r="8" spans="1:67" s="11" customFormat="1" x14ac:dyDescent="0.2">
      <c r="A8" s="10" t="s">
        <v>9</v>
      </c>
      <c r="H8" s="11" t="s">
        <v>70</v>
      </c>
      <c r="I8" s="11" t="s">
        <v>70</v>
      </c>
      <c r="K8" s="11" t="s">
        <v>70</v>
      </c>
      <c r="M8" s="11" t="s">
        <v>70</v>
      </c>
      <c r="P8" s="11" t="s">
        <v>70</v>
      </c>
      <c r="R8" s="11" t="s">
        <v>71</v>
      </c>
      <c r="S8" s="11" t="s">
        <v>70</v>
      </c>
      <c r="X8" s="11" t="s">
        <v>70</v>
      </c>
      <c r="Z8" s="11" t="s">
        <v>55</v>
      </c>
      <c r="AA8" s="11" t="s">
        <v>71</v>
      </c>
      <c r="AB8" s="11" t="s">
        <v>70</v>
      </c>
      <c r="AF8" s="11" t="s">
        <v>70</v>
      </c>
      <c r="AJ8" s="11" t="s">
        <v>70</v>
      </c>
      <c r="AK8" s="11" t="s">
        <v>70</v>
      </c>
      <c r="AM8" s="11" t="s">
        <v>70</v>
      </c>
      <c r="AN8" s="11" t="s">
        <v>53</v>
      </c>
      <c r="AQ8" s="11" t="s">
        <v>74</v>
      </c>
      <c r="AR8" s="11" t="s">
        <v>152</v>
      </c>
      <c r="AU8" s="11" t="s">
        <v>70</v>
      </c>
      <c r="AV8" s="11" t="s">
        <v>53</v>
      </c>
      <c r="AW8" s="11" t="s">
        <v>74</v>
      </c>
      <c r="AX8" s="11" t="s">
        <v>70</v>
      </c>
      <c r="AY8" s="11" t="s">
        <v>71</v>
      </c>
      <c r="AZ8" s="11" t="s">
        <v>53</v>
      </c>
      <c r="BA8" s="11" t="s">
        <v>78</v>
      </c>
      <c r="BC8" s="11" t="s">
        <v>70</v>
      </c>
      <c r="BG8" s="11" t="s">
        <v>104</v>
      </c>
      <c r="BM8" s="9">
        <v>60</v>
      </c>
      <c r="BN8" s="9">
        <v>4</v>
      </c>
      <c r="BO8" s="15">
        <f>BM8/BM57</f>
        <v>1.4644862094215279E-2</v>
      </c>
    </row>
    <row r="9" spans="1:67" s="11" customFormat="1" x14ac:dyDescent="0.2">
      <c r="A9" s="10" t="s">
        <v>10</v>
      </c>
      <c r="D9" s="11" t="s">
        <v>53</v>
      </c>
      <c r="I9" s="11" t="s">
        <v>70</v>
      </c>
      <c r="M9" s="11" t="s">
        <v>70</v>
      </c>
      <c r="AR9" s="11" t="s">
        <v>70</v>
      </c>
      <c r="BM9" s="9">
        <v>3</v>
      </c>
      <c r="BN9" s="9">
        <v>1</v>
      </c>
      <c r="BO9" s="15">
        <f>BM9/BM57</f>
        <v>7.3224310471076397E-4</v>
      </c>
    </row>
    <row r="10" spans="1:67" s="11" customFormat="1" x14ac:dyDescent="0.2">
      <c r="A10" s="10" t="s">
        <v>11</v>
      </c>
      <c r="AN10" s="11" t="s">
        <v>70</v>
      </c>
      <c r="AR10" s="11" t="s">
        <v>70</v>
      </c>
      <c r="AX10" s="11" t="s">
        <v>53</v>
      </c>
      <c r="BM10" s="9">
        <v>2</v>
      </c>
      <c r="BN10" s="9">
        <v>1</v>
      </c>
      <c r="BO10" s="15">
        <f>BM10/BM57</f>
        <v>4.8816206980717598E-4</v>
      </c>
    </row>
    <row r="11" spans="1:67" s="11" customFormat="1" x14ac:dyDescent="0.2">
      <c r="A11" s="10" t="s">
        <v>12</v>
      </c>
      <c r="M11" s="11" t="s">
        <v>71</v>
      </c>
      <c r="O11" s="11" t="s">
        <v>70</v>
      </c>
      <c r="P11" s="11" t="s">
        <v>70</v>
      </c>
      <c r="U11" s="11" t="s">
        <v>71</v>
      </c>
      <c r="X11" s="11" t="s">
        <v>74</v>
      </c>
      <c r="Z11" s="11" t="s">
        <v>70</v>
      </c>
      <c r="AD11" s="11" t="s">
        <v>70</v>
      </c>
      <c r="AE11" s="11" t="s">
        <v>71</v>
      </c>
      <c r="AJ11" s="11" t="s">
        <v>71</v>
      </c>
      <c r="AK11" s="11" t="s">
        <v>74</v>
      </c>
      <c r="AN11" s="11" t="s">
        <v>70</v>
      </c>
      <c r="AP11" s="11" t="s">
        <v>70</v>
      </c>
      <c r="AR11" s="11" t="s">
        <v>82</v>
      </c>
      <c r="AS11" s="11" t="s">
        <v>71</v>
      </c>
      <c r="AU11" s="11" t="s">
        <v>70</v>
      </c>
      <c r="AW11" s="11" t="s">
        <v>70</v>
      </c>
      <c r="BA11" s="11" t="s">
        <v>71</v>
      </c>
      <c r="BM11" s="9">
        <v>30</v>
      </c>
      <c r="BN11" s="9">
        <v>0</v>
      </c>
      <c r="BO11" s="15">
        <f>BM11/BM57</f>
        <v>7.3224310471076397E-3</v>
      </c>
    </row>
    <row r="12" spans="1:67" s="11" customFormat="1" x14ac:dyDescent="0.2">
      <c r="A12" s="10" t="s">
        <v>13</v>
      </c>
      <c r="BM12" s="14">
        <v>0</v>
      </c>
      <c r="BN12" s="14">
        <v>0</v>
      </c>
      <c r="BO12" s="15">
        <f>BM12/BM57</f>
        <v>0</v>
      </c>
    </row>
    <row r="13" spans="1:67" s="11" customFormat="1" x14ac:dyDescent="0.2">
      <c r="A13" s="10" t="s">
        <v>14</v>
      </c>
      <c r="D13" s="11">
        <v>1</v>
      </c>
      <c r="E13" s="11">
        <v>1</v>
      </c>
      <c r="I13" s="11" t="s">
        <v>70</v>
      </c>
      <c r="K13" s="11" t="s">
        <v>53</v>
      </c>
      <c r="L13" s="11" t="s">
        <v>74</v>
      </c>
      <c r="M13" s="11" t="s">
        <v>82</v>
      </c>
      <c r="O13" s="11" t="s">
        <v>74</v>
      </c>
      <c r="U13" s="11" t="s">
        <v>85</v>
      </c>
      <c r="Z13" s="11" t="s">
        <v>78</v>
      </c>
      <c r="AB13" s="11" t="s">
        <v>70</v>
      </c>
      <c r="AD13" s="11" t="s">
        <v>71</v>
      </c>
      <c r="AE13" s="11" t="s">
        <v>70</v>
      </c>
      <c r="AF13" s="11" t="s">
        <v>70</v>
      </c>
      <c r="AI13" s="11" t="s">
        <v>70</v>
      </c>
      <c r="AJ13" s="11" t="s">
        <v>71</v>
      </c>
      <c r="AK13" s="11" t="s">
        <v>70</v>
      </c>
      <c r="AQ13" s="11" t="s">
        <v>74</v>
      </c>
      <c r="AR13" s="11" t="s">
        <v>156</v>
      </c>
      <c r="AS13" s="11" t="s">
        <v>70</v>
      </c>
      <c r="AT13" s="11" t="s">
        <v>53</v>
      </c>
      <c r="AU13" s="11" t="s">
        <v>86</v>
      </c>
      <c r="AV13" s="11" t="s">
        <v>71</v>
      </c>
      <c r="AW13" s="11" t="s">
        <v>78</v>
      </c>
      <c r="AX13" s="11" t="s">
        <v>74</v>
      </c>
      <c r="AZ13" s="11" t="s">
        <v>70</v>
      </c>
      <c r="BA13" s="11" t="s">
        <v>82</v>
      </c>
      <c r="BB13" s="11" t="s">
        <v>71</v>
      </c>
      <c r="BE13" s="11" t="s">
        <v>78</v>
      </c>
      <c r="BG13" s="11" t="s">
        <v>70</v>
      </c>
      <c r="BH13" s="11" t="s">
        <v>70</v>
      </c>
      <c r="BJ13" s="11" t="s">
        <v>70</v>
      </c>
      <c r="BM13" s="9">
        <v>68</v>
      </c>
      <c r="BN13" s="9">
        <v>5</v>
      </c>
      <c r="BO13" s="15">
        <f>BM13/BM57</f>
        <v>1.6597510373443983E-2</v>
      </c>
    </row>
    <row r="14" spans="1:67" s="11" customFormat="1" x14ac:dyDescent="0.2">
      <c r="A14" s="10" t="s">
        <v>15</v>
      </c>
      <c r="BM14" s="14">
        <v>0</v>
      </c>
      <c r="BN14" s="14">
        <v>0</v>
      </c>
      <c r="BO14" s="15">
        <f>BM14/BM57</f>
        <v>0</v>
      </c>
    </row>
    <row r="15" spans="1:67" s="11" customFormat="1" x14ac:dyDescent="0.2">
      <c r="A15" s="10" t="s">
        <v>16</v>
      </c>
      <c r="BM15" s="14">
        <v>0</v>
      </c>
      <c r="BN15" s="14">
        <v>0</v>
      </c>
      <c r="BO15" s="15">
        <f>BM15/BM57</f>
        <v>0</v>
      </c>
    </row>
    <row r="16" spans="1:67" s="11" customFormat="1" x14ac:dyDescent="0.2">
      <c r="A16" s="10" t="s">
        <v>17</v>
      </c>
      <c r="BM16" s="14">
        <v>0</v>
      </c>
      <c r="BN16" s="14">
        <v>0</v>
      </c>
      <c r="BO16" s="15">
        <f>BM16/BM57</f>
        <v>0</v>
      </c>
    </row>
    <row r="17" spans="1:67" s="11" customFormat="1" x14ac:dyDescent="0.2">
      <c r="A17" s="10" t="s">
        <v>18</v>
      </c>
      <c r="D17" s="11" t="s">
        <v>53</v>
      </c>
      <c r="O17" s="11" t="s">
        <v>58</v>
      </c>
      <c r="X17" s="11" t="s">
        <v>53</v>
      </c>
      <c r="AC17" s="11" t="s">
        <v>70</v>
      </c>
      <c r="AD17" s="11" t="s">
        <v>70</v>
      </c>
      <c r="AE17" s="11" t="s">
        <v>53</v>
      </c>
      <c r="AW17" s="11" t="s">
        <v>53</v>
      </c>
      <c r="BM17" s="9">
        <v>2</v>
      </c>
      <c r="BN17" s="9">
        <v>7</v>
      </c>
      <c r="BO17" s="15">
        <f>BM17/BM57</f>
        <v>4.8816206980717598E-4</v>
      </c>
    </row>
    <row r="18" spans="1:67" s="11" customFormat="1" x14ac:dyDescent="0.2">
      <c r="A18" s="10" t="s">
        <v>247</v>
      </c>
      <c r="AP18" s="11" t="s">
        <v>53</v>
      </c>
      <c r="BM18" s="9">
        <v>0</v>
      </c>
      <c r="BN18" s="9">
        <v>1</v>
      </c>
      <c r="BO18" s="15">
        <f>BM18/BM57</f>
        <v>0</v>
      </c>
    </row>
    <row r="19" spans="1:67" s="11" customFormat="1" x14ac:dyDescent="0.2">
      <c r="A19" s="10" t="s">
        <v>19</v>
      </c>
      <c r="L19" s="11" t="s">
        <v>53</v>
      </c>
      <c r="AE19" s="11" t="s">
        <v>53</v>
      </c>
      <c r="AF19" s="11" t="s">
        <v>70</v>
      </c>
      <c r="AS19" s="11" t="s">
        <v>71</v>
      </c>
      <c r="AV19" s="11" t="s">
        <v>70</v>
      </c>
      <c r="BB19" s="11" t="s">
        <v>53</v>
      </c>
      <c r="BM19" s="9">
        <v>4</v>
      </c>
      <c r="BN19" s="9">
        <v>3</v>
      </c>
      <c r="BO19" s="15">
        <f>BM19/BM57</f>
        <v>9.7632413961435197E-4</v>
      </c>
    </row>
    <row r="20" spans="1:67" s="11" customFormat="1" x14ac:dyDescent="0.2">
      <c r="A20" s="10" t="s">
        <v>20</v>
      </c>
      <c r="M20" s="11" t="s">
        <v>70</v>
      </c>
      <c r="BM20" s="9">
        <v>1</v>
      </c>
      <c r="BN20" s="9">
        <v>0</v>
      </c>
      <c r="BO20" s="15">
        <f>BM20/BM57</f>
        <v>2.4408103490358799E-4</v>
      </c>
    </row>
    <row r="21" spans="1:67" s="11" customFormat="1" x14ac:dyDescent="0.2">
      <c r="A21" s="10" t="s">
        <v>21</v>
      </c>
      <c r="E21" s="11" t="s">
        <v>53</v>
      </c>
      <c r="G21" s="11" t="s">
        <v>53</v>
      </c>
      <c r="H21" s="11" t="s">
        <v>75</v>
      </c>
      <c r="K21" s="11" t="s">
        <v>53</v>
      </c>
      <c r="O21" s="11" t="s">
        <v>70</v>
      </c>
      <c r="P21" s="11" t="s">
        <v>72</v>
      </c>
      <c r="S21" s="11" t="s">
        <v>107</v>
      </c>
      <c r="U21" s="11" t="s">
        <v>53</v>
      </c>
      <c r="X21" s="11" t="s">
        <v>94</v>
      </c>
      <c r="Y21" s="11" t="s">
        <v>53</v>
      </c>
      <c r="Z21" s="11" t="s">
        <v>53</v>
      </c>
      <c r="AB21" s="11" t="s">
        <v>58</v>
      </c>
      <c r="AH21" s="11" t="s">
        <v>53</v>
      </c>
      <c r="AJ21" s="11" t="s">
        <v>53</v>
      </c>
      <c r="AP21" s="11" t="s">
        <v>53</v>
      </c>
      <c r="AQ21" s="11" t="s">
        <v>53</v>
      </c>
      <c r="AR21" s="11" t="s">
        <v>72</v>
      </c>
      <c r="AT21" s="11" t="s">
        <v>53</v>
      </c>
      <c r="AU21" s="11" t="s">
        <v>72</v>
      </c>
      <c r="AV21" s="11" t="s">
        <v>53</v>
      </c>
      <c r="AX21" s="11" t="s">
        <v>55</v>
      </c>
      <c r="BM21" s="9">
        <v>21</v>
      </c>
      <c r="BN21" s="9">
        <v>24</v>
      </c>
      <c r="BO21" s="15">
        <f>BM21/BM57</f>
        <v>5.1257017329753478E-3</v>
      </c>
    </row>
    <row r="22" spans="1:67" s="11" customFormat="1" x14ac:dyDescent="0.2">
      <c r="A22" s="10" t="s">
        <v>22</v>
      </c>
      <c r="BM22" s="14">
        <v>0</v>
      </c>
      <c r="BN22" s="14">
        <v>0</v>
      </c>
      <c r="BO22" s="15">
        <f>BM22/BM57</f>
        <v>0</v>
      </c>
    </row>
    <row r="23" spans="1:67" s="11" customFormat="1" x14ac:dyDescent="0.2">
      <c r="A23" s="10" t="s">
        <v>23</v>
      </c>
      <c r="D23" s="11">
        <v>2</v>
      </c>
      <c r="H23" s="11" t="s">
        <v>76</v>
      </c>
      <c r="L23" s="11" t="s">
        <v>70</v>
      </c>
      <c r="O23" s="11" t="s">
        <v>91</v>
      </c>
      <c r="P23" s="11" t="s">
        <v>70</v>
      </c>
      <c r="R23" s="11" t="s">
        <v>70</v>
      </c>
      <c r="T23" s="11" t="s">
        <v>70</v>
      </c>
      <c r="U23" s="11" t="s">
        <v>71</v>
      </c>
      <c r="W23" s="11" t="s">
        <v>71</v>
      </c>
      <c r="X23" s="11" t="s">
        <v>70</v>
      </c>
      <c r="Z23" s="11" t="s">
        <v>71</v>
      </c>
      <c r="AD23" s="11" t="s">
        <v>76</v>
      </c>
      <c r="AE23" s="11" t="s">
        <v>82</v>
      </c>
      <c r="AN23" s="11" t="s">
        <v>70</v>
      </c>
      <c r="AQ23" s="11" t="s">
        <v>74</v>
      </c>
      <c r="AR23" s="11" t="s">
        <v>70</v>
      </c>
      <c r="AV23" s="11" t="s">
        <v>71</v>
      </c>
      <c r="AW23" s="11" t="s">
        <v>71</v>
      </c>
      <c r="BA23" s="11" t="s">
        <v>70</v>
      </c>
      <c r="BB23" s="11" t="s">
        <v>70</v>
      </c>
      <c r="BG23" s="11" t="s">
        <v>71</v>
      </c>
      <c r="BM23" s="9">
        <v>142</v>
      </c>
      <c r="BN23" s="9">
        <v>0</v>
      </c>
      <c r="BO23" s="15">
        <f>BM23/BM57</f>
        <v>3.4659506956309497E-2</v>
      </c>
    </row>
    <row r="24" spans="1:67" s="11" customFormat="1" x14ac:dyDescent="0.2">
      <c r="A24" s="10" t="s">
        <v>24</v>
      </c>
      <c r="B24" s="11">
        <v>1</v>
      </c>
      <c r="D24" s="11">
        <v>3</v>
      </c>
      <c r="E24" s="11" t="s">
        <v>53</v>
      </c>
      <c r="G24" s="11" t="s">
        <v>72</v>
      </c>
      <c r="H24" s="11" t="s">
        <v>71</v>
      </c>
      <c r="I24" s="11" t="s">
        <v>74</v>
      </c>
      <c r="J24" s="11" t="s">
        <v>53</v>
      </c>
      <c r="K24" s="11" t="s">
        <v>53</v>
      </c>
      <c r="L24" s="11" t="s">
        <v>74</v>
      </c>
      <c r="M24" s="11" t="s">
        <v>80</v>
      </c>
      <c r="O24" s="11" t="s">
        <v>73</v>
      </c>
      <c r="P24" s="11" t="s">
        <v>76</v>
      </c>
      <c r="S24" s="11" t="s">
        <v>73</v>
      </c>
      <c r="U24" s="11" t="s">
        <v>116</v>
      </c>
      <c r="W24" s="11" t="s">
        <v>74</v>
      </c>
      <c r="X24" s="11" t="s">
        <v>103</v>
      </c>
      <c r="Y24" s="11" t="s">
        <v>94</v>
      </c>
      <c r="Z24" s="11" t="s">
        <v>80</v>
      </c>
      <c r="AB24" s="11" t="s">
        <v>120</v>
      </c>
      <c r="AC24" s="11" t="s">
        <v>93</v>
      </c>
      <c r="AD24" s="11" t="s">
        <v>70</v>
      </c>
      <c r="AE24" s="11" t="s">
        <v>116</v>
      </c>
      <c r="AF24" s="11" t="s">
        <v>74</v>
      </c>
      <c r="AH24" s="11" t="s">
        <v>74</v>
      </c>
      <c r="AI24" s="11" t="s">
        <v>82</v>
      </c>
      <c r="AJ24" s="11" t="s">
        <v>94</v>
      </c>
      <c r="AK24" s="11" t="s">
        <v>94</v>
      </c>
      <c r="AL24" s="11" t="s">
        <v>71</v>
      </c>
      <c r="AM24" s="11" t="s">
        <v>152</v>
      </c>
      <c r="AN24" s="11" t="s">
        <v>77</v>
      </c>
      <c r="AO24" s="11" t="s">
        <v>71</v>
      </c>
      <c r="AP24" s="11" t="s">
        <v>70</v>
      </c>
      <c r="AQ24" s="11" t="s">
        <v>85</v>
      </c>
      <c r="AR24" s="11" t="s">
        <v>157</v>
      </c>
      <c r="AS24" s="11" t="s">
        <v>94</v>
      </c>
      <c r="AT24" s="11" t="s">
        <v>81</v>
      </c>
      <c r="AU24" s="11" t="s">
        <v>95</v>
      </c>
      <c r="AV24" s="11" t="s">
        <v>154</v>
      </c>
      <c r="AW24" s="11" t="s">
        <v>103</v>
      </c>
      <c r="AX24" s="11" t="s">
        <v>103</v>
      </c>
      <c r="AY24" s="11" t="s">
        <v>71</v>
      </c>
      <c r="BA24" s="11" t="s">
        <v>106</v>
      </c>
      <c r="BB24" s="11" t="s">
        <v>82</v>
      </c>
      <c r="BC24" s="11" t="s">
        <v>116</v>
      </c>
      <c r="BE24" s="11" t="s">
        <v>82</v>
      </c>
      <c r="BG24" s="11" t="s">
        <v>103</v>
      </c>
      <c r="BI24" s="11" t="s">
        <v>70</v>
      </c>
      <c r="BJ24" s="11" t="s">
        <v>70</v>
      </c>
      <c r="BM24" s="9">
        <v>365</v>
      </c>
      <c r="BN24" s="9">
        <v>8</v>
      </c>
      <c r="BO24" s="15">
        <f>BM24/BM57</f>
        <v>8.9089577739809619E-2</v>
      </c>
    </row>
    <row r="25" spans="1:67" s="11" customFormat="1" x14ac:dyDescent="0.2">
      <c r="A25" s="10" t="s">
        <v>25</v>
      </c>
      <c r="O25" s="11" t="s">
        <v>70</v>
      </c>
      <c r="P25" s="11" t="s">
        <v>71</v>
      </c>
      <c r="R25" s="11" t="s">
        <v>96</v>
      </c>
      <c r="S25" s="11" t="s">
        <v>71</v>
      </c>
      <c r="T25" s="11" t="s">
        <v>73</v>
      </c>
      <c r="U25" s="11" t="s">
        <v>70</v>
      </c>
      <c r="X25" s="11" t="s">
        <v>70</v>
      </c>
      <c r="Y25" s="11" t="s">
        <v>70</v>
      </c>
      <c r="Z25" s="11" t="s">
        <v>70</v>
      </c>
      <c r="AD25" s="11" t="s">
        <v>70</v>
      </c>
      <c r="AE25" s="11" t="s">
        <v>70</v>
      </c>
      <c r="AG25" s="11" t="s">
        <v>70</v>
      </c>
      <c r="AJ25" s="11" t="s">
        <v>70</v>
      </c>
      <c r="AM25" s="11" t="s">
        <v>70</v>
      </c>
      <c r="AQ25" s="11" t="s">
        <v>74</v>
      </c>
      <c r="AR25" s="11" t="s">
        <v>117</v>
      </c>
      <c r="AS25" s="11" t="s">
        <v>53</v>
      </c>
      <c r="AT25" s="11" t="s">
        <v>53</v>
      </c>
      <c r="AV25" s="11" t="s">
        <v>71</v>
      </c>
      <c r="AW25" s="11" t="s">
        <v>70</v>
      </c>
      <c r="AX25" s="11" t="s">
        <v>70</v>
      </c>
      <c r="BA25" s="11" t="s">
        <v>70</v>
      </c>
      <c r="BB25" s="11" t="s">
        <v>70</v>
      </c>
      <c r="BM25" s="9">
        <v>59</v>
      </c>
      <c r="BN25" s="9">
        <v>2</v>
      </c>
      <c r="BO25" s="15">
        <f>BM25/BM57</f>
        <v>1.4400781059311691E-2</v>
      </c>
    </row>
    <row r="26" spans="1:67" s="11" customFormat="1" x14ac:dyDescent="0.2">
      <c r="A26" s="10" t="s">
        <v>26</v>
      </c>
      <c r="L26" s="11" t="s">
        <v>70</v>
      </c>
      <c r="M26" s="11" t="s">
        <v>70</v>
      </c>
      <c r="O26" s="11" t="s">
        <v>76</v>
      </c>
      <c r="R26" s="11" t="s">
        <v>74</v>
      </c>
      <c r="S26" s="11" t="s">
        <v>70</v>
      </c>
      <c r="U26" s="11" t="s">
        <v>70</v>
      </c>
      <c r="Y26" s="11" t="s">
        <v>70</v>
      </c>
      <c r="Z26" s="11" t="s">
        <v>70</v>
      </c>
      <c r="AB26" s="11" t="s">
        <v>74</v>
      </c>
      <c r="AE26" s="11" t="s">
        <v>53</v>
      </c>
      <c r="AK26" s="11" t="s">
        <v>70</v>
      </c>
      <c r="AP26" s="11" t="s">
        <v>70</v>
      </c>
      <c r="AR26" s="11" t="s">
        <v>71</v>
      </c>
      <c r="AV26" s="11" t="s">
        <v>71</v>
      </c>
      <c r="AW26" s="11" t="s">
        <v>82</v>
      </c>
      <c r="BB26" s="11" t="s">
        <v>70</v>
      </c>
      <c r="BG26" s="11" t="s">
        <v>70</v>
      </c>
      <c r="BJ26" s="11" t="s">
        <v>70</v>
      </c>
      <c r="BM26" s="9">
        <v>31</v>
      </c>
      <c r="BN26" s="9">
        <v>1</v>
      </c>
      <c r="BO26" s="15">
        <f>BM26/BM57</f>
        <v>7.5665120820112277E-3</v>
      </c>
    </row>
    <row r="27" spans="1:67" s="11" customFormat="1" x14ac:dyDescent="0.2">
      <c r="A27" s="10" t="s">
        <v>27</v>
      </c>
      <c r="G27" s="11" t="s">
        <v>53</v>
      </c>
      <c r="R27" s="11" t="s">
        <v>104</v>
      </c>
      <c r="S27" s="11" t="s">
        <v>71</v>
      </c>
      <c r="T27" s="11" t="s">
        <v>71</v>
      </c>
      <c r="AD27" s="11" t="s">
        <v>70</v>
      </c>
      <c r="AJ27" s="11" t="s">
        <v>71</v>
      </c>
      <c r="AK27" s="11" t="s">
        <v>70</v>
      </c>
      <c r="AN27" s="11" t="s">
        <v>74</v>
      </c>
      <c r="AR27" s="11" t="s">
        <v>70</v>
      </c>
      <c r="AT27" s="11" t="s">
        <v>55</v>
      </c>
      <c r="AU27" s="11" t="s">
        <v>53</v>
      </c>
      <c r="AV27" s="11" t="s">
        <v>71</v>
      </c>
      <c r="AW27" s="11" t="s">
        <v>71</v>
      </c>
      <c r="AX27" s="11" t="s">
        <v>70</v>
      </c>
      <c r="BA27" s="11" t="s">
        <v>82</v>
      </c>
      <c r="BB27" s="11" t="s">
        <v>71</v>
      </c>
      <c r="BC27" s="11" t="s">
        <v>70</v>
      </c>
      <c r="BE27" s="11" t="s">
        <v>70</v>
      </c>
      <c r="BG27" s="11" t="s">
        <v>70</v>
      </c>
      <c r="BH27" s="11" t="s">
        <v>70</v>
      </c>
      <c r="BM27" s="9">
        <v>36</v>
      </c>
      <c r="BN27" s="9">
        <v>3</v>
      </c>
      <c r="BO27" s="15">
        <f>BM27/BM57</f>
        <v>8.7869172565291677E-3</v>
      </c>
    </row>
    <row r="28" spans="1:67" s="11" customFormat="1" x14ac:dyDescent="0.2">
      <c r="A28" s="10" t="s">
        <v>28</v>
      </c>
      <c r="P28" s="11" t="s">
        <v>53</v>
      </c>
      <c r="R28" s="11" t="s">
        <v>74</v>
      </c>
      <c r="X28" s="11" t="s">
        <v>53</v>
      </c>
      <c r="Y28" s="11" t="s">
        <v>53</v>
      </c>
      <c r="Z28" s="11" t="s">
        <v>71</v>
      </c>
      <c r="AJ28" s="11" t="s">
        <v>70</v>
      </c>
      <c r="AS28" s="11" t="s">
        <v>70</v>
      </c>
      <c r="AV28" s="11" t="s">
        <v>70</v>
      </c>
      <c r="AX28" s="11" t="s">
        <v>70</v>
      </c>
      <c r="BA28" s="11" t="s">
        <v>70</v>
      </c>
      <c r="BM28" s="9">
        <v>10</v>
      </c>
      <c r="BN28" s="9">
        <v>3</v>
      </c>
      <c r="BO28" s="15">
        <f>BM28/BM57</f>
        <v>2.4408103490358799E-3</v>
      </c>
    </row>
    <row r="29" spans="1:67" s="11" customFormat="1" x14ac:dyDescent="0.2">
      <c r="A29" s="10" t="s">
        <v>29</v>
      </c>
      <c r="H29" s="11" t="s">
        <v>70</v>
      </c>
      <c r="I29" s="11" t="s">
        <v>81</v>
      </c>
      <c r="K29" s="11" t="s">
        <v>53</v>
      </c>
      <c r="L29" s="11" t="s">
        <v>70</v>
      </c>
      <c r="M29" s="11" t="s">
        <v>70</v>
      </c>
      <c r="O29" s="11" t="s">
        <v>92</v>
      </c>
      <c r="P29" s="11" t="s">
        <v>74</v>
      </c>
      <c r="R29" s="11" t="s">
        <v>71</v>
      </c>
      <c r="S29" s="11" t="s">
        <v>70</v>
      </c>
      <c r="T29" s="11" t="s">
        <v>70</v>
      </c>
      <c r="U29" s="11" t="s">
        <v>74</v>
      </c>
      <c r="X29" s="11" t="s">
        <v>71</v>
      </c>
      <c r="Y29" s="11" t="s">
        <v>70</v>
      </c>
      <c r="AB29" s="11" t="s">
        <v>74</v>
      </c>
      <c r="AC29" s="11" t="s">
        <v>70</v>
      </c>
      <c r="AD29" s="11" t="s">
        <v>78</v>
      </c>
      <c r="AF29" s="11" t="s">
        <v>71</v>
      </c>
      <c r="AR29" s="11" t="s">
        <v>70</v>
      </c>
      <c r="AS29" s="11" t="s">
        <v>82</v>
      </c>
      <c r="BA29" s="11" t="s">
        <v>71</v>
      </c>
      <c r="BM29" s="9">
        <v>61</v>
      </c>
      <c r="BN29" s="9">
        <v>3</v>
      </c>
      <c r="BO29" s="15">
        <f>BM29/BM57</f>
        <v>1.4888943129118867E-2</v>
      </c>
    </row>
    <row r="30" spans="1:67" s="11" customFormat="1" x14ac:dyDescent="0.2">
      <c r="A30" s="10" t="s">
        <v>30</v>
      </c>
      <c r="D30" s="11" t="s">
        <v>57</v>
      </c>
      <c r="G30" s="11" t="s">
        <v>53</v>
      </c>
      <c r="H30" s="11" t="s">
        <v>73</v>
      </c>
      <c r="I30" s="11" t="s">
        <v>82</v>
      </c>
      <c r="K30" s="11" t="s">
        <v>86</v>
      </c>
      <c r="L30" s="11" t="s">
        <v>71</v>
      </c>
      <c r="M30" s="11" t="s">
        <v>70</v>
      </c>
      <c r="O30" s="11" t="s">
        <v>70</v>
      </c>
      <c r="R30" s="11" t="s">
        <v>70</v>
      </c>
      <c r="S30" s="11" t="s">
        <v>74</v>
      </c>
      <c r="T30" s="11" t="s">
        <v>74</v>
      </c>
      <c r="U30" s="11" t="s">
        <v>70</v>
      </c>
      <c r="W30" s="11" t="s">
        <v>70</v>
      </c>
      <c r="Y30" s="11" t="s">
        <v>72</v>
      </c>
      <c r="Z30" s="11" t="s">
        <v>71</v>
      </c>
      <c r="AB30" s="11" t="s">
        <v>85</v>
      </c>
      <c r="AC30" s="11" t="s">
        <v>70</v>
      </c>
      <c r="AD30" s="11" t="s">
        <v>70</v>
      </c>
      <c r="AE30" s="11" t="s">
        <v>74</v>
      </c>
      <c r="AH30" s="11" t="s">
        <v>53</v>
      </c>
      <c r="AJ30" s="11" t="s">
        <v>71</v>
      </c>
      <c r="AM30" s="11" t="s">
        <v>71</v>
      </c>
      <c r="AN30" s="11" t="s">
        <v>53</v>
      </c>
      <c r="AP30" s="11" t="s">
        <v>70</v>
      </c>
      <c r="AQ30" s="11" t="s">
        <v>74</v>
      </c>
      <c r="AR30" s="11" t="s">
        <v>71</v>
      </c>
      <c r="AS30" s="11" t="s">
        <v>71</v>
      </c>
      <c r="AT30" s="11" t="s">
        <v>53</v>
      </c>
      <c r="AV30" s="11" t="s">
        <v>74</v>
      </c>
      <c r="AW30" s="11" t="s">
        <v>55</v>
      </c>
      <c r="AX30" s="11" t="s">
        <v>76</v>
      </c>
      <c r="AY30" s="11" t="s">
        <v>71</v>
      </c>
      <c r="AZ30" s="11" t="s">
        <v>71</v>
      </c>
      <c r="BA30" s="11" t="s">
        <v>70</v>
      </c>
      <c r="BB30" s="11" t="s">
        <v>74</v>
      </c>
      <c r="BE30" s="11" t="s">
        <v>55</v>
      </c>
      <c r="BG30" s="11" t="s">
        <v>70</v>
      </c>
      <c r="BM30" s="9">
        <v>73</v>
      </c>
      <c r="BN30" s="9">
        <v>15</v>
      </c>
      <c r="BO30" s="15">
        <f>BM30/BM57</f>
        <v>1.7817915547961923E-2</v>
      </c>
    </row>
    <row r="31" spans="1:67" s="11" customFormat="1" x14ac:dyDescent="0.2">
      <c r="A31" s="10" t="s">
        <v>31</v>
      </c>
      <c r="R31" s="11" t="s">
        <v>72</v>
      </c>
      <c r="U31" s="11" t="s">
        <v>53</v>
      </c>
      <c r="Z31" s="11" t="s">
        <v>70</v>
      </c>
      <c r="AE31" s="11" t="s">
        <v>70</v>
      </c>
      <c r="AF31" s="11" t="s">
        <v>72</v>
      </c>
      <c r="AQ31" s="11" t="s">
        <v>70</v>
      </c>
      <c r="AR31" s="11" t="s">
        <v>73</v>
      </c>
      <c r="BB31" s="11" t="s">
        <v>55</v>
      </c>
      <c r="BC31" s="11" t="s">
        <v>53</v>
      </c>
      <c r="BE31" s="11" t="s">
        <v>70</v>
      </c>
      <c r="BJ31" s="11" t="s">
        <v>70</v>
      </c>
      <c r="BM31" s="9">
        <v>15</v>
      </c>
      <c r="BN31" s="9">
        <v>7</v>
      </c>
      <c r="BO31" s="15">
        <f>BM31/BM57</f>
        <v>3.6612155235538199E-3</v>
      </c>
    </row>
    <row r="32" spans="1:67" s="11" customFormat="1" x14ac:dyDescent="0.2">
      <c r="A32" s="10" t="s">
        <v>32</v>
      </c>
      <c r="P32" s="11" t="s">
        <v>95</v>
      </c>
      <c r="R32" s="11" t="s">
        <v>71</v>
      </c>
      <c r="Y32" s="11" t="s">
        <v>53</v>
      </c>
      <c r="AA32" s="11" t="s">
        <v>53</v>
      </c>
      <c r="AD32" s="11" t="s">
        <v>70</v>
      </c>
      <c r="BM32" s="9">
        <v>5</v>
      </c>
      <c r="BN32" s="9">
        <v>3</v>
      </c>
      <c r="BO32" s="15">
        <f>BM32/BM57</f>
        <v>1.22040517451794E-3</v>
      </c>
    </row>
    <row r="33" spans="1:67" s="11" customFormat="1" x14ac:dyDescent="0.2">
      <c r="A33" s="10" t="s">
        <v>33</v>
      </c>
      <c r="D33" s="11" t="s">
        <v>53</v>
      </c>
      <c r="I33" s="11" t="s">
        <v>83</v>
      </c>
      <c r="K33" s="11" t="s">
        <v>53</v>
      </c>
      <c r="M33" s="11" t="s">
        <v>74</v>
      </c>
      <c r="O33" s="11" t="s">
        <v>74</v>
      </c>
      <c r="P33" s="11" t="s">
        <v>53</v>
      </c>
      <c r="R33" s="11" t="s">
        <v>78</v>
      </c>
      <c r="S33" s="11" t="s">
        <v>95</v>
      </c>
      <c r="T33" s="11" t="s">
        <v>70</v>
      </c>
      <c r="U33" s="11" t="s">
        <v>72</v>
      </c>
      <c r="X33" s="11" t="s">
        <v>72</v>
      </c>
      <c r="Y33" s="11" t="s">
        <v>118</v>
      </c>
      <c r="Z33" s="11" t="s">
        <v>95</v>
      </c>
      <c r="AB33" s="11" t="s">
        <v>71</v>
      </c>
      <c r="AC33" s="11" t="s">
        <v>72</v>
      </c>
      <c r="AD33" s="11" t="s">
        <v>55</v>
      </c>
      <c r="AE33" s="11" t="s">
        <v>95</v>
      </c>
      <c r="AF33" s="11" t="s">
        <v>133</v>
      </c>
      <c r="AI33" s="11" t="s">
        <v>53</v>
      </c>
      <c r="AJ33" s="11" t="s">
        <v>142</v>
      </c>
      <c r="AM33" s="11" t="s">
        <v>70</v>
      </c>
      <c r="AR33" s="11" t="s">
        <v>158</v>
      </c>
      <c r="AS33" s="11" t="s">
        <v>160</v>
      </c>
      <c r="AT33" s="11" t="s">
        <v>72</v>
      </c>
      <c r="AU33" s="11" t="s">
        <v>95</v>
      </c>
      <c r="AW33" s="11" t="s">
        <v>70</v>
      </c>
      <c r="AX33" s="11" t="s">
        <v>70</v>
      </c>
      <c r="BA33" s="11" t="s">
        <v>156</v>
      </c>
      <c r="BB33" s="11" t="s">
        <v>71</v>
      </c>
      <c r="BC33" s="11" t="s">
        <v>70</v>
      </c>
      <c r="BE33" s="11" t="s">
        <v>186</v>
      </c>
      <c r="BM33" s="9">
        <v>60</v>
      </c>
      <c r="BN33" s="9">
        <v>64</v>
      </c>
      <c r="BO33" s="15">
        <f>BM33/BM57</f>
        <v>1.4644862094215279E-2</v>
      </c>
    </row>
    <row r="34" spans="1:67" s="11" customFormat="1" x14ac:dyDescent="0.2">
      <c r="A34" s="10" t="s">
        <v>34</v>
      </c>
      <c r="R34" s="11" t="s">
        <v>53</v>
      </c>
      <c r="BG34" s="11" t="s">
        <v>70</v>
      </c>
      <c r="BM34" s="9">
        <v>1</v>
      </c>
      <c r="BN34" s="9">
        <v>1</v>
      </c>
      <c r="BO34" s="15">
        <f>BM34/BM57</f>
        <v>2.4408103490358799E-4</v>
      </c>
    </row>
    <row r="35" spans="1:67" s="11" customFormat="1" x14ac:dyDescent="0.2">
      <c r="A35" s="10" t="s">
        <v>35</v>
      </c>
      <c r="M35" s="11" t="s">
        <v>71</v>
      </c>
      <c r="U35" s="11" t="s">
        <v>72</v>
      </c>
      <c r="Y35" s="11" t="s">
        <v>70</v>
      </c>
      <c r="AD35" s="11" t="s">
        <v>53</v>
      </c>
      <c r="AF35" s="11" t="s">
        <v>70</v>
      </c>
      <c r="AJ35" s="11" t="s">
        <v>55</v>
      </c>
      <c r="BM35" s="9">
        <v>5</v>
      </c>
      <c r="BN35" s="9">
        <v>4</v>
      </c>
      <c r="BO35" s="15">
        <f>BM35/BM57</f>
        <v>1.22040517451794E-3</v>
      </c>
    </row>
    <row r="36" spans="1:67" s="11" customFormat="1" x14ac:dyDescent="0.2">
      <c r="A36" s="10" t="s">
        <v>36</v>
      </c>
      <c r="U36" s="11" t="s">
        <v>53</v>
      </c>
      <c r="AB36" s="11" t="s">
        <v>53</v>
      </c>
      <c r="AD36" s="11" t="s">
        <v>70</v>
      </c>
      <c r="AJ36" s="11" t="s">
        <v>53</v>
      </c>
      <c r="AR36" s="11" t="s">
        <v>53</v>
      </c>
      <c r="AV36" s="11" t="s">
        <v>71</v>
      </c>
      <c r="AY36" s="11" t="s">
        <v>70</v>
      </c>
      <c r="BG36" s="11" t="s">
        <v>55</v>
      </c>
      <c r="BM36" s="9">
        <v>5</v>
      </c>
      <c r="BN36" s="9">
        <v>5</v>
      </c>
      <c r="BO36" s="15">
        <f>BM36/BM57</f>
        <v>1.22040517451794E-3</v>
      </c>
    </row>
    <row r="37" spans="1:67" s="11" customFormat="1" x14ac:dyDescent="0.2">
      <c r="A37" s="10" t="s">
        <v>37</v>
      </c>
      <c r="BM37" s="14">
        <v>0</v>
      </c>
      <c r="BN37" s="14">
        <v>0</v>
      </c>
      <c r="BO37" s="15">
        <f>BM37/BM57</f>
        <v>0</v>
      </c>
    </row>
    <row r="38" spans="1:67" s="11" customFormat="1" x14ac:dyDescent="0.2">
      <c r="A38" s="10" t="s">
        <v>38</v>
      </c>
      <c r="B38" s="11" t="s">
        <v>53</v>
      </c>
      <c r="C38" s="11">
        <v>1</v>
      </c>
      <c r="D38" s="11">
        <v>20</v>
      </c>
      <c r="G38" s="11" t="s">
        <v>73</v>
      </c>
      <c r="H38" s="11" t="s">
        <v>77</v>
      </c>
      <c r="I38" s="11" t="s">
        <v>84</v>
      </c>
      <c r="J38" s="11" t="s">
        <v>76</v>
      </c>
      <c r="L38" s="11" t="s">
        <v>82</v>
      </c>
      <c r="M38" s="11" t="s">
        <v>88</v>
      </c>
      <c r="O38" s="11" t="s">
        <v>91</v>
      </c>
      <c r="P38" s="11" t="s">
        <v>96</v>
      </c>
      <c r="R38" s="11" t="s">
        <v>105</v>
      </c>
      <c r="S38" s="11" t="s">
        <v>108</v>
      </c>
      <c r="T38" s="11" t="s">
        <v>109</v>
      </c>
      <c r="U38" s="11" t="s">
        <v>192</v>
      </c>
      <c r="W38" s="11" t="s">
        <v>76</v>
      </c>
      <c r="X38" s="11" t="s">
        <v>92</v>
      </c>
      <c r="Y38" s="11" t="s">
        <v>119</v>
      </c>
      <c r="Z38" s="11" t="s">
        <v>121</v>
      </c>
      <c r="AA38" s="11" t="s">
        <v>82</v>
      </c>
      <c r="AB38" s="11" t="s">
        <v>122</v>
      </c>
      <c r="AC38" s="11" t="s">
        <v>123</v>
      </c>
      <c r="AD38" s="11" t="s">
        <v>127</v>
      </c>
      <c r="AE38" s="11" t="s">
        <v>130</v>
      </c>
      <c r="AF38" s="11" t="s">
        <v>134</v>
      </c>
      <c r="AG38" s="11" t="s">
        <v>74</v>
      </c>
      <c r="AH38" s="11" t="s">
        <v>78</v>
      </c>
      <c r="AI38" s="11" t="s">
        <v>94</v>
      </c>
      <c r="AJ38" s="11" t="s">
        <v>143</v>
      </c>
      <c r="AK38" s="11" t="s">
        <v>144</v>
      </c>
      <c r="AM38" s="11" t="s">
        <v>134</v>
      </c>
      <c r="AN38" s="11" t="s">
        <v>153</v>
      </c>
      <c r="AO38" s="11" t="s">
        <v>70</v>
      </c>
      <c r="AP38" s="11" t="s">
        <v>78</v>
      </c>
      <c r="AQ38" s="11" t="s">
        <v>155</v>
      </c>
      <c r="AR38" s="11" t="s">
        <v>159</v>
      </c>
      <c r="AS38" s="11" t="s">
        <v>161</v>
      </c>
      <c r="AT38" s="11" t="s">
        <v>163</v>
      </c>
      <c r="AU38" s="11" t="s">
        <v>167</v>
      </c>
      <c r="AV38" s="11" t="s">
        <v>127</v>
      </c>
      <c r="AW38" s="11" t="s">
        <v>169</v>
      </c>
      <c r="AX38" s="11" t="s">
        <v>172</v>
      </c>
      <c r="AY38" s="11" t="s">
        <v>104</v>
      </c>
      <c r="AZ38" s="11" t="s">
        <v>94</v>
      </c>
      <c r="BA38" s="11" t="s">
        <v>181</v>
      </c>
      <c r="BB38" s="11" t="s">
        <v>183</v>
      </c>
      <c r="BC38" s="11" t="s">
        <v>184</v>
      </c>
      <c r="BE38" s="11" t="s">
        <v>168</v>
      </c>
      <c r="BG38" s="11" t="s">
        <v>108</v>
      </c>
      <c r="BH38" s="11" t="s">
        <v>71</v>
      </c>
      <c r="BI38" s="11" t="s">
        <v>74</v>
      </c>
      <c r="BJ38" s="11" t="s">
        <v>78</v>
      </c>
      <c r="BM38" s="9">
        <v>1619</v>
      </c>
      <c r="BN38" s="9">
        <v>4</v>
      </c>
      <c r="BO38" s="15">
        <f>BM38/BM57</f>
        <v>0.39516719550890894</v>
      </c>
    </row>
    <row r="39" spans="1:67" s="11" customFormat="1" x14ac:dyDescent="0.2">
      <c r="A39" s="10" t="s">
        <v>39</v>
      </c>
      <c r="BM39" s="14">
        <v>0</v>
      </c>
      <c r="BN39" s="14">
        <v>0</v>
      </c>
      <c r="BO39" s="15">
        <f>BM39/BM57</f>
        <v>0</v>
      </c>
    </row>
    <row r="40" spans="1:67" s="11" customFormat="1" x14ac:dyDescent="0.2">
      <c r="A40" s="10" t="s">
        <v>40</v>
      </c>
      <c r="D40" s="11" t="s">
        <v>58</v>
      </c>
      <c r="H40" s="11" t="s">
        <v>78</v>
      </c>
      <c r="I40" s="11" t="s">
        <v>85</v>
      </c>
      <c r="J40" s="11" t="s">
        <v>72</v>
      </c>
      <c r="K40" s="11" t="s">
        <v>70</v>
      </c>
      <c r="L40" s="11" t="s">
        <v>70</v>
      </c>
      <c r="M40" s="11" t="s">
        <v>89</v>
      </c>
      <c r="O40" s="11" t="s">
        <v>74</v>
      </c>
      <c r="P40" s="11" t="s">
        <v>76</v>
      </c>
      <c r="R40" s="11" t="s">
        <v>74</v>
      </c>
      <c r="S40" s="11" t="s">
        <v>70</v>
      </c>
      <c r="T40" s="11" t="s">
        <v>78</v>
      </c>
      <c r="X40" s="11" t="s">
        <v>70</v>
      </c>
      <c r="Y40" s="11" t="s">
        <v>71</v>
      </c>
      <c r="AB40" s="11" t="s">
        <v>74</v>
      </c>
      <c r="AD40" s="11" t="s">
        <v>71</v>
      </c>
      <c r="AE40" s="11" t="s">
        <v>131</v>
      </c>
      <c r="AG40" s="11" t="s">
        <v>53</v>
      </c>
      <c r="AJ40" s="11" t="s">
        <v>82</v>
      </c>
      <c r="AK40" s="11" t="s">
        <v>74</v>
      </c>
      <c r="AL40" s="11" t="s">
        <v>70</v>
      </c>
      <c r="AM40" s="11" t="s">
        <v>70</v>
      </c>
      <c r="AN40" s="11" t="s">
        <v>70</v>
      </c>
      <c r="AQ40" s="11" t="s">
        <v>74</v>
      </c>
      <c r="AR40" s="11" t="s">
        <v>73</v>
      </c>
      <c r="AT40" s="11" t="s">
        <v>53</v>
      </c>
      <c r="AV40" s="11" t="s">
        <v>78</v>
      </c>
      <c r="AW40" s="11" t="s">
        <v>71</v>
      </c>
      <c r="AX40" s="11" t="s">
        <v>70</v>
      </c>
      <c r="AZ40" s="11" t="s">
        <v>70</v>
      </c>
      <c r="BA40" s="11" t="s">
        <v>74</v>
      </c>
      <c r="BB40" s="11" t="s">
        <v>82</v>
      </c>
      <c r="BG40" s="11" t="s">
        <v>70</v>
      </c>
      <c r="BH40" s="11" t="s">
        <v>71</v>
      </c>
      <c r="BM40" s="9">
        <v>98</v>
      </c>
      <c r="BN40" s="9">
        <v>9</v>
      </c>
      <c r="BO40" s="15">
        <f>BM40/BM57</f>
        <v>2.3919941420551621E-2</v>
      </c>
    </row>
    <row r="41" spans="1:67" s="11" customFormat="1" x14ac:dyDescent="0.2">
      <c r="A41" s="10" t="s">
        <v>41</v>
      </c>
      <c r="D41" s="11">
        <v>2</v>
      </c>
      <c r="L41" s="11" t="s">
        <v>71</v>
      </c>
      <c r="O41" s="11" t="s">
        <v>70</v>
      </c>
      <c r="R41" s="11" t="s">
        <v>70</v>
      </c>
      <c r="U41" s="11" t="s">
        <v>70</v>
      </c>
      <c r="AD41" s="11" t="s">
        <v>70</v>
      </c>
      <c r="AE41" s="11" t="s">
        <v>70</v>
      </c>
      <c r="AU41" s="11" t="s">
        <v>70</v>
      </c>
      <c r="BM41" s="9">
        <v>10</v>
      </c>
      <c r="BN41" s="9">
        <v>0</v>
      </c>
      <c r="BO41" s="15">
        <f>BM41/BM57</f>
        <v>2.4408103490358799E-3</v>
      </c>
    </row>
    <row r="42" spans="1:67" s="11" customFormat="1" x14ac:dyDescent="0.2">
      <c r="A42" s="10" t="s">
        <v>42</v>
      </c>
      <c r="BM42" s="14">
        <v>0</v>
      </c>
      <c r="BN42" s="14">
        <v>0</v>
      </c>
      <c r="BO42" s="15">
        <f>BM42/BM57</f>
        <v>0</v>
      </c>
    </row>
    <row r="43" spans="1:67" s="11" customFormat="1" x14ac:dyDescent="0.2">
      <c r="A43" s="10" t="s">
        <v>43</v>
      </c>
      <c r="BM43" s="14">
        <v>0</v>
      </c>
      <c r="BN43" s="14">
        <v>0</v>
      </c>
      <c r="BO43" s="15">
        <f>BM43/BM57</f>
        <v>0</v>
      </c>
    </row>
    <row r="44" spans="1:67" s="11" customFormat="1" x14ac:dyDescent="0.2">
      <c r="A44" s="10" t="s">
        <v>44</v>
      </c>
      <c r="BM44" s="14">
        <v>0</v>
      </c>
      <c r="BN44" s="14">
        <v>0</v>
      </c>
      <c r="BO44" s="15">
        <f>BM44/BM57</f>
        <v>0</v>
      </c>
    </row>
    <row r="45" spans="1:67" s="11" customFormat="1" x14ac:dyDescent="0.2">
      <c r="A45" s="10" t="s">
        <v>45</v>
      </c>
      <c r="M45" s="11" t="s">
        <v>71</v>
      </c>
      <c r="O45" s="11" t="s">
        <v>71</v>
      </c>
      <c r="P45" s="11" t="s">
        <v>53</v>
      </c>
      <c r="R45" s="11" t="s">
        <v>70</v>
      </c>
      <c r="Y45" s="11" t="s">
        <v>55</v>
      </c>
      <c r="AR45" s="11" t="s">
        <v>70</v>
      </c>
      <c r="AT45" s="11" t="s">
        <v>58</v>
      </c>
      <c r="AU45" s="11" t="s">
        <v>53</v>
      </c>
      <c r="BM45" s="9">
        <v>7</v>
      </c>
      <c r="BN45" s="9">
        <v>6</v>
      </c>
      <c r="BO45" s="15">
        <f>BM45/BM57</f>
        <v>1.7085672443251159E-3</v>
      </c>
    </row>
    <row r="46" spans="1:67" s="11" customFormat="1" x14ac:dyDescent="0.2">
      <c r="A46" s="10" t="s">
        <v>46</v>
      </c>
      <c r="B46" s="11" t="s">
        <v>53</v>
      </c>
      <c r="C46" s="11" t="s">
        <v>55</v>
      </c>
      <c r="D46" s="12" t="s">
        <v>59</v>
      </c>
      <c r="E46" s="11">
        <v>2</v>
      </c>
      <c r="F46" s="11" t="s">
        <v>70</v>
      </c>
      <c r="G46" s="11" t="s">
        <v>70</v>
      </c>
      <c r="H46" s="11" t="s">
        <v>73</v>
      </c>
      <c r="I46" s="11" t="s">
        <v>74</v>
      </c>
      <c r="J46" s="11" t="s">
        <v>55</v>
      </c>
      <c r="K46" s="11" t="s">
        <v>87</v>
      </c>
      <c r="L46" s="11" t="s">
        <v>85</v>
      </c>
      <c r="M46" s="11" t="s">
        <v>90</v>
      </c>
      <c r="O46" s="11" t="s">
        <v>93</v>
      </c>
      <c r="P46" s="11" t="s">
        <v>80</v>
      </c>
      <c r="R46" s="11" t="s">
        <v>106</v>
      </c>
      <c r="S46" s="11" t="s">
        <v>94</v>
      </c>
      <c r="T46" s="11" t="s">
        <v>71</v>
      </c>
      <c r="U46" s="11" t="s">
        <v>80</v>
      </c>
      <c r="W46" s="11" t="s">
        <v>70</v>
      </c>
      <c r="X46" s="11" t="s">
        <v>116</v>
      </c>
      <c r="Y46" s="11" t="s">
        <v>94</v>
      </c>
      <c r="Z46" s="11" t="s">
        <v>78</v>
      </c>
      <c r="AA46" s="11" t="s">
        <v>71</v>
      </c>
      <c r="AB46" s="11" t="s">
        <v>120</v>
      </c>
      <c r="AC46" s="11" t="s">
        <v>74</v>
      </c>
      <c r="AD46" s="11" t="s">
        <v>92</v>
      </c>
      <c r="AE46" s="11" t="s">
        <v>73</v>
      </c>
      <c r="AF46" s="11" t="s">
        <v>78</v>
      </c>
      <c r="AG46" s="11" t="s">
        <v>71</v>
      </c>
      <c r="AJ46" s="11" t="s">
        <v>85</v>
      </c>
      <c r="AK46" s="11" t="s">
        <v>104</v>
      </c>
      <c r="AM46" s="11" t="s">
        <v>104</v>
      </c>
      <c r="AN46" s="11" t="s">
        <v>82</v>
      </c>
      <c r="AO46" s="11" t="s">
        <v>71</v>
      </c>
      <c r="AQ46" s="11" t="s">
        <v>78</v>
      </c>
      <c r="AR46" s="11" t="s">
        <v>74</v>
      </c>
      <c r="AS46" s="11" t="s">
        <v>74</v>
      </c>
      <c r="AU46" s="11" t="s">
        <v>78</v>
      </c>
      <c r="AV46" s="11" t="s">
        <v>76</v>
      </c>
      <c r="AW46" s="11" t="s">
        <v>170</v>
      </c>
      <c r="AX46" s="11" t="s">
        <v>78</v>
      </c>
      <c r="AY46" s="11" t="s">
        <v>117</v>
      </c>
      <c r="AZ46" s="11" t="s">
        <v>70</v>
      </c>
      <c r="BA46" s="11" t="s">
        <v>82</v>
      </c>
      <c r="BB46" s="11" t="s">
        <v>82</v>
      </c>
      <c r="BC46" s="11" t="s">
        <v>71</v>
      </c>
      <c r="BE46" s="11" t="s">
        <v>71</v>
      </c>
      <c r="BG46" s="11" t="s">
        <v>104</v>
      </c>
      <c r="BH46" s="11" t="s">
        <v>70</v>
      </c>
      <c r="BI46" s="11" t="s">
        <v>70</v>
      </c>
      <c r="BM46" s="9">
        <v>355</v>
      </c>
      <c r="BN46" s="9">
        <v>10</v>
      </c>
      <c r="BO46" s="15">
        <f>BM46/BM57</f>
        <v>8.6648767390773734E-2</v>
      </c>
    </row>
    <row r="47" spans="1:67" s="11" customFormat="1" x14ac:dyDescent="0.2">
      <c r="A47" s="10" t="s">
        <v>47</v>
      </c>
      <c r="BM47" s="9">
        <v>0</v>
      </c>
      <c r="BN47" s="9">
        <v>0</v>
      </c>
      <c r="BO47" s="15">
        <f>BM47/BM57</f>
        <v>0</v>
      </c>
    </row>
    <row r="48" spans="1:67" s="11" customFormat="1" x14ac:dyDescent="0.2">
      <c r="A48" s="10"/>
    </row>
    <row r="49" spans="1:67" x14ac:dyDescent="0.2">
      <c r="A49" s="5" t="s">
        <v>241</v>
      </c>
      <c r="B49" s="6" t="s">
        <v>86</v>
      </c>
      <c r="C49" s="6" t="s">
        <v>81</v>
      </c>
      <c r="D49" s="11" t="s">
        <v>207</v>
      </c>
      <c r="E49" s="6" t="s">
        <v>208</v>
      </c>
      <c r="F49" s="11" t="s">
        <v>244</v>
      </c>
      <c r="G49" s="6" t="s">
        <v>209</v>
      </c>
      <c r="H49" s="6" t="s">
        <v>210</v>
      </c>
      <c r="I49" s="6" t="s">
        <v>211</v>
      </c>
      <c r="J49" s="6" t="s">
        <v>212</v>
      </c>
      <c r="K49" s="6" t="s">
        <v>251</v>
      </c>
      <c r="L49" s="6" t="s">
        <v>167</v>
      </c>
      <c r="M49" s="6">
        <v>195</v>
      </c>
      <c r="N49" s="6">
        <f t="shared" ref="N49" si="0">SUM(L3:L47)</f>
        <v>0</v>
      </c>
      <c r="O49" s="6" t="s">
        <v>213</v>
      </c>
      <c r="P49" s="6" t="s">
        <v>214</v>
      </c>
      <c r="Q49" s="6">
        <v>0</v>
      </c>
      <c r="R49" s="6" t="s">
        <v>252</v>
      </c>
      <c r="S49" s="6" t="s">
        <v>215</v>
      </c>
      <c r="T49" s="6">
        <v>67</v>
      </c>
      <c r="U49" s="6" t="s">
        <v>216</v>
      </c>
      <c r="V49" s="6">
        <v>0</v>
      </c>
      <c r="W49" s="6">
        <v>18</v>
      </c>
      <c r="X49" s="6" t="s">
        <v>217</v>
      </c>
      <c r="Y49" s="6" t="s">
        <v>218</v>
      </c>
      <c r="Z49" s="6" t="s">
        <v>219</v>
      </c>
      <c r="AA49" s="6" t="s">
        <v>220</v>
      </c>
      <c r="AB49" s="6" t="s">
        <v>221</v>
      </c>
      <c r="AC49" s="6" t="s">
        <v>222</v>
      </c>
      <c r="AD49" s="6" t="s">
        <v>223</v>
      </c>
      <c r="AE49" s="9" t="s">
        <v>224</v>
      </c>
      <c r="AF49" s="6" t="s">
        <v>225</v>
      </c>
      <c r="AG49" s="6" t="s">
        <v>163</v>
      </c>
      <c r="AH49" s="6" t="s">
        <v>226</v>
      </c>
      <c r="AI49" s="6" t="s">
        <v>227</v>
      </c>
      <c r="AJ49" s="6" t="s">
        <v>253</v>
      </c>
      <c r="AK49" s="6">
        <v>81</v>
      </c>
      <c r="AL49" s="6">
        <v>4</v>
      </c>
      <c r="AM49" s="6" t="s">
        <v>228</v>
      </c>
      <c r="AN49" s="6" t="s">
        <v>223</v>
      </c>
      <c r="AO49" s="6">
        <v>6</v>
      </c>
      <c r="AP49" s="6" t="s">
        <v>254</v>
      </c>
      <c r="AQ49" s="6" t="s">
        <v>229</v>
      </c>
      <c r="AR49" s="6" t="s">
        <v>230</v>
      </c>
      <c r="AS49" s="6" t="s">
        <v>255</v>
      </c>
      <c r="AT49" s="6" t="s">
        <v>231</v>
      </c>
      <c r="AU49" s="6" t="s">
        <v>232</v>
      </c>
      <c r="AV49" s="6" t="s">
        <v>233</v>
      </c>
      <c r="AW49" s="6" t="s">
        <v>256</v>
      </c>
      <c r="AX49" s="6" t="s">
        <v>257</v>
      </c>
      <c r="AY49" s="6" t="s">
        <v>234</v>
      </c>
      <c r="AZ49" s="6" t="s">
        <v>235</v>
      </c>
      <c r="BA49" s="6" t="s">
        <v>258</v>
      </c>
      <c r="BB49" s="6" t="s">
        <v>236</v>
      </c>
      <c r="BC49" s="6" t="s">
        <v>237</v>
      </c>
      <c r="BD49" s="6">
        <v>0</v>
      </c>
      <c r="BE49" s="6" t="s">
        <v>238</v>
      </c>
      <c r="BF49" s="6">
        <v>0</v>
      </c>
      <c r="BG49" s="6" t="s">
        <v>239</v>
      </c>
      <c r="BH49" s="6">
        <v>8</v>
      </c>
      <c r="BI49" s="6">
        <v>5</v>
      </c>
      <c r="BJ49" s="6">
        <v>9</v>
      </c>
    </row>
    <row r="50" spans="1:67" ht="15" x14ac:dyDescent="0.2">
      <c r="A50" s="5" t="s">
        <v>54</v>
      </c>
      <c r="B50" s="6">
        <v>14</v>
      </c>
      <c r="C50" s="6">
        <v>12</v>
      </c>
      <c r="D50" s="6">
        <v>36</v>
      </c>
      <c r="E50" s="6">
        <v>16</v>
      </c>
      <c r="F50" s="6">
        <v>16</v>
      </c>
      <c r="G50" s="6">
        <v>18</v>
      </c>
      <c r="H50" s="6">
        <v>64</v>
      </c>
      <c r="I50" s="6">
        <v>32</v>
      </c>
      <c r="J50" s="6">
        <v>28</v>
      </c>
      <c r="K50" s="6">
        <v>46</v>
      </c>
      <c r="L50" s="6">
        <v>40</v>
      </c>
      <c r="M50" s="6">
        <v>80</v>
      </c>
      <c r="N50" s="6">
        <v>10</v>
      </c>
      <c r="O50" s="6">
        <v>94</v>
      </c>
      <c r="P50" s="6">
        <v>106</v>
      </c>
      <c r="Q50" s="6">
        <v>30</v>
      </c>
      <c r="R50" s="6">
        <v>40</v>
      </c>
      <c r="S50" s="6">
        <v>34</v>
      </c>
      <c r="T50" s="6">
        <v>60</v>
      </c>
      <c r="U50" s="6">
        <v>52</v>
      </c>
      <c r="V50" s="6">
        <v>20</v>
      </c>
      <c r="W50" s="6">
        <v>32</v>
      </c>
      <c r="X50" s="6">
        <f>32+44</f>
        <v>76</v>
      </c>
      <c r="Y50" s="6">
        <v>62</v>
      </c>
      <c r="Z50" s="6">
        <v>40</v>
      </c>
      <c r="AA50" s="6">
        <v>20</v>
      </c>
      <c r="AB50" s="6">
        <v>60</v>
      </c>
      <c r="AC50" s="6">
        <v>50</v>
      </c>
      <c r="AD50" s="6">
        <v>56</v>
      </c>
      <c r="AE50" s="6">
        <v>62</v>
      </c>
      <c r="AF50" s="6">
        <v>54</v>
      </c>
      <c r="AG50" s="6">
        <v>68</v>
      </c>
      <c r="AH50" s="6">
        <v>24</v>
      </c>
      <c r="AI50" s="6">
        <v>28</v>
      </c>
      <c r="AJ50" s="6">
        <v>64</v>
      </c>
      <c r="AK50" s="6">
        <v>40</v>
      </c>
      <c r="AL50" s="6">
        <v>14</v>
      </c>
      <c r="AM50" s="6">
        <v>48</v>
      </c>
      <c r="AN50" s="6">
        <v>72</v>
      </c>
      <c r="AO50" s="6">
        <v>20</v>
      </c>
      <c r="AP50" s="6">
        <v>24</v>
      </c>
      <c r="AQ50" s="6">
        <v>50</v>
      </c>
      <c r="AR50" s="6">
        <v>46</v>
      </c>
      <c r="AS50" s="6">
        <v>40</v>
      </c>
      <c r="AT50" s="6">
        <v>28</v>
      </c>
      <c r="AU50" s="6">
        <v>48</v>
      </c>
      <c r="AV50" s="6">
        <v>56</v>
      </c>
      <c r="AW50" s="6">
        <v>64</v>
      </c>
      <c r="AX50" s="6">
        <v>72</v>
      </c>
      <c r="AY50" s="6">
        <v>30</v>
      </c>
      <c r="AZ50" s="6">
        <v>26</v>
      </c>
      <c r="BA50" s="6">
        <v>174</v>
      </c>
      <c r="BB50" s="6">
        <v>60</v>
      </c>
      <c r="BC50" s="6">
        <v>34</v>
      </c>
      <c r="BD50" s="6">
        <v>18</v>
      </c>
      <c r="BE50" s="6">
        <v>42</v>
      </c>
      <c r="BF50" s="6">
        <v>26</v>
      </c>
      <c r="BG50" s="6">
        <v>56</v>
      </c>
      <c r="BH50" s="6">
        <v>11</v>
      </c>
      <c r="BI50" s="6">
        <v>9</v>
      </c>
      <c r="BJ50" s="6">
        <v>10</v>
      </c>
      <c r="BK50" s="6" t="s">
        <v>248</v>
      </c>
    </row>
    <row r="51" spans="1:67" x14ac:dyDescent="0.2">
      <c r="A51" s="5" t="s">
        <v>242</v>
      </c>
      <c r="B51" s="12">
        <f>1/B50</f>
        <v>7.1428571428571425E-2</v>
      </c>
      <c r="C51" s="12">
        <f>2/C50</f>
        <v>0.16666666666666666</v>
      </c>
      <c r="D51" s="12">
        <f>45/D50</f>
        <v>1.25</v>
      </c>
      <c r="E51" s="12">
        <f>3/E50</f>
        <v>0.1875</v>
      </c>
      <c r="F51" s="12">
        <f>2/F50</f>
        <v>0.125</v>
      </c>
      <c r="G51" s="12">
        <f>12/G50</f>
        <v>0.66666666666666663</v>
      </c>
      <c r="H51" s="12">
        <f>64/H50</f>
        <v>1</v>
      </c>
      <c r="I51" s="12">
        <f>127/I50</f>
        <v>3.96875</v>
      </c>
      <c r="J51" s="12">
        <f>9/J50</f>
        <v>0.32142857142857145</v>
      </c>
      <c r="K51" s="12">
        <f>20/K50</f>
        <v>0.43478260869565216</v>
      </c>
      <c r="L51" s="12">
        <f>29/L50</f>
        <v>0.72499999999999998</v>
      </c>
      <c r="M51" s="12">
        <f>M49/M50</f>
        <v>2.4375</v>
      </c>
      <c r="N51" s="12">
        <f>N49/N50</f>
        <v>0</v>
      </c>
      <c r="O51" s="12">
        <f>374/O50</f>
        <v>3.978723404255319</v>
      </c>
      <c r="P51" s="12">
        <f>71/P50</f>
        <v>0.66981132075471694</v>
      </c>
      <c r="Q51" s="12">
        <f>Q49/Q50</f>
        <v>0</v>
      </c>
      <c r="R51" s="12">
        <f>136/R50</f>
        <v>3.4</v>
      </c>
      <c r="S51" s="12">
        <f>77/S50</f>
        <v>2.2647058823529411</v>
      </c>
      <c r="T51" s="12">
        <f>T49/T50</f>
        <v>1.1166666666666667</v>
      </c>
      <c r="U51" s="12">
        <f>118/U50</f>
        <v>2.2692307692307692</v>
      </c>
      <c r="V51" s="12">
        <f>V49/V50</f>
        <v>0</v>
      </c>
      <c r="W51" s="12">
        <f>W49/W50</f>
        <v>0.5625</v>
      </c>
      <c r="X51" s="12">
        <f>70/X50</f>
        <v>0.92105263157894735</v>
      </c>
      <c r="Y51" s="12">
        <f>112/Y50</f>
        <v>1.8064516129032258</v>
      </c>
      <c r="Z51" s="12">
        <f>110/Z50</f>
        <v>2.75</v>
      </c>
      <c r="AA51" s="12">
        <f>8/AA50</f>
        <v>0.4</v>
      </c>
      <c r="AB51" s="12">
        <f>112/AB50</f>
        <v>1.8666666666666667</v>
      </c>
      <c r="AC51" s="12">
        <f>54/AC50</f>
        <v>1.08</v>
      </c>
      <c r="AD51" s="12">
        <f>116/AD50</f>
        <v>2.0714285714285716</v>
      </c>
      <c r="AE51" s="12">
        <f>144/AE50</f>
        <v>2.3225806451612905</v>
      </c>
      <c r="AF51" s="12">
        <f>143/AF50</f>
        <v>2.6481481481481484</v>
      </c>
      <c r="AG51" s="12">
        <f>10/AG50</f>
        <v>0.14705882352941177</v>
      </c>
      <c r="AH51" s="12">
        <f>9/AH50</f>
        <v>0.375</v>
      </c>
      <c r="AI51" s="12">
        <f>18/AI50</f>
        <v>0.6428571428571429</v>
      </c>
      <c r="AJ51" s="12">
        <f>135/AJ50</f>
        <v>2.109375</v>
      </c>
      <c r="AK51" s="12">
        <f>AK49/AK50</f>
        <v>2.0249999999999999</v>
      </c>
      <c r="AL51" s="12">
        <f>AL49/AL50</f>
        <v>0.2857142857142857</v>
      </c>
      <c r="AM51" s="12">
        <f>83/AM50</f>
        <v>1.7291666666666667</v>
      </c>
      <c r="AN51" s="12">
        <f>116/AN50</f>
        <v>1.6111111111111112</v>
      </c>
      <c r="AO51" s="12">
        <v>6</v>
      </c>
      <c r="AP51" s="12">
        <f>9/AP50</f>
        <v>0.375</v>
      </c>
      <c r="AQ51" s="12">
        <f>110/AQ50</f>
        <v>2.2000000000000002</v>
      </c>
      <c r="AR51" s="12">
        <f>160/AR50</f>
        <v>3.4782608695652173</v>
      </c>
      <c r="AS51" s="12">
        <f>124/AS50</f>
        <v>3.1</v>
      </c>
      <c r="AT51" s="12">
        <f>20/AT50</f>
        <v>0.7142857142857143</v>
      </c>
      <c r="AU51" s="12">
        <f>50/AU50</f>
        <v>1.0416666666666667</v>
      </c>
      <c r="AV51" s="12">
        <f>143/AV50</f>
        <v>2.5535714285714284</v>
      </c>
      <c r="AW51" s="12">
        <f>142/AW50</f>
        <v>2.21875</v>
      </c>
      <c r="AX51" s="12">
        <f>81/AX50</f>
        <v>1.125</v>
      </c>
      <c r="AY51" s="12">
        <f>19/AY50</f>
        <v>0.6333333333333333</v>
      </c>
      <c r="AZ51" s="12">
        <f>17/AZ50</f>
        <v>0.65384615384615385</v>
      </c>
      <c r="BA51" s="12">
        <f>198/BA50</f>
        <v>1.1379310344827587</v>
      </c>
      <c r="BB51" s="12">
        <f>19/BB50</f>
        <v>0.31666666666666665</v>
      </c>
      <c r="BC51" s="12">
        <f>43/BC50</f>
        <v>1.2647058823529411</v>
      </c>
      <c r="BD51" s="12">
        <v>0</v>
      </c>
      <c r="BE51" s="12">
        <f>81/BE50</f>
        <v>1.9285714285714286</v>
      </c>
      <c r="BF51" s="12">
        <v>0</v>
      </c>
      <c r="BG51" s="12">
        <f>74/BG50</f>
        <v>1.3214285714285714</v>
      </c>
      <c r="BH51" s="12">
        <f>8/BH50</f>
        <v>0.72727272727272729</v>
      </c>
      <c r="BI51" s="12">
        <f>5/BI50</f>
        <v>0.55555555555555558</v>
      </c>
      <c r="BJ51" s="12">
        <f>9/BJ50</f>
        <v>0.9</v>
      </c>
      <c r="BK51" s="6" t="s">
        <v>194</v>
      </c>
    </row>
    <row r="52" spans="1:67" x14ac:dyDescent="0.2">
      <c r="A52" s="5" t="s">
        <v>243</v>
      </c>
      <c r="B52" s="6">
        <v>3</v>
      </c>
      <c r="C52" s="6">
        <v>3</v>
      </c>
      <c r="D52" s="6">
        <v>13</v>
      </c>
      <c r="E52" s="6">
        <v>5</v>
      </c>
      <c r="F52" s="6">
        <v>2</v>
      </c>
      <c r="G52" s="6">
        <v>8</v>
      </c>
      <c r="H52" s="6">
        <v>11</v>
      </c>
      <c r="I52" s="6">
        <v>13</v>
      </c>
      <c r="J52" s="6">
        <v>5</v>
      </c>
      <c r="K52" s="6">
        <v>10</v>
      </c>
      <c r="L52" s="6">
        <v>13</v>
      </c>
      <c r="M52" s="6">
        <v>17</v>
      </c>
      <c r="N52" s="6">
        <v>0</v>
      </c>
      <c r="O52" s="6">
        <v>17</v>
      </c>
      <c r="P52" s="6">
        <v>16</v>
      </c>
      <c r="Q52" s="6">
        <v>0</v>
      </c>
      <c r="R52" s="6">
        <v>19</v>
      </c>
      <c r="S52" s="6">
        <v>14</v>
      </c>
      <c r="T52" s="6">
        <v>11</v>
      </c>
      <c r="U52" s="6">
        <v>18</v>
      </c>
      <c r="V52" s="6">
        <v>0</v>
      </c>
      <c r="W52" s="6">
        <v>7</v>
      </c>
      <c r="X52" s="6">
        <v>15</v>
      </c>
      <c r="Y52" s="6">
        <v>16</v>
      </c>
      <c r="Z52" s="6">
        <v>16</v>
      </c>
      <c r="AA52" s="6">
        <v>4</v>
      </c>
      <c r="AB52" s="6">
        <v>14</v>
      </c>
      <c r="AC52" s="6">
        <v>9</v>
      </c>
      <c r="AD52" s="6">
        <v>19</v>
      </c>
      <c r="AE52" s="6">
        <v>18</v>
      </c>
      <c r="AF52" s="6">
        <v>12</v>
      </c>
      <c r="AG52" s="6">
        <v>5</v>
      </c>
      <c r="AH52" s="6">
        <v>5</v>
      </c>
      <c r="AI52" s="6">
        <v>5</v>
      </c>
      <c r="AJ52" s="6">
        <v>17</v>
      </c>
      <c r="AK52" s="6">
        <v>10</v>
      </c>
      <c r="AL52" s="6">
        <v>3</v>
      </c>
      <c r="AM52" s="6">
        <v>11</v>
      </c>
      <c r="AN52" s="6">
        <v>12</v>
      </c>
      <c r="AO52" s="6">
        <v>4</v>
      </c>
      <c r="AP52" s="6">
        <v>8</v>
      </c>
      <c r="AQ52" s="6">
        <v>13</v>
      </c>
      <c r="AR52" s="6">
        <v>22</v>
      </c>
      <c r="AS52" s="6">
        <v>12</v>
      </c>
      <c r="AT52" s="6">
        <v>12</v>
      </c>
      <c r="AU52" s="6">
        <v>13</v>
      </c>
      <c r="AV52" s="6">
        <v>16</v>
      </c>
      <c r="AW52" s="6">
        <v>16</v>
      </c>
      <c r="AX52" s="6">
        <v>15</v>
      </c>
      <c r="AY52" s="6">
        <v>7</v>
      </c>
      <c r="AZ52" s="6">
        <v>7</v>
      </c>
      <c r="BA52" s="6">
        <v>16</v>
      </c>
      <c r="BB52" s="6">
        <v>15</v>
      </c>
      <c r="BC52" s="6">
        <v>9</v>
      </c>
      <c r="BD52" s="6">
        <v>0</v>
      </c>
      <c r="BE52" s="6">
        <v>10</v>
      </c>
      <c r="BF52" s="6">
        <v>0</v>
      </c>
      <c r="BG52" s="6">
        <v>13</v>
      </c>
      <c r="BH52" s="6">
        <v>6</v>
      </c>
      <c r="BI52" s="6">
        <v>3</v>
      </c>
      <c r="BJ52" s="6">
        <v>5</v>
      </c>
    </row>
    <row r="54" spans="1:67" ht="30" x14ac:dyDescent="0.2">
      <c r="A54" s="13" t="s">
        <v>249</v>
      </c>
    </row>
    <row r="57" spans="1:67" x14ac:dyDescent="0.2">
      <c r="BM57" s="9">
        <f>SUM(BM3:BM47)</f>
        <v>4097</v>
      </c>
      <c r="BN57" s="9">
        <f>SUM(BN3:BN47)</f>
        <v>202</v>
      </c>
      <c r="BO57" s="16">
        <f>SUM(BO3:BO47)</f>
        <v>1</v>
      </c>
    </row>
    <row r="58" spans="1:67" x14ac:dyDescent="0.2">
      <c r="BM58" s="11"/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9"/>
  <sheetViews>
    <sheetView workbookViewId="0">
      <selection activeCell="E35" sqref="E35:F35"/>
    </sheetView>
  </sheetViews>
  <sheetFormatPr defaultRowHeight="15" x14ac:dyDescent="0.25"/>
  <cols>
    <col min="1" max="2" width="15" customWidth="1"/>
    <col min="3" max="3" width="9.5703125" style="2" bestFit="1" customWidth="1"/>
    <col min="4" max="7" width="9.140625" style="1"/>
    <col min="8" max="8" width="10.5703125" bestFit="1" customWidth="1"/>
  </cols>
  <sheetData>
    <row r="1" spans="1:8" x14ac:dyDescent="0.25">
      <c r="A1" t="s">
        <v>0</v>
      </c>
      <c r="B1" t="s">
        <v>193</v>
      </c>
      <c r="C1" s="19" t="s">
        <v>50</v>
      </c>
      <c r="D1" s="19"/>
      <c r="E1" s="20" t="s">
        <v>51</v>
      </c>
      <c r="F1" s="20"/>
      <c r="H1" s="1"/>
    </row>
    <row r="2" spans="1:8" x14ac:dyDescent="0.25">
      <c r="A2" t="s">
        <v>48</v>
      </c>
      <c r="B2" t="s">
        <v>283</v>
      </c>
      <c r="C2" s="19">
        <v>33.93956</v>
      </c>
      <c r="D2" s="19"/>
      <c r="E2" s="20">
        <v>-94.477350000000001</v>
      </c>
      <c r="F2" s="20"/>
    </row>
    <row r="3" spans="1:8" x14ac:dyDescent="0.25">
      <c r="A3" t="s">
        <v>1</v>
      </c>
      <c r="B3" t="s">
        <v>284</v>
      </c>
      <c r="C3" s="19">
        <v>33.938859999999998</v>
      </c>
      <c r="D3" s="19"/>
      <c r="E3" s="20">
        <v>-94.476050000000001</v>
      </c>
      <c r="F3" s="20"/>
    </row>
    <row r="4" spans="1:8" x14ac:dyDescent="0.25">
      <c r="A4" t="s">
        <v>3</v>
      </c>
      <c r="B4" t="s">
        <v>285</v>
      </c>
      <c r="C4" s="19">
        <v>33.941229999999997</v>
      </c>
      <c r="D4" s="19"/>
      <c r="E4" s="20">
        <v>-94.469949999999997</v>
      </c>
      <c r="F4" s="20"/>
    </row>
    <row r="5" spans="1:8" x14ac:dyDescent="0.25">
      <c r="A5" t="s">
        <v>4</v>
      </c>
      <c r="B5" t="s">
        <v>286</v>
      </c>
      <c r="C5" s="19">
        <v>33.943190000000001</v>
      </c>
      <c r="D5" s="19"/>
      <c r="E5" s="20">
        <v>-94.46808</v>
      </c>
      <c r="F5" s="20"/>
    </row>
    <row r="6" spans="1:8" x14ac:dyDescent="0.25">
      <c r="A6" t="s">
        <v>49</v>
      </c>
      <c r="B6" t="s">
        <v>287</v>
      </c>
      <c r="C6" s="19">
        <v>33.942259999999997</v>
      </c>
      <c r="D6" s="19"/>
      <c r="E6" s="20">
        <v>-94.46302</v>
      </c>
      <c r="F6" s="20"/>
    </row>
    <row r="7" spans="1:8" x14ac:dyDescent="0.25">
      <c r="A7" t="s">
        <v>62</v>
      </c>
      <c r="B7" t="s">
        <v>288</v>
      </c>
      <c r="C7" s="19">
        <v>33.932729999999999</v>
      </c>
      <c r="D7" s="19"/>
      <c r="E7" s="20">
        <v>-94.454830000000001</v>
      </c>
      <c r="F7" s="20"/>
    </row>
    <row r="8" spans="1:8" x14ac:dyDescent="0.25">
      <c r="A8" t="s">
        <v>63</v>
      </c>
      <c r="B8" t="s">
        <v>289</v>
      </c>
      <c r="C8" s="19">
        <v>33.930570000000003</v>
      </c>
      <c r="D8" s="19"/>
      <c r="E8" s="20">
        <v>-94.450620000000001</v>
      </c>
      <c r="F8" s="20"/>
    </row>
    <row r="9" spans="1:8" x14ac:dyDescent="0.25">
      <c r="A9" t="s">
        <v>64</v>
      </c>
      <c r="B9" t="s">
        <v>290</v>
      </c>
      <c r="C9" s="19">
        <v>33.929040000000001</v>
      </c>
      <c r="D9" s="19"/>
      <c r="E9" s="20">
        <v>-94.448989999999995</v>
      </c>
      <c r="F9" s="20"/>
    </row>
    <row r="10" spans="1:8" x14ac:dyDescent="0.25">
      <c r="A10" t="s">
        <v>66</v>
      </c>
      <c r="B10" t="s">
        <v>291</v>
      </c>
      <c r="C10" s="19">
        <v>33.930599999999998</v>
      </c>
      <c r="D10" s="19"/>
      <c r="E10" s="20">
        <v>-94.442229999999995</v>
      </c>
      <c r="F10" s="20"/>
    </row>
    <row r="11" spans="1:8" x14ac:dyDescent="0.25">
      <c r="A11" t="s">
        <v>69</v>
      </c>
      <c r="B11" t="s">
        <v>292</v>
      </c>
      <c r="C11" s="19">
        <v>33.928359999999998</v>
      </c>
      <c r="D11" s="19"/>
      <c r="E11" s="20">
        <v>-94.427670000000006</v>
      </c>
      <c r="F11" s="20"/>
    </row>
    <row r="12" spans="1:8" x14ac:dyDescent="0.25">
      <c r="A12" t="s">
        <v>99</v>
      </c>
      <c r="B12" t="s">
        <v>293</v>
      </c>
      <c r="C12" s="19">
        <v>33.894860000000001</v>
      </c>
      <c r="D12" s="19"/>
      <c r="E12" s="20">
        <v>-94.387320000000003</v>
      </c>
      <c r="F12" s="20"/>
    </row>
    <row r="13" spans="1:8" x14ac:dyDescent="0.25">
      <c r="A13" t="s">
        <v>101</v>
      </c>
      <c r="B13" t="s">
        <v>294</v>
      </c>
      <c r="C13" s="19">
        <v>33.880110000000002</v>
      </c>
      <c r="D13" s="19"/>
      <c r="E13" s="20">
        <v>-94.373869999999997</v>
      </c>
      <c r="F13" s="20"/>
    </row>
    <row r="14" spans="1:8" x14ac:dyDescent="0.25">
      <c r="A14" t="s">
        <v>102</v>
      </c>
      <c r="B14" t="s">
        <v>295</v>
      </c>
      <c r="C14" s="19">
        <v>33.878439999999998</v>
      </c>
      <c r="D14" s="19"/>
      <c r="E14" s="20">
        <v>-94.37312</v>
      </c>
      <c r="F14" s="20"/>
    </row>
    <row r="15" spans="1:8" x14ac:dyDescent="0.25">
      <c r="A15" t="s">
        <v>110</v>
      </c>
      <c r="B15" t="s">
        <v>296</v>
      </c>
      <c r="C15" s="19">
        <v>33.87771</v>
      </c>
      <c r="D15" s="19"/>
      <c r="E15" s="20">
        <v>-94.365880000000004</v>
      </c>
      <c r="F15" s="20"/>
    </row>
    <row r="16" spans="1:8" x14ac:dyDescent="0.25">
      <c r="A16" t="s">
        <v>113</v>
      </c>
      <c r="B16" t="s">
        <v>297</v>
      </c>
      <c r="C16" s="19">
        <v>33.858969999999999</v>
      </c>
      <c r="D16" s="19"/>
      <c r="E16" s="20">
        <v>-94.319710000000001</v>
      </c>
      <c r="F16" s="20"/>
    </row>
    <row r="17" spans="1:6" x14ac:dyDescent="0.25">
      <c r="A17" t="s">
        <v>115</v>
      </c>
      <c r="B17" t="s">
        <v>298</v>
      </c>
      <c r="C17" s="19">
        <v>33.854320000000001</v>
      </c>
      <c r="D17" s="19"/>
      <c r="E17" s="20">
        <v>-94.320080000000004</v>
      </c>
      <c r="F17" s="20"/>
    </row>
    <row r="18" spans="1:6" x14ac:dyDescent="0.25">
      <c r="A18" t="s">
        <v>135</v>
      </c>
      <c r="B18" t="s">
        <v>299</v>
      </c>
      <c r="C18" s="19">
        <v>33.855870000000003</v>
      </c>
      <c r="D18" s="19"/>
      <c r="E18" s="20">
        <v>-94.316959999999995</v>
      </c>
      <c r="F18" s="20"/>
    </row>
    <row r="19" spans="1:6" x14ac:dyDescent="0.25">
      <c r="A19" t="s">
        <v>136</v>
      </c>
      <c r="B19" t="s">
        <v>300</v>
      </c>
      <c r="C19" s="19">
        <v>33.852890000000002</v>
      </c>
      <c r="D19" s="19"/>
      <c r="E19" s="20">
        <v>-94.312359999999998</v>
      </c>
      <c r="F19" s="20"/>
    </row>
    <row r="20" spans="1:6" x14ac:dyDescent="0.25">
      <c r="A20" t="s">
        <v>137</v>
      </c>
      <c r="B20" t="s">
        <v>301</v>
      </c>
      <c r="C20" s="19">
        <v>33.85284</v>
      </c>
      <c r="D20" s="19"/>
      <c r="E20" s="20">
        <v>-94.310169999999999</v>
      </c>
      <c r="F20" s="20"/>
    </row>
    <row r="21" spans="1:6" x14ac:dyDescent="0.25">
      <c r="A21" t="s">
        <v>139</v>
      </c>
      <c r="B21" t="s">
        <v>302</v>
      </c>
      <c r="C21" s="19">
        <v>33.845869999999998</v>
      </c>
      <c r="D21" s="19"/>
      <c r="E21" s="20">
        <v>-94.302570000000003</v>
      </c>
      <c r="F21" s="20"/>
    </row>
    <row r="22" spans="1:6" x14ac:dyDescent="0.25">
      <c r="A22" t="s">
        <v>140</v>
      </c>
      <c r="B22" t="s">
        <v>303</v>
      </c>
      <c r="C22" s="19">
        <v>33.842379999999999</v>
      </c>
      <c r="D22" s="19"/>
      <c r="E22" s="20">
        <v>-94.306139999999999</v>
      </c>
      <c r="F22" s="20"/>
    </row>
    <row r="23" spans="1:6" x14ac:dyDescent="0.25">
      <c r="A23" t="s">
        <v>147</v>
      </c>
      <c r="B23" t="s">
        <v>304</v>
      </c>
      <c r="C23" s="19">
        <v>33.822029999999998</v>
      </c>
      <c r="D23" s="19"/>
      <c r="E23" s="20">
        <v>-94.298550000000006</v>
      </c>
      <c r="F23" s="20"/>
    </row>
    <row r="24" spans="1:6" x14ac:dyDescent="0.25">
      <c r="A24" t="s">
        <v>148</v>
      </c>
      <c r="B24" t="s">
        <v>305</v>
      </c>
      <c r="C24" s="19">
        <v>33.823590000000003</v>
      </c>
      <c r="D24" s="19"/>
      <c r="E24" s="20">
        <v>-94.293379999999999</v>
      </c>
      <c r="F24" s="20"/>
    </row>
    <row r="25" spans="1:6" x14ac:dyDescent="0.25">
      <c r="A25" t="s">
        <v>162</v>
      </c>
      <c r="B25" t="s">
        <v>306</v>
      </c>
      <c r="C25" s="19">
        <v>33.819409999999998</v>
      </c>
      <c r="D25" s="19"/>
      <c r="E25" s="20">
        <v>-94.2607</v>
      </c>
      <c r="F25" s="20"/>
    </row>
    <row r="26" spans="1:6" x14ac:dyDescent="0.25">
      <c r="A26" t="s">
        <v>164</v>
      </c>
      <c r="B26" t="s">
        <v>307</v>
      </c>
      <c r="C26" s="19">
        <v>33.816949999999999</v>
      </c>
      <c r="D26" s="19"/>
      <c r="E26" s="20">
        <v>-94.256320000000002</v>
      </c>
      <c r="F26" s="20"/>
    </row>
    <row r="27" spans="1:6" x14ac:dyDescent="0.25">
      <c r="A27" t="s">
        <v>173</v>
      </c>
      <c r="B27" t="s">
        <v>308</v>
      </c>
      <c r="C27" s="19">
        <v>33.801389999999998</v>
      </c>
      <c r="D27" s="19"/>
      <c r="E27" s="20">
        <v>-94.236720000000005</v>
      </c>
      <c r="F27" s="20"/>
    </row>
    <row r="28" spans="1:6" x14ac:dyDescent="0.25">
      <c r="A28" t="s">
        <v>174</v>
      </c>
      <c r="B28" t="s">
        <v>309</v>
      </c>
      <c r="C28" s="19">
        <v>33.80256</v>
      </c>
      <c r="D28" s="19"/>
      <c r="E28" s="20">
        <v>-94.232380000000006</v>
      </c>
      <c r="F28" s="20"/>
    </row>
    <row r="29" spans="1:6" x14ac:dyDescent="0.25">
      <c r="A29" t="s">
        <v>177</v>
      </c>
      <c r="B29" t="s">
        <v>310</v>
      </c>
      <c r="C29" s="19">
        <v>33.81644</v>
      </c>
      <c r="D29" s="19"/>
      <c r="E29" s="20">
        <v>-94.220150000000004</v>
      </c>
      <c r="F29" s="20"/>
    </row>
    <row r="30" spans="1:6" x14ac:dyDescent="0.25">
      <c r="A30" t="s">
        <v>178</v>
      </c>
      <c r="B30" t="s">
        <v>311</v>
      </c>
      <c r="C30" s="19">
        <v>33.8155</v>
      </c>
      <c r="D30" s="19"/>
      <c r="E30" s="20">
        <v>-94.21857</v>
      </c>
      <c r="F30" s="20"/>
    </row>
    <row r="31" spans="1:6" x14ac:dyDescent="0.25">
      <c r="A31" t="s">
        <v>187</v>
      </c>
      <c r="B31" t="s">
        <v>312</v>
      </c>
      <c r="C31" s="19">
        <v>33.807780000000001</v>
      </c>
      <c r="D31" s="19"/>
      <c r="E31" s="20">
        <v>-94.209890000000001</v>
      </c>
      <c r="F31" s="20"/>
    </row>
    <row r="32" spans="1:6" x14ac:dyDescent="0.25">
      <c r="A32" t="s">
        <v>188</v>
      </c>
      <c r="B32" t="s">
        <v>313</v>
      </c>
      <c r="C32" s="19">
        <v>33.812280000000001</v>
      </c>
      <c r="D32" s="19"/>
      <c r="E32" s="20">
        <v>-94.18826</v>
      </c>
      <c r="F32" s="20"/>
    </row>
    <row r="33" spans="1:6" x14ac:dyDescent="0.25">
      <c r="A33" t="s">
        <v>189</v>
      </c>
      <c r="B33" t="s">
        <v>314</v>
      </c>
      <c r="C33" s="19">
        <v>33.810020000000002</v>
      </c>
      <c r="D33" s="19"/>
      <c r="E33" s="20">
        <v>-94.183340000000001</v>
      </c>
      <c r="F33" s="20"/>
    </row>
    <row r="34" spans="1:6" x14ac:dyDescent="0.25">
      <c r="A34" t="s">
        <v>190</v>
      </c>
      <c r="B34" t="s">
        <v>315</v>
      </c>
      <c r="C34" s="19">
        <v>33.802300000000002</v>
      </c>
      <c r="D34" s="19"/>
      <c r="E34" s="20">
        <v>-94.187269999999998</v>
      </c>
      <c r="F34" s="20"/>
    </row>
    <row r="35" spans="1:6" x14ac:dyDescent="0.25">
      <c r="A35" t="s">
        <v>191</v>
      </c>
      <c r="B35" t="s">
        <v>316</v>
      </c>
      <c r="C35" s="19">
        <v>33.78669</v>
      </c>
      <c r="D35" s="19"/>
      <c r="E35" s="20">
        <v>-94.190219999999997</v>
      </c>
      <c r="F35" s="20"/>
    </row>
    <row r="36" spans="1:6" x14ac:dyDescent="0.25">
      <c r="C36" s="19"/>
      <c r="D36" s="19"/>
      <c r="E36" s="20"/>
      <c r="F36" s="20"/>
    </row>
    <row r="37" spans="1:6" x14ac:dyDescent="0.25">
      <c r="C37" s="19"/>
      <c r="D37" s="19"/>
      <c r="E37" s="20"/>
      <c r="F37" s="20"/>
    </row>
    <row r="38" spans="1:6" x14ac:dyDescent="0.25">
      <c r="C38" s="19"/>
      <c r="D38" s="19"/>
      <c r="E38" s="20"/>
      <c r="F38" s="20"/>
    </row>
    <row r="39" spans="1:6" x14ac:dyDescent="0.25">
      <c r="E39" s="20"/>
      <c r="F39" s="20"/>
    </row>
  </sheetData>
  <mergeCells count="77">
    <mergeCell ref="C1:D1"/>
    <mergeCell ref="E1:F1"/>
    <mergeCell ref="C2:D2"/>
    <mergeCell ref="E2:F2"/>
    <mergeCell ref="C3:D3"/>
    <mergeCell ref="E3:F3"/>
    <mergeCell ref="C4:D4"/>
    <mergeCell ref="E4:F4"/>
    <mergeCell ref="C5:D5"/>
    <mergeCell ref="E5:F5"/>
    <mergeCell ref="C6:D6"/>
    <mergeCell ref="E6:F6"/>
    <mergeCell ref="C7:D7"/>
    <mergeCell ref="E7:F7"/>
    <mergeCell ref="C8:D8"/>
    <mergeCell ref="E8:F8"/>
    <mergeCell ref="C9:D9"/>
    <mergeCell ref="E9:F9"/>
    <mergeCell ref="C10:D10"/>
    <mergeCell ref="E10:F10"/>
    <mergeCell ref="C11:D11"/>
    <mergeCell ref="E11:F11"/>
    <mergeCell ref="C12:D12"/>
    <mergeCell ref="E12:F12"/>
    <mergeCell ref="C13:D13"/>
    <mergeCell ref="E13:F13"/>
    <mergeCell ref="C14:D14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E39:F3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60"/>
  <sheetViews>
    <sheetView tabSelected="1" workbookViewId="0">
      <selection activeCell="H26" sqref="H26"/>
    </sheetView>
  </sheetViews>
  <sheetFormatPr defaultRowHeight="15" x14ac:dyDescent="0.25"/>
  <cols>
    <col min="1" max="1" width="11.28515625" bestFit="1" customWidth="1"/>
    <col min="2" max="2" width="12.28515625" bestFit="1" customWidth="1"/>
  </cols>
  <sheetData>
    <row r="1" spans="1:10" x14ac:dyDescent="0.25">
      <c r="A1" s="18" t="s">
        <v>195</v>
      </c>
      <c r="B1" s="18" t="s">
        <v>196</v>
      </c>
      <c r="D1" t="s">
        <v>200</v>
      </c>
      <c r="E1" t="s">
        <v>201</v>
      </c>
      <c r="F1" t="s">
        <v>202</v>
      </c>
      <c r="G1" t="s">
        <v>203</v>
      </c>
      <c r="H1" t="s">
        <v>204</v>
      </c>
      <c r="I1" t="s">
        <v>205</v>
      </c>
      <c r="J1" t="s">
        <v>206</v>
      </c>
    </row>
    <row r="2" spans="1:10" x14ac:dyDescent="0.25">
      <c r="B2">
        <v>56</v>
      </c>
      <c r="D2">
        <v>1</v>
      </c>
      <c r="E2">
        <v>1</v>
      </c>
      <c r="F2">
        <v>3</v>
      </c>
      <c r="G2">
        <v>8</v>
      </c>
      <c r="H2">
        <v>25</v>
      </c>
      <c r="I2">
        <v>15</v>
      </c>
      <c r="J2">
        <v>6</v>
      </c>
    </row>
    <row r="3" spans="1:10" x14ac:dyDescent="0.25">
      <c r="A3" s="18" t="s">
        <v>197</v>
      </c>
      <c r="B3">
        <v>61.3</v>
      </c>
    </row>
    <row r="4" spans="1:10" x14ac:dyDescent="0.25">
      <c r="A4" s="3">
        <f>AVERAGE(B2:B60)</f>
        <v>96.361016949152528</v>
      </c>
      <c r="B4">
        <v>73.3</v>
      </c>
    </row>
    <row r="5" spans="1:10" x14ac:dyDescent="0.25">
      <c r="B5">
        <v>73.7</v>
      </c>
    </row>
    <row r="6" spans="1:10" x14ac:dyDescent="0.25">
      <c r="A6" s="18" t="s">
        <v>198</v>
      </c>
      <c r="B6">
        <v>77.2</v>
      </c>
    </row>
    <row r="7" spans="1:10" x14ac:dyDescent="0.25">
      <c r="A7" s="3">
        <f>MIN(B2:B60)</f>
        <v>56</v>
      </c>
      <c r="B7">
        <v>83.2</v>
      </c>
    </row>
    <row r="8" spans="1:10" x14ac:dyDescent="0.25">
      <c r="B8">
        <v>86.3</v>
      </c>
    </row>
    <row r="9" spans="1:10" x14ac:dyDescent="0.25">
      <c r="A9" s="18" t="s">
        <v>199</v>
      </c>
      <c r="B9">
        <v>86.3</v>
      </c>
    </row>
    <row r="10" spans="1:10" x14ac:dyDescent="0.25">
      <c r="A10" s="4">
        <f>MAX(B2:B60)</f>
        <v>116.1</v>
      </c>
      <c r="B10">
        <v>86.7</v>
      </c>
    </row>
    <row r="11" spans="1:10" x14ac:dyDescent="0.25">
      <c r="B11">
        <v>86.9</v>
      </c>
    </row>
    <row r="12" spans="1:10" x14ac:dyDescent="0.25">
      <c r="B12">
        <v>88.2</v>
      </c>
    </row>
    <row r="13" spans="1:10" x14ac:dyDescent="0.25">
      <c r="B13">
        <v>88.5</v>
      </c>
    </row>
    <row r="14" spans="1:10" x14ac:dyDescent="0.25">
      <c r="B14">
        <v>88.7</v>
      </c>
    </row>
    <row r="15" spans="1:10" x14ac:dyDescent="0.25">
      <c r="B15">
        <v>90.2</v>
      </c>
    </row>
    <row r="16" spans="1:10" x14ac:dyDescent="0.25">
      <c r="B16">
        <v>92.1</v>
      </c>
    </row>
    <row r="17" spans="2:2" x14ac:dyDescent="0.25">
      <c r="B17">
        <v>93</v>
      </c>
    </row>
    <row r="18" spans="2:2" x14ac:dyDescent="0.25">
      <c r="B18">
        <v>93.3</v>
      </c>
    </row>
    <row r="19" spans="2:2" x14ac:dyDescent="0.25">
      <c r="B19">
        <v>93.4</v>
      </c>
    </row>
    <row r="20" spans="2:2" x14ac:dyDescent="0.25">
      <c r="B20">
        <v>93.9</v>
      </c>
    </row>
    <row r="21" spans="2:2" x14ac:dyDescent="0.25">
      <c r="B21">
        <v>95.3</v>
      </c>
    </row>
    <row r="22" spans="2:2" x14ac:dyDescent="0.25">
      <c r="B22">
        <v>95.5</v>
      </c>
    </row>
    <row r="23" spans="2:2" x14ac:dyDescent="0.25">
      <c r="B23">
        <v>96</v>
      </c>
    </row>
    <row r="24" spans="2:2" x14ac:dyDescent="0.25">
      <c r="B24">
        <v>96.1</v>
      </c>
    </row>
    <row r="25" spans="2:2" x14ac:dyDescent="0.25">
      <c r="B25">
        <v>96.2</v>
      </c>
    </row>
    <row r="26" spans="2:2" x14ac:dyDescent="0.25">
      <c r="B26">
        <v>96.4</v>
      </c>
    </row>
    <row r="27" spans="2:2" x14ac:dyDescent="0.25">
      <c r="B27">
        <v>97.2</v>
      </c>
    </row>
    <row r="28" spans="2:2" x14ac:dyDescent="0.25">
      <c r="B28">
        <v>97.4</v>
      </c>
    </row>
    <row r="29" spans="2:2" x14ac:dyDescent="0.25">
      <c r="B29">
        <v>97.5</v>
      </c>
    </row>
    <row r="30" spans="2:2" x14ac:dyDescent="0.25">
      <c r="B30">
        <v>97.5</v>
      </c>
    </row>
    <row r="31" spans="2:2" x14ac:dyDescent="0.25">
      <c r="B31">
        <v>97.9</v>
      </c>
    </row>
    <row r="32" spans="2:2" x14ac:dyDescent="0.25">
      <c r="B32">
        <v>98.2</v>
      </c>
    </row>
    <row r="33" spans="2:2" x14ac:dyDescent="0.25">
      <c r="B33">
        <v>98.5</v>
      </c>
    </row>
    <row r="34" spans="2:2" x14ac:dyDescent="0.25">
      <c r="B34">
        <v>98.7</v>
      </c>
    </row>
    <row r="35" spans="2:2" x14ac:dyDescent="0.25">
      <c r="B35">
        <v>99.3</v>
      </c>
    </row>
    <row r="36" spans="2:2" x14ac:dyDescent="0.25">
      <c r="B36">
        <v>99.4</v>
      </c>
    </row>
    <row r="37" spans="2:2" x14ac:dyDescent="0.25">
      <c r="B37">
        <v>99.5</v>
      </c>
    </row>
    <row r="38" spans="2:2" x14ac:dyDescent="0.25">
      <c r="B38">
        <v>99.5</v>
      </c>
    </row>
    <row r="39" spans="2:2" x14ac:dyDescent="0.25">
      <c r="B39">
        <v>99.9</v>
      </c>
    </row>
    <row r="40" spans="2:2" x14ac:dyDescent="0.25">
      <c r="B40">
        <v>100.1</v>
      </c>
    </row>
    <row r="41" spans="2:2" x14ac:dyDescent="0.25">
      <c r="B41">
        <v>101.2</v>
      </c>
    </row>
    <row r="42" spans="2:2" x14ac:dyDescent="0.25">
      <c r="B42">
        <v>101.4</v>
      </c>
    </row>
    <row r="43" spans="2:2" x14ac:dyDescent="0.25">
      <c r="B43">
        <v>101.6</v>
      </c>
    </row>
    <row r="44" spans="2:2" x14ac:dyDescent="0.25">
      <c r="B44">
        <v>102.1</v>
      </c>
    </row>
    <row r="45" spans="2:2" x14ac:dyDescent="0.25">
      <c r="B45">
        <v>102.3</v>
      </c>
    </row>
    <row r="46" spans="2:2" x14ac:dyDescent="0.25">
      <c r="B46">
        <v>102.5</v>
      </c>
    </row>
    <row r="47" spans="2:2" x14ac:dyDescent="0.25">
      <c r="B47">
        <v>103.2</v>
      </c>
    </row>
    <row r="48" spans="2:2" x14ac:dyDescent="0.25">
      <c r="B48">
        <v>103.7</v>
      </c>
    </row>
    <row r="49" spans="2:2" x14ac:dyDescent="0.25">
      <c r="B49">
        <v>103.7</v>
      </c>
    </row>
    <row r="50" spans="2:2" x14ac:dyDescent="0.25">
      <c r="B50">
        <v>105.3</v>
      </c>
    </row>
    <row r="51" spans="2:2" x14ac:dyDescent="0.25">
      <c r="B51">
        <v>106.5</v>
      </c>
    </row>
    <row r="52" spans="2:2" x14ac:dyDescent="0.25">
      <c r="B52">
        <v>106.5</v>
      </c>
    </row>
    <row r="53" spans="2:2" x14ac:dyDescent="0.25">
      <c r="B53">
        <v>107.5</v>
      </c>
    </row>
    <row r="54" spans="2:2" x14ac:dyDescent="0.25">
      <c r="B54">
        <v>107.7</v>
      </c>
    </row>
    <row r="55" spans="2:2" x14ac:dyDescent="0.25">
      <c r="B55">
        <v>111.4</v>
      </c>
    </row>
    <row r="56" spans="2:2" x14ac:dyDescent="0.25">
      <c r="B56">
        <v>111.6</v>
      </c>
    </row>
    <row r="57" spans="2:2" x14ac:dyDescent="0.25">
      <c r="B57">
        <v>112.2</v>
      </c>
    </row>
    <row r="58" spans="2:2" x14ac:dyDescent="0.25">
      <c r="B58">
        <v>115</v>
      </c>
    </row>
    <row r="59" spans="2:2" x14ac:dyDescent="0.25">
      <c r="B59">
        <v>115.5</v>
      </c>
    </row>
    <row r="60" spans="2:2" x14ac:dyDescent="0.25">
      <c r="B60">
        <v>116.1</v>
      </c>
    </row>
  </sheetData>
  <sortState xmlns:xlrd2="http://schemas.microsoft.com/office/spreadsheetml/2017/richdata2" ref="B2:B60">
    <sortCondition ref="B2:B60"/>
  </sortState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62"/>
  <sheetViews>
    <sheetView workbookViewId="0">
      <selection activeCell="G43" sqref="G43"/>
    </sheetView>
  </sheetViews>
  <sheetFormatPr defaultRowHeight="15" x14ac:dyDescent="0.25"/>
  <cols>
    <col min="1" max="1" width="13.28515625" bestFit="1" customWidth="1"/>
    <col min="3" max="3" width="10" bestFit="1" customWidth="1"/>
  </cols>
  <sheetData>
    <row r="1" spans="1:3" x14ac:dyDescent="0.25">
      <c r="A1" t="s">
        <v>317</v>
      </c>
      <c r="B1" t="s">
        <v>323</v>
      </c>
      <c r="C1" t="s">
        <v>193</v>
      </c>
    </row>
    <row r="2" spans="1:3" x14ac:dyDescent="0.25">
      <c r="A2">
        <v>0.27</v>
      </c>
      <c r="B2" s="6">
        <v>13</v>
      </c>
      <c r="C2" t="s">
        <v>260</v>
      </c>
    </row>
    <row r="3" spans="1:3" x14ac:dyDescent="0.25">
      <c r="A3">
        <v>1.93</v>
      </c>
      <c r="B3" s="6">
        <v>11</v>
      </c>
      <c r="C3" t="s">
        <v>261</v>
      </c>
    </row>
    <row r="4" spans="1:3" x14ac:dyDescent="0.25">
      <c r="A4">
        <v>2.76</v>
      </c>
      <c r="B4" s="6">
        <v>13</v>
      </c>
      <c r="C4" t="s">
        <v>262</v>
      </c>
    </row>
    <row r="5" spans="1:3" x14ac:dyDescent="0.25">
      <c r="A5">
        <v>4.08</v>
      </c>
      <c r="B5" s="6">
        <v>17</v>
      </c>
      <c r="C5" t="s">
        <v>263</v>
      </c>
    </row>
    <row r="6" spans="1:3" x14ac:dyDescent="0.25">
      <c r="A6">
        <v>4.8099999999999996</v>
      </c>
      <c r="B6" s="6">
        <v>17</v>
      </c>
      <c r="C6" t="s">
        <v>318</v>
      </c>
    </row>
    <row r="7" spans="1:3" x14ac:dyDescent="0.25">
      <c r="A7">
        <v>5.82</v>
      </c>
      <c r="B7" s="6">
        <v>16</v>
      </c>
      <c r="C7" t="s">
        <v>264</v>
      </c>
    </row>
    <row r="8" spans="1:3" x14ac:dyDescent="0.25">
      <c r="A8">
        <v>7.35</v>
      </c>
      <c r="B8" s="6">
        <v>19</v>
      </c>
      <c r="C8" t="s">
        <v>269</v>
      </c>
    </row>
    <row r="9" spans="1:3" x14ac:dyDescent="0.25">
      <c r="A9">
        <v>8.4600000000000009</v>
      </c>
      <c r="B9" s="6">
        <v>18</v>
      </c>
      <c r="C9" t="s">
        <v>270</v>
      </c>
    </row>
    <row r="10" spans="1:3" x14ac:dyDescent="0.25">
      <c r="A10" s="17">
        <v>8.6999999999999993</v>
      </c>
      <c r="B10" s="6">
        <v>12</v>
      </c>
      <c r="C10" t="s">
        <v>271</v>
      </c>
    </row>
    <row r="11" spans="1:3" x14ac:dyDescent="0.25">
      <c r="A11">
        <v>11.41</v>
      </c>
      <c r="B11" s="6">
        <v>19</v>
      </c>
      <c r="C11" t="s">
        <v>319</v>
      </c>
    </row>
    <row r="12" spans="1:3" x14ac:dyDescent="0.25">
      <c r="A12">
        <v>12.83</v>
      </c>
      <c r="B12" s="6">
        <v>14</v>
      </c>
      <c r="C12" t="s">
        <v>265</v>
      </c>
    </row>
    <row r="13" spans="1:3" x14ac:dyDescent="0.25">
      <c r="A13">
        <v>15.74</v>
      </c>
      <c r="B13" s="6">
        <v>18</v>
      </c>
      <c r="C13" t="s">
        <v>320</v>
      </c>
    </row>
    <row r="14" spans="1:3" x14ac:dyDescent="0.25">
      <c r="A14">
        <v>25.13</v>
      </c>
      <c r="B14" s="6">
        <v>20</v>
      </c>
      <c r="C14" t="s">
        <v>282</v>
      </c>
    </row>
    <row r="15" spans="1:3" x14ac:dyDescent="0.25">
      <c r="A15">
        <v>25.45</v>
      </c>
      <c r="B15" s="6">
        <v>16</v>
      </c>
      <c r="C15" t="s">
        <v>266</v>
      </c>
    </row>
    <row r="16" spans="1:3" x14ac:dyDescent="0.25">
      <c r="A16" s="17">
        <v>25.9</v>
      </c>
      <c r="B16" s="6">
        <v>16</v>
      </c>
      <c r="C16" t="s">
        <v>267</v>
      </c>
    </row>
    <row r="17" spans="1:15" x14ac:dyDescent="0.25">
      <c r="A17">
        <v>27.36</v>
      </c>
      <c r="B17" s="6">
        <v>14</v>
      </c>
      <c r="C17" t="s">
        <v>268</v>
      </c>
    </row>
    <row r="18" spans="1:15" x14ac:dyDescent="0.25">
      <c r="A18">
        <v>29.61</v>
      </c>
      <c r="B18" s="6">
        <v>17</v>
      </c>
      <c r="C18" t="s">
        <v>272</v>
      </c>
    </row>
    <row r="19" spans="1:15" x14ac:dyDescent="0.25">
      <c r="A19">
        <v>33.81</v>
      </c>
      <c r="B19" s="6">
        <v>11</v>
      </c>
      <c r="C19" t="s">
        <v>273</v>
      </c>
    </row>
    <row r="20" spans="1:15" x14ac:dyDescent="0.25">
      <c r="A20">
        <v>34.880000000000003</v>
      </c>
      <c r="B20" s="6">
        <v>12</v>
      </c>
      <c r="C20" t="s">
        <v>274</v>
      </c>
    </row>
    <row r="21" spans="1:15" x14ac:dyDescent="0.25">
      <c r="A21">
        <v>36.83</v>
      </c>
      <c r="B21" s="6">
        <v>13</v>
      </c>
      <c r="C21" t="s">
        <v>275</v>
      </c>
    </row>
    <row r="22" spans="1:15" x14ac:dyDescent="0.25">
      <c r="A22">
        <v>38.43</v>
      </c>
      <c r="B22" s="6">
        <v>22</v>
      </c>
      <c r="C22" t="s">
        <v>276</v>
      </c>
    </row>
    <row r="23" spans="1:15" x14ac:dyDescent="0.25">
      <c r="A23">
        <v>39.479999999999997</v>
      </c>
      <c r="B23" s="6">
        <v>12</v>
      </c>
      <c r="C23" t="s">
        <v>277</v>
      </c>
    </row>
    <row r="24" spans="1:15" x14ac:dyDescent="0.25">
      <c r="A24">
        <v>41.12</v>
      </c>
      <c r="B24" s="6">
        <v>16</v>
      </c>
      <c r="C24" t="s">
        <v>278</v>
      </c>
    </row>
    <row r="25" spans="1:15" x14ac:dyDescent="0.25">
      <c r="A25">
        <v>41.95</v>
      </c>
      <c r="B25" s="6">
        <v>16</v>
      </c>
      <c r="C25" t="s">
        <v>321</v>
      </c>
    </row>
    <row r="26" spans="1:15" x14ac:dyDescent="0.25">
      <c r="A26">
        <v>43.25</v>
      </c>
      <c r="B26" s="6">
        <v>15</v>
      </c>
      <c r="C26" t="s">
        <v>279</v>
      </c>
    </row>
    <row r="27" spans="1:15" x14ac:dyDescent="0.25">
      <c r="A27">
        <v>44.88</v>
      </c>
      <c r="B27" s="6">
        <v>16</v>
      </c>
      <c r="C27" t="s">
        <v>322</v>
      </c>
    </row>
    <row r="28" spans="1:15" x14ac:dyDescent="0.25">
      <c r="A28">
        <v>45.89</v>
      </c>
      <c r="B28" s="6">
        <v>15</v>
      </c>
      <c r="C28" t="s">
        <v>280</v>
      </c>
    </row>
    <row r="29" spans="1:15" x14ac:dyDescent="0.25">
      <c r="A29">
        <v>48.91</v>
      </c>
      <c r="B29" s="6">
        <v>10</v>
      </c>
      <c r="C29" t="s">
        <v>281</v>
      </c>
    </row>
    <row r="30" spans="1:15" x14ac:dyDescent="0.25">
      <c r="N30" s="17"/>
      <c r="O30" s="17"/>
    </row>
    <row r="35" spans="1:2" x14ac:dyDescent="0.25">
      <c r="B35" s="6"/>
    </row>
    <row r="41" spans="1:2" x14ac:dyDescent="0.25">
      <c r="A41" s="17"/>
      <c r="B41" s="6"/>
    </row>
    <row r="42" spans="1:2" x14ac:dyDescent="0.25">
      <c r="B42" s="6"/>
    </row>
    <row r="56" spans="2:2" x14ac:dyDescent="0.25">
      <c r="B56" s="6"/>
    </row>
    <row r="58" spans="2:2" x14ac:dyDescent="0.25">
      <c r="B58" s="6"/>
    </row>
    <row r="59" spans="2:2" x14ac:dyDescent="0.25">
      <c r="B59" s="6"/>
    </row>
    <row r="60" spans="2:2" x14ac:dyDescent="0.25">
      <c r="B60" s="6"/>
    </row>
    <row r="61" spans="2:2" x14ac:dyDescent="0.25">
      <c r="B61" s="6"/>
    </row>
    <row r="62" spans="2:2" x14ac:dyDescent="0.25">
      <c r="B62" s="6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61"/>
  <sheetViews>
    <sheetView workbookViewId="0">
      <selection activeCell="A30" sqref="A30"/>
    </sheetView>
  </sheetViews>
  <sheetFormatPr defaultRowHeight="15" x14ac:dyDescent="0.25"/>
  <cols>
    <col min="1" max="1" width="13.28515625" bestFit="1" customWidth="1"/>
    <col min="3" max="3" width="10" bestFit="1" customWidth="1"/>
  </cols>
  <sheetData>
    <row r="1" spans="1:3" x14ac:dyDescent="0.25">
      <c r="A1" t="s">
        <v>317</v>
      </c>
      <c r="B1" t="s">
        <v>324</v>
      </c>
      <c r="C1" t="s">
        <v>193</v>
      </c>
    </row>
    <row r="2" spans="1:3" x14ac:dyDescent="0.25">
      <c r="A2">
        <v>0.27</v>
      </c>
      <c r="B2" s="17">
        <v>1.25</v>
      </c>
      <c r="C2" t="s">
        <v>260</v>
      </c>
    </row>
    <row r="3" spans="1:3" x14ac:dyDescent="0.25">
      <c r="A3">
        <v>1.93</v>
      </c>
      <c r="B3" s="17">
        <v>1</v>
      </c>
      <c r="C3" t="s">
        <v>261</v>
      </c>
    </row>
    <row r="4" spans="1:3" x14ac:dyDescent="0.25">
      <c r="A4">
        <v>2.76</v>
      </c>
      <c r="B4" s="17">
        <v>3.96875</v>
      </c>
      <c r="C4" t="s">
        <v>262</v>
      </c>
    </row>
    <row r="5" spans="1:3" x14ac:dyDescent="0.25">
      <c r="A5">
        <v>4.08</v>
      </c>
      <c r="B5" s="17">
        <v>2.4375</v>
      </c>
      <c r="C5" t="s">
        <v>263</v>
      </c>
    </row>
    <row r="6" spans="1:3" x14ac:dyDescent="0.25">
      <c r="A6">
        <v>4.8099999999999996</v>
      </c>
      <c r="B6" s="17">
        <v>3.978723404255319</v>
      </c>
      <c r="C6" t="s">
        <v>318</v>
      </c>
    </row>
    <row r="7" spans="1:3" x14ac:dyDescent="0.25">
      <c r="A7">
        <v>5.82</v>
      </c>
      <c r="B7" s="17">
        <v>0.66981132075471694</v>
      </c>
      <c r="C7" t="s">
        <v>264</v>
      </c>
    </row>
    <row r="8" spans="1:3" x14ac:dyDescent="0.25">
      <c r="A8">
        <v>7.35</v>
      </c>
      <c r="B8" s="17">
        <v>2.0714285714285716</v>
      </c>
      <c r="C8" t="s">
        <v>269</v>
      </c>
    </row>
    <row r="9" spans="1:3" x14ac:dyDescent="0.25">
      <c r="A9">
        <v>8.4600000000000009</v>
      </c>
      <c r="B9" s="17">
        <v>2.3225806451612905</v>
      </c>
      <c r="C9" t="s">
        <v>270</v>
      </c>
    </row>
    <row r="10" spans="1:3" x14ac:dyDescent="0.25">
      <c r="A10" s="17">
        <v>8.6999999999999993</v>
      </c>
      <c r="B10" s="17">
        <v>2.6481481481481484</v>
      </c>
      <c r="C10" t="s">
        <v>271</v>
      </c>
    </row>
    <row r="11" spans="1:3" x14ac:dyDescent="0.25">
      <c r="A11">
        <v>11.41</v>
      </c>
      <c r="B11" s="17">
        <v>3.4</v>
      </c>
      <c r="C11" t="s">
        <v>319</v>
      </c>
    </row>
    <row r="12" spans="1:3" x14ac:dyDescent="0.25">
      <c r="A12">
        <v>12.83</v>
      </c>
      <c r="B12" s="17">
        <v>2.2647058823529411</v>
      </c>
      <c r="C12" t="s">
        <v>265</v>
      </c>
    </row>
    <row r="13" spans="1:3" x14ac:dyDescent="0.25">
      <c r="A13">
        <v>15.74</v>
      </c>
      <c r="B13" s="17">
        <v>2.2692307692307692</v>
      </c>
      <c r="C13" t="s">
        <v>320</v>
      </c>
    </row>
    <row r="14" spans="1:3" x14ac:dyDescent="0.25">
      <c r="A14">
        <v>25.45</v>
      </c>
      <c r="B14" s="17">
        <v>1.8064516129032258</v>
      </c>
      <c r="C14" t="s">
        <v>266</v>
      </c>
    </row>
    <row r="15" spans="1:3" x14ac:dyDescent="0.25">
      <c r="A15" s="17">
        <v>25.9</v>
      </c>
      <c r="B15" s="17">
        <v>2.75</v>
      </c>
      <c r="C15" t="s">
        <v>267</v>
      </c>
    </row>
    <row r="16" spans="1:3" x14ac:dyDescent="0.25">
      <c r="A16">
        <v>27.36</v>
      </c>
      <c r="B16" s="17">
        <v>1.8666666666666667</v>
      </c>
      <c r="C16" t="s">
        <v>268</v>
      </c>
    </row>
    <row r="17" spans="1:3" x14ac:dyDescent="0.25">
      <c r="A17">
        <v>29.61</v>
      </c>
      <c r="B17" s="17">
        <v>2.109375</v>
      </c>
      <c r="C17" t="s">
        <v>272</v>
      </c>
    </row>
    <row r="18" spans="1:3" x14ac:dyDescent="0.25">
      <c r="A18">
        <v>33.81</v>
      </c>
      <c r="B18" s="17">
        <v>1.7291666666666667</v>
      </c>
      <c r="C18" t="s">
        <v>273</v>
      </c>
    </row>
    <row r="19" spans="1:3" x14ac:dyDescent="0.25">
      <c r="A19">
        <v>34.880000000000003</v>
      </c>
      <c r="B19" s="17">
        <v>1.6111111111111112</v>
      </c>
      <c r="C19" t="s">
        <v>274</v>
      </c>
    </row>
    <row r="20" spans="1:3" x14ac:dyDescent="0.25">
      <c r="A20">
        <v>36.83</v>
      </c>
      <c r="B20" s="17">
        <v>2.2000000000000002</v>
      </c>
      <c r="C20" t="s">
        <v>275</v>
      </c>
    </row>
    <row r="21" spans="1:3" x14ac:dyDescent="0.25">
      <c r="A21">
        <v>38.43</v>
      </c>
      <c r="B21" s="17">
        <v>3.4782608695652173</v>
      </c>
      <c r="C21" t="s">
        <v>276</v>
      </c>
    </row>
    <row r="22" spans="1:3" x14ac:dyDescent="0.25">
      <c r="A22">
        <v>39.479999999999997</v>
      </c>
      <c r="B22" s="17">
        <v>3.1</v>
      </c>
      <c r="C22" t="s">
        <v>277</v>
      </c>
    </row>
    <row r="23" spans="1:3" x14ac:dyDescent="0.25">
      <c r="A23">
        <v>41.12</v>
      </c>
      <c r="B23" s="17">
        <v>2.5535714285714284</v>
      </c>
      <c r="C23" t="s">
        <v>278</v>
      </c>
    </row>
    <row r="24" spans="1:3" x14ac:dyDescent="0.25">
      <c r="A24">
        <v>41.95</v>
      </c>
      <c r="B24" s="17">
        <v>2.21875</v>
      </c>
      <c r="C24" t="s">
        <v>321</v>
      </c>
    </row>
    <row r="25" spans="1:3" x14ac:dyDescent="0.25">
      <c r="A25">
        <v>43.25</v>
      </c>
      <c r="B25" s="17">
        <v>1.125</v>
      </c>
      <c r="C25" t="s">
        <v>279</v>
      </c>
    </row>
    <row r="26" spans="1:3" x14ac:dyDescent="0.25">
      <c r="A26">
        <v>44.88</v>
      </c>
      <c r="B26" s="17">
        <v>1.132183908045977</v>
      </c>
      <c r="C26" t="s">
        <v>322</v>
      </c>
    </row>
    <row r="27" spans="1:3" x14ac:dyDescent="0.25">
      <c r="A27">
        <v>45.89</v>
      </c>
      <c r="B27" s="17">
        <v>0.31666666666666665</v>
      </c>
      <c r="C27" t="s">
        <v>280</v>
      </c>
    </row>
    <row r="28" spans="1:3" x14ac:dyDescent="0.25">
      <c r="A28">
        <v>48.91</v>
      </c>
      <c r="B28" s="17">
        <v>1.9285714285714286</v>
      </c>
      <c r="C28" t="s">
        <v>281</v>
      </c>
    </row>
    <row r="45" spans="2:2" x14ac:dyDescent="0.25">
      <c r="B45" s="17"/>
    </row>
    <row r="46" spans="2:2" x14ac:dyDescent="0.25">
      <c r="B46" s="17"/>
    </row>
    <row r="55" spans="2:2" x14ac:dyDescent="0.25">
      <c r="B55" s="17"/>
    </row>
    <row r="57" spans="2:2" x14ac:dyDescent="0.25">
      <c r="B57" s="17"/>
    </row>
    <row r="58" spans="2:2" x14ac:dyDescent="0.25">
      <c r="B58" s="17"/>
    </row>
    <row r="59" spans="2:2" x14ac:dyDescent="0.25">
      <c r="B59" s="17"/>
    </row>
    <row r="60" spans="2:2" x14ac:dyDescent="0.25">
      <c r="B60" s="17"/>
    </row>
    <row r="61" spans="2:2" x14ac:dyDescent="0.25">
      <c r="B61" s="17"/>
    </row>
  </sheetData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6dd02d64-b7f3-43f7-a145-cfd68d338edf}" enabled="1" method="Standard" siteId="{0693b5ba-4b18-4d7b-9341-f32f400a549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Mussel Data</vt:lpstr>
      <vt:lpstr>Site Data</vt:lpstr>
      <vt:lpstr>Raw Data Figure x</vt:lpstr>
      <vt:lpstr>Raw Data Figure xx</vt:lpstr>
      <vt:lpstr>Raw Data Figure xxx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Lombardi, Melissa D</dc:creator>
  <cp:lastModifiedBy>Davidson, Chris</cp:lastModifiedBy>
  <dcterms:created xsi:type="dcterms:W3CDTF">2013-12-16T18:54:14Z</dcterms:created>
  <dcterms:modified xsi:type="dcterms:W3CDTF">2026-08-13T19:41:37Z</dcterms:modified>
</cp:coreProperties>
</file>